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939889366\Desktop\"/>
    </mc:Choice>
  </mc:AlternateContent>
  <bookViews>
    <workbookView xWindow="0" yWindow="0" windowWidth="21570" windowHeight="8055" tabRatio="857" firstSheet="32" activeTab="34"/>
  </bookViews>
  <sheets>
    <sheet name="شعب ادغامی درمردادوشهریور 1405" sheetId="111" r:id="rId1"/>
    <sheet name="PIN PAD Policy" sheetId="100" r:id="rId2"/>
    <sheet name="خراسان رضوی" sheetId="15" r:id="rId3"/>
    <sheet name="خراسان شمالی" sheetId="16" r:id="rId4"/>
    <sheet name="خراسان جنوبی" sheetId="14" r:id="rId5"/>
    <sheet name="سیستان وبلوچستان" sheetId="21" r:id="rId6"/>
    <sheet name="گلستان" sheetId="29" r:id="rId7"/>
    <sheet name="استان تهران" sheetId="9" r:id="rId8"/>
    <sheet name="استان البرز" sheetId="7" r:id="rId9"/>
    <sheet name="استان اردبیل" sheetId="1" r:id="rId10"/>
    <sheet name="استان آذرغربی" sheetId="2" r:id="rId11"/>
    <sheet name="استان آذرشرقی" sheetId="4" r:id="rId12"/>
    <sheet name="خوزستان" sheetId="17" r:id="rId13"/>
    <sheet name="فارس" sheetId="22" r:id="rId14"/>
    <sheet name="قم" sheetId="24" r:id="rId15"/>
    <sheet name="کردستان" sheetId="25" r:id="rId16"/>
    <sheet name="لرستان" sheetId="31" r:id="rId17"/>
    <sheet name="همدان" sheetId="35" r:id="rId18"/>
    <sheet name="مرکزی" sheetId="34" r:id="rId19"/>
    <sheet name="کرمانشاه" sheetId="27" r:id="rId20"/>
    <sheet name="قزوین" sheetId="23" r:id="rId21"/>
    <sheet name="استان ایلام" sheetId="5" r:id="rId22"/>
    <sheet name="استان اصفهان" sheetId="6" r:id="rId23"/>
    <sheet name="استان بوشهر" sheetId="8" r:id="rId24"/>
    <sheet name="چهارمحال وبختیاری" sheetId="10" r:id="rId25"/>
    <sheet name="سمنان" sheetId="19" r:id="rId26"/>
    <sheet name="زنجان" sheetId="18" r:id="rId27"/>
    <sheet name="کهکلویه" sheetId="28" r:id="rId28"/>
    <sheet name="یزد" sheetId="36" r:id="rId29"/>
    <sheet name="گیلان" sheetId="30" r:id="rId30"/>
    <sheet name="مازندران" sheetId="32" r:id="rId31"/>
    <sheet name="هرمزگان" sheetId="33" r:id="rId32"/>
    <sheet name="کرمان" sheetId="26" r:id="rId33"/>
    <sheet name="مرکز داده سمنان" sheetId="58" r:id="rId34"/>
    <sheet name="مرکز داده تهران" sheetId="39" r:id="rId35"/>
    <sheet name="سازمان های حاکمیتی" sheetId="42" r:id="rId36"/>
    <sheet name="ساختمان اداری ملل" sheetId="40" r:id="rId37"/>
    <sheet name="شبکه VSAT" sheetId="65" r:id="rId38"/>
    <sheet name="ساختمان اداری فام" sheetId="41" r:id="rId39"/>
    <sheet name="گزارش آماری شبکهVPN" sheetId="75" r:id="rId40"/>
    <sheet name="شبکه نوری ملل وفام" sheetId="47" r:id="rId41"/>
    <sheet name="شبکه SIP ملل وفام" sheetId="48" r:id="rId42"/>
    <sheet name="اینترنت کاربری ملل وفام" sheetId="43" r:id="rId43"/>
    <sheet name="شبک دور کاری" sheetId="44" r:id="rId44"/>
    <sheet name="شبکه آنتی ویروس" sheetId="52" r:id="rId45"/>
    <sheet name="هزینه شبکه MPLS کشوری" sheetId="69" r:id="rId46"/>
    <sheet name="EOL&amp;EOS" sheetId="85" r:id="rId47"/>
    <sheet name="تجهیزات شبکه خودپرداز" sheetId="84" r:id="rId48"/>
    <sheet name="تجهیزات شبکه شعب ومراکز داده" sheetId="77" r:id="rId49"/>
    <sheet name="تجهیزات شبکه اینترنت سازمانی" sheetId="83" r:id="rId50"/>
    <sheet name="گزارش آماری شبکه اینترنت" sheetId="76" r:id="rId51"/>
    <sheet name="لیست جمع آوری سرویس" sheetId="90" r:id="rId52"/>
    <sheet name="هزینه های سرویس مخابرات تهران" sheetId="92" r:id="rId53"/>
    <sheet name="هزینه های سرویس مخابرات تهران2" sheetId="93" r:id="rId54"/>
    <sheet name="هزینه سرویس مخابرات" sheetId="66" r:id="rId55"/>
    <sheet name="گزارش وضعیت شعب تخریب شده1404دی" sheetId="91" r:id="rId56"/>
    <sheet name="14050610جمع آوری مبین نت" sheetId="112" r:id="rId57"/>
    <sheet name="شبکه مبین نت 2" sheetId="113" r:id="rId58"/>
    <sheet name="شبکه آسیاتک2" sheetId="114" r:id="rId59"/>
    <sheet name="شعب" sheetId="115" r:id="rId60"/>
    <sheet name="جمع اوری اسیاتک" sheetId="116" r:id="rId61"/>
  </sheets>
  <definedNames>
    <definedName name="_xlnm._FilterDatabase" localSheetId="47" hidden="1">'تجهیزات شبکه خودپرداز'!#REF!</definedName>
    <definedName name="_xlnm._FilterDatabase" localSheetId="37" hidden="1">'شبکه VSAT'!$L$1:$S$8</definedName>
    <definedName name="_xlnm._FilterDatabase" localSheetId="58" hidden="1">'شبکه آسیاتک2'!$F$1:$F$395</definedName>
    <definedName name="_xlnm._FilterDatabase" localSheetId="57" hidden="1">'شبکه مبین نت 2'!$L$1:$L$1245</definedName>
    <definedName name="_xlnm._FilterDatabase" localSheetId="59" hidden="1">شعب!$D$1:$D$80</definedName>
    <definedName name="_xlnm._FilterDatabase" localSheetId="54" hidden="1">'هزینه سرویس مخابرات'!$A$1:$R$710</definedName>
    <definedName name="_xlnm.Print_Area" localSheetId="52">'هزینه های سرویس مخابرات تهران'!$A$1:$AT$280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80" i="113" l="1"/>
  <c r="X75" i="113"/>
  <c r="X63" i="113"/>
  <c r="X62" i="113"/>
  <c r="X61" i="113"/>
  <c r="X54" i="113"/>
  <c r="L79" i="115" l="1"/>
  <c r="M395" i="114"/>
  <c r="S13" i="114"/>
  <c r="N1040" i="113"/>
  <c r="N993" i="113"/>
  <c r="N17" i="113"/>
  <c r="AA16" i="33" l="1"/>
  <c r="AA13" i="7" l="1"/>
  <c r="Z52" i="17" l="1"/>
  <c r="X30" i="19"/>
  <c r="AA23" i="19"/>
  <c r="AA17" i="16" l="1"/>
  <c r="X25" i="31" l="1"/>
  <c r="AB25" i="29" l="1"/>
  <c r="Y39" i="29"/>
  <c r="AA103" i="15" l="1"/>
  <c r="L12" i="58" l="1"/>
  <c r="F38" i="43" l="1"/>
  <c r="G38" i="43" s="1"/>
  <c r="F37" i="43"/>
  <c r="G37" i="43" s="1"/>
  <c r="C14" i="76" l="1"/>
  <c r="Q5" i="65" l="1"/>
  <c r="G127" i="65" l="1"/>
  <c r="C37" i="75" l="1"/>
  <c r="C134" i="75" l="1"/>
  <c r="G122" i="65" l="1"/>
  <c r="C171" i="75"/>
  <c r="AA28" i="26"/>
  <c r="AA35" i="30"/>
  <c r="AA22" i="4"/>
  <c r="AA11" i="21"/>
  <c r="AA16" i="14"/>
  <c r="C66" i="75"/>
  <c r="C61" i="75"/>
  <c r="Q6" i="65"/>
  <c r="C81" i="75"/>
  <c r="C9" i="75"/>
  <c r="AA5" i="5" l="1"/>
  <c r="AA22" i="6"/>
  <c r="AA17" i="8"/>
  <c r="AA10" i="10"/>
  <c r="AA10" i="18"/>
  <c r="AA10" i="28"/>
  <c r="AA8" i="36"/>
  <c r="Q7" i="65"/>
  <c r="R7" i="65" s="1"/>
  <c r="R6" i="65"/>
  <c r="Q4" i="65"/>
  <c r="G33" i="69"/>
  <c r="Q2" i="65" l="1"/>
  <c r="R2" i="65" s="1"/>
  <c r="AG128" i="90"/>
</calcChain>
</file>

<file path=xl/sharedStrings.xml><?xml version="1.0" encoding="utf-8"?>
<sst xmlns="http://schemas.openxmlformats.org/spreadsheetml/2006/main" count="58131" uniqueCount="16545">
  <si>
    <t>ردیف</t>
  </si>
  <si>
    <t xml:space="preserve">شاخص </t>
  </si>
  <si>
    <t>استان</t>
  </si>
  <si>
    <t>شهر</t>
  </si>
  <si>
    <t>شعبه</t>
  </si>
  <si>
    <t>حوزه</t>
  </si>
  <si>
    <t>ش پرونده</t>
  </si>
  <si>
    <t>سرویس</t>
  </si>
  <si>
    <t>بستر ارتباطی</t>
  </si>
  <si>
    <t>IP Lan</t>
  </si>
  <si>
    <t>IP Switch</t>
  </si>
  <si>
    <t>IP Wan</t>
  </si>
  <si>
    <t>IP Tunnel</t>
  </si>
  <si>
    <t>PVC</t>
  </si>
  <si>
    <t>IP LoopBack</t>
  </si>
  <si>
    <t>Free Time Slots</t>
  </si>
  <si>
    <t>Slot Number</t>
  </si>
  <si>
    <t>PVC-Number</t>
  </si>
  <si>
    <t>شماره پرونده فیبر</t>
  </si>
  <si>
    <t>تجهیزات فیبر</t>
  </si>
  <si>
    <t>کرهای فعال</t>
  </si>
  <si>
    <t>VLAN</t>
  </si>
  <si>
    <t>تجهیزات ارتباطی</t>
  </si>
  <si>
    <t>روتر</t>
  </si>
  <si>
    <t>سوییچ</t>
  </si>
  <si>
    <t>اردبیل</t>
  </si>
  <si>
    <t>آذربایجان شرقی</t>
  </si>
  <si>
    <t>518547</t>
  </si>
  <si>
    <t>MPLS-VPN</t>
  </si>
  <si>
    <t>فیبر اشتراکی</t>
  </si>
  <si>
    <t>10.3.4.1/24-VLAN 100</t>
  </si>
  <si>
    <t>10.3.4.99 /24</t>
  </si>
  <si>
    <t>10.139.17.2 /24</t>
  </si>
  <si>
    <t>Tehran:31.1.3.4 /21-Semnan:28.1.3.4/21</t>
  </si>
  <si>
    <t>8.1.3.4/32-8.2.3.4/32-8.3.3.4/32</t>
  </si>
  <si>
    <t>FastEthernet0/1.502</t>
  </si>
  <si>
    <t>VLAN502-FE18 SW</t>
  </si>
  <si>
    <t>FTTH-Modem</t>
  </si>
  <si>
    <t xml:space="preserve"> SW-C2960-24TT-L*1</t>
  </si>
  <si>
    <t>40002282226</t>
  </si>
  <si>
    <t>PTMP</t>
  </si>
  <si>
    <t>192.168.135.2 /29</t>
  </si>
  <si>
    <t>FastEthernet0/1.3003</t>
  </si>
  <si>
    <t>-</t>
  </si>
  <si>
    <t>Mobinnet LTE</t>
  </si>
  <si>
    <t>بی سیم</t>
  </si>
  <si>
    <t>6.3.16.14/29</t>
  </si>
  <si>
    <t>Tehran:6.8.16.14/21- Seman:42.1.3.4/21-Tehran Anti:40.1.0.7/21</t>
  </si>
  <si>
    <t>FastEthernet0/0.22</t>
  </si>
  <si>
    <t>VLAN22-FE22 SW</t>
  </si>
  <si>
    <t>LTE Modem</t>
  </si>
  <si>
    <t>VSAT</t>
  </si>
  <si>
    <t>10.13.2.66 /29</t>
  </si>
  <si>
    <t>Tehran:62.3.4.1 /12-Semnan63.3.4.1/12</t>
  </si>
  <si>
    <t>FastEthernet0/1.26</t>
  </si>
  <si>
    <t>VLAN26-FE19 SW</t>
  </si>
  <si>
    <t>VSAT Modem&amp;BNC Cables</t>
  </si>
  <si>
    <t>فلسطین(اردبیل)</t>
  </si>
  <si>
    <t>40002282244</t>
  </si>
  <si>
    <t>PTP-Noronta</t>
  </si>
  <si>
    <t>زوج سیم(TDM)</t>
  </si>
  <si>
    <t>192.168.135.18/29</t>
  </si>
  <si>
    <t>FastEthernet0/0.327</t>
  </si>
  <si>
    <t>VLAN327-FE22 SW</t>
  </si>
  <si>
    <t>Tellabs-CTU-R Modem&amp; Ethernet Cable</t>
  </si>
  <si>
    <t>SW-C2960-24TT-L</t>
  </si>
  <si>
    <t>6.3.16.18/30</t>
  </si>
  <si>
    <t>Tehran:6.8.16.18/21-Semnan:42.1.3.27/21-Anti:40.1.0.8/21</t>
  </si>
  <si>
    <t>FastEthernet0/1</t>
  </si>
  <si>
    <t>مشکین شهر</t>
  </si>
  <si>
    <t>مشكين شهر</t>
  </si>
  <si>
    <t>40002282269</t>
  </si>
  <si>
    <t>192.168.135.14/29</t>
  </si>
  <si>
    <t>FastEthernet0/0.347</t>
  </si>
  <si>
    <t>VLAN347-FE22 SW</t>
  </si>
  <si>
    <t>6.3.16.22/30</t>
  </si>
  <si>
    <t>خلخال</t>
  </si>
  <si>
    <t>40002282326</t>
  </si>
  <si>
    <t>192.168.135.10/29</t>
  </si>
  <si>
    <t>192.168.133.2/29</t>
  </si>
  <si>
    <t>FastEthernet0/0.409</t>
  </si>
  <si>
    <t>VLAN409-FE22 SW</t>
  </si>
  <si>
    <t>6.3.16.26/30</t>
  </si>
  <si>
    <t>Tehran:6.8.16.22/22-Semnan:42.1.3.47/21-Anti:40.1.0.9/21</t>
  </si>
  <si>
    <t xml:space="preserve"> Mobbinet LTE</t>
  </si>
  <si>
    <t>10.8.52.4/30</t>
  </si>
  <si>
    <t>10.8.52.20/30</t>
  </si>
  <si>
    <t>10.8.52.32-10.8.52.255</t>
  </si>
  <si>
    <t>نام دستگاه</t>
  </si>
  <si>
    <t>هزینه (تومان)</t>
  </si>
  <si>
    <t>جمع  هزینه ماهیانه:</t>
  </si>
  <si>
    <t>Tehran:6.8.16.26/22-Semnan:42.1.4.9/21-Anti:40.1.0.10/21</t>
  </si>
  <si>
    <t>CISCO1841</t>
  </si>
  <si>
    <t>CISCO 2811*2</t>
  </si>
  <si>
    <t>آذربایجان غربی</t>
  </si>
  <si>
    <t>ارومیه</t>
  </si>
  <si>
    <t>507694</t>
  </si>
  <si>
    <t>10.114.143.10/29</t>
  </si>
  <si>
    <t>8.1.3.22/32-8.2.3.22/32-8.3.3.22/32</t>
  </si>
  <si>
    <t>FastEthernet0/1.3953</t>
  </si>
  <si>
    <t>VLAN3953-FE16 SW</t>
  </si>
  <si>
    <t>6.3.18.42/30</t>
  </si>
  <si>
    <t>VLAN22-FE6 SW</t>
  </si>
  <si>
    <t>VLAN26-FE18 SW</t>
  </si>
  <si>
    <t>اروميه</t>
  </si>
  <si>
    <t>طالقانی(ارومیه)</t>
  </si>
  <si>
    <t>608163</t>
  </si>
  <si>
    <t>Intranet</t>
  </si>
  <si>
    <t>زوج سیم(G.SHDSL)</t>
  </si>
  <si>
    <t>10.114.126.82/30</t>
  </si>
  <si>
    <t>33.1.3.33/20</t>
  </si>
  <si>
    <t>Tainet 764c-4Wire Modem&amp;Ethernet Cable</t>
  </si>
  <si>
    <t>6.3.17.182/30</t>
  </si>
  <si>
    <t>VLAN22-FE18 SW</t>
  </si>
  <si>
    <t>سلماس</t>
  </si>
  <si>
    <t>10.114.126.22/30</t>
  </si>
  <si>
    <t>33.1.3.86/20</t>
  </si>
  <si>
    <t>FastEthernet0/0</t>
  </si>
  <si>
    <t>6.3.17.198/30</t>
  </si>
  <si>
    <t>FastEthernet0/1.22</t>
  </si>
  <si>
    <t>خوی</t>
  </si>
  <si>
    <t>خوي</t>
  </si>
  <si>
    <t>608164</t>
  </si>
  <si>
    <t>10.114.126.46/30</t>
  </si>
  <si>
    <t>33.1.3.90/20</t>
  </si>
  <si>
    <t>6.3.17.206/30</t>
  </si>
  <si>
    <t>میاندوآب</t>
  </si>
  <si>
    <t>608166</t>
  </si>
  <si>
    <t>10.114.126.54/30</t>
  </si>
  <si>
    <t>33.1.4.51/20</t>
  </si>
  <si>
    <t>6.3.17.190/30</t>
  </si>
  <si>
    <t>Tehran:31.1.3.22/21-Semnan:28.1.3.22/21</t>
  </si>
  <si>
    <t>Tehran:6.8.18.42/22-Semnan:42.1.3.22/21-Anti:40.1.0.11/21</t>
  </si>
  <si>
    <t>Tehran:6.8.17.182/22-Semnan:42.1.3.33/21-Anti:40.1.0.19/21</t>
  </si>
  <si>
    <t>Tehran:6.8.17.198/22-Semnan:42.1.3.86/21-Anti:40.1.0.20/21</t>
  </si>
  <si>
    <t>Tehran:6.8.17.206/22-Semnan:42.1.3.90/21-Anti:40.1.0.21/21</t>
  </si>
  <si>
    <t>Tehran:6.8.17.190/22-Semnan:42.1.4.51/21-Anti:40.1.0.26/21</t>
  </si>
  <si>
    <t>10.8.21.0/24</t>
  </si>
  <si>
    <t>تبریز</t>
  </si>
  <si>
    <t>518540
FTTH: 4199992866</t>
  </si>
  <si>
    <t>10.139.14.2/24</t>
  </si>
  <si>
    <t>8.1.3.14/31-8.2.3.14/32-8.3.3.14/32</t>
  </si>
  <si>
    <t>FastEthernet0/0.2</t>
  </si>
  <si>
    <t xml:space="preserve"> SW-C2960-24TT-L*2</t>
  </si>
  <si>
    <t>4133374888</t>
  </si>
  <si>
    <t>10.104.210.170/29</t>
  </si>
  <si>
    <t>FastEthernet0/0.614</t>
  </si>
  <si>
    <t>543155</t>
  </si>
  <si>
    <t>L00:  100.100.100.100/32</t>
  </si>
  <si>
    <t>1-32</t>
  </si>
  <si>
    <t>E1 0/1/0</t>
  </si>
  <si>
    <t>Tellabs CTE-S_G703&amp;NM Module</t>
  </si>
  <si>
    <t>9602043009</t>
  </si>
  <si>
    <t>E1 0/3/0</t>
  </si>
  <si>
    <t>644685</t>
  </si>
  <si>
    <t>L1:  101.101.101.101/32</t>
  </si>
  <si>
    <t>E1 1/0</t>
  </si>
  <si>
    <t>40002351944</t>
  </si>
  <si>
    <t>E1 1/1</t>
  </si>
  <si>
    <t>10.13.2.162/29</t>
  </si>
  <si>
    <t>FastEthernet0/1/0</t>
  </si>
  <si>
    <t>تبريز</t>
  </si>
  <si>
    <t>ابوريحان(تبريز)</t>
  </si>
  <si>
    <t>543174</t>
  </si>
  <si>
    <t>unnumbered FastEthernet0/0.100</t>
  </si>
  <si>
    <t>23-30</t>
  </si>
  <si>
    <t>Serial0/0/0</t>
  </si>
  <si>
    <t>Tellabs-CTE-S Modem&amp; V35 Cable&amp;HWIC-1T Module</t>
  </si>
  <si>
    <t>زوج سیم(DSL)</t>
  </si>
  <si>
    <t>10.104.210.178/29</t>
  </si>
  <si>
    <t xml:space="preserve"> ADSL Modem&amp; Ethernet Cable</t>
  </si>
  <si>
    <t>سراب</t>
  </si>
  <si>
    <t>1-8</t>
  </si>
  <si>
    <t xml:space="preserve">10.104.210.194/29 </t>
  </si>
  <si>
    <t>عباسی(تبریز)</t>
  </si>
  <si>
    <t>543162</t>
  </si>
  <si>
    <t>17-24</t>
  </si>
  <si>
    <t>4116570018</t>
  </si>
  <si>
    <t xml:space="preserve">10.104.210.186/29 </t>
  </si>
  <si>
    <t>مرند</t>
  </si>
  <si>
    <t>545140</t>
  </si>
  <si>
    <t>21-28</t>
  </si>
  <si>
    <t>10.104.31.26/29</t>
  </si>
  <si>
    <t>مراغه</t>
  </si>
  <si>
    <t>خواجه نصير(مراغه)</t>
  </si>
  <si>
    <t>545141</t>
  </si>
  <si>
    <t>15-22</t>
  </si>
  <si>
    <t>10.104.210.202/29</t>
  </si>
  <si>
    <t>بازارتبريز</t>
  </si>
  <si>
    <t>543160</t>
  </si>
  <si>
    <t>17-31</t>
  </si>
  <si>
    <t>10.104.31.122/29</t>
  </si>
  <si>
    <t>17 شهریور</t>
  </si>
  <si>
    <t>4135572988</t>
  </si>
  <si>
    <t>10.104.202.254/30</t>
  </si>
  <si>
    <t xml:space="preserve"> کشوریIntranet</t>
  </si>
  <si>
    <t>پهنای باند</t>
  </si>
  <si>
    <t>4 Mb</t>
  </si>
  <si>
    <t>3 Mb</t>
  </si>
  <si>
    <t>1 Mb</t>
  </si>
  <si>
    <t>64 Kb</t>
  </si>
  <si>
    <t>128 Kb</t>
  </si>
  <si>
    <t>CISCO 1841</t>
  </si>
  <si>
    <t>6 Mb</t>
  </si>
  <si>
    <t>2 Mb</t>
  </si>
  <si>
    <t>512 Kb</t>
  </si>
  <si>
    <t>Tehran:33.1.3.14/20-Fam:133.1.3.14/20-Anti:38.1.3.14/20-Semnan:44.1.3.14/20</t>
  </si>
  <si>
    <t>Tehran:31.3.14/21-Semnan:28.1.3.14/21</t>
  </si>
  <si>
    <t>Tehran:62.3.14.1/12down-Seman:63.3.14.1/12 UP</t>
  </si>
  <si>
    <t>Tehran:33.1.3.37/20-Anti:38.1.3.37/20-Semnan:44.1.3.37/20</t>
  </si>
  <si>
    <t>Tehran:33.1.3.52/20-Anti:38.1.3.52/20-Semnan:44.1.3.52/20</t>
  </si>
  <si>
    <t>Tehran:33.1.3.95/20-Anti:38.1.3.95/20-Semnan:44.1.3.95/20</t>
  </si>
  <si>
    <t>Tehran:33.1.4.0/20-Anti:38.1.4.0/20-Semnan:44.1.4.0/20</t>
  </si>
  <si>
    <t>Tehran:33.1.4.79/20-Anti:38.1.4.79/20-Semnan:44.1.4.79/20</t>
  </si>
  <si>
    <t>Tehran:33.1.4.80/20-Anti:38.1.4.80/20-Semnan:44.1.4.80/20</t>
  </si>
  <si>
    <t>Tehran:33.1.5.48/20-Anti:38.1.5.48/20-Semnan:44.1.5.48/20</t>
  </si>
  <si>
    <t>stunnel</t>
  </si>
  <si>
    <t>Time Slot</t>
  </si>
  <si>
    <t>Interface</t>
  </si>
  <si>
    <t>A-822-17-Borj.zomorod</t>
  </si>
  <si>
    <t>10.8.22.17/30</t>
  </si>
  <si>
    <t>IP Unnumbered FE0/0.100</t>
  </si>
  <si>
    <t>13-14</t>
  </si>
  <si>
    <t>A-822-57-Borj-Deniz</t>
  </si>
  <si>
    <t>10.8.22.57/30</t>
  </si>
  <si>
    <t>192.168.138.74/26</t>
  </si>
  <si>
    <t>11-12</t>
  </si>
  <si>
    <t>A-822-61-Mojtama-Sahandiyeh</t>
  </si>
  <si>
    <t>10.8.22.61/30</t>
  </si>
  <si>
    <t>6.3.3.122/30</t>
  </si>
  <si>
    <t>6.8.3.122/20</t>
  </si>
  <si>
    <t>128Kb</t>
  </si>
  <si>
    <t>`</t>
  </si>
  <si>
    <t>پهنای باند-</t>
  </si>
  <si>
    <t>ایلام</t>
  </si>
  <si>
    <t>کرمانشاه</t>
  </si>
  <si>
    <t>531061</t>
  </si>
  <si>
    <t xml:space="preserve"> 10.20.92.130/29</t>
  </si>
  <si>
    <t>31.1.4.4/21-28.1.4.4/20</t>
  </si>
  <si>
    <t>8.1.4.4/32-8.2.4.4/32-8.3.4.4/32</t>
  </si>
  <si>
    <t>FastEthernet0/1.3001</t>
  </si>
  <si>
    <t>VLAN3001-FE22 SW</t>
  </si>
  <si>
    <t xml:space="preserve"> SW-C2960-24TT-L</t>
  </si>
  <si>
    <t>9902218060</t>
  </si>
  <si>
    <t>10.227.208.202/29</t>
  </si>
  <si>
    <t>33.1.4.4/20</t>
  </si>
  <si>
    <t>FastEthernet0/1.33</t>
  </si>
  <si>
    <t>VLAN33-FE21 SW</t>
  </si>
  <si>
    <t>540649</t>
  </si>
  <si>
    <t>PTMP-Noronta</t>
  </si>
  <si>
    <t>L10: 100.100.100.100/32</t>
  </si>
  <si>
    <t xml:space="preserve"> E1 1/0</t>
  </si>
  <si>
    <t>10.13.7.242/29</t>
  </si>
  <si>
    <t>62.4.4.1/20</t>
  </si>
  <si>
    <t>سعدی (ایلام)</t>
  </si>
  <si>
    <t>FastEthernet0/0.33</t>
  </si>
  <si>
    <t>نام محل</t>
  </si>
  <si>
    <t>هزینه جدید سرویس-ریال</t>
  </si>
  <si>
    <t>آزادی</t>
  </si>
  <si>
    <t>Asiatech-DSL</t>
  </si>
  <si>
    <t>زوج سیم</t>
  </si>
  <si>
    <t>6.3.6.164/30</t>
  </si>
  <si>
    <t>6.3.6.168/30</t>
  </si>
  <si>
    <t>6.3.8.188/30</t>
  </si>
  <si>
    <t>6.3.9.108/30</t>
  </si>
  <si>
    <t>6.3.11.16/30</t>
  </si>
  <si>
    <t>6.3.2.136/30</t>
  </si>
  <si>
    <t>اصفهان</t>
  </si>
  <si>
    <t>شیخ صدوق</t>
  </si>
  <si>
    <t>507690</t>
  </si>
  <si>
    <t>فیبر اختصاصی</t>
  </si>
  <si>
    <t>10.2.49.1/24-VLAN100-10.0.41.1/24-VLAN 101-10.9.125.153/29-VLAN125</t>
  </si>
  <si>
    <t>10.2.49.99/24-10.2.49.100/24-10.2.49.101/24-10.2.49.102/24</t>
  </si>
  <si>
    <t>172.18.2.251/29</t>
  </si>
  <si>
    <t>8.1.2.49 /32-8.2.2.49/32-8.3.2.49/32</t>
  </si>
  <si>
    <t>FastEthernet0/1.729</t>
  </si>
  <si>
    <t>100/01/1256011 مرکز فیض</t>
  </si>
  <si>
    <t>VLAN729-FE20 SW</t>
  </si>
  <si>
    <t>SDH-OSN500-Huawei</t>
  </si>
  <si>
    <t xml:space="preserve"> SW-C2960-24TT-L*4</t>
  </si>
  <si>
    <t>612093</t>
  </si>
  <si>
    <t>10.140.32.218/29</t>
  </si>
  <si>
    <t>FastEthernet0/1.237</t>
  </si>
  <si>
    <t>VLAN237-FE20 SW</t>
  </si>
  <si>
    <t>541758</t>
  </si>
  <si>
    <t>192.168.205.2/29</t>
  </si>
  <si>
    <t>FastEthernet0/1.490</t>
  </si>
  <si>
    <t>VLAN490-FE21 SW</t>
  </si>
  <si>
    <t>VSAT Modem</t>
  </si>
  <si>
    <t>حکیم نظامی(اصفهان)</t>
  </si>
  <si>
    <t>10.3.31.1 /26-VLAN100</t>
  </si>
  <si>
    <t>192.168.205.10/30</t>
  </si>
  <si>
    <t>610913</t>
  </si>
  <si>
    <t>10.141.252.138/29</t>
  </si>
  <si>
    <t>ملك شهر(اصفهان)</t>
  </si>
  <si>
    <t>192.168.205.14/30</t>
  </si>
  <si>
    <t>10.143.30.6/30</t>
  </si>
  <si>
    <t>ATM0/1/0</t>
  </si>
  <si>
    <t>0/33</t>
  </si>
  <si>
    <t xml:space="preserve"> G.SHDSL Module&amp;RJ-11 Cable</t>
  </si>
  <si>
    <t>كاشان</t>
  </si>
  <si>
    <t>192.168.205.22/30</t>
  </si>
  <si>
    <t>10.142.4.126/30</t>
  </si>
  <si>
    <t>شاهین شهر</t>
  </si>
  <si>
    <t>شاهین شهر(اصفهان)</t>
  </si>
  <si>
    <t>192.168.205.18/30</t>
  </si>
  <si>
    <t>10.143.204.166/30</t>
  </si>
  <si>
    <t>ميدان ارتش(اصفهان)</t>
  </si>
  <si>
    <t>192.168.205.26/30</t>
  </si>
  <si>
    <t>10.143.149.70/30</t>
  </si>
  <si>
    <t>نواب صفوي</t>
  </si>
  <si>
    <t>192.168.205.30/30</t>
  </si>
  <si>
    <t>10.143.176.242/29</t>
  </si>
  <si>
    <t xml:space="preserve">دشتستان </t>
  </si>
  <si>
    <t>192.168.205.34/30</t>
  </si>
  <si>
    <t>ATM0/0/0</t>
  </si>
  <si>
    <t>9702105125</t>
  </si>
  <si>
    <t>10.141.4.14/30</t>
  </si>
  <si>
    <t>99992866</t>
  </si>
  <si>
    <t>Tehran:31.1.2.49 /21-Seman:28.1.2.49/21</t>
  </si>
  <si>
    <t>Tehran:33.1.2.49/20-133.1.3.16(FAM)-Anti:38.1.2.49/20-Seman:44.1.2.49/20</t>
  </si>
  <si>
    <t>FE0/1 Active</t>
  </si>
  <si>
    <t>Tehran:62.2.49.1/12-Off-Anti:40.1.16.18/24-Off-Seman:63.2.49.1/12</t>
  </si>
  <si>
    <t>10.13.2.130/29</t>
  </si>
  <si>
    <t>25403449002</t>
  </si>
  <si>
    <t>Tehran:33.1.3.31/20-Anti:38.1.3.31/20-Seman:44.1.3.31/20</t>
  </si>
  <si>
    <t>Tehran:33.1.4.7/20-Anti:38.1.4.7/20-Seman:44.1.4.7/20</t>
  </si>
  <si>
    <t>Tehran:33.1.3.67/20-Anti:38.1.3.67/20-Seman:44.1.3.67/20</t>
  </si>
  <si>
    <t>Tehran:33.1.4.82/20-Anti:38.1.4.82/20-Seman:44.1.4.82/20</t>
  </si>
  <si>
    <t>Tehran:33.1.5.11/20-Anti:38.1.5.11/20-Seman:44.1.5.11/20</t>
  </si>
  <si>
    <t>Tehran:33.1.5.37/20-Anti:38.1.5.37/20-Seman:44.1.5.37/20</t>
  </si>
  <si>
    <t>البرز</t>
  </si>
  <si>
    <t>کرج</t>
  </si>
  <si>
    <t>شهدای کرج</t>
  </si>
  <si>
    <t>قزوین</t>
  </si>
  <si>
    <t>MPLS</t>
  </si>
  <si>
    <t>172.17.7.38 /29</t>
  </si>
  <si>
    <t>10.51.238.74 /29</t>
  </si>
  <si>
    <t>FastEthernet0/0.26</t>
  </si>
  <si>
    <t>گوهردشت کرج</t>
  </si>
  <si>
    <t>172.17.6.226/29</t>
  </si>
  <si>
    <t>10.163.99.1/12</t>
  </si>
  <si>
    <t>10.51.222.178/29</t>
  </si>
  <si>
    <t>VLAN33-FE20 SW</t>
  </si>
  <si>
    <t>عظيميه كرج</t>
  </si>
  <si>
    <t>172.17.16.30/30</t>
  </si>
  <si>
    <t>10.164.84.1/12</t>
  </si>
  <si>
    <t>851160</t>
  </si>
  <si>
    <t>10.51.222.194/29</t>
  </si>
  <si>
    <t>FastEthernet0/0/0</t>
  </si>
  <si>
    <t>شاهين ويلاكرج</t>
  </si>
  <si>
    <t>172.17.19.166/30</t>
  </si>
  <si>
    <t>10.165.5.1/12</t>
  </si>
  <si>
    <t>99011494018</t>
  </si>
  <si>
    <t>10.51.210.170/29</t>
  </si>
  <si>
    <t>VLAN33-FE17 SW</t>
  </si>
  <si>
    <t>فردیس کرج</t>
  </si>
  <si>
    <t>980114918744</t>
  </si>
  <si>
    <t>172.21.91.162/30</t>
  </si>
  <si>
    <t>10.165.46.1/12</t>
  </si>
  <si>
    <t>980114918743</t>
  </si>
  <si>
    <t>10.3.245.58/29</t>
  </si>
  <si>
    <t>10.163.55.1 /12</t>
  </si>
  <si>
    <t>Tehran:33.1.3.55/20-Anti:38.1.3.55/20-Seman:44.1.3.55/20</t>
  </si>
  <si>
    <t>Tehran:33.1.3.99/20-Anti:38.1.3.99/20-Seman:44.1.3.99/20</t>
  </si>
  <si>
    <t>FastEthernet0/1.399</t>
  </si>
  <si>
    <t>VLAN399-FE19 SW</t>
  </si>
  <si>
    <t>Tehran:33.1.4.84/20-Anti:38.1.4.84/20-Seman:44.1.4.84/20</t>
  </si>
  <si>
    <t>FastEthernet0/1.505</t>
  </si>
  <si>
    <t>Tehran:33.1.5.5/20-Anti:38.1.5.5/20-Seman:44.1.5.5/20</t>
  </si>
  <si>
    <t>VLAN505-FE19 SW</t>
  </si>
  <si>
    <t>6.8.18.10/21</t>
  </si>
  <si>
    <t>6.3.18.10/30</t>
  </si>
  <si>
    <t>Tehran:33.1.5.46/20-Anti:38.1.5.46/20-Seman:44.1.5.46/20</t>
  </si>
  <si>
    <t>A-810-129-Payam</t>
  </si>
  <si>
    <t>Cisco 1841</t>
  </si>
  <si>
    <t>بوشهر</t>
  </si>
  <si>
    <t>بوشهر-حافظ</t>
  </si>
  <si>
    <t>10.4.56.1 /24-VLAN100-10.9.125.169/29-VLAN125</t>
  </si>
  <si>
    <t>10.4.56.99 /24</t>
  </si>
  <si>
    <t>10.139.22.1/24</t>
  </si>
  <si>
    <t>8.1.4.56 /32-8.2.4.56/32-8.3.4.56/32</t>
  </si>
  <si>
    <t>VLAN2-FE21 SW</t>
  </si>
  <si>
    <t>Ritzcom RC001Modem</t>
  </si>
  <si>
    <t>629881</t>
  </si>
  <si>
    <t>10.150.30.218/29</t>
  </si>
  <si>
    <t>Tainet comet 1602</t>
  </si>
  <si>
    <t>535637</t>
  </si>
  <si>
    <t>1-24</t>
  </si>
  <si>
    <t>Tellabs CTU-S_G703&amp;NM Module</t>
  </si>
  <si>
    <t>9802188276</t>
  </si>
  <si>
    <t>10.13.2.114/29</t>
  </si>
  <si>
    <t>538968</t>
  </si>
  <si>
    <t>13-16,25-28</t>
  </si>
  <si>
    <t>10.150.22.10/29</t>
  </si>
  <si>
    <t>Tainet comet 1602 Modem&amp;Ethernet Cable</t>
  </si>
  <si>
    <t>گناوه</t>
  </si>
  <si>
    <t>Serial0/1/0</t>
  </si>
  <si>
    <t>10.150.22.18/29</t>
  </si>
  <si>
    <t>بندر دیر</t>
  </si>
  <si>
    <t>535639</t>
  </si>
  <si>
    <t>1-4</t>
  </si>
  <si>
    <t>592019</t>
  </si>
  <si>
    <t>10.150.22.26/29</t>
  </si>
  <si>
    <t>خورموج</t>
  </si>
  <si>
    <t>5-8</t>
  </si>
  <si>
    <t>10.150.22.34/29</t>
  </si>
  <si>
    <t>برازجان بوشهر</t>
  </si>
  <si>
    <t>9-12</t>
  </si>
  <si>
    <t>592016</t>
  </si>
  <si>
    <t>10.150.22.2/29</t>
  </si>
  <si>
    <t>6.3.18.176/30</t>
  </si>
  <si>
    <t>6.8.18.178/22</t>
  </si>
  <si>
    <t>Tehran:31.1.4.56/21-Semnan:28.1.4.56/21</t>
  </si>
  <si>
    <t>Tehran:33.1.4.56/20-133.1.3.17/20(FAM)-Anti:38.1.4.56/20-Seman:44.1.4.56/20</t>
  </si>
  <si>
    <t>Tehran:62.4.56.1/12-Off-Anti:40.1.16.13/24-Off-Seman:63.4.56.1/12</t>
  </si>
  <si>
    <t>Tehran:33.1.4.5/20-Anti:38.1.4.5/20-Seman:44.1.4.5/20</t>
  </si>
  <si>
    <t>GigabitEthernet0/1</t>
  </si>
  <si>
    <t>CISCO 1941/k9</t>
  </si>
  <si>
    <t>Tehran:33.1.4.40/20-Anti:38.1.4.40/20-Seman:44.1.4.40/20</t>
  </si>
  <si>
    <t>Tehran:33.1.4.27/20-Anti:38.1.4.27/20-Seman:44.1.4.27/20</t>
  </si>
  <si>
    <t>Tehran:33.1.4.98/20-Anti:38.1.4.98/20-Seman:44.1.4.98/20</t>
  </si>
  <si>
    <t>VLAN22-FE19 SW</t>
  </si>
  <si>
    <t>تهران</t>
  </si>
  <si>
    <t>رضویه (تهران)</t>
  </si>
  <si>
    <t>جنوب</t>
  </si>
  <si>
    <t>172.19.18.246/30</t>
  </si>
  <si>
    <t>10.162.48.1/12</t>
  </si>
  <si>
    <t>8.1.2.48/32-8.2.2.48/32</t>
  </si>
  <si>
    <t>FastEthernet0/1.248</t>
  </si>
  <si>
    <t>VLAN248-FE22 SW</t>
  </si>
  <si>
    <t>10.31.54.138/29</t>
  </si>
  <si>
    <t>VLAN 33-FE21 SW</t>
  </si>
  <si>
    <t>VLAN 26 FE20 SW</t>
  </si>
  <si>
    <t>اكباتان</t>
  </si>
  <si>
    <t>172.17.6.6/30</t>
  </si>
  <si>
    <t>10.162.52.1/12</t>
  </si>
  <si>
    <t>8.1.2.52/32-8.2.2.52/32</t>
  </si>
  <si>
    <t>0/35</t>
  </si>
  <si>
    <t>10.30.186.242/29</t>
  </si>
  <si>
    <t>نارمک(تهران)</t>
  </si>
  <si>
    <t>شرق</t>
  </si>
  <si>
    <t>172.17.5.214/30</t>
  </si>
  <si>
    <t>10.162.66.1/12</t>
  </si>
  <si>
    <t>8.1.2.66/32-8.2.2.66/32</t>
  </si>
  <si>
    <t>SW-C2960-24TT-L*1-WS-C2960CG-8TC-L*2-WS-C2960-48TT-L*1</t>
  </si>
  <si>
    <t>586304</t>
  </si>
  <si>
    <t>10.23.79.154/29</t>
  </si>
  <si>
    <t>FastEthernet0/0.3617</t>
  </si>
  <si>
    <t>VLAN 3617 FE21 SW</t>
  </si>
  <si>
    <t>FTTH Modem</t>
  </si>
  <si>
    <t>پاکدشت</t>
  </si>
  <si>
    <t>172.17.19.58/30</t>
  </si>
  <si>
    <t>10.162.87.1/12</t>
  </si>
  <si>
    <t>8.1.2.87/32-8.2.2.87/32</t>
  </si>
  <si>
    <t>10.52.9.162/29</t>
  </si>
  <si>
    <t>VLAN33 FE19 SW</t>
  </si>
  <si>
    <t>نظام آباد(تهران)</t>
  </si>
  <si>
    <t>172.17.6.14/30</t>
  </si>
  <si>
    <t>10.162.94.1/12</t>
  </si>
  <si>
    <t>8.1.2.94/32-8.2.2.94/32</t>
  </si>
  <si>
    <t>10.23.79.162/29</t>
  </si>
  <si>
    <t>قرچک (ورامین)</t>
  </si>
  <si>
    <t>172.17.18.26/30</t>
  </si>
  <si>
    <t>10.162.95.1/12</t>
  </si>
  <si>
    <t>8.1.2.95/32-8.2.2.95/32</t>
  </si>
  <si>
    <t>10.52.9.154/29</t>
  </si>
  <si>
    <t>زمرد(تهران)-پاسداران</t>
  </si>
  <si>
    <t>شمال</t>
  </si>
  <si>
    <t>172.17.5.142/30</t>
  </si>
  <si>
    <t>10.163.40.1/12</t>
  </si>
  <si>
    <t>8.1.3.40/32-8.2.3.40/32</t>
  </si>
  <si>
    <t>10.8.233.170/29</t>
  </si>
  <si>
    <t>VLAN33 FE21 SW</t>
  </si>
  <si>
    <t>ستارخان -شادمهر(تهران)</t>
  </si>
  <si>
    <t>غرب</t>
  </si>
  <si>
    <t>172.17.5.146/30</t>
  </si>
  <si>
    <t>10.163.69.1/12</t>
  </si>
  <si>
    <t>10.19.162.202/29</t>
  </si>
  <si>
    <t>VLAN33 FE18 SW</t>
  </si>
  <si>
    <t>مرکز</t>
  </si>
  <si>
    <t>172.17.6.2/30</t>
  </si>
  <si>
    <t>10.163.75.1</t>
  </si>
  <si>
    <t>8.1.3.75/32-8.2.3.75/32</t>
  </si>
  <si>
    <t>SW-C2960-24TT-L*2</t>
  </si>
  <si>
    <t>جمهوري(تهران)+حوزه</t>
  </si>
  <si>
    <t>10.19.168.50/29</t>
  </si>
  <si>
    <t>هفده شهريور(تهران)</t>
  </si>
  <si>
    <t>172.17.5.178/30</t>
  </si>
  <si>
    <t>10.163.79.1/12</t>
  </si>
  <si>
    <t>8.1.3.79/32-8.2.3.79/32</t>
  </si>
  <si>
    <t>10.23.80.178/29</t>
  </si>
  <si>
    <t>میدان محمديه (تهران)</t>
  </si>
  <si>
    <t>172.17.5.246/30</t>
  </si>
  <si>
    <t>10.163.98.1/12</t>
  </si>
  <si>
    <t>8.1.3.98/32-8.2.3.98/32</t>
  </si>
  <si>
    <t>10.24.104.234/29</t>
  </si>
  <si>
    <t>قائم مقام(تهران)</t>
  </si>
  <si>
    <t>10.4.10.1/24-VLAN100</t>
  </si>
  <si>
    <t>10.4.10.2/24-10.4.10.99/24</t>
  </si>
  <si>
    <t>172.19.73.166/30</t>
  </si>
  <si>
    <t>10.164.10.1/12</t>
  </si>
  <si>
    <t>8.1.4.10/32-8.2.4.10/32</t>
  </si>
  <si>
    <t>10.30.196.162/29</t>
  </si>
  <si>
    <t>VLAN 33 FE20 SW</t>
  </si>
  <si>
    <t>10.13.7.122 /29</t>
  </si>
  <si>
    <t>پیروزی(تهران)</t>
  </si>
  <si>
    <t>10.4.11.1/24-VLAN100</t>
  </si>
  <si>
    <t>10.4.11.2/24</t>
  </si>
  <si>
    <t>172.17.5.78/30</t>
  </si>
  <si>
    <t>10.164.11.1/12</t>
  </si>
  <si>
    <t>8.1.4.11/32-8.2.4.11/32</t>
  </si>
  <si>
    <t>10.23.79.170/29</t>
  </si>
  <si>
    <t>جنت آباد(تهران)</t>
  </si>
  <si>
    <t>10.4.14.1/24-VLAN100</t>
  </si>
  <si>
    <t>10.4.14.2/24</t>
  </si>
  <si>
    <t>172.17.6.150/30</t>
  </si>
  <si>
    <t>10.164.14.1/12</t>
  </si>
  <si>
    <t>8.1.4.14/32-8.2.4.14/32</t>
  </si>
  <si>
    <t>10.30.179.138/29</t>
  </si>
  <si>
    <t>FastEthernet0/0.3615</t>
  </si>
  <si>
    <t>VLAN 3615 FE22 SW</t>
  </si>
  <si>
    <t>بلوارارتش(تهران)</t>
  </si>
  <si>
    <t>10.4.18.1/24-VLAN100</t>
  </si>
  <si>
    <t>10.4.18.2/24</t>
  </si>
  <si>
    <t>172.17.11.110/30</t>
  </si>
  <si>
    <t>10.164.18.1/12</t>
  </si>
  <si>
    <t>8.1.4.18/32-8.2.4.18/32</t>
  </si>
  <si>
    <t>10.8.234.242/29</t>
  </si>
  <si>
    <t>فرجام (تهران)</t>
  </si>
  <si>
    <t>10.4.19.1/24-VLAN100</t>
  </si>
  <si>
    <t>10.4.19.2/24</t>
  </si>
  <si>
    <t>172.17.10.182/30</t>
  </si>
  <si>
    <t>10.164.19.1/12</t>
  </si>
  <si>
    <t>8.1.4.19/32-8.2.4.19/32</t>
  </si>
  <si>
    <t>10.23.80.186/29</t>
  </si>
  <si>
    <t>ابوذرفلاح(تهران)</t>
  </si>
  <si>
    <t>10.4.21.1/24-VLAN100</t>
  </si>
  <si>
    <t>10.4.21.2/24</t>
  </si>
  <si>
    <t>172.17.11.38/30</t>
  </si>
  <si>
    <t>10.164.21.1/12</t>
  </si>
  <si>
    <t>8.1.4.21/32-8.2.4.21/32</t>
  </si>
  <si>
    <t>10.24.104.242/29</t>
  </si>
  <si>
    <t>بازار مبل (تهران)</t>
  </si>
  <si>
    <t>10.4.24.1/24-VLAN100</t>
  </si>
  <si>
    <t>10.4.24.2/24</t>
  </si>
  <si>
    <t>172.17.11.106/30</t>
  </si>
  <si>
    <t>10.164.24.1/12</t>
  </si>
  <si>
    <t>8.1.4.24/32-8.2.4.24/32</t>
  </si>
  <si>
    <t>10.19.155.250/29</t>
  </si>
  <si>
    <t>حکیمیه(تهران)</t>
  </si>
  <si>
    <t>10.4.26.1/24-VLAN100</t>
  </si>
  <si>
    <t>10.4.26.2/24</t>
  </si>
  <si>
    <t>172.17.12.134/30</t>
  </si>
  <si>
    <t>10.164.26.1/12</t>
  </si>
  <si>
    <t>8.1.4.26/32-8.2.4.26/32</t>
  </si>
  <si>
    <t>10.23.80.202/29</t>
  </si>
  <si>
    <t>ستارخان (تهران)</t>
  </si>
  <si>
    <t>10.4.31.1/24-VLAN100</t>
  </si>
  <si>
    <t>10.4.31.2/24</t>
  </si>
  <si>
    <t>172.17.14.218/30</t>
  </si>
  <si>
    <t>10.164.31.1/12</t>
  </si>
  <si>
    <t>8.1.4.31/32-8.2.4.31/32</t>
  </si>
  <si>
    <t>10.30.196.170/30</t>
  </si>
  <si>
    <t>جمالزده شمالی (تهران)</t>
  </si>
  <si>
    <t>534313</t>
  </si>
  <si>
    <t>10.4.38.2/24</t>
  </si>
  <si>
    <t>172.17.15.122/30</t>
  </si>
  <si>
    <t>10.164.38.1/12</t>
  </si>
  <si>
    <t>8.1.4.38/32-8.2.4.38/32</t>
  </si>
  <si>
    <t>FastEthernet0/1.438</t>
  </si>
  <si>
    <t>VLAN 438 FE21 SW</t>
  </si>
  <si>
    <t>10.19.162.210/29</t>
  </si>
  <si>
    <t>سیمون بولیوار(تهران)</t>
  </si>
  <si>
    <t>10.4.46.1/24-VLAN100</t>
  </si>
  <si>
    <t>10.4.46.2/24</t>
  </si>
  <si>
    <t>172.19.7.122/30</t>
  </si>
  <si>
    <t>10.164.46.1/12</t>
  </si>
  <si>
    <t>8.1.4.46/32-8.2.4.46/32</t>
  </si>
  <si>
    <t>10.30.187.10/29</t>
  </si>
  <si>
    <t>قنات کوثر(تهران)</t>
  </si>
  <si>
    <t>10.4.47.1/24-VLAN100</t>
  </si>
  <si>
    <t>10.4.47.2/24</t>
  </si>
  <si>
    <t>172.17.14.46/30</t>
  </si>
  <si>
    <t>10.164.47.1/12</t>
  </si>
  <si>
    <t>8.1.4.47/32-8.2.4.47/32</t>
  </si>
  <si>
    <t>10.23.80.210/29</t>
  </si>
  <si>
    <t>افريقاي شمالي(تهران)</t>
  </si>
  <si>
    <t>172.17.21.202/30</t>
  </si>
  <si>
    <t>10.164.50.1/12</t>
  </si>
  <si>
    <t>8.1.4.50/32-8.2.4.50/32</t>
  </si>
  <si>
    <t>10.8.234.2/29</t>
  </si>
  <si>
    <t>VLAN 33 FE22 SW</t>
  </si>
  <si>
    <t xml:space="preserve"> کوی نصر(تهران)</t>
  </si>
  <si>
    <t>172.19.7.158/30</t>
  </si>
  <si>
    <t>10.164.53.1/12</t>
  </si>
  <si>
    <t>8.1.4.53/32-8.2.4.53/32</t>
  </si>
  <si>
    <t>10.30.187.18/29</t>
  </si>
  <si>
    <t>قيطريه</t>
  </si>
  <si>
    <t>172.17.16.146/30</t>
  </si>
  <si>
    <t>10.164.54.1/12</t>
  </si>
  <si>
    <t>8.1.4.54/32-8.2.4.54/32</t>
  </si>
  <si>
    <t>10.8.233.162/29</t>
  </si>
  <si>
    <t>FastEthernet0/0/1</t>
  </si>
  <si>
    <t>اسلام شهر</t>
  </si>
  <si>
    <t>كاشاني(اسلام شهر)</t>
  </si>
  <si>
    <t>172.17.15.190/30</t>
  </si>
  <si>
    <t>10.164.57.1/12</t>
  </si>
  <si>
    <t>8.1.4.57/32-8.2.4.57/32</t>
  </si>
  <si>
    <t>585958</t>
  </si>
  <si>
    <t>10.52.12.90/29</t>
  </si>
  <si>
    <t>VLAN 33 FE19 SW</t>
  </si>
  <si>
    <t>بولوارفردوس(تهران)</t>
  </si>
  <si>
    <t>172.17.14.214/30</t>
  </si>
  <si>
    <t>10.164.58.1/12</t>
  </si>
  <si>
    <t>8.1.4.58/32-8.2.4.58/32</t>
  </si>
  <si>
    <t>10.30.187.106/29</t>
  </si>
  <si>
    <t>لواسان(تهران)</t>
  </si>
  <si>
    <t>172.17.16.114/30</t>
  </si>
  <si>
    <t>10.164.59.1/12</t>
  </si>
  <si>
    <t>8.1.4.59/32-8.2.4.59/32</t>
  </si>
  <si>
    <t>10.52.13.210/29</t>
  </si>
  <si>
    <t>امام خمینی(اسلام شهر)</t>
  </si>
  <si>
    <t>172.17.16.50/30</t>
  </si>
  <si>
    <t>10.164.60.1/12</t>
  </si>
  <si>
    <t>8.1.4.60/32-8.2.4.60/32</t>
  </si>
  <si>
    <t>10.52.13.194/29</t>
  </si>
  <si>
    <t>شهرري</t>
  </si>
  <si>
    <t>172.19.25.226/30</t>
  </si>
  <si>
    <t>10.164.61.1/12</t>
  </si>
  <si>
    <t>8.1.4.61/32-8.2.4.61/32</t>
  </si>
  <si>
    <t>FastEthernet0/1.461</t>
  </si>
  <si>
    <t>VLAN 2500 FE21 SW</t>
  </si>
  <si>
    <t>10.24.104.186/30</t>
  </si>
  <si>
    <t>VLAN 2501 FE22 SW</t>
  </si>
  <si>
    <t>میدان سلماس(تهران)</t>
  </si>
  <si>
    <t>538716</t>
  </si>
  <si>
    <t>172.17.15.50/30</t>
  </si>
  <si>
    <t>10.164.62.1/12</t>
  </si>
  <si>
    <t>8.1.4.62/32-8.2.4.62/32</t>
  </si>
  <si>
    <t>10.30.179.130/29</t>
  </si>
  <si>
    <t>تهرانپارس(تهران)+حوزه</t>
  </si>
  <si>
    <t>172.17.15.2/30</t>
  </si>
  <si>
    <t>10.164.63.1/12</t>
  </si>
  <si>
    <t>8.1.4.63/32-8.2.4.63/32</t>
  </si>
  <si>
    <t>591835</t>
  </si>
  <si>
    <t>10.23.80.218/29</t>
  </si>
  <si>
    <t>VLAN 33 FE18 SW</t>
  </si>
  <si>
    <t>ورامین</t>
  </si>
  <si>
    <t>172.17.15.230/30</t>
  </si>
  <si>
    <t>10.164.65.1/12</t>
  </si>
  <si>
    <t>8.1.4.65/32-8.2.4.65/32</t>
  </si>
  <si>
    <t>10.52.9.170/29</t>
  </si>
  <si>
    <t>VLAN 26 FE21 SW</t>
  </si>
  <si>
    <t>ولنجک</t>
  </si>
  <si>
    <t>172.17.14.254/30</t>
  </si>
  <si>
    <t>10.164.69.1/12</t>
  </si>
  <si>
    <t>8.1.4.69/32-8.2.4.69/32</t>
  </si>
  <si>
    <t>10.23.80.226/29</t>
  </si>
  <si>
    <t>6.3.17.202/30</t>
  </si>
  <si>
    <t>6.8.17.202/22</t>
  </si>
  <si>
    <t>VLAN 22 FE20 SW</t>
  </si>
  <si>
    <t>فرجام شرقی(تهران)</t>
  </si>
  <si>
    <t>172.17.15.86/30</t>
  </si>
  <si>
    <t>10.164.72.1/12</t>
  </si>
  <si>
    <t>8.1.4.72/32-8.2.4.72/32</t>
  </si>
  <si>
    <t>10.23.80.234/29</t>
  </si>
  <si>
    <t>پیامبراعظم(تهران)</t>
  </si>
  <si>
    <t>فیبراشتراکی</t>
  </si>
  <si>
    <t>172.19.10.34/30</t>
  </si>
  <si>
    <t>10.164.73.1/12</t>
  </si>
  <si>
    <t>8.1.4.73/32-8.2.4.73/32</t>
  </si>
  <si>
    <t>FastEthernet0/0.3639</t>
  </si>
  <si>
    <t>VLAN 3639 FE21 SW</t>
  </si>
  <si>
    <t>10.30.187.34/30</t>
  </si>
  <si>
    <t>FastEthernet0/0.3641</t>
  </si>
  <si>
    <t>VLAN 3641 FE23 SW</t>
  </si>
  <si>
    <t>امين حضور(تهران)</t>
  </si>
  <si>
    <t>172.17.15.238/30</t>
  </si>
  <si>
    <t>10.164.78.1/12</t>
  </si>
  <si>
    <t>8.1.4.78/32-8.2.4.78/32</t>
  </si>
  <si>
    <t>10.31.42.74/29</t>
  </si>
  <si>
    <t>ابوذرپيروزي(تهران)</t>
  </si>
  <si>
    <t>172.17.16.206/30</t>
  </si>
  <si>
    <t>10.164.81.1/12</t>
  </si>
  <si>
    <t>8.1.4.81/32-8.2.4.81/32</t>
  </si>
  <si>
    <t>10.23.78.42/29</t>
  </si>
  <si>
    <t>كريم خان زند</t>
  </si>
  <si>
    <t>172.17.21.186/30</t>
  </si>
  <si>
    <t>10.164.83.1/12</t>
  </si>
  <si>
    <t>8.1.4.83/32/8.2.4.83/32</t>
  </si>
  <si>
    <t>10.30.191.154/29</t>
  </si>
  <si>
    <t>كيانشهر</t>
  </si>
  <si>
    <t>543016</t>
  </si>
  <si>
    <t>172.17.18.30/30</t>
  </si>
  <si>
    <t>10.164.85.1/12</t>
  </si>
  <si>
    <t>8.1.4.85/32-8.2.4.85/32</t>
  </si>
  <si>
    <t>607100</t>
  </si>
  <si>
    <t>10.31.42.178/29</t>
  </si>
  <si>
    <t>شريعتي</t>
  </si>
  <si>
    <t>172.17.17.182/30</t>
  </si>
  <si>
    <t>10.164.86.1/12</t>
  </si>
  <si>
    <t>8.1.4.86/32-8.2.4.86/32</t>
  </si>
  <si>
    <t>10.30.196.186/29</t>
  </si>
  <si>
    <t>وحدت اسلامي</t>
  </si>
  <si>
    <t>172.17.17.214/30</t>
  </si>
  <si>
    <t>10.164.87.1/12</t>
  </si>
  <si>
    <t>8.1.4.87/32-8.2.4.87/32</t>
  </si>
  <si>
    <t>10.24.105.186/29</t>
  </si>
  <si>
    <t>شهيدثاني</t>
  </si>
  <si>
    <t>172.17.17.210/30</t>
  </si>
  <si>
    <t>10.164.89.1/12</t>
  </si>
  <si>
    <t>8.1.4.89/32-8.2.4.89/32</t>
  </si>
  <si>
    <t>10.23.78.82/29</t>
  </si>
  <si>
    <t>15خردادغربي</t>
  </si>
  <si>
    <t xml:space="preserve"> 172.17.20.110/30</t>
  </si>
  <si>
    <t>10.164.90.1/12</t>
  </si>
  <si>
    <t>8.1.4.90/32-8.2.4.90/32</t>
  </si>
  <si>
    <t>10.24.106.34/29</t>
  </si>
  <si>
    <t>سروسعادت آباد</t>
  </si>
  <si>
    <t>172.17.18.58/30</t>
  </si>
  <si>
    <t>10.164.93.1/12</t>
  </si>
  <si>
    <t>8.1.4.93/32-8.2.4.93/32</t>
  </si>
  <si>
    <t>10.8.223.74/29</t>
  </si>
  <si>
    <t>ظفر</t>
  </si>
  <si>
    <t>172.17.18.150/30</t>
  </si>
  <si>
    <t>10.164.96.1/12</t>
  </si>
  <si>
    <t>8.1.4.96/32-8.2.4.96/32</t>
  </si>
  <si>
    <t>10.31.42.154/29</t>
  </si>
  <si>
    <t>امامت تهران</t>
  </si>
  <si>
    <t>172.17.18.102/30</t>
  </si>
  <si>
    <t>10.164.97.1/12</t>
  </si>
  <si>
    <t>8.1.4.97/32-8.2.4.97/32</t>
  </si>
  <si>
    <t>607123</t>
  </si>
  <si>
    <t>10.23.82.58/29</t>
  </si>
  <si>
    <t>15متري دوم افسريه(حوزه)</t>
  </si>
  <si>
    <t>172.17.19.2/30</t>
  </si>
  <si>
    <t>10.164.99.1/12</t>
  </si>
  <si>
    <t>8.1.4.99/32-8.2.4.99/32</t>
  </si>
  <si>
    <t>10.31.52.194/29</t>
  </si>
  <si>
    <t>فدائيان اسلام</t>
  </si>
  <si>
    <t>172.17.19.26/30</t>
  </si>
  <si>
    <t>10.165.0.1/12</t>
  </si>
  <si>
    <t>8.1.5.0/32-8.2.5.0/32</t>
  </si>
  <si>
    <t>607125</t>
  </si>
  <si>
    <t>10.24.92.178/29</t>
  </si>
  <si>
    <t>پنجم  نيروي هوايي</t>
  </si>
  <si>
    <t xml:space="preserve"> 172.17.19.86/30</t>
  </si>
  <si>
    <t>10.165.1.1/12</t>
  </si>
  <si>
    <t>8.1.5.1/32-8.2.5.1/32</t>
  </si>
  <si>
    <t>10.23.82.66/29</t>
  </si>
  <si>
    <t>سي متري نيروي هوايي</t>
  </si>
  <si>
    <t>172.17.19.14/30</t>
  </si>
  <si>
    <t>10.165.2.1/12</t>
  </si>
  <si>
    <t>8.1.5.2/32-8.2.5.2/32</t>
  </si>
  <si>
    <t>10.23.82.74/29</t>
  </si>
  <si>
    <t>باغ صباتهران</t>
  </si>
  <si>
    <t>172.17.18.146/30</t>
  </si>
  <si>
    <t>10.165.3.1/12</t>
  </si>
  <si>
    <t>8.1.5.3/32-8.2.5.3/32</t>
  </si>
  <si>
    <t>10.23.23.98/29</t>
  </si>
  <si>
    <t>پارك وي</t>
  </si>
  <si>
    <t>172.17.20.222/30</t>
  </si>
  <si>
    <t>10.165.6.1/12</t>
  </si>
  <si>
    <t>8.1.5.6/32-8.2.5.6/32</t>
  </si>
  <si>
    <t>10.8.220.82/29</t>
  </si>
  <si>
    <t>خيابان ملت</t>
  </si>
  <si>
    <t>172.17.20.190/30</t>
  </si>
  <si>
    <t>10.165.7.1/12</t>
  </si>
  <si>
    <t>8.1.5.7/32-8.2.5.7/32</t>
  </si>
  <si>
    <t>592080</t>
  </si>
  <si>
    <t>10.31.59.202/29</t>
  </si>
  <si>
    <t>ميدان حسين آباد تهران</t>
  </si>
  <si>
    <t>172.17.20.170/30</t>
  </si>
  <si>
    <t>10.165.8.1/12</t>
  </si>
  <si>
    <t>8.1.5.8/32-8.2.5.8/32</t>
  </si>
  <si>
    <t>10.8.222.34/29</t>
  </si>
  <si>
    <t>پل رومي</t>
  </si>
  <si>
    <t>172.19.16.202/30</t>
  </si>
  <si>
    <t>10.165.13.1/12</t>
  </si>
  <si>
    <t>8.1.5.13/32-8.2.5.13/32</t>
  </si>
  <si>
    <t>10.8.223.2/29</t>
  </si>
  <si>
    <t>شعبه شيرازجنوبي</t>
  </si>
  <si>
    <t>LAN</t>
  </si>
  <si>
    <t>Ethernet</t>
  </si>
  <si>
    <t>10.5.15.65/26-VLAN515-VOIP VLAN10</t>
  </si>
  <si>
    <t>100.108.1.26 /24</t>
  </si>
  <si>
    <t>100.108.1.26/24</t>
  </si>
  <si>
    <t xml:space="preserve"> WS-C2960X-48FPD-L</t>
  </si>
  <si>
    <t>شهيد دادمان</t>
  </si>
  <si>
    <t>172.19.16.162/30</t>
  </si>
  <si>
    <t>10.165.16.1/12</t>
  </si>
  <si>
    <t>8.1.5.16/32-8.2.5.16/32</t>
  </si>
  <si>
    <t>10.30.187.42/29</t>
  </si>
  <si>
    <t>اقدسيه</t>
  </si>
  <si>
    <t>172.19.19.58/30</t>
  </si>
  <si>
    <t>10.165.17.1/12</t>
  </si>
  <si>
    <t>8.1.5.17/32-8.2.5.17/32</t>
  </si>
  <si>
    <t>10.8.223.18/29</t>
  </si>
  <si>
    <t>دولت</t>
  </si>
  <si>
    <t>172.19.23.186/30</t>
  </si>
  <si>
    <t>10.165.18.1/12</t>
  </si>
  <si>
    <t>8.1.5.18/32-8.2.5.18/32</t>
  </si>
  <si>
    <t>10.8.223.146/29</t>
  </si>
  <si>
    <t>دكتر فاطمي</t>
  </si>
  <si>
    <t>573867</t>
  </si>
  <si>
    <t>172.19.21.162/30</t>
  </si>
  <si>
    <t>10.165.19.1/12</t>
  </si>
  <si>
    <t>8.1.5.19/32-8.2.5.19/32</t>
  </si>
  <si>
    <t>10.30.167.226/29</t>
  </si>
  <si>
    <t>دزاشيب</t>
  </si>
  <si>
    <t>588305</t>
  </si>
  <si>
    <t>172.19.38.114/30</t>
  </si>
  <si>
    <t>10.165.22.1/12</t>
  </si>
  <si>
    <t>8.1.5.22/32-8.2.5.22/32</t>
  </si>
  <si>
    <t>587671</t>
  </si>
  <si>
    <t>10.8.233.250/29</t>
  </si>
  <si>
    <t>اسكان</t>
  </si>
  <si>
    <t>172.19.36.10/30</t>
  </si>
  <si>
    <t>10.165.23.1/12</t>
  </si>
  <si>
    <t>8.1.5.23/32-8.2.5.23/32</t>
  </si>
  <si>
    <t>FastEthernet0/0.523</t>
  </si>
  <si>
    <t>VLAN 523 FE20 SW</t>
  </si>
  <si>
    <t>10.30.181.138/29</t>
  </si>
  <si>
    <t>پونك</t>
  </si>
  <si>
    <t>172.19.39.50/30</t>
  </si>
  <si>
    <t>10.165.24.1/12</t>
  </si>
  <si>
    <t>8.1.5.24/32-8.2.5.24/32</t>
  </si>
  <si>
    <t>10.30.181.202/29</t>
  </si>
  <si>
    <t>سهروردي</t>
  </si>
  <si>
    <t>172.19.35.254/30</t>
  </si>
  <si>
    <t>10.165.25.1/12</t>
  </si>
  <si>
    <t>8.1.5.25/32-8.2.5.25/32</t>
  </si>
  <si>
    <t>10.30.181.226/29</t>
  </si>
  <si>
    <t>شهران</t>
  </si>
  <si>
    <t>172.19.46.58/30</t>
  </si>
  <si>
    <t>10.165.26.1/12</t>
  </si>
  <si>
    <t>8.1.5.26/32-8.2.5.26/32</t>
  </si>
  <si>
    <t>FastEthernet0/0.3</t>
  </si>
  <si>
    <t>VLAN 3 FE20 SW</t>
  </si>
  <si>
    <t>10.30.192.58/29</t>
  </si>
  <si>
    <t>اوين</t>
  </si>
  <si>
    <t>172.19.47.202/30</t>
  </si>
  <si>
    <t>10.165.27.1/12</t>
  </si>
  <si>
    <t>8.1.5.27/32-8.2.5.27/32</t>
  </si>
  <si>
    <t>FastEthernet0/0.527</t>
  </si>
  <si>
    <t>VLAN 527 FE20 SW</t>
  </si>
  <si>
    <t>10.8.239.50/29</t>
  </si>
  <si>
    <t>هروی</t>
  </si>
  <si>
    <t>600686</t>
  </si>
  <si>
    <t>172.19.47.214/30</t>
  </si>
  <si>
    <t>10.165.28.1/12</t>
  </si>
  <si>
    <t>8.1.5.28/32-8.2.5.28/32</t>
  </si>
  <si>
    <t>FastEthernet0/1.528</t>
  </si>
  <si>
    <t>VLAN 528 FE22 SW</t>
  </si>
  <si>
    <t>600931</t>
  </si>
  <si>
    <t>10.8.239.74/29</t>
  </si>
  <si>
    <t>كامرانيه شمالي</t>
  </si>
  <si>
    <t>172.19.48.214/30</t>
  </si>
  <si>
    <t>10.165.29.1/12</t>
  </si>
  <si>
    <t>8.1.5.29/32-8.2.5.29/32</t>
  </si>
  <si>
    <t>10.8.237.18/29</t>
  </si>
  <si>
    <t>انصاري</t>
  </si>
  <si>
    <t>172.19.47.218/30</t>
  </si>
  <si>
    <t>10.165.30.1/12</t>
  </si>
  <si>
    <t>8.1.5.30/32-8.2.5.30/32</t>
  </si>
  <si>
    <t>10.8.239.186/29</t>
  </si>
  <si>
    <t>اشرفي اصفهاني</t>
  </si>
  <si>
    <t>172.19.50.62/30</t>
  </si>
  <si>
    <t>10.165.31.1/12</t>
  </si>
  <si>
    <t>8.1.5.31/32-8.2.5.31/32</t>
  </si>
  <si>
    <t>10.30.188.250/29</t>
  </si>
  <si>
    <t>مرزداران+حوزه</t>
  </si>
  <si>
    <t>602162</t>
  </si>
  <si>
    <t>172.19.48.222/29</t>
  </si>
  <si>
    <t>10.165.32/1/12</t>
  </si>
  <si>
    <t>8.1.5.32/32-8.2.5.32/32</t>
  </si>
  <si>
    <t>VLAN 2 FE20 SW</t>
  </si>
  <si>
    <t>602173</t>
  </si>
  <si>
    <t>تفکیک ادرس حوزه از شعبه با قید فوریت/portchannelبین سوئیچ های حوزه وشعبه</t>
  </si>
  <si>
    <t>10.30.190.122/29</t>
  </si>
  <si>
    <t>زعفرانیه</t>
  </si>
  <si>
    <t>172.19.51.2/29</t>
  </si>
  <si>
    <t>10.165.33.1/12</t>
  </si>
  <si>
    <t>8.1.5.33/32-8.2.5.33/32</t>
  </si>
  <si>
    <t>FastEthernet0/0.533</t>
  </si>
  <si>
    <t>VLAN 553 FE20 SW</t>
  </si>
  <si>
    <t>601313</t>
  </si>
  <si>
    <t>10.8.239.10/29</t>
  </si>
  <si>
    <t>تجريش+حوزه</t>
  </si>
  <si>
    <t>10.5.34.1/24-VLAN100-10.0.21.1/26-VLAN101-10.9.125.49/29-VLAN125-20.5.34.1/26-VLAN20(VOIP)-10.16.20.12/32-10.16.20.12-32(CUCM)</t>
  </si>
  <si>
    <t>10.5.34.99/24-10.5.34.100/24</t>
  </si>
  <si>
    <t>172.19.75.130/30</t>
  </si>
  <si>
    <t>10.165.34.1/12</t>
  </si>
  <si>
    <t>8.1.5.34/32-8.2.5.34/32</t>
  </si>
  <si>
    <t>10.8.241.2/29</t>
  </si>
  <si>
    <t>بلواردريا</t>
  </si>
  <si>
    <t>172.19.52.194/30</t>
  </si>
  <si>
    <t>10.165.35.1/12</t>
  </si>
  <si>
    <t>8.1.5.35/32-8.2.5.35/32</t>
  </si>
  <si>
    <t>10.30.196.218/29</t>
  </si>
  <si>
    <t>توانير</t>
  </si>
  <si>
    <t>172.19.53.78/30</t>
  </si>
  <si>
    <t>10.165.36.1/12</t>
  </si>
  <si>
    <t>8.1.5.36/32-8.2.5.36/32</t>
  </si>
  <si>
    <t>10.30.196.210/29</t>
  </si>
  <si>
    <t>پایدارفرد</t>
  </si>
  <si>
    <t>970114611355</t>
  </si>
  <si>
    <t>172.21.84.170/30</t>
  </si>
  <si>
    <t>10.165.44.1/12</t>
  </si>
  <si>
    <t>8.1.5.44 /32-8.2.5.44/32</t>
  </si>
  <si>
    <t>FastEthernet0/0.20</t>
  </si>
  <si>
    <t>VLAN20  FE19 SW</t>
  </si>
  <si>
    <t>970114608811</t>
  </si>
  <si>
    <t>10.8.242.154/29</t>
  </si>
  <si>
    <t>امیرآباد شمالی</t>
  </si>
  <si>
    <t>970114611423</t>
  </si>
  <si>
    <t>172.21.86.202/30</t>
  </si>
  <si>
    <t>10.165.45.1/12</t>
  </si>
  <si>
    <t>8.1.5.45 /32-8.2.5.45/32</t>
  </si>
  <si>
    <t>FastEthernet0/1.545</t>
  </si>
  <si>
    <t>970114611120</t>
  </si>
  <si>
    <t>10.30.217.74/29</t>
  </si>
  <si>
    <t>میدان کاج</t>
  </si>
  <si>
    <t>980114928464</t>
  </si>
  <si>
    <t>172.21.102.10 /30</t>
  </si>
  <si>
    <t>10.165.50.1 /20</t>
  </si>
  <si>
    <t>8.1.5.50 /32-8.2.5.50/32</t>
  </si>
  <si>
    <t>FastEthernet0/0.550</t>
  </si>
  <si>
    <t>VLAN 550 FE20 SW</t>
  </si>
  <si>
    <t>980114928609</t>
  </si>
  <si>
    <t>10.8.242.170 /29</t>
  </si>
  <si>
    <t>VLAN 33 FE21 SW</t>
  </si>
  <si>
    <t>گلستان</t>
  </si>
  <si>
    <t>970114208126</t>
  </si>
  <si>
    <t>172.21.165.234/30</t>
  </si>
  <si>
    <t>10.165.58.1/12</t>
  </si>
  <si>
    <t>8.1.5.58/32-8.2.5.58/32</t>
  </si>
  <si>
    <t>970114219680</t>
  </si>
  <si>
    <t>10.30.157.106/29</t>
  </si>
  <si>
    <t>FastEthernet0/0.3603</t>
  </si>
  <si>
    <t>دیباجی</t>
  </si>
  <si>
    <t>970114248949</t>
  </si>
  <si>
    <t>172.21.70.22/30</t>
  </si>
  <si>
    <t>10.165.59.1/12</t>
  </si>
  <si>
    <t>8.1.5.59/32-8.2.5.59/32</t>
  </si>
  <si>
    <t>FastEthernet0/1.559</t>
  </si>
  <si>
    <t>VLAN 559 FE21 SW</t>
  </si>
  <si>
    <t>970114252848</t>
  </si>
  <si>
    <t>10.8.242.210/29</t>
  </si>
  <si>
    <t>شهریار</t>
  </si>
  <si>
    <t>172.21.102.218 /30</t>
  </si>
  <si>
    <t>10.165.61.1 /20</t>
  </si>
  <si>
    <t>8.1.5.61/32-8.2.5.61/32</t>
  </si>
  <si>
    <t>FastEthernet0/0.561</t>
  </si>
  <si>
    <t>VLAN 561 FE19 SW</t>
  </si>
  <si>
    <t>980114926706</t>
  </si>
  <si>
    <t>10.19.170.146 /29</t>
  </si>
  <si>
    <t>990114949561</t>
  </si>
  <si>
    <t>10.5.79.2/24-10.5.79.11/24-105.79.21/24-10.5.79.31/24</t>
  </si>
  <si>
    <t>172.21.23.182/30</t>
  </si>
  <si>
    <t>10.165.79.1/20</t>
  </si>
  <si>
    <t>C3900-SPE250/K9</t>
  </si>
  <si>
    <t>WS-C2960-48PST-L *4</t>
  </si>
  <si>
    <t>990114952673</t>
  </si>
  <si>
    <t>10.0.10.1/26-VLAN110(Bazrasi Herasat)-10.9.125.57/29-vlan125(FAM)-20.5.79.1/26-VLAN20(VOIP)</t>
  </si>
  <si>
    <t>10.30.149.50/29</t>
  </si>
  <si>
    <t>GigabitEthernet0/2</t>
  </si>
  <si>
    <t>5 Mb</t>
  </si>
  <si>
    <t>256 Kb</t>
  </si>
  <si>
    <t>Tehran:33.1.2.48/20-Anti:38.1.2.48/20-Seman:44.1.2.48/20</t>
  </si>
  <si>
    <t>Tehran:33.1.2.52/20-Anti:38.1.2.52/20-Seman:44.1.2.52/20</t>
  </si>
  <si>
    <t>10.2.66.2/24-10.2.66.194/26-10.2.66.195/26-10.2.66.196/26</t>
  </si>
  <si>
    <t>Tehran:33.1.2.66/20-Anti:38.1.2.66/20-Seman:44.1.2.66/20</t>
  </si>
  <si>
    <t>Tehran:33.1.2.87/20-Anti:38.1.2.87/20-Seman:44.1.2.87/20</t>
  </si>
  <si>
    <t>Tehran:33.1.2.94/20-Anti:38.1.2.94/20-Seman:44.1.2.94/20</t>
  </si>
  <si>
    <t>Tehran:33.1.2.95/20-Anti:38.1.2.95/20-Seman:44.1.2.95/20</t>
  </si>
  <si>
    <t>Tehran:33.1.4.10/20-Anti:39.1.4.10/20-Seman:44.1.4.10/20</t>
  </si>
  <si>
    <t>Tehran:62.4.10.1/12-Off-Seman:63.4.10.1/12</t>
  </si>
  <si>
    <t>VLAN 22 FE22 SW</t>
  </si>
  <si>
    <t>CISCO 2811</t>
  </si>
  <si>
    <t>SW-C2960-24TT-L*1-WS-C2960S-24PD-L*1(Upgrade IOS)</t>
  </si>
  <si>
    <t>Tehran:33.1.3.98/20-Anti:39.1.3.98/20-Seman:44.1.3.98/20</t>
  </si>
  <si>
    <t>Tehran:33.1.3.79/20-Anti:39.1.3.79/20-Seman:44.1.3.79/20</t>
  </si>
  <si>
    <t>GigabitEthernet0/0.33</t>
  </si>
  <si>
    <t>CISCO1941/K9</t>
  </si>
  <si>
    <t>Tehran:33.1.3.69/20-Anti:39.1.3.69/20-Seman:44.1.3.69/20</t>
  </si>
  <si>
    <t>8.1.3.69/32-8.2.3.69/32</t>
  </si>
  <si>
    <t>Tehran:33.1.3.75/20-Anti:39.1.3.75/20-Seman:44.1.3.75/20-133.1.3.27/20(FAM)</t>
  </si>
  <si>
    <t>Tehran:33.1.3.40/20-Anti:39.1.3.40/20-Seman:44.1.3.40/20</t>
  </si>
  <si>
    <t>Tehran:33.1.4.70/20-Anti:38.1.4.70/20-Seman:44.1.4.70/20</t>
  </si>
  <si>
    <t>Tehran:33.1.4.11/20-Anti:39.1.4.11/20-Seman:44.1.4.11/20</t>
  </si>
  <si>
    <t>Tehran:33.1.4.14/20-Anti:39.1.4.14/20-Seman:44.1.4.14/20</t>
  </si>
  <si>
    <t>Tehran:33.1.4.18/20-Anti:39.1.4.18/20-Seman:44.1.4.18/20</t>
  </si>
  <si>
    <t>Tehran:33.1.4.19/20-Anti:39.1.4.19/20-Seman:44.1.4.19/20</t>
  </si>
  <si>
    <t>40035892</t>
  </si>
  <si>
    <t>Tehran:33.1.4.21/20-Anti:39.1.4.21/20-Seman:44.1.4.21/20</t>
  </si>
  <si>
    <t>Tehran:33.1.4.24/20-Anti:39.1.4.24/20-Seman:44.1.4.24/20</t>
  </si>
  <si>
    <t>Tehran:33.1.4.26/20-Anti:39.1.4.26/20-Seman:44.1.4.26/20</t>
  </si>
  <si>
    <t>Tehran:33.1.4.31/20-Anti:39.1.4.31/20-Seman:44.1.4.31/20</t>
  </si>
  <si>
    <t>Tehran:33.1.4.38/20-Anti:39.1.4.38/20-Seman:44.1.4.38/20</t>
  </si>
  <si>
    <t>Tehran:33.1.4.46/20-Anti:39.1.4.46/20-Seman:44.1.4.46/20</t>
  </si>
  <si>
    <t>Tehran:33.1.4.47/20-Anti:39.1.4.47/20-Seman:44.1.4.47/20</t>
  </si>
  <si>
    <t>Tehran:33.1.4.50/20-Anti:39.1.4.50/20-Seman:44.1.4.50/20</t>
  </si>
  <si>
    <t>Tehran:33.1.4.53/20-Anti:39.1.4.53/20-Seman:44.1.4.53/20</t>
  </si>
  <si>
    <t>تعداد نفرات شعبه زیاد است به درخواست شعبه وبررسی وضعیت 2مگ شد-10.4.38.1/24-VLAN100</t>
  </si>
  <si>
    <t>مخابرات امکانات ارتقا روی زوج سیم وتحویل فیبر اشتراکی درآدرس جدید شعبه را ندارد.فیبر دسترسی هزینه زیادی دارد که با توجه به استیجاری بودن ملک تایید نشد.</t>
  </si>
  <si>
    <t>Tehran:33.1.4.54/20-Anti:39.1.4.54/20-Seman:44.1.4.54/20</t>
  </si>
  <si>
    <t>Tehran:33.1.4.57/20-Anti:39.1.4.57/20-Seman:44.1.4.57/20</t>
  </si>
  <si>
    <t>Tehran:33.1.4.58/20-Anti:39.1.4.58/20-Seman:44.1.4.58/20</t>
  </si>
  <si>
    <t>Tehran:33.1.4.59/20-Anti:39.1.4.59/20-Seman:44.1.4.59/20</t>
  </si>
  <si>
    <t>Tehran:33.1.4.60/20-Anti:39.1.4.60/20-Seman:44.1.4.60/20</t>
  </si>
  <si>
    <t xml:space="preserve">قایم مقام نبش فریور
</t>
  </si>
  <si>
    <t>Tehran:33.1.4.61/20-Anti:39.1.4.61/20-Seman:44.1.4.61/20</t>
  </si>
  <si>
    <t>Tehran:33.1.4.62/20-Anti:39.1.4.62/20-Seman:44.1.4.62/20</t>
  </si>
  <si>
    <t>Tehran:33.1.4.63/20-Anti:39.1.4.63/20-Seman:44.1.4.63/20-FAM:133.1.3.26/20</t>
  </si>
  <si>
    <t>SW-C2960-24TT-L*2-P1(Gig0/1&amp;0/2--&gt;FE0/22&amp;FE0/23)</t>
  </si>
  <si>
    <t>Tehran:33.1.4.65/20-Anti:39.1.4.65/20-Seman:44.1.4.65/20</t>
  </si>
  <si>
    <t>Tehran:33.1.4.69/20-Anti:39.1.4.69/20-Seman:44.1.4.69/20</t>
  </si>
  <si>
    <t>Tehran:33.1.4.72/20-Anti:39.1.4.72/20-Seman:44.1.4.72/20</t>
  </si>
  <si>
    <t>Tehran:33.1.4.73/20-Anti:39.1.4.73/20-Seman:44.1.4.73/20</t>
  </si>
  <si>
    <t>Tehran:33.1.4.78/20-Anti:39.1.4.78/20-Seman:44.1.4.78/20</t>
  </si>
  <si>
    <t>Tehran:33.1.4.81/20-Anti:39.1.4.81/20-Seman:44.1.4.81/20</t>
  </si>
  <si>
    <t>Tehran:33.1.4.83/20-Anti:39.1.4.83/20-Seman:44.1.4.83/20</t>
  </si>
  <si>
    <t>Tehran:33.1.4.85/20-Anti:39.1.4.85/20-Seman:44.1.4.85/20</t>
  </si>
  <si>
    <t>Tehran:33.1.4.86/20-Anti:39.1.4.86/20-Seman:44.1.4.86/20</t>
  </si>
  <si>
    <t>Tehran:33.1.4.87/20-Anti:39.1.4.87/20-Seman:44.1.4.87/20</t>
  </si>
  <si>
    <t>Tehran:33.1.4.89/20-Anti:39.1.4.89/20-Seman:44.1.4.89/20</t>
  </si>
  <si>
    <t>Tehran:33.1.4.90/20-Anti:39.1.4.90/20-Seman:44.1.4.90/20</t>
  </si>
  <si>
    <t>Tehran:33.1.4.93/20-Anti:39.1.4.93/20-Seman:44.1.4.93/20</t>
  </si>
  <si>
    <t>Tehran:33.1.4.96/20-Anti:39.1.4.96/20-Seman:44.1.4.96/20</t>
  </si>
  <si>
    <t>Tehran:33.1.4.97/20-Anti:39.1.4.97/20-Seman:44.1.4.97/20</t>
  </si>
  <si>
    <t>Tehran:33.1.4.99/20-Anti:39.1.4.99/20-Seman:44.1.4.99/20</t>
  </si>
  <si>
    <t>Tehran:33.1.5.1/20-Anti:39.1.5.1/20-Seman:44.1.5.1/20</t>
  </si>
  <si>
    <t>Tehran:33.1.5.0/20-Anti:39.1.5.0/20-Seman:44.1.5.0/20</t>
  </si>
  <si>
    <t>Tehran:33.1.5.2/20-Anti:39.1.5.2/20-Seman:44.1.5.2/20</t>
  </si>
  <si>
    <t>Tehran:33.1.5.3/20-Anti:39.1.5.3/20-Seman:44.1.5.3/20</t>
  </si>
  <si>
    <t>Tehran:33.1.5.6/20-Anti:39.1.5.6/20-Seman:44.1.5.6/20</t>
  </si>
  <si>
    <t>VLAN2</t>
  </si>
  <si>
    <t>Tehran:33.1.5.7/20-Anti:39.1.5.7/20-Seman:44.1.5.7/20</t>
  </si>
  <si>
    <t>Tehran:33.1.5.8/20-Anti:39.1.5.8/20-Seman:44.1.5.8/20</t>
  </si>
  <si>
    <t>Tehran:33.1.5.13/20-Anti:39.1.5.13/20-Seman:44.1.5.13/20</t>
  </si>
  <si>
    <t>1G</t>
  </si>
  <si>
    <t xml:space="preserve"> Ten 1/0/1- Ten 1/0/2</t>
  </si>
  <si>
    <t>ASR1001-HX*2(Port-channel1.515)</t>
  </si>
  <si>
    <t>Tehran:33.1.5.16/20-Anti:39.1.5.16/20-Seman:44.1.5.16/20</t>
  </si>
  <si>
    <t>Tehran:33.1.5.17/20-Anti:39.1.5.17/20-Seman:44.1.5.17/20</t>
  </si>
  <si>
    <t>Tehran:33.1.5.18/20-Anti:39.1.5.18/20-Seman:44.1.5.18/20</t>
  </si>
  <si>
    <t>Tehran:33.1.5.19/20-Anti:39.1.5.19/20-Seman:44.1.5.19/20</t>
  </si>
  <si>
    <t>Tehran:33.1.5.22/20-Anti:39.1.5.22/20-Seman:44.1.5.22/20</t>
  </si>
  <si>
    <t>VLAN 2 FE19 SW</t>
  </si>
  <si>
    <t>Tehran:33.1.5.23/20-Anti:39.1.5.23/20-Seman:44.1.5.23/20</t>
  </si>
  <si>
    <t>Tehran:33.1.5.24/20-Anti:39.1.5.24/20-Seman:44.1.5.24/20</t>
  </si>
  <si>
    <t>VLAN524</t>
  </si>
  <si>
    <t xml:space="preserve"> ADSL Modem&amp; Ethernet Cable&amp;4ESW Module</t>
  </si>
  <si>
    <t>Tehran:33.1.5.25/20-Anti:39.1.5.25/20-Seman:44.1.5.25/20</t>
  </si>
  <si>
    <t>Tehran:33.1.5.26/20-Anti:39.1.5.26/20-Seman:44.1.5.26/20</t>
  </si>
  <si>
    <t>Tehran:33.1.5.27/20-Anti:39.1.5.27/20-Seman:44.1.5.27/20</t>
  </si>
  <si>
    <t>Tehran:33.1.5.28/20-Anti:39.1.5.28/20-Seman:44.1.5.28/20</t>
  </si>
  <si>
    <t>Tehran:33.1.5.29/20-Anti:39.1.5.29/20-Seman:44.1.5.29/20</t>
  </si>
  <si>
    <t>Tehran:33.1.5.30/20-Anti:39.1.5.30/20-Seman:44.1.5.30/20</t>
  </si>
  <si>
    <t>VLAN100</t>
  </si>
  <si>
    <t>Tehran:33.1.5.31/20-Anti:39.1.5.31/20-Seman:44.1.5.31/20</t>
  </si>
  <si>
    <t>99177646</t>
  </si>
  <si>
    <t>Tehran:33.1.5.32/20-Anti:39.1.5.32/20-Seman:44.1.5.32/20-133.1.3.25/20(FAM)</t>
  </si>
  <si>
    <t>10.5.32.99/24-10.5.32.100/24</t>
  </si>
  <si>
    <t>Tehran:33.1.5.33/20-Anti:39.1.5.33/20-Seman:44.1.5.33/20</t>
  </si>
  <si>
    <t>Tehran:33.1.5.34/20-Anti:39.1.5.34/20-Seman:44.1.5.34/20-133.1.3.24/20(FAM)</t>
  </si>
  <si>
    <t xml:space="preserve">VLAN 33 </t>
  </si>
  <si>
    <t>Tehran:33.1.5.35/20-Anti:39.1.5.35/20-Seman:44.1.5.35/20</t>
  </si>
  <si>
    <t>Tehran:33.1.5.36/20-Anti:39.1.5.36/20-Seman:44.1.5.36/20</t>
  </si>
  <si>
    <t>Tehran:33.1.5.44/20-Anti:39.1.5.44/20-Seman:44.1.5.44/20</t>
  </si>
  <si>
    <t>Tehran:33.1.5.45/20-Anti:39.1.5.45/20-Seman:44.1.5.45/20</t>
  </si>
  <si>
    <t>6.8.18.6/21</t>
  </si>
  <si>
    <t>6.3.18.6/30</t>
  </si>
  <si>
    <t>VLAN 545 FE20 SW</t>
  </si>
  <si>
    <t>Tehran:33.1.5.50/20-Anti:39.1.5.50/20-Seman:44.1.5.50/20</t>
  </si>
  <si>
    <t>Tehran:33.1.5.58/20-Anti:39.1.5.58/20-Seman:44.1.5.58/20</t>
  </si>
  <si>
    <t>Tehran:33.1.5.59/20-Anti:39.1.5.59/20-Seman:44.1.5.59/20</t>
  </si>
  <si>
    <t>Tehran:33.1.5.61/20-Anti:39.1.5.61/20-Seman:44.1.5.61/20</t>
  </si>
  <si>
    <t>Tehran:33.1.5.79/20-Anti:39.1.5.79/20-Seman:44.1.5.79/20-133.1.5.79/20(FAM)</t>
  </si>
  <si>
    <t>10.5.79.1/24-VLAN100-10.0.2.1/26-VLAN102(M2)-10.0.25.1/26-VLAN25(Hozejonob)-10.0.3.1/26-vlan103(M3)-10.0.4.1/26-VLAN104(M4)</t>
  </si>
  <si>
    <t>172.21.31.70/30</t>
  </si>
  <si>
    <t>10.2.1.30/30</t>
  </si>
  <si>
    <t>WS-C2960-24TT-L</t>
  </si>
  <si>
    <t>10.8.8.17/30</t>
  </si>
  <si>
    <t>6.8.0.32/20</t>
  </si>
  <si>
    <t>10.8.8.21/30</t>
  </si>
  <si>
    <t>6.8.9.130/20</t>
  </si>
  <si>
    <t>10.8.8.25/30</t>
  </si>
  <si>
    <t>6.8.0.86/20</t>
  </si>
  <si>
    <t>6.8.9.62/20</t>
  </si>
  <si>
    <t>10.8.8.33/30</t>
  </si>
  <si>
    <t>6.8.9.190/20</t>
  </si>
  <si>
    <t>6.8.8.222/20</t>
  </si>
  <si>
    <t>C-80841-Shalbaf</t>
  </si>
  <si>
    <t>95019896707</t>
  </si>
  <si>
    <t>10.8.8.41/30</t>
  </si>
  <si>
    <t>172.21.25.58/30</t>
  </si>
  <si>
    <t>10.177.0.7/20</t>
  </si>
  <si>
    <t>10.8.8.45/30</t>
  </si>
  <si>
    <t>6.8.11.166/20</t>
  </si>
  <si>
    <t>A-80853-Darmaniyas</t>
  </si>
  <si>
    <t>980114921673</t>
  </si>
  <si>
    <t>10.8.8.53/30</t>
  </si>
  <si>
    <t>172.21.98.166/30</t>
  </si>
  <si>
    <t>10.177.0.129 /20</t>
  </si>
  <si>
    <t>10.8.8.57/29-10.8.8.58/29SW-10.8.8.59/29-10.8.8.60/29</t>
  </si>
  <si>
    <t>6.8.0.90/20</t>
  </si>
  <si>
    <t>10.8.8.65/30</t>
  </si>
  <si>
    <t>6.8.11.62/20</t>
  </si>
  <si>
    <t>A-80873-AmlakEJI</t>
  </si>
  <si>
    <t>95019770807</t>
  </si>
  <si>
    <t>10.8.8.73/30</t>
  </si>
  <si>
    <t>172.21.23.18/30</t>
  </si>
  <si>
    <t>10.177.0.11/20</t>
  </si>
  <si>
    <t>10.8.8.77/30</t>
  </si>
  <si>
    <t>6.8.0.24/20</t>
  </si>
  <si>
    <t>10.8.8.81/29-10.8.8.82/29SW-10.8.8.83/29-10.8.8.84/29</t>
  </si>
  <si>
    <t>6.8.0.11/20</t>
  </si>
  <si>
    <t>A-80889-Medialhyper</t>
  </si>
  <si>
    <t>95019813369</t>
  </si>
  <si>
    <t>10.8.8.89/30</t>
  </si>
  <si>
    <t>172.21.24.14/30</t>
  </si>
  <si>
    <t>10.177.0.13 /20</t>
  </si>
  <si>
    <t>10.8.8.93/30</t>
  </si>
  <si>
    <t>6.8.12.178/20</t>
  </si>
  <si>
    <t>A-80897-Sharif</t>
  </si>
  <si>
    <t>950110443342</t>
  </si>
  <si>
    <t>10.8.8.97/29-10.8.8.98/29sw-10.8.8.99/24-10.8.8.100/24-108.8.101/24</t>
  </si>
  <si>
    <t>172.21.31.154/30</t>
  </si>
  <si>
    <t>10.177.0.14/20</t>
  </si>
  <si>
    <t>FE0/2-3 5 ATM</t>
  </si>
  <si>
    <t>6.8.6.170/20</t>
  </si>
  <si>
    <t>10.8.8.104-10.8.8.111</t>
  </si>
  <si>
    <t>10.8.8.113/29-10.8.8.114/29SW-10.8.8.115/29-10.8.8.116/29</t>
  </si>
  <si>
    <t>6.3.7.118/30</t>
  </si>
  <si>
    <t>6.8.7.118/20</t>
  </si>
  <si>
    <t>WS-C2960CG-8TC-L</t>
  </si>
  <si>
    <t>C-808121-Pirayeshcheshmeh</t>
  </si>
  <si>
    <t>10.8.8.121/30</t>
  </si>
  <si>
    <t>6.3.0.102 /30</t>
  </si>
  <si>
    <t>6.8.0.102/20</t>
  </si>
  <si>
    <t>10.8.8.124-10.8.8.147</t>
  </si>
  <si>
    <t>A-808149-Barbariesfehan</t>
  </si>
  <si>
    <t>10.8.8.149/30</t>
  </si>
  <si>
    <t>6.3.5142/30</t>
  </si>
  <si>
    <t>6.8.5.142/20</t>
  </si>
  <si>
    <t>10.8.8.153/30</t>
  </si>
  <si>
    <t>6.8.10.90/20</t>
  </si>
  <si>
    <t>10.8.8.157/30</t>
  </si>
  <si>
    <t>6.8.11.70/20</t>
  </si>
  <si>
    <t>C-808161-Rangevaposhesh</t>
  </si>
  <si>
    <t>950110262443</t>
  </si>
  <si>
    <t>10.8.8.161/30</t>
  </si>
  <si>
    <t>172.21.31.210/30</t>
  </si>
  <si>
    <t>10.177.0.22/20</t>
  </si>
  <si>
    <t>A-808165-Amuzesh-Darman-Motahari</t>
  </si>
  <si>
    <t>Mobinnet</t>
  </si>
  <si>
    <t>10.8.8.165/30</t>
  </si>
  <si>
    <t>6.3.23.126/30</t>
  </si>
  <si>
    <t>6.8.0.60/20</t>
  </si>
  <si>
    <t>A-808169-Pars</t>
  </si>
  <si>
    <t>95019878233</t>
  </si>
  <si>
    <t>10.8.8.169/30</t>
  </si>
  <si>
    <t>172.21.27.70/30</t>
  </si>
  <si>
    <t>10.177.0.23/20</t>
  </si>
  <si>
    <t>10.8.8.177/30</t>
  </si>
  <si>
    <t>6.8.11.58/20</t>
  </si>
  <si>
    <t>A-808193-Kharobarnezamabad</t>
  </si>
  <si>
    <t>950110594899</t>
  </si>
  <si>
    <t>10.8.8.193/30</t>
  </si>
  <si>
    <t>172.21.36.18/30</t>
  </si>
  <si>
    <t>10.177.0.26/20</t>
  </si>
  <si>
    <t>A-808217-niosha</t>
  </si>
  <si>
    <t>10.8.8.217/30</t>
  </si>
  <si>
    <t>6.3.12.190/30</t>
  </si>
  <si>
    <t>6.8.12.190/20</t>
  </si>
  <si>
    <t>A-808225-Metrodolatabad</t>
  </si>
  <si>
    <t>10.8.8.225/30</t>
  </si>
  <si>
    <t>6.3.0.118 /30</t>
  </si>
  <si>
    <t>6.8.0.118/20</t>
  </si>
  <si>
    <t>A-808241-Kabiri</t>
  </si>
  <si>
    <t>A-8091-Kashani</t>
  </si>
  <si>
    <t>10.8.9.1/30</t>
  </si>
  <si>
    <t>172.19.79.18/30</t>
  </si>
  <si>
    <t>10.177.0.34/20</t>
  </si>
  <si>
    <t>10.8.9.4/30</t>
  </si>
  <si>
    <t>A&amp;C-8099-Borjsahra</t>
  </si>
  <si>
    <t>10.8.9.9/29-10.8.9.10/29sw</t>
  </si>
  <si>
    <t>172.21.15.166/30</t>
  </si>
  <si>
    <t>10.177.0.35/20</t>
  </si>
  <si>
    <t>C-809-17-Pasargad</t>
  </si>
  <si>
    <t>10.8.9.17/30</t>
  </si>
  <si>
    <t>172.21.16.50/30</t>
  </si>
  <si>
    <t>10.177.0.36/20</t>
  </si>
  <si>
    <t>10.8.9.25/30</t>
  </si>
  <si>
    <t>6.8.0.122/20</t>
  </si>
  <si>
    <t>10.8.9.29/30</t>
  </si>
  <si>
    <t>6.8.9.218/20</t>
  </si>
  <si>
    <t>10.8.9.32-10.8.9.39</t>
  </si>
  <si>
    <t>6.8.10.214/20</t>
  </si>
  <si>
    <t>10.8.9.93/30</t>
  </si>
  <si>
    <t>6.8.0.13/20</t>
  </si>
  <si>
    <t>A-80997-Pasajresalat</t>
  </si>
  <si>
    <t>980114924644</t>
  </si>
  <si>
    <t>10.8.9.97/30</t>
  </si>
  <si>
    <t>172.21.99.94/30</t>
  </si>
  <si>
    <t>10.177.0.46/20</t>
  </si>
  <si>
    <t>A&amp;C-809-121-Pasajmahdi</t>
  </si>
  <si>
    <t>10.8.9.121/29-10.8.9.122/29SW-10.4.9.123/29-10.8.9.124/29</t>
  </si>
  <si>
    <t>172.21.21.226/30</t>
  </si>
  <si>
    <t>10.177.0.49/20</t>
  </si>
  <si>
    <t>10.8.9.133/30</t>
  </si>
  <si>
    <t>6.8.0.29/20</t>
  </si>
  <si>
    <t>10.8.9.137/29-10.8.9.138/29SW-10.8.9.139 /29-10.8.9.140/29</t>
  </si>
  <si>
    <t>6.8.0.94/20</t>
  </si>
  <si>
    <t>A-809145-Nanvaeifaal</t>
  </si>
  <si>
    <t>10.8.9.145/30</t>
  </si>
  <si>
    <t>6.3.7.126/30</t>
  </si>
  <si>
    <t>6.8.7.126/20</t>
  </si>
  <si>
    <t>A-809149-Karvashmehran</t>
  </si>
  <si>
    <t>4020115006505</t>
  </si>
  <si>
    <t>10.8.9.149/30</t>
  </si>
  <si>
    <t>172.21.154.214/30</t>
  </si>
  <si>
    <t>10.177.0.41/20</t>
  </si>
  <si>
    <t>A-809153-Resturanhajali</t>
  </si>
  <si>
    <t>10.8.9.153/30</t>
  </si>
  <si>
    <t>6.3.5.162/30</t>
  </si>
  <si>
    <t>6.8.5.162/20</t>
  </si>
  <si>
    <t>A-809157-Mojtamaarghavan</t>
  </si>
  <si>
    <t>10.8.9.157/30</t>
  </si>
  <si>
    <t>6.3.6.210/30</t>
  </si>
  <si>
    <t>6.8.6.210/20</t>
  </si>
  <si>
    <t>6.8.9.142/20</t>
  </si>
  <si>
    <t>10.8.9.165/30</t>
  </si>
  <si>
    <t>6.8.0.130/20</t>
  </si>
  <si>
    <t>C-809-185-Lotos</t>
  </si>
  <si>
    <t>10.8.9.193/30</t>
  </si>
  <si>
    <t>6.8.11.54/20</t>
  </si>
  <si>
    <t>A-809209-Neginmal</t>
  </si>
  <si>
    <t>10.8.9.209/30</t>
  </si>
  <si>
    <t>172.19.85.186/30</t>
  </si>
  <si>
    <t>10.177.0.60/20</t>
  </si>
  <si>
    <t>C-809-217-omid</t>
  </si>
  <si>
    <t>10.8.9.221/30</t>
  </si>
  <si>
    <t>10.8.9.225/30</t>
  </si>
  <si>
    <t>6.8.0.158/20</t>
  </si>
  <si>
    <t>10.8.9.229/30</t>
  </si>
  <si>
    <t>6.8.0.162/20</t>
  </si>
  <si>
    <t>10.8.9.232-10.8.9.239</t>
  </si>
  <si>
    <t>10.8.9.241/30</t>
  </si>
  <si>
    <t>6.8.0.166/20</t>
  </si>
  <si>
    <t>10.8.10.1/30</t>
  </si>
  <si>
    <t>6.8.0.174/20</t>
  </si>
  <si>
    <t>10.8.10.5-10.8.10.11</t>
  </si>
  <si>
    <t>10.8.10.17/30</t>
  </si>
  <si>
    <t>6.8.0.178/20</t>
  </si>
  <si>
    <t>10.8.10.33/30</t>
  </si>
  <si>
    <t>6.8.0.182/20</t>
  </si>
  <si>
    <t>10.8.10.37/30</t>
  </si>
  <si>
    <t>6.8.0.36/20</t>
  </si>
  <si>
    <t>A-81041-Golestan</t>
  </si>
  <si>
    <t>10.8.10.41/30</t>
  </si>
  <si>
    <t>172.21.23.50/30</t>
  </si>
  <si>
    <t>10.177.0.71/20</t>
  </si>
  <si>
    <t>10.8.10.45/30</t>
  </si>
  <si>
    <t>6.8.0.37/20</t>
  </si>
  <si>
    <t>C-810-49-Ladan</t>
  </si>
  <si>
    <t>10.8.10.49/30</t>
  </si>
  <si>
    <t>172.21.25.226/30</t>
  </si>
  <si>
    <t>10.177.0.72/20</t>
  </si>
  <si>
    <t>10.8.10.69/30</t>
  </si>
  <si>
    <t>6.8.9.134/20</t>
  </si>
  <si>
    <t>10.8.10.73/30</t>
  </si>
  <si>
    <t>6.8.0.70/20</t>
  </si>
  <si>
    <t>10.8.10.85/30</t>
  </si>
  <si>
    <t>6.8.4.74/20</t>
  </si>
  <si>
    <t>10.8.10.89/30</t>
  </si>
  <si>
    <t>6.8.4.234/20</t>
  </si>
  <si>
    <t>C-810-97-Mabna</t>
  </si>
  <si>
    <t>10.8.10.97/30</t>
  </si>
  <si>
    <t>172.21.24.126/30</t>
  </si>
  <si>
    <t>10.177.0.78/20</t>
  </si>
  <si>
    <t>C-810105-Aghdasiye</t>
  </si>
  <si>
    <t xml:space="preserve"> 172.21.24.234/30</t>
  </si>
  <si>
    <t>10.177.0.79/20</t>
  </si>
  <si>
    <t>A-810-121-LG</t>
  </si>
  <si>
    <t>172.21.23.122/30</t>
  </si>
  <si>
    <t>10.177.0.81/20</t>
  </si>
  <si>
    <t>C-810137-Jahan</t>
  </si>
  <si>
    <t>10.8.10.137/30</t>
  </si>
  <si>
    <t>172.21.30.114/30</t>
  </si>
  <si>
    <t>10.177.0.83/20</t>
  </si>
  <si>
    <t>A-810161-Amlakatiyesoheil</t>
  </si>
  <si>
    <t>95019851601</t>
  </si>
  <si>
    <t>172.21.82.102/30 </t>
  </si>
  <si>
    <t>10.177.0.86/20</t>
  </si>
  <si>
    <t>C-810-169-Sepehr</t>
  </si>
  <si>
    <t>10.8.10.169/30</t>
  </si>
  <si>
    <t>172.21.24.206/30</t>
  </si>
  <si>
    <t>10.177.0.87/20</t>
  </si>
  <si>
    <t>C-810-177-Shadmehr</t>
  </si>
  <si>
    <t>10.8.10.177/30</t>
  </si>
  <si>
    <t xml:space="preserve"> 172.21.25.42/30</t>
  </si>
  <si>
    <t>10.177.0.88/20</t>
  </si>
  <si>
    <t xml:space="preserve">C-810-185-Royalplaza </t>
  </si>
  <si>
    <t>95019825099</t>
  </si>
  <si>
    <t>10.8.10.185/30</t>
  </si>
  <si>
    <t>172.21.25.46/30</t>
  </si>
  <si>
    <t>10.177.0.89/20</t>
  </si>
  <si>
    <t xml:space="preserve">C-810-193-Sorosh  </t>
  </si>
  <si>
    <t>10.8.10.193/30</t>
  </si>
  <si>
    <t xml:space="preserve">  172.21.27.142/30</t>
  </si>
  <si>
    <t>10.177.0.90/20</t>
  </si>
  <si>
    <t>10.8.11.1/29-VLAN100-10.8.11.2/29(SW)-10.8.11.3/29-10.8.11.4/29</t>
  </si>
  <si>
    <t>6.8.0.25/20</t>
  </si>
  <si>
    <t>10.8.11.8-10.8.11.31</t>
  </si>
  <si>
    <t>C-81133-Bolor</t>
  </si>
  <si>
    <t>95019769995</t>
  </si>
  <si>
    <t>172.21.24.110/30</t>
  </si>
  <si>
    <t>10.177.0.102/20</t>
  </si>
  <si>
    <t>10.8.11.45/30</t>
  </si>
  <si>
    <t>6.8.0.26/20</t>
  </si>
  <si>
    <t>C-81149-Itghasrefiroze</t>
  </si>
  <si>
    <t>95019878168</t>
  </si>
  <si>
    <t>10.8.11.49/30</t>
  </si>
  <si>
    <t>172.21.25.94/30</t>
  </si>
  <si>
    <t>10.177.0.104/20</t>
  </si>
  <si>
    <t>10.8.11.53/30</t>
  </si>
  <si>
    <t>6.8.14.26/20</t>
  </si>
  <si>
    <t>A-811-57-Kamelia</t>
  </si>
  <si>
    <t>95019904961</t>
  </si>
  <si>
    <t>10.8.11.57/30</t>
  </si>
  <si>
    <t>172.21.24.242/30</t>
  </si>
  <si>
    <t>10.177.0.105/20</t>
  </si>
  <si>
    <t>10.8.11.61/30</t>
  </si>
  <si>
    <t>6.8.0.31/20</t>
  </si>
  <si>
    <t>A-81165-Asnad1506</t>
  </si>
  <si>
    <t>10.8.11.65/30</t>
  </si>
  <si>
    <t xml:space="preserve">  172.19.86.30/30</t>
  </si>
  <si>
    <t>10.177.0.106/20</t>
  </si>
  <si>
    <t>10.8.11.105/30</t>
  </si>
  <si>
    <t>6.8.0.186/20</t>
  </si>
  <si>
    <t>10.8.11.108-10.8.11.255</t>
  </si>
  <si>
    <t>A-858-1-Sahel</t>
  </si>
  <si>
    <t>A-85817-Tavoonifasham</t>
  </si>
  <si>
    <t xml:space="preserve">95019888820 </t>
  </si>
  <si>
    <t>172.21.27.218/30</t>
  </si>
  <si>
    <t>10.177.0.133/20</t>
  </si>
  <si>
    <t>10.8.58.21/30</t>
  </si>
  <si>
    <t>6.8.4.66/20</t>
  </si>
  <si>
    <t>10.8.58.24-10.8.58.43</t>
  </si>
  <si>
    <t>10.8.58.45/30</t>
  </si>
  <si>
    <t>6.8.9.150/20</t>
  </si>
  <si>
    <t>A-858-69-Borjabi</t>
  </si>
  <si>
    <t>950110594790</t>
  </si>
  <si>
    <t>172.21.39.122/30</t>
  </si>
  <si>
    <t>10.177.0.143/20</t>
  </si>
  <si>
    <t>6.8.8.26/20</t>
  </si>
  <si>
    <t>10.8.58.76-10.8.58.103</t>
  </si>
  <si>
    <t>C-858-105-Pasajmahtab</t>
  </si>
  <si>
    <t>95019771404</t>
  </si>
  <si>
    <t>10.8.58.105/30</t>
  </si>
  <si>
    <t>172.19.87.178/30</t>
  </si>
  <si>
    <t>10.177.0.150/20</t>
  </si>
  <si>
    <t>A-858-117-Payam</t>
  </si>
  <si>
    <t>95019770564</t>
  </si>
  <si>
    <t>10.8.58.117/30</t>
  </si>
  <si>
    <t>172.21.26.182/30</t>
  </si>
  <si>
    <t>10.177.0.151/20</t>
  </si>
  <si>
    <t>10.8.58.120-10.8.58.127</t>
  </si>
  <si>
    <t>10.8.58.129/30</t>
  </si>
  <si>
    <t>6.8.0.214/20</t>
  </si>
  <si>
    <t>10.8.58.132-10.8.58.155</t>
  </si>
  <si>
    <t>6.8.4.98/20</t>
  </si>
  <si>
    <t>A-858177-190Vahedi</t>
  </si>
  <si>
    <t>95019825192</t>
  </si>
  <si>
    <t>10.8.58.177/30</t>
  </si>
  <si>
    <t>172.21.54.178/30</t>
  </si>
  <si>
    <t>10.177.0.163/20</t>
  </si>
  <si>
    <t>10.8.58.193/30</t>
  </si>
  <si>
    <t>6.8.2.98/20</t>
  </si>
  <si>
    <t>6.8.2.70/20</t>
  </si>
  <si>
    <t>10.8.58.200-10.8.58.207</t>
  </si>
  <si>
    <t>A-858-209-Dr.norozi</t>
  </si>
  <si>
    <t>95019926768 </t>
  </si>
  <si>
    <t>10.8.58.209/29-10.8.58.210/29SW-10.8.58.211/24-10.8.58.212/24</t>
  </si>
  <si>
    <t>172.21.24.22/30</t>
  </si>
  <si>
    <t>10.177.0.148/20</t>
  </si>
  <si>
    <t>WS-C2960-48TT-L</t>
  </si>
  <si>
    <t>10.8.58.216-10.8.58.239</t>
  </si>
  <si>
    <t>10.8.58.241/30</t>
  </si>
  <si>
    <t>10.8.58.244-10.8.58.255</t>
  </si>
  <si>
    <t>10.8.59.0-10.8.59.11</t>
  </si>
  <si>
    <t>A-859-13-Monsef</t>
  </si>
  <si>
    <t>95019918836</t>
  </si>
  <si>
    <t>10.8.59.13/30</t>
  </si>
  <si>
    <t>172.21.25.110/30</t>
  </si>
  <si>
    <t>10.177.0.158/20</t>
  </si>
  <si>
    <t>10.8.59.16-10.8.59.31</t>
  </si>
  <si>
    <t>A-859-33-Kharaziclassic</t>
  </si>
  <si>
    <t>960113002176</t>
  </si>
  <si>
    <t>10.8.59.33/30</t>
  </si>
  <si>
    <t>172.21.55.138/30</t>
  </si>
  <si>
    <t>10.177.0.171/20</t>
  </si>
  <si>
    <t>A-85937-AirportTerminal2-T</t>
  </si>
  <si>
    <t>960113573274</t>
  </si>
  <si>
    <t>172.21.62.174/30</t>
  </si>
  <si>
    <t>10.177.0.173/20</t>
  </si>
  <si>
    <t>6.3.0.222/30</t>
  </si>
  <si>
    <t>6.8.0.222/20</t>
  </si>
  <si>
    <t>10.8.59.45/30</t>
  </si>
  <si>
    <t>6.8.0.226/20</t>
  </si>
  <si>
    <t>10.8.59.47-10.8.59.63</t>
  </si>
  <si>
    <t>A-859-65-Terminal2-Omumi</t>
  </si>
  <si>
    <t>10.8.59.65/30</t>
  </si>
  <si>
    <t>6.8.10.6/20</t>
  </si>
  <si>
    <t>A-85969-Borjdanesh</t>
  </si>
  <si>
    <t>970114128437</t>
  </si>
  <si>
    <t>10.8.59.69/30</t>
  </si>
  <si>
    <t>172.21.66.78/30</t>
  </si>
  <si>
    <t>10.177.0.177/20</t>
  </si>
  <si>
    <t>10.8.59.73/30</t>
  </si>
  <si>
    <t>6.8.0.61/20</t>
  </si>
  <si>
    <t>A-85977-FmehrabadT1-Transit</t>
  </si>
  <si>
    <t>970114344363</t>
  </si>
  <si>
    <t>10.8.59.77/30</t>
  </si>
  <si>
    <t>172.21.71.170/30</t>
  </si>
  <si>
    <t>10.177.0.179/20</t>
  </si>
  <si>
    <t>6.8.0.254/20</t>
  </si>
  <si>
    <t>A-859-81-Pardisan</t>
  </si>
  <si>
    <t>10.8.59.81/30</t>
  </si>
  <si>
    <t>6.3.0.234/30</t>
  </si>
  <si>
    <t>6.8.0.234/20</t>
  </si>
  <si>
    <t>10.8.59.84-10.8.59.95</t>
  </si>
  <si>
    <t>10.8.59.97/30</t>
  </si>
  <si>
    <t>6.8.0.238/20</t>
  </si>
  <si>
    <t>10.8.59.100/30</t>
  </si>
  <si>
    <t>10.8.59.105/30</t>
  </si>
  <si>
    <t>6.8.0.242/20</t>
  </si>
  <si>
    <t>10.8.59.108/30</t>
  </si>
  <si>
    <t>10.8.59.113/30</t>
  </si>
  <si>
    <t>6.8.0.246/20</t>
  </si>
  <si>
    <t>10.8.59.116/30</t>
  </si>
  <si>
    <t>10.8.59.121/30</t>
  </si>
  <si>
    <t>6.8.0.250/20</t>
  </si>
  <si>
    <t>10.8.59.124/30</t>
  </si>
  <si>
    <t>10.8.59.129/30</t>
  </si>
  <si>
    <t>6.8.1.2/20</t>
  </si>
  <si>
    <t>10.8.59.132/30</t>
  </si>
  <si>
    <t>10.8.59.137/30</t>
  </si>
  <si>
    <t>6.8.1.6/20</t>
  </si>
  <si>
    <t>10.8.59.140/30</t>
  </si>
  <si>
    <t>A-859-145-T-Beihaghi</t>
  </si>
  <si>
    <t>10.8.59.145/30</t>
  </si>
  <si>
    <t>6.3.1.10/30</t>
  </si>
  <si>
    <t>6.8.1.10/20</t>
  </si>
  <si>
    <t>10.8.59.149/30</t>
  </si>
  <si>
    <t>6.8.1.30/20</t>
  </si>
  <si>
    <t>10.8.59.152/30</t>
  </si>
  <si>
    <t>10.8.59.161/30</t>
  </si>
  <si>
    <t>6.8.10.210/20</t>
  </si>
  <si>
    <t>A-859-165-Borj-Niyayesh1</t>
  </si>
  <si>
    <t>970114901712</t>
  </si>
  <si>
    <t>10.8.59.165/30</t>
  </si>
  <si>
    <t>172.21.88.106/30</t>
  </si>
  <si>
    <t>10.177.0.181/20</t>
  </si>
  <si>
    <t>10.8.59.169/30</t>
  </si>
  <si>
    <t>6.8.3.170/20</t>
  </si>
  <si>
    <t>10.8.59.172/30</t>
  </si>
  <si>
    <t>10.8.59.177/30</t>
  </si>
  <si>
    <t>6.8.1.70/20</t>
  </si>
  <si>
    <t>10.8.59.181/30</t>
  </si>
  <si>
    <t>6.8.10.242/20</t>
  </si>
  <si>
    <t>A-859-185-Metro-HasanAbad</t>
  </si>
  <si>
    <t>10.8.59.185/30</t>
  </si>
  <si>
    <t>6.3.1.90/30</t>
  </si>
  <si>
    <t>6.8.1.90/20</t>
  </si>
  <si>
    <t>10.8.59.188/30</t>
  </si>
  <si>
    <t>10.8.59.193/30</t>
  </si>
  <si>
    <t>20.1.0.54/20</t>
  </si>
  <si>
    <t>10.8.59.197/30</t>
  </si>
  <si>
    <t>6.8.0.58/20</t>
  </si>
  <si>
    <t>10.8.59.201/30</t>
  </si>
  <si>
    <t>6.8.11.66/20</t>
  </si>
  <si>
    <t>10.8.59.204/30</t>
  </si>
  <si>
    <t>10.8.59.209/30</t>
  </si>
  <si>
    <t>6.8.1.114/20</t>
  </si>
  <si>
    <t>10.8.59.213/30</t>
  </si>
  <si>
    <t>6.8.0.48/20</t>
  </si>
  <si>
    <t>10.8.59.217/30</t>
  </si>
  <si>
    <t>6.8.1.118/20</t>
  </si>
  <si>
    <t>10.8.59.220/30</t>
  </si>
  <si>
    <t>10.8.59.225/30</t>
  </si>
  <si>
    <t>6.8.11.50/20</t>
  </si>
  <si>
    <t>10.8.59.228-10.8.59.239</t>
  </si>
  <si>
    <t>A-859-241-Metro-Kahrizak</t>
  </si>
  <si>
    <t>6.3.11.74/30</t>
  </si>
  <si>
    <t>6.8.11.74/20</t>
  </si>
  <si>
    <t>10.8.59.244/30</t>
  </si>
  <si>
    <t>10.8.59.249/30</t>
  </si>
  <si>
    <t>6.8.1.142/20</t>
  </si>
  <si>
    <t>10.8.59.252/30</t>
  </si>
  <si>
    <t>DSL Modem</t>
  </si>
  <si>
    <t>A-8081-Airport-T4&amp;Baje</t>
  </si>
  <si>
    <t>چهارمحال و بختیاری</t>
  </si>
  <si>
    <t>شهرکرد</t>
  </si>
  <si>
    <t>8.1.3.15 /32-8.2.3.15/32-8.3.3.15/32</t>
  </si>
  <si>
    <t>10.176.60.122/29</t>
  </si>
  <si>
    <t>VLAN 33-FE20 SW</t>
  </si>
  <si>
    <t>10.13.2.242/29</t>
  </si>
  <si>
    <t>VLAN 26-FE19 SW</t>
  </si>
  <si>
    <t>بروجن</t>
  </si>
  <si>
    <t>PTP Noronta</t>
  </si>
  <si>
    <t>24-31</t>
  </si>
  <si>
    <t>10.176.89.170/29</t>
  </si>
  <si>
    <t>VLAN 33-FE19 SW</t>
  </si>
  <si>
    <t>VLAN 26-FE18 SW</t>
  </si>
  <si>
    <t>حافظ</t>
  </si>
  <si>
    <t>10-17</t>
  </si>
  <si>
    <t>10.176.52.194/29</t>
  </si>
  <si>
    <t>Tehran:33.1.3.15/20-Anti:38.1.3.15/20-Seman:44.1.3.15/20</t>
  </si>
  <si>
    <t>Tehran:62.3.15.1/12-Off-Anti:40.1.16.17/24-Off-Seman:63.3.15.1/12</t>
  </si>
  <si>
    <t>Tehran:31.1.3.15/21-Semnan:28.1.3.15/21</t>
  </si>
  <si>
    <t>Tehran:33.1.3.82/20-Anti:38.1.3.82/20-Seman:44.1.3.82/20</t>
  </si>
  <si>
    <t>Tehran:33.1.4.67/20-Anti:38.1.4.67/20-Seman:44.1.4.67/20</t>
  </si>
  <si>
    <t>192.13.66.10/30</t>
  </si>
  <si>
    <t>FastEthernet0/0.467</t>
  </si>
  <si>
    <t>VLAN 3657-FE22 SW</t>
  </si>
  <si>
    <t>چهارمحال وبختیاری</t>
  </si>
  <si>
    <t>C-8381-Apadana</t>
  </si>
  <si>
    <t>10.8.38.1/30</t>
  </si>
  <si>
    <t>192.168.255.66/26</t>
  </si>
  <si>
    <t>1-2</t>
  </si>
  <si>
    <t>E1/0</t>
  </si>
  <si>
    <t>Huawei HG8245C</t>
  </si>
  <si>
    <t>آل اسحاق</t>
  </si>
  <si>
    <t>دانشگاه</t>
  </si>
  <si>
    <t>ولیعصر</t>
  </si>
  <si>
    <t>شهدای شهریار</t>
  </si>
  <si>
    <t>سعادتمند</t>
  </si>
  <si>
    <t>نواب</t>
  </si>
  <si>
    <t>پاسداران</t>
  </si>
  <si>
    <t>صالح طبری</t>
  </si>
  <si>
    <t>اکبری</t>
  </si>
  <si>
    <t>نبوت</t>
  </si>
  <si>
    <t>باهنر</t>
  </si>
  <si>
    <t>بهشتی</t>
  </si>
  <si>
    <t>پیام نور</t>
  </si>
  <si>
    <t>آیت</t>
  </si>
  <si>
    <t>استقلال - SRH</t>
  </si>
  <si>
    <t>نهری</t>
  </si>
  <si>
    <t>دیالمه</t>
  </si>
  <si>
    <t>ابوذر</t>
  </si>
  <si>
    <t>دستغیب</t>
  </si>
  <si>
    <t>زارعی</t>
  </si>
  <si>
    <t>درزی</t>
  </si>
  <si>
    <t>باقر آباد</t>
  </si>
  <si>
    <t>کاظمیان</t>
  </si>
  <si>
    <t>سلمان فارسی</t>
  </si>
  <si>
    <t>غریبی</t>
  </si>
  <si>
    <t>نصراللهی</t>
  </si>
  <si>
    <t>مومن</t>
  </si>
  <si>
    <t>قرچک</t>
  </si>
  <si>
    <t>دماوند</t>
  </si>
  <si>
    <t>10.1.137.184/29</t>
  </si>
  <si>
    <t>10.1.136.144/29</t>
  </si>
  <si>
    <t>10.1.132.232/29</t>
  </si>
  <si>
    <t>10.1.129.32/29</t>
  </si>
  <si>
    <t>10.1.135.232/29</t>
  </si>
  <si>
    <t>10.1.129.40/29</t>
  </si>
  <si>
    <t>10.1.139.224/29</t>
  </si>
  <si>
    <t>10.1.131.8/29</t>
  </si>
  <si>
    <t>10.1.132.176/29</t>
  </si>
  <si>
    <t>10.1.131.64/29</t>
  </si>
  <si>
    <t>10.1.140.72/29</t>
  </si>
  <si>
    <t>10.1.132.24/29</t>
  </si>
  <si>
    <t>10.1.131.88/29</t>
  </si>
  <si>
    <t>10.1.133.224/29</t>
  </si>
  <si>
    <t>10.1.140.144/29</t>
  </si>
  <si>
    <t>10.1.132.56/29</t>
  </si>
  <si>
    <t>10.1.132.32/29</t>
  </si>
  <si>
    <t>10.1.130.80/29</t>
  </si>
  <si>
    <t>10.1.130.152/29</t>
  </si>
  <si>
    <t>10.1.135.16/29</t>
  </si>
  <si>
    <t>10.1.140.160/29</t>
  </si>
  <si>
    <t>10.1.134.176/29</t>
  </si>
  <si>
    <t>10.1.128.8/29</t>
  </si>
  <si>
    <t>10.1.134.200/29</t>
  </si>
  <si>
    <t>10.1.128.72/29</t>
  </si>
  <si>
    <t>امیرکبیر</t>
  </si>
  <si>
    <t>خراسان جنوبی</t>
  </si>
  <si>
    <t>قائن</t>
  </si>
  <si>
    <t>بیرجند</t>
  </si>
  <si>
    <t>خراسان رضوی</t>
  </si>
  <si>
    <t>نیشابور</t>
  </si>
  <si>
    <t>سبزوار</t>
  </si>
  <si>
    <t>مشهد</t>
  </si>
  <si>
    <t>کاشمر</t>
  </si>
  <si>
    <t>گناباد</t>
  </si>
  <si>
    <t>قدس</t>
  </si>
  <si>
    <t>قوچان</t>
  </si>
  <si>
    <t>درگز</t>
  </si>
  <si>
    <t>خراسان شمالی</t>
  </si>
  <si>
    <t>فاروج</t>
  </si>
  <si>
    <t>اسفراین</t>
  </si>
  <si>
    <t>شیروان</t>
  </si>
  <si>
    <t>بجنورد</t>
  </si>
  <si>
    <t>خوزستان</t>
  </si>
  <si>
    <t>دزفول</t>
  </si>
  <si>
    <t>مدرس بیرجند</t>
  </si>
  <si>
    <t>10.139.8.2/24</t>
  </si>
  <si>
    <t>FastEthernet0/1.303</t>
  </si>
  <si>
    <t>VLAN 303-FE19 SW</t>
  </si>
  <si>
    <t>10.92.129.75/29-10.92.129.74/29</t>
  </si>
  <si>
    <t>FastEthernet0/1.20</t>
  </si>
  <si>
    <t>VLAN20-FE22 SW</t>
  </si>
  <si>
    <t>662357</t>
  </si>
  <si>
    <t>FastEthernet0/1.106</t>
  </si>
  <si>
    <t>9702064172</t>
  </si>
  <si>
    <t>100.100.100.100/32</t>
  </si>
  <si>
    <t>1-31(241-350-461)</t>
  </si>
  <si>
    <t>9702064182</t>
  </si>
  <si>
    <t>3-18(293)</t>
  </si>
  <si>
    <t>E11/1</t>
  </si>
  <si>
    <t>جمهوری بیرجند</t>
  </si>
  <si>
    <t>9702064413</t>
  </si>
  <si>
    <t>10.92.108.74/29</t>
  </si>
  <si>
    <t>9702064323</t>
  </si>
  <si>
    <t>3-18</t>
  </si>
  <si>
    <t>10.92.108.66/29</t>
  </si>
  <si>
    <t>حاجی اباد</t>
  </si>
  <si>
    <t>PTP-</t>
  </si>
  <si>
    <t>192.168.234.194/30</t>
  </si>
  <si>
    <t>VLAN343-FE21 SW</t>
  </si>
  <si>
    <t>594799</t>
  </si>
  <si>
    <t>10.92.109.154/29</t>
  </si>
  <si>
    <t>6.3.17.218/30</t>
  </si>
  <si>
    <t>6.8.17.218/22</t>
  </si>
  <si>
    <t>VLAN2-FE18 SW</t>
  </si>
  <si>
    <t>طبس</t>
  </si>
  <si>
    <t>9702064325</t>
  </si>
  <si>
    <t>596923</t>
  </si>
  <si>
    <t>10.92.111.242/29</t>
  </si>
  <si>
    <t>فردوس</t>
  </si>
  <si>
    <t>9702064326</t>
  </si>
  <si>
    <t>25-31</t>
  </si>
  <si>
    <t>10.92.108.106/29</t>
  </si>
  <si>
    <t>448 Kb</t>
  </si>
  <si>
    <t>Tehran:31.1.2.46/21-Semnan:28.1.2.46/21</t>
  </si>
  <si>
    <t>Tehran:33.1.2.46/20-133.1.3.15/20(FAM)-Anti:38.1.2.46/20-Seman:44.1.2.46/20</t>
  </si>
  <si>
    <t>Tehran:33.1.2.41/20-Anti:38.1.2.41/20-Seman:44.1.2.41/20</t>
  </si>
  <si>
    <t>Tehran:33.1.2.93/20-Anti:38.1.2.93/20-Seman:44.1.2.93/20</t>
  </si>
  <si>
    <t>Tehran:33.1.3.43/20-Anti:38.1.3.43/20-Seman:44.1.3.43/20</t>
  </si>
  <si>
    <t>Tehran:33.1.3.50/20-Anti:38.1.3.50/20-Seman:44.1.3.50/20</t>
  </si>
  <si>
    <t>Tehran:33.1.4.66/20-Anti:38.1.4.66/20-Seman:44.1.4.66/20</t>
  </si>
  <si>
    <t>10.8.23.0-10.8.23.7</t>
  </si>
  <si>
    <t>A-8239-Terminaltabas</t>
  </si>
  <si>
    <t>PTP</t>
  </si>
  <si>
    <t>10.8.23.9/30</t>
  </si>
  <si>
    <t>6.17.1.2/30</t>
  </si>
  <si>
    <t xml:space="preserve">192.168.235.196/27 </t>
  </si>
  <si>
    <t>10.8.23.13/30</t>
  </si>
  <si>
    <t>6.8.13.106/20</t>
  </si>
  <si>
    <t>10.8.23.16-10.8.23.55</t>
  </si>
  <si>
    <t>10.8.23.57/30</t>
  </si>
  <si>
    <t>6.8.6.102/20</t>
  </si>
  <si>
    <t>10.8.23.60-10.8.23.255</t>
  </si>
  <si>
    <t>مادرمیانی -مرکز داده رضوان</t>
  </si>
  <si>
    <r>
      <t xml:space="preserve">TDFV </t>
    </r>
    <r>
      <rPr>
        <sz val="11"/>
        <rFont val="B Nazanin"/>
        <charset val="178"/>
      </rPr>
      <t>فیبر دسترسی</t>
    </r>
  </si>
  <si>
    <t>100Mb</t>
  </si>
  <si>
    <t>WAN Edge:100.108.1.64/24</t>
  </si>
  <si>
    <t>8.1.2.6/32-8.2.2.6/32-201.201.201.201/32</t>
  </si>
  <si>
    <t>رادیو</t>
  </si>
  <si>
    <t>608348</t>
  </si>
  <si>
    <t>94018238189</t>
  </si>
  <si>
    <t>10Mb</t>
  </si>
  <si>
    <t>ATM&amp;Cachelss:20.1.0.1/23</t>
  </si>
  <si>
    <t>HUB Tehran to Branch:10.162.0.1/12-Semnan:28.1.1.9/21</t>
  </si>
  <si>
    <t>ATM&amp;Cacheless:10.177.0.1/20-10.2.1.29/30(8081)</t>
  </si>
  <si>
    <t>Port-channel12.610</t>
  </si>
  <si>
    <t>Port-channel12.712</t>
  </si>
  <si>
    <t>Port-channel12.901</t>
  </si>
  <si>
    <t>10.16.246.161/29(100.108.1.101/24-Port-channel12.777)-10.16.246.162/29(Port-channel12.268)-100.108.1.102/24-Port-channel12.777)</t>
  </si>
  <si>
    <t>8-985(3-4)</t>
  </si>
  <si>
    <t>8-1045-12(5-6)</t>
  </si>
  <si>
    <t>فضل اله</t>
  </si>
  <si>
    <t>3-4</t>
  </si>
  <si>
    <t>5-6</t>
  </si>
  <si>
    <t>712</t>
  </si>
  <si>
    <t>Convertor Planet 10/100/100</t>
  </si>
  <si>
    <t>Radio Mikrotik</t>
  </si>
  <si>
    <t>CISCO ISR4451-X/K9*2</t>
  </si>
  <si>
    <t>C9300-48T*2-WS-C3850-24P*2</t>
  </si>
  <si>
    <t>VIP:172.30.60.203/29(202,204)</t>
  </si>
  <si>
    <t xml:space="preserve"> فورس مختص استان تهران -610</t>
  </si>
  <si>
    <t>901 فورس مختص استان تهران -</t>
  </si>
  <si>
    <t>Asiatech(DSL&amp;LTE)</t>
  </si>
  <si>
    <t>99259497</t>
  </si>
  <si>
    <t>حوزه 1</t>
  </si>
  <si>
    <t>10.2.1.10/24</t>
  </si>
  <si>
    <t>10.139.1.1 /24</t>
  </si>
  <si>
    <t>8.1.1.5/32-100.100.100.100/32-101.101.101.101/32-99.1.1.1/16</t>
  </si>
  <si>
    <t>ISR4451-X/K9*2-C3900-SPE150/K9*2</t>
  </si>
  <si>
    <t>656706</t>
  </si>
  <si>
    <t>192.168.140.4/29</t>
  </si>
  <si>
    <t>192.168.120.1/24</t>
  </si>
  <si>
    <t>9702146904</t>
  </si>
  <si>
    <t>573253</t>
  </si>
  <si>
    <t>6.3.16.114/30</t>
  </si>
  <si>
    <t>6.8.16.114/23</t>
  </si>
  <si>
    <t>381077</t>
  </si>
  <si>
    <t>10.1.0.5/24-F1-1</t>
  </si>
  <si>
    <t>99.1.1.1/16</t>
  </si>
  <si>
    <t>192.168.242.1/20-6.7.0.1/20-192.168.243.65/26-</t>
  </si>
  <si>
    <t>532686</t>
  </si>
  <si>
    <t>10.1.0.7/24-F1-2</t>
  </si>
  <si>
    <t>532687</t>
  </si>
  <si>
    <t>10.1.0.4/24-F2-1</t>
  </si>
  <si>
    <t>شعبه مرکزی</t>
  </si>
  <si>
    <t>10.2.11.12/24-10.2.11.11/24</t>
  </si>
  <si>
    <t>حوزه 2</t>
  </si>
  <si>
    <t>40002270771</t>
  </si>
  <si>
    <t>192.168.140.42/30</t>
  </si>
  <si>
    <t>192.168.120.53/24</t>
  </si>
  <si>
    <t>Tellabs-CTU-S Modem&amp; V35 Cable&amp;HWIC-1T Module</t>
  </si>
  <si>
    <t>40002270782</t>
  </si>
  <si>
    <t>10.59.30.202/29</t>
  </si>
  <si>
    <t>عبدالمطلب(مشهد)</t>
  </si>
  <si>
    <t>192.168.140.134/30</t>
  </si>
  <si>
    <t>192.168.120.10/24</t>
  </si>
  <si>
    <t>9902216216</t>
  </si>
  <si>
    <t>10.70.57.74/29</t>
  </si>
  <si>
    <t>FE0/0.33</t>
  </si>
  <si>
    <t>VLAN 26-FE20 SW</t>
  </si>
  <si>
    <t>میثم شمالی(مشهد)</t>
  </si>
  <si>
    <t>حوزه 3</t>
  </si>
  <si>
    <t>192.168.140.86/30</t>
  </si>
  <si>
    <t>192.168.120.11/24</t>
  </si>
  <si>
    <t>9902215991</t>
  </si>
  <si>
    <t>10.69.77.250/29</t>
  </si>
  <si>
    <t>FE0/1.33</t>
  </si>
  <si>
    <t>10.13.6.34/29</t>
  </si>
  <si>
    <t>چناران</t>
  </si>
  <si>
    <t>9702144337</t>
  </si>
  <si>
    <t>192.168.140.210/30</t>
  </si>
  <si>
    <t>10.70.36.130/28</t>
  </si>
  <si>
    <t>پنجتن(مشهد)</t>
  </si>
  <si>
    <t>192.168.140.102/30</t>
  </si>
  <si>
    <t>192.168.120.12/24</t>
  </si>
  <si>
    <t>Serial0/3/0</t>
  </si>
  <si>
    <t>9902215984</t>
  </si>
  <si>
    <t>10.70.52.18/29</t>
  </si>
  <si>
    <t>قاسم آباد(مشهد)</t>
  </si>
  <si>
    <t>192.168.140.146/30</t>
  </si>
  <si>
    <t>192.168.120.13/24</t>
  </si>
  <si>
    <t>9902215976</t>
  </si>
  <si>
    <t>10.70.55.202/29</t>
  </si>
  <si>
    <t>VLAN 33-FE18 SW</t>
  </si>
  <si>
    <t>رسالت(مشهد)+حوزه</t>
  </si>
  <si>
    <t>192.168.140.122/30</t>
  </si>
  <si>
    <t>192.168.120.14/24</t>
  </si>
  <si>
    <t>9802205796</t>
  </si>
  <si>
    <t>10.70.49.130/29</t>
  </si>
  <si>
    <t>Serial0/2/0</t>
  </si>
  <si>
    <t>المهدی(عج)(مشهد)</t>
  </si>
  <si>
    <t>192.168.140.114/30</t>
  </si>
  <si>
    <t>192.168.120.15/24</t>
  </si>
  <si>
    <t>9902216213</t>
  </si>
  <si>
    <t>10.70.32.234/29</t>
  </si>
  <si>
    <t>ولیعصر(ع)(مشهد)</t>
  </si>
  <si>
    <t>نيشابور</t>
  </si>
  <si>
    <t>192.168.140.34/30</t>
  </si>
  <si>
    <t>192.168.120.17/24</t>
  </si>
  <si>
    <t>10.70.39.90/29</t>
  </si>
  <si>
    <t>قائم(عج)(مشهد)</t>
  </si>
  <si>
    <t>192.168.140.50/30</t>
  </si>
  <si>
    <t>192.168.120.18/24</t>
  </si>
  <si>
    <t>9902216178</t>
  </si>
  <si>
    <t>10.70.55.34/29</t>
  </si>
  <si>
    <t>VLAN 33-FE22 SW</t>
  </si>
  <si>
    <t>مفتح(مشهد)</t>
  </si>
  <si>
    <t>192.168.140.74/30</t>
  </si>
  <si>
    <t>9902216030</t>
  </si>
  <si>
    <t>10.70.65.242/29</t>
  </si>
  <si>
    <t>پانزده خرداد(مشهد)</t>
  </si>
  <si>
    <t>192.168.140.130/30</t>
  </si>
  <si>
    <t>192.168.120.20/24</t>
  </si>
  <si>
    <t>9902216016</t>
  </si>
  <si>
    <t>10.59.30.90/29</t>
  </si>
  <si>
    <t>هفده شهریور(مشهد)</t>
  </si>
  <si>
    <t>192.168.140.78/30</t>
  </si>
  <si>
    <t>192.168.120.21/24</t>
  </si>
  <si>
    <t>9902258599</t>
  </si>
  <si>
    <t>10.69.74.18/30</t>
  </si>
  <si>
    <t>خ شمالی</t>
  </si>
  <si>
    <t>9702144342</t>
  </si>
  <si>
    <t>192.168.140.234/30</t>
  </si>
  <si>
    <t>192.168.120.58/24</t>
  </si>
  <si>
    <t>597217</t>
  </si>
  <si>
    <t>10.70.38.66/28</t>
  </si>
  <si>
    <t>امامت(مشهد)</t>
  </si>
  <si>
    <t>192.168.140.82/30</t>
  </si>
  <si>
    <t>192.168.120.22/24</t>
  </si>
  <si>
    <t>10.70.254.98/29</t>
  </si>
  <si>
    <t>جلالیه(مشهد)</t>
  </si>
  <si>
    <t>192.168.140.182/30</t>
  </si>
  <si>
    <t>192.168.120.51/24</t>
  </si>
  <si>
    <t>590264</t>
  </si>
  <si>
    <t>10.70.35.98/28</t>
  </si>
  <si>
    <t>گلشهر(مشهد)</t>
  </si>
  <si>
    <t>192.168.140.90/30</t>
  </si>
  <si>
    <t>192.168.120.23/24</t>
  </si>
  <si>
    <t>9902216051</t>
  </si>
  <si>
    <t>10.70.55.2/29</t>
  </si>
  <si>
    <t>خیابان امام رضا(ع)(مشهد)</t>
  </si>
  <si>
    <t>192.168.140.70/30</t>
  </si>
  <si>
    <t>192.168.120.24/24</t>
  </si>
  <si>
    <t>9902216085</t>
  </si>
  <si>
    <t>10.59.165.106/29</t>
  </si>
  <si>
    <t>6.3.18.138/30</t>
  </si>
  <si>
    <t>VLAN 22-FE20 SW</t>
  </si>
  <si>
    <t>بلوار معلم(مشهد)</t>
  </si>
  <si>
    <t>192.168.140.118/30</t>
  </si>
  <si>
    <t>192.168.120.25/24</t>
  </si>
  <si>
    <t>9902216214</t>
  </si>
  <si>
    <t>10.59.165.74/29</t>
  </si>
  <si>
    <t>FastEthernet0/1.62</t>
  </si>
  <si>
    <t>کلات</t>
  </si>
  <si>
    <t>لائین نو</t>
  </si>
  <si>
    <t>657411</t>
  </si>
  <si>
    <t>192.168.140.30/30</t>
  </si>
  <si>
    <t>9902216092</t>
  </si>
  <si>
    <t>10.7057.82/29</t>
  </si>
  <si>
    <t>پیروزی(مشهد)</t>
  </si>
  <si>
    <t>192.168.140.150/30</t>
  </si>
  <si>
    <t>9802206778</t>
  </si>
  <si>
    <t>10.56.83.218/30</t>
  </si>
  <si>
    <t>ATM0/2/0</t>
  </si>
  <si>
    <t>خواجه ربیع(مشهد)</t>
  </si>
  <si>
    <t>192.168.140.162/30</t>
  </si>
  <si>
    <t>9902258596</t>
  </si>
  <si>
    <t>10.69.74.26/29</t>
  </si>
  <si>
    <t>بلواردوم طبرسی(مشهد)</t>
  </si>
  <si>
    <t>192.168.140.138/30</t>
  </si>
  <si>
    <t>Scorpio  Modem&amp; V35 Cable&amp;HWIC-1T Module</t>
  </si>
  <si>
    <t>9902216101</t>
  </si>
  <si>
    <t>10.59.165.66/29</t>
  </si>
  <si>
    <t>کوی امیر(ع)(مشهد)</t>
  </si>
  <si>
    <t>192.168.140.54/30</t>
  </si>
  <si>
    <t>9902216106</t>
  </si>
  <si>
    <t>10.70.57.106/29</t>
  </si>
  <si>
    <t>کلاهدوز(مشهد)</t>
  </si>
  <si>
    <t>192.168.140.174/30</t>
  </si>
  <si>
    <t>6.3.17.134/30</t>
  </si>
  <si>
    <t>بلوار هدایت(مشهد)</t>
  </si>
  <si>
    <t xml:space="preserve">حوزه 3 </t>
  </si>
  <si>
    <t>كلات</t>
  </si>
  <si>
    <t>192.168.140.26/30</t>
  </si>
  <si>
    <t>9902216128</t>
  </si>
  <si>
    <t>10.70.57.250/29</t>
  </si>
  <si>
    <t>کوشش (مشهد)</t>
  </si>
  <si>
    <t>192.168.140.178/30</t>
  </si>
  <si>
    <t>192.168.120.50/24</t>
  </si>
  <si>
    <t>10.56.82.162/29</t>
  </si>
  <si>
    <t>10.13.7.50 /29</t>
  </si>
  <si>
    <t>6.3.16.102/30</t>
  </si>
  <si>
    <t>6.8.16.102/22</t>
  </si>
  <si>
    <t>فرامرزعباسی(مشهد)</t>
  </si>
  <si>
    <t>192.168.140.66/30</t>
  </si>
  <si>
    <t>192.168.120.33/24</t>
  </si>
  <si>
    <t>9902216141</t>
  </si>
  <si>
    <t>10.70.253.250/29</t>
  </si>
  <si>
    <t>6.3.18.154/30</t>
  </si>
  <si>
    <t>6.8.18.154/22</t>
  </si>
  <si>
    <t>VLAN 22-FE22 SW</t>
  </si>
  <si>
    <t>9702144350</t>
  </si>
  <si>
    <t>10.2.55.1/24-VLAN100</t>
  </si>
  <si>
    <t>192.168.140.222/30</t>
  </si>
  <si>
    <t>192.168.120.55/24</t>
  </si>
  <si>
    <t>9902216154</t>
  </si>
  <si>
    <t>10.70.55.162/29</t>
  </si>
  <si>
    <t>پایداری(مشهد)</t>
  </si>
  <si>
    <t>10.2.59.1/24-VLAN100</t>
  </si>
  <si>
    <t>192.168.140.62/30</t>
  </si>
  <si>
    <t>192.168.120.34/24</t>
  </si>
  <si>
    <t>9902216162</t>
  </si>
  <si>
    <t>10.70.57.66/29</t>
  </si>
  <si>
    <t>دکتر شریعتی (سبزوار)</t>
  </si>
  <si>
    <t>10.2.63.1/24-VLAN 100</t>
  </si>
  <si>
    <t>192.168.140.14 /30</t>
  </si>
  <si>
    <t>192.168.120.35/24</t>
  </si>
  <si>
    <t>خ جنوبی</t>
  </si>
  <si>
    <t>10.70.65.202/29</t>
  </si>
  <si>
    <t>امام هادی(ع)(مشهد)</t>
  </si>
  <si>
    <t>10.2.64.1/24-VLAN100</t>
  </si>
  <si>
    <t>192.168.140.58 /30</t>
  </si>
  <si>
    <t>40102364231</t>
  </si>
  <si>
    <t>10.59.35.202/29</t>
  </si>
  <si>
    <t>10.13.7.58 /29</t>
  </si>
  <si>
    <t>9702144286</t>
  </si>
  <si>
    <t>10.2.68.1/24-VLAN100</t>
  </si>
  <si>
    <t>192.168.140.230/30</t>
  </si>
  <si>
    <t>192.168.120.57/24</t>
  </si>
  <si>
    <t>FastEthernet0/1.268</t>
  </si>
  <si>
    <t>VLAN 268-FE22 SW</t>
  </si>
  <si>
    <t>9902216210</t>
  </si>
  <si>
    <t>10.70.55.10/29</t>
  </si>
  <si>
    <t>ابوذر عفاری(مشهد)+حوزه</t>
  </si>
  <si>
    <t>10.0.12.1/24-VLAN100-10.2.71.1/24-VLAN101-10.0.11.1/24-VLAN103-10.9.125.9/29-VLAN125</t>
  </si>
  <si>
    <t>SW-C2960-24TT-L*4</t>
  </si>
  <si>
    <t>9902216211</t>
  </si>
  <si>
    <t>شهید رجائی</t>
  </si>
  <si>
    <t>10.2.74.1/24-VLAN100</t>
  </si>
  <si>
    <t>192.168.140.242 /30</t>
  </si>
  <si>
    <t>10.70.74.138 /29</t>
  </si>
  <si>
    <t>طرقبه</t>
  </si>
  <si>
    <t>192.168.140.170/30</t>
  </si>
  <si>
    <t>حافظ (نیشابور)</t>
  </si>
  <si>
    <t>192.168.140.38/30</t>
  </si>
  <si>
    <t>192.168.120.39/24</t>
  </si>
  <si>
    <t>9902216095</t>
  </si>
  <si>
    <t>10.70.55.98/29</t>
  </si>
  <si>
    <t>192.168.140.158/30</t>
  </si>
  <si>
    <t>192.168.120.40/24</t>
  </si>
  <si>
    <t>9902216215</t>
  </si>
  <si>
    <t>10.70.56.82/30</t>
  </si>
  <si>
    <t>بهشتی (سبزوار)</t>
  </si>
  <si>
    <t>192.168.140.22/30</t>
  </si>
  <si>
    <t>40002266336</t>
  </si>
  <si>
    <t>10.59.30.170/29</t>
  </si>
  <si>
    <t>بلواراول طبرسی(مشهد)</t>
  </si>
  <si>
    <t>192.168.140.110/30</t>
  </si>
  <si>
    <t>192.168.120.42/24</t>
  </si>
  <si>
    <t>9902216083</t>
  </si>
  <si>
    <t>10.70.53.82/29</t>
  </si>
  <si>
    <t>10.13.6.138 /29</t>
  </si>
  <si>
    <t>تربت حيدريه</t>
  </si>
  <si>
    <t>تربت حیدریه</t>
  </si>
  <si>
    <t>9702144354</t>
  </si>
  <si>
    <t>10.3.1.1/24-VLAN100</t>
  </si>
  <si>
    <t>10.3.1.2/24</t>
  </si>
  <si>
    <t>192.168.140.218/30</t>
  </si>
  <si>
    <t>192.168.120.54/24</t>
  </si>
  <si>
    <t>10.70.38.82/28</t>
  </si>
  <si>
    <t>هاشمی نژاد(مشهد)</t>
  </si>
  <si>
    <t>192.168.140.166/30</t>
  </si>
  <si>
    <t>192.168.120.43/24</t>
  </si>
  <si>
    <t>Tainet Scorpio 1400Modem&amp;v35 Cable*HWIC1T Module</t>
  </si>
  <si>
    <t>9902216065</t>
  </si>
  <si>
    <t>10.59.165.26/29</t>
  </si>
  <si>
    <t>VLAN33-FE22 SW</t>
  </si>
  <si>
    <t>XAVI Modem&amp;v35 Cable*HWIC1T Module</t>
  </si>
  <si>
    <t>كاشمر</t>
  </si>
  <si>
    <t>9702144365</t>
  </si>
  <si>
    <t>192.168.140.238 /30</t>
  </si>
  <si>
    <t>VLAN33-FE19 SW</t>
  </si>
  <si>
    <t>امام خمینی(ره)(مشهد)</t>
  </si>
  <si>
    <t>192.168.140.46/30</t>
  </si>
  <si>
    <t>192.168.120.44/24</t>
  </si>
  <si>
    <t>9902216067</t>
  </si>
  <si>
    <t>10.70.254.90/29</t>
  </si>
  <si>
    <t>طالقانی(سبزوار)</t>
  </si>
  <si>
    <t>192.168.140.18/30</t>
  </si>
  <si>
    <t>192.168.120.45/24</t>
  </si>
  <si>
    <t>9902216057</t>
  </si>
  <si>
    <t>10.70.55.42/29</t>
  </si>
  <si>
    <t>192.168.140.190/30</t>
  </si>
  <si>
    <t>FastEthernet0/1.30</t>
  </si>
  <si>
    <t>VLAN30-FE21 SW</t>
  </si>
  <si>
    <t>254035126068</t>
  </si>
  <si>
    <t>10.69.77.178/29</t>
  </si>
  <si>
    <t xml:space="preserve"> 6.3.18.186/30</t>
  </si>
  <si>
    <t>احمد آباد (مشهد)</t>
  </si>
  <si>
    <t>192.168.140.94/30</t>
  </si>
  <si>
    <t>10.70.254.82/29</t>
  </si>
  <si>
    <t>قرني مشهد</t>
  </si>
  <si>
    <t>192.168.140.126/30</t>
  </si>
  <si>
    <t>192.168.120.47/24</t>
  </si>
  <si>
    <t>589549</t>
  </si>
  <si>
    <t>10.56.85.2/28</t>
  </si>
  <si>
    <t>سيدرضي مشهد</t>
  </si>
  <si>
    <t>9602023837</t>
  </si>
  <si>
    <t>192.168.140.154/30</t>
  </si>
  <si>
    <t>192.168.120.48/24</t>
  </si>
  <si>
    <t>9902216217</t>
  </si>
  <si>
    <t>10.70.67.18/29</t>
  </si>
  <si>
    <t>VLAN33-FE18 SW</t>
  </si>
  <si>
    <t>خودپرداز + انبار مشهد</t>
  </si>
  <si>
    <t>10.0.99.1/27-VLAN100</t>
  </si>
  <si>
    <t>10.0.99.2/27</t>
  </si>
  <si>
    <t>6.3.16.106/30</t>
  </si>
  <si>
    <t>طرح جی</t>
  </si>
  <si>
    <t>50 Mb</t>
  </si>
  <si>
    <t>20 Mb</t>
  </si>
  <si>
    <t>8 Mb</t>
  </si>
  <si>
    <t>960 Kb</t>
  </si>
  <si>
    <t>WS-C3750X-48*2-WS-C2960X-48FPD-L *5-WS-C2960X-24PD-L*1-WS-C2960-24TT-L*3-WS-C3560C-8PC-S*1</t>
  </si>
  <si>
    <t>10.8.1.5/30</t>
  </si>
  <si>
    <t>6.8.5.254/20</t>
  </si>
  <si>
    <t>10.8.1.9/30</t>
  </si>
  <si>
    <t>6.8.6.42/20</t>
  </si>
  <si>
    <t>10.8.1.13/30</t>
  </si>
  <si>
    <t>6.8.7.34/20</t>
  </si>
  <si>
    <t>4/0</t>
  </si>
  <si>
    <t>10.8.1.25/30</t>
  </si>
  <si>
    <t>10.8.1.33/30</t>
  </si>
  <si>
    <t>10.8.1.37/30</t>
  </si>
  <si>
    <t>9702078191</t>
  </si>
  <si>
    <t>10.8.1.41/30</t>
  </si>
  <si>
    <t>ip unnumbered FastEthernet 0/0</t>
  </si>
  <si>
    <t>23-26</t>
  </si>
  <si>
    <t>4/2</t>
  </si>
  <si>
    <t>A-801-41-Forodgah-Transit</t>
  </si>
  <si>
    <t>6.3.9.86/30</t>
  </si>
  <si>
    <t>6.8.9.86/20</t>
  </si>
  <si>
    <t>10.8.1.45/30</t>
  </si>
  <si>
    <t>6.8.10.222/20</t>
  </si>
  <si>
    <t>A-801-49-Hotel-Pars</t>
  </si>
  <si>
    <t>10.8.1.49/30</t>
  </si>
  <si>
    <t xml:space="preserve"> 192.168.144.30/30</t>
  </si>
  <si>
    <t>10.8.1.57/29-10.8.1.58/29SW-10.8.1.59/29-10.8.1.60/29</t>
  </si>
  <si>
    <t>6.8.10.38/20</t>
  </si>
  <si>
    <t>A-801-65-Ghoba</t>
  </si>
  <si>
    <t>6.8.2.18/20</t>
  </si>
  <si>
    <t xml:space="preserve">A-801-69-Supermahdi </t>
  </si>
  <si>
    <t>10.8.1.69/30</t>
  </si>
  <si>
    <t>A-801-81-As-Market</t>
  </si>
  <si>
    <t>10.8.1.81/30</t>
  </si>
  <si>
    <t>192.168.144.70/30</t>
  </si>
  <si>
    <t>10.8.1.85/30</t>
  </si>
  <si>
    <t>6.8.10.130/20</t>
  </si>
  <si>
    <t>10.8.1.89/29-VLAN100-10.8.1.90/29SW-10.8.1.91/29-10.8.1.92/29</t>
  </si>
  <si>
    <t>6.8.5.178/20</t>
  </si>
  <si>
    <t>10.8.1.153/30</t>
  </si>
  <si>
    <t>6.8.10.178/20</t>
  </si>
  <si>
    <t>10.8.1.177/30</t>
  </si>
  <si>
    <t>6.8.10.182/20</t>
  </si>
  <si>
    <t>10.8.1.185/30</t>
  </si>
  <si>
    <t>6.8.0.47/20</t>
  </si>
  <si>
    <t>10.8.1.188-10.8.1.199</t>
  </si>
  <si>
    <t>10.8.1.201/30</t>
  </si>
  <si>
    <t>6.8.15.6/20</t>
  </si>
  <si>
    <t>10.8.1.205/30</t>
  </si>
  <si>
    <t>6.8.9.102/20</t>
  </si>
  <si>
    <t>10.8.1.209/30</t>
  </si>
  <si>
    <t>A-801-213-Kheyrieh-Baghi</t>
  </si>
  <si>
    <t>10.8.1.213/30</t>
  </si>
  <si>
    <t>6.8.0.64/20</t>
  </si>
  <si>
    <t>10.8.1.217/30</t>
  </si>
  <si>
    <t>6.8.0.44/20</t>
  </si>
  <si>
    <t>10.8.1.225/30</t>
  </si>
  <si>
    <t>10.8.1.237/30</t>
  </si>
  <si>
    <t>6.8.0.16/20</t>
  </si>
  <si>
    <t xml:space="preserve"> ip unnumbered FastEthernet  0/0</t>
  </si>
  <si>
    <t>10.8.2.0/29</t>
  </si>
  <si>
    <t>10.8.2.9/30</t>
  </si>
  <si>
    <t>10.8.2.12-10.8.2.27</t>
  </si>
  <si>
    <t>10.8.2.29/30</t>
  </si>
  <si>
    <t xml:space="preserve"> 6.8.0.20/20</t>
  </si>
  <si>
    <t>A-802-33-Forodgah-Khareji</t>
  </si>
  <si>
    <t>9702078186</t>
  </si>
  <si>
    <t>10.8.2.33/30</t>
  </si>
  <si>
    <t>5-6 , 11-16</t>
  </si>
  <si>
    <t>6.3.3.234/30</t>
  </si>
  <si>
    <t>6.8.3.234/20</t>
  </si>
  <si>
    <t>A-802-37-Hemami</t>
  </si>
  <si>
    <t>10.8.2.37/30</t>
  </si>
  <si>
    <t xml:space="preserve"> 6.3.20.206/30</t>
  </si>
  <si>
    <t xml:space="preserve"> 6.8.0.19/20</t>
  </si>
  <si>
    <t>A-802-41-Ghadir</t>
  </si>
  <si>
    <t>645563</t>
  </si>
  <si>
    <t>10.8.2.41/30</t>
  </si>
  <si>
    <t>6.7.0.7/20</t>
  </si>
  <si>
    <t>15-16</t>
  </si>
  <si>
    <t>3/7</t>
  </si>
  <si>
    <t>10.8.2.45/30</t>
  </si>
  <si>
    <t>6.8.4.114/20</t>
  </si>
  <si>
    <t>A-802-49-Terminal-V2</t>
  </si>
  <si>
    <t>9702094492</t>
  </si>
  <si>
    <t>10.8.2.49/30</t>
  </si>
  <si>
    <t>9-16</t>
  </si>
  <si>
    <t>4/6</t>
  </si>
  <si>
    <t>6.3.9.90/30</t>
  </si>
  <si>
    <t>6.8.9.90/20</t>
  </si>
  <si>
    <t>A-802-57-Tallaie+Card Print</t>
  </si>
  <si>
    <t>10.8.2.57/29-VLAN100-10.8.2.58/29-SW-10.8.2.60/29-ATM</t>
  </si>
  <si>
    <t xml:space="preserve"> ip unnumbered FastEthernet  0/0.100</t>
  </si>
  <si>
    <t>6.7.0.9/20</t>
  </si>
  <si>
    <t>27</t>
  </si>
  <si>
    <t>3/6</t>
  </si>
  <si>
    <t>10.8.2.76-10.8.2.83</t>
  </si>
  <si>
    <t>Mobbinet LTE</t>
  </si>
  <si>
    <t>10.8.2.85/30</t>
  </si>
  <si>
    <t>6.8.0.66/20</t>
  </si>
  <si>
    <t>10.8.2.93/30</t>
  </si>
  <si>
    <t>6.8.6.158/20</t>
  </si>
  <si>
    <t>10.8.2.96-10.8.2.111</t>
  </si>
  <si>
    <t>A-802-113-Airportdakheli-Mashhad</t>
  </si>
  <si>
    <t>9702078196</t>
  </si>
  <si>
    <t>10.8.2.113/30</t>
  </si>
  <si>
    <t>11-12 , 15-16</t>
  </si>
  <si>
    <t>6.3.3.206/30</t>
  </si>
  <si>
    <t>6.8.3.206/20</t>
  </si>
  <si>
    <t>10.8.2.117/30</t>
  </si>
  <si>
    <t>6.8.0.18/20</t>
  </si>
  <si>
    <t>10.8.2.120-10.8.2.135</t>
  </si>
  <si>
    <t>A-802-137-Hotel-Misagh+Cashless</t>
  </si>
  <si>
    <t>10.8.2.137/29-VLAN100-10.8.2.138/29SW-10.8.2.139/29-10.8.2.140/29-10.8.2.141/29</t>
  </si>
  <si>
    <t>6.3.18.74/30</t>
  </si>
  <si>
    <t>6.8.18.74/22</t>
  </si>
  <si>
    <t>10.8.2.144-10.8.2.159</t>
  </si>
  <si>
    <t>A-802-161-RahahanTorbat</t>
  </si>
  <si>
    <t>10.8.2.161/30</t>
  </si>
  <si>
    <t>10.59.155.250/29</t>
  </si>
  <si>
    <t>27.28.28.2/30</t>
  </si>
  <si>
    <t>10.8.2.165/30</t>
  </si>
  <si>
    <t>6.8.2.238/20</t>
  </si>
  <si>
    <t>10.8.2.169/30</t>
  </si>
  <si>
    <t>6.8.0.28/20</t>
  </si>
  <si>
    <t>10.8.2.172/30</t>
  </si>
  <si>
    <t>10.8.2.177/30</t>
  </si>
  <si>
    <t>6.8.2.22/20</t>
  </si>
  <si>
    <t>10.8.2.181/30</t>
  </si>
  <si>
    <t>Procent_WIC1T&amp; V35 Cable&amp;HWIC-1T Module</t>
  </si>
  <si>
    <t>6.8.0.50/20</t>
  </si>
  <si>
    <t>10.8.2.197/30</t>
  </si>
  <si>
    <t>6.8.2.34/20</t>
  </si>
  <si>
    <t>A-802-201-Ghochan</t>
  </si>
  <si>
    <t>642836</t>
  </si>
  <si>
    <t>10.8.2.201/29-VLAN100-10.8.202/29-SW-10.8.2.203/29-10.8.2.204/29</t>
  </si>
  <si>
    <t>6.7.0.24/20</t>
  </si>
  <si>
    <t>10.8.2.209/30</t>
  </si>
  <si>
    <t>10.8.2.212-10.8.2.223</t>
  </si>
  <si>
    <t>10.8.2.225/30</t>
  </si>
  <si>
    <t>A-802-241-Namayandegi-Bime</t>
  </si>
  <si>
    <t>10.8.2.241/30</t>
  </si>
  <si>
    <t>6.3.21.106/30</t>
  </si>
  <si>
    <t>6.8.0.17/20</t>
  </si>
  <si>
    <t>10.8.4.5/30</t>
  </si>
  <si>
    <t>6.8.12.174/20</t>
  </si>
  <si>
    <t>10.8.4.9/30</t>
  </si>
  <si>
    <t>6.8.4.70/20</t>
  </si>
  <si>
    <t>A-804-13-Terminal-V1</t>
  </si>
  <si>
    <t>9702094488</t>
  </si>
  <si>
    <t>10.8.4.13/30</t>
  </si>
  <si>
    <t>6.3.9.30/30</t>
  </si>
  <si>
    <t>6.8.9.30/20</t>
  </si>
  <si>
    <t>10.8.4.17/29-VLAN100-10.8.4.18/29-SW-10.8.4.19/29-10.8.4.20/29-10.8.4.21/29-10.8.4.22/29</t>
  </si>
  <si>
    <t>6.8.6.6/20</t>
  </si>
  <si>
    <t>10.8.4.25/30</t>
  </si>
  <si>
    <t>6.8.1.98/20</t>
  </si>
  <si>
    <t>A-804-29-Masjed-Rafiei</t>
  </si>
  <si>
    <t>10.8.4.29/30</t>
  </si>
  <si>
    <t>192.168.144.66/30</t>
  </si>
  <si>
    <t>10.8.4.45/30</t>
  </si>
  <si>
    <t>6.8.3.70/20</t>
  </si>
  <si>
    <t>A-804-49-Lavazem-Yadaki-Nakhaei</t>
  </si>
  <si>
    <t>6.3.9.38/30</t>
  </si>
  <si>
    <t>A-804-53-Arayeshgah-Pasha</t>
  </si>
  <si>
    <t>10.8.4.53/30</t>
  </si>
  <si>
    <t>6.3.8.98/30</t>
  </si>
  <si>
    <t>6.8.8.98/20</t>
  </si>
  <si>
    <t>A-804-65-Koshesh7*24</t>
  </si>
  <si>
    <t>10.8.4.73/30</t>
  </si>
  <si>
    <t>6.8.12.34/20</t>
  </si>
  <si>
    <t>10.8.4.76-10.8.4.83</t>
  </si>
  <si>
    <t>6.8.6.174/20</t>
  </si>
  <si>
    <t>6.8.9.114/20</t>
  </si>
  <si>
    <t>10.8.4.93/30</t>
  </si>
  <si>
    <t>6..8.2.110/20</t>
  </si>
  <si>
    <t>C-804-101-Resturan-Khosravi</t>
  </si>
  <si>
    <t>10.8.4.101/30</t>
  </si>
  <si>
    <t>A-804-105-Topoli-Berger</t>
  </si>
  <si>
    <t>9702146901</t>
  </si>
  <si>
    <t>10.8.4.105/30</t>
  </si>
  <si>
    <t>192.168.144.50/30</t>
  </si>
  <si>
    <t>192.168.121.18/30</t>
  </si>
  <si>
    <t>Module G.SHDSL&amp;RJ-11 Cable</t>
  </si>
  <si>
    <t>A-804-113-Atari Ranjbar</t>
  </si>
  <si>
    <t>9802150125</t>
  </si>
  <si>
    <t>10.8.4.113/30</t>
  </si>
  <si>
    <t>192.168.144.42/30قطع</t>
  </si>
  <si>
    <t>192.168.121.16/24</t>
  </si>
  <si>
    <t>10.8.4.117/30</t>
  </si>
  <si>
    <t>6.8.10.54/20</t>
  </si>
  <si>
    <t>10.8.4.125/30</t>
  </si>
  <si>
    <t>6.8.9.70/20</t>
  </si>
  <si>
    <t>10.8.4.128/30</t>
  </si>
  <si>
    <t>C-804-137-Mehrgan roostaei</t>
  </si>
  <si>
    <t>9802163298</t>
  </si>
  <si>
    <t>10.8.4.137 /30</t>
  </si>
  <si>
    <t>192.168.144.58 /30</t>
  </si>
  <si>
    <t>10.8.4.140-10.8.4.147</t>
  </si>
  <si>
    <t>10.8.4.149 /30</t>
  </si>
  <si>
    <t>6.8.3.46/20</t>
  </si>
  <si>
    <t>10.8.4.160/30</t>
  </si>
  <si>
    <t>10.8.4.165/30</t>
  </si>
  <si>
    <t>6.8.9.89/20</t>
  </si>
  <si>
    <t>10.8.4.173/30</t>
  </si>
  <si>
    <t>6.8.0.57/20</t>
  </si>
  <si>
    <t>10.8.4.176-10.8.4.207</t>
  </si>
  <si>
    <t>10.8.4.209/30</t>
  </si>
  <si>
    <t>6.8.0.14/20</t>
  </si>
  <si>
    <t>10.8.4.213/30</t>
  </si>
  <si>
    <t>6.8.5.130/20</t>
  </si>
  <si>
    <t>A-804-221--Rang-Naji</t>
  </si>
  <si>
    <t>10.8.4.221/30</t>
  </si>
  <si>
    <t>6.3.8.238/30</t>
  </si>
  <si>
    <t>6.8.8.238/20</t>
  </si>
  <si>
    <t>10.8.4.225/30</t>
  </si>
  <si>
    <t>6.8.9.78/20</t>
  </si>
  <si>
    <t>10.8.4.228/30</t>
  </si>
  <si>
    <t>10.8.4.233/29-VLAN100-10.8.4.234/29-SW-10.8.4.235/29-10.8.4.236/29</t>
  </si>
  <si>
    <t>6.8.3.222/20</t>
  </si>
  <si>
    <t>10.8.4.241/30</t>
  </si>
  <si>
    <t>6.8.0.54/20</t>
  </si>
  <si>
    <t>10.8.4.245/30</t>
  </si>
  <si>
    <t>6.8.5.74/20</t>
  </si>
  <si>
    <t>10.8.4.249/30</t>
  </si>
  <si>
    <t>6.8.1.210/20</t>
  </si>
  <si>
    <t>10.8.4.253 /30</t>
  </si>
  <si>
    <t>20.1.0.55/23</t>
  </si>
  <si>
    <t>20.1.0.49/23</t>
  </si>
  <si>
    <t>Asiatech-LTE</t>
  </si>
  <si>
    <t>A-80129-BR215</t>
  </si>
  <si>
    <t>10.8.1.29/30</t>
  </si>
  <si>
    <t>6.8.0.79/20</t>
  </si>
  <si>
    <t>6.8.0.65/20</t>
  </si>
  <si>
    <t>A-801-229-Khaneh-Mobile</t>
  </si>
  <si>
    <t>10.1.144.0/30</t>
  </si>
  <si>
    <t>20.1.0.81/20</t>
  </si>
  <si>
    <t>20.1.0.84/20</t>
  </si>
  <si>
    <t>20.1.0.83/20</t>
  </si>
  <si>
    <t>20.1.0.82/20</t>
  </si>
  <si>
    <t>20.1.0.80/20</t>
  </si>
  <si>
    <t>6.8.0.84/20</t>
  </si>
  <si>
    <t>20.1.0.79/20</t>
  </si>
  <si>
    <t>10.8.4.33/30</t>
  </si>
  <si>
    <t>20.1.0.60/20</t>
  </si>
  <si>
    <t>10.8.4.36-10.8.4.43</t>
  </si>
  <si>
    <t>10.8.2.88/30</t>
  </si>
  <si>
    <t>192.168.144.38/30</t>
  </si>
  <si>
    <t>20.1.0.85/20</t>
  </si>
  <si>
    <t>10.8.4.120/30</t>
  </si>
  <si>
    <t>254025125221</t>
  </si>
  <si>
    <t>میدان فردوسی بجنورد</t>
  </si>
  <si>
    <t>10.2.75.1/24-VLAN100-10.0.13.2/24-VLAN101-10.9.125.33/29-VLAN125</t>
  </si>
  <si>
    <t>10.2.75.99 /24-10.2.75.100/24-10.2.75.101/24</t>
  </si>
  <si>
    <t>10.139.9.2/24</t>
  </si>
  <si>
    <t>8.1.2.75 /32-8.2.2.57/32-8.3.2.57/32</t>
  </si>
  <si>
    <t>GigabitEthernet0/0/1.2</t>
  </si>
  <si>
    <t>10.56.34.170/29</t>
  </si>
  <si>
    <t>GigabitEthernet0/0/1.33</t>
  </si>
  <si>
    <t>652123</t>
  </si>
  <si>
    <t>192.168.235.65/26</t>
  </si>
  <si>
    <t>10.13.2.34/29</t>
  </si>
  <si>
    <t>GigabitEthernet0/0/1.26</t>
  </si>
  <si>
    <t>شهداء خرق</t>
  </si>
  <si>
    <t>591060</t>
  </si>
  <si>
    <t>10.2.16.1/26-VLAN100</t>
  </si>
  <si>
    <t>192.168.237.194/30</t>
  </si>
  <si>
    <t>Tainet Scorpio 1400Modem&amp; V35 Cable&amp;HWIC-1T Module</t>
  </si>
  <si>
    <t>چمران بجنورد</t>
  </si>
  <si>
    <t>192.168.237.198/30</t>
  </si>
  <si>
    <t>Tainet 1520 Modem&amp;Ethernet Cable</t>
  </si>
  <si>
    <t>10.56.34.130/29</t>
  </si>
  <si>
    <t>10.56.34.154/29</t>
  </si>
  <si>
    <t>ATM0/1/0.1</t>
  </si>
  <si>
    <t>609142</t>
  </si>
  <si>
    <t>10.56.34.138/29</t>
  </si>
  <si>
    <t>524019</t>
  </si>
  <si>
    <t>10.56.34.162/29</t>
  </si>
  <si>
    <t>ATM0/0/0.1</t>
  </si>
  <si>
    <t>529753</t>
  </si>
  <si>
    <t>10.56.34.146/29</t>
  </si>
  <si>
    <t>طالقانی بجنورد</t>
  </si>
  <si>
    <t>1/5 Mb</t>
  </si>
  <si>
    <t>CISCO ISR4321/K9*2</t>
  </si>
  <si>
    <t>جمع هزینه ماهیانه:</t>
  </si>
  <si>
    <t>192.168.210.1/25</t>
  </si>
  <si>
    <t>192.168.145.2/29</t>
  </si>
  <si>
    <t>Tehran:33.1.2.75/20-133.1.3.20/20(FAM)-Anti:38.1.2.75/20-Seman:44.1.2.75/20</t>
  </si>
  <si>
    <t>Tehran:31.1.2.75/21-Seman:28.1.2.75/21</t>
  </si>
  <si>
    <t>Tehran:62.2.75.1/12-Off-Anti:40.1.16.9/24-Off-Seman:63.2.75.1/12</t>
  </si>
  <si>
    <t>فیبر دسترسی</t>
  </si>
  <si>
    <t>VLAN 76-GigabitEthernet0/1(SW)</t>
  </si>
  <si>
    <t>VLAN 96-GigabitEthernet0/1(SW)</t>
  </si>
  <si>
    <t>VLAN 508-GigabitEthernet0/2(SW)</t>
  </si>
  <si>
    <t>VLAN 297-GigabitEthernet0/1(SW)</t>
  </si>
  <si>
    <t>Planet Convertor *1</t>
  </si>
  <si>
    <t>نامه جمع اوری ایوان نورنتا</t>
  </si>
  <si>
    <t>شماره پرونده فیبر دسترسی</t>
  </si>
  <si>
    <t>شماره پرونده نورنتا اترنت</t>
  </si>
  <si>
    <t>تجهیزات مازاد در شعبه  مادرمیانی دراختیار تیم پشتیبانی</t>
  </si>
  <si>
    <t>192.168.70.1/30( A-839-25)-192.168.237.193/30(216)-192.168.237.197/30(258)</t>
  </si>
  <si>
    <t>WS-C2960-24PC-L*1-SW-C2960-24TT-L*2</t>
  </si>
  <si>
    <t>نامه جمع اوری وعودت هزینه دو خودپرداز</t>
  </si>
  <si>
    <t>Tehran:33.1.2.58/20-Anti:38.1.2.58/20-Seman:44.1.2.58/20</t>
  </si>
  <si>
    <t>GigabitEthernet0/0/1.197</t>
  </si>
  <si>
    <t>GigabitEthernet0/0/1.508</t>
  </si>
  <si>
    <t>10.8.39.0/29</t>
  </si>
  <si>
    <t>10.8.39.9/30</t>
  </si>
  <si>
    <t>6.8.15.98/30</t>
  </si>
  <si>
    <t>A-839-25-Tahrir</t>
  </si>
  <si>
    <t>10.8.39.25/30</t>
  </si>
  <si>
    <t>192.168.235.66/26</t>
  </si>
  <si>
    <t>192.168.70.2/30</t>
  </si>
  <si>
    <t>10.8.39.33/30</t>
  </si>
  <si>
    <t>6.8.4.250/20</t>
  </si>
  <si>
    <t>10.8.39.41/30</t>
  </si>
  <si>
    <t>6.8.6.14/20</t>
  </si>
  <si>
    <t>10.8.39.45/30</t>
  </si>
  <si>
    <t>6.8.11.2/20</t>
  </si>
  <si>
    <t>A-83965-Protoeindarya</t>
  </si>
  <si>
    <t>9702143920</t>
  </si>
  <si>
    <t>10.8.39.65/30</t>
  </si>
  <si>
    <t>ip unnumbered FastEthernet0/0</t>
  </si>
  <si>
    <t>192.168.236.8/26</t>
  </si>
  <si>
    <t>10.8.39.69/30</t>
  </si>
  <si>
    <t>6.8.5.62/20</t>
  </si>
  <si>
    <t>10.8.39.72-10.8.39.255</t>
  </si>
  <si>
    <t>10.8.30.85/30</t>
  </si>
  <si>
    <t>6.8.13.70/20</t>
  </si>
  <si>
    <t>9702090869</t>
  </si>
  <si>
    <t>اهواز</t>
  </si>
  <si>
    <t>شریعتی اهواز</t>
  </si>
  <si>
    <t>405575</t>
  </si>
  <si>
    <t>فیبراختصاصی</t>
  </si>
  <si>
    <t>10.3.70.1 /24-VLAN100-10.0.31.2/26-VLAN100-10.9.125.121/29-VLAN125</t>
  </si>
  <si>
    <t xml:space="preserve">10.3.70.99 /24-10.3.70.100/24-10.3.70.101/24
</t>
  </si>
  <si>
    <t>10.139.12.2/24</t>
  </si>
  <si>
    <t>8.1.3.70 /32-8.2.3.70/32-8.3.3.70/32</t>
  </si>
  <si>
    <t>Gi0/0/1.250</t>
  </si>
  <si>
    <t>VLAN250-FE18 SW</t>
  </si>
  <si>
    <t>SDH Huawei OSN500*1</t>
  </si>
  <si>
    <t>587777</t>
  </si>
  <si>
    <t>10.232.133.26/29</t>
  </si>
  <si>
    <t>33.1.3.70/20-133.1.3.22/20(FAM)</t>
  </si>
  <si>
    <t>Gi0/0/1.33</t>
  </si>
  <si>
    <t>9602007370</t>
  </si>
  <si>
    <t>192.168.123.65/26</t>
  </si>
  <si>
    <t>192.168.122.65/26</t>
  </si>
  <si>
    <t>Gi0/0/1.1916</t>
  </si>
  <si>
    <t>VLAN1916-FE17 SW</t>
  </si>
  <si>
    <t>192.168.123.130/26</t>
  </si>
  <si>
    <t>192.168.122.130/26</t>
  </si>
  <si>
    <t>Gi0/0/1.25</t>
  </si>
  <si>
    <t>VLAN25-FE20 SW</t>
  </si>
  <si>
    <t>6.3.17.238/30</t>
  </si>
  <si>
    <t>6.8.17.238/22</t>
  </si>
  <si>
    <t>Gi0/0/1.22</t>
  </si>
  <si>
    <t>VLAN 22-FE4 SW</t>
  </si>
  <si>
    <t>10.13.3.66/29</t>
  </si>
  <si>
    <t>Gi0/0/1.26</t>
  </si>
  <si>
    <t>VLAN 26-FE164 SW</t>
  </si>
  <si>
    <t>10.232.133.2/29</t>
  </si>
  <si>
    <t>40102372013</t>
  </si>
  <si>
    <t>192.168.123.138/30</t>
  </si>
  <si>
    <t>FastEthernet0/1.55</t>
  </si>
  <si>
    <t>VLAN 55-FE21 SW</t>
  </si>
  <si>
    <t>Tellabs CTUR*1*Ethernet Cable</t>
  </si>
  <si>
    <t>10.232.133.146/29</t>
  </si>
  <si>
    <t>ماهشهر</t>
  </si>
  <si>
    <t>40102372014</t>
  </si>
  <si>
    <t>192.168.123.142/30</t>
  </si>
  <si>
    <t>FastEthernet0/0.55</t>
  </si>
  <si>
    <t>10.232.133.106/29</t>
  </si>
  <si>
    <t>6.3.16.62/30</t>
  </si>
  <si>
    <t>6.8.16.62/22</t>
  </si>
  <si>
    <t>بهبهان</t>
  </si>
  <si>
    <t>10.232.133.18/29</t>
  </si>
  <si>
    <t>6.3.16.66/30</t>
  </si>
  <si>
    <t>امام خمینی دزفول</t>
  </si>
  <si>
    <t>192.168.123.77/26</t>
  </si>
  <si>
    <t>192.168.122.79/26</t>
  </si>
  <si>
    <t>10.232.133.50/29</t>
  </si>
  <si>
    <t>اندیمشک</t>
  </si>
  <si>
    <t>40102372017</t>
  </si>
  <si>
    <t>192.168.123.154/30</t>
  </si>
  <si>
    <t>10.232.133.10/29</t>
  </si>
  <si>
    <t>6.3.16.74/30</t>
  </si>
  <si>
    <t>6.8.16.74/22</t>
  </si>
  <si>
    <t>شوش دانیال</t>
  </si>
  <si>
    <t>10.232.133.58/29</t>
  </si>
  <si>
    <t>6.3.16.34/30</t>
  </si>
  <si>
    <t>6.8.16.34/20</t>
  </si>
  <si>
    <t>آبادان</t>
  </si>
  <si>
    <t>40102372019</t>
  </si>
  <si>
    <t>192.168.123.150/30</t>
  </si>
  <si>
    <t>VLAN 55-FE22 SW</t>
  </si>
  <si>
    <t>10.232.133.34/29</t>
  </si>
  <si>
    <t>FastEthernet0/0/2</t>
  </si>
  <si>
    <t>کیان آباد</t>
  </si>
  <si>
    <t>کیان آباد اهواز</t>
  </si>
  <si>
    <t>192.168.123.91/26</t>
  </si>
  <si>
    <t>192.168.122.91/26</t>
  </si>
  <si>
    <t>589683</t>
  </si>
  <si>
    <t>10.232.133.66/29</t>
  </si>
  <si>
    <t>خرمشهر</t>
  </si>
  <si>
    <t>10.232.133.74/29</t>
  </si>
  <si>
    <t>منتظری دزفول</t>
  </si>
  <si>
    <t>540394</t>
  </si>
  <si>
    <t>589686</t>
  </si>
  <si>
    <t>10.232.133.82/29</t>
  </si>
  <si>
    <t>6.3.16.78/30</t>
  </si>
  <si>
    <t>6.8.16.78/22</t>
  </si>
  <si>
    <t>آفرینش</t>
  </si>
  <si>
    <t>192.168.123.80/26</t>
  </si>
  <si>
    <t>10.232.133.42/29</t>
  </si>
  <si>
    <t>رامهرمز</t>
  </si>
  <si>
    <t>535875</t>
  </si>
  <si>
    <t>589688</t>
  </si>
  <si>
    <t>10.232.133.98/29</t>
  </si>
  <si>
    <t>کیان پارس</t>
  </si>
  <si>
    <t>9902217956</t>
  </si>
  <si>
    <t>10.232.133.122/29</t>
  </si>
  <si>
    <t>6.3.16.82/30</t>
  </si>
  <si>
    <t>6.8.16.82/23</t>
  </si>
  <si>
    <t>شوشتر</t>
  </si>
  <si>
    <t>40102372026</t>
  </si>
  <si>
    <t>192.168.123.170/30</t>
  </si>
  <si>
    <t>VLAN 55-FE23 SW</t>
  </si>
  <si>
    <t>9902217968</t>
  </si>
  <si>
    <t>10.232.133.90/29</t>
  </si>
  <si>
    <t>6.3.16.86/30</t>
  </si>
  <si>
    <t>6.8.16.86/22</t>
  </si>
  <si>
    <t>امیدیه</t>
  </si>
  <si>
    <t>40102372027</t>
  </si>
  <si>
    <t>192.168.123.166/30</t>
  </si>
  <si>
    <t>6.3.16.186/30</t>
  </si>
  <si>
    <t>ایذه</t>
  </si>
  <si>
    <t>40102372028</t>
  </si>
  <si>
    <t>192.168.123.162/30</t>
  </si>
  <si>
    <t>192.168.122.162/26</t>
  </si>
  <si>
    <t>9902218266</t>
  </si>
  <si>
    <t>10.232.133.138/29</t>
  </si>
  <si>
    <t>شادگان</t>
  </si>
  <si>
    <t>40102372029</t>
  </si>
  <si>
    <t>192.168.123.158/30</t>
  </si>
  <si>
    <t>VLAN 55-FE20 SW</t>
  </si>
  <si>
    <t>9902217977</t>
  </si>
  <si>
    <t>10.232.133.130/29</t>
  </si>
  <si>
    <t>10.8.12.0-10.8.12.39</t>
  </si>
  <si>
    <t>10.8.12.41/30</t>
  </si>
  <si>
    <t>10.8.12.44-10.8.12.63</t>
  </si>
  <si>
    <t>10.8.12.68/30</t>
  </si>
  <si>
    <t>10.8.12.76-10.8.12.255</t>
  </si>
  <si>
    <t>زنجان</t>
  </si>
  <si>
    <t>فرودگاه زنجان</t>
  </si>
  <si>
    <t>10.20.233.62/30</t>
  </si>
  <si>
    <t>8.1.4.64 /32-8.2.4.64/32-8.3.4.64/32</t>
  </si>
  <si>
    <t>FastEthernet0/1.44</t>
  </si>
  <si>
    <t>VLAN44-FE21 SW</t>
  </si>
  <si>
    <t>591109</t>
  </si>
  <si>
    <t>10.20.235.26/30-10.103.238.113 /29</t>
  </si>
  <si>
    <t>0/40</t>
  </si>
  <si>
    <t>VLAN 33-FE18SW</t>
  </si>
  <si>
    <t>9902221766</t>
  </si>
  <si>
    <t>L100:   100.100.100.100/30</t>
  </si>
  <si>
    <t xml:space="preserve">Tellabs-CTUS_G703 Modem&amp;NM-2CE1T1-PRI Module&amp; NM Cable </t>
  </si>
  <si>
    <t>10.13.2.154/29</t>
  </si>
  <si>
    <t>آزادی زنجان</t>
  </si>
  <si>
    <t>9902221783</t>
  </si>
  <si>
    <t>10.20.235.14/30-10.103.238.97 /29</t>
  </si>
  <si>
    <t>7/71</t>
  </si>
  <si>
    <t>ابهر</t>
  </si>
  <si>
    <t>9902221825</t>
  </si>
  <si>
    <t>10.20.235.18/30-10.103.238.81 /29</t>
  </si>
  <si>
    <t>میدان ارک زنجان</t>
  </si>
  <si>
    <t>خرم دره</t>
  </si>
  <si>
    <t>Tehran:31.1.4.64/21-Semnan:28.1.4.64/21</t>
  </si>
  <si>
    <t>Tehran:33.1.4.64/20-Anti:38.1.4.64/20-Seman:44.1.4.64/20</t>
  </si>
  <si>
    <t>Tehran:33.1.3.46/20-Anti:38.1.3.46/20-Seman:44.1.3.46/20</t>
  </si>
  <si>
    <t>Tehran:33.1.3.93/20-Anti:38.1.3.93/20-Seman:44.1.3.93/20</t>
  </si>
  <si>
    <t>سمنان</t>
  </si>
  <si>
    <t>مشاهیر سمنان</t>
  </si>
  <si>
    <t>9802192165</t>
  </si>
  <si>
    <t>10.3.44.1 /24-VLAN100-10.9.125.210/29-VLAN125</t>
  </si>
  <si>
    <t>10.3.44.99 /24-10.3.44.101/24WAN</t>
  </si>
  <si>
    <t>10.88.69.138 /29</t>
  </si>
  <si>
    <t>8.1.3.44 /32-8.2.3.44/32-8.3.3.44/32</t>
  </si>
  <si>
    <t>Port-channel1.1368</t>
  </si>
  <si>
    <t>VLAN 1368-GE1/0/21 SW</t>
  </si>
  <si>
    <t>Media Convertor DlinkDMC810S*4</t>
  </si>
  <si>
    <t>SW-C2960-24TT-L*2
SW-C2960X-24PS-L</t>
  </si>
  <si>
    <t>587595</t>
  </si>
  <si>
    <t>Port-channel1.441</t>
  </si>
  <si>
    <t>VLAN 441-GE1/0/21 SW</t>
  </si>
  <si>
    <t>548289</t>
  </si>
  <si>
    <t>192.168.175.1 /26</t>
  </si>
  <si>
    <t>Port-channel1.365</t>
  </si>
  <si>
    <t>VLAN 365-GE1/0/21 SW</t>
  </si>
  <si>
    <t>534458</t>
  </si>
  <si>
    <t>L0:   100.100.100.100/32</t>
  </si>
  <si>
    <t>1-16</t>
  </si>
  <si>
    <t>10.13.2.146 /29</t>
  </si>
  <si>
    <t>Port-channel1.62</t>
  </si>
  <si>
    <t>شاهرود</t>
  </si>
  <si>
    <t>10.88.197.210/28</t>
  </si>
  <si>
    <t>دامغان</t>
  </si>
  <si>
    <t>10.88.225.226/28</t>
  </si>
  <si>
    <t>612525</t>
  </si>
  <si>
    <t>10.88.171.146/29</t>
  </si>
  <si>
    <t>گرمسار</t>
  </si>
  <si>
    <t xml:space="preserve"> امام خمینی گرمسار</t>
  </si>
  <si>
    <t>548319</t>
  </si>
  <si>
    <t>10.88.243.210/28</t>
  </si>
  <si>
    <t>صدوقی شاهرود</t>
  </si>
  <si>
    <t>طالقانی سمنان</t>
  </si>
  <si>
    <t>548316</t>
  </si>
  <si>
    <t>587536</t>
  </si>
  <si>
    <t>10.88.170.98/28</t>
  </si>
  <si>
    <t>امام خمینی شاهرود</t>
  </si>
  <si>
    <t>10.88.197.242/28</t>
  </si>
  <si>
    <t>شهدا گرمسار</t>
  </si>
  <si>
    <t>548320</t>
  </si>
  <si>
    <t>10.88.243.226/28</t>
  </si>
  <si>
    <t>معلم سمنان</t>
  </si>
  <si>
    <t>534460</t>
  </si>
  <si>
    <t>587596</t>
  </si>
  <si>
    <t>10.88.170.82/28</t>
  </si>
  <si>
    <t>خیابان تهران شاهرود</t>
  </si>
  <si>
    <t>Tehran:31.1.3.44 /21-Semnan28.1.3.44/21-Tehran:18.2.3.44/21FAM</t>
  </si>
  <si>
    <t xml:space="preserve">CISCO ISR4321/K9*2 </t>
  </si>
  <si>
    <t>A-824-9-Rahahan</t>
  </si>
  <si>
    <t>10.8.24.9/30</t>
  </si>
  <si>
    <t>192.168.175.21/26</t>
  </si>
  <si>
    <t>192.168.174.131/25</t>
  </si>
  <si>
    <t>10.8.24.81/30</t>
  </si>
  <si>
    <t>192.168.175.30/26</t>
  </si>
  <si>
    <t>192.168.174.140/25</t>
  </si>
  <si>
    <t>A-82485-Batrisazienferadi</t>
  </si>
  <si>
    <t>10.8.24.85/30</t>
  </si>
  <si>
    <t>6.3.9.98/30</t>
  </si>
  <si>
    <t>6.8.9.98/20</t>
  </si>
  <si>
    <t>C-824-89-Amlakarabi</t>
  </si>
  <si>
    <t>10.8.24.89/30</t>
  </si>
  <si>
    <t>6.3.6.186/30</t>
  </si>
  <si>
    <t>6.8.6.186/20</t>
  </si>
  <si>
    <t>A-824-93-MotalebKhan</t>
  </si>
  <si>
    <t>10.8.24.93 /30</t>
  </si>
  <si>
    <t>192.168.175.33/26</t>
  </si>
  <si>
    <t>192.168.174.143/25</t>
  </si>
  <si>
    <t>A-82497-Tarabarsemnan</t>
  </si>
  <si>
    <t>10.8.24.97 /30</t>
  </si>
  <si>
    <t>6.3.9.234/30</t>
  </si>
  <si>
    <t>6.8.9.234/20</t>
  </si>
  <si>
    <t>10.8.24.132/30</t>
  </si>
  <si>
    <t>A-824137-KhadamatCNGmojtaba</t>
  </si>
  <si>
    <t>10.8.24.137/30</t>
  </si>
  <si>
    <t xml:space="preserve"> 6.3.7.192/30</t>
  </si>
  <si>
    <t xml:space="preserve"> 6.8.7.194/20</t>
  </si>
  <si>
    <t>سیستان و بلوچستان</t>
  </si>
  <si>
    <t>زاهدان</t>
  </si>
  <si>
    <t>531067</t>
  </si>
  <si>
    <t>10.3.84.1 /24-VLAN 100</t>
  </si>
  <si>
    <t>10.20.202.58/30</t>
  </si>
  <si>
    <t>8.1.3.84/32-8.2.3.84/32-8.3.3.84/32</t>
  </si>
  <si>
    <t>VLAN 3001-FE17 SW</t>
  </si>
  <si>
    <t>10.76.9.170/29</t>
  </si>
  <si>
    <t>VLAN 20-FE18 SW</t>
  </si>
  <si>
    <t>6.3.17.74/30</t>
  </si>
  <si>
    <t>6.8.17.74/22</t>
  </si>
  <si>
    <t>10.13.3.74/29</t>
  </si>
  <si>
    <t>مزاری زاهدان</t>
  </si>
  <si>
    <t>8.1.4.3/32-8.2.4.3/32</t>
  </si>
  <si>
    <t>10.76.9.134/30</t>
  </si>
  <si>
    <t>0/55</t>
  </si>
  <si>
    <t>زابل</t>
  </si>
  <si>
    <t>طالقانی زابل</t>
  </si>
  <si>
    <t>548023</t>
  </si>
  <si>
    <t>8.1.4.17/32-8.2.4.17/32</t>
  </si>
  <si>
    <t>10.76.9.138/30</t>
  </si>
  <si>
    <t>بهشتی زاهدان</t>
  </si>
  <si>
    <t>8.1.4.92 /32-8.2.4.92/32</t>
  </si>
  <si>
    <t>FastEthernet0/0.2387</t>
  </si>
  <si>
    <t>VLAN 2387-FE22 SW</t>
  </si>
  <si>
    <t>10.76.9.130/30</t>
  </si>
  <si>
    <t>FastEthernet0/0.2236</t>
  </si>
  <si>
    <t>VLAN 2236-FE21 SW</t>
  </si>
  <si>
    <t>C-8071-Khabgahe-emamreza</t>
  </si>
  <si>
    <t>10.8.7.1/30</t>
  </si>
  <si>
    <t>192.168.239.10/26</t>
  </si>
  <si>
    <t>192.168.238.66/30</t>
  </si>
  <si>
    <t>10.8.7.5/30</t>
  </si>
  <si>
    <t>6.8.11.190/20</t>
  </si>
  <si>
    <t>6.8.0.35/20</t>
  </si>
  <si>
    <t>10.8.7.25/29-VLAN100 10.8.7.30/29(sw)-10.8.7.26/29-10.8.79.27/29</t>
  </si>
  <si>
    <t>10.8.7.33/30</t>
  </si>
  <si>
    <t>6.8.7.26/20</t>
  </si>
  <si>
    <t>فارس</t>
  </si>
  <si>
    <t>شیراز</t>
  </si>
  <si>
    <t>10.5.43.1 /24-VLAN100</t>
  </si>
  <si>
    <t>Tainet 764GNTU-4Wire Modem&amp;Ethernet Cable</t>
  </si>
  <si>
    <t>518544</t>
  </si>
  <si>
    <t>10.5.43.99/24</t>
  </si>
  <si>
    <t>10.139.26.3/24</t>
  </si>
  <si>
    <t>VLAN3785-gig0/2 SW</t>
  </si>
  <si>
    <t>9802208161</t>
  </si>
  <si>
    <t>10.175.223.82/29</t>
  </si>
  <si>
    <t>172.40.2.2/29</t>
  </si>
  <si>
    <t>12.0.0.1/26</t>
  </si>
  <si>
    <t>VLAN 62-FE18 SW</t>
  </si>
  <si>
    <t>عفبف آباد(شيراز)</t>
  </si>
  <si>
    <t>172.40.2.10/30</t>
  </si>
  <si>
    <t>9902228133</t>
  </si>
  <si>
    <t>10.175.185.242/29</t>
  </si>
  <si>
    <t>مرودشت</t>
  </si>
  <si>
    <t>9902250414</t>
  </si>
  <si>
    <t>172.40.2.30/30</t>
  </si>
  <si>
    <t>9902228101</t>
  </si>
  <si>
    <t>10.175.172.146/29</t>
  </si>
  <si>
    <t>لارستان</t>
  </si>
  <si>
    <t>9802208163</t>
  </si>
  <si>
    <t>172.40.2.42/30</t>
  </si>
  <si>
    <t>FastEthernet0/1.389</t>
  </si>
  <si>
    <t>VLAN 389-FE20 SW</t>
  </si>
  <si>
    <t>9902228141</t>
  </si>
  <si>
    <t>10.175.151.2/29</t>
  </si>
  <si>
    <t>لار</t>
  </si>
  <si>
    <t>مدرس (لار)</t>
  </si>
  <si>
    <t>9902250420</t>
  </si>
  <si>
    <t>172.40.2.38/30</t>
  </si>
  <si>
    <t>9902228103</t>
  </si>
  <si>
    <t>10.175.172.138/29</t>
  </si>
  <si>
    <t>آباده</t>
  </si>
  <si>
    <t>9902250454</t>
  </si>
  <si>
    <t>172.40.2.46/30</t>
  </si>
  <si>
    <t>9902228114</t>
  </si>
  <si>
    <t>10.175.172.82/29</t>
  </si>
  <si>
    <t>معلم (شیراز)</t>
  </si>
  <si>
    <t>172.40.2.18/30</t>
  </si>
  <si>
    <t>9902218481</t>
  </si>
  <si>
    <t>10.175.204.98/29</t>
  </si>
  <si>
    <t>کازرون</t>
  </si>
  <si>
    <t>9902250464</t>
  </si>
  <si>
    <t>172.40.2.34/30</t>
  </si>
  <si>
    <t>9902228118</t>
  </si>
  <si>
    <t>10.175.202.202/29</t>
  </si>
  <si>
    <t>زرقان</t>
  </si>
  <si>
    <t>9802208175</t>
  </si>
  <si>
    <t>172.40.2.26/30</t>
  </si>
  <si>
    <t>6.3.16.38/30</t>
  </si>
  <si>
    <t>VLAN 20-FE20 SW</t>
  </si>
  <si>
    <t>10.8.29.12-10.8.29.23</t>
  </si>
  <si>
    <t>A-829-25-Zarghan</t>
  </si>
  <si>
    <t>10.8.29.25/30</t>
  </si>
  <si>
    <t>34.1.8.84/20</t>
  </si>
  <si>
    <t>10.8.29.28/30</t>
  </si>
  <si>
    <t>A-829-33-Jahangasht</t>
  </si>
  <si>
    <t>10.8.29.33/30</t>
  </si>
  <si>
    <t>10.175.222.90/29</t>
  </si>
  <si>
    <t>34.1.8.85/20</t>
  </si>
  <si>
    <t>A-829-41-Homayonmal</t>
  </si>
  <si>
    <t>10.8.29.41/30</t>
  </si>
  <si>
    <t>10.175.222.242/29</t>
  </si>
  <si>
    <t>34.1.8.86/20</t>
  </si>
  <si>
    <t>A-829-49-Pasage-Enghelab</t>
  </si>
  <si>
    <t>10.8.29.49/30</t>
  </si>
  <si>
    <t>10.175.219.162/29</t>
  </si>
  <si>
    <t>34.1.8.87/20</t>
  </si>
  <si>
    <t>10.8.29.68/30</t>
  </si>
  <si>
    <t>A-82973-Daneshkadefani</t>
  </si>
  <si>
    <t>10.8.29.73/30</t>
  </si>
  <si>
    <t>10.13.5.2/29</t>
  </si>
  <si>
    <t>62.8.62.1/12</t>
  </si>
  <si>
    <t>10.8.29.76/30</t>
  </si>
  <si>
    <t>A-829-81-Masjedemamhadi</t>
  </si>
  <si>
    <t>10.8.29.81/30</t>
  </si>
  <si>
    <t>10.13.3.170/29</t>
  </si>
  <si>
    <t>62.8.63.1/12</t>
  </si>
  <si>
    <t>A-829-89-Kolbesabz</t>
  </si>
  <si>
    <t>10.8.29.89/30</t>
  </si>
  <si>
    <t>10.175.242.10/30</t>
  </si>
  <si>
    <t>34.1.8.90/20</t>
  </si>
  <si>
    <t>A-829-97-Abasaleh</t>
  </si>
  <si>
    <t>A-829-105-Pishkhandolat</t>
  </si>
  <si>
    <t>A-829-121-Arzanforoshipayam</t>
  </si>
  <si>
    <t>10.8.29.121/30</t>
  </si>
  <si>
    <t>10.175.242.30/30</t>
  </si>
  <si>
    <t>34.1.8.93/20</t>
  </si>
  <si>
    <t>A-829-125-Super Morghe Zare</t>
  </si>
  <si>
    <t>10.8.29.125/30</t>
  </si>
  <si>
    <t>10.175.242.14/30</t>
  </si>
  <si>
    <t>34.1.8.94/20</t>
  </si>
  <si>
    <t>A-829-129-Darmangahrahgozar</t>
  </si>
  <si>
    <t>10.8.29.129/30</t>
  </si>
  <si>
    <t>10.13.5.114 /29</t>
  </si>
  <si>
    <t>62.8.67.1 /12</t>
  </si>
  <si>
    <t>A-830-45-IzoogamMehrabi</t>
  </si>
  <si>
    <t>10.8.30.45/30</t>
  </si>
  <si>
    <t>10.1.134.146 /29</t>
  </si>
  <si>
    <t>20.1.0.18/23</t>
  </si>
  <si>
    <t>پادگان</t>
  </si>
  <si>
    <t>10.3.45.99 /24</t>
  </si>
  <si>
    <t>10.20.171.130/29</t>
  </si>
  <si>
    <t>8.1.3.45 /32-8.2.3.45/31-8.3.3.45/32</t>
  </si>
  <si>
    <t>FastEthernet0/1.3</t>
  </si>
  <si>
    <t>VLAN 3-FE20 SW</t>
  </si>
  <si>
    <t>Procend 1210 G.SHDSL</t>
  </si>
  <si>
    <t>595212</t>
  </si>
  <si>
    <t>10.126.24.90/29</t>
  </si>
  <si>
    <t>192.168.217.1/26</t>
  </si>
  <si>
    <t>192.168.216.1/26</t>
  </si>
  <si>
    <t>8/81</t>
  </si>
  <si>
    <t>192.168.217.65/26</t>
  </si>
  <si>
    <t>192.168.217.129/26</t>
  </si>
  <si>
    <t>192.168.216.129/26</t>
  </si>
  <si>
    <t>10.13.2.10/29</t>
  </si>
  <si>
    <t>FastEthernet0/2/0</t>
  </si>
  <si>
    <t>نادری قزوین</t>
  </si>
  <si>
    <t>8.1.3.19 /32-8.2.3.19/32</t>
  </si>
  <si>
    <t>10.126.31.6/30</t>
  </si>
  <si>
    <t>شهدا قزوین</t>
  </si>
  <si>
    <t>8.1.3.38 /32-8.2.3.38/32</t>
  </si>
  <si>
    <t>10.126.24.98/29</t>
  </si>
  <si>
    <t>تاکستان</t>
  </si>
  <si>
    <t>547270</t>
  </si>
  <si>
    <t>8.1.3.76/32-8.2.3.76/32</t>
  </si>
  <si>
    <t>595214</t>
  </si>
  <si>
    <t>10.20.178.70/30</t>
  </si>
  <si>
    <t>آبیک</t>
  </si>
  <si>
    <t>8.1.4.37 /32-8.2.4.37/32</t>
  </si>
  <si>
    <t>10.126.24.82/29</t>
  </si>
  <si>
    <t>الوند</t>
  </si>
  <si>
    <t>8.1.4.41/32-8.2.4.41/32</t>
  </si>
  <si>
    <t>10.20.178.66/30</t>
  </si>
  <si>
    <t>مدرس قزوین</t>
  </si>
  <si>
    <t>A-870-1-Maskanmehr</t>
  </si>
  <si>
    <t>10.8.70.1/30</t>
  </si>
  <si>
    <t>192.168.217.130/30</t>
  </si>
  <si>
    <t>192.168.216.130/26</t>
  </si>
  <si>
    <t>10.8.70.16-10.8.70.255</t>
  </si>
  <si>
    <t>Tehran:33.1.2.76/20-Anti:38.1.2.76/20-Semnan:44.1.2.76/20</t>
  </si>
  <si>
    <t>Tehran:33.1.2.96/20-Anti:38.1.2.96/20-Semnan:44.1.2.96/20</t>
  </si>
  <si>
    <t>Tehran:33.1.2.97/20-Anti:38.1.2.97/20-Semnan:44.1.2.97/20</t>
  </si>
  <si>
    <t>Tehran:33.1.2.98/20-Anti:38.1.2.98/20-Semnan:44.1.2.98/20</t>
  </si>
  <si>
    <t>Tehran:33.1.3.17/20-Anti:38.1.3.17/20-Semnan:44.1.3.17/20</t>
  </si>
  <si>
    <t>VLAN 22-FE21SW</t>
  </si>
  <si>
    <t>6.8.18.222/22</t>
  </si>
  <si>
    <t>VLAN 22-FE22SW</t>
  </si>
  <si>
    <t>6.3.18.106/30</t>
  </si>
  <si>
    <t>Tehran:33.1.4.32/20-Anti:38.1.4.32/20</t>
  </si>
  <si>
    <t>Tehran:33.1.4.30/20-Anti:38.1.4.30/20-Semnan:44.1.4.30/20</t>
  </si>
  <si>
    <t>Tehran:33.1.3.68/20-Anti:38.1.3.68/20-Semnan:44.1.3.68/20</t>
  </si>
  <si>
    <t>Tehran:33.1.3.63/20-Anti:38.1.3.63/20-Semnan:44.1.3.63/20</t>
  </si>
  <si>
    <t>Tehran:33.1.3.35/20-Anti:38.1.3.35/20-Semnan:44.1.3.35/20</t>
  </si>
  <si>
    <t>Tehran:33.1.3.34/20-Anti:38.1.3.34/20-Semnan:44.1.3.34/20</t>
  </si>
  <si>
    <t>Tehran:33.1.3.28/20-Anti:38.1.3.28/20-Semnan:44.1.3.28/20</t>
  </si>
  <si>
    <t>Tehran:33.1.3.21/20-Anti:38.1.3.21/20-Semnan:44.1.3.21/20</t>
  </si>
  <si>
    <t>Tehran:33.1.5.38/20-Anti:38.1.5.38/20-Semnan:44.1.5.38/20</t>
  </si>
  <si>
    <t>Tehran:33.1.5.14/20-Anti:38.1.5.14/20-Semnan:44.1.5.14/20</t>
  </si>
  <si>
    <t>Tehran:6.8.18.106/22-Semnan:42.1.4.32/21</t>
  </si>
  <si>
    <t>Tehran:6.8.16.186/22-Anti:40.1.0.12/21-Semnan:42.1.5.47/21</t>
  </si>
  <si>
    <t>Tehran:33.1.5.49/20-Anti:38.1.5.49/20-Semnan:44.1.5.49/20</t>
  </si>
  <si>
    <t>Tehran:33.1.5.51/20-Anti:38.1.5.51/20-Semnan:44.1.5.51/20</t>
  </si>
  <si>
    <t>Tehran:33.1.5.43/20-Fam:133.1.5.43/20-Anti:38.1.5.43/20-Semnan:44.1.5.43/20</t>
  </si>
  <si>
    <t>10.13.2.122/29</t>
  </si>
  <si>
    <t>Tehran:31.1.3.70/20-18.2.3.70/20(FAM)-Semnan:28.1.3.70/20</t>
  </si>
  <si>
    <t>Tehran:62.3.70.1/12down-Seman:63.3.70.1/12 UP</t>
  </si>
  <si>
    <t>Tehran:31.1.5.43/20-Semnan:28.1.5.43/20</t>
  </si>
  <si>
    <t>FastEthernet0/1.3785</t>
  </si>
  <si>
    <t>FastEthernet0/1.3805</t>
  </si>
  <si>
    <t>FastEthernet0/1.3669</t>
  </si>
  <si>
    <t>LAN:172.30.6.35/29- WAN:10.175.176.9/29</t>
  </si>
  <si>
    <t>استانی  MPLS</t>
  </si>
  <si>
    <t xml:space="preserve">مادرمیانی </t>
  </si>
  <si>
    <t xml:space="preserve">8.1.5.43 /32-8.2.5.43/32-8.3.5.43/32
</t>
  </si>
  <si>
    <t>VLAN3805-gig0/2 SW</t>
  </si>
  <si>
    <t>VLAN3669-gig0/2 SW</t>
  </si>
  <si>
    <t>CISCO2811*2</t>
  </si>
  <si>
    <t>Tehran:33.1.3.36/20Anti:38.1.3.36/20-Semnan:44.1.3.36/20</t>
  </si>
  <si>
    <t>8.1.3.36/32-8.3.3.36/32</t>
  </si>
  <si>
    <t>8.1.3.71/32-8.3.3.71/32</t>
  </si>
  <si>
    <t>8.1.3.85/32-8.3.3.85/32</t>
  </si>
  <si>
    <t>8.1.3.89/32-8.3.3.89/32</t>
  </si>
  <si>
    <t>8.1.4.22/32-8.3.4.22/32</t>
  </si>
  <si>
    <t>استانی MPLS</t>
  </si>
  <si>
    <t>Tehran:33.1.3.71/20Anti:38.1.3.71/20-Semnan:44.1.3.71/20</t>
  </si>
  <si>
    <t>172.40.2.22/30</t>
  </si>
  <si>
    <t>WS-C2960-24PC-L*1</t>
  </si>
  <si>
    <t>Tehran:33.1.3.85/20Anti:38.1.3.85/20-Semnan:44.1.3.85/20</t>
  </si>
  <si>
    <t>روی همه روترهای شعب شیراز ماژول wic1tمازاد داریم وقطعاً مودم tellabsوکابل هم داریم.</t>
  </si>
  <si>
    <t>Tehran:33.1.3.89/20Anti:38.1.3.89/20-Semnan:44.1.3.89/20</t>
  </si>
  <si>
    <t>Tehran:33.1.4.22/20Anti:38.1.4.22/20-Semnan:44.1.4.22/20</t>
  </si>
  <si>
    <t>8.1.2.76 /32-8.3.2.76/32</t>
  </si>
  <si>
    <t>8.1.2.96 /32-8.3.2.96/32</t>
  </si>
  <si>
    <t>8.1.2.97 /32-8.3.2.97/32</t>
  </si>
  <si>
    <t>8.1.2.98 /32-8.3.2.98/32</t>
  </si>
  <si>
    <t>8.1.3.17 /32-8.3.3.17/32</t>
  </si>
  <si>
    <t>8.1.2.31/32-8.3.3.21/32</t>
  </si>
  <si>
    <t>8.1.3.28 /32-8.3.3.28/32</t>
  </si>
  <si>
    <t>8.1.3.24 /32-8.3.3.34/32</t>
  </si>
  <si>
    <t>8.1.3.35/32-8.3.3.35/32</t>
  </si>
  <si>
    <t>8.1.3.63 /32-8.3.3.63/32</t>
  </si>
  <si>
    <t>8.1.3.68 /32-8.3.3.68/32</t>
  </si>
  <si>
    <t>8.1.4.30/32-8.3.4.30/32</t>
  </si>
  <si>
    <t>8.1.4.32 /32-8.3.4.32/32</t>
  </si>
  <si>
    <t>8.1.5.14 /32-8.3.5.14/32</t>
  </si>
  <si>
    <t>8.1.5.38 /32-8.3.5.38/32</t>
  </si>
  <si>
    <t>8.1.5.47 /32-8.3.5.47/32</t>
  </si>
  <si>
    <t>8.1.5.49 /32-8.3.5.49/32</t>
  </si>
  <si>
    <t>8.1.5.51 /32-8.3.5.51/32</t>
  </si>
  <si>
    <t>8.1.3.37/32-8.3.3.37/32</t>
  </si>
  <si>
    <t>8.1.3.52/32-8.3.3.52/32</t>
  </si>
  <si>
    <t>8.1.3.95/32-8.3.3.95/32</t>
  </si>
  <si>
    <t>8.1.4.0./32-8.3.4.0/32</t>
  </si>
  <si>
    <t>8.1.4.79/32-8.3.4.79/32</t>
  </si>
  <si>
    <t>8.1.4.80/32-8.3.4.80/32</t>
  </si>
  <si>
    <t>8.1.5.48/32-8.3.5.48/32</t>
  </si>
  <si>
    <t>8.1.3.33/32-8.3.3.33/32</t>
  </si>
  <si>
    <t xml:space="preserve">8.1.3.86/32-8.3.3.86/32
</t>
  </si>
  <si>
    <t xml:space="preserve">8.1.3.90/32-8.3.3.90/32
</t>
  </si>
  <si>
    <t xml:space="preserve">8.1.4.51/32-8.3.4.51/32
</t>
  </si>
  <si>
    <t>8.1.3.27/32-8.3.3.27/32</t>
  </si>
  <si>
    <t>8.1.3.47/32-8.3.3.47/32</t>
  </si>
  <si>
    <t>8.1.4.9/32-8.3.4.9/32</t>
  </si>
  <si>
    <t>8.1.3.55 /32-8.3.3.55/32</t>
  </si>
  <si>
    <t>8.1.3.99 /32-8.3.3.99/32</t>
  </si>
  <si>
    <t>8.1.4.84/32-8.3.4.84/32</t>
  </si>
  <si>
    <t>8.1.5.5 /32-8.3.5.5/32</t>
  </si>
  <si>
    <t>8.1.5.46 /32-8.3.5.46/32</t>
  </si>
  <si>
    <t>8.1.2.46 /32-8.2.2.46/32-8.3.2.46/32</t>
  </si>
  <si>
    <t>8.1.2.41 /32-8.3.2.41/32</t>
  </si>
  <si>
    <t>8.1.2.93 /32-8.3.2.93/32</t>
  </si>
  <si>
    <t>8.1.3.43 /32-8.3.3.43/32</t>
  </si>
  <si>
    <t>8.1.3.50 /32-8.3.3.50/32</t>
  </si>
  <si>
    <t>8.1.4.66/32-8.3.4.66/32</t>
  </si>
  <si>
    <t>8.1.2.16/32-8.3.2.16/32</t>
  </si>
  <si>
    <t>8.1.2.58 /32-8.3.2.58/32</t>
  </si>
  <si>
    <t>8.1.2.60 /32-8.3.2.60/32</t>
  </si>
  <si>
    <t>8.1.2.69. /32-8.3.2.69/32</t>
  </si>
  <si>
    <t>8.1.2.81 /32-8.3.2.81/32</t>
  </si>
  <si>
    <t>8.1.2.99 /32-8.3.2.99/32</t>
  </si>
  <si>
    <t>8.1.2.14/32-8.3.2.14/32</t>
  </si>
  <si>
    <t>8.1.2.15/32-8.3.2.15/32</t>
  </si>
  <si>
    <t>8.1.2.17/32-8.3.2.17/32</t>
  </si>
  <si>
    <t>8.1.2.18/32-8.3.2.18/32</t>
  </si>
  <si>
    <t>8.1.2.19/32-8.3.2.19/32</t>
  </si>
  <si>
    <t>8.1.2.20/32-8.3.2.20/32</t>
  </si>
  <si>
    <t>8.1.2.21/32-8.3.2.21/32</t>
  </si>
  <si>
    <t>8.1.2.23/32-8.3.2.23/32</t>
  </si>
  <si>
    <t>8.1.2.24/32-8.3.2.24/32</t>
  </si>
  <si>
    <t>8.1.2.25/32-8.3.2.25/32</t>
  </si>
  <si>
    <t>8.1.2.26/32-8.3.2.26/32</t>
  </si>
  <si>
    <t>8.1.2.27/32-8.3.2.27/32</t>
  </si>
  <si>
    <t>8.1.2.28/32-8.3.2.28/32</t>
  </si>
  <si>
    <t>8.1.2.29/32-8.3.2.29/32</t>
  </si>
  <si>
    <t>8.1.2.30/32-8.3.2.30/32</t>
  </si>
  <si>
    <t>8.1.2.31/32-8.3.2.31/32</t>
  </si>
  <si>
    <t>8.1.2.32/32-8.3.2.32/32</t>
  </si>
  <si>
    <t>8.1.2.33/32-8.3.2.33/32</t>
  </si>
  <si>
    <t>8.1.2.34/32-8.3.2.34/32</t>
  </si>
  <si>
    <t>8.1.2.35/32-8.3.2.35/32</t>
  </si>
  <si>
    <t>8.1.2.36/32-8.3.2.36/32</t>
  </si>
  <si>
    <t>8.1.2.37/32-8.3.2.37/32</t>
  </si>
  <si>
    <t>8.1.2.38/32-8.3.2.38/32</t>
  </si>
  <si>
    <t>8.1.2.39/32-8.3.2.39/32</t>
  </si>
  <si>
    <t>8.1.2.43/32-8.3.2.43/32</t>
  </si>
  <si>
    <t>8.1.2.44/32-8.3.2.44/32</t>
  </si>
  <si>
    <t>8.1.2.45/32--8.3.2.45/32</t>
  </si>
  <si>
    <t>8.1.2.54/32--8.3.2.54/32</t>
  </si>
  <si>
    <t>8.1.2.55/32-8.3.2.255/32</t>
  </si>
  <si>
    <t>8.1.2.59/32-8.3.2.59/32</t>
  </si>
  <si>
    <t>8.1.2.63/32-8.3.2.63/32</t>
  </si>
  <si>
    <t>8.1.2.64/32-8.3.2.64/32</t>
  </si>
  <si>
    <t>8.1.2.68/32-8.3.2.68/32</t>
  </si>
  <si>
    <t>8.1.2.74/32-8.3.2.74/32</t>
  </si>
  <si>
    <t>8.1.2.77/32-8.3.2.77/32</t>
  </si>
  <si>
    <t>8.1.2.78/32-8.3.2.78/32</t>
  </si>
  <si>
    <t>8.1.2.80/32-8.3.2.80/32</t>
  </si>
  <si>
    <t>8.1.2.89/32-8.3.2.89/32</t>
  </si>
  <si>
    <t>8.1.2.92/32-8.3.2.92/32</t>
  </si>
  <si>
    <t>8.1.3.1/32-8.3.3.1/32</t>
  </si>
  <si>
    <t>8.1.3.12/32-8.3.3.12/32</t>
  </si>
  <si>
    <t>8.1.3.18/32-8.3.3.18/32</t>
  </si>
  <si>
    <t>8.1.3.29/32-8.3.3.29/32</t>
  </si>
  <si>
    <t>8.1.3.39/32-8.3.3.39/32</t>
  </si>
  <si>
    <t>8.1.3.92/32-8.3.3.92/32</t>
  </si>
  <si>
    <t>8.1.4.77/32-8.3.4.77/32</t>
  </si>
  <si>
    <t>8.1.5.9/32-8.3.5.9/32</t>
  </si>
  <si>
    <t>8.1.5.12/32-8.3.5.12/32</t>
  </si>
  <si>
    <t>8.13.31 /32-8.3.3.31/32</t>
  </si>
  <si>
    <t>8.1.3.53/32-8.3.3.53/32</t>
  </si>
  <si>
    <t>8.1.3.67 /32-8.3.3.67/32</t>
  </si>
  <si>
    <t>8.1.4.7/32-8.3.4.7/32</t>
  </si>
  <si>
    <t>8.1.4.82 /32-8.3.4.82/32</t>
  </si>
  <si>
    <t>8.1.5.11 /32-8.3.5.11/32</t>
  </si>
  <si>
    <t>8.1.5.37 /32-8.3.5.37/32</t>
  </si>
  <si>
    <t>8.1.4.5/32-8.3.4.5/32</t>
  </si>
  <si>
    <t>8.1.4.27/32-8.3.4.27/32</t>
  </si>
  <si>
    <t>8.1.4.40 /32-8.3.4.40/32</t>
  </si>
  <si>
    <t>8.1.4.70 /32-8.3.4.70/32</t>
  </si>
  <si>
    <t>8.1.4.98 /32-8.3.4.98/32</t>
  </si>
  <si>
    <t>8.1.3.82/32-8.3.3.82/32</t>
  </si>
  <si>
    <t>8.1.4.67 /32-8.3.4.67/32</t>
  </si>
  <si>
    <t>8.1.3.46 /32-8.3.3.46/32</t>
  </si>
  <si>
    <t>8.1.3.93/32-8.3.3.93/32</t>
  </si>
  <si>
    <t>8.1.2.62 /32-8.3.2.62/32</t>
  </si>
  <si>
    <t>8.1.2.70/32-8.3.2.70/32</t>
  </si>
  <si>
    <t>8.1.2.72/32-8.3.2.72/32</t>
  </si>
  <si>
    <t>8.1.2.73/32-8.3.2.73/32</t>
  </si>
  <si>
    <t>8.1.3.8 /32-8.3.3.8/32</t>
  </si>
  <si>
    <t>8.1.3.13 /32-8.3.3.13/32</t>
  </si>
  <si>
    <t>8.1.3.41/32-8.3.3.41/32</t>
  </si>
  <si>
    <t>8.1.4.35 /32-8.3.4.35/32</t>
  </si>
  <si>
    <t>Tehran:33.1.4.36/20Anti:38.1.4.36/20-Semnan:44.1.4.36/20</t>
  </si>
  <si>
    <t>8.1.4.36/32-8.3.4.36/32</t>
  </si>
  <si>
    <t>8.1.4.39/32-8.3.4.39/32</t>
  </si>
  <si>
    <t>8.1.4.48 /32-8.3.4.48/32</t>
  </si>
  <si>
    <t>8.1.5.20 /32-8.3.5.20/32</t>
  </si>
  <si>
    <t>8.1.5.42/32-8.3.5.42/32</t>
  </si>
  <si>
    <t>Tehran:33.1.4.39/20Anti:38.1.4.39/20-Semnan:44.1.4.39/20</t>
  </si>
  <si>
    <t>Tehran:33.1.4.48/20Anti:38.1.4.48/20-Semnan:44.1.4.48/20</t>
  </si>
  <si>
    <t>Tehran:33.1.5.20/20Anti:38.1.5.20/20-Semnan:44.1.5.20/20</t>
  </si>
  <si>
    <t>Tehran:6.8.16.38/22-Anti:42.1.5.42/21-Semnan:42.1.5.42/20</t>
  </si>
  <si>
    <t>12.0.0.12/26</t>
  </si>
  <si>
    <t>172.40.2.50/30</t>
  </si>
  <si>
    <t>Tehran:33.1.7.2/20Anti:38.1.3.36/20-Semnan:44.1.7.2/20-FAM:133.1.15.9/24</t>
  </si>
  <si>
    <t>8.1.6.3/32-8.3.6.3/32</t>
  </si>
  <si>
    <t>LAN:172.3.6.58/30-WAN:10.175.248.66/29</t>
  </si>
  <si>
    <t>FastEthernet0/0.50</t>
  </si>
  <si>
    <t>FastEthernet0/0.33-FastEthernet0/0.125</t>
  </si>
  <si>
    <t>SFP Module 1G</t>
  </si>
  <si>
    <t>10.1.143.180/30</t>
  </si>
  <si>
    <t>Tehran:31.1.3.84/21-Semnan:28.1.3.84/21</t>
  </si>
  <si>
    <t>Tehran:33.13.84/20-Anti:38.1.3.84/20-Seman:44.1.3.84/20</t>
  </si>
  <si>
    <t>Tehran:62.3.84.1/12-Off-Anti:40.1.16.7/24-Off-Seman:63.3.84.1/12</t>
  </si>
  <si>
    <t>Tehran:33.14.3/20-Anti:38.1.4.3/20-Seman:44.1.4.3/20</t>
  </si>
  <si>
    <t>Tehran:33.14.17/20-Anti:38.1.4.17/20-Seman:44.1.4.17/20</t>
  </si>
  <si>
    <t>Tehran:33.14.92/20-Anti:38.1.4.927/20-Seman:44.1.4.92/20</t>
  </si>
  <si>
    <t xml:space="preserve">  PTMP</t>
  </si>
  <si>
    <t>Tehran:31.1.3.45/21-Semnan:28.1.3.45/21</t>
  </si>
  <si>
    <t>Tehran:33.1.3.45/20-Fam:133.1.3.29/20-Anti:38.1.3.45/20-Semnan:44.1.3.45/20</t>
  </si>
  <si>
    <t>Tehran:62.3.45.1/12down-Anti:40.1.16.22/24(Off)-Seman:63.3.45.1/12 UP</t>
  </si>
  <si>
    <t>10.3.45.1 /24-VLAN100-10.0.35.1/24-VLAN101-10.9.125.97/29-VLAN125-90.90.90.144/30</t>
  </si>
  <si>
    <t>روترها تعویض شود/افزونگی انجام شود</t>
  </si>
  <si>
    <t>Tehran:33.1.3.19/20-Anti:38.1.3.19/20-Semnan:44.1.3.19/20</t>
  </si>
  <si>
    <t>Tehran:33.1.3.38/20-Anti:38.1.3.38/20-Semnan:44.1.3.38/20</t>
  </si>
  <si>
    <t>Tehran:33.1.3.76/20-Anti:38.1.3.76/20-Semnan:44.1.3.76/20</t>
  </si>
  <si>
    <t>Tehran:33.1.4.37/20-Anti:38.1.4.37/20-Semnan:44.1.4.37/20</t>
  </si>
  <si>
    <t>Tehran:33.1.4.41/20-Anti:38.1.4.41/20-Semnan:44.1.4.41/20</t>
  </si>
  <si>
    <t>100/03/256265</t>
  </si>
  <si>
    <t>100/04/373622</t>
  </si>
  <si>
    <t>WS-C2960+24PC-L</t>
  </si>
  <si>
    <t>SFP Module</t>
  </si>
  <si>
    <t>VLAN2698-GigabitEthernet0/1</t>
  </si>
  <si>
    <t>VLAN3615-GigabitEthernet0/1</t>
  </si>
  <si>
    <t>99994039</t>
  </si>
  <si>
    <t>99994536</t>
  </si>
  <si>
    <t>تغییر مسک کشوری واینترانت برای افزونگی</t>
  </si>
  <si>
    <t>Tehran:62.4.64.1/12-Off-Anti:40.1.16.12/24-Off-Seman:63.4.64.1/12</t>
  </si>
  <si>
    <t>WAN:10.88.170.66/28-LAN:10.88.68.66/30</t>
  </si>
  <si>
    <t>192.168.174.1/26(Branch)-192.168.174.129/26(ATM)</t>
  </si>
  <si>
    <t>Tehran:33.1.3.44/20-Anti:38.1.3.44/20-Seman:44.1.3.44/20</t>
  </si>
  <si>
    <t>Tehran:62.3.44.1/12-Off-Anti:40.1.16.25/24-Off-Seman:63.3.44.1/12</t>
  </si>
  <si>
    <t>Tehran:33.1.2.62/20-Anti:38.1.2.62/20-Seman:44.1.2.62/20</t>
  </si>
  <si>
    <t>Tehran:33.1.2.70/20-Anti:38.1.2.70/20-Seman:44.1.2.70/20</t>
  </si>
  <si>
    <t>Tehran:33.1.2.72/20-Anti:38.1.2.72/20-Seman:44.1.2.72/20</t>
  </si>
  <si>
    <t>FastEthernet0/0.272</t>
  </si>
  <si>
    <t>VLAN 272-FE23 SW</t>
  </si>
  <si>
    <t>Tehran:33.1.2.73/20-Anti:38.1.2.73/20-Seman:44.1.2.73/20</t>
  </si>
  <si>
    <t>Tehran:33.1.3.8/20-Anti:38.1.3.8/20-Seman:44.1.3.8/20</t>
  </si>
  <si>
    <t>Tehran:33.1.3.13/20-Anti:38.1.3.13/20-Seman:44.1.3.13/20</t>
  </si>
  <si>
    <t>Tehran:33.1.3.41/20-Anti:38.1.3.41/20-Seman:44.1.3.41/20</t>
  </si>
  <si>
    <t>Tehran:33.1.4.35/20-Anti:38.1.4.35/20-Seman:44.1.4.35/20</t>
  </si>
  <si>
    <t>PTMP-VPLS</t>
  </si>
  <si>
    <t>قم</t>
  </si>
  <si>
    <t>مرکزی</t>
  </si>
  <si>
    <t>10.3.32.1/24-VLAN100</t>
  </si>
  <si>
    <t>10.3.32.99 /24</t>
  </si>
  <si>
    <t>8.1.3.32/32-8.2.3.32/32-8.3.3.32/32</t>
  </si>
  <si>
    <t>FastEthernet0/1.2658</t>
  </si>
  <si>
    <t>VLAN2658-FE20 SW</t>
  </si>
  <si>
    <t>FTTH-Fiber home Modem</t>
  </si>
  <si>
    <t>192.168.131.1/26</t>
  </si>
  <si>
    <t>192.168.130.1/26</t>
  </si>
  <si>
    <t>FastEthernet0/1.960</t>
  </si>
  <si>
    <t>VLAN 960-FE22 SW</t>
  </si>
  <si>
    <t>10.13.2.90/29</t>
  </si>
  <si>
    <t>قم (میدان جهاد)</t>
  </si>
  <si>
    <t>573393</t>
  </si>
  <si>
    <t>10.3.57.1 /24-VLAN100</t>
  </si>
  <si>
    <t>10.3.57.2 /24</t>
  </si>
  <si>
    <t>192.168.131.4/26</t>
  </si>
  <si>
    <t>192.168.130.2/26</t>
  </si>
  <si>
    <t>620236</t>
  </si>
  <si>
    <t>10.48.249.110/30</t>
  </si>
  <si>
    <t>Tehran:31.1.3.32/20-Semnan:28.1.3.32/20</t>
  </si>
  <si>
    <t>Tehran:62.3.32.1/12down-Anti:40.1.16.4/24(Off)-Seman:63.3.32.1/12 UP</t>
  </si>
  <si>
    <t>Tehran:62.5.43.1/12down-Anti:40.1.16.24/24(Off)-Seman:63.5.43.1/12 UP</t>
  </si>
  <si>
    <t>WAN:10.48.3.57/29-LAN:172.26.32.34/30</t>
  </si>
  <si>
    <t>WAN:10.139.10.3/24-LAN:172.26.32.38/30</t>
  </si>
  <si>
    <t>8.1.3.57/32-8.3.3.57/32</t>
  </si>
  <si>
    <t>6.8.18.230/22</t>
  </si>
  <si>
    <t>Tehran:33.13.57/20-Anti:38.1.3.57/20-Semnan:44.1.3.57/20</t>
  </si>
  <si>
    <t>Tehran:33.13.32/20-Anti:38.1.3.32/20-Semnan:44.1.3.33/20</t>
  </si>
  <si>
    <t>6.3.18.230/30</t>
  </si>
  <si>
    <t>10.8.79.20-10.8.79.255</t>
  </si>
  <si>
    <t>کردستان</t>
  </si>
  <si>
    <t>سنندج</t>
  </si>
  <si>
    <t>518543</t>
  </si>
  <si>
    <t>8.1.3.59 /32-8.2.3.59/32-8.3.3.59/32</t>
  </si>
  <si>
    <t>10.249.31.34/28</t>
  </si>
  <si>
    <t>PTMP Noronta</t>
  </si>
  <si>
    <t>10.13.2.234/29</t>
  </si>
  <si>
    <t>قروه</t>
  </si>
  <si>
    <t>535801</t>
  </si>
  <si>
    <t>593572</t>
  </si>
  <si>
    <t>10.249.26.114/28</t>
  </si>
  <si>
    <t>Tehran:31.1.3.59/21-Semnan:28.1.3.59/21</t>
  </si>
  <si>
    <t>Tehran:33.1.3.59/20-Anti:38.1.3.59/20-Seman:44.1.3.59/20</t>
  </si>
  <si>
    <t>Tehran:33.1.4.44/20-Anti:38.1.4.44/20-Seman:44.1.4.44/20</t>
  </si>
  <si>
    <t>8.1.4.44 /32-8.3.4.44/32</t>
  </si>
  <si>
    <t>WAN:10.139.15.1/32-LAN:10.20.220.182/30</t>
  </si>
  <si>
    <t>Tehran:62.3.59.1/12-Off-Anti:40.1.16.6/24-Off-Seman:63.3.59.1/12</t>
  </si>
  <si>
    <t>کرمان</t>
  </si>
  <si>
    <t>جمهوری کرمان</t>
  </si>
  <si>
    <t>518546</t>
  </si>
  <si>
    <t>172.23.24.50/30</t>
  </si>
  <si>
    <t>8.1.3.65 /32-8.2.3.65/32-8.3.3.65/32</t>
  </si>
  <si>
    <t>FastEthernet0/1.360</t>
  </si>
  <si>
    <t xml:space="preserve">fos :3411016432 </t>
  </si>
  <si>
    <t>VLAN 360-FE23 SW</t>
  </si>
  <si>
    <t>592462</t>
  </si>
  <si>
    <t>10.152.169.106 /29</t>
  </si>
  <si>
    <t>FastEthernet0/1.362</t>
  </si>
  <si>
    <t>VLAN 362-FE23 SW</t>
  </si>
  <si>
    <t>172.23.27.186/30</t>
  </si>
  <si>
    <t>FastEthernet0/1.361</t>
  </si>
  <si>
    <t>VLAN 361-FE23 SW</t>
  </si>
  <si>
    <t>541748</t>
  </si>
  <si>
    <t>L0 : 100.100.100.100/32</t>
  </si>
  <si>
    <t>10.13.3.106/29</t>
  </si>
  <si>
    <t>FastEthernet0/2/1</t>
  </si>
  <si>
    <t>امام خمینی کرمان</t>
  </si>
  <si>
    <t>172.23.27.190/30</t>
  </si>
  <si>
    <t xml:space="preserve">10.152.13.177/30-10.152.170.156/30
</t>
  </si>
  <si>
    <t>بم</t>
  </si>
  <si>
    <t>627725</t>
  </si>
  <si>
    <t>172.23.27.202/30</t>
  </si>
  <si>
    <t>10.152.42.10/29</t>
  </si>
  <si>
    <t>رفسنجان</t>
  </si>
  <si>
    <t>628755</t>
  </si>
  <si>
    <t>172.23.27.194/30</t>
  </si>
  <si>
    <t>10.152.40.234/29</t>
  </si>
  <si>
    <t>6.3.18.90/30</t>
  </si>
  <si>
    <t>6.8.18.90/21</t>
  </si>
  <si>
    <t>مطهری کرمان</t>
  </si>
  <si>
    <t>جیرفت</t>
  </si>
  <si>
    <t>627726</t>
  </si>
  <si>
    <t>172.23.27.206/30</t>
  </si>
  <si>
    <t>10.152.40.242/29</t>
  </si>
  <si>
    <t>جهاد کرمان</t>
  </si>
  <si>
    <t>بابک</t>
  </si>
  <si>
    <t>5-8,25-27</t>
  </si>
  <si>
    <t>10.152.49.78/30</t>
  </si>
  <si>
    <t>سیرجان</t>
  </si>
  <si>
    <t>627728</t>
  </si>
  <si>
    <t>172.23.27.222/30</t>
  </si>
  <si>
    <t>10.152.42.26/29</t>
  </si>
  <si>
    <t>زرند</t>
  </si>
  <si>
    <t>627729</t>
  </si>
  <si>
    <t>172.23.27.214/30</t>
  </si>
  <si>
    <t>585923</t>
  </si>
  <si>
    <t>10.152.42.186/29</t>
  </si>
  <si>
    <t>کهنوج</t>
  </si>
  <si>
    <t>627730</t>
  </si>
  <si>
    <t>172.23.27.210/30</t>
  </si>
  <si>
    <t>10.152.42.18/29</t>
  </si>
  <si>
    <t>باقت</t>
  </si>
  <si>
    <t>بافت</t>
  </si>
  <si>
    <t>627733</t>
  </si>
  <si>
    <t>172.23.27.218/30</t>
  </si>
  <si>
    <t>10.152.42.2/29</t>
  </si>
  <si>
    <t>انار</t>
  </si>
  <si>
    <t>627734</t>
  </si>
  <si>
    <t>172.23.27.198/30</t>
  </si>
  <si>
    <t>583364</t>
  </si>
  <si>
    <t>10.152.40.250/29</t>
  </si>
  <si>
    <t>استانیMPLS</t>
  </si>
  <si>
    <t xml:space="preserve">6 Mb </t>
  </si>
  <si>
    <t>Tehran:33.1.3.65/20-Anti:38.1.3.65/20-Seman:44.1.3.65/20</t>
  </si>
  <si>
    <t>8.1.3.74 /32-8.3.3.74/32</t>
  </si>
  <si>
    <t>8.1.3.77/32-8.3.3.77/32</t>
  </si>
  <si>
    <t>8.1.3.78/32-8.3.3.78/32</t>
  </si>
  <si>
    <t>8.1.3.81/32-8.3.3.81/32</t>
  </si>
  <si>
    <t>8.1.3.91/32-8.3.3.91/32</t>
  </si>
  <si>
    <t>8.1.3.94/32-8.3.3.94/32</t>
  </si>
  <si>
    <t>8.1.3.96/32-8.3.3.96/32</t>
  </si>
  <si>
    <t>8.1.3.97/32-8.3.3.97/32</t>
  </si>
  <si>
    <t>8.1.4.2/32-8.3.4.2/32</t>
  </si>
  <si>
    <t>8.1.4.45 /32-8.3.4.45/32</t>
  </si>
  <si>
    <t>A-834-1-Sakhteman-Mehr-Iran</t>
  </si>
  <si>
    <t>10.8.34.1/30</t>
  </si>
  <si>
    <t>6.3.15.70/30مشکل ردیوس</t>
  </si>
  <si>
    <t>6.8.15.70/20</t>
  </si>
  <si>
    <t>A-834-9-Forodgah</t>
  </si>
  <si>
    <t>660977</t>
  </si>
  <si>
    <t>10.8.34.9/30</t>
  </si>
  <si>
    <t>172.23.59.210/30</t>
  </si>
  <si>
    <t>192.168.178.130/30</t>
  </si>
  <si>
    <t>10.8.34.12-10.8.34.39</t>
  </si>
  <si>
    <t>C-834-41-Bazarchesahebzaman</t>
  </si>
  <si>
    <t>10.8.34.41/30</t>
  </si>
  <si>
    <t>172.23.27.246/30</t>
  </si>
  <si>
    <t>192.168.178.138/30</t>
  </si>
  <si>
    <t>A-834-57-Alaie</t>
  </si>
  <si>
    <t>10.8.34.57/30</t>
  </si>
  <si>
    <t>172.23.27.250/30</t>
  </si>
  <si>
    <t>192.168.178.146/30</t>
  </si>
  <si>
    <t>10.8.34.44-10.8.34.63</t>
  </si>
  <si>
    <t>A-834-141-SIBSIRJAN</t>
  </si>
  <si>
    <t>10.8.34.141/30</t>
  </si>
  <si>
    <t>6.3.0.74 /30</t>
  </si>
  <si>
    <t>6.8.0.74/20</t>
  </si>
  <si>
    <t>A-834-149-Hotel-Lutus</t>
  </si>
  <si>
    <t>FastEthernet0/1.2143</t>
  </si>
  <si>
    <t>FastEthernet0/1.3681</t>
  </si>
  <si>
    <t>LAN:172.26.79.82/29-WAN:10.139.7.1/24</t>
  </si>
  <si>
    <t>VLAN 3681-FE21 SW</t>
  </si>
  <si>
    <t>VLAN 2143-FE20 SW</t>
  </si>
  <si>
    <t>فردوسی(کرمانشاه)</t>
  </si>
  <si>
    <t>518545</t>
  </si>
  <si>
    <t>10.4.43.99/24-10.4.43.100/24</t>
  </si>
  <si>
    <t>10.139.16.1/24</t>
  </si>
  <si>
    <t>8.1.4.43/32-8.2.4.43/32-8.3.4.43/32</t>
  </si>
  <si>
    <t>0./35</t>
  </si>
  <si>
    <t>10.246.2.138/29</t>
  </si>
  <si>
    <t>536246</t>
  </si>
  <si>
    <t>L10:   100.100.100.100/32-L11: 101.101.101.101/32</t>
  </si>
  <si>
    <t>192.168.146.1/26-192.168.146.65/26</t>
  </si>
  <si>
    <t>1-28</t>
  </si>
  <si>
    <t>3-29</t>
  </si>
  <si>
    <t>10.13.2.42/29</t>
  </si>
  <si>
    <t>گلستان(كرمانشاه)</t>
  </si>
  <si>
    <t>VLAN 22-FE21 SW</t>
  </si>
  <si>
    <t>مسكن كرمانشاه</t>
  </si>
  <si>
    <t>10.246.51.250/29</t>
  </si>
  <si>
    <t>سنقر</t>
  </si>
  <si>
    <t>سنقر(کرمانشاه)</t>
  </si>
  <si>
    <t>583116</t>
  </si>
  <si>
    <t>4-11</t>
  </si>
  <si>
    <t>10.246.2.98/29</t>
  </si>
  <si>
    <t>اسلام آباد</t>
  </si>
  <si>
    <t>9702120019</t>
  </si>
  <si>
    <t>10.3.61.2 /24</t>
  </si>
  <si>
    <t>192.168.146.7 /26</t>
  </si>
  <si>
    <t>172.16.15.174 /30-10.246.6.114/29</t>
  </si>
  <si>
    <t>10.4.43.1/24-VLAN100-10.0.33.0/24-VLAN101-10.9.125.137/29-VLAN125-90.90.90.61/30-VLAN90(Connected)</t>
  </si>
  <si>
    <t>Tehran:31.1.4.43/21-Semnan:28.1.4.43/21</t>
  </si>
  <si>
    <t>Tehran:33.1.4.43/20-Tehran:133.1.4.43/20(FAM)-Anti:38.1.4.43/20-Seman:44.1.4.43/20</t>
  </si>
  <si>
    <t>8.1.3.61/32-8.3.3.61/32</t>
  </si>
  <si>
    <t>8.1.5.4 /32-8.3.5.4/32</t>
  </si>
  <si>
    <t>8.1.5.21 /32-8.3.5.21/32</t>
  </si>
  <si>
    <t>قطعip unnumbered FastEthernet0/0</t>
  </si>
  <si>
    <t>1/0</t>
  </si>
  <si>
    <t>A-850-13-Shahrema</t>
  </si>
  <si>
    <t>10.8.50.13/30</t>
  </si>
  <si>
    <t>192.168.146.68/26</t>
  </si>
  <si>
    <t>27-28</t>
  </si>
  <si>
    <t>کهکیلویه و بویر احمد</t>
  </si>
  <si>
    <t>یاسوج</t>
  </si>
  <si>
    <t>10.139.23.1/24</t>
  </si>
  <si>
    <t>8.1.4.12 /32-8.2.4.12/32-8.3.4.12/32</t>
  </si>
  <si>
    <t>FastEthernet0/1.2216</t>
  </si>
  <si>
    <t>VLAN 2216-FE17 SW</t>
  </si>
  <si>
    <t>10.181.9.34/29</t>
  </si>
  <si>
    <t>FastEthernet0/1.2217</t>
  </si>
  <si>
    <t>VLAN 2217-FE17 SW</t>
  </si>
  <si>
    <t>172.40.2.58/29</t>
  </si>
  <si>
    <t>FastEthernet0/1.331</t>
  </si>
  <si>
    <t>VLAN 331-FE17 SW</t>
  </si>
  <si>
    <t>6.3.17.194/30</t>
  </si>
  <si>
    <t>6.8.17.194/22</t>
  </si>
  <si>
    <t>VLAN 22-FE19 SW</t>
  </si>
  <si>
    <t>10.13.2.82/29</t>
  </si>
  <si>
    <t>گچساران</t>
  </si>
  <si>
    <t>40202463794</t>
  </si>
  <si>
    <t>172.40.2.66/30</t>
  </si>
  <si>
    <t>10.181.9.209/29</t>
  </si>
  <si>
    <t>6.3.16.46/30</t>
  </si>
  <si>
    <t>6.8.16.46/22</t>
  </si>
  <si>
    <t>MPLS استانی</t>
  </si>
  <si>
    <t>Tehran:31.1.4.12/21-Semnan:28.1.4.12/21</t>
  </si>
  <si>
    <t>Tehran:33.1.4.12/20-Anti:38.1.4.12/20-Seman:44.1.4.12/20</t>
  </si>
  <si>
    <t>Tehran:33.1.5.39/20-Anti:38.1.5.392/20-Seman:44.1.5.39/20</t>
  </si>
  <si>
    <t>8.1.5.39 /32-8.3.5.39/32</t>
  </si>
  <si>
    <t>Tehran:62.4.12.1/12-Off-Anti:40.1.16.15/24-Off-Seman:63.4.12.1/12</t>
  </si>
  <si>
    <t>یزد</t>
  </si>
  <si>
    <t xml:space="preserve">8.1.2.47/32-8.2.2.47/32-8.3.2.47/32
</t>
  </si>
  <si>
    <t>10.144.39.234/29</t>
  </si>
  <si>
    <t>589013</t>
  </si>
  <si>
    <t>10.13.2.218/29</t>
  </si>
  <si>
    <t>یزد (صفائیه)</t>
  </si>
  <si>
    <t>589027</t>
  </si>
  <si>
    <t>10.144.43.26/29</t>
  </si>
  <si>
    <t>یزد (جمهوری)</t>
  </si>
  <si>
    <t>Tehran:31.1.2.47/21-Semnan28.1.2.47/21</t>
  </si>
  <si>
    <t>Tehran:33.1.2.47/20-Anti:38.1.2.47/20-Seman:44.1.2.47/20</t>
  </si>
  <si>
    <t>Tehran:33.1.3.49/20-Anti:38.1.3.49/20-Seman:44.1.3.49/20</t>
  </si>
  <si>
    <t>8.1.3.49 /32-8.3.3.49/32</t>
  </si>
  <si>
    <t>FastEthernet0/1.42</t>
  </si>
  <si>
    <t>FastEthernet0/1.2005</t>
  </si>
  <si>
    <t>FastEthernet0/1.2535</t>
  </si>
  <si>
    <t>VLAN 2535-FE19 SW</t>
  </si>
  <si>
    <t>VLAN 2005-FE20 SW</t>
  </si>
  <si>
    <t>VLAN 42-FE21 SW</t>
  </si>
  <si>
    <t>40102442258</t>
  </si>
  <si>
    <t>Tehran:62.2.47.1/12-Off-Anti:40.1.16.23/24-Off-Seman:63.2.47.1/12</t>
  </si>
  <si>
    <t>گیلان</t>
  </si>
  <si>
    <t>رشت</t>
  </si>
  <si>
    <t>شریعتی رشت</t>
  </si>
  <si>
    <t>10.2.79.1/24-VLAN100-10.0.26.1/24-VLAN101-10.9.125.89/29-VLAN125</t>
  </si>
  <si>
    <t>10.121.249.202/29</t>
  </si>
  <si>
    <t>GigabitEthernet0/0/1.367</t>
  </si>
  <si>
    <t>VLAN 367-FE19 SW</t>
  </si>
  <si>
    <t>10.121.51.18/29</t>
  </si>
  <si>
    <t>GigabitEthernet0/0/1.86</t>
  </si>
  <si>
    <t>VLAN 86-FE19 SW</t>
  </si>
  <si>
    <t>573060</t>
  </si>
  <si>
    <t>192.168.100.2/29</t>
  </si>
  <si>
    <t>GigabitEthernet0/0/1.200</t>
  </si>
  <si>
    <t>VLAN 200-FE22 SW</t>
  </si>
  <si>
    <t>645893</t>
  </si>
  <si>
    <t>192.168.215.129/26</t>
  </si>
  <si>
    <t>192.168.214.129 /26</t>
  </si>
  <si>
    <t>GigabitEthernet0/0/1.131</t>
  </si>
  <si>
    <t>VLAN 131-FE19 SW</t>
  </si>
  <si>
    <t>10.13.2.186/29</t>
  </si>
  <si>
    <t>VLAN 26-FE17 SW</t>
  </si>
  <si>
    <t>صومعه سرا</t>
  </si>
  <si>
    <t>192.168.100.10/30</t>
  </si>
  <si>
    <t>10.121.51.34/28</t>
  </si>
  <si>
    <t>Cisco 800 R&amp;M &amp;RJ11-Cable</t>
  </si>
  <si>
    <t>لاهیجان</t>
  </si>
  <si>
    <t>547612</t>
  </si>
  <si>
    <t>192.168.100.14/30</t>
  </si>
  <si>
    <t>609604</t>
  </si>
  <si>
    <t>10.121.51.50/28</t>
  </si>
  <si>
    <t>لنگرود</t>
  </si>
  <si>
    <t>192.168.100.18/30</t>
  </si>
  <si>
    <t>9902217902</t>
  </si>
  <si>
    <t>10.121.131.210/28</t>
  </si>
  <si>
    <t>طالقانی رشت</t>
  </si>
  <si>
    <t>192.168.100.22/30</t>
  </si>
  <si>
    <t>10.121.51.66/28</t>
  </si>
  <si>
    <t>Tainet GNTU 1520 Modem&amp;Ethernet Cable</t>
  </si>
  <si>
    <t>10.13.7.178 /29</t>
  </si>
  <si>
    <t>آستارا</t>
  </si>
  <si>
    <t>547615</t>
  </si>
  <si>
    <t>192.168.100.26/30</t>
  </si>
  <si>
    <t>10.121.51.82/28</t>
  </si>
  <si>
    <t>10.13.8.26/29</t>
  </si>
  <si>
    <t>گلسار رشت</t>
  </si>
  <si>
    <t>10.121.51.98/28</t>
  </si>
  <si>
    <t>FTTH Huawei Modem</t>
  </si>
  <si>
    <t>6.3.17.62/30</t>
  </si>
  <si>
    <t>FastEthernet0/0.5</t>
  </si>
  <si>
    <t>VLAN 5-FE22 SW</t>
  </si>
  <si>
    <t>رودسر</t>
  </si>
  <si>
    <t>192.168.100.34/30</t>
  </si>
  <si>
    <t>10.121.51.194/28</t>
  </si>
  <si>
    <t>بندر انزلی</t>
  </si>
  <si>
    <t>192.168.100.38/30</t>
  </si>
  <si>
    <t>10.121.51.162/28</t>
  </si>
  <si>
    <t>تالش</t>
  </si>
  <si>
    <t>192.168.100.42/30</t>
  </si>
  <si>
    <t>10.121.51.242/28</t>
  </si>
  <si>
    <t>فومن</t>
  </si>
  <si>
    <t>192.168.100.46/30</t>
  </si>
  <si>
    <t>10.121.51.210/28</t>
  </si>
  <si>
    <t>بهشتی رشت</t>
  </si>
  <si>
    <t>192.168.100.50/30</t>
  </si>
  <si>
    <t>10.121.51.130/29</t>
  </si>
  <si>
    <t>آستانه</t>
  </si>
  <si>
    <t>آستانه اشرفیه</t>
  </si>
  <si>
    <t>547623</t>
  </si>
  <si>
    <t>192.168.100.54/30</t>
  </si>
  <si>
    <t>10.121.51.226/28</t>
  </si>
  <si>
    <t>بازارچه محلی</t>
  </si>
  <si>
    <t>192.168.100.58/30</t>
  </si>
  <si>
    <t>10.121.51.114/28</t>
  </si>
  <si>
    <t>ماسال</t>
  </si>
  <si>
    <t>Tehran:31.1.2.79/21-Semnan28.1.2.79/21</t>
  </si>
  <si>
    <t>8.1.2.79 /32-8.2.2.79/32-8.3.2.79/32</t>
  </si>
  <si>
    <t>Tehran:62.2.79.1/12-Off-Anti:40.1.16.27/24-Off-Seman:63.2.79.1/12</t>
  </si>
  <si>
    <t>Tehran:33.1.2.79/20-FAM:133.1.3.19/20-Anti:38.1.2.79/20-Seman:44.1.2.79/20</t>
  </si>
  <si>
    <t>Tehran:33.1.2.84/20-Anti:38.1.2.84/20-Seman:44.1.2.84/20</t>
  </si>
  <si>
    <t>8.1.2.84 /32-8.3.2.84/32</t>
  </si>
  <si>
    <t>Tehran:33.1.2.85/20-Anti:38.1.2.85/20-Seman:44.1.2.85/20</t>
  </si>
  <si>
    <t>8.1.2.85 /32-8.3.2.85/32</t>
  </si>
  <si>
    <t>Tehran:33.1.2.86/20-Anti:38.1.2.86/20-Seman:44.1.2.86/20</t>
  </si>
  <si>
    <t>8.1.2.86 /32-8.3.2.86/32</t>
  </si>
  <si>
    <t>Tehran:33.1.3.2/20-Anti:38.1.3.2/20-Seman:44.13.2/20</t>
  </si>
  <si>
    <t>Tehran:62.3.2.1/12-Off-Seman:63.3.2.1/12</t>
  </si>
  <si>
    <t>8.1.3.2 /32-8.3.3.2/32</t>
  </si>
  <si>
    <t>Tehran:33.1.3.3/20-Anti:38.1.3.3/20-Seman:44.13.3/20</t>
  </si>
  <si>
    <t>Tehran:62.3.3.1/12-Off-Seman:63.3.3.1/12</t>
  </si>
  <si>
    <t>8.1.3.3 /32-8.3.3.3/32</t>
  </si>
  <si>
    <t>8.1.3.5 /32-8.3.3.5/32</t>
  </si>
  <si>
    <t>Tehran:6.8.17.62/20-Anti:40.1.0.15/20-Semnan:42.1.3.5/21</t>
  </si>
  <si>
    <t>Tehran:33.1.3.6/20-Anti:38.1.3.6/20-Seman:44.13.6/20</t>
  </si>
  <si>
    <t>8.1.3.6 /32-8.3.3.6/32</t>
  </si>
  <si>
    <t>Tehran:33.1.3.7/20-Anti:38.1.3.7/20-Seman:44.13.7/20</t>
  </si>
  <si>
    <t>8.1.3.7 /32-8.3.3.7/32</t>
  </si>
  <si>
    <t>Tehran:33.1.3.9/20-Anti:38.1.3.9/20-Seman:44.13.9/20</t>
  </si>
  <si>
    <t>8.1.3.9 /32-8.3.3.9/32</t>
  </si>
  <si>
    <t>Tehran:33.1.3.16/20-Anti:38.1.3.16/20-Seman:44.13.16/20</t>
  </si>
  <si>
    <t>8.1.3.16 /32-8.3.3.16/32</t>
  </si>
  <si>
    <t>Tehran:33.1.3.42/20-Anti:38.1.3.42/20-Seman:44.13.42/20</t>
  </si>
  <si>
    <t>8.1.3.42 /32-8.3.3.42/32</t>
  </si>
  <si>
    <t>6.8.18.70/22</t>
  </si>
  <si>
    <t>6.3.18.70/30</t>
  </si>
  <si>
    <t>Tehran:33.1.3.60/20-Anti:38.1.3.60/20-Seman:44.13.60/20</t>
  </si>
  <si>
    <t>Tehran:33.1.4.23/20-Anti:38.1.4.23/20-Seman:44.1.4.23/20</t>
  </si>
  <si>
    <t>8.1.3.60 /32-8.3.3.60/32</t>
  </si>
  <si>
    <t>8.1.4.23/32-8.3.4.23/32</t>
  </si>
  <si>
    <t>VLAN 423-FE22 SW</t>
  </si>
  <si>
    <t>FastEthernet0/0.423</t>
  </si>
  <si>
    <t>6.8.19.6/22</t>
  </si>
  <si>
    <t>6.3.19.6/30</t>
  </si>
  <si>
    <t>1399150048</t>
  </si>
  <si>
    <t>10.8.42.68-10.8.42.255</t>
  </si>
  <si>
    <t>ADSL Tenda</t>
  </si>
  <si>
    <t>10.8.42.16-10.8.42.63</t>
  </si>
  <si>
    <t>گرگان</t>
  </si>
  <si>
    <t>ولیعصر گرگان</t>
  </si>
  <si>
    <t>405573</t>
  </si>
  <si>
    <t>10.2.53.1 /24-VLAN100-10.0.25.2/26-VLAN 101-10.9.125.83/29-VLAN125</t>
  </si>
  <si>
    <t>10.139.4.2/24</t>
  </si>
  <si>
    <t>8.1.2.53 /32/8.2.2.53/32-8.3.2.53/32</t>
  </si>
  <si>
    <t>GigabitEthernet0/2.879</t>
  </si>
  <si>
    <t xml:space="preserve"> مرکز ولیعصر 100/96/481489</t>
  </si>
  <si>
    <t>SDH-OSN500 Huawei</t>
  </si>
  <si>
    <t>VLAN 879-FE1 SW</t>
  </si>
  <si>
    <t>SW-C2960-24TT-L*3</t>
  </si>
  <si>
    <t>608120</t>
  </si>
  <si>
    <t>10.75.15.178/29</t>
  </si>
  <si>
    <t>GigabitEthernet0/1.1327</t>
  </si>
  <si>
    <t>VLAN 1327-FE1 SW</t>
  </si>
  <si>
    <t>556839</t>
  </si>
  <si>
    <t>GigabitEthernet0/1.995</t>
  </si>
  <si>
    <t>VLAN 995-FE1 SW</t>
  </si>
  <si>
    <t>9702069807</t>
  </si>
  <si>
    <t>GigabitEthernet0/1.2235</t>
  </si>
  <si>
    <t>VLAN 2235-FE1 SW</t>
  </si>
  <si>
    <t>541012</t>
  </si>
  <si>
    <t>L0:100.100.100.100/32-L1:101.101.101.101/32</t>
  </si>
  <si>
    <t>9802153460</t>
  </si>
  <si>
    <t>192.168.207.1/26</t>
  </si>
  <si>
    <t>GigabitEthernet0/1.130</t>
  </si>
  <si>
    <t>VLAN 130-FE18 SW</t>
  </si>
  <si>
    <t>9702064679</t>
  </si>
  <si>
    <t>10.13.2.106/28</t>
  </si>
  <si>
    <t>GigabitEthernet0/1.26</t>
  </si>
  <si>
    <t>سرخواجه گرگان</t>
  </si>
  <si>
    <t>192.168.210.42/30</t>
  </si>
  <si>
    <t>25403176055</t>
  </si>
  <si>
    <t>10.75.41.224 \30</t>
  </si>
  <si>
    <t>گنبد کاووس</t>
  </si>
  <si>
    <t>548478</t>
  </si>
  <si>
    <t>192.168.210.26/30</t>
  </si>
  <si>
    <t>10.75.15.134/30</t>
  </si>
  <si>
    <t>علی آباد کتول</t>
  </si>
  <si>
    <t xml:space="preserve">PTP </t>
  </si>
  <si>
    <t>192.168.208.10/29</t>
  </si>
  <si>
    <t>10.75.15.130/30</t>
  </si>
  <si>
    <t>192.168.208.11/29</t>
  </si>
  <si>
    <t>10.75.15.138/30</t>
  </si>
  <si>
    <t>امام خمینی گرگان</t>
  </si>
  <si>
    <t>مینودشت</t>
  </si>
  <si>
    <t>192.168.210.30/30</t>
  </si>
  <si>
    <t>10.75.15.158/30</t>
  </si>
  <si>
    <t>فلکه کریمی</t>
  </si>
  <si>
    <t>10.3.25.2 /24</t>
  </si>
  <si>
    <t>192.168.210.18/30</t>
  </si>
  <si>
    <t>192.168.207.22/26</t>
  </si>
  <si>
    <t>10.75.15.150/30</t>
  </si>
  <si>
    <t>آزادشهر</t>
  </si>
  <si>
    <t>192.168.210.34/30</t>
  </si>
  <si>
    <t>10.75.15.162/30</t>
  </si>
  <si>
    <t>ایرانمهر</t>
  </si>
  <si>
    <t>192.168.210.14/30</t>
  </si>
  <si>
    <t>10.75.15.142/30</t>
  </si>
  <si>
    <t>گالیکش</t>
  </si>
  <si>
    <t>10.75.22.34/29</t>
  </si>
  <si>
    <t>6.8.16.206/22</t>
  </si>
  <si>
    <t>بندر گز</t>
  </si>
  <si>
    <t>192.168.210.38/30</t>
  </si>
  <si>
    <t>10.75.15.166/30</t>
  </si>
  <si>
    <t>چهار راه میهن گنبد</t>
  </si>
  <si>
    <t>10.2.53.99/24-10.2.53.100/24-10.2.53.101-24-WAN Switch:10.2.53.101/24</t>
  </si>
  <si>
    <t>Tehran:31.1.2.53/21-Semnan28.1.2.53/21</t>
  </si>
  <si>
    <t>CISCO 3945*2</t>
  </si>
  <si>
    <t>8.1.2.50/32-8.3.2.50/32</t>
  </si>
  <si>
    <t>8.1.2.51 /32-8.3.2.51/32</t>
  </si>
  <si>
    <t>8.1.2.61 /32-8.3.2.61/32</t>
  </si>
  <si>
    <t>8.1.2.65 /32-8.3.2.65/32</t>
  </si>
  <si>
    <t>8.1.3.25 /32-8.3.3.25/32</t>
  </si>
  <si>
    <t>8.1.3.56/32-8.3.3.56/32</t>
  </si>
  <si>
    <t>8.1.3.87/32-8.3.3.87/32</t>
  </si>
  <si>
    <t>8.1.3.88/32-8.3.3.88/32</t>
  </si>
  <si>
    <t>8.1.4.94/32-8.3.4.94/32</t>
  </si>
  <si>
    <t>99000950</t>
  </si>
  <si>
    <t>192.168.208.65 /26(Branch)-192.168.208.193 /26(ATM)</t>
  </si>
  <si>
    <t>Tehran:62.2.53.1/12-Off-Anti:40.1.16.8/24-Off-Seman:63.2.53.1/12</t>
  </si>
  <si>
    <t>Tehran:33.1.2.53/20-133.1.3.23/20(FAM)-Anti:38.1.2.53/20-Seman:44.1.2.53/20</t>
  </si>
  <si>
    <t>192.168.210.2/29</t>
  </si>
  <si>
    <t>Loopback10-Loopback11</t>
  </si>
  <si>
    <t>FastEthernet0/0.1865</t>
  </si>
  <si>
    <t>FastEthernet0/0.1332</t>
  </si>
  <si>
    <t>VLAN 1865-FE22 SW</t>
  </si>
  <si>
    <t>VLAN 1332-FE23 SW</t>
  </si>
  <si>
    <t>HG8245C Huawei 4 Port</t>
  </si>
  <si>
    <t>Tehran:33.1.2.50/20-Anti:38.1.2.50/20-Seman:44.1.2.50/20</t>
  </si>
  <si>
    <t>Tehran:33.1.2.51/20-Anti:38.1.2.51/20-Seman:44.1.2.51/20</t>
  </si>
  <si>
    <t>Tehran:33.1.2.61/20-Anti:38.1.2.61/20-Seman:44.1.2.61/20</t>
  </si>
  <si>
    <t>Tehran:33.1.2.65/20-Anti:38.1.2.65/20-Seman:44.1.2.65/20</t>
  </si>
  <si>
    <t>FastEthernet0/0.1323</t>
  </si>
  <si>
    <t>FastEthernet0/0.2235</t>
  </si>
  <si>
    <t>VLAN 1323-FE21 SW</t>
  </si>
  <si>
    <t>VLAN 2235-FE20 SW</t>
  </si>
  <si>
    <t xml:space="preserve"> FTTH Hauwei </t>
  </si>
  <si>
    <t>1799997348</t>
  </si>
  <si>
    <t>1799997349</t>
  </si>
  <si>
    <t>Tehran:33.1.3.23/20-Anti:38.1.3.23/20-Seman:44.1.3.23/20</t>
  </si>
  <si>
    <t>Tehran:33.1.3.25/20-Anti:38.1.3.25/20-Seman:44.1.3.25/20</t>
  </si>
  <si>
    <t>Tehran:33.1.3.56/20-Anti:38.1.3.56/20-Seman:44.1.3.56/20</t>
  </si>
  <si>
    <t>Tehran:33.1.3.87/20-Anti:38.1.3.87/20-Seman:44.1.3.87/20</t>
  </si>
  <si>
    <t>Tehran:33.1.3.88/20-Anti:38.1.3.88/20-Seman:44.1.3.88/20</t>
  </si>
  <si>
    <t>FastEthernet0/0.1336</t>
  </si>
  <si>
    <t>VLAN 2235-FE21 SW</t>
  </si>
  <si>
    <t>VLAN 1336-FE22 SW</t>
  </si>
  <si>
    <t>Tehran:33.1.4.94/20-Anti:38.1.4.94/20-Seman:44.1.4.94/20</t>
  </si>
  <si>
    <t>FastEthernet0/0.1864</t>
  </si>
  <si>
    <t>VLAN 1864-FE22 SW</t>
  </si>
  <si>
    <t>A-803-1-Shohreh</t>
  </si>
  <si>
    <t>10.8.3.1/30</t>
  </si>
  <si>
    <t>192.168.209.15/26</t>
  </si>
  <si>
    <t>10.8.3.4-10.8.3.31</t>
  </si>
  <si>
    <t>A-803-33-Mahrokh</t>
  </si>
  <si>
    <t>10.8.3.33/30</t>
  </si>
  <si>
    <t>192.168.209.19/26</t>
  </si>
  <si>
    <t>192.168.208.134 /26</t>
  </si>
  <si>
    <t>A-803-41-Arzankadeh-Mohammad</t>
  </si>
  <si>
    <t>657174</t>
  </si>
  <si>
    <t>10.8.3.41/30</t>
  </si>
  <si>
    <t>192.168.210.10/30</t>
  </si>
  <si>
    <t>Fastethernet0/1</t>
  </si>
  <si>
    <t>C-803-61-Farmandari</t>
  </si>
  <si>
    <t>10.8.3.61/30</t>
  </si>
  <si>
    <t>192.168.209.22/26</t>
  </si>
  <si>
    <t>192.168.208.137/26</t>
  </si>
  <si>
    <t>1799915095</t>
  </si>
  <si>
    <t>1799915096</t>
  </si>
  <si>
    <t>1799910202</t>
  </si>
  <si>
    <t>1799910203</t>
  </si>
  <si>
    <t>1799930642</t>
  </si>
  <si>
    <t>1799930643</t>
  </si>
  <si>
    <t>6.8.19.18/22</t>
  </si>
  <si>
    <t>GigabitEthernet0/3</t>
  </si>
  <si>
    <t>6.3.19.182/30</t>
  </si>
  <si>
    <t>8..1.5.79/32-8.3.5.79/32</t>
  </si>
  <si>
    <t>8.1.2.71-8.3.2.71</t>
  </si>
  <si>
    <t>لرستان</t>
  </si>
  <si>
    <t>خرم آباد</t>
  </si>
  <si>
    <t>518539</t>
  </si>
  <si>
    <t>10.4.1.1 /24-VLAN100</t>
  </si>
  <si>
    <t>10.139.13.2/24</t>
  </si>
  <si>
    <t>8.1.4.1 /32-8.2.4.1/32-8.3.4.1/32</t>
  </si>
  <si>
    <t>FastEthernet0/1.510</t>
  </si>
  <si>
    <t>89143302
FOS: 900/3454
93/07/26</t>
  </si>
  <si>
    <t>Limax
FA Tech 50E</t>
  </si>
  <si>
    <t>VLAN 510-FE20 SW</t>
  </si>
  <si>
    <t>PDH Fiber-Limax</t>
  </si>
  <si>
    <t>630564</t>
  </si>
  <si>
    <t>10.243.30.130/29</t>
  </si>
  <si>
    <t>FastEthernet0/1.835</t>
  </si>
  <si>
    <t>VLAN 835-FE20 SW</t>
  </si>
  <si>
    <t>FastEthernet0/1.862</t>
  </si>
  <si>
    <t>VLAN 862-FE20 SW</t>
  </si>
  <si>
    <t>538111</t>
  </si>
  <si>
    <t xml:space="preserve">Tellabs-CTU_G703 Modem&amp;NM-2CE1T1-PRI Module&amp; NM Cable </t>
  </si>
  <si>
    <t>538118</t>
  </si>
  <si>
    <t>5-12</t>
  </si>
  <si>
    <t>6.3.17.138/30</t>
  </si>
  <si>
    <t>بروجرد</t>
  </si>
  <si>
    <t>7-10  13-16</t>
  </si>
  <si>
    <t>592058</t>
  </si>
  <si>
    <t>10.243.18.162/29</t>
  </si>
  <si>
    <t>درود</t>
  </si>
  <si>
    <t>550845</t>
  </si>
  <si>
    <t>10.243.18.186/29</t>
  </si>
  <si>
    <t>الیگودرز</t>
  </si>
  <si>
    <t>13-20</t>
  </si>
  <si>
    <t>10.243.18.178/29</t>
  </si>
  <si>
    <t>ازنا</t>
  </si>
  <si>
    <t>1-2 , 25-30</t>
  </si>
  <si>
    <t>10.243.18.170/29</t>
  </si>
  <si>
    <t>433</t>
  </si>
  <si>
    <t>پلدختر</t>
  </si>
  <si>
    <t>10.4.33.1 /24-VLAN100</t>
  </si>
  <si>
    <t>10.4.33.2 /24</t>
  </si>
  <si>
    <t>FastEthernet0/0.433</t>
  </si>
  <si>
    <t>VLAN 433-FE20 SW</t>
  </si>
  <si>
    <t>10.243.18.202/29</t>
  </si>
  <si>
    <t>بازار بروجرد</t>
  </si>
  <si>
    <t>10.4.88.1 /24-VLAN100</t>
  </si>
  <si>
    <t>10.4.88.2 /24</t>
  </si>
  <si>
    <t>3-6  17-20</t>
  </si>
  <si>
    <t>10.243.18.154/29</t>
  </si>
  <si>
    <t>کوهدشت</t>
  </si>
  <si>
    <t>650801</t>
  </si>
  <si>
    <t>10.243.2.58/30</t>
  </si>
  <si>
    <t>6.3.17.166/30</t>
  </si>
  <si>
    <t>6.8.17.166/22</t>
  </si>
  <si>
    <t>MPLSاستانی</t>
  </si>
  <si>
    <t>10.4.1.99/24</t>
  </si>
  <si>
    <t>Tehran:31.1.4.1/21-Semnan:28.1.4.1/21</t>
  </si>
  <si>
    <t>Tehran:33.1.4.1/20-Anti:38.1.4.1/20-Seman:44.1.4.1/20</t>
  </si>
  <si>
    <t>8.1.3.20 /32-8.3.3.20/32</t>
  </si>
  <si>
    <t>8.1.3.64/32-8.3.3.64/32</t>
  </si>
  <si>
    <t>8.1.4.15/32-8.3.4.15/32</t>
  </si>
  <si>
    <t>8.1.4.16/32-8.3.4.16/32</t>
  </si>
  <si>
    <t>8.1.4.33 /32-8.3.4.33/32</t>
  </si>
  <si>
    <t>8.1.4.88 /32-8.3.4.88/32</t>
  </si>
  <si>
    <t>8.1.5.40 /32-8.3.5.40/32</t>
  </si>
  <si>
    <t>Tehran:6.8.17.138/22-Anti:40.1.0.16/20</t>
  </si>
  <si>
    <t>Tehran:33.1.3.20/20-Anti:38.1.3.20/20-Seman:44.1.3.20/20</t>
  </si>
  <si>
    <t>Tehran:33.1.3.64/20-Anti:38.1.3.64/20-Seman:44.1.3.64/20</t>
  </si>
  <si>
    <t>Tehran:33.1.4.15/20-Anti:38.1.4.15/20-Seman:44.1.4.15/20</t>
  </si>
  <si>
    <t>Tehran:33.1.4.16/20-Anti:38.1.4.16/20-Seman:44.1.4.16/20</t>
  </si>
  <si>
    <t>Tehran:33.1.4.33/20-Anti:38.1.4.33/20-Seman:44.1.4.33/20</t>
  </si>
  <si>
    <t>Tehran:33.1.4.88/20-Anti:38.1.4.88/20-Seman:44.1.4.88/20</t>
  </si>
  <si>
    <t>Tehran:33.1.5.40/20-Anti:38.1.5.40/20-Seman:44.1.5.40/20</t>
  </si>
  <si>
    <t>A-805-37-Pasargad</t>
  </si>
  <si>
    <t>10.8.5.37 /30</t>
  </si>
  <si>
    <t>10.2.16.23/26</t>
  </si>
  <si>
    <t>29.29.29.246/30</t>
  </si>
  <si>
    <t>A-80541-khoshkbarhosseindoost</t>
  </si>
  <si>
    <t>10.8.5.41 /29-VLAN100-10.8.5.42/29SW-10.8.5.43/29-10.8.5.44/29</t>
  </si>
  <si>
    <t>10.2.16.22/26</t>
  </si>
  <si>
    <t>29.29.29.250 /30</t>
  </si>
  <si>
    <t>Provinces</t>
  </si>
  <si>
    <t>Index Branch</t>
  </si>
  <si>
    <t>IP Address LAN</t>
  </si>
  <si>
    <t>Range Tunnel</t>
  </si>
  <si>
    <t>Tunnel ID</t>
  </si>
  <si>
    <t>IP Address Tunnel on Hub</t>
  </si>
  <si>
    <t>IP Address Tunnel on Spoke</t>
  </si>
  <si>
    <t>10.3.32.2</t>
  </si>
  <si>
    <t>38.1.0.0/20</t>
  </si>
  <si>
    <t>38.1.0.1</t>
  </si>
  <si>
    <t>38.1.3.32</t>
  </si>
  <si>
    <t>10.3.57.1</t>
  </si>
  <si>
    <t>38.1.3.57</t>
  </si>
  <si>
    <t>10.3.59.2</t>
  </si>
  <si>
    <t>38.1.3.59</t>
  </si>
  <si>
    <t>10.4.44.1</t>
  </si>
  <si>
    <t>38.1.4.44</t>
  </si>
  <si>
    <t>10.3.58.1</t>
  </si>
  <si>
    <t xml:space="preserve"> 38.1.3.58</t>
  </si>
  <si>
    <t>10.3.61.1</t>
  </si>
  <si>
    <t>38.1.3.61</t>
  </si>
  <si>
    <t>10.4.43.1</t>
  </si>
  <si>
    <t>38.1.4.43</t>
  </si>
  <si>
    <t>10.5.4.1</t>
  </si>
  <si>
    <t>38.1.5.4</t>
  </si>
  <si>
    <t>10.5.21.1</t>
  </si>
  <si>
    <t>38.1.5.21</t>
  </si>
  <si>
    <t>10.3.84.2</t>
  </si>
  <si>
    <t>38.1.3.84</t>
  </si>
  <si>
    <t>10.4.3.1</t>
  </si>
  <si>
    <t>38.1.4.3</t>
  </si>
  <si>
    <t>10.4.17.1</t>
  </si>
  <si>
    <t>38.1.4.17</t>
  </si>
  <si>
    <t>10.4.92.1</t>
  </si>
  <si>
    <t>38.1.4.92</t>
  </si>
  <si>
    <t>10.4.4.2</t>
  </si>
  <si>
    <t>38.1.4.4</t>
  </si>
  <si>
    <t>10.4.71.1</t>
  </si>
  <si>
    <t>38.1.4.71</t>
  </si>
  <si>
    <t>10.5.80.2</t>
  </si>
  <si>
    <t>38.1.5.80</t>
  </si>
  <si>
    <t>10.4.42.1</t>
  </si>
  <si>
    <t>38.1.4.42</t>
  </si>
  <si>
    <t>10.3.73.1</t>
  </si>
  <si>
    <t>38.1.3.73</t>
  </si>
  <si>
    <t>10.3.62.1</t>
  </si>
  <si>
    <t>38.1.3.62</t>
  </si>
  <si>
    <t>10.3.54.1</t>
  </si>
  <si>
    <t>38.1.3.54</t>
  </si>
  <si>
    <t>10.3.51.1</t>
  </si>
  <si>
    <t>38.1.3.51</t>
  </si>
  <si>
    <t>10.3.30.1</t>
  </si>
  <si>
    <t>38.1.3.30</t>
  </si>
  <si>
    <t>10.2.79.2</t>
  </si>
  <si>
    <t>38.1.2.79</t>
  </si>
  <si>
    <t>10.2.84.1</t>
  </si>
  <si>
    <t>38.1.2.84</t>
  </si>
  <si>
    <t>10.2.85.1</t>
  </si>
  <si>
    <t>38.1.2.85</t>
  </si>
  <si>
    <t>10.2.86.1</t>
  </si>
  <si>
    <t>38.1.2.86</t>
  </si>
  <si>
    <t>10.3.2.1</t>
  </si>
  <si>
    <t>38.1.3.2</t>
  </si>
  <si>
    <t>10.3.3.1</t>
  </si>
  <si>
    <t>38.1.3.3</t>
  </si>
  <si>
    <t>10.3.6.1</t>
  </si>
  <si>
    <t>38.1.3.6</t>
  </si>
  <si>
    <t>10.3.7.1</t>
  </si>
  <si>
    <t>38.1.3.7</t>
  </si>
  <si>
    <t>10.3.9.1</t>
  </si>
  <si>
    <t>38.1.3.9</t>
  </si>
  <si>
    <t>10.3.16.1</t>
  </si>
  <si>
    <t>38.1.3.16</t>
  </si>
  <si>
    <t>10.3.42.1</t>
  </si>
  <si>
    <t>38.1.3.42</t>
  </si>
  <si>
    <t>10.3.60.1</t>
  </si>
  <si>
    <t>38.1.3.60</t>
  </si>
  <si>
    <t>10.4.23.1</t>
  </si>
  <si>
    <t>38.1.4.23</t>
  </si>
  <si>
    <t>10.4.28.1</t>
  </si>
  <si>
    <t>38.1.4.28</t>
  </si>
  <si>
    <t>10.3.14.1</t>
  </si>
  <si>
    <t>38.1.3.14</t>
  </si>
  <si>
    <t>10.3.37.1</t>
  </si>
  <si>
    <t>38.1.3.37</t>
  </si>
  <si>
    <t>10.3.52.1</t>
  </si>
  <si>
    <t>38.1.3.52</t>
  </si>
  <si>
    <t>10.3.95.1</t>
  </si>
  <si>
    <t>38.1.3.95</t>
  </si>
  <si>
    <t>10.4.0.1</t>
  </si>
  <si>
    <t>38.1.4.0</t>
  </si>
  <si>
    <t>10.4.79.1</t>
  </si>
  <si>
    <t>38.1.4.79</t>
  </si>
  <si>
    <t>10.4.80.1</t>
  </si>
  <si>
    <t>38.1.4.80</t>
  </si>
  <si>
    <t>10.5.48.1</t>
  </si>
  <si>
    <t>38.1.5.48</t>
  </si>
  <si>
    <t>10.3.45.2</t>
  </si>
  <si>
    <t>38.1.3.45</t>
  </si>
  <si>
    <t>10.3.19.1</t>
  </si>
  <si>
    <t>38.1.3.19</t>
  </si>
  <si>
    <t>10.3.38.1</t>
  </si>
  <si>
    <t>38.1.3.38</t>
  </si>
  <si>
    <t>10.3.76.1</t>
  </si>
  <si>
    <t>38.1.3.76</t>
  </si>
  <si>
    <t>10.4.37.1</t>
  </si>
  <si>
    <t>38.1.4.37</t>
  </si>
  <si>
    <t>10.4.41.1</t>
  </si>
  <si>
    <t>38.1.4.41</t>
  </si>
  <si>
    <t>10.4.52.1</t>
  </si>
  <si>
    <t>38.1.4.52</t>
  </si>
  <si>
    <t>10.2.47.2</t>
  </si>
  <si>
    <t>38.1.2.47</t>
  </si>
  <si>
    <t>10.3.49.1</t>
  </si>
  <si>
    <t>38.1.3.49</t>
  </si>
  <si>
    <t>10.4.55.1</t>
  </si>
  <si>
    <t>38.1.4.55</t>
  </si>
  <si>
    <t>10.3.36.1</t>
  </si>
  <si>
    <t>38.1.3.36</t>
  </si>
  <si>
    <t>10.3.71.1</t>
  </si>
  <si>
    <t>38.1.3.71</t>
  </si>
  <si>
    <t>10.3.85.1</t>
  </si>
  <si>
    <t>38.1.3.85</t>
  </si>
  <si>
    <t>10.3.89.1</t>
  </si>
  <si>
    <t>38.1.3.89</t>
  </si>
  <si>
    <t>10.4.22.1</t>
  </si>
  <si>
    <t>38.1.4.22</t>
  </si>
  <si>
    <t>10.4.36.1</t>
  </si>
  <si>
    <t>38.1.4.36</t>
  </si>
  <si>
    <t>10.4.39.1</t>
  </si>
  <si>
    <t>38.1.4.39</t>
  </si>
  <si>
    <t>10.4.48.1</t>
  </si>
  <si>
    <t>38.1.4.48</t>
  </si>
  <si>
    <t>10.5.20.1</t>
  </si>
  <si>
    <t>38.1.5.20</t>
  </si>
  <si>
    <t>10.5.43.2</t>
  </si>
  <si>
    <t>38.1.5.43</t>
  </si>
  <si>
    <t>10.3.44.2</t>
  </si>
  <si>
    <t>38.1.3.44</t>
  </si>
  <si>
    <t>10.2.62.1</t>
  </si>
  <si>
    <t>38.1.2.6</t>
  </si>
  <si>
    <t>10.2.70.1</t>
  </si>
  <si>
    <t>38.1.2.70</t>
  </si>
  <si>
    <t>10.2.72.1</t>
  </si>
  <si>
    <t>38.1.2.72</t>
  </si>
  <si>
    <t>10.2.73.1</t>
  </si>
  <si>
    <t>38.1.2.73</t>
  </si>
  <si>
    <t>10.2.88.1</t>
  </si>
  <si>
    <t>38.1.2.88</t>
  </si>
  <si>
    <t>10.3.8.1</t>
  </si>
  <si>
    <t>38.1.3.8</t>
  </si>
  <si>
    <t>10.3.41.1</t>
  </si>
  <si>
    <t>38.1.3.41</t>
  </si>
  <si>
    <t>10.4.35.1</t>
  </si>
  <si>
    <t>38.1.4.35</t>
  </si>
  <si>
    <t>10.4.74.1</t>
  </si>
  <si>
    <t>38.1.4.74</t>
  </si>
  <si>
    <t>10.3.13.1</t>
  </si>
  <si>
    <t>38.1.3.13</t>
  </si>
  <si>
    <t>مازندران</t>
  </si>
  <si>
    <t>10.2.56.1</t>
  </si>
  <si>
    <t>38.1.2.56</t>
  </si>
  <si>
    <t>10.2.82.1</t>
  </si>
  <si>
    <t>38.1.2.82</t>
  </si>
  <si>
    <t>10.2.83.1</t>
  </si>
  <si>
    <t>38.1.2.83</t>
  </si>
  <si>
    <t>10.2.91.1</t>
  </si>
  <si>
    <t>38.1.2.91</t>
  </si>
  <si>
    <t>10.3.10.1</t>
  </si>
  <si>
    <t xml:space="preserve"> 38.1.3.10</t>
  </si>
  <si>
    <t>10.3.11.1</t>
  </si>
  <si>
    <t xml:space="preserve"> 38.1.3.11</t>
  </si>
  <si>
    <t>10.3.24.1</t>
  </si>
  <si>
    <t>38.1.3.24</t>
  </si>
  <si>
    <t>10.3.26.1</t>
  </si>
  <si>
    <t>38.1.3.26</t>
  </si>
  <si>
    <t>10.3.48.1</t>
  </si>
  <si>
    <t>38.1.3.48</t>
  </si>
  <si>
    <t>10.3.66.1</t>
  </si>
  <si>
    <t>38.1.3.66</t>
  </si>
  <si>
    <t>10.4.34.1</t>
  </si>
  <si>
    <t>38.1.4.34</t>
  </si>
  <si>
    <t>10.4.49.1</t>
  </si>
  <si>
    <t>38.1.4.49</t>
  </si>
  <si>
    <t>10.4.68.1</t>
  </si>
  <si>
    <t>38.1.4.68</t>
  </si>
  <si>
    <t>10.3.55.1</t>
  </si>
  <si>
    <t>38.1.3.55</t>
  </si>
  <si>
    <t>10.3.99.1</t>
  </si>
  <si>
    <t>38.1.3.99</t>
  </si>
  <si>
    <t>10.4.84.1</t>
  </si>
  <si>
    <t>38.1.4.84</t>
  </si>
  <si>
    <t>10.5.5.1</t>
  </si>
  <si>
    <t>38.1.5.5</t>
  </si>
  <si>
    <t>10.5.46.1</t>
  </si>
  <si>
    <t>38.1.5.46</t>
  </si>
  <si>
    <t>همدان</t>
  </si>
  <si>
    <t>10.3.72.2</t>
  </si>
  <si>
    <t>38.1.3.72</t>
  </si>
  <si>
    <t>10.4.6.1</t>
  </si>
  <si>
    <t>38.1.4.6</t>
  </si>
  <si>
    <t>10.4.95.1</t>
  </si>
  <si>
    <t>38.1.4.95</t>
  </si>
  <si>
    <t>10.5.41.1</t>
  </si>
  <si>
    <t>38.1.5.41</t>
  </si>
  <si>
    <t>10.4.64.2</t>
  </si>
  <si>
    <t>38.1.4.64</t>
  </si>
  <si>
    <t>10.3.46.1</t>
  </si>
  <si>
    <t>38.1.3.46</t>
  </si>
  <si>
    <t>10.3.93.1</t>
  </si>
  <si>
    <t>38.1.3.93</t>
  </si>
  <si>
    <t>10.4.75.1</t>
  </si>
  <si>
    <t>38.1.4.75</t>
  </si>
  <si>
    <t>10.4.56.3</t>
  </si>
  <si>
    <t xml:space="preserve"> 38.1.4.56</t>
  </si>
  <si>
    <t>10.4.5.1</t>
  </si>
  <si>
    <t>38.1.4.5</t>
  </si>
  <si>
    <t>10.4.40.1</t>
  </si>
  <si>
    <t xml:space="preserve"> 38.1.4.40</t>
  </si>
  <si>
    <t>10.4.70.1</t>
  </si>
  <si>
    <t>38.1.4.70</t>
  </si>
  <si>
    <t>10.4.98.1</t>
  </si>
  <si>
    <t>38.1.4.98</t>
  </si>
  <si>
    <t>10.3.65.1</t>
  </si>
  <si>
    <t>38.1.3.65</t>
  </si>
  <si>
    <t>10.3.74.1</t>
  </si>
  <si>
    <t>38.1.3.74</t>
  </si>
  <si>
    <t>10.3.77.1</t>
  </si>
  <si>
    <t>38.1.3.77</t>
  </si>
  <si>
    <t>10.3.78.1</t>
  </si>
  <si>
    <t>38.1.3.78</t>
  </si>
  <si>
    <t>10.3.80.1</t>
  </si>
  <si>
    <t>38.1.3.80</t>
  </si>
  <si>
    <t>10.3.81.1</t>
  </si>
  <si>
    <t>38.1.3.81</t>
  </si>
  <si>
    <t>10.3.83.1</t>
  </si>
  <si>
    <t>38.1.3.83</t>
  </si>
  <si>
    <t>10.3.91.1</t>
  </si>
  <si>
    <t>38.1.3.91</t>
  </si>
  <si>
    <t>10.3.94.1</t>
  </si>
  <si>
    <t>38.1.3.94</t>
  </si>
  <si>
    <t>10.3.96.1</t>
  </si>
  <si>
    <t>38.1.3.96</t>
  </si>
  <si>
    <t>10.3.97.1</t>
  </si>
  <si>
    <t>38.1.3.97</t>
  </si>
  <si>
    <t>10.4.2.1</t>
  </si>
  <si>
    <t>38.1.4.2</t>
  </si>
  <si>
    <t>10.4.45.1</t>
  </si>
  <si>
    <t>38.1.4.45</t>
  </si>
  <si>
    <t>چهار و محال بختیاری</t>
  </si>
  <si>
    <t>10.3.15.2</t>
  </si>
  <si>
    <t>38.1.3.15</t>
  </si>
  <si>
    <t>10.3.82.1</t>
  </si>
  <si>
    <t>38.1.3.82</t>
  </si>
  <si>
    <t>10.4.67.1</t>
  </si>
  <si>
    <t>38.1.4.67</t>
  </si>
  <si>
    <t>10.2.49.2</t>
  </si>
  <si>
    <t>38.1.2.49</t>
  </si>
  <si>
    <t>10.3.31.1</t>
  </si>
  <si>
    <t>38.1.3.31</t>
  </si>
  <si>
    <t>10.3.53.1</t>
  </si>
  <si>
    <t>38.1.3.53</t>
  </si>
  <si>
    <t>10.3.67.1</t>
  </si>
  <si>
    <t>38.1.3.67</t>
  </si>
  <si>
    <t>10.4.7.1</t>
  </si>
  <si>
    <t>38.1.4.7</t>
  </si>
  <si>
    <t>10.4.82.1</t>
  </si>
  <si>
    <t>38.1.4.82</t>
  </si>
  <si>
    <t>10.5.11.1</t>
  </si>
  <si>
    <t>38.1.5.11</t>
  </si>
  <si>
    <t>10.5.37.1</t>
  </si>
  <si>
    <t>38.1.5.37</t>
  </si>
  <si>
    <t>10.3.86.1</t>
  </si>
  <si>
    <t>38.1.3.86</t>
  </si>
  <si>
    <t>10.3.90.1</t>
  </si>
  <si>
    <t>38.1.3.90</t>
  </si>
  <si>
    <t>کهکیلویه و بویراحمد</t>
  </si>
  <si>
    <t>10.4.12.2</t>
  </si>
  <si>
    <t>38.1.4.12</t>
  </si>
  <si>
    <t>10.5.39.1</t>
  </si>
  <si>
    <t>38.1.5.39</t>
  </si>
  <si>
    <t>10.4.1.2</t>
  </si>
  <si>
    <t>38.1.4.1</t>
  </si>
  <si>
    <t>10.3.20.1</t>
  </si>
  <si>
    <t>38.1.3.20</t>
  </si>
  <si>
    <t>10.3.64.1</t>
  </si>
  <si>
    <t>38.1.3.64</t>
  </si>
  <si>
    <t>10.4.15.1</t>
  </si>
  <si>
    <t>38.1.4.15</t>
  </si>
  <si>
    <t>10.4.16.1</t>
  </si>
  <si>
    <t xml:space="preserve">38.1.4.16 </t>
  </si>
  <si>
    <t>10.4.33.1</t>
  </si>
  <si>
    <t>38.1.4.33</t>
  </si>
  <si>
    <t>10.4.88.1</t>
  </si>
  <si>
    <t>38.1.4.88</t>
  </si>
  <si>
    <t>10.5.40.1</t>
  </si>
  <si>
    <t>38.1.5.40</t>
  </si>
  <si>
    <t>10.3.70.2</t>
  </si>
  <si>
    <t>38.1.3.70</t>
  </si>
  <si>
    <t>10.2.76.1</t>
  </si>
  <si>
    <t>38.1.2.76</t>
  </si>
  <si>
    <t>10.2.96.1</t>
  </si>
  <si>
    <t>38.1.2.96</t>
  </si>
  <si>
    <t>10.2.97.1</t>
  </si>
  <si>
    <t>38.1.2.97</t>
  </si>
  <si>
    <t>10.2.98.1</t>
  </si>
  <si>
    <t>38.1.2.98</t>
  </si>
  <si>
    <t>10.3.21.1</t>
  </si>
  <si>
    <t>38.1.3.21</t>
  </si>
  <si>
    <t>10.3.28.1</t>
  </si>
  <si>
    <t>38.1.3.28</t>
  </si>
  <si>
    <t>10.3.63.1</t>
  </si>
  <si>
    <t>38.1.3.63</t>
  </si>
  <si>
    <t>10.3.68.1</t>
  </si>
  <si>
    <t>38.1.3.68</t>
  </si>
  <si>
    <t>10.4.30.1</t>
  </si>
  <si>
    <t>38.1.4.30</t>
  </si>
  <si>
    <t>10.4.32.1</t>
  </si>
  <si>
    <t>38.1.4.32</t>
  </si>
  <si>
    <t xml:space="preserve">10.5.14.1 </t>
  </si>
  <si>
    <t xml:space="preserve">38.1.5.14 </t>
  </si>
  <si>
    <t>10.5.38.1</t>
  </si>
  <si>
    <t>38.1.5.38</t>
  </si>
  <si>
    <t xml:space="preserve">10.5.49.1 </t>
  </si>
  <si>
    <t>38.1.5.49</t>
  </si>
  <si>
    <t>10.5.51.1</t>
  </si>
  <si>
    <t>38.1.5.51</t>
  </si>
  <si>
    <t>هرمزگان</t>
  </si>
  <si>
    <t>10.4.13.1</t>
  </si>
  <si>
    <t>38.1.4.13</t>
  </si>
  <si>
    <t>10.5.54.1</t>
  </si>
  <si>
    <t>38.1.5.54</t>
  </si>
  <si>
    <t>10.5.60.1</t>
  </si>
  <si>
    <t>38.1.5.60</t>
  </si>
  <si>
    <t>10.2.50.1</t>
  </si>
  <si>
    <t>38.1.2.50</t>
  </si>
  <si>
    <t>10.2.51.1</t>
  </si>
  <si>
    <t>38.1.2.51</t>
  </si>
  <si>
    <t>10.2.53.2</t>
  </si>
  <si>
    <t>38.1.2.53</t>
  </si>
  <si>
    <t>10.2.61.1</t>
  </si>
  <si>
    <t>38.1.2.61</t>
  </si>
  <si>
    <t>10.2.65.1</t>
  </si>
  <si>
    <t>38.1.2.65</t>
  </si>
  <si>
    <t>10.2.67.1</t>
  </si>
  <si>
    <t>38.1.2.67</t>
  </si>
  <si>
    <t>10.3.23.1</t>
  </si>
  <si>
    <t>38.1.3.23</t>
  </si>
  <si>
    <t>10.3.25.1</t>
  </si>
  <si>
    <t>38.1.3.25</t>
  </si>
  <si>
    <t>10.3.56.1</t>
  </si>
  <si>
    <t>38.1.3.56</t>
  </si>
  <si>
    <t>10.3.87.1</t>
  </si>
  <si>
    <t>38.1.3.87</t>
  </si>
  <si>
    <t>10.3.88.1</t>
  </si>
  <si>
    <t>38.1.3.88</t>
  </si>
  <si>
    <t>10.4.94.1</t>
  </si>
  <si>
    <t>38.1.4.94</t>
  </si>
  <si>
    <t>10.2.58.1</t>
  </si>
  <si>
    <t>38.1.2.58</t>
  </si>
  <si>
    <t>10.2.60.1</t>
  </si>
  <si>
    <t>38.1.2.60</t>
  </si>
  <si>
    <t>10.2.69.1</t>
  </si>
  <si>
    <t>38.1.2.69</t>
  </si>
  <si>
    <t>10.2.75.2</t>
  </si>
  <si>
    <t>38.1.2.75</t>
  </si>
  <si>
    <t>10.2.81.1</t>
  </si>
  <si>
    <t>38.1.2.81</t>
  </si>
  <si>
    <t>10.2.99.1</t>
  </si>
  <si>
    <t>38.1.2.99</t>
  </si>
  <si>
    <t>10.2.41.1</t>
  </si>
  <si>
    <t>38.1.2.41</t>
  </si>
  <si>
    <t>10.2.46.2</t>
  </si>
  <si>
    <t>38.1.2.46</t>
  </si>
  <si>
    <t>10.2.93.1</t>
  </si>
  <si>
    <t>38.1.2.93</t>
  </si>
  <si>
    <t>10.3.50.1</t>
  </si>
  <si>
    <t>38.1.3.50</t>
  </si>
  <si>
    <t>10.4.66.1</t>
  </si>
  <si>
    <t>38.1.4.66</t>
  </si>
  <si>
    <t>10.2.11.2</t>
  </si>
  <si>
    <t>38.1.2.11</t>
  </si>
  <si>
    <t>10.2.14.1</t>
  </si>
  <si>
    <t>38.1.2.14</t>
  </si>
  <si>
    <t>10.2.15.1</t>
  </si>
  <si>
    <t>38.1.2.15</t>
  </si>
  <si>
    <t>10.2.17.1</t>
  </si>
  <si>
    <t>38.1.2.17</t>
  </si>
  <si>
    <t>10.2.18.1</t>
  </si>
  <si>
    <t>38.1.2.18</t>
  </si>
  <si>
    <t>10.2.19.1</t>
  </si>
  <si>
    <t>38.1.2.19</t>
  </si>
  <si>
    <t>10.2.20.1</t>
  </si>
  <si>
    <t>38.1.2.20</t>
  </si>
  <si>
    <t>10.2.21.1</t>
  </si>
  <si>
    <t>38.1.2.21</t>
  </si>
  <si>
    <t>10.2.22.1</t>
  </si>
  <si>
    <t>38.1.2.22</t>
  </si>
  <si>
    <t>10.2.23.1</t>
  </si>
  <si>
    <t>38.1.2.23</t>
  </si>
  <si>
    <t>10.2.24.1</t>
  </si>
  <si>
    <t>38.1.2.24</t>
  </si>
  <si>
    <t>10.2.25.1</t>
  </si>
  <si>
    <t>38.1.2.25</t>
  </si>
  <si>
    <t>10.2.26.1</t>
  </si>
  <si>
    <t>38.1.2.26</t>
  </si>
  <si>
    <t>10.2.27.1</t>
  </si>
  <si>
    <t>38.1.2.27</t>
  </si>
  <si>
    <t xml:space="preserve">10.2.28.1 </t>
  </si>
  <si>
    <t>38.1.2.28</t>
  </si>
  <si>
    <t xml:space="preserve">10.2.29.1 </t>
  </si>
  <si>
    <t>38.1.2.29</t>
  </si>
  <si>
    <t>10.2.30.1</t>
  </si>
  <si>
    <t>38.1.2.30</t>
  </si>
  <si>
    <t>10.2.31.1</t>
  </si>
  <si>
    <t>38.1.2.31</t>
  </si>
  <si>
    <t>10.2.32.1</t>
  </si>
  <si>
    <t>38.1.2.32</t>
  </si>
  <si>
    <t>10.2.33.1</t>
  </si>
  <si>
    <t>38.1.2.33</t>
  </si>
  <si>
    <t>10.2.34.1</t>
  </si>
  <si>
    <t>38.1.2.34</t>
  </si>
  <si>
    <t>10.2.35.1</t>
  </si>
  <si>
    <t>38.1.2.35</t>
  </si>
  <si>
    <t>10.2.36.1</t>
  </si>
  <si>
    <t>38.1.2.36</t>
  </si>
  <si>
    <t>10.2.37.1</t>
  </si>
  <si>
    <t>38.1.2.37</t>
  </si>
  <si>
    <t>10.2.38.1</t>
  </si>
  <si>
    <t>38.1.2.38</t>
  </si>
  <si>
    <t>10.2.39.1</t>
  </si>
  <si>
    <t>38.1.2.39</t>
  </si>
  <si>
    <t>10.2.40.1</t>
  </si>
  <si>
    <t>38.1.2.40</t>
  </si>
  <si>
    <t>10.2.42.1</t>
  </si>
  <si>
    <t>38.1.2.42</t>
  </si>
  <si>
    <t>10.2.43.1</t>
  </si>
  <si>
    <t>38.1.2.43</t>
  </si>
  <si>
    <t>10.2.44.1</t>
  </si>
  <si>
    <t>38.1.2.44</t>
  </si>
  <si>
    <t>10.2.45.1</t>
  </si>
  <si>
    <t>38.1.2.45</t>
  </si>
  <si>
    <t>10.2.54.1</t>
  </si>
  <si>
    <t>38.1.2.54</t>
  </si>
  <si>
    <t>10.2.55.1</t>
  </si>
  <si>
    <t>38.1.2.55</t>
  </si>
  <si>
    <t>10.2.59.1</t>
  </si>
  <si>
    <t>38.1.2.59</t>
  </si>
  <si>
    <t>10.2.63.1</t>
  </si>
  <si>
    <t>38.1.2.63</t>
  </si>
  <si>
    <t>10.2.64.1</t>
  </si>
  <si>
    <t>38.1.2.64</t>
  </si>
  <si>
    <t>10.2.68.1</t>
  </si>
  <si>
    <t>38.1.2.68</t>
  </si>
  <si>
    <t>10.2.71.1</t>
  </si>
  <si>
    <t>38.1.2.71</t>
  </si>
  <si>
    <t>10.2.74.1</t>
  </si>
  <si>
    <t>38.1.2.74</t>
  </si>
  <si>
    <t>10.2.77.1</t>
  </si>
  <si>
    <t>38.1.2.77</t>
  </si>
  <si>
    <t>10.2.78.1</t>
  </si>
  <si>
    <t>38.1.2.78</t>
  </si>
  <si>
    <t>10.2.80.1</t>
  </si>
  <si>
    <t>38.1.2.80</t>
  </si>
  <si>
    <t>10.2.89.1</t>
  </si>
  <si>
    <t>38.1.2.89</t>
  </si>
  <si>
    <t>10.2.92.1</t>
  </si>
  <si>
    <t>38.1.2.92</t>
  </si>
  <si>
    <t>10.3.1.1</t>
  </si>
  <si>
    <t>38.1.3.1</t>
  </si>
  <si>
    <t>10.3.12.1</t>
  </si>
  <si>
    <t>38.1.3.12</t>
  </si>
  <si>
    <t>10.3.18.1</t>
  </si>
  <si>
    <t>38.1.3.18</t>
  </si>
  <si>
    <t>10.3.29.1</t>
  </si>
  <si>
    <t>38.1.3.29</t>
  </si>
  <si>
    <t>10.3.39.1</t>
  </si>
  <si>
    <t>38.1.3.39</t>
  </si>
  <si>
    <t>10.3.92.1</t>
  </si>
  <si>
    <t>38.1.3.92</t>
  </si>
  <si>
    <t>10.4.77.1</t>
  </si>
  <si>
    <t>38.1.4.77</t>
  </si>
  <si>
    <t>10.5.9.2</t>
  </si>
  <si>
    <t>38.1.5.9</t>
  </si>
  <si>
    <t>10.5.12.1</t>
  </si>
  <si>
    <t>38.1.5.12</t>
  </si>
  <si>
    <t>Khorasan Razavi</t>
  </si>
  <si>
    <t>40.1.0.0/21</t>
  </si>
  <si>
    <t>40.1.0.1</t>
  </si>
  <si>
    <t>40.1.0.3</t>
  </si>
  <si>
    <t>Mazandaran</t>
  </si>
  <si>
    <t>10.2.57.1</t>
  </si>
  <si>
    <t>40.1.0.4</t>
  </si>
  <si>
    <t>Hormozgan</t>
  </si>
  <si>
    <t>10.4.8.2</t>
  </si>
  <si>
    <t>40.1.0.5</t>
  </si>
  <si>
    <t>10.4.29.1</t>
  </si>
  <si>
    <t>40.1.0.6</t>
  </si>
  <si>
    <t>Ardebil</t>
  </si>
  <si>
    <t>10.3.4.2</t>
  </si>
  <si>
    <t>40.1.0.7</t>
  </si>
  <si>
    <t>10.3.27.1</t>
  </si>
  <si>
    <t>40.1.0.8</t>
  </si>
  <si>
    <t>10.3.47.1</t>
  </si>
  <si>
    <t>40.1.0.9</t>
  </si>
  <si>
    <t>10.4.9.1</t>
  </si>
  <si>
    <t>40.1.0.10</t>
  </si>
  <si>
    <t>Azarbayjan Gharbi</t>
  </si>
  <si>
    <t>10.3.22.2</t>
  </si>
  <si>
    <t>40.1.0.11</t>
  </si>
  <si>
    <t>Khuzestan</t>
  </si>
  <si>
    <t>10.5.47.1</t>
  </si>
  <si>
    <t>40.1.0.12</t>
  </si>
  <si>
    <t>Fars</t>
  </si>
  <si>
    <t>10.5.42.1</t>
  </si>
  <si>
    <t>40.1.0.13</t>
  </si>
  <si>
    <t>Airport</t>
  </si>
  <si>
    <t>10.8.8.1</t>
  </si>
  <si>
    <t>40.1.0.14</t>
  </si>
  <si>
    <t>Gilan</t>
  </si>
  <si>
    <t>10.3.5.1</t>
  </si>
  <si>
    <t>40.1.0.15</t>
  </si>
  <si>
    <t>Lorestan</t>
  </si>
  <si>
    <t>40.1.0.16</t>
  </si>
  <si>
    <t>10.3.17.1</t>
  </si>
  <si>
    <t>40.1.0.17</t>
  </si>
  <si>
    <t>10.3.35.1</t>
  </si>
  <si>
    <t>40.1.0.18</t>
  </si>
  <si>
    <t>10.3.33.1</t>
  </si>
  <si>
    <t>40.1.0.19</t>
  </si>
  <si>
    <t>40.1.0.20</t>
  </si>
  <si>
    <t>40.1.0.21</t>
  </si>
  <si>
    <t>Zanjan</t>
  </si>
  <si>
    <t>10.4.25.1</t>
  </si>
  <si>
    <t>40.1.0.22</t>
  </si>
  <si>
    <t>10.4.20.1</t>
  </si>
  <si>
    <t>40.1.0.23</t>
  </si>
  <si>
    <t>Bushehr</t>
  </si>
  <si>
    <t>10.4.27.1</t>
  </si>
  <si>
    <t>40.1.0.24</t>
  </si>
  <si>
    <t>Tehran</t>
  </si>
  <si>
    <t>Anbar-Tehran</t>
  </si>
  <si>
    <t>10.0.98.1</t>
  </si>
  <si>
    <t>40.1.0.25</t>
  </si>
  <si>
    <t>10.4.51.1</t>
  </si>
  <si>
    <t>40.1.0.26</t>
  </si>
  <si>
    <t>Khorasan Shomali</t>
  </si>
  <si>
    <t>10.2.16.1</t>
  </si>
  <si>
    <t>40.1.16.0/24</t>
  </si>
  <si>
    <t>40.1.16.1</t>
  </si>
  <si>
    <t>40.1.16.2</t>
  </si>
  <si>
    <t>40.1.16.3</t>
  </si>
  <si>
    <t>Ghome</t>
  </si>
  <si>
    <t>40.1.16.4</t>
  </si>
  <si>
    <t>Kermanshah</t>
  </si>
  <si>
    <t>40.1.16.5</t>
  </si>
  <si>
    <t>Kordestan</t>
  </si>
  <si>
    <t>40.1.16.6</t>
  </si>
  <si>
    <t>Sistan</t>
  </si>
  <si>
    <t>40.1.16.7</t>
  </si>
  <si>
    <t>Golestan</t>
  </si>
  <si>
    <t>40.1.16.8</t>
  </si>
  <si>
    <t>40.1.16.9</t>
  </si>
  <si>
    <t>Khorasan Jonubi</t>
  </si>
  <si>
    <t>40.1.16.10</t>
  </si>
  <si>
    <t>Hamedan</t>
  </si>
  <si>
    <t>40.1.16.11</t>
  </si>
  <si>
    <t>40.1.16.12</t>
  </si>
  <si>
    <t>Boushehr</t>
  </si>
  <si>
    <t>40.1.16.13</t>
  </si>
  <si>
    <t>40.1.16.14</t>
  </si>
  <si>
    <t>Kohkilouyeh</t>
  </si>
  <si>
    <t>40.1.16.15</t>
  </si>
  <si>
    <t>Khouzestan</t>
  </si>
  <si>
    <t>40.1.16.16</t>
  </si>
  <si>
    <t>Chaharmahal Bakhtiari</t>
  </si>
  <si>
    <t>40.1.16.17</t>
  </si>
  <si>
    <t>Isfehan</t>
  </si>
  <si>
    <t>40.1.16.18</t>
  </si>
  <si>
    <t>40.1.16.19</t>
  </si>
  <si>
    <t>40.1.16.20</t>
  </si>
  <si>
    <t>Azarbayjan Sharghi</t>
  </si>
  <si>
    <t>40.1.16.21</t>
  </si>
  <si>
    <t>Ghazvin</t>
  </si>
  <si>
    <t>40.1.16.22</t>
  </si>
  <si>
    <t>Yazd</t>
  </si>
  <si>
    <t>40.1.16.23</t>
  </si>
  <si>
    <t>40.1.16.24</t>
  </si>
  <si>
    <t>Semnan</t>
  </si>
  <si>
    <t>40.1.16.25</t>
  </si>
  <si>
    <t>Kerman</t>
  </si>
  <si>
    <t>40.1.16.26</t>
  </si>
  <si>
    <t>10.2.79.1</t>
  </si>
  <si>
    <t>40.1.16.27</t>
  </si>
  <si>
    <t>Markazi</t>
  </si>
  <si>
    <t>40.1.16.28</t>
  </si>
  <si>
    <t>Ilam</t>
  </si>
  <si>
    <t>40.1.16.29</t>
  </si>
  <si>
    <t>10.3.43.1</t>
  </si>
  <si>
    <t>40.1.16.30</t>
  </si>
  <si>
    <t>40.1.16.31</t>
  </si>
  <si>
    <t>Anbar-Mashhad</t>
  </si>
  <si>
    <t>10.0.99.1</t>
  </si>
  <si>
    <t>40.1.16.32</t>
  </si>
  <si>
    <t>10.3.34.1</t>
  </si>
  <si>
    <t>40.1.16.33</t>
  </si>
  <si>
    <t>Province</t>
  </si>
  <si>
    <t>10.2.48.1</t>
  </si>
  <si>
    <t>39.1.0.0/20</t>
  </si>
  <si>
    <t>39.1.0.1</t>
  </si>
  <si>
    <t>39.1.2.48</t>
  </si>
  <si>
    <t>10.2.52.1</t>
  </si>
  <si>
    <t>39.1.2.52</t>
  </si>
  <si>
    <t>10.2.66.1</t>
  </si>
  <si>
    <t>39.1.2.66</t>
  </si>
  <si>
    <t>10.2.87.1</t>
  </si>
  <si>
    <t>39.1.2.87</t>
  </si>
  <si>
    <t>10.2.94.1</t>
  </si>
  <si>
    <t>39.1.2.94</t>
  </si>
  <si>
    <t>10.2.95.1</t>
  </si>
  <si>
    <t>39.1.2.95</t>
  </si>
  <si>
    <t>10.3.40.1</t>
  </si>
  <si>
    <t>39.1.3.40</t>
  </si>
  <si>
    <t>10.3.69.1</t>
  </si>
  <si>
    <t>39.1.3.69</t>
  </si>
  <si>
    <t>10.3.75.1</t>
  </si>
  <si>
    <t>39.1.3.75</t>
  </si>
  <si>
    <t>10.3.79.1</t>
  </si>
  <si>
    <t>39.1.3.79</t>
  </si>
  <si>
    <t>10.3.98.1</t>
  </si>
  <si>
    <t>39.1.3.98</t>
  </si>
  <si>
    <t>10.4.10.1</t>
  </si>
  <si>
    <t>39.1.4.10</t>
  </si>
  <si>
    <t>10.4.11.1</t>
  </si>
  <si>
    <t>39.1.4.11</t>
  </si>
  <si>
    <t>10.4.14.1</t>
  </si>
  <si>
    <t>39.1.4.14</t>
  </si>
  <si>
    <t>10.4.18.1</t>
  </si>
  <si>
    <t>39.1.4.18</t>
  </si>
  <si>
    <t>10.4.19.1</t>
  </si>
  <si>
    <t>39.1.4.19</t>
  </si>
  <si>
    <t>10.4.21.1</t>
  </si>
  <si>
    <t>39.1.4.21</t>
  </si>
  <si>
    <t>10.4.24.1</t>
  </si>
  <si>
    <t>39.1.4.24</t>
  </si>
  <si>
    <t>10.4.26.1</t>
  </si>
  <si>
    <t>39.1.4.26</t>
  </si>
  <si>
    <t>10.4.31.1</t>
  </si>
  <si>
    <t>39.1.4.31</t>
  </si>
  <si>
    <t>10.4.38.1</t>
  </si>
  <si>
    <t>39.1.4.38</t>
  </si>
  <si>
    <t>10.4.46.1</t>
  </si>
  <si>
    <t>39.1.4.46</t>
  </si>
  <si>
    <t>10.4.47.1</t>
  </si>
  <si>
    <t>39.1.4.47</t>
  </si>
  <si>
    <t>10.4.50.1</t>
  </si>
  <si>
    <t>39.1.4.50</t>
  </si>
  <si>
    <t>10.4.53.1</t>
  </si>
  <si>
    <t>39.1.4.53</t>
  </si>
  <si>
    <t>10.4.54.1</t>
  </si>
  <si>
    <t>39.1.4.54</t>
  </si>
  <si>
    <t>10.4.58.1</t>
  </si>
  <si>
    <t>39.1.4.58</t>
  </si>
  <si>
    <t>10.4.57.1</t>
  </si>
  <si>
    <t>39.1.4.57</t>
  </si>
  <si>
    <t>10.4.59.1</t>
  </si>
  <si>
    <t>39.1.4.59</t>
  </si>
  <si>
    <t>10.4.60.1</t>
  </si>
  <si>
    <t>39.1.4.60</t>
  </si>
  <si>
    <t>10.4.61.1</t>
  </si>
  <si>
    <t>39.1.4.61</t>
  </si>
  <si>
    <t>10.4.62.1</t>
  </si>
  <si>
    <t>39.1.4.62</t>
  </si>
  <si>
    <t>10.4.63.1</t>
  </si>
  <si>
    <t>39.1.4.63</t>
  </si>
  <si>
    <t>10.4.65.1</t>
  </si>
  <si>
    <t>39.1.4.65</t>
  </si>
  <si>
    <t>10.4.69.1</t>
  </si>
  <si>
    <t>39.1.4.69</t>
  </si>
  <si>
    <t>10.4.72.1</t>
  </si>
  <si>
    <t>39.1.4.72</t>
  </si>
  <si>
    <t>10.4.73.1</t>
  </si>
  <si>
    <t>39.1.4.73</t>
  </si>
  <si>
    <t>10.4.78.1</t>
  </si>
  <si>
    <t>39.1.4.78</t>
  </si>
  <si>
    <t>10.4.81.1</t>
  </si>
  <si>
    <t>39.1.4.81</t>
  </si>
  <si>
    <t>10.4.83.1</t>
  </si>
  <si>
    <t>39.1.4.83</t>
  </si>
  <si>
    <t>10.4.85.1</t>
  </si>
  <si>
    <t>39.1.4.85</t>
  </si>
  <si>
    <t>10.4.86.1</t>
  </si>
  <si>
    <t>39.1.4.86</t>
  </si>
  <si>
    <t>10.4.87.1</t>
  </si>
  <si>
    <t>39.1.4.87</t>
  </si>
  <si>
    <t>10.4.89.1</t>
  </si>
  <si>
    <t>39.1.4.89</t>
  </si>
  <si>
    <t>10.4.90.1</t>
  </si>
  <si>
    <t>39.1.4.90</t>
  </si>
  <si>
    <t>10.4.93.1</t>
  </si>
  <si>
    <t>39.1.4.93</t>
  </si>
  <si>
    <t>10.4.96.1</t>
  </si>
  <si>
    <t>39.1.4.96</t>
  </si>
  <si>
    <t>10.4.97.1</t>
  </si>
  <si>
    <t>39.1.4.97</t>
  </si>
  <si>
    <t>10.4.99.1</t>
  </si>
  <si>
    <t>39.1.4.99</t>
  </si>
  <si>
    <t>10.5.0.1</t>
  </si>
  <si>
    <t>39.1.5.0</t>
  </si>
  <si>
    <t>10.5.1.1</t>
  </si>
  <si>
    <t>39.1.5.1</t>
  </si>
  <si>
    <t>10.5.2.1</t>
  </si>
  <si>
    <t>39.1.5.2</t>
  </si>
  <si>
    <t>10.5.3.1</t>
  </si>
  <si>
    <t>39.1.5.3</t>
  </si>
  <si>
    <t>10.5.6.1</t>
  </si>
  <si>
    <t>39.1.5.6</t>
  </si>
  <si>
    <t>10.5.7.1</t>
  </si>
  <si>
    <t>39.1.5.7</t>
  </si>
  <si>
    <t>10.5.8.1</t>
  </si>
  <si>
    <t>39.1.5.8</t>
  </si>
  <si>
    <t>10.5.13.1</t>
  </si>
  <si>
    <t>39.1.5.13</t>
  </si>
  <si>
    <t>10.5.16.1</t>
  </si>
  <si>
    <t>39.1.5.16</t>
  </si>
  <si>
    <t>10.5.17.1</t>
  </si>
  <si>
    <t>39.1.5.17</t>
  </si>
  <si>
    <t>10.5.18.1</t>
  </si>
  <si>
    <t>39.1.5.18</t>
  </si>
  <si>
    <t>10.5.19.1</t>
  </si>
  <si>
    <t>39.1.5.19</t>
  </si>
  <si>
    <t>10.5.22.1</t>
  </si>
  <si>
    <t>39.1.5.22</t>
  </si>
  <si>
    <t>10.5.23.1</t>
  </si>
  <si>
    <t>39.1.5.23</t>
  </si>
  <si>
    <t>10.5.24.1</t>
  </si>
  <si>
    <t>39.1.5.24</t>
  </si>
  <si>
    <t>10.5.25.1</t>
  </si>
  <si>
    <t>39.1.5.25</t>
  </si>
  <si>
    <t>10.5.26.1</t>
  </si>
  <si>
    <t>39.1.5.26</t>
  </si>
  <si>
    <t>10.5.27.1</t>
  </si>
  <si>
    <t>39.1.5.27</t>
  </si>
  <si>
    <t>10.5.28.1</t>
  </si>
  <si>
    <t>39.1.5.28</t>
  </si>
  <si>
    <t>10.5.29.1</t>
  </si>
  <si>
    <t>39.1.5.29</t>
  </si>
  <si>
    <t>10.5.30.1</t>
  </si>
  <si>
    <t>39.1.5.30</t>
  </si>
  <si>
    <t>10.5.31.1</t>
  </si>
  <si>
    <t>39.1.5.31</t>
  </si>
  <si>
    <t>10.5.32.1</t>
  </si>
  <si>
    <t>39.1.5.32</t>
  </si>
  <si>
    <t>10.5.33.1</t>
  </si>
  <si>
    <t>39.1.5.33</t>
  </si>
  <si>
    <t>10.5.34.1</t>
  </si>
  <si>
    <t>39.1.5.34</t>
  </si>
  <si>
    <t>10.5.35.1</t>
  </si>
  <si>
    <t>39.1.5.35</t>
  </si>
  <si>
    <t>10.5.36.1</t>
  </si>
  <si>
    <t>39.1.5.36</t>
  </si>
  <si>
    <t>10.5.44.1</t>
  </si>
  <si>
    <t>39.1.5.44</t>
  </si>
  <si>
    <t>10.5.45.1</t>
  </si>
  <si>
    <t>39.1.5.45</t>
  </si>
  <si>
    <t>10.5.50.1</t>
  </si>
  <si>
    <t>39.1.5.50</t>
  </si>
  <si>
    <t>10.5.58.1</t>
  </si>
  <si>
    <t>39.1.5.58</t>
  </si>
  <si>
    <t>10.5.59.1</t>
  </si>
  <si>
    <t>39.1.5.59</t>
  </si>
  <si>
    <t>10.5.61.1</t>
  </si>
  <si>
    <t>39.1.5.61</t>
  </si>
  <si>
    <t>10.5.79.1</t>
  </si>
  <si>
    <t>39.1.5.79</t>
  </si>
  <si>
    <t>شماره پرونده</t>
  </si>
  <si>
    <t>نوع سرویس</t>
  </si>
  <si>
    <t>نوع مدیا</t>
  </si>
  <si>
    <t>WAN IP</t>
  </si>
  <si>
    <t>LAN IP</t>
  </si>
  <si>
    <t>کارشناس هماهنگی</t>
  </si>
  <si>
    <t>تماس</t>
  </si>
  <si>
    <t>هزینه جدید-ریال</t>
  </si>
  <si>
    <t>هزینه با تخفیف-ریال</t>
  </si>
  <si>
    <t xml:space="preserve">970114348917
</t>
  </si>
  <si>
    <t xml:space="preserve">172.16.91.36/30
</t>
  </si>
  <si>
    <t>E1</t>
  </si>
  <si>
    <t>172.21.15.108/30</t>
  </si>
  <si>
    <t>پورتال بانک مرکزی-CBI</t>
  </si>
  <si>
    <t>613589</t>
  </si>
  <si>
    <t>172.19.58.214/30</t>
  </si>
  <si>
    <t>ریاست جمهوری</t>
  </si>
  <si>
    <t>172.32.15.234/29</t>
  </si>
  <si>
    <t>10.1.230.161/30</t>
  </si>
  <si>
    <t>ثبت احوال</t>
  </si>
  <si>
    <t>172.19.60.18/30</t>
  </si>
  <si>
    <t>10.200.13.0/24</t>
  </si>
  <si>
    <t>حراست بانک مرکزی</t>
  </si>
  <si>
    <t>سیم فیزیکی</t>
  </si>
  <si>
    <t>172.21.51.162/30</t>
  </si>
  <si>
    <t>192.168.26.254</t>
  </si>
  <si>
    <t>قاچاق کالا-سامانه کیهان</t>
  </si>
  <si>
    <t>172.30.90.1/24</t>
  </si>
  <si>
    <t>دارایی</t>
  </si>
  <si>
    <t>172.19.63.22/30</t>
  </si>
  <si>
    <t>10.140.10.0/24</t>
  </si>
  <si>
    <t>39902895 خانم پورسرپرست
09126263784 -پروازی</t>
  </si>
  <si>
    <t>مشاوره واعتبار سنجی ایرانیان</t>
  </si>
  <si>
    <t>172.19.21.146/30</t>
  </si>
  <si>
    <t>172.16.39.1/24</t>
  </si>
  <si>
    <t>09195067448-زارع</t>
  </si>
  <si>
    <t>172.21.4.226/30</t>
  </si>
  <si>
    <t>192.168.250.1/29</t>
  </si>
  <si>
    <t>94017687987</t>
  </si>
  <si>
    <t>172.21.11.154/30</t>
  </si>
  <si>
    <t>10.90.0.1/24</t>
  </si>
  <si>
    <t>هدفمندی یارانه ها</t>
  </si>
  <si>
    <t>10.0.0.137/29</t>
  </si>
  <si>
    <t>10.1.24.22</t>
  </si>
  <si>
    <t>172.21.48.150/30</t>
  </si>
  <si>
    <t>10.90.2.1/24</t>
  </si>
  <si>
    <t>94017166056</t>
  </si>
  <si>
    <t>172.19.78.94/30</t>
  </si>
  <si>
    <t>10.90.1.1/30</t>
  </si>
  <si>
    <t>950110060477
(تغییر آدرس) 971214344004</t>
  </si>
  <si>
    <t>172.21.26.166/30</t>
  </si>
  <si>
    <t>88744140 - ارجی میرشاهی 09122247213</t>
  </si>
  <si>
    <t>داتین (سامانه ترنج)</t>
  </si>
  <si>
    <t>192.168.114.2/30</t>
  </si>
  <si>
    <t>192.168.1.24/30</t>
  </si>
  <si>
    <t>09122477551-عباسی</t>
  </si>
  <si>
    <t>960113423866</t>
  </si>
  <si>
    <t xml:space="preserve">192.168.196.32/29 </t>
  </si>
  <si>
    <t>192.168.196.48/29</t>
  </si>
  <si>
    <t>10.139.66.2 /24</t>
  </si>
  <si>
    <t>172.21.82.132 /30</t>
  </si>
  <si>
    <t>88112472-88112474  NIX-88386311 واحد فنی</t>
  </si>
  <si>
    <t>192.168.111.238 /24</t>
  </si>
  <si>
    <t>89678-330 خانم آل طاها</t>
  </si>
  <si>
    <t>آتیه داده پرداز</t>
  </si>
  <si>
    <t>4000114960294</t>
  </si>
  <si>
    <t>172.26.8.92/30</t>
  </si>
  <si>
    <t>09122834916 خانم یزدی</t>
  </si>
  <si>
    <t>172.21.48.12/30</t>
  </si>
  <si>
    <t>بورس کالا</t>
  </si>
  <si>
    <t>950110055206</t>
  </si>
  <si>
    <t>172.19.87.72/30</t>
  </si>
  <si>
    <t>4010114982635</t>
  </si>
  <si>
    <t>172.21.137.180/30</t>
  </si>
  <si>
    <t>گام الکترونیک</t>
  </si>
  <si>
    <t>قاسمی 85645086</t>
  </si>
  <si>
    <t>رهیاب</t>
  </si>
  <si>
    <t>10.88.71.196./60</t>
  </si>
  <si>
    <t>10.139.766.0/24</t>
  </si>
  <si>
    <t>78.38.217.169/29</t>
  </si>
  <si>
    <t>172.19.29.108/30</t>
  </si>
  <si>
    <t>NIBN
خدمات انفورماتیک-مرکز داده تهران</t>
  </si>
  <si>
    <t>NIBN
خدمات انفورماتیک-مرکز داده سمنان</t>
  </si>
  <si>
    <t>تجهیزات</t>
  </si>
  <si>
    <t>شماره پرونده وسیم خصوصی یکی است.پاور مودم از زوج دیتا</t>
  </si>
  <si>
    <t>توضیحات</t>
  </si>
  <si>
    <t>Modem</t>
  </si>
  <si>
    <t>ICT&amp;FOS</t>
  </si>
  <si>
    <t>مرکز داده</t>
  </si>
  <si>
    <t>Convertor Planet</t>
  </si>
  <si>
    <t xml:space="preserve">DVB/RCS Modem&amp;Cable </t>
  </si>
  <si>
    <t xml:space="preserve">512 Kb </t>
  </si>
  <si>
    <t>10 Mb</t>
  </si>
  <si>
    <t>بیسیم</t>
  </si>
  <si>
    <t xml:space="preserve">قدس کر5و6-FOS:8-1045-12
</t>
  </si>
  <si>
    <t>FOS:8-985-فضل اله کر 3و4</t>
  </si>
  <si>
    <t xml:space="preserve"> شهریMPLS</t>
  </si>
  <si>
    <t>قدس کر5و6-FOS:8-1045-12</t>
  </si>
  <si>
    <t>مهندس عمویی 64458941-64458940</t>
  </si>
  <si>
    <t>شماره پشتیبان 88623589</t>
  </si>
  <si>
    <t xml:space="preserve">256 Kb </t>
  </si>
  <si>
    <t xml:space="preserve">60902422 -مهندس کرمانی </t>
  </si>
  <si>
    <t>64463301 - 64463324 - 64463339
 64463351آقایان مجیر وحیدری-احمدی (رئیس کل دفتر حراست بانک مرکزی)</t>
  </si>
  <si>
    <t>روتر2811 ومودم .BIZدر طبقه منفی 2 است -کلاینت 192.168.26.1 باید باشدگیت وی 192.168.26.254/24</t>
  </si>
  <si>
    <t>22222811-داخلی 118-9203178295- مسئول خورشیدی 09120915824</t>
  </si>
  <si>
    <t>CISCO 878</t>
  </si>
  <si>
    <t>شرکت پست</t>
  </si>
  <si>
    <t>LAN VLAN 77</t>
  </si>
  <si>
    <t>9702102511</t>
  </si>
  <si>
    <t xml:space="preserve"> سازمان فناوری اطلاعات</t>
  </si>
  <si>
    <t xml:space="preserve"> رحمتی091250208592</t>
  </si>
  <si>
    <t>FOS:8-1021-4-فضل اله کر 3و4</t>
  </si>
  <si>
    <t>تهران-68 شرقی</t>
  </si>
  <si>
    <t>PGSBسازمان فناوری اطلاعات سرویس</t>
  </si>
  <si>
    <t>مبدا(ملل)4020114993564  مقصد(بورس)4020114993565</t>
  </si>
  <si>
    <t>172.21.148.188/30ملل-172.21.149.28/30 بورس</t>
  </si>
  <si>
    <t>بورس192.168.168.8/30-192.168.168.0/29 ملل</t>
  </si>
  <si>
    <t>ملل918-3941 بورس</t>
  </si>
  <si>
    <t>25404217501</t>
  </si>
  <si>
    <t>تهران -دانشگاه شریف</t>
  </si>
  <si>
    <t>منطقه 6مرکز فرد اسدی</t>
  </si>
  <si>
    <t>شماره مجازی 99828963</t>
  </si>
  <si>
    <t>FTTH Modem-Huwaei W5</t>
  </si>
  <si>
    <t>09358438580 مسئول فناوری معتمد شریف</t>
  </si>
  <si>
    <t>مبدا(ملل)980114936411-مقصد 980114936412</t>
  </si>
  <si>
    <t>ملل172.21.109104/29- مقصد 172.21.109.112/29</t>
  </si>
  <si>
    <t>ملل3914-مقصد3924</t>
  </si>
  <si>
    <t>Mikrotik Radio</t>
  </si>
  <si>
    <t>ملل4030115022334- دماوند4030115022337</t>
  </si>
  <si>
    <t>LTE-Mobinnet-P2P</t>
  </si>
  <si>
    <t>Wireless-P2P</t>
  </si>
  <si>
    <t xml:space="preserve"> شهریMPLS-P2P</t>
  </si>
  <si>
    <t>ملل 172.21.164.44/30- دماوند 172.21.164.92/30</t>
  </si>
  <si>
    <t>ملل3814-دماوند3909</t>
  </si>
  <si>
    <t>GSS شهرک غرب</t>
  </si>
  <si>
    <t>گرایش پارسGSS</t>
  </si>
  <si>
    <t>زوج سیم( DSL)</t>
  </si>
  <si>
    <t>تهران-ساختمان GSS</t>
  </si>
  <si>
    <t>CISCO 2811-DSL Modem</t>
  </si>
  <si>
    <t>تهران-ساختمان شرکت گام</t>
  </si>
  <si>
    <t>مبدا(ملل)4020114996065- مقصد4020114996066</t>
  </si>
  <si>
    <t>172.21.150.80/30ملل-مقصد172.21.156.176/30</t>
  </si>
  <si>
    <t>3919ملل-مقصد3920</t>
  </si>
  <si>
    <t>مبدا(تهران)4020115011359-مقصد(بسمنان)4020114996066</t>
  </si>
  <si>
    <t xml:space="preserve"> ملل172.21.156.176/30 - مقصد 10.88.64.76/30</t>
  </si>
  <si>
    <t xml:space="preserve"> سمنان ملل3030-3913 ملل تهران</t>
  </si>
  <si>
    <t>قدس کر5و6-FOS:8-1045-12 و سمنان عاملو کر1و2- FOS:2397300127</t>
  </si>
  <si>
    <t>تهران وسمنان</t>
  </si>
  <si>
    <t>چوگان-بورس</t>
  </si>
  <si>
    <t>سمنان عاملو کر1و2- FOS:2397300127</t>
  </si>
  <si>
    <t>نقطه مادر مقابل بورس تهران است</t>
  </si>
  <si>
    <t>چوگان -ملل(تهران وسمنان)</t>
  </si>
  <si>
    <t>شماره مجازی 99257229-شماره پرونده : 4020115011453</t>
  </si>
  <si>
    <t>Internet</t>
  </si>
  <si>
    <t xml:space="preserve">شماره مجازی 2199257229- شماره پرونده : 4021515012191 </t>
  </si>
  <si>
    <t>200 Mb</t>
  </si>
  <si>
    <t>SIP Trunk</t>
  </si>
  <si>
    <t>سرشماره 68131000 - سرشماره 21440048728</t>
  </si>
  <si>
    <t>SBC:10.153.101.187/32</t>
  </si>
  <si>
    <t>10.196.52.52/30</t>
  </si>
  <si>
    <t>تهران-شرکت سامان ماهواره</t>
  </si>
  <si>
    <t>CISCO 1841-DSL Modem</t>
  </si>
  <si>
    <t xml:space="preserve"> WAN:3918-LAN:77</t>
  </si>
  <si>
    <t>WAN:438-LAN:113</t>
  </si>
  <si>
    <t>سامان ماهواره-جمع آوری شود</t>
  </si>
  <si>
    <t>راه آهن-جمع آوری شود</t>
  </si>
  <si>
    <t xml:space="preserve">128 Kb </t>
  </si>
  <si>
    <t>156</t>
  </si>
  <si>
    <t xml:space="preserve">5 Mb </t>
  </si>
  <si>
    <t>WAN:437-LAN:374</t>
  </si>
  <si>
    <t>چوگان-تبیان</t>
  </si>
  <si>
    <t>مدیریت واطلاعات وادمین این سرویس  شرکت چوگان است.</t>
  </si>
  <si>
    <t>WAN:440-LAN:723</t>
  </si>
  <si>
    <t>طرف مقابل لینک بورس کالا</t>
  </si>
  <si>
    <t>شاپرک</t>
  </si>
  <si>
    <t>10.16.251.171/29</t>
  </si>
  <si>
    <t>WAN:3910-LAN:536</t>
  </si>
  <si>
    <t>172.21.110.78/29</t>
  </si>
  <si>
    <t>172.21.153.134/30</t>
  </si>
  <si>
    <t>WAN:3911-LAN:58</t>
  </si>
  <si>
    <t>10.17.41.49/28</t>
  </si>
  <si>
    <t>پرداخت یاری</t>
  </si>
  <si>
    <t>توانا</t>
  </si>
  <si>
    <t>مبدا(ملل)4030115031927- مقصد4030115031930</t>
  </si>
  <si>
    <t xml:space="preserve"> بین شهریMPLS-P2P</t>
  </si>
  <si>
    <t>ملل172.21.0.0/29-مقصد:172.21.0.8/29</t>
  </si>
  <si>
    <t>ملل3922- مقصد3931</t>
  </si>
  <si>
    <t>تهران-بومهن</t>
  </si>
  <si>
    <t>محل</t>
  </si>
  <si>
    <t>SBC IP</t>
  </si>
  <si>
    <t>مرکز داده - ساختمان</t>
  </si>
  <si>
    <t>سرشماره</t>
  </si>
  <si>
    <t>5-5/8-8</t>
  </si>
  <si>
    <t>5-5</t>
  </si>
  <si>
    <t>57751</t>
  </si>
  <si>
    <t xml:space="preserve">3 Mb </t>
  </si>
  <si>
    <t>961513140460</t>
  </si>
  <si>
    <t>تهران-رضوان</t>
  </si>
  <si>
    <t>شماره کارکن</t>
  </si>
  <si>
    <t>961513140563</t>
  </si>
  <si>
    <t>57752</t>
  </si>
  <si>
    <t>40040336</t>
  </si>
  <si>
    <t>شیرازجنوبی -سرپرستی</t>
  </si>
  <si>
    <t>SIP-Melal TelBank</t>
  </si>
  <si>
    <t>SIP-Melal Tel</t>
  </si>
  <si>
    <t>41639</t>
  </si>
  <si>
    <t>8-8</t>
  </si>
  <si>
    <t>40039976</t>
  </si>
  <si>
    <t>SIP-Melal Emdadmoshtari</t>
  </si>
  <si>
    <t>84333</t>
  </si>
  <si>
    <t>40045978</t>
  </si>
  <si>
    <t>3917</t>
  </si>
  <si>
    <t>3920</t>
  </si>
  <si>
    <t>908</t>
  </si>
  <si>
    <t>909</t>
  </si>
  <si>
    <t>پورت سوئیچ</t>
  </si>
  <si>
    <t>GigabitEthernet1/0/18</t>
  </si>
  <si>
    <t>SIP-Melal FAXServer</t>
  </si>
  <si>
    <t>58984</t>
  </si>
  <si>
    <t>3915</t>
  </si>
  <si>
    <t>4001514962208</t>
  </si>
  <si>
    <t>شیرازجنوبی -شرکت فام</t>
  </si>
  <si>
    <t>SIP-Melal FAM</t>
  </si>
  <si>
    <t>43698</t>
  </si>
  <si>
    <t>3903</t>
  </si>
  <si>
    <t>تهران-رضوان-فام</t>
  </si>
  <si>
    <t>TenGigabitEthernet1/0/20</t>
  </si>
  <si>
    <t>شیرازجنوبی -ساختمان 68</t>
  </si>
  <si>
    <t>SIP-Melal 68 Sharghi-Tel</t>
  </si>
  <si>
    <t>45281</t>
  </si>
  <si>
    <t>45283</t>
  </si>
  <si>
    <t>903</t>
  </si>
  <si>
    <t>904</t>
  </si>
  <si>
    <t>تهران-ساختمان 68</t>
  </si>
  <si>
    <t>40041383</t>
  </si>
  <si>
    <t>GigabitEthernet1/0/13</t>
  </si>
  <si>
    <t xml:space="preserve">مدل سوئیچ </t>
  </si>
  <si>
    <t>WS-C3850-24T</t>
  </si>
  <si>
    <t>WS-C3850-48XS</t>
  </si>
  <si>
    <t>C9300-48T</t>
  </si>
  <si>
    <t>دانشگاه شریف-شرکت معتمد ملل شریف</t>
  </si>
  <si>
    <t>4021515012191</t>
  </si>
  <si>
    <t>SIP-Melal Motamed-Tel</t>
  </si>
  <si>
    <t>68131</t>
  </si>
  <si>
    <t>2000</t>
  </si>
  <si>
    <t>FOS:8-985-فضل اله کر 3و4منطقه8</t>
  </si>
  <si>
    <t>FOS:8-985-فضل اله کر 1و2منطقه 8</t>
  </si>
  <si>
    <t xml:space="preserve">FOS:8-1021-4-فضل اله کر 5و6منطقه8 </t>
  </si>
  <si>
    <t xml:space="preserve"> -مرکز منطقه6 فرداسدی -شماره مجازی2199257229</t>
  </si>
  <si>
    <t>تهران-شرکت معتمد ملل</t>
  </si>
  <si>
    <t>40048728</t>
  </si>
  <si>
    <t xml:space="preserve">مدل سوئیچ  </t>
  </si>
  <si>
    <t>FTTX Modem Huawei</t>
  </si>
  <si>
    <t>10.153.101.187/32</t>
  </si>
  <si>
    <t>Optic Fiber</t>
  </si>
  <si>
    <t>شماره پرونده /شماره کارکن</t>
  </si>
  <si>
    <t>60104840</t>
  </si>
  <si>
    <t>1 G</t>
  </si>
  <si>
    <t>هزینه ماهیانه</t>
  </si>
  <si>
    <t>60104175</t>
  </si>
  <si>
    <t>Port-channel55(Gi1/0/17-Gi2/0/17)</t>
  </si>
  <si>
    <t>60104860</t>
  </si>
  <si>
    <t>60104711</t>
  </si>
  <si>
    <t>60105492</t>
  </si>
  <si>
    <t>GigabitEthernet2/0/11</t>
  </si>
  <si>
    <t>GigabitEthernet2/0/13</t>
  </si>
  <si>
    <t>فیبر دسترسی-مرکز فضل اله</t>
  </si>
  <si>
    <t>فیبر دسترسی-مرکز قدس</t>
  </si>
  <si>
    <t>فیبر دسترسی- مرکز فضل اله</t>
  </si>
  <si>
    <t>FOS:8-1021-4-فضل اله کر 5و6منطقه 8</t>
  </si>
  <si>
    <t>99257229</t>
  </si>
  <si>
    <t>فیبر اشتراکی-مرکز فرداسدی</t>
  </si>
  <si>
    <t>مرکز فرداسدی  منطقه 6</t>
  </si>
  <si>
    <t>مرکز داده سمنان</t>
  </si>
  <si>
    <t>مرکز داده تهران</t>
  </si>
  <si>
    <t>2397300127</t>
  </si>
  <si>
    <t>فیبر تاریک نورنتا</t>
  </si>
  <si>
    <t>فیبر تاریک بین تهران وسمنان-لایه2</t>
  </si>
  <si>
    <t>TenGigabitEthernet1/1/5</t>
  </si>
  <si>
    <t>فیبر دسترسی-مرکز عاملو</t>
  </si>
  <si>
    <t>GigabitEthernet1/0/21</t>
  </si>
  <si>
    <t>TenGigabitEthernet1/1/1</t>
  </si>
  <si>
    <t>مرکز عاملو-4 کرفعال</t>
  </si>
  <si>
    <t>مرکز عاملو-نورنتا</t>
  </si>
  <si>
    <t>فضل اله -نورنتا</t>
  </si>
  <si>
    <t>فیبر دسترسی-مرکز مطهری</t>
  </si>
  <si>
    <t>فیبر دسترسی-مرکز امام</t>
  </si>
  <si>
    <t>GigabitEthernet1/0/28</t>
  </si>
  <si>
    <t>GigabitEthernet1/0/26</t>
  </si>
  <si>
    <t>WS-C3750X-48</t>
  </si>
  <si>
    <t>SDH OSN500 Huawei</t>
  </si>
  <si>
    <t>فیبر مطهری وامام</t>
  </si>
  <si>
    <t>WS-C2960-24TTL</t>
  </si>
  <si>
    <t>FastEthernet0/23</t>
  </si>
  <si>
    <t>فیبر دسترسی-مرکز ؟</t>
  </si>
  <si>
    <t>GigabitEthernet0/1-GigabitEthernet0/2</t>
  </si>
  <si>
    <t>WS-C2960-24PC-L</t>
  </si>
  <si>
    <t>فیبر اشتراکی-مرکز؟</t>
  </si>
  <si>
    <t>FastEthernet0/19-FastEthernet0/20</t>
  </si>
  <si>
    <t>FastEthernet0/19-FastEthernet0/20-FastEthernet0/22</t>
  </si>
  <si>
    <t>FastEthernet0/17-FastEthernet0/18-FastEthernet0/22</t>
  </si>
  <si>
    <t>FastEthernet0/21-FastEthernet0/22</t>
  </si>
  <si>
    <t>سیستان وبلوچستان</t>
  </si>
  <si>
    <t>مادرمیانی 384</t>
  </si>
  <si>
    <t xml:space="preserve">شعبه 492 </t>
  </si>
  <si>
    <t>مادرمیانی 246</t>
  </si>
  <si>
    <t>مادرمیانی 275</t>
  </si>
  <si>
    <t>سرپرستی مشهد-211</t>
  </si>
  <si>
    <t xml:space="preserve">شعبه 414 </t>
  </si>
  <si>
    <t>FastEthernet0/22</t>
  </si>
  <si>
    <t xml:space="preserve">شعبه 461 </t>
  </si>
  <si>
    <t xml:space="preserve">شعبه 473 </t>
  </si>
  <si>
    <t>FastEthernet0/21-FastEthernet0/23</t>
  </si>
  <si>
    <t xml:space="preserve">شعبه 579 </t>
  </si>
  <si>
    <t xml:space="preserve"> روترGigabitEthernet0/1-GigabitEthernet0/2</t>
  </si>
  <si>
    <t>کانکتد به روتر</t>
  </si>
  <si>
    <t>مادرمیانی 304</t>
  </si>
  <si>
    <t>VLAN3003-FE20 SW</t>
  </si>
  <si>
    <t>FastEthernet0/18-FastEthernet0/20</t>
  </si>
  <si>
    <t>آذرغربی</t>
  </si>
  <si>
    <t>مادرمیانی 322</t>
  </si>
  <si>
    <t>FastEthernet0/16</t>
  </si>
  <si>
    <t>آذرشرقی</t>
  </si>
  <si>
    <t>مادرمیانی 314</t>
  </si>
  <si>
    <t>مادرمیانی 370</t>
  </si>
  <si>
    <t>FastEthernet0/17-FastEthernet0/18-FastEthernet0/20-FastEthernet0/21</t>
  </si>
  <si>
    <t>مادرمیانی 543</t>
  </si>
  <si>
    <t>40106434456</t>
  </si>
  <si>
    <t>مادرمیانی 332</t>
  </si>
  <si>
    <t>FastEthernet0/20-FastEthernet0/21-FastEthernet0/22</t>
  </si>
  <si>
    <t>مدل Home</t>
  </si>
  <si>
    <t>FOS: 900/3454</t>
  </si>
  <si>
    <t>مادرمیانی 401</t>
  </si>
  <si>
    <t>Limax FA Tech 50E</t>
  </si>
  <si>
    <t>شماره کارکن 89143302</t>
  </si>
  <si>
    <t>مادرمیانی 345</t>
  </si>
  <si>
    <t>مادرمیانی 249</t>
  </si>
  <si>
    <t xml:space="preserve">100/01/1256011 </t>
  </si>
  <si>
    <t>فیبر دسترسی-مرکز فیض</t>
  </si>
  <si>
    <t>FastEthernet0/20-FastEthernet0/21</t>
  </si>
  <si>
    <t>2499992796</t>
  </si>
  <si>
    <t>مادرمیانی 464</t>
  </si>
  <si>
    <t>FastEthernet0/18-FastEthernet0/21</t>
  </si>
  <si>
    <t>مادرمیانی 344</t>
  </si>
  <si>
    <t>کهکلویه</t>
  </si>
  <si>
    <t>مادرمیانی 412</t>
  </si>
  <si>
    <t>FastEthernet0/17</t>
  </si>
  <si>
    <t>مادرمیانی 247</t>
  </si>
  <si>
    <t>990000950</t>
  </si>
  <si>
    <t>FastEthernet0/19-FastEthernet0/20-FastEthernet0/21</t>
  </si>
  <si>
    <t>مادرمیانی 279</t>
  </si>
  <si>
    <t>FastEthernet0/19-FastEthernet0/22</t>
  </si>
  <si>
    <t>970114839243</t>
  </si>
  <si>
    <t xml:space="preserve">مخابرات </t>
  </si>
  <si>
    <t>192.168.5.1/24</t>
  </si>
  <si>
    <t>sample:192.168.1.11/24(T1-R(B9))</t>
  </si>
  <si>
    <t>217.218.51.58/32</t>
  </si>
  <si>
    <t>172.19.31.118/30</t>
  </si>
  <si>
    <t>4020114993550</t>
  </si>
  <si>
    <t>مخابرات</t>
  </si>
  <si>
    <t>192.168.10.1/23</t>
  </si>
  <si>
    <t>192.168.10.5-14</t>
  </si>
  <si>
    <t>192.168.10.2</t>
  </si>
  <si>
    <t>217.218.52.18/29</t>
  </si>
  <si>
    <t>172.19.27.140/30</t>
  </si>
  <si>
    <t>MikriTik RB5009UG+S+</t>
  </si>
  <si>
    <t>217.218.52.18:5524</t>
  </si>
  <si>
    <t>89.37.5.234/30</t>
  </si>
  <si>
    <t>89.37.5.234:5524</t>
  </si>
  <si>
    <t>ساختمان فام-مشهد</t>
  </si>
  <si>
    <t>192.168.10.10/24</t>
  </si>
  <si>
    <t>192.168.10.3,192.168.20.3,192.168.30.30</t>
  </si>
  <si>
    <t>185.22.31.205/29</t>
  </si>
  <si>
    <t>185.22.31.205:5525</t>
  </si>
  <si>
    <t>رسپینا</t>
  </si>
  <si>
    <t>192.168.6.3/24</t>
  </si>
  <si>
    <t>192.168.6.20</t>
  </si>
  <si>
    <t>5.160.57.2/29</t>
  </si>
  <si>
    <t>5.160.57.2:2324</t>
  </si>
  <si>
    <t>92000000-1</t>
  </si>
  <si>
    <t>40301165842</t>
  </si>
  <si>
    <t>217.218.75.16/29</t>
  </si>
  <si>
    <t>172.19.33.224/30</t>
  </si>
  <si>
    <t>20 M</t>
  </si>
  <si>
    <t>MikriTik RB951Ui-2HnD</t>
  </si>
  <si>
    <t>سپنتا</t>
  </si>
  <si>
    <t>100.107.1.55</t>
  </si>
  <si>
    <t>85.133.187.194/29</t>
  </si>
  <si>
    <t>85.133.235.51/29</t>
  </si>
  <si>
    <t>192.168.10.11-13</t>
  </si>
  <si>
    <t>172.16.1.1/24</t>
  </si>
  <si>
    <t>217.218.243.130/29</t>
  </si>
  <si>
    <t>217.218.243.130:5523</t>
  </si>
  <si>
    <t>محل سرویس اینترنت</t>
  </si>
  <si>
    <t>IP LAN</t>
  </si>
  <si>
    <t>Valid IP</t>
  </si>
  <si>
    <t>Private IP</t>
  </si>
  <si>
    <t>شماره پرونده فیبراختصاصی/شماره مجازی فیبر اشتراکی</t>
  </si>
  <si>
    <t>آدرس دسترسی Winbox</t>
  </si>
  <si>
    <t>هزینه سرویس(ریال)</t>
  </si>
  <si>
    <t xml:space="preserve">شناسه اینترنتی </t>
  </si>
  <si>
    <t>شماره پشتیبان شرکت24*7</t>
  </si>
  <si>
    <t>ساختمان سرپرستی ملل-رضوان</t>
  </si>
  <si>
    <t>100 Mb</t>
  </si>
  <si>
    <t>AP Addresses</t>
  </si>
  <si>
    <t>MikroTik OS-VM</t>
  </si>
  <si>
    <t>IP Switch OR Controller</t>
  </si>
  <si>
    <t>Controller:192.168.5.20</t>
  </si>
  <si>
    <t>Pfsense</t>
  </si>
  <si>
    <t xml:space="preserve"> فام-رضوان</t>
  </si>
  <si>
    <t>فام-68 شرقی</t>
  </si>
  <si>
    <t>MikriTik RB5009UG+S+*2</t>
  </si>
  <si>
    <t>شرکت</t>
  </si>
  <si>
    <t>ملل</t>
  </si>
  <si>
    <t>فام</t>
  </si>
  <si>
    <t>Mobinnet-پشتیبان</t>
  </si>
  <si>
    <t>MikriTik RB951G-2HnD*2</t>
  </si>
  <si>
    <t>30 Mb</t>
  </si>
  <si>
    <t>؟OMC منطقه6</t>
  </si>
  <si>
    <t>ساختمان 68 شرقی-سبدگردان</t>
  </si>
  <si>
    <t>ملل-68 شرقی</t>
  </si>
  <si>
    <t>LTE-Mobinnet</t>
  </si>
  <si>
    <t>6.3.17.108/30</t>
  </si>
  <si>
    <t>10.198.12.229/30</t>
  </si>
  <si>
    <t>10.198.12.237/30</t>
  </si>
  <si>
    <t>10.198.12.226/32</t>
  </si>
  <si>
    <t>10.198.12.234/32</t>
  </si>
  <si>
    <t>10.198.62.8/30</t>
  </si>
  <si>
    <t>10.153.101.183/32</t>
  </si>
  <si>
    <t xml:space="preserve">شعبه 527 </t>
  </si>
  <si>
    <t>30513578</t>
  </si>
  <si>
    <t>30512356</t>
  </si>
  <si>
    <t>600854 or 600812</t>
  </si>
  <si>
    <t>172.21.178.244/30</t>
  </si>
  <si>
    <t>10.198.42.148/30</t>
  </si>
  <si>
    <t>10.198.22.2/30</t>
  </si>
  <si>
    <t>10.153.101.170/32</t>
  </si>
  <si>
    <t>10.198.22.50/30</t>
  </si>
  <si>
    <t>10.153.101.180/32</t>
  </si>
  <si>
    <t>10.198.2.206/30</t>
  </si>
  <si>
    <t>10.105.20.194/32</t>
  </si>
  <si>
    <t>2643007</t>
  </si>
  <si>
    <t>Media Convertor</t>
  </si>
  <si>
    <t xml:space="preserve"> Media Convertor*2</t>
  </si>
  <si>
    <t>531071</t>
  </si>
  <si>
    <t>10.139.24.1/24</t>
  </si>
  <si>
    <t xml:space="preserve">8.1.3.72 /32-8.2.3.72/32-8.3.3.72/32
</t>
  </si>
  <si>
    <t>FastEthernet0/1.2</t>
  </si>
  <si>
    <t>VLAN 2-FE21 SW</t>
  </si>
  <si>
    <t>612448</t>
  </si>
  <si>
    <t>10.254.213.66/29</t>
  </si>
  <si>
    <t>540801</t>
  </si>
  <si>
    <t>10.13.2.74/29</t>
  </si>
  <si>
    <t>بوعلی (همدان)</t>
  </si>
  <si>
    <t>ملایر</t>
  </si>
  <si>
    <t>ملايرهمدان</t>
  </si>
  <si>
    <t>546769</t>
  </si>
  <si>
    <t>192.168.154.6/30</t>
  </si>
  <si>
    <t>10.254.228.58/29</t>
  </si>
  <si>
    <t>نهاوند</t>
  </si>
  <si>
    <t>192.168.154.10/30</t>
  </si>
  <si>
    <t>FastEthernet0/0.1</t>
  </si>
  <si>
    <t>VLAN24-FE24 SW</t>
  </si>
  <si>
    <t>9702076264</t>
  </si>
  <si>
    <t>10.254.235.82/29</t>
  </si>
  <si>
    <t>6.8.17.118/22</t>
  </si>
  <si>
    <t>VLAN22-FE20 SW</t>
  </si>
  <si>
    <t>Tehran:31.1.3.72/21-Semnan:28.1.3.72/21</t>
  </si>
  <si>
    <t>Tehran:33.1.3.72/20-Anti:38.1.3.72/20-Seman:44.1.3.72/20</t>
  </si>
  <si>
    <t>8.4.95.1 /32-8.3.4.95/32</t>
  </si>
  <si>
    <t>8.1.5.41 /32-8.3.5.41/32</t>
  </si>
  <si>
    <t xml:space="preserve">192.168.154.1/30(406)-192.168.154.5/30(495)-192.168.154.9/30(541) 192.168.154.65/26(ATM)
</t>
  </si>
  <si>
    <t>Tehran:62.3.72.1/12-Off-Anti:40.1.16.11/24(Off)-Seman:63.3.72.1/12</t>
  </si>
  <si>
    <t>افزونگی لینک hsrpکامل شود در 372</t>
  </si>
  <si>
    <t>Tehran:33.1.4.95/20-Anti:38.1.4.95/20-Seman:44.1.4.95/20</t>
  </si>
  <si>
    <t>Tehran:33.1.5.41/20-Anti:38.1.5.41/20-Seman:44.1.5.41/20</t>
  </si>
  <si>
    <t>6.3.17.118/30</t>
  </si>
  <si>
    <t>A-8151-Neginertebatat</t>
  </si>
  <si>
    <t>10.8.15.1/30</t>
  </si>
  <si>
    <t>6.3.8.226/30</t>
  </si>
  <si>
    <t>6.8.8.226/20</t>
  </si>
  <si>
    <t>C-815-9-Asnadrasmi</t>
  </si>
  <si>
    <t>10.8.15.9/30</t>
  </si>
  <si>
    <t>192.168.155.67/25</t>
  </si>
  <si>
    <t>192.168.154.67/26</t>
  </si>
  <si>
    <t>C-815-33-Pasajghods</t>
  </si>
  <si>
    <t>10.8.15.33/30</t>
  </si>
  <si>
    <t>192.168.155.70/26</t>
  </si>
  <si>
    <t>192.168.154.70/26</t>
  </si>
  <si>
    <t>6.3.24.220/30</t>
  </si>
  <si>
    <t>C-82481-Amlakbanzadeh</t>
  </si>
  <si>
    <t>651091</t>
  </si>
  <si>
    <t>IOSسوئیچ   275</t>
  </si>
  <si>
    <t>اراک</t>
  </si>
  <si>
    <t>حوزه 3304</t>
  </si>
  <si>
    <t>10.5.80.1 /24-VLAN100-10.9.125.145/29-VLAN125</t>
  </si>
  <si>
    <t>10.5.80.99 /24</t>
  </si>
  <si>
    <t>10.139.11.2/24</t>
  </si>
  <si>
    <t>8.1.5.80 /32-8.2.5.80 /32-8.3.5.80/32</t>
  </si>
  <si>
    <t>10.45.15.66/28</t>
  </si>
  <si>
    <t>L10:    100.100.100.100/32</t>
  </si>
  <si>
    <t>192.168.159.5/30(351)-192.168.159.9/30(354)-192.168.159.13/30(362)</t>
  </si>
  <si>
    <t>192.168.158.5/30(351)-192.168.158.9/30(354)-192.168.158.13/30(362)</t>
  </si>
  <si>
    <t>ATM0/0/0.1-ATM0/0/0.2-ATM0/0/0.3</t>
  </si>
  <si>
    <t>99/33-99/34-99/35</t>
  </si>
  <si>
    <t>10.13.2.26/29</t>
  </si>
  <si>
    <t>VLAN62-FE19 SW</t>
  </si>
  <si>
    <t>535115</t>
  </si>
  <si>
    <t>607617</t>
  </si>
  <si>
    <t>10.45.248.194/29</t>
  </si>
  <si>
    <t>10.45.210.178/28</t>
  </si>
  <si>
    <t>دلیجان</t>
  </si>
  <si>
    <t>192.168.159.14/30</t>
  </si>
  <si>
    <t>192.168.158.14/30</t>
  </si>
  <si>
    <t>99/34</t>
  </si>
  <si>
    <t>10.45.248.210/28</t>
  </si>
  <si>
    <t>ساوه</t>
  </si>
  <si>
    <t>192.168.159.10/30</t>
  </si>
  <si>
    <t>192.168.158.10/30</t>
  </si>
  <si>
    <t>99/33</t>
  </si>
  <si>
    <t>10.45.15.50/28</t>
  </si>
  <si>
    <t>خمین</t>
  </si>
  <si>
    <t>192.168.159.6/30</t>
  </si>
  <si>
    <t>192.168.158.6/30</t>
  </si>
  <si>
    <t>99/35</t>
  </si>
  <si>
    <t>607615</t>
  </si>
  <si>
    <t>10.45.248.178/28</t>
  </si>
  <si>
    <t>548447</t>
  </si>
  <si>
    <t>607614</t>
  </si>
  <si>
    <t>10.45.248.226/28</t>
  </si>
  <si>
    <t>Tehran:31.1.5.80/21-Semnan:28.1.5.80/21</t>
  </si>
  <si>
    <t>8.1.3.30 /32-8.3.3.30/32</t>
  </si>
  <si>
    <t>8.1.3.62 /32-8.3.3.62/32</t>
  </si>
  <si>
    <t>8.1.3.51 /32-8.3.3.51/32</t>
  </si>
  <si>
    <t>8.1.3.54/32-8.3.3.54/32</t>
  </si>
  <si>
    <t>8.1.3.73/32-8.3.3.73/32</t>
  </si>
  <si>
    <t>8.1.4.42 /32-8.3.4.42/32</t>
  </si>
  <si>
    <t>مرکز مخابراتی 4 رشت</t>
  </si>
  <si>
    <t>Tehran:62.5.80.1/12-Off-Anti:40.1.16.28/24(Off)-Seman:63.5.80.1/12</t>
  </si>
  <si>
    <t>Tehran:33.1.5.80/20-FAM:133.1.3.18/20-Anti:38.1.5.80/20-Seman:44.1.5.80/20</t>
  </si>
  <si>
    <t>Time Slots</t>
  </si>
  <si>
    <t>Tehran:33.1.3.30/20-Anti:38.1.3.30/20-Seman:44.1.3.30/20</t>
  </si>
  <si>
    <t>Tehran:33.1.3.51/20-Anti:38.1.3.51/20-Seman:44.1.3.51/20</t>
  </si>
  <si>
    <t>Tehran:33.1.3.54/20-Anti:38.1.3.54/20-Seman:44.1.3.54/20</t>
  </si>
  <si>
    <t>Tehran:33.1.3.62/20-Anti:38.1.3.62/20-Seman:44.1.3.62/20</t>
  </si>
  <si>
    <t>Tehran:33.1.3.73/20-Anti:38.1.3.73/20-Seman:44.1.3.73/20</t>
  </si>
  <si>
    <t>Tehran:33.1.4.42/20-Anti:38.1.4.42/20-Seman:44.1.4.42/20</t>
  </si>
  <si>
    <t>Tehran:62.4.43.1/12-Off-Anti:40.1.16.5/24-Off-Seman:63.4.43.1/12</t>
  </si>
  <si>
    <t>ساري</t>
  </si>
  <si>
    <t>حوزه مازندران</t>
  </si>
  <si>
    <t>FTTH Modem-Huawei</t>
  </si>
  <si>
    <t>GigabitEthernet0/1.1709</t>
  </si>
  <si>
    <t xml:space="preserve">Tellabs-CTE_G703 Modem&amp;NM-2CE1T1-PRI Module&amp; NM Cable </t>
  </si>
  <si>
    <t>E1 2/0</t>
  </si>
  <si>
    <t>E1 2/1</t>
  </si>
  <si>
    <t>641026</t>
  </si>
  <si>
    <t>172.60.1.2/29</t>
  </si>
  <si>
    <t>192.168.230.65/26</t>
  </si>
  <si>
    <t>GigabitEthernet0/1.3</t>
  </si>
  <si>
    <t>VLAN 3-FE21 SW</t>
  </si>
  <si>
    <t>10.13.3.83 /29</t>
  </si>
  <si>
    <t>VLAN26-FE22 SW</t>
  </si>
  <si>
    <t>تنکابن</t>
  </si>
  <si>
    <t>10.86.119.206/30</t>
  </si>
  <si>
    <t>zyxel DEL 1201 Modem</t>
  </si>
  <si>
    <t>ساری</t>
  </si>
  <si>
    <t>فرهنگ ساری</t>
  </si>
  <si>
    <t>536389</t>
  </si>
  <si>
    <t>10.86.119.210/30</t>
  </si>
  <si>
    <t>نکاء</t>
  </si>
  <si>
    <t>10.86.119.218/30</t>
  </si>
  <si>
    <t>بابل</t>
  </si>
  <si>
    <t>بلوار طالقانی</t>
  </si>
  <si>
    <t>607197</t>
  </si>
  <si>
    <t>10.86.119.222/30</t>
  </si>
  <si>
    <t>بابلسر</t>
  </si>
  <si>
    <t>536426</t>
  </si>
  <si>
    <t>10.86.119.250/30</t>
  </si>
  <si>
    <t>قائم شهر</t>
  </si>
  <si>
    <t>10.86.119.246/30</t>
  </si>
  <si>
    <t>نوشهر</t>
  </si>
  <si>
    <t>10.86.119.214/30</t>
  </si>
  <si>
    <t>طبرسی ساری</t>
  </si>
  <si>
    <t>536388</t>
  </si>
  <si>
    <t>10.87.255.202/29</t>
  </si>
  <si>
    <t>بهشهر</t>
  </si>
  <si>
    <t>10.86.119.226/30</t>
  </si>
  <si>
    <t>چالوس</t>
  </si>
  <si>
    <t>536385</t>
  </si>
  <si>
    <t>192.168.230.11/26</t>
  </si>
  <si>
    <t>8.1.3.66/32-8.2.3.66/32</t>
  </si>
  <si>
    <t>10.86.119.230/30</t>
  </si>
  <si>
    <t>نور</t>
  </si>
  <si>
    <t>538367</t>
  </si>
  <si>
    <t>8.1.4.34 /32-8.2.4.34/32</t>
  </si>
  <si>
    <t>10.86.119.170/29</t>
  </si>
  <si>
    <t>محمودآباد</t>
  </si>
  <si>
    <t>8.1.4.49/32-8.2.4.49/32</t>
  </si>
  <si>
    <t>10.86.119.234/30</t>
  </si>
  <si>
    <t>آمل</t>
  </si>
  <si>
    <t>8.1.4.68 /32-8.2.4.68/32</t>
  </si>
  <si>
    <t>10.86.119.238/29</t>
  </si>
  <si>
    <t>550983</t>
  </si>
  <si>
    <t>1-8,25-28</t>
  </si>
  <si>
    <t>10.86.119.242/30</t>
  </si>
  <si>
    <t>1.5 mb</t>
  </si>
  <si>
    <t>704 Kb</t>
  </si>
  <si>
    <t>768 Kb</t>
  </si>
  <si>
    <t xml:space="preserve">افزونگی در روتر مرکزی </t>
  </si>
  <si>
    <t>8.1.2.56 /32-8.3.2.56/32</t>
  </si>
  <si>
    <t>8.1.2.82 /32-8.3.2.82/32</t>
  </si>
  <si>
    <t>8.1.2.83 /32-8.3.2.83/32</t>
  </si>
  <si>
    <t>8.1.2.91 /32-8.3.2.91/32</t>
  </si>
  <si>
    <t>8.1.3.10 /32-8.3.3.10/32</t>
  </si>
  <si>
    <t>8.1.3.11 /32-8.3.3.11/32</t>
  </si>
  <si>
    <t>8.1.3.24 /32-8.3.3.24/32</t>
  </si>
  <si>
    <t>8.1.3.26 /32-8.3.3.26/32</t>
  </si>
  <si>
    <t>8.1.3.48 /32-8.3.3.48/32</t>
  </si>
  <si>
    <t>8.1.2.57 /32-8.3.2.57/32</t>
  </si>
  <si>
    <t>0</t>
  </si>
  <si>
    <t>8.1.0.28 /32-8.2.0.28/32-8.3.0.28/32</t>
  </si>
  <si>
    <t>Tehran:62.0.28.1/12-Off-Anti:40.1.16.27/24-Off-Seman:63.0.28.1/12</t>
  </si>
  <si>
    <t>Tehran:33.1.0.28/20-FAM:133.1.3.28/20-Anti:38.1.2.79/20-Seman:44.1.0.28/20</t>
  </si>
  <si>
    <t>192.168.230.1/26(Branch)-192.168.230.141/30(257)-192.168.230.137/30(311)</t>
  </si>
  <si>
    <t>L0:100.100.100.100/32-192.168.162.14/30(257)-192.168.162.22/30(311)</t>
  </si>
  <si>
    <t>Tehran:31.1.0.28/21-Semnan28.1.0.28/21</t>
  </si>
  <si>
    <t>10.0.28.1/24-VLAN100(GigabitEthernet0/0.100)-FAM:10.9.125.105/29(GigabitEthernet0/1.125)</t>
  </si>
  <si>
    <t>10.87.199.42/29-LAN4 Modem</t>
  </si>
  <si>
    <t>10.86.93.154/29-LAN3 Modem</t>
  </si>
  <si>
    <t>CISCO3845*2</t>
  </si>
  <si>
    <t>VLAN 1711 FE17 SW</t>
  </si>
  <si>
    <t xml:space="preserve">VLAN 3-FE0/21 SW </t>
  </si>
  <si>
    <t>10.0.28.99 /24-10.0.28.100/24-10.0.25.101/24</t>
  </si>
  <si>
    <t>Tehran:33.1.2.56/20-Anti:38.1.2.56/20-Seman:44.1.2.56/20</t>
  </si>
  <si>
    <t>192.168.230.142/30</t>
  </si>
  <si>
    <t>192.168.162.14/30</t>
  </si>
  <si>
    <t>FastEthernet0/0.2767</t>
  </si>
  <si>
    <t>FastEthernet0/0.1711</t>
  </si>
  <si>
    <t>Tehran:33.1.2.57/20-Anti:38.1.2.57/20-Seman:44.1.2.57/20</t>
  </si>
  <si>
    <t>VLAN2767FE20 SW</t>
  </si>
  <si>
    <t>VLAN1711-FE24 SW</t>
  </si>
  <si>
    <t>Tehran:33.1.2.82/20-Anti:38.1.2.82/20-Seman:44.1.2.82/20</t>
  </si>
  <si>
    <t>Tehran:33.1.2.83/20-Anti:38.1.2.83/20-Seman:44.1.2.83/20</t>
  </si>
  <si>
    <t>Tehran:33.1.2.91/20-Anti:38.1.2.91/20-Seman:44.1.2.91/20</t>
  </si>
  <si>
    <t>IP Unnumbered FE0/1.100</t>
  </si>
  <si>
    <t>Tehran:33.1.3.10/20-Anti:38.1.3.10/20-Seman:44.1.3.10/20</t>
  </si>
  <si>
    <t>Tehran:33.1.3.11/20-Anti:38.1.3.11/20-Seman:44.1.3.11/20</t>
  </si>
  <si>
    <t>192.168.230.138/30</t>
  </si>
  <si>
    <t>192.168.162.22/30</t>
  </si>
  <si>
    <t>FastEthernet0/0.2670</t>
  </si>
  <si>
    <t>Huawei Modem</t>
  </si>
  <si>
    <t>VLAN2670 FE22 SW</t>
  </si>
  <si>
    <t>Tehran:33.1.3.24/20-Anti:38.1.3.24/20-Seman:44.1.3.24/20</t>
  </si>
  <si>
    <t>Tehran:33.1.3.26/20-Anti:38.1.3.26/20-Seman:44.1.3.26/20</t>
  </si>
  <si>
    <t>Tehran:33.1.3.48/20-Anti:38.1.3.48/20-Seman:44.1.3.48/20</t>
  </si>
  <si>
    <t>Tehran:33.1.3.66/20-Anti:38.1.3.66/20-Seman:44.1.3.66/20</t>
  </si>
  <si>
    <t>Tehran:33.1.4.34/20-Anti:38.1.4.34/20-Seman:44.1.4.34/20</t>
  </si>
  <si>
    <t>Tehran:33.1.4.49/20-Anti:38.1.4.49/20-Seman:44.1.4.49/20</t>
  </si>
  <si>
    <t>Tehran:33.1.4.68/20-Anti:38.1.4.68/20-Seman:44.1.4.68/20</t>
  </si>
  <si>
    <t>10.8.25.0-10.8.25.31</t>
  </si>
  <si>
    <t>C-825-33-MolanaBabol</t>
  </si>
  <si>
    <t>10.8.25.33/30</t>
  </si>
  <si>
    <t>172.60.1.22/30</t>
  </si>
  <si>
    <t>A-825-137-Niyayesh</t>
  </si>
  <si>
    <t>10.8.25.137/30</t>
  </si>
  <si>
    <t>172.60.1.74/30</t>
  </si>
  <si>
    <t>192.168.230.83/26</t>
  </si>
  <si>
    <t xml:space="preserve"> A-825-177-Sina</t>
  </si>
  <si>
    <t>10.8.25.177/30</t>
  </si>
  <si>
    <t>172.60.1.94/30</t>
  </si>
  <si>
    <t>192.168.230.88/26</t>
  </si>
  <si>
    <t>Fiber Home Modem</t>
  </si>
  <si>
    <t>Huawei Home Modem</t>
  </si>
  <si>
    <t>بندرعباس</t>
  </si>
  <si>
    <t>531057</t>
  </si>
  <si>
    <t>10.139.29.2/24</t>
  </si>
  <si>
    <t>8.1.4.8 /32-8.2.4.8/32-8.3.4.8/32</t>
  </si>
  <si>
    <t>FastEthernet0/1.85</t>
  </si>
  <si>
    <t>VLAN85-FE18 SW</t>
  </si>
  <si>
    <t>FastEthernet0/1.881</t>
  </si>
  <si>
    <t>VLAN881-FE18 SW</t>
  </si>
  <si>
    <t>6.3.18.58/29</t>
  </si>
  <si>
    <t>VLAN22-FE21 SW</t>
  </si>
  <si>
    <t>10.13.2.138/29</t>
  </si>
  <si>
    <t>بندرلنگه</t>
  </si>
  <si>
    <t>10.187.198.50/29</t>
  </si>
  <si>
    <t>VLAN48-FE20 SW</t>
  </si>
  <si>
    <t>کیش</t>
  </si>
  <si>
    <t>662171</t>
  </si>
  <si>
    <t>0/1/1</t>
  </si>
  <si>
    <t>10.187.94.18/29</t>
  </si>
  <si>
    <t>6.3.17.214/29</t>
  </si>
  <si>
    <t>میناب</t>
  </si>
  <si>
    <t>بلوار امام خمینی</t>
  </si>
  <si>
    <t>Patton 3088i Modem&amp;Ethernet Cable</t>
  </si>
  <si>
    <t>6.3.17.174/30</t>
  </si>
  <si>
    <t>قشم</t>
  </si>
  <si>
    <t>9802169523</t>
  </si>
  <si>
    <t>9802169525</t>
  </si>
  <si>
    <t>10.187.78.18 /29</t>
  </si>
  <si>
    <t>Tainet 1520Modem&amp;Ethernet Cable</t>
  </si>
  <si>
    <t>GigabitEthernet0/0.22</t>
  </si>
  <si>
    <t>Tehran:31.1.4.8/21-Semnan:28.1.4.8/21</t>
  </si>
  <si>
    <t>8.1.4.13/32-8.32.4.13/32</t>
  </si>
  <si>
    <t>8.1.4.20/32-8.3.4.20/32</t>
  </si>
  <si>
    <t>8.1.4.29/32-8.3.4.29/32</t>
  </si>
  <si>
    <t>8.1.5.54 /32-8.3.5.54/32</t>
  </si>
  <si>
    <t>10.8.81.4-10.8.81.255</t>
  </si>
  <si>
    <t>PTMP-G1</t>
  </si>
  <si>
    <t>Tehran:6.8.18.58/22-Anti:40.1.0.5/21-Semnan:42.1.4.8/21</t>
  </si>
  <si>
    <t>Tehran:62.4.8.1/12-Off-Anti:40.1.16.14/24-Off-Seman:632.4.8.1/12</t>
  </si>
  <si>
    <t>Tehran:33.1.4.13/20-Anti:38.1.4.13/20-Seman:44.1.4.13/20</t>
  </si>
  <si>
    <t>192.168.186.67/26</t>
  </si>
  <si>
    <t>192.168.187.8/26</t>
  </si>
  <si>
    <t>FastEthernet0/0.881</t>
  </si>
  <si>
    <t>VLAN881-FE21 SW</t>
  </si>
  <si>
    <t>Tehran:6.8.17.214/22-Anti:40.1.0.23/21</t>
  </si>
  <si>
    <t>Tehran:33.1.4.20/20-Seman:44.1.4.20/20</t>
  </si>
  <si>
    <t>Tehran:6.8.17.174/22-Anti:40.1.0.6/21-Semnan:42.1.4.29/21</t>
  </si>
  <si>
    <t>Tehran:33.1.5.54/20-Anti:38.1.5.54/20-Seman:44.1.5.54/20</t>
  </si>
  <si>
    <t>عدم کارایی سرویس نورنتا</t>
  </si>
  <si>
    <t>شماره پرونده فیبر/نوع فیبر/تجهیزات دراین استان</t>
  </si>
  <si>
    <t>پهنای باند ه بررسی شود</t>
  </si>
  <si>
    <t>ساختمان 68 شرقی-ارزی</t>
  </si>
  <si>
    <t xml:space="preserve">ساختمان 68 شرقی-صرافی </t>
  </si>
  <si>
    <t>40M</t>
  </si>
  <si>
    <t>20M</t>
  </si>
  <si>
    <t>10M</t>
  </si>
  <si>
    <t>192.168.6.3-4</t>
  </si>
  <si>
    <t>معتمد ملل شریف</t>
  </si>
  <si>
    <t>100.110.1.11</t>
  </si>
  <si>
    <t>85.133.183.80/29</t>
  </si>
  <si>
    <t>172.29.29.2/29</t>
  </si>
  <si>
    <t>78.38.217.169:8999</t>
  </si>
  <si>
    <t>83869419</t>
  </si>
  <si>
    <t>Tehran:62.3.65.1/12-Off-Anti:40.1.16.26/24-Off-Seman:63.3.65.1/12</t>
  </si>
  <si>
    <t>Tehran:33.1.3.74/20-Anti:38.1.3.74/20-Seman:44.1.3.74/20</t>
  </si>
  <si>
    <t>Tehran:33.1.3.77/20-Anti:38.1.3.77/20-Seman:44.1.3.77/20</t>
  </si>
  <si>
    <t>Tehran:33.1.3.78/20-Anti:38.1.3.78/20-Seman:44.1.3.78/20</t>
  </si>
  <si>
    <t>Tehran:33.1.3.81/20-Anti:38.1.3.81/20-Seman:44.1.3.81/20</t>
  </si>
  <si>
    <t>Tehran:33.1.3.91/20-Anti:38.1.3.91/20-Seman:44.1.3.91/20</t>
  </si>
  <si>
    <t>Tehran:33.1.3.94/20-Anti:38.1.3.94/20-Seman:44.1.3.94/20</t>
  </si>
  <si>
    <t>Tehran:33.1.3.96/20-Anti:38.1.3.96/20-Seman:44.1.3.96/20</t>
  </si>
  <si>
    <t>Tehran:33.1.3.97/20-Anti:38.1.3.97/20-Seman:44.1.3.97/20</t>
  </si>
  <si>
    <t>Tehran:33.1.4.2/20-Anti:38.1.4.2/20-Seman:44.1.4.2/20</t>
  </si>
  <si>
    <t>Tehran:33.1.4.45/20-Anti:38.1.4.45/20-Seman:44.1.4.45/20</t>
  </si>
  <si>
    <t>ساختمان</t>
  </si>
  <si>
    <t>مرکز مخابراتی</t>
  </si>
  <si>
    <t>Core</t>
  </si>
  <si>
    <t>Tnnel IP</t>
  </si>
  <si>
    <t>8-985</t>
  </si>
  <si>
    <t>SBC 10.105.51.34</t>
  </si>
  <si>
    <t>10.198.12.224/29</t>
  </si>
  <si>
    <t>SBC 10.105.51.13</t>
  </si>
  <si>
    <t>10.198.12.232/29</t>
  </si>
  <si>
    <t>SBC 10.153.101.183</t>
  </si>
  <si>
    <t>10.198.2.10/30</t>
  </si>
  <si>
    <t>40115149991974</t>
  </si>
  <si>
    <t>980114936411</t>
  </si>
  <si>
    <t>9000111587</t>
  </si>
  <si>
    <t>94.182.196.144/30</t>
  </si>
  <si>
    <t>8-1045-12</t>
  </si>
  <si>
    <t>172.21.55.66/28</t>
  </si>
  <si>
    <t>970114897718</t>
  </si>
  <si>
    <t>217.218.51.128/29</t>
  </si>
  <si>
    <t>970114914195</t>
  </si>
  <si>
    <t>10.30.147.240/29</t>
  </si>
  <si>
    <t>آسیاتک</t>
  </si>
  <si>
    <t>20.1.0.1/23</t>
  </si>
  <si>
    <t>300 Mb</t>
  </si>
  <si>
    <t>Radio-Mikrotik</t>
  </si>
  <si>
    <t>رسانه انتقال/FOS</t>
  </si>
  <si>
    <t>(5-5)SIP-57752</t>
  </si>
  <si>
    <t>(5-5)SIP-57751</t>
  </si>
  <si>
    <t>(8-8)SIP-58984</t>
  </si>
  <si>
    <t>(5-5)SIP-84333</t>
  </si>
  <si>
    <t>MPLS-VPN/Intranet</t>
  </si>
  <si>
    <t>10.30.132.0/27</t>
  </si>
  <si>
    <t>Internet-BGP</t>
  </si>
  <si>
    <t>تکنولوژی ارتباطی</t>
  </si>
  <si>
    <t>کشوریIntranet</t>
  </si>
  <si>
    <t xml:space="preserve"> MPLS کشوری</t>
  </si>
  <si>
    <t>31.1.1.1/21-98.1.1.9/30(Ribon)-130.130.130.1/30(ZeroClient)-12.0.1.1/30(Safebox)-19.19.19.1/30(344344)-96.2.1.38/30(FAM)</t>
  </si>
  <si>
    <t>Spoke</t>
  </si>
  <si>
    <t>Intranet کشوری</t>
  </si>
  <si>
    <t>10.13.8.108/29</t>
  </si>
  <si>
    <t>117.53.53.1/24(IPSEC Over GRE)</t>
  </si>
  <si>
    <t>Switch Interface</t>
  </si>
  <si>
    <t>Switch Part Number</t>
  </si>
  <si>
    <t>GigabitEthernet1/0/5(Backup)-GigabitEthernet1/0/18(Active)</t>
  </si>
  <si>
    <t>WS-C3850-24P*2-Roof</t>
  </si>
  <si>
    <t>C9300-48T*2-WAN</t>
  </si>
  <si>
    <t>484(Active)-485(Backup)</t>
  </si>
  <si>
    <t>33.1.1.1/20(Branch)-34.1.1.1/20(ATM)-98.1.1.30/30(FAM68-VDI)-98.1.1.34/30(FAM68-Case)-130.130.130.5/30(ZeroClient-FAMR)-96.4.2.82/30(FAMRezvan)</t>
  </si>
  <si>
    <t>Ethernet-L2</t>
  </si>
  <si>
    <t>1 Gb</t>
  </si>
  <si>
    <t>172.31.250.0/24</t>
  </si>
  <si>
    <t>117.51.51.1/24(TEH/SEM)-117.52.52.1/24(THE/SEM-VSATProject)-100.18.28.5/30(DB-THE/SEM)</t>
  </si>
  <si>
    <t>TDM-Dark Fiber</t>
  </si>
  <si>
    <t>سرشمارهSIP</t>
  </si>
  <si>
    <t>Port-channel55(GigabitEthernet1/0/17-GigabitEthernet2/0/17)</t>
  </si>
  <si>
    <t>172.21.107.58/29</t>
  </si>
  <si>
    <t>9802193249(ایران)-980114935540تهران</t>
  </si>
  <si>
    <t xml:space="preserve"> MPLS کشوری (تهران وسمنانP2P)</t>
  </si>
  <si>
    <t>100.18.28.1/30(DB-TEH/SEM)</t>
  </si>
  <si>
    <t>Saman Mahvareh</t>
  </si>
  <si>
    <t xml:space="preserve">Ghods
8 core </t>
  </si>
  <si>
    <t xml:space="preserve">Fazlolah
10 core
</t>
  </si>
  <si>
    <t>Branch</t>
  </si>
  <si>
    <t>ATM</t>
  </si>
  <si>
    <t>Tehran Data Center</t>
  </si>
  <si>
    <t>FD-LTE</t>
  </si>
  <si>
    <t>GigabitEthernet1/0/6-GigabitEthernet2/0/6</t>
  </si>
  <si>
    <t>GigabitEthernet1/0/8</t>
  </si>
  <si>
    <t>بیسیم-مبین نت</t>
  </si>
  <si>
    <t>192.168.111.0/24</t>
  </si>
  <si>
    <t>GigabitEthernet1/0/16</t>
  </si>
  <si>
    <t>172.30.60.200/29</t>
  </si>
  <si>
    <t>DSL&amp;LTE</t>
  </si>
  <si>
    <t>9802191928</t>
  </si>
  <si>
    <t>9802191912</t>
  </si>
  <si>
    <t>30720 Kb</t>
  </si>
  <si>
    <t>10.88.64.132/30
Vaset:217.218.243.130/29</t>
  </si>
  <si>
    <t>405577</t>
  </si>
  <si>
    <t>88.110.80.0/30</t>
  </si>
  <si>
    <t>10.20.193.0/28
LAN:10.139.2.0/24</t>
  </si>
  <si>
    <t>9802195510</t>
  </si>
  <si>
    <t>307200Kb</t>
  </si>
  <si>
    <t>100.18.28.0/30</t>
  </si>
  <si>
    <t>10.88.69.128/29</t>
  </si>
  <si>
    <t>اینترانت کشوری</t>
  </si>
  <si>
    <t>25404237604</t>
  </si>
  <si>
    <t>10.88.176.0/29</t>
  </si>
  <si>
    <t>HUB</t>
  </si>
  <si>
    <t>GigabitEthernet1/0/23</t>
  </si>
  <si>
    <t>شاتل</t>
  </si>
  <si>
    <t>9001600056</t>
  </si>
  <si>
    <t>94.182.42.80/30</t>
  </si>
  <si>
    <t>GigabitEthernet1/0/20</t>
  </si>
  <si>
    <t>شرکت فام - رضوان</t>
  </si>
  <si>
    <t>نام ساختمان</t>
  </si>
  <si>
    <t>SW-Interface</t>
  </si>
  <si>
    <t>تجهیزات فیبریا ارتباطی</t>
  </si>
  <si>
    <t>رضوان</t>
  </si>
  <si>
    <t>فیبر اختصاصی-مرکز مخابراتی فضل اله</t>
  </si>
  <si>
    <t xml:space="preserve"> Port-channel1.20:10.100.120.254/24  Client VOIP</t>
  </si>
  <si>
    <t>107.107.107.1/30(68 SHARGHI)-130.130.130.2/30(Zero-Client-Rezvan)-96.2.1.37/30(ASR-Rezvan)-97.2.1.37/30(MPLS-VPN-FAM)</t>
  </si>
  <si>
    <t>Planet Convertor10/100/100</t>
  </si>
  <si>
    <t>ISR4321/K9*2</t>
  </si>
  <si>
    <t>WS-C3850-48XS*2</t>
  </si>
  <si>
    <t>IOS:CAT3K_CAA-UNIVERSALK9-M</t>
  </si>
  <si>
    <t>Port-channel1.21: 10.100.121.254/24 Server-VOIP</t>
  </si>
  <si>
    <t>Port-channel1.30:192.168.81.27/24 NIBN-Test-HA(28,29)</t>
  </si>
  <si>
    <t>Port-channel1.59:10.100.59.254/24  No Description</t>
  </si>
  <si>
    <t>Port-channel1.100:10.100.100.1/24 LAN Melal Client-HA(2,3)</t>
  </si>
  <si>
    <t>Port-channel1.103:10.100.103.254/24 UAT-Test</t>
  </si>
  <si>
    <t>Port-channel1.104:10.100.104.254/24  No Description</t>
  </si>
  <si>
    <t>Port-channel1.105:10.100.105.254/24  BranchTest-Dev</t>
  </si>
  <si>
    <t>Port-channel1.125:10.100.125.253/24   FAM Client</t>
  </si>
  <si>
    <t>Port-channel1.137:172.27.255.14/29  Fintech-LAN(admin shut)</t>
  </si>
  <si>
    <t>Port-channel1.300:10.100.130.1/24  Zero-Client-FAM-HA(2,3)</t>
  </si>
  <si>
    <t>Port-channel1.301:10.100.131.2/24 Zero-Client-Melal-HA(2,3)</t>
  </si>
  <si>
    <t>Port-channel1.777:100.100.1.7/24  Management-HA(252,253)</t>
  </si>
  <si>
    <t>Port-channel1.800:10.40.0.220/27 No Description-HA(221,222)</t>
  </si>
  <si>
    <t>Port-channel1.1021:10.100.106.254/24  SOC-HA(252,253)</t>
  </si>
  <si>
    <t>Port-channel1.1022:10.100.107.254/24  LAB-Security-HA(252,253)</t>
  </si>
  <si>
    <t>Port-channel1.1023:10.100.110.254/24  NOC-HA(252,253)</t>
  </si>
  <si>
    <t>970114322924</t>
  </si>
  <si>
    <t>Port-channel1.700:10.30.216.2/28(Vnumber:70)-HA(3,4)-10.30.216.5/28(Vnumber:71)-HA(3,4)</t>
  </si>
  <si>
    <t>130.130.130.6/30(Zero-Client-Intranet)-96.4.2.81/30(Connect-To-Interanet-Rezvan)-97.4.1.37/30(Intranet-VPN-FAM)</t>
  </si>
  <si>
    <t>217.218.51.58/29</t>
  </si>
  <si>
    <t>100.100.1.6/24-SW-WAN-F(-1)</t>
  </si>
  <si>
    <t>100.100.1.5/24-SW-DATAMATE-TEST-F(-1)</t>
  </si>
  <si>
    <t>TenGigabitEthernet1/0/33</t>
  </si>
  <si>
    <t>IOS:C2960-LANBASEK9-M</t>
  </si>
  <si>
    <t>100.100.1.8/24-SW-Gate-F(0)-Connected to SW10</t>
  </si>
  <si>
    <t>Gig 1/0/24-Gig 1/0/23---&gt;SW-100.100.1.10(Negahbani)</t>
  </si>
  <si>
    <t>100.100.1.9/24-SW-F(-1)</t>
  </si>
  <si>
    <t>TenGigabitEthernet2/0/6-TenGigabitEthernet1/0/6</t>
  </si>
  <si>
    <t>WS-C2960S-24PS-L</t>
  </si>
  <si>
    <t>IOS:C2960S-UNIVERSALK9-M</t>
  </si>
  <si>
    <t>100.100.1.10/24-SW-Negahbani-F(0)</t>
  </si>
  <si>
    <t>TenGigabitEthernet2/0/8-TenGigabitEthernet1/0/8</t>
  </si>
  <si>
    <t>WS-C2960X-24PD-L</t>
  </si>
  <si>
    <t>IOS:C2960X-UNIVERSALK9-M</t>
  </si>
  <si>
    <t>100.100.1.11/24-SW-F(1)</t>
  </si>
  <si>
    <t>TenGigabitEthernet2/0/21-TenGigabitEthernet1/0/1</t>
  </si>
  <si>
    <t>WS-C2960S-48FPD-L</t>
  </si>
  <si>
    <t>100.100.1.12/24-SW-F(1)</t>
  </si>
  <si>
    <t>TenGigabitEthernet1/0/21</t>
  </si>
  <si>
    <t>WS-C2960X-48FPD-L</t>
  </si>
  <si>
    <t>100.100.1.21/24-SW-F(2)</t>
  </si>
  <si>
    <t>TenGigabitEthernet2/0/22-TenGigabitEthernet1/0/2</t>
  </si>
  <si>
    <t>100.100.1.22/24-SW(F2)</t>
  </si>
  <si>
    <t>TenGigabitEthernet2/0/2-TenGigabitEthernet1/0/22</t>
  </si>
  <si>
    <t>100.100.1.23/24-SW-F(2)  Connected to SW21</t>
  </si>
  <si>
    <t>دسترسی دراختیار مهندس کوثری</t>
  </si>
  <si>
    <t>GigabitEthernet1/0/24-----&gt;SW-100.100.1.21</t>
  </si>
  <si>
    <t>100.100.1.24/24-SW-NOC-F(2) Connected to SW22</t>
  </si>
  <si>
    <t>GigabitEthernet1/0/11-----&gt;SW-100.100.1.22</t>
  </si>
  <si>
    <t>100.100.1.26/24-SW-Cachless-F(2)-Connected to SW22</t>
  </si>
  <si>
    <t>GigabitEthernet1/0/32-----&gt;SW-100.100.1.22</t>
  </si>
  <si>
    <t>100.100.1.31/24-SW-F(3)</t>
  </si>
  <si>
    <t>TenGigabitEthernet2/0/23</t>
  </si>
  <si>
    <t>100.100.1.32/24-SW-F(3)</t>
  </si>
  <si>
    <t>TenGigabitEthernet2/0/3-TenGigabitEthernet1/0/23</t>
  </si>
  <si>
    <t>100.100.1.41/24-SW-F(4)</t>
  </si>
  <si>
    <t>TenGigabitEthernet2/0/24-TenGigabitEthernet1/0/4</t>
  </si>
  <si>
    <t>100.100.1.42/24-SW-F(4)</t>
  </si>
  <si>
    <t>TenGigabitEthernet2/0/4-TenGigabitEthernet1/0/24</t>
  </si>
  <si>
    <t>100.100.1.51/24-SW-F(5)</t>
  </si>
  <si>
    <t>TenGigabitEthernet2/0/25-TenGigabitEthernet1/0/5</t>
  </si>
  <si>
    <t xml:space="preserve">100.100.1.101/24-SW-DVR-2-F(-1)   </t>
  </si>
  <si>
    <t>TenGigabitEthernet2/0/40-TenGigabitEthernet1/0/5</t>
  </si>
  <si>
    <t xml:space="preserve">100.100.1.102/24-SW-DVR-1-F(-1)   </t>
  </si>
  <si>
    <t>TenGigabitEthernet2/0/39-TenGigabitEthernet1/0/39</t>
  </si>
  <si>
    <t>100.100.1.200/24-Mikrotik-To-Pfsense-F(-1)</t>
  </si>
  <si>
    <t>ریبون</t>
  </si>
  <si>
    <t>4010114991507</t>
  </si>
  <si>
    <t>4020114993554</t>
  </si>
  <si>
    <t>100.108.1.10</t>
  </si>
  <si>
    <t>100.108.1.32</t>
  </si>
  <si>
    <t>100.108.1.33</t>
  </si>
  <si>
    <t>100.108.1.11</t>
  </si>
  <si>
    <t>100.108.1.30</t>
  </si>
  <si>
    <t>100.108.1.31</t>
  </si>
  <si>
    <t>100.108.1.35</t>
  </si>
  <si>
    <t>100.108.1.12</t>
  </si>
  <si>
    <t>100.108.1.36</t>
  </si>
  <si>
    <t>100.108.1.14</t>
  </si>
  <si>
    <t>100.108.1.38</t>
  </si>
  <si>
    <t>100.108.1.39</t>
  </si>
  <si>
    <t>100.108.1.15</t>
  </si>
  <si>
    <t>100.108.1.40</t>
  </si>
  <si>
    <t>100.108.1.44</t>
  </si>
  <si>
    <t>100.108.1.71</t>
  </si>
  <si>
    <t>100.108.1.16</t>
  </si>
  <si>
    <t>100.108.1.41</t>
  </si>
  <si>
    <t>100.108.1.42</t>
  </si>
  <si>
    <t>100.108.1.17</t>
  </si>
  <si>
    <t>100.108.1.43</t>
  </si>
  <si>
    <t>100.108.1.45</t>
  </si>
  <si>
    <t>100.108.1.18</t>
  </si>
  <si>
    <t>100.108.1.19</t>
  </si>
  <si>
    <t>100.108.1.46</t>
  </si>
  <si>
    <t>100.108.1.20</t>
  </si>
  <si>
    <t>100.108.1.47</t>
  </si>
  <si>
    <t>100.108.1.21</t>
  </si>
  <si>
    <t>100.108.1.48</t>
  </si>
  <si>
    <t>100.108.1.49</t>
  </si>
  <si>
    <t>100.108.1.22</t>
  </si>
  <si>
    <t>100.108.1.51</t>
  </si>
  <si>
    <t>100.108.1.23</t>
  </si>
  <si>
    <t>100.108.1.50</t>
  </si>
  <si>
    <t>100.108.1.25</t>
  </si>
  <si>
    <t>100.108.1.72</t>
  </si>
  <si>
    <t>100.108.1.9</t>
  </si>
  <si>
    <t>100.108.1.24</t>
  </si>
  <si>
    <t>100.108.1.53</t>
  </si>
  <si>
    <t>100.108.1.54</t>
  </si>
  <si>
    <t>100.108.1.55</t>
  </si>
  <si>
    <t>سوئیچینگ ساختمان رضوان</t>
  </si>
  <si>
    <t>Floor(-2)</t>
  </si>
  <si>
    <t>100.108.1.29</t>
  </si>
  <si>
    <t>Floor(-5)</t>
  </si>
  <si>
    <t xml:space="preserve">   Floor0</t>
  </si>
  <si>
    <t xml:space="preserve">   Floor1</t>
  </si>
  <si>
    <t>100.100.1.12</t>
  </si>
  <si>
    <t xml:space="preserve">   Floor2</t>
  </si>
  <si>
    <t>100.108.1.74</t>
  </si>
  <si>
    <t xml:space="preserve">   Floor3</t>
  </si>
  <si>
    <t>100.108.1.78</t>
  </si>
  <si>
    <t>100.108.1.57</t>
  </si>
  <si>
    <t xml:space="preserve">   Floor4</t>
  </si>
  <si>
    <t xml:space="preserve">   Floor5</t>
  </si>
  <si>
    <t xml:space="preserve">   Floor6</t>
  </si>
  <si>
    <t xml:space="preserve">   Floor7</t>
  </si>
  <si>
    <t xml:space="preserve">   Floor8</t>
  </si>
  <si>
    <t>DataCenter</t>
  </si>
  <si>
    <t>100.108.1.52</t>
  </si>
  <si>
    <t>DS-4500</t>
  </si>
  <si>
    <t>100.108.1.8</t>
  </si>
  <si>
    <t>SW-Hoghoghi</t>
  </si>
  <si>
    <t>100.108.1.73</t>
  </si>
  <si>
    <t>WAN-Edge</t>
  </si>
  <si>
    <t>100.108.1.64</t>
  </si>
  <si>
    <t>سوئیچینگ ساختمان 16 واحدی</t>
  </si>
  <si>
    <t>100.108.1.75</t>
  </si>
  <si>
    <t>100.108.1.76</t>
  </si>
  <si>
    <t>100.108.1.69</t>
  </si>
  <si>
    <t>100.108.1.216</t>
  </si>
  <si>
    <t>100.108.1.58</t>
  </si>
  <si>
    <t>100.108.1.62</t>
  </si>
  <si>
    <t>100.108.1.59</t>
  </si>
  <si>
    <t>سوئیچینگ ساختمان 68 شرقی</t>
  </si>
  <si>
    <t>100.68.1.4</t>
  </si>
  <si>
    <t>100.68.1.10</t>
  </si>
  <si>
    <t>100.107.1.11</t>
  </si>
  <si>
    <t>100.107.1.12</t>
  </si>
  <si>
    <t>100.107.1.13</t>
  </si>
  <si>
    <t>100.68.1.21</t>
  </si>
  <si>
    <t>100.107.1.25</t>
  </si>
  <si>
    <t>100.68.1.31</t>
  </si>
  <si>
    <t>100.107.1.41</t>
  </si>
  <si>
    <t>100.107.1.42</t>
  </si>
  <si>
    <t>100.107.1.43</t>
  </si>
  <si>
    <t>100.68.1.57</t>
  </si>
  <si>
    <t>100.68.1.51</t>
  </si>
  <si>
    <t>100.111.100.14</t>
  </si>
  <si>
    <t>100.111.100.11</t>
  </si>
  <si>
    <t>100.111.100.12</t>
  </si>
  <si>
    <t>100.111.100.13</t>
  </si>
  <si>
    <t>100.107.1.71</t>
  </si>
  <si>
    <t>100.107.1.81</t>
  </si>
  <si>
    <t>SW-WAN-68</t>
  </si>
  <si>
    <t>100.107.1.7</t>
  </si>
  <si>
    <t>100.111.100.15</t>
  </si>
  <si>
    <t>100.107.1.2</t>
  </si>
  <si>
    <t>سوئیچینگ ساختمان فام</t>
  </si>
  <si>
    <t>100.100.1.5</t>
  </si>
  <si>
    <t>100.100.1.101</t>
  </si>
  <si>
    <t>100.100.1.102</t>
  </si>
  <si>
    <t>100.100.1.8</t>
  </si>
  <si>
    <t>100.100.1.9</t>
  </si>
  <si>
    <t>100.100.1.10</t>
  </si>
  <si>
    <t>100.100.1.11</t>
  </si>
  <si>
    <t>100.100.1.21</t>
  </si>
  <si>
    <t>100.100.1.22</t>
  </si>
  <si>
    <t>100.100.1.24</t>
  </si>
  <si>
    <t>100.100.1.31</t>
  </si>
  <si>
    <t>100.100.1.32</t>
  </si>
  <si>
    <t>100.100.1.41</t>
  </si>
  <si>
    <t>100.100.1.42</t>
  </si>
  <si>
    <t>100.100.1.51</t>
  </si>
  <si>
    <t>100.100.1.6</t>
  </si>
  <si>
    <t>نام شعبه</t>
  </si>
  <si>
    <t>برق حمید</t>
  </si>
  <si>
    <t>6.3.9.76/30</t>
  </si>
  <si>
    <t>مجتمع مسکونی الهیه گلدیس</t>
  </si>
  <si>
    <t>6.3.0.212/30</t>
  </si>
  <si>
    <t>6.3.0.76/30</t>
  </si>
  <si>
    <t>چاپ قائم</t>
  </si>
  <si>
    <t>6.3.9.40/30</t>
  </si>
  <si>
    <t>مسجد سیدالشهدا</t>
  </si>
  <si>
    <t>6.3.1.140/30</t>
  </si>
  <si>
    <t>مجتمع البرز 7</t>
  </si>
  <si>
    <t>6.3.1.144/30</t>
  </si>
  <si>
    <t>پاساژ طوبی-تهران</t>
  </si>
  <si>
    <t>6.3.0.184/30</t>
  </si>
  <si>
    <t>مترو دروازه شمیران</t>
  </si>
  <si>
    <t>6.3.0.172/30</t>
  </si>
  <si>
    <t>مترو فرهنگسرا</t>
  </si>
  <si>
    <t>6.3.1.112/30</t>
  </si>
  <si>
    <t>مترو حسن آباد</t>
  </si>
  <si>
    <t>6.3.1.88/30</t>
  </si>
  <si>
    <t>مترو ملت</t>
  </si>
  <si>
    <t>6.3.0.84/30</t>
  </si>
  <si>
    <t>مترو میدان آزادی</t>
  </si>
  <si>
    <t>6.3.1.68/30</t>
  </si>
  <si>
    <t>6.3.1.108/30</t>
  </si>
  <si>
    <t>مترو صیاد شیرازی</t>
  </si>
  <si>
    <t>6.3.1.116/30</t>
  </si>
  <si>
    <t>6.3.3.64/30</t>
  </si>
  <si>
    <t>رستوران شاندیز-تهران</t>
  </si>
  <si>
    <t>6.3.0.228/30</t>
  </si>
  <si>
    <t>پیرایش چشمه</t>
  </si>
  <si>
    <t>6.3.0.100/30</t>
  </si>
  <si>
    <t>هتل میثاق</t>
  </si>
  <si>
    <t>نان روستا</t>
  </si>
  <si>
    <t>6.3.2.60/30</t>
  </si>
  <si>
    <t>املاک فیاضی</t>
  </si>
  <si>
    <t>6.3.15.4/30</t>
  </si>
  <si>
    <t>مجتمع البرز2</t>
  </si>
  <si>
    <t>6.3.2.68/30</t>
  </si>
  <si>
    <t>املاک مهدی-فشافویه</t>
  </si>
  <si>
    <t>6.3.6.240/30</t>
  </si>
  <si>
    <t>املاک امید</t>
  </si>
  <si>
    <t>6.3.2.96/30</t>
  </si>
  <si>
    <t>املاک ثامن-مشهد</t>
  </si>
  <si>
    <t>6.3.10.180/30</t>
  </si>
  <si>
    <t>آموزش و پرورش سنقر</t>
  </si>
  <si>
    <t>6.3.7.88/30</t>
  </si>
  <si>
    <t>آرایشگاه پاشا-درگز</t>
  </si>
  <si>
    <t>6.3.8.96/30</t>
  </si>
  <si>
    <t>باربری اصفهان</t>
  </si>
  <si>
    <t>6.3.5.140/30</t>
  </si>
  <si>
    <t>6.3.3.44/30</t>
  </si>
  <si>
    <t>بازار بزرگ میوه و تره بار قدمگاه-لارستان</t>
  </si>
  <si>
    <t>6.3.5.136/30</t>
  </si>
  <si>
    <t>بازار بزرگ ماهی فروشان بندر انزلی</t>
  </si>
  <si>
    <t>6.3.5.12/30</t>
  </si>
  <si>
    <t>بیمه ایران-مشهد</t>
  </si>
  <si>
    <t>6.3.10.52/30</t>
  </si>
  <si>
    <t>برج عرش ۸۳۷۶</t>
  </si>
  <si>
    <t>6.3.14.112/30</t>
  </si>
  <si>
    <t>برج دنا سعادت آباد</t>
  </si>
  <si>
    <t>6.3.2.52/30</t>
  </si>
  <si>
    <t>دفتر خدمات اینترنتی آسیا-آباده</t>
  </si>
  <si>
    <t>6.3.5.104/30</t>
  </si>
  <si>
    <t>دفتر پیشخوان دولت-مشگین شهر</t>
  </si>
  <si>
    <t>6.3.5.76/30</t>
  </si>
  <si>
    <t>دفتر پیشخوان دولت-زنجان</t>
  </si>
  <si>
    <t>6.3.5.80/30</t>
  </si>
  <si>
    <t>دفتر پیشخوان دولت اتوبان محلاتی-تهران</t>
  </si>
  <si>
    <t>6.3.8.220/30</t>
  </si>
  <si>
    <t>دفتر پیشخوان دولت-زاهدان</t>
  </si>
  <si>
    <t>6.3.7.24/30</t>
  </si>
  <si>
    <t>دفترخانه 486</t>
  </si>
  <si>
    <t>6.3.2.144/30</t>
  </si>
  <si>
    <t>داروخانه دامپزشکی پورقاسمی-مشگین شهر</t>
  </si>
  <si>
    <t>6.3.8.132/30</t>
  </si>
  <si>
    <t>داروخانه شبانه روزی دکتر سهم الدینی-کوهدشت</t>
  </si>
  <si>
    <t>6.3.5.188/30</t>
  </si>
  <si>
    <t>اتحادیه گچ کاران تهران</t>
  </si>
  <si>
    <t>6.3.2.164/30</t>
  </si>
  <si>
    <t>فرودگاه مهرآباد-ترمینال2-سالن عمومی</t>
  </si>
  <si>
    <t>6.3.10.4/30</t>
  </si>
  <si>
    <t>6.3.9.144/30</t>
  </si>
  <si>
    <t>6.3.8.228/30</t>
  </si>
  <si>
    <t>قنادی خیام-مشهد</t>
  </si>
  <si>
    <t>6.3.9.112/30</t>
  </si>
  <si>
    <t>قصابی خنجری-فاروج</t>
  </si>
  <si>
    <t>6.3.5.60/30</t>
  </si>
  <si>
    <t>هتل ادریس-مشهد</t>
  </si>
  <si>
    <t>6.3.6.4/30</t>
  </si>
  <si>
    <t>هتل لاله-تهران</t>
  </si>
  <si>
    <t>6.3.10.208/30</t>
  </si>
  <si>
    <t>هایپر بلوط-طرقبه</t>
  </si>
  <si>
    <t>6.3.5.156/30</t>
  </si>
  <si>
    <t>6.3.5.88/30</t>
  </si>
  <si>
    <t>هایپرمارکت تاج</t>
  </si>
  <si>
    <t>6.3.5.72/30</t>
  </si>
  <si>
    <t>6.3.4.252/30</t>
  </si>
  <si>
    <t>6.3.10.132/30</t>
  </si>
  <si>
    <t>هایپر مارکت امید-تهران-ری</t>
  </si>
  <si>
    <t>6.3.9.188/30</t>
  </si>
  <si>
    <t>جایگاه سوخت آفتاب شرق</t>
  </si>
  <si>
    <t>6.3.9.140/30</t>
  </si>
  <si>
    <t>کالای برق دستگردی-بیرجند</t>
  </si>
  <si>
    <t>6.3.6.100/30</t>
  </si>
  <si>
    <t>کترینگ سفره ایرانی-مشهد</t>
  </si>
  <si>
    <t>6.3.6.40/30</t>
  </si>
  <si>
    <t>6.3.5.52/30</t>
  </si>
  <si>
    <t>مجتمع آپادانا فاز 5</t>
  </si>
  <si>
    <t>6.3.12.176/30</t>
  </si>
  <si>
    <t>مغازه قنادی-شهریار</t>
  </si>
  <si>
    <t>6.3.8.24/30</t>
  </si>
  <si>
    <t>مغز و اعصاب ماهان ایرانیان</t>
  </si>
  <si>
    <t>6.3.10.16/30</t>
  </si>
  <si>
    <t>مرکز خرید شهران</t>
  </si>
  <si>
    <t>6.3.3.236/30</t>
  </si>
  <si>
    <t>مارکت دانیال-2</t>
  </si>
  <si>
    <t>6.3.10.36/30</t>
  </si>
  <si>
    <t>سوپر مارکت عمادین</t>
  </si>
  <si>
    <t>6.3.2.72/30</t>
  </si>
  <si>
    <t>مسجد لیله القدر</t>
  </si>
  <si>
    <t>6.3.4.128/30</t>
  </si>
  <si>
    <t>مسجد امام حسین-مشهد</t>
  </si>
  <si>
    <t>6.3.9.32/30</t>
  </si>
  <si>
    <t>مسجد امتم صادق - خلخال</t>
  </si>
  <si>
    <t>6.3.6.88/30</t>
  </si>
  <si>
    <t>6.3.9.52/30</t>
  </si>
  <si>
    <t>مسجد علی اصغر</t>
  </si>
  <si>
    <t>6.3.4.96/30</t>
  </si>
  <si>
    <t>مواد غذایی بابایی-مشهد</t>
  </si>
  <si>
    <t>6.3.5.176/30</t>
  </si>
  <si>
    <t>مواد غذایی کوروش-مشهد</t>
  </si>
  <si>
    <t>6.3.0.12/30</t>
  </si>
  <si>
    <t>مواد غذایی معصومی-تهران</t>
  </si>
  <si>
    <t>6.3.3.168/30</t>
  </si>
  <si>
    <t>مهمانشهر مهاجرین سمنان</t>
  </si>
  <si>
    <t>6.3.5.32/30</t>
  </si>
  <si>
    <t>آسمان 12</t>
  </si>
  <si>
    <t>6.3.1.28/30</t>
  </si>
  <si>
    <t>بازار بزرگ ولیعصر-طبقه همکف</t>
  </si>
  <si>
    <t>6.3.2.120/30</t>
  </si>
  <si>
    <t>بازار بزرگ نصر-سالن ورودی A3-B3</t>
  </si>
  <si>
    <t>6.3.0.208/30</t>
  </si>
  <si>
    <t>اداره بهزیستی فیروزه</t>
  </si>
  <si>
    <t>6.3.7.204/30</t>
  </si>
  <si>
    <t>برج تهران</t>
  </si>
  <si>
    <t>6.3.0.88/30</t>
  </si>
  <si>
    <t>برج جم</t>
  </si>
  <si>
    <t>6.3.0.8/30</t>
  </si>
  <si>
    <t>داروخانه دکتر علی زاده-انار</t>
  </si>
  <si>
    <t>6.3.4.40/30</t>
  </si>
  <si>
    <t>دهیاری-شهرک نسوز</t>
  </si>
  <si>
    <t>6.3.9.132/30</t>
  </si>
  <si>
    <t>اکباتان-a3-1ورودی 3</t>
  </si>
  <si>
    <t>6.3.2.192/30</t>
  </si>
  <si>
    <t>فرش ایران</t>
  </si>
  <si>
    <t>6.3.0.20/30</t>
  </si>
  <si>
    <t>فرودگاه مشهد-سالن پرواز داخلی-خروجی مسافران</t>
  </si>
  <si>
    <t>6.3.4.68/30</t>
  </si>
  <si>
    <t>شهرک شریعتی-فروشگاه کبیری</t>
  </si>
  <si>
    <t>6.3.9.216/30</t>
  </si>
  <si>
    <t>گالری انصار تهران</t>
  </si>
  <si>
    <t>6.3.3.84/30</t>
  </si>
  <si>
    <t>مجتمع هتل رضا</t>
  </si>
  <si>
    <t>6.3.0.80/30</t>
  </si>
  <si>
    <t>6.3.7.172/30</t>
  </si>
  <si>
    <t>6.3.0.44/30</t>
  </si>
  <si>
    <t>مترو بریانک</t>
  </si>
  <si>
    <t>6.3.0.156/30</t>
  </si>
  <si>
    <t>مترو قائم</t>
  </si>
  <si>
    <t>6.3.0.160/30</t>
  </si>
  <si>
    <t>مترو خواجه عبداله انصاری</t>
  </si>
  <si>
    <t>6.3.0.96/30</t>
  </si>
  <si>
    <t>مترو محلاتی</t>
  </si>
  <si>
    <t>6.3.0.164/30</t>
  </si>
  <si>
    <t>مترو مهدیه</t>
  </si>
  <si>
    <t>6.3.1.36/30</t>
  </si>
  <si>
    <t>مترو میدان صنعت</t>
  </si>
  <si>
    <t>6.3.0.92/30</t>
  </si>
  <si>
    <t>مترو تربیت مدرس</t>
  </si>
  <si>
    <t>6.3.0.128/30</t>
  </si>
  <si>
    <t>مبل ارضی تهران</t>
  </si>
  <si>
    <t>6.3.2.148/30</t>
  </si>
  <si>
    <t>مجتمع آرامیس</t>
  </si>
  <si>
    <t>6.3.3.52/30</t>
  </si>
  <si>
    <t>مجتمع تجاری بزرگی</t>
  </si>
  <si>
    <t>6.3.0.180/30</t>
  </si>
  <si>
    <t>مجتمع تجاری دریا</t>
  </si>
  <si>
    <t>6.3.0.40/30</t>
  </si>
  <si>
    <t>مجتمع تجاری خانه کاشی-بیرجند</t>
  </si>
  <si>
    <t>6.3.6.124/30</t>
  </si>
  <si>
    <t>نان مهرآفرین</t>
  </si>
  <si>
    <t>6.3.9.68/30</t>
  </si>
  <si>
    <t>مجتمع مسکونی نسترن 47</t>
  </si>
  <si>
    <t>6.3.3.24/30</t>
  </si>
  <si>
    <t>شهرک شهید بهشتی-نسترن 22</t>
  </si>
  <si>
    <t>6.3.3.16/30</t>
  </si>
  <si>
    <t>سوپر مارکت گوهر شاد</t>
  </si>
  <si>
    <t>6.3.2.160/30</t>
  </si>
  <si>
    <t>سوپر مارکت ذاکری پور</t>
  </si>
  <si>
    <t>6.3.0.120/30</t>
  </si>
  <si>
    <t>فروشگاه تشریفات</t>
  </si>
  <si>
    <t>6.3.9.44/30</t>
  </si>
  <si>
    <t>میوه فروشی حصاری-بجنورد</t>
  </si>
  <si>
    <t>6.3.4.248/30</t>
  </si>
  <si>
    <t>مجتمع تجاری زیست خاور-مشهد</t>
  </si>
  <si>
    <t>6.3.5.128/30</t>
  </si>
  <si>
    <t>مجتمع ارغوان-شهر ری</t>
  </si>
  <si>
    <t>6.3.6.208/30</t>
  </si>
  <si>
    <t>مجتمع آسمان-قم</t>
  </si>
  <si>
    <t>6.3.0.28/30</t>
  </si>
  <si>
    <t>مجتمع خودرویی تک مهر-زنجان</t>
  </si>
  <si>
    <t>6.3.6.176/30</t>
  </si>
  <si>
    <t>مجتمع مسکونی هانا-تهران</t>
  </si>
  <si>
    <t>6.3.6.180/30</t>
  </si>
  <si>
    <t>مجتمع مسکونی کوثر-سعادت آباد</t>
  </si>
  <si>
    <t>6.3.6.192/30</t>
  </si>
  <si>
    <t>6.3.6.188/30</t>
  </si>
  <si>
    <t>مجتمع ستارخان-تهران</t>
  </si>
  <si>
    <t>6.3.10.212/30</t>
  </si>
  <si>
    <t>6.3.6.228/30</t>
  </si>
  <si>
    <t>6.3.4.100/30</t>
  </si>
  <si>
    <t>مرغ صادق-بجنورد</t>
  </si>
  <si>
    <t>6.3.6.12/30</t>
  </si>
  <si>
    <t>نمایندگی سایپا-تبریز</t>
  </si>
  <si>
    <t>6.3.9.244/30</t>
  </si>
  <si>
    <t>نمایندگی رنو 413</t>
  </si>
  <si>
    <t>6.3.0.140/30</t>
  </si>
  <si>
    <t>مشهد-نان نانا ۳۷۷۶</t>
  </si>
  <si>
    <t>6.3.24.252/30</t>
  </si>
  <si>
    <t>نان محسنی دولاب-تهران</t>
  </si>
  <si>
    <t>6.3.10.240/30</t>
  </si>
  <si>
    <t>نان نصرالهی</t>
  </si>
  <si>
    <t>6.3.2.88/30</t>
  </si>
  <si>
    <t>نان سنتی رحمانی-مشهد</t>
  </si>
  <si>
    <t>6.3.12.172/30</t>
  </si>
  <si>
    <t>نانوایی فعال-مشهد</t>
  </si>
  <si>
    <t>6.3.7.124/30</t>
  </si>
  <si>
    <t>پاساژ پردیس تالش</t>
  </si>
  <si>
    <t>6.3.14.120/30</t>
  </si>
  <si>
    <t>پاساژ مایسا (ملکه آریایی)</t>
  </si>
  <si>
    <t>6.3.0.192/30</t>
  </si>
  <si>
    <t>پروتئین سام-تهران</t>
  </si>
  <si>
    <t>6.3.5.224/30</t>
  </si>
  <si>
    <t>پروژه بهار رضوی</t>
  </si>
  <si>
    <t>پاساژ جفرودی-سیاهکی</t>
  </si>
  <si>
    <t>6.3.7.56/30</t>
  </si>
  <si>
    <t>رونیکا پلاس 2</t>
  </si>
  <si>
    <t>6.3.14.200/30</t>
  </si>
  <si>
    <t>رستوران حاج علی-ری</t>
  </si>
  <si>
    <t>6.3.5.160/30</t>
  </si>
  <si>
    <t>شهر شادی-رشت</t>
  </si>
  <si>
    <t>6.3.11.120/30</t>
  </si>
  <si>
    <t>شهرک میلاد شرف آباد-یاسوج</t>
  </si>
  <si>
    <t>6.3.5.28/30</t>
  </si>
  <si>
    <t>شهرک صنعتی فجر گرمسار</t>
  </si>
  <si>
    <t>6.3.9.232/30</t>
  </si>
  <si>
    <t>شرکت آراد چوب عصر انتظار-مشهد</t>
  </si>
  <si>
    <t>6.3.6.252/30</t>
  </si>
  <si>
    <t>سوپر مهدی ۳۷۱۷</t>
  </si>
  <si>
    <t>6.3.24.244/30</t>
  </si>
  <si>
    <t>سوپر بهار-مشهد</t>
  </si>
  <si>
    <t>6.3.2.20/30</t>
  </si>
  <si>
    <t>سوپر مارکت بامداد-مشهد</t>
  </si>
  <si>
    <t>6.3.10.176/30</t>
  </si>
  <si>
    <t>سوپر مارکت دلاور-مشهد</t>
  </si>
  <si>
    <t>6.3.9.100/30</t>
  </si>
  <si>
    <t>سوپر مارکت صادقیان-مشهد</t>
  </si>
  <si>
    <t>6.3.7.32/30</t>
  </si>
  <si>
    <t>سوپرمارکت شرافت-مشهد</t>
  </si>
  <si>
    <t>6.3.8.92/30</t>
  </si>
  <si>
    <t>سوپر سجاد-بم</t>
  </si>
  <si>
    <t>6.3.9.12/30</t>
  </si>
  <si>
    <t>سوپر طراوت-شاهرود</t>
  </si>
  <si>
    <t>6.3.8.120/30</t>
  </si>
  <si>
    <t>سوپر مارکت یحیی</t>
  </si>
  <si>
    <t>6.3.2.80/30</t>
  </si>
  <si>
    <t>تعمیرگاه اتومبیلهای خارجی-شهرک خوشرو</t>
  </si>
  <si>
    <t>6.3.9.60/30</t>
  </si>
  <si>
    <t>مجتمع تعمیرگاهی پاسارگاد-اراک</t>
  </si>
  <si>
    <t>6.3.2.24/30</t>
  </si>
  <si>
    <t>تعمیرگاه پژو فرانس-چناران</t>
  </si>
  <si>
    <t>6.3.3.68/30</t>
  </si>
  <si>
    <t>تصفیه آب اسماعیلی-بوشهر</t>
  </si>
  <si>
    <t>6.3.9.136/30</t>
  </si>
  <si>
    <t>خودپرداز تهرانسر</t>
  </si>
  <si>
    <t>6.3.2.56/30</t>
  </si>
  <si>
    <t>6.3.1.52/30</t>
  </si>
  <si>
    <t>ابزار و یراق احمد</t>
  </si>
  <si>
    <t>6.3.12.32/30</t>
  </si>
  <si>
    <t>ابزار فروشی محسنی-ری</t>
  </si>
  <si>
    <t>6.3.4.72/30</t>
  </si>
  <si>
    <t>اغذیه زارع</t>
  </si>
  <si>
    <t>6.3.10.128/30</t>
  </si>
  <si>
    <t>املاک امین-طلاب-مشهد</t>
  </si>
  <si>
    <t>6.3.5.252/30</t>
  </si>
  <si>
    <t>املاک امین-مشهد</t>
  </si>
  <si>
    <t>6.3.3.220/30</t>
  </si>
  <si>
    <t>املاک پردیس 7966</t>
  </si>
  <si>
    <t>6.3.22.204/30</t>
  </si>
  <si>
    <t>املاک شقاقی-375</t>
  </si>
  <si>
    <t>6.3.9.148/30</t>
  </si>
  <si>
    <t>انبار تعاونی یک ایران پیما</t>
  </si>
  <si>
    <t>6.3.3.0/30</t>
  </si>
  <si>
    <t>سرای محله شریف 4147</t>
  </si>
  <si>
    <t>آرایشگاه قصر صدف</t>
  </si>
  <si>
    <t>6.3.20.128/30</t>
  </si>
  <si>
    <t>آرایشگاه پذیرش 8153</t>
  </si>
  <si>
    <t>6.3.2.108/30</t>
  </si>
  <si>
    <t>عطاری رنجبر4148</t>
  </si>
  <si>
    <t>6.3.12.152/30</t>
  </si>
  <si>
    <t>بابا نان 8064</t>
  </si>
  <si>
    <t>6.3.23.152/30</t>
  </si>
  <si>
    <t>باربری اصفهان بار</t>
  </si>
  <si>
    <t>6.3.11.208/30</t>
  </si>
  <si>
    <t>6.3.4.60/30</t>
  </si>
  <si>
    <t>بازرگانی غلامی 8038</t>
  </si>
  <si>
    <t>6.3.23.52/30</t>
  </si>
  <si>
    <t>برج صحرا</t>
  </si>
  <si>
    <t>6.3.5.192/30</t>
  </si>
  <si>
    <t>برج الیزه 2  8039</t>
  </si>
  <si>
    <t>6.3.23.40/30</t>
  </si>
  <si>
    <t>6.3.15.80/30</t>
  </si>
  <si>
    <t>برج های مسکونی اسکان</t>
  </si>
  <si>
    <t>6.3.1.16/30</t>
  </si>
  <si>
    <t>برج آیشن  8363</t>
  </si>
  <si>
    <t>6.3.24.188/30</t>
  </si>
  <si>
    <t>کافی نت تدبیر 8277</t>
  </si>
  <si>
    <t>6.3.24.104/30</t>
  </si>
  <si>
    <t>چشم پزشکی بصیر 8033</t>
  </si>
  <si>
    <t>6.3.23.144/30</t>
  </si>
  <si>
    <t>کلینیک توانبخشی امام علی</t>
  </si>
  <si>
    <t>6.3.22.4/30</t>
  </si>
  <si>
    <t>دفتر ایزوگام محرابی ۴۸۰۴</t>
  </si>
  <si>
    <t>6.3.11.204/30</t>
  </si>
  <si>
    <t>دفتر پیشخوان دولت 7998</t>
  </si>
  <si>
    <t>6.3.22.248/30</t>
  </si>
  <si>
    <t>دندانپزشکی دنا</t>
  </si>
  <si>
    <t>6.3.4.4/30</t>
  </si>
  <si>
    <t>درمانگاه شبانه روزی یاس 7722</t>
  </si>
  <si>
    <t>6.3.20.4/30</t>
  </si>
  <si>
    <t>دهیاری لپه زنک</t>
  </si>
  <si>
    <t>6.3.11.240/30</t>
  </si>
  <si>
    <t>دهیاری ده رئیس ۸۴۴۳</t>
  </si>
  <si>
    <t>6.3.14.4/30</t>
  </si>
  <si>
    <t>الکتریکی نما نور 7930</t>
  </si>
  <si>
    <t>6.3.22.164/30</t>
  </si>
  <si>
    <t>الکتریکی محمد-مشهد</t>
  </si>
  <si>
    <t>6.3.1.96/30</t>
  </si>
  <si>
    <t>فرهنگستان زبان و ادب فارسی 7959</t>
  </si>
  <si>
    <t>6.3.22.132/30</t>
  </si>
  <si>
    <t>فرودگاه کیش</t>
  </si>
  <si>
    <t>6.3.22.112/30</t>
  </si>
  <si>
    <t>فرودگاه مهرآباد-ترمینال1-سالن عمومی</t>
  </si>
  <si>
    <t>6.3.4.64/30</t>
  </si>
  <si>
    <t>فروشگاه باغچقی</t>
  </si>
  <si>
    <t>6.3.15.96/30</t>
  </si>
  <si>
    <t>فروشگاه کشاورزی قندالی</t>
  </si>
  <si>
    <t>6.3.6.84/30</t>
  </si>
  <si>
    <t>فروشگاه محموی 8134</t>
  </si>
  <si>
    <t>6.3.6.76/30</t>
  </si>
  <si>
    <t>فروشگاه مواد غذایی سلیمی</t>
  </si>
  <si>
    <t>6.3.6.116/30</t>
  </si>
  <si>
    <t>فروشگاه ناظری نیا 5464</t>
  </si>
  <si>
    <t>6.3.21.228/30</t>
  </si>
  <si>
    <t>فروشگاه نظافت</t>
  </si>
  <si>
    <t>6.3.0.16/30</t>
  </si>
  <si>
    <t>فروشگاه افق کورش</t>
  </si>
  <si>
    <t>6.3.13.104/30</t>
  </si>
  <si>
    <t>فروشگاه تخفیفی خراسانی 7869</t>
  </si>
  <si>
    <t>6.3.22.108/30</t>
  </si>
  <si>
    <t>فروشگاه تعاونی پیمان</t>
  </si>
  <si>
    <t>6.3.2.236/30</t>
  </si>
  <si>
    <t>فروشگاه لوازم خانگی محسن رحیمی</t>
  </si>
  <si>
    <t>6.3.11.0/30</t>
  </si>
  <si>
    <t>فروشگاه زنجیره ی سورنا</t>
  </si>
  <si>
    <t>6.3.11.104/30</t>
  </si>
  <si>
    <t>هایپر عبدالهی 8140</t>
  </si>
  <si>
    <t>6.3.15.144/30</t>
  </si>
  <si>
    <t>حسینیه ناران</t>
  </si>
  <si>
    <t>6.3.11.68/30</t>
  </si>
  <si>
    <t>هایپر مارکت برادران تیره ۳۸۲۴</t>
  </si>
  <si>
    <t>6.3.12.88/30</t>
  </si>
  <si>
    <t>ایزوگام صنعت بام 7922</t>
  </si>
  <si>
    <t>6.3.22.156/30</t>
  </si>
  <si>
    <t>ایستگاه مترو بعثت</t>
  </si>
  <si>
    <t>6.3.21.136/30</t>
  </si>
  <si>
    <t>6.3.23.60/30</t>
  </si>
  <si>
    <t>خدماتی سید</t>
  </si>
  <si>
    <t>6.3.13.68/30</t>
  </si>
  <si>
    <t>خانه موبایل 8052</t>
  </si>
  <si>
    <t>6.3.23.136/30</t>
  </si>
  <si>
    <t>خوار و بار گلیور</t>
  </si>
  <si>
    <t>6.3.14.44/30</t>
  </si>
  <si>
    <t>خواربار گنجی</t>
  </si>
  <si>
    <t>6.3.1.240/30</t>
  </si>
  <si>
    <t>خیریه خورشید بقیع 7994</t>
  </si>
  <si>
    <t>6.3.23.156/30</t>
  </si>
  <si>
    <t>لوازم تحریر مهر ۴۱۱۵</t>
  </si>
  <si>
    <t>6.3.22.76/30</t>
  </si>
  <si>
    <t>لوازم خانگی محمدی</t>
  </si>
  <si>
    <t>6.3.1.208/30</t>
  </si>
  <si>
    <t>مهد فرش</t>
  </si>
  <si>
    <t>6.3.22.40/30</t>
  </si>
  <si>
    <t>مرکز جامع تشخیص و درمان سرطان امام علی8182</t>
  </si>
  <si>
    <t>6.3.24.124/30</t>
  </si>
  <si>
    <t>مصالح ساختمانی صفای 8349</t>
  </si>
  <si>
    <t>6.3.24.168/30</t>
  </si>
  <si>
    <t>مصالح ساختمانی شه بندگان 7890</t>
  </si>
  <si>
    <t>6.3.22.136/30</t>
  </si>
  <si>
    <t>مشهد سیرود</t>
  </si>
  <si>
    <t>6.3.20.124/30</t>
  </si>
  <si>
    <t>مسجد حضرت ابوالفضل 7761</t>
  </si>
  <si>
    <t>6.3.21.148/30</t>
  </si>
  <si>
    <t>مواد غذایی گنجعلی 8350</t>
  </si>
  <si>
    <t>6.3.24.208/30</t>
  </si>
  <si>
    <t>6.3.9.172/30</t>
  </si>
  <si>
    <t>مترو اقدسیه</t>
  </si>
  <si>
    <t>6.3.11.164/30</t>
  </si>
  <si>
    <t>مترو امیر کبیر 7940</t>
  </si>
  <si>
    <t>6.3.22.168/30</t>
  </si>
  <si>
    <t>متروی اشرفی اصفهانی</t>
  </si>
  <si>
    <t>6.3.11.56/30</t>
  </si>
  <si>
    <t>مترو حسین آباد</t>
  </si>
  <si>
    <t>6.3.11.52/30</t>
  </si>
  <si>
    <t>مترو یادگار امام</t>
  </si>
  <si>
    <t>6.3.11.64/30</t>
  </si>
  <si>
    <t>مترو کهریزک</t>
  </si>
  <si>
    <t>6.3.11.72/30</t>
  </si>
  <si>
    <t>مترو کارگر 7791</t>
  </si>
  <si>
    <t>6.3.22.188/30</t>
  </si>
  <si>
    <t>ایستگاه مترو کیانشهر 7837</t>
  </si>
  <si>
    <t>6.3.22.172/30</t>
  </si>
  <si>
    <t>متروی مرزداران</t>
  </si>
  <si>
    <t>6.3.11.60/30</t>
  </si>
  <si>
    <t>مترو مهر شهر</t>
  </si>
  <si>
    <t>6.3.20.224/30</t>
  </si>
  <si>
    <t>مترو میدان کتاب 7859</t>
  </si>
  <si>
    <t>6.3.21.140/30</t>
  </si>
  <si>
    <t>مترو صادقیه</t>
  </si>
  <si>
    <t>6.3.22.16/30</t>
  </si>
  <si>
    <t>مترو ستاری</t>
  </si>
  <si>
    <t>6.3.11.48/30</t>
  </si>
  <si>
    <t>مترو شهید دادمان 7792</t>
  </si>
  <si>
    <t>6.3.22.184/30</t>
  </si>
  <si>
    <t>میدان اصلی روستای افجه</t>
  </si>
  <si>
    <t>6.3.4.232/30</t>
  </si>
  <si>
    <t>موبایل زارع</t>
  </si>
  <si>
    <t>6.3.5.244/30</t>
  </si>
  <si>
    <t>8400 مبل سازی کن</t>
  </si>
  <si>
    <t>6.3.24.164/30</t>
  </si>
  <si>
    <t>مجتمع 24 واحدی گلها</t>
  </si>
  <si>
    <t>6.3.21.132/30</t>
  </si>
  <si>
    <t>6.3.2.156/30</t>
  </si>
  <si>
    <t>6.3.14.204/30</t>
  </si>
  <si>
    <t>مجتمع شاملو 2</t>
  </si>
  <si>
    <t>6.3.23.76/30</t>
  </si>
  <si>
    <t>مجتمع تجاری اداری عقیق</t>
  </si>
  <si>
    <t>6.3.21.124/30</t>
  </si>
  <si>
    <t>مجتمع تجاری مهر و ماه 8327</t>
  </si>
  <si>
    <t>6.3.24.140/30</t>
  </si>
  <si>
    <t>6.3.20.236/30</t>
  </si>
  <si>
    <t>موسسه پیشخوان گستر کوش</t>
  </si>
  <si>
    <t>6.3.4.112/30</t>
  </si>
  <si>
    <t>مشاور املاک کلبه گیل</t>
  </si>
  <si>
    <t>6.3.20.48/30</t>
  </si>
  <si>
    <t>6.3.10.88/30</t>
  </si>
  <si>
    <t>نمایشگاه اتوموبیل کاسپین</t>
  </si>
  <si>
    <t>6.3.1.148/30</t>
  </si>
  <si>
    <t>6.3.23.148/30</t>
  </si>
  <si>
    <t>اتاقک امن دزفول ۳۷۲۷</t>
  </si>
  <si>
    <t>6.3.21.216/30</t>
  </si>
  <si>
    <t>پاساژ تجاری معلم ۸۴۶۲</t>
  </si>
  <si>
    <t>6.3.22.160/30</t>
  </si>
  <si>
    <t>پاساژ کبیر</t>
  </si>
  <si>
    <t>6.3.2.76/30</t>
  </si>
  <si>
    <t>پاساژ ستاره شهر  8297</t>
  </si>
  <si>
    <t>6.3.24.116/30</t>
  </si>
  <si>
    <t>6.3.10.100/30</t>
  </si>
  <si>
    <t>پیرایش خسرو ۸۴۵۲</t>
  </si>
  <si>
    <t>6.3.10.72/30</t>
  </si>
  <si>
    <t>6.3.10.92/30</t>
  </si>
  <si>
    <t>پروتئین دریا ۴۱۶۴</t>
  </si>
  <si>
    <t>6.3.21.208/30</t>
  </si>
  <si>
    <t>سرای محله کرمان-تهران</t>
  </si>
  <si>
    <t>6.3.4.12/30</t>
  </si>
  <si>
    <t>سروناز-B3</t>
  </si>
  <si>
    <t>6.3.7.188/30</t>
  </si>
  <si>
    <t>شرکت تعاونی مصرف شماره یک ناجا 8359</t>
  </si>
  <si>
    <t>6.3.24.180/30</t>
  </si>
  <si>
    <t>شرکت مسافربری تک سفر 4034</t>
  </si>
  <si>
    <t>6.3.22.244/30</t>
  </si>
  <si>
    <t>6.3.19.20/30</t>
  </si>
  <si>
    <t>سوپر قاضی شاهرود</t>
  </si>
  <si>
    <t>6.3.4.228/30</t>
  </si>
  <si>
    <t>سوپر مارکت آزادی</t>
  </si>
  <si>
    <t>6.3.2.32/30</t>
  </si>
  <si>
    <t>سوپر تعاون</t>
  </si>
  <si>
    <t>6.3.12.8/30</t>
  </si>
  <si>
    <t>سوپرمارکت مهدی</t>
  </si>
  <si>
    <t>6.3.12.140/30</t>
  </si>
  <si>
    <t>سوپرمارکت توکل</t>
  </si>
  <si>
    <t>6.3.10.220/30</t>
  </si>
  <si>
    <t>سوپر مارکت دلاور 2  8007</t>
  </si>
  <si>
    <t>6.3.23.44/30</t>
  </si>
  <si>
    <t>سوپر گوشت برادران جنابادی</t>
  </si>
  <si>
    <t>6.3.20.164/30</t>
  </si>
  <si>
    <t>مشهد سوپر مارکت باقری</t>
  </si>
  <si>
    <t>6.3.20.140/30</t>
  </si>
  <si>
    <t>سوپر مارکت قصر هریس 6989</t>
  </si>
  <si>
    <t>6.3.21.200/30</t>
  </si>
  <si>
    <t>سوپر مارکت حرم 8090</t>
  </si>
  <si>
    <t>6.3.23.160/30</t>
  </si>
  <si>
    <t>سوپر نود</t>
  </si>
  <si>
    <t>6.3.6.156/30</t>
  </si>
  <si>
    <t>سوپر مارکت پردیس-مشهد</t>
  </si>
  <si>
    <t>6.3.6.172/30</t>
  </si>
  <si>
    <t>6.3.12.12/30</t>
  </si>
  <si>
    <t>6.3.22.212/30</t>
  </si>
  <si>
    <t>تله کابین کرمان ایستگاه پایین</t>
  </si>
  <si>
    <t>6.3.22.12/30</t>
  </si>
  <si>
    <t>تپلی برگر 5178</t>
  </si>
  <si>
    <t>6.3.24.224/30</t>
  </si>
  <si>
    <t>سوپر مارکت دیهیم فرد 8339</t>
  </si>
  <si>
    <t>6.3.24.184/30</t>
  </si>
  <si>
    <t>ورودی ۲ پایانه مسافربری۵۳۲۶</t>
  </si>
  <si>
    <t>6.3.23.72/30</t>
  </si>
  <si>
    <t>6.3.15.132/30</t>
  </si>
  <si>
    <t>آبنبات سازی صادقی نیا 8253</t>
  </si>
  <si>
    <t>آهن آلات عرب بیگی-مشهد</t>
  </si>
  <si>
    <t>6.3.9.228/30</t>
  </si>
  <si>
    <t>آجیل و خشکبار قیومی 8091</t>
  </si>
  <si>
    <t>6.3.23.208/30</t>
  </si>
  <si>
    <t>شرکت آریا آرمین تجارت ویرا</t>
  </si>
  <si>
    <t>6.3.2.4/30</t>
  </si>
  <si>
    <t>دفتر اسناد رسمی442</t>
  </si>
  <si>
    <t>6.3.2.28/30</t>
  </si>
  <si>
    <t>عطاری صائبی</t>
  </si>
  <si>
    <t>6.3.10.68/30</t>
  </si>
  <si>
    <t>اتو سرویس حمزه8083</t>
  </si>
  <si>
    <t>6.3.23.184/30</t>
  </si>
  <si>
    <t>6.3.12.72/30</t>
  </si>
  <si>
    <t>بازار میوه و تره بار ازنا</t>
  </si>
  <si>
    <t>6.3.10.164/30</t>
  </si>
  <si>
    <t>به شیران نمونه شرق</t>
  </si>
  <si>
    <t>6.3.14.240/30</t>
  </si>
  <si>
    <t>برج اسکان</t>
  </si>
  <si>
    <t>6.3.14.140/30</t>
  </si>
  <si>
    <t>6.3.4.20/30</t>
  </si>
  <si>
    <t>باشگاه برگ سبز-تهران</t>
  </si>
  <si>
    <t>6.3.9.168/30</t>
  </si>
  <si>
    <t>بازار گل محلاتی-غرفه محمد ولی</t>
  </si>
  <si>
    <t>6.3.2.8/30</t>
  </si>
  <si>
    <t>بازار گل محلاتی-غرفه سرلک</t>
  </si>
  <si>
    <t>6.3.2.12/30</t>
  </si>
  <si>
    <t>بلبرینگ فروشی-کرمان</t>
  </si>
  <si>
    <t>6.3.4.132/30</t>
  </si>
  <si>
    <t>برج بوستان-تبریز</t>
  </si>
  <si>
    <t>6.3.5.248/30</t>
  </si>
  <si>
    <t>برج میلاد-ورزقان</t>
  </si>
  <si>
    <t>6.3.7.120/30</t>
  </si>
  <si>
    <t>بورس سکه صادقی-شهر نور</t>
  </si>
  <si>
    <t>6.3.5.172/30</t>
  </si>
  <si>
    <t>خیام</t>
  </si>
  <si>
    <t>6.3.0.136/30</t>
  </si>
  <si>
    <t>کلینیک الهیه-پل رومی</t>
  </si>
  <si>
    <t>6.3.3.116/30</t>
  </si>
  <si>
    <t>کلینیک تخصصی دکتر کمالی-تهران</t>
  </si>
  <si>
    <t>6.3.5.216/30</t>
  </si>
  <si>
    <t>کلینیک دندانپزشکی ناصری-اصفهان</t>
  </si>
  <si>
    <t>6.3.8.52/30</t>
  </si>
  <si>
    <t>کلینیک دکتر هاشم ناصری-مشهد</t>
  </si>
  <si>
    <t>6.3.8.72/30</t>
  </si>
  <si>
    <t>کلینیک پوست و مو-اصفهان</t>
  </si>
  <si>
    <t>6.3.7.48/30</t>
  </si>
  <si>
    <t>دفتر پیشخوان دولت-چالوس</t>
  </si>
  <si>
    <t>6.3.6.72/30</t>
  </si>
  <si>
    <t>دفتر اسناد 518-تهران</t>
  </si>
  <si>
    <t>6.3.8.164/30</t>
  </si>
  <si>
    <t>دفتر پیشخوان 1337-ری</t>
  </si>
  <si>
    <t>6.3.6.144/30</t>
  </si>
  <si>
    <t>دفتر پیشخوان دولت-شهریار-آدران</t>
  </si>
  <si>
    <t>6.3.8.204/30</t>
  </si>
  <si>
    <t>دفتر پیشخوان دولت یوسفی-شهریار</t>
  </si>
  <si>
    <t>6.3.8.0/30</t>
  </si>
  <si>
    <t>دفتر پیشخوان دولت شهریار-صباشهر</t>
  </si>
  <si>
    <t>6.3.7.180/30</t>
  </si>
  <si>
    <t>دفتر پیشخوان مالیاتی یاس</t>
  </si>
  <si>
    <t>6.3.8.192/30</t>
  </si>
  <si>
    <t>دفتر خانه 1425-تهران</t>
  </si>
  <si>
    <t>6.3.8.240/30</t>
  </si>
  <si>
    <t>دندانپزشکی مهستان-افسریه</t>
  </si>
  <si>
    <t>6.3.9.4/30</t>
  </si>
  <si>
    <t>دندانپزشکی دکتر سیده مهسافر</t>
  </si>
  <si>
    <t>6.3.5.168/30</t>
  </si>
  <si>
    <t>درب ورودی پادگان-مخابرات-آجا</t>
  </si>
  <si>
    <t>6.3.9.128/30</t>
  </si>
  <si>
    <t>درمانگاه دکتر سیرجانی-آبیک</t>
  </si>
  <si>
    <t>6.3.8.124/30</t>
  </si>
  <si>
    <t>درمانگاه سلامت پارس-رشتخوار</t>
  </si>
  <si>
    <t>6.3.8.160/30</t>
  </si>
  <si>
    <t>درمانگاه شبانه روزی حکیمان</t>
  </si>
  <si>
    <t>6.3.11.132/30</t>
  </si>
  <si>
    <t>داروخانه دامپزشکی دکتر سینا ۸۳۷۳</t>
  </si>
  <si>
    <t>6.3.14.16/30</t>
  </si>
  <si>
    <t>داروخانه-ری</t>
  </si>
  <si>
    <t>6.3.7.28/30</t>
  </si>
  <si>
    <t>عینک حافظ</t>
  </si>
  <si>
    <t>6.3.14.208/30</t>
  </si>
  <si>
    <t>الکتریکی صالحی 8162</t>
  </si>
  <si>
    <t>6.3.4.164/30</t>
  </si>
  <si>
    <t>مجتمع استراتوس-بلوک S7</t>
  </si>
  <si>
    <t>6.3.2.128/30</t>
  </si>
  <si>
    <t>استراتوس S6</t>
  </si>
  <si>
    <t>6.3.3.200/30</t>
  </si>
  <si>
    <t>اتحادیه میوه و تره بار فروشان بجنورد</t>
  </si>
  <si>
    <t>6.3.4.144/30</t>
  </si>
  <si>
    <t>فروشگاه عظیمی</t>
  </si>
  <si>
    <t>6.3.14.116/30</t>
  </si>
  <si>
    <t>فروشگاه سعادت</t>
  </si>
  <si>
    <t>6.3.12.192/30</t>
  </si>
  <si>
    <t>فروشگاه حردانی 8173</t>
  </si>
  <si>
    <t>6.3.20.244/30</t>
  </si>
  <si>
    <t>فروشگاه چوب فروشی احمد جعفرزاده-فومن</t>
  </si>
  <si>
    <t>6.3.10.124/30</t>
  </si>
  <si>
    <t>فروشگاه لوازم خانگی پویا-آبیک</t>
  </si>
  <si>
    <t>6.3.8.128/30</t>
  </si>
  <si>
    <t>فروشگاه منازل سازمانی شهید خوشرو</t>
  </si>
  <si>
    <t>6.3.9.56/30</t>
  </si>
  <si>
    <t>فروشگاه مواد پروتئینی جوریان-نیشابور</t>
  </si>
  <si>
    <t>6.3.8.64/30</t>
  </si>
  <si>
    <t>فروشگاه رنگ ابزار محمد زاده-مشهد</t>
  </si>
  <si>
    <t>6.3.8.168/30</t>
  </si>
  <si>
    <t>فروشگاه تعاونی مصرف گروه مخابرات</t>
  </si>
  <si>
    <t>6.3.9.64/30</t>
  </si>
  <si>
    <t>گالری شربیانی</t>
  </si>
  <si>
    <t>6.3.15.8/30</t>
  </si>
  <si>
    <t>گالری آی پارا  8182</t>
  </si>
  <si>
    <t>6.3.7.220/30</t>
  </si>
  <si>
    <t>گاراژ سعدی قدیم-عفیف آباد</t>
  </si>
  <si>
    <t>6.3.5.152/30</t>
  </si>
  <si>
    <t>هتل زاگرس-بروجرد</t>
  </si>
  <si>
    <t>6.3.7.232/30</t>
  </si>
  <si>
    <t>هایپر مارکت مجتمع مسکونی پارس-مرودشت</t>
  </si>
  <si>
    <t>6.3.7.80/30</t>
  </si>
  <si>
    <t>هایپر مارکت امید-نیشابور</t>
  </si>
  <si>
    <t>6.3.8.104/30</t>
  </si>
  <si>
    <t>هایپر مارکت صداقت-سبزوار</t>
  </si>
  <si>
    <t>6.3.8.100/30</t>
  </si>
  <si>
    <t>هایپر مارکت تمشک-کازرون</t>
  </si>
  <si>
    <t>6.3.9.180/30</t>
  </si>
  <si>
    <t>فروشگاه مجاز ایساکو احمدی</t>
  </si>
  <si>
    <t>6.3.2.176/30</t>
  </si>
  <si>
    <t>جایگاه سوخت 165-تهران</t>
  </si>
  <si>
    <t>6.3.3.244/30</t>
  </si>
  <si>
    <t>جایگاه سوخت 189-تهران</t>
  </si>
  <si>
    <t>6.3.3.252/30</t>
  </si>
  <si>
    <t>جلوبندی محسن مشهدی ۸۳۸۷</t>
  </si>
  <si>
    <t>6.3.24.120/30</t>
  </si>
  <si>
    <t>کفش امپراتور</t>
  </si>
  <si>
    <t>6.3.4.148/30</t>
  </si>
  <si>
    <t>کافه رستوران-آمور</t>
  </si>
  <si>
    <t>6.3.7.224/30</t>
  </si>
  <si>
    <t>کارخانه آجر و سفال بهرامی-آبیک</t>
  </si>
  <si>
    <t>6.3.9.16/30</t>
  </si>
  <si>
    <t>خدمات کامپیوتر پارسیان-پاکدشت</t>
  </si>
  <si>
    <t>6.3.7.164/30</t>
  </si>
  <si>
    <t>خواروبار فروشی-اسفراین</t>
  </si>
  <si>
    <t>6.3.6.52/30</t>
  </si>
  <si>
    <t>خوار و بار فروشی یوسفی-قوچان</t>
  </si>
  <si>
    <t>6.3.8.144/30</t>
  </si>
  <si>
    <t>لاستیک فروشی نیکو ۸۴۱۲</t>
  </si>
  <si>
    <t>6.3.14.64/30</t>
  </si>
  <si>
    <t>لوازم خانگی ماها-مشهد</t>
  </si>
  <si>
    <t>6.3.8.172/30</t>
  </si>
  <si>
    <t>لوازم یدکی نیکدل</t>
  </si>
  <si>
    <t>6.3.7.92/30</t>
  </si>
  <si>
    <t>مطب دکتر بخشایی</t>
  </si>
  <si>
    <t>6.3.15.76/30</t>
  </si>
  <si>
    <t>ام دی اف لطفی 2</t>
  </si>
  <si>
    <t>6.3.5.92/30</t>
  </si>
  <si>
    <t>میدان بار نیشابور</t>
  </si>
  <si>
    <t>6.3.10.248/30</t>
  </si>
  <si>
    <t>مجتمع آموزشی رفاه</t>
  </si>
  <si>
    <t>6.3.1.100/30</t>
  </si>
  <si>
    <t>مجتمع تجاری پارسیان</t>
  </si>
  <si>
    <t>6.3.3.224/30</t>
  </si>
  <si>
    <t>مجتمع ورزشی سجاد-مشهد</t>
  </si>
  <si>
    <t>6.3.7.228/30</t>
  </si>
  <si>
    <t>مرکز تجاری اداری مریم</t>
  </si>
  <si>
    <t>6.3.5.40/30</t>
  </si>
  <si>
    <t>6.3.9.192/30</t>
  </si>
  <si>
    <t>مسجد جامع شهرک امید-تهران</t>
  </si>
  <si>
    <t>6.3.4.104/30</t>
  </si>
  <si>
    <t>مطب دندانپزشکی-بلوار فردوس تهران</t>
  </si>
  <si>
    <t>6.3.6.56/30</t>
  </si>
  <si>
    <t>مطب دکتر طاهرنژاد ۸۳۷۱</t>
  </si>
  <si>
    <t>6.3.7.140/30</t>
  </si>
  <si>
    <t>مهر آسای کوثر-مشهد</t>
  </si>
  <si>
    <t>6.3.6.92/30</t>
  </si>
  <si>
    <t>بازار ولیعصر - طبقه اول</t>
  </si>
  <si>
    <t>6.3.0.176/30</t>
  </si>
  <si>
    <t>دفتر اسناد رسمی 625</t>
  </si>
  <si>
    <t>6.3.0.60/30</t>
  </si>
  <si>
    <t>دفتر اسناد رسمی 1 حسن آباد</t>
  </si>
  <si>
    <t>6.3.1.12/30</t>
  </si>
  <si>
    <t>دفترخانه اسناد رسمی 1089</t>
  </si>
  <si>
    <t>6.3.1.44/30</t>
  </si>
  <si>
    <t>فکر و بکر دنیا</t>
  </si>
  <si>
    <t>6.3.1.56/30</t>
  </si>
  <si>
    <t>هایپر مارکت محمدی-سیاهکل</t>
  </si>
  <si>
    <t>6.3.13.64/30</t>
  </si>
  <si>
    <t>هایپر مارکت رحیمی-مرودشت</t>
  </si>
  <si>
    <t>6.3.1.48/30</t>
  </si>
  <si>
    <t>جواهری المهدی</t>
  </si>
  <si>
    <t>6.3.3.60/30</t>
  </si>
  <si>
    <t>کارواش شرق</t>
  </si>
  <si>
    <t>6.3.3.76/30</t>
  </si>
  <si>
    <t>لبنیات بینالود-مشهد</t>
  </si>
  <si>
    <t>6.3.7.208/30</t>
  </si>
  <si>
    <t>مجتمع مسکونی کیهان نو</t>
  </si>
  <si>
    <t>6.3.2.196/30</t>
  </si>
  <si>
    <t>مجتمع مسکونی مهستان-ابهر</t>
  </si>
  <si>
    <t>6.3.1.84/30</t>
  </si>
  <si>
    <t>مجتمع مسکونی شقایق 24-25</t>
  </si>
  <si>
    <t>6.3.0.204/30</t>
  </si>
  <si>
    <t>مواد غذایی صاحب الزمان-کرمان</t>
  </si>
  <si>
    <t>6.3.7.152/30</t>
  </si>
  <si>
    <t>مجتمع مسکونی ارغوان 24-25</t>
  </si>
  <si>
    <t>6.3.3.48/30</t>
  </si>
  <si>
    <t>مجتمع بازرگانان شیراز</t>
  </si>
  <si>
    <t>6.3.4.212/30</t>
  </si>
  <si>
    <t>مجتمع مسکونی استراتوس N10</t>
  </si>
  <si>
    <t>6.3.1.24/30</t>
  </si>
  <si>
    <t>مجتمع مسکونی جام جم کوهسار</t>
  </si>
  <si>
    <t>6.3.3.28/30</t>
  </si>
  <si>
    <t>مجتمع مسکونی شقایق2</t>
  </si>
  <si>
    <t>6.3.3.80/30</t>
  </si>
  <si>
    <t>مجتمع آموزشی تربیت نوین</t>
  </si>
  <si>
    <t>6.3.2.172/30</t>
  </si>
  <si>
    <t>مجتمع یاس 1-375</t>
  </si>
  <si>
    <t>6.3.3.8/30</t>
  </si>
  <si>
    <t>مجتمع ارکیده برج B</t>
  </si>
  <si>
    <t>6.3.3.20/30</t>
  </si>
  <si>
    <t>دفتر پیشخوان خدمات دولت مشهد-218</t>
  </si>
  <si>
    <t>6.3.3.124/30</t>
  </si>
  <si>
    <t>ساختمان اطلاع رسانی گردشگری</t>
  </si>
  <si>
    <t>6.3.0.32/30</t>
  </si>
  <si>
    <t>ساختمان پزشکان مرکزی</t>
  </si>
  <si>
    <t>6.3.2.208/30</t>
  </si>
  <si>
    <t>ساختمان سینا-تهران</t>
  </si>
  <si>
    <t>6.3.3.56/30</t>
  </si>
  <si>
    <t>شرکت تعاونی صالح گچ سمنان</t>
  </si>
  <si>
    <t>6.3.1.80/30</t>
  </si>
  <si>
    <t>سوپر میلاد-مشهد</t>
  </si>
  <si>
    <t>6.3.9.80/30</t>
  </si>
  <si>
    <t>تالار گلهای زندگی</t>
  </si>
  <si>
    <t>6.3.3.104/30</t>
  </si>
  <si>
    <t>مجتمع زیتون-رشت</t>
  </si>
  <si>
    <t>6.3.1.72/30</t>
  </si>
  <si>
    <t>موسسه فرهنگی هنری طبیان نور-تهران</t>
  </si>
  <si>
    <t>6.3.8.48/30</t>
  </si>
  <si>
    <t>مبلمان نوئل-مشهد</t>
  </si>
  <si>
    <t>6.3.9.20/30</t>
  </si>
  <si>
    <t>موبایل خنجری-شیروان</t>
  </si>
  <si>
    <t>6.3.9.248/30</t>
  </si>
  <si>
    <t>مجتمع اداری 125 تهران</t>
  </si>
  <si>
    <t>6.3.6.20/30</t>
  </si>
  <si>
    <t>مجتمع گلستان-تهران</t>
  </si>
  <si>
    <t>6.3.5.236/30</t>
  </si>
  <si>
    <t>مجتمع مسکونی کوثر برج 14-تهران</t>
  </si>
  <si>
    <t>6.3.6.60/30</t>
  </si>
  <si>
    <t>مجتمع مسکونی مروارید-تهران</t>
  </si>
  <si>
    <t>6.3.2.112/30</t>
  </si>
  <si>
    <t>مجتمع مسکونی نسترن 17</t>
  </si>
  <si>
    <t>6.3.2.132/30</t>
  </si>
  <si>
    <t>مجتمع رفاهی حافظیه-تهران</t>
  </si>
  <si>
    <t>6.3.5.164/30</t>
  </si>
  <si>
    <t>مجتمع تجاری اداری 711-نارمک</t>
  </si>
  <si>
    <t>6.3.5.132/30</t>
  </si>
  <si>
    <t>هایپر مارکت امیر</t>
  </si>
  <si>
    <t>6.3.4.192/30</t>
  </si>
  <si>
    <t>مجتمع عقیق امام رضا-تهران</t>
  </si>
  <si>
    <t>6.3.8.32/30</t>
  </si>
  <si>
    <t>مجتمع آپادانا-فاز5-طبقه همکف-پله برقی</t>
  </si>
  <si>
    <t>6.3.3.36/30</t>
  </si>
  <si>
    <t>مجتمع آپادانا-فاز5-طبقه همکف-ورودی</t>
  </si>
  <si>
    <t>6.3.1.104/30</t>
  </si>
  <si>
    <t>6.3.6.248/30</t>
  </si>
  <si>
    <t>6.3.4.184/30</t>
  </si>
  <si>
    <t>مجتمع مسکونی آبشار-زاهدان</t>
  </si>
  <si>
    <t>6.3.7.144/30</t>
  </si>
  <si>
    <t>مجتمع مسکونی قبا-تهران</t>
  </si>
  <si>
    <t>6.3.7.104/30</t>
  </si>
  <si>
    <t>مجتمه مسکونی هادی-شیراز</t>
  </si>
  <si>
    <t>6.3.8.12/30</t>
  </si>
  <si>
    <t>مجتمع مسکونی محمد-شیراز</t>
  </si>
  <si>
    <t>6.3.8.208/30</t>
  </si>
  <si>
    <t>مجتمع مسکونی سپهر-خیابان استقلال</t>
  </si>
  <si>
    <t>6.3.6.196/30</t>
  </si>
  <si>
    <t>مجتمع مسکونی شقایق-تبریز</t>
  </si>
  <si>
    <t>6.3.7.248/30</t>
  </si>
  <si>
    <t>مجتمع مسکونی کوهپایه</t>
  </si>
  <si>
    <t>6.3.4.168/30</t>
  </si>
  <si>
    <t>مجتمع پاسارگاد و پرسپولیس</t>
  </si>
  <si>
    <t>6.3.3.216/30</t>
  </si>
  <si>
    <t>مجتمع شهرک صنعتی خاوران-تهران</t>
  </si>
  <si>
    <t>6.3.10.44/30</t>
  </si>
  <si>
    <t>مجتمع تجاری اداری اوسان-اصفهان</t>
  </si>
  <si>
    <t>6.3.8.212/30</t>
  </si>
  <si>
    <t>مجتمع تجاری خشایار</t>
  </si>
  <si>
    <t>6.3.8.68/30</t>
  </si>
  <si>
    <t>مجتمع کامپیوتری خیام-ارومیه</t>
  </si>
  <si>
    <t>مجتمع تجاری احمد نژاد-سلماس</t>
  </si>
  <si>
    <t>6.3.6.204/30</t>
  </si>
  <si>
    <t>مجتمع تجاری پارسا-مشهد</t>
  </si>
  <si>
    <t>6.3.6.148/30</t>
  </si>
  <si>
    <t>مرغ سحر</t>
  </si>
  <si>
    <t>6.3.9.196/30</t>
  </si>
  <si>
    <t>مشاور املاک سرچشمه ۸۳۸۸</t>
  </si>
  <si>
    <t>6.3.23.48/30</t>
  </si>
  <si>
    <t>۸۴۲۲ تعمیرگاه مسلم</t>
  </si>
  <si>
    <t>6.3.12.124/30</t>
  </si>
  <si>
    <t>مجتمع مسکونی کوروش-مشهد</t>
  </si>
  <si>
    <t>6.3.2.140/30</t>
  </si>
  <si>
    <t>نژا مارکت</t>
  </si>
  <si>
    <t>6.3.15.56/30</t>
  </si>
  <si>
    <t>نقاشی خودرو اصغرپور-آبیک</t>
  </si>
  <si>
    <t>6.3.3.176/30</t>
  </si>
  <si>
    <t>نمایندگی سایپا خدادادی ۸۴۰۹</t>
  </si>
  <si>
    <t>6.3.15.172/30</t>
  </si>
  <si>
    <t>نمایندگی مجاز ایران خودرو خدامی-گرمسار</t>
  </si>
  <si>
    <t>6.3.9.240/30</t>
  </si>
  <si>
    <t>نمایندگی مجاز ۱۱۴۰ ایران خودرو</t>
  </si>
  <si>
    <t>6.3.9.152/30</t>
  </si>
  <si>
    <t>نمایشگاه اتومبیل ایران-مشهد</t>
  </si>
  <si>
    <t>6.3.7.20/30</t>
  </si>
  <si>
    <t>نان شیرینی ساحل ۸۴۶۳</t>
  </si>
  <si>
    <t>6.3.22.196/30</t>
  </si>
  <si>
    <t>اتاق اصناف بوشهر</t>
  </si>
  <si>
    <t>6.3.5.116/30</t>
  </si>
  <si>
    <t>پاساژ قام مشهد</t>
  </si>
  <si>
    <t>6.3.1.124/30</t>
  </si>
  <si>
    <t>پاساژ گلها</t>
  </si>
  <si>
    <t>6.3.12.4/30</t>
  </si>
  <si>
    <t>پاساژ شبنم طلا فروشی پارسا</t>
  </si>
  <si>
    <t>6.3.22.48/30</t>
  </si>
  <si>
    <t>پاساژ شب تاب</t>
  </si>
  <si>
    <t>6.3.22.80/30</t>
  </si>
  <si>
    <t>پاساژ شریعتی بجنورد</t>
  </si>
  <si>
    <t>6.3.4.84/30</t>
  </si>
  <si>
    <t>6.3.21.160/30</t>
  </si>
  <si>
    <t>پاریز تایر-کرمان</t>
  </si>
  <si>
    <t>6.3.7.0/30</t>
  </si>
  <si>
    <t>پارکینگ انقلاب-فومن</t>
  </si>
  <si>
    <t>6.3.8.80/30</t>
  </si>
  <si>
    <t>پرتوژن به تشخیص-ونک</t>
  </si>
  <si>
    <t>6.3.7.108/30</t>
  </si>
  <si>
    <t>پاساژ استقلال-مرودشت</t>
  </si>
  <si>
    <t>6.3.3.136/30</t>
  </si>
  <si>
    <t>پاساژ مهتاب-مشهد</t>
  </si>
  <si>
    <t>6.3.3.108/30</t>
  </si>
  <si>
    <t>پاساژ مستقیمی-تبریز</t>
  </si>
  <si>
    <t>6.3.6.48/30</t>
  </si>
  <si>
    <t>پاساژ قائم ۸۴۳۳</t>
  </si>
  <si>
    <t>6.3.8.216/30</t>
  </si>
  <si>
    <t>پاساژ اقتصاد-تهران</t>
  </si>
  <si>
    <t>6.3.8.88/30</t>
  </si>
  <si>
    <t>پاساژ قائم-آبیک</t>
  </si>
  <si>
    <t>6.3.8.108/30</t>
  </si>
  <si>
    <t>پاساژ صبا</t>
  </si>
  <si>
    <t>6.3.9.212/30</t>
  </si>
  <si>
    <t>پزشک من-تبریز</t>
  </si>
  <si>
    <t>6.3.6.216/30</t>
  </si>
  <si>
    <t>پیرایش دانیال-مشهد</t>
  </si>
  <si>
    <t>6.3.6.136/30</t>
  </si>
  <si>
    <t>دفتر پیشخوان دولت دانشگاه-اراک</t>
  </si>
  <si>
    <t>6.3.2.100/30</t>
  </si>
  <si>
    <t>6.3.1.132/30</t>
  </si>
  <si>
    <t>دفترپیشخوان خدمات دولتی شهربار-نیشابور</t>
  </si>
  <si>
    <t>6.3.4.36/30</t>
  </si>
  <si>
    <t>پمپ بنزین خطایان-آبیک</t>
  </si>
  <si>
    <t>6.3.5.240/30</t>
  </si>
  <si>
    <t>رادیولوژی رافا</t>
  </si>
  <si>
    <t>6.3.5.196/30</t>
  </si>
  <si>
    <t>راه آهن اراک</t>
  </si>
  <si>
    <t>6.3.11.160/30</t>
  </si>
  <si>
    <t>رنگ فروشی عبادی</t>
  </si>
  <si>
    <t>6.3.9.0/30</t>
  </si>
  <si>
    <t>رستوران پاگانی</t>
  </si>
  <si>
    <t>6.3.2.228/30</t>
  </si>
  <si>
    <t>روشا موبایل</t>
  </si>
  <si>
    <t>6.3.6.120/30</t>
  </si>
  <si>
    <t>روستای بیخویه-فارس</t>
  </si>
  <si>
    <t>6.3.8.44/30</t>
  </si>
  <si>
    <t>روستای مفرنقاه-فاروج</t>
  </si>
  <si>
    <t>6.3.7.68/30</t>
  </si>
  <si>
    <t>شرکت رادین آیین چاوش</t>
  </si>
  <si>
    <t>6.3.1.196/30</t>
  </si>
  <si>
    <t>صاحبان اماکن فروش فرآورده های نفتی</t>
  </si>
  <si>
    <t>6.3.4.108/30</t>
  </si>
  <si>
    <t>ساختمان پزشکان برنا</t>
  </si>
  <si>
    <t>6.3.9.236/30</t>
  </si>
  <si>
    <t>ساختمان پزشکی راد-مشهد</t>
  </si>
  <si>
    <t>6.3.10.28/30</t>
  </si>
  <si>
    <t>سالن زیبایی ستاره فرهنگ-نارمک</t>
  </si>
  <si>
    <t>6.3.9.164/30</t>
  </si>
  <si>
    <t>سالن زیبایی ستاره فرهنگ-نارمک-2</t>
  </si>
  <si>
    <t>6.3.8.184/30</t>
  </si>
  <si>
    <t>صندوق قرض الحسنه ولیعصر-دهک</t>
  </si>
  <si>
    <t>6.3.10.116/30</t>
  </si>
  <si>
    <t>سنگین بار -مشهد</t>
  </si>
  <si>
    <t>6.3.7.240/30</t>
  </si>
  <si>
    <t>سرای زرگرها-تهران</t>
  </si>
  <si>
    <t>6.3.8.148/30</t>
  </si>
  <si>
    <t>شهرک سیاه منصور-دزفول</t>
  </si>
  <si>
    <t>6.3.6.140/30</t>
  </si>
  <si>
    <t>شن و ماسه عباس زاده ۸۰۲۵</t>
  </si>
  <si>
    <t>6.3.22.224/30</t>
  </si>
  <si>
    <t>شرکت آلوپن ۸۴۰۷</t>
  </si>
  <si>
    <t>6.3.6.184/30</t>
  </si>
  <si>
    <t>شرکت آلوارس جوجه</t>
  </si>
  <si>
    <t>شرکت جام شیرین-یزد</t>
  </si>
  <si>
    <t>6.3.6.220/30</t>
  </si>
  <si>
    <t>شرکت تولیدی نوار باف</t>
  </si>
  <si>
    <t>6.3.3.164/30</t>
  </si>
  <si>
    <t>شرکت راه و ساختمان هامش بر-سمنان</t>
  </si>
  <si>
    <t>6.3.7.60/30</t>
  </si>
  <si>
    <t>شرکت شن و ماسه مازند</t>
  </si>
  <si>
    <t>6.3.23.172/30</t>
  </si>
  <si>
    <t>ُسوپر صدف</t>
  </si>
  <si>
    <t>6.3.2.184/30</t>
  </si>
  <si>
    <t>استراتوس-N7</t>
  </si>
  <si>
    <t>6.3.8.20/30</t>
  </si>
  <si>
    <t>سوپر مارکت ملل-مرودشت</t>
  </si>
  <si>
    <t>6.3.5.232/30</t>
  </si>
  <si>
    <t>سوپر مارکت سادات-فیروز آباد فارس</t>
  </si>
  <si>
    <t>6.3.6.104/30</t>
  </si>
  <si>
    <t>سوپر مارکت شهروند-رشت</t>
  </si>
  <si>
    <t>6.3.6.108/30</t>
  </si>
  <si>
    <t>سوپر مارکت شبانه روزی علی-کرج</t>
  </si>
  <si>
    <t>6.3.6.44/30</t>
  </si>
  <si>
    <t>سوپر مارکت دارابی-کرج</t>
  </si>
  <si>
    <t>6.3.10.8/30</t>
  </si>
  <si>
    <t>سوپرمارکت حسین پور-روستای بکندی-قزوین</t>
  </si>
  <si>
    <t>6.3.7.40/30</t>
  </si>
  <si>
    <t>سوپر مارک رحیمی-اسفراین-روستای قنبر باقی</t>
  </si>
  <si>
    <t>6.3.7.76/30</t>
  </si>
  <si>
    <t>تعمیرگاه 104</t>
  </si>
  <si>
    <t>6.3.12.232/30</t>
  </si>
  <si>
    <t>تزینات اتوموبیل و باطری فروشی پرشین</t>
  </si>
  <si>
    <t>6.3.13.216/30</t>
  </si>
  <si>
    <t>تعمیرگاه خودرو</t>
  </si>
  <si>
    <t>6.3.8.152/30</t>
  </si>
  <si>
    <t>تعویض روغن اتوبان-شیراز</t>
  </si>
  <si>
    <t>6.3.9.184/30</t>
  </si>
  <si>
    <t>تالار و رستوران شفیعی-تهران</t>
  </si>
  <si>
    <t>6.3.7.216/30</t>
  </si>
  <si>
    <t>طلای امیر-اراک</t>
  </si>
  <si>
    <t>6.3.7.196/30</t>
  </si>
  <si>
    <t>آبکله سربزرگ</t>
  </si>
  <si>
    <t>6.3.10.32/30</t>
  </si>
  <si>
    <t>ابزار آلات رضا</t>
  </si>
  <si>
    <t>6.3.13.172/30</t>
  </si>
  <si>
    <t>ابزار آلات ساختمانی 7926</t>
  </si>
  <si>
    <t>6.3.22.140/30</t>
  </si>
  <si>
    <t>ابزار فروشی رضایی</t>
  </si>
  <si>
    <t>6.3.2.116/30</t>
  </si>
  <si>
    <t>ابزار صنعتی فیروزه</t>
  </si>
  <si>
    <t>6.3.2.36/30</t>
  </si>
  <si>
    <t>ابزار شایان</t>
  </si>
  <si>
    <t>6.3.15.84/30</t>
  </si>
  <si>
    <t>دندانپزشکی موسوی جاهد</t>
  </si>
  <si>
    <t>6.3.20.196/30</t>
  </si>
  <si>
    <t>آهن آلان حمیدرضا غلامی</t>
  </si>
  <si>
    <t>6.3.2.188/30</t>
  </si>
  <si>
    <t>آهن آلات حمداله پور 7870</t>
  </si>
  <si>
    <t>6.3.21.192/30</t>
  </si>
  <si>
    <t>آهن آلات مراد قلی</t>
  </si>
  <si>
    <t>6.3.10.0/30</t>
  </si>
  <si>
    <t>آهن آلات مستعمل عبدی</t>
  </si>
  <si>
    <t>6.3.10.136/30</t>
  </si>
  <si>
    <t>آهن آلات ابولفضل جعفری</t>
  </si>
  <si>
    <t>6.3.15.248/30</t>
  </si>
  <si>
    <t>آهنگری معصومی</t>
  </si>
  <si>
    <t>6.3.15.152/30</t>
  </si>
  <si>
    <t>آجیل حسینی 7937</t>
  </si>
  <si>
    <t>6.3.22.176/30</t>
  </si>
  <si>
    <t>آجیل و خشکبار حسن دوست</t>
  </si>
  <si>
    <t>6.3.6.232/30</t>
  </si>
  <si>
    <t>عکاسی همشهری</t>
  </si>
  <si>
    <t>6.3.6.236/30</t>
  </si>
  <si>
    <t>مرکز پخش روغن خبرالدین 8256</t>
  </si>
  <si>
    <t>الغدیر 3</t>
  </si>
  <si>
    <t>6.3.5.8/30</t>
  </si>
  <si>
    <t>شرکت الیاف پلی استر ساینا</t>
  </si>
  <si>
    <t>6.3.4.224/30</t>
  </si>
  <si>
    <t>املاک آشیانه 7847</t>
  </si>
  <si>
    <t>6.3.21.108/30</t>
  </si>
  <si>
    <t>املاک الهیه غرب</t>
  </si>
  <si>
    <t>6.3.10.200/30</t>
  </si>
  <si>
    <t>املاک خلیج فارس</t>
  </si>
  <si>
    <t>6.3.12.160/30</t>
  </si>
  <si>
    <t>املاک ملل</t>
  </si>
  <si>
    <t>6.3.15.128</t>
  </si>
  <si>
    <t>آموزشگاه فنی حرفه ی رضایی</t>
  </si>
  <si>
    <t>6.3.3.140/30</t>
  </si>
  <si>
    <t>آموزشگاه محسن تهران</t>
  </si>
  <si>
    <t>6.3.15.240/30</t>
  </si>
  <si>
    <t>آموزشگاه رانندگی سروش</t>
  </si>
  <si>
    <t>6.3.12.16/30</t>
  </si>
  <si>
    <t>آموزشی و فرهنگی مبتکران</t>
  </si>
  <si>
    <t>6.3.20.220/30</t>
  </si>
  <si>
    <t>انبار ملل گستر</t>
  </si>
  <si>
    <t>6.3.8.28/30</t>
  </si>
  <si>
    <t>انبارهای کانتینری تهران دپو</t>
  </si>
  <si>
    <t>6.3.11.76/30</t>
  </si>
  <si>
    <t>آریشگاه مهناز</t>
  </si>
  <si>
    <t>6.3.12.60/30</t>
  </si>
  <si>
    <t>آرایشگاه زنانه</t>
  </si>
  <si>
    <t>6.3.11.172/30</t>
  </si>
  <si>
    <t>آرایشی بهداشتی ساجدی</t>
  </si>
  <si>
    <t>6.3.15.176/30</t>
  </si>
  <si>
    <t>آرایشگاه گل بانو 7954</t>
  </si>
  <si>
    <t>6.3.22.144/30</t>
  </si>
  <si>
    <t>ارزان سرای حیدری</t>
  </si>
  <si>
    <t>6.3.15.140/30</t>
  </si>
  <si>
    <t>اتو مکانیک امیر کلا</t>
  </si>
  <si>
    <t>6.3.20.208/30</t>
  </si>
  <si>
    <t>6.3.10.112/30</t>
  </si>
  <si>
    <t>آژانس پریان سیر پارسیان</t>
  </si>
  <si>
    <t>6.3.14.8/30</t>
  </si>
  <si>
    <t>آزمایشگاه خاتم الانبیا یک 7972</t>
  </si>
  <si>
    <t>6.3.22.200/30</t>
  </si>
  <si>
    <t>باغ رستوران آپادانا</t>
  </si>
  <si>
    <t>6.3.15.164/30</t>
  </si>
  <si>
    <t>باغ رستوران آبشار</t>
  </si>
  <si>
    <t>6.3.20.76/30</t>
  </si>
  <si>
    <t>بار فروشی اصلان اسدی</t>
  </si>
  <si>
    <t>6.3.20.252/30</t>
  </si>
  <si>
    <t>باربری پیام شمس</t>
  </si>
  <si>
    <t>6.3.22.28/30</t>
  </si>
  <si>
    <t>باشگاه ورزشی آرنیکا</t>
  </si>
  <si>
    <t>6.3.21.32/30</t>
  </si>
  <si>
    <t>باشگاه ورزشی بنیاد رشد</t>
  </si>
  <si>
    <t>6.3.5.44/30</t>
  </si>
  <si>
    <t>باسکول شکوهیه قم 7898</t>
  </si>
  <si>
    <t>6.3.21.236/30</t>
  </si>
  <si>
    <t>بستنی خان زنیان</t>
  </si>
  <si>
    <t>6.3.4.140/30</t>
  </si>
  <si>
    <t>باطری فروشی رضا  8112</t>
  </si>
  <si>
    <t>6.3.23.216/30</t>
  </si>
  <si>
    <t>بازار آهن آلات مکان</t>
  </si>
  <si>
    <t>6.3.13.52/30</t>
  </si>
  <si>
    <t>بازار البسه</t>
  </si>
  <si>
    <t>6.3.15.28/30</t>
  </si>
  <si>
    <t>بازار بزرگ دستبافت مشهد 8015</t>
  </si>
  <si>
    <t>6.3.23.56/30</t>
  </si>
  <si>
    <t>بازار فرش فروشان بروجرد</t>
  </si>
  <si>
    <t>6.3.13.144/30</t>
  </si>
  <si>
    <t>بازار گل بابایی</t>
  </si>
  <si>
    <t>6.3.12.224/30</t>
  </si>
  <si>
    <t>بازار جعفری</t>
  </si>
  <si>
    <t>6.3.2.220/30</t>
  </si>
  <si>
    <t>بازار جانبازان 8037</t>
  </si>
  <si>
    <t>6.3.23.96/30</t>
  </si>
  <si>
    <t>بازار ماهی فروشی بندر کنگ 8278</t>
  </si>
  <si>
    <t>6.3.24.92/30</t>
  </si>
  <si>
    <t>بازارد مشروطه</t>
  </si>
  <si>
    <t>6.3.15.244/30</t>
  </si>
  <si>
    <t>بازار مبل کوروش</t>
  </si>
  <si>
    <t>6.3.12.212/30</t>
  </si>
  <si>
    <t>بازار روز ولیعصر 8284</t>
  </si>
  <si>
    <t>6.3.24.100/30</t>
  </si>
  <si>
    <t>بازار طلافروشان</t>
  </si>
  <si>
    <t>6.3.13.200/30</t>
  </si>
  <si>
    <t>بازار شهرک والفجر</t>
  </si>
  <si>
    <t>6.3.12.84/30</t>
  </si>
  <si>
    <t>بازار زیتون کیش</t>
  </si>
  <si>
    <t>6.3.13.212/30</t>
  </si>
  <si>
    <t>بازارچه شماره 10 اکباتان</t>
  </si>
  <si>
    <t>6.3.12.40/30</t>
  </si>
  <si>
    <t>بازرگانی البرز8110</t>
  </si>
  <si>
    <t>6.3.24.20/30</t>
  </si>
  <si>
    <t>بازرگانی امیر</t>
  </si>
  <si>
    <t>6.3.5.24/30</t>
  </si>
  <si>
    <t>بازرگانی مصطفوی شعبه اول 6206</t>
  </si>
  <si>
    <t>6.3.12.132/30</t>
  </si>
  <si>
    <t>ساختمان بهشت آسا</t>
  </si>
  <si>
    <t>6.3.7.12/30</t>
  </si>
  <si>
    <t>برند ترافیک</t>
  </si>
  <si>
    <t>6.3.0.112/30</t>
  </si>
  <si>
    <t>بیمه پاسارگاد8065</t>
  </si>
  <si>
    <t>6.3.23.232/30</t>
  </si>
  <si>
    <t>بیرون بر سیب</t>
  </si>
  <si>
    <t>6.3.20.180/30</t>
  </si>
  <si>
    <t>بلور و کریستال نارویی8119</t>
  </si>
  <si>
    <t>6.3.24.52/30</t>
  </si>
  <si>
    <t>بنکداری وزرا 8057</t>
  </si>
  <si>
    <t>6.3.23.100/30</t>
  </si>
  <si>
    <t>برج s1</t>
  </si>
  <si>
    <t>6.3.2.224/30</t>
  </si>
  <si>
    <t>برج لادن</t>
  </si>
  <si>
    <t>6.3.14.124/30</t>
  </si>
  <si>
    <t>مجتمع مسکونی برج مجلل کن</t>
  </si>
  <si>
    <t>6.3.12.220/30</t>
  </si>
  <si>
    <t>برج مسکونی پیرامید</t>
  </si>
  <si>
    <t>6.3.20.108/30</t>
  </si>
  <si>
    <t>برج مسکونی پارک</t>
  </si>
  <si>
    <t>6.3.4.56/30</t>
  </si>
  <si>
    <t>برج رضوان</t>
  </si>
  <si>
    <t>6.3.3.144/29</t>
  </si>
  <si>
    <t>برج تجاری آرین</t>
  </si>
  <si>
    <t>6.3.15.116/30</t>
  </si>
  <si>
    <t>برج زرین 2</t>
  </si>
  <si>
    <t>6.3.4.180/30</t>
  </si>
  <si>
    <t>برج نخل</t>
  </si>
  <si>
    <t>6.3.22.0/30</t>
  </si>
  <si>
    <t>مجتمع بتن آماده مجید</t>
  </si>
  <si>
    <t>6.3.3.180/30</t>
  </si>
  <si>
    <t>کافه فنجون</t>
  </si>
  <si>
    <t>6.3.14.156/30</t>
  </si>
  <si>
    <t>کافی نت پارسیان 8113</t>
  </si>
  <si>
    <t>6.3.11.232/30</t>
  </si>
  <si>
    <t>کلاسیک رایانه</t>
  </si>
  <si>
    <t>6.3.13.120/30</t>
  </si>
  <si>
    <t>کلینیک پرتو درمانی تابش باران</t>
  </si>
  <si>
    <t>6.3.10.204/30</t>
  </si>
  <si>
    <t>کلینیک تخصصی استارت و دینام گرگیج6434</t>
  </si>
  <si>
    <t>6.3.23.120/30</t>
  </si>
  <si>
    <t>کلینیک روانشناسی نیک آرام</t>
  </si>
  <si>
    <t>6.3.10.84/30</t>
  </si>
  <si>
    <t>چاپ و تکثیر کتیبه</t>
  </si>
  <si>
    <t>6.3.11.20/30</t>
  </si>
  <si>
    <t>کلینیک دندانپزشکی فارابی</t>
  </si>
  <si>
    <t>6.3.7.156/30</t>
  </si>
  <si>
    <t>کلینیک پوست و مو درخشان</t>
  </si>
  <si>
    <t>6.3.13.32/30</t>
  </si>
  <si>
    <t>کلینیک پوست و مو دکتر شاهین</t>
  </si>
  <si>
    <t>6.3.15.108/30</t>
  </si>
  <si>
    <t>کلینیک ساختمانی یخکشی</t>
  </si>
  <si>
    <t>6.3.2.204/30</t>
  </si>
  <si>
    <t>کافه ویونا</t>
  </si>
  <si>
    <t>6.3.13.92/30</t>
  </si>
  <si>
    <t>کافی نت هیدن</t>
  </si>
  <si>
    <t>6.3.13.40/30</t>
  </si>
  <si>
    <t>کافه رستوران کاویش</t>
  </si>
  <si>
    <t>6.3.9.72/30</t>
  </si>
  <si>
    <t>دبستان راهبرد دانش</t>
  </si>
  <si>
    <t>6.3.11.148/30</t>
  </si>
  <si>
    <t>دفتر اسناد رسمی 87</t>
  </si>
  <si>
    <t>6.3.1.172/30</t>
  </si>
  <si>
    <t>دفتر ارتباط ایرانسل</t>
  </si>
  <si>
    <t>6.3.2.252/30</t>
  </si>
  <si>
    <t>دفتر پیشخوان دولت قدس</t>
  </si>
  <si>
    <t>6.3.20.160/30</t>
  </si>
  <si>
    <t>دفتر پیشخوان دولت</t>
  </si>
  <si>
    <t>6.3.11.224/30</t>
  </si>
  <si>
    <t>دفتر پیشخوان دولتی جعفری قم</t>
  </si>
  <si>
    <t>6.3.13.136/30</t>
  </si>
  <si>
    <t>دفتر پیشخوان دولت شهر ری</t>
  </si>
  <si>
    <t>6.3.3.148/30</t>
  </si>
  <si>
    <t>دفتر پیشخوان دولتی</t>
  </si>
  <si>
    <t>6.3.13.56/30</t>
  </si>
  <si>
    <t>دفتر پیشخوان فرمهینی</t>
  </si>
  <si>
    <t>6.3.5.124/30</t>
  </si>
  <si>
    <t>6.3.20.104/30</t>
  </si>
  <si>
    <t>دفتر خانه استاد رسمی 39</t>
  </si>
  <si>
    <t>6.3.2.44/30</t>
  </si>
  <si>
    <t>مجتمع دندانپزشکی حضرت زینب</t>
  </si>
  <si>
    <t>6.3.3.96/30</t>
  </si>
  <si>
    <t>دندانپزشکی قام</t>
  </si>
  <si>
    <t>6.3.8.76/30</t>
  </si>
  <si>
    <t>بازار قزوین فروشگاه درافشانی 8168</t>
  </si>
  <si>
    <t>6.3.7.236/30</t>
  </si>
  <si>
    <t>6.3.11.32/30</t>
  </si>
  <si>
    <t>درمانگاه معراج توس</t>
  </si>
  <si>
    <t>6.3.1.228/30</t>
  </si>
  <si>
    <t>درمانگاه معراج توس5865</t>
  </si>
  <si>
    <t>6.3.24.60/30</t>
  </si>
  <si>
    <t>درمانگاه پزشکی و دندانپزشکی دکتر رضازاده</t>
  </si>
  <si>
    <t>6.3.14.192/30</t>
  </si>
  <si>
    <t>درمانگاه رسالت</t>
  </si>
  <si>
    <t>6.3.10.96/30</t>
  </si>
  <si>
    <t>درمانگاه شبانه روزی حضرت زینب</t>
  </si>
  <si>
    <t>6.3.14.172/30</t>
  </si>
  <si>
    <t>درمانگاه تامین اجتماعی بروجن</t>
  </si>
  <si>
    <t>6.3.13.0/30</t>
  </si>
  <si>
    <t>درمانگاه شبانه روزی دکتر ذاکر کیش 7976</t>
  </si>
  <si>
    <t>6.3.8.244/30</t>
  </si>
  <si>
    <t>داروخانه دکترعزیززاده</t>
  </si>
  <si>
    <t>6.3.15.112/30</t>
  </si>
  <si>
    <t>داروخانه 7802</t>
  </si>
  <si>
    <t>6.3.21.164/30</t>
  </si>
  <si>
    <t>داروخانه آرین</t>
  </si>
  <si>
    <t>6.3.12.20/30</t>
  </si>
  <si>
    <t>داروخانه دکتر رهنما</t>
  </si>
  <si>
    <t>6.3.7.184/30</t>
  </si>
  <si>
    <t>داروخانه شبانه روزی علیرضا</t>
  </si>
  <si>
    <t>6.3.11.108/30</t>
  </si>
  <si>
    <t>6.3.21.48/30</t>
  </si>
  <si>
    <t>دهکده آموزشی گل تبار</t>
  </si>
  <si>
    <t>6.3.11.8/30</t>
  </si>
  <si>
    <t>دندانپزشکی درین</t>
  </si>
  <si>
    <t>6.3.5.48/30</t>
  </si>
  <si>
    <t>دندانپزشکی دکتر مجید رضا رحمان دوست</t>
  </si>
  <si>
    <t>6.3.4.124/30</t>
  </si>
  <si>
    <t>دخانیات قره خانی 8114</t>
  </si>
  <si>
    <t>6.3.11.180/30</t>
  </si>
  <si>
    <t>دولت آباد 7856</t>
  </si>
  <si>
    <t>6.3.21.156/30</t>
  </si>
  <si>
    <t>اداره کل انتقال خون استان بوشهر 7453</t>
  </si>
  <si>
    <t>6.3.22.72/30</t>
  </si>
  <si>
    <t>اکباتان بازارچه شماره 9</t>
  </si>
  <si>
    <t>6.3.14.128/30</t>
  </si>
  <si>
    <t>الکتریکی نمانور</t>
  </si>
  <si>
    <t>6.3.11.168/30</t>
  </si>
  <si>
    <t>الکترو خودرو حسن زاده</t>
  </si>
  <si>
    <t>6.3.12.92/30</t>
  </si>
  <si>
    <t>کلینیک ساختمانی نذری 6893</t>
  </si>
  <si>
    <t>6.3.23.192/30</t>
  </si>
  <si>
    <t>عرفان مارکت 7929</t>
  </si>
  <si>
    <t>6.3.22.92/30</t>
  </si>
  <si>
    <t>پروتینی بهرامی 8149</t>
  </si>
  <si>
    <t>6.3.12.80/30</t>
  </si>
  <si>
    <t>فست فود سروژ</t>
  </si>
  <si>
    <t>6.3.6.132/30</t>
  </si>
  <si>
    <t>فیزیوتراپی رویا</t>
  </si>
  <si>
    <t>6.3.15.148/30</t>
  </si>
  <si>
    <t>نمایندگی فروش لوازم یدکی ایساکو8166</t>
  </si>
  <si>
    <t>6.3.8.156/30</t>
  </si>
  <si>
    <t>فروشگاه کاج ۷۳۲۱</t>
  </si>
  <si>
    <t>6.3.11.144/30</t>
  </si>
  <si>
    <t>فروشگاه ابزار البرز8108</t>
  </si>
  <si>
    <t>6.3.24.24/30</t>
  </si>
  <si>
    <t>فروشگاه  ارحمی 8276</t>
  </si>
  <si>
    <t>6.3.24.88/30</t>
  </si>
  <si>
    <t>فروشگاه ماهان-گراوند</t>
  </si>
  <si>
    <t>6.3.4.8/30</t>
  </si>
  <si>
    <t>فروشگاه موبایل لند ۸۴۷۸</t>
  </si>
  <si>
    <t>6.3.23.28/30</t>
  </si>
  <si>
    <t>فروشگاه مروج ۸۴۶۱</t>
  </si>
  <si>
    <t>6.3.22.124/30</t>
  </si>
  <si>
    <t>فروشگاه پروین ۸۴۶۸</t>
  </si>
  <si>
    <t>6.3.23.12/30</t>
  </si>
  <si>
    <t>فروشگاه پوشاک نوروزی ۸۴۶۹</t>
  </si>
  <si>
    <t>6.3.23.88/30</t>
  </si>
  <si>
    <t>فروشگاه رنگ و ابزار بلوغی ۸۴۷۹</t>
  </si>
  <si>
    <t>6.3.12.112/30</t>
  </si>
  <si>
    <t>فروشگاه شهر سرما ۸۴۶۶</t>
  </si>
  <si>
    <t>6.3.22.96/30</t>
  </si>
  <si>
    <t>فروشگاه آبتین</t>
  </si>
  <si>
    <t>6.3.3.228/30</t>
  </si>
  <si>
    <t>فروشگاه ابزار آروا</t>
  </si>
  <si>
    <t>6.3.2.216/30</t>
  </si>
  <si>
    <t>فروشگاه ابزار صنعتی کاوه</t>
  </si>
  <si>
    <t>6.3.23.92/30</t>
  </si>
  <si>
    <t>فروشگاه ابزار آلات ایده آل</t>
  </si>
  <si>
    <t>6.3.13.12/30</t>
  </si>
  <si>
    <t>فروشگاه آهن آلات شاهرخی</t>
  </si>
  <si>
    <t>6.3.12.208/30</t>
  </si>
  <si>
    <t>فروشگاه عطار زاده</t>
  </si>
  <si>
    <t>6.3.13.220/30</t>
  </si>
  <si>
    <t>فروشگاه برادران محمدی</t>
  </si>
  <si>
    <t>6.3.1.156/30</t>
  </si>
  <si>
    <t>فروشگاه بزرگ سالار 2</t>
  </si>
  <si>
    <t>6.3.13.112/30</t>
  </si>
  <si>
    <t>فروشگاه دلیران عنصری</t>
  </si>
  <si>
    <t>6.3.13.124/30</t>
  </si>
  <si>
    <t>فروشگاه دیلی مارکت8097</t>
  </si>
  <si>
    <t>6.3.23.244/30</t>
  </si>
  <si>
    <t>فروشگاه قام</t>
  </si>
  <si>
    <t>6.3.6.8/30</t>
  </si>
  <si>
    <t>فروشگاه مواد غذایی اعتماد</t>
  </si>
  <si>
    <t>6.3.15.100/30</t>
  </si>
  <si>
    <t>فروشگاه ایران فنر 7880</t>
  </si>
  <si>
    <t>6.3.21.204/30</t>
  </si>
  <si>
    <t>فروشگاه ایرانیان</t>
  </si>
  <si>
    <t>6.3.24.192/30</t>
  </si>
  <si>
    <t>فروشگاه ایساکو اسفراین</t>
  </si>
  <si>
    <t>6.3.7.128/30</t>
  </si>
  <si>
    <t>6.3.14.228/30</t>
  </si>
  <si>
    <t>فروشگاه جام پلاستیک</t>
  </si>
  <si>
    <t>6.3.13.128/30</t>
  </si>
  <si>
    <t>فروشگاه جوان</t>
  </si>
  <si>
    <t>6.3.21.84/30</t>
  </si>
  <si>
    <t>فروشگاه کادویی مفید</t>
  </si>
  <si>
    <t>6.3.15.64/30</t>
  </si>
  <si>
    <t>فروشگاه کریمی</t>
  </si>
  <si>
    <t>6.3.20.228/30</t>
  </si>
  <si>
    <t>فروشگاه کشاورز</t>
  </si>
  <si>
    <t>6.3.12.36/30</t>
  </si>
  <si>
    <t>فروشگاه خشکبار فتاحی</t>
  </si>
  <si>
    <t>6.3.6.32/30</t>
  </si>
  <si>
    <t>فروشگاه لوازم یدکی شرکاء</t>
  </si>
  <si>
    <t>6.3.11.248/30</t>
  </si>
  <si>
    <t>فروشگاه لوازم خانگی بخشی زاده</t>
  </si>
  <si>
    <t>6.3.10.12/30</t>
  </si>
  <si>
    <t>فروشگاه لوازم خانگی رضا خامدی 7885</t>
  </si>
  <si>
    <t>6.3.21.240/30</t>
  </si>
  <si>
    <t>فروشگاه پخش لوازم اتومبیل خدیور</t>
  </si>
  <si>
    <t>6.3.20.8/30</t>
  </si>
  <si>
    <t>6.3.23.224/30</t>
  </si>
  <si>
    <t>فروشگاه لوازم یدکی موتور سیکلت عباسیان 8151</t>
  </si>
  <si>
    <t>6.3.21.144/30</t>
  </si>
  <si>
    <t>فروشگاه لوازم یدکی طاهری 7730</t>
  </si>
  <si>
    <t>6.3.2.200/30</t>
  </si>
  <si>
    <t>فروشگاه مدرن اسپرت</t>
  </si>
  <si>
    <t>6.3.12.252/30</t>
  </si>
  <si>
    <t>فروشگاه مرغ و ماهی کردار 7992</t>
  </si>
  <si>
    <t>6.3.22.220/30</t>
  </si>
  <si>
    <t>فروشگاه پارس کامپیوتر</t>
  </si>
  <si>
    <t>6.3.20.184/30</t>
  </si>
  <si>
    <t>فروشگاه پارتلند</t>
  </si>
  <si>
    <t>6.3.8.112/30</t>
  </si>
  <si>
    <t>فروشگاه پلاسکو چوپانی 8074</t>
  </si>
  <si>
    <t>6.3.23.220/30</t>
  </si>
  <si>
    <t>فروشگاه پلاستیک جات مشکانی</t>
  </si>
  <si>
    <t>6.3.13.88/30</t>
  </si>
  <si>
    <t>فروشگاه رضا ایزیدی</t>
  </si>
  <si>
    <t>6.3.23.80/30</t>
  </si>
  <si>
    <t>فروشگاه روغن موتور رحمانی 7867</t>
  </si>
  <si>
    <t>6.3.21.224/30</t>
  </si>
  <si>
    <t>فروشگاه سالاری</t>
  </si>
  <si>
    <t>6.3.14.60/30</t>
  </si>
  <si>
    <t>فروشگاه سمن برش</t>
  </si>
  <si>
    <t>6.3.3.128/30</t>
  </si>
  <si>
    <t>فروشگاه سارا</t>
  </si>
  <si>
    <t>6.3.14.148/30</t>
  </si>
  <si>
    <t>فروشگاه شهروند8307</t>
  </si>
  <si>
    <t>6.3.24.144/30</t>
  </si>
  <si>
    <t>فروشگاه شیرینی میثم</t>
  </si>
  <si>
    <t>6.3.1.220/30</t>
  </si>
  <si>
    <t>فروشگاه تکتاز موتور قریشی</t>
  </si>
  <si>
    <t>6.3.21.72/30</t>
  </si>
  <si>
    <t>فروشگاه تامین نیاز 7887</t>
  </si>
  <si>
    <t>6.3.21.232/30</t>
  </si>
  <si>
    <t>فروشگاه و تعمبر گاه کاظمی 8104</t>
  </si>
  <si>
    <t>6.3.24.4/30</t>
  </si>
  <si>
    <t>فروشگاه واعظی 8060</t>
  </si>
  <si>
    <t>6.3.23.104/30</t>
  </si>
  <si>
    <t>فروشگاه ولوو 283</t>
  </si>
  <si>
    <t>6.3.24.160/30</t>
  </si>
  <si>
    <t>فروشگاه یاسین</t>
  </si>
  <si>
    <t>6.3.13.156/30</t>
  </si>
  <si>
    <t>فروشگاه یراق آلات اسمعلی</t>
  </si>
  <si>
    <t>6.3.20.100/30</t>
  </si>
  <si>
    <t>فروشگاه ذبیحی</t>
  </si>
  <si>
    <t>6.3.21.112/30</t>
  </si>
  <si>
    <t>فروشگاه زارعی 8094</t>
  </si>
  <si>
    <t>6.3.23.212/30</t>
  </si>
  <si>
    <t>فروشگاه مواد غذایی فاطمی</t>
  </si>
  <si>
    <t>6.3.2.168/30</t>
  </si>
  <si>
    <t>6.3.22.116/30</t>
  </si>
  <si>
    <t>فروشگاه بزرگ شیراز</t>
  </si>
  <si>
    <t>6.3.20.152/30</t>
  </si>
  <si>
    <t>فروشگاه گارنی</t>
  </si>
  <si>
    <t>6.3.12.116/30</t>
  </si>
  <si>
    <t>6.3.20.112/30</t>
  </si>
  <si>
    <t>فروشگاه ایران الکترونیک</t>
  </si>
  <si>
    <t>6.3.20.232/30</t>
  </si>
  <si>
    <t>فروشگاه جعفرزاده</t>
  </si>
  <si>
    <t>6.3.20.148/30</t>
  </si>
  <si>
    <t>فروشگاه لوازم بهداشتی آرایشی</t>
  </si>
  <si>
    <t>6.3.11.196/30</t>
  </si>
  <si>
    <t>فروشگاه لوازم خانگی آریا</t>
  </si>
  <si>
    <t>6.3.12.156/30</t>
  </si>
  <si>
    <t>فروشگاه لوازم خانگی کله بسیاری</t>
  </si>
  <si>
    <t>6.3.12.52/30</t>
  </si>
  <si>
    <t>فروشگاه مواد غذایی تیراژه</t>
  </si>
  <si>
    <t>6.3.12.120/30</t>
  </si>
  <si>
    <t>فروشگاه مدرن</t>
  </si>
  <si>
    <t>6.3.11.112/30</t>
  </si>
  <si>
    <t>گالری عروس</t>
  </si>
  <si>
    <t>6.3.14.236/30</t>
  </si>
  <si>
    <t>گالری فرش عزت خواه</t>
  </si>
  <si>
    <t>6.3.11.236/30</t>
  </si>
  <si>
    <t>گالری شانل</t>
  </si>
  <si>
    <t>6.3.15.168/30</t>
  </si>
  <si>
    <t>گالری طلای عسل</t>
  </si>
  <si>
    <t>6.3.1.64/30</t>
  </si>
  <si>
    <t>گالری عینک لنا 8008</t>
  </si>
  <si>
    <t>6.3.23.0/30</t>
  </si>
  <si>
    <t>گاراژ خراسانی</t>
  </si>
  <si>
    <t>6.3.15.52/30</t>
  </si>
  <si>
    <t>گل و گیاه مرادی</t>
  </si>
  <si>
    <t>6.3.10.40/30</t>
  </si>
  <si>
    <t>غرفه 76 میدان میوه و تره بار سبزوار</t>
  </si>
  <si>
    <t>6.3.3.172/30</t>
  </si>
  <si>
    <t>غرفه 96 مجتمع بازرگانان</t>
  </si>
  <si>
    <t>6.3.11.212/30</t>
  </si>
  <si>
    <t>خوار بار فروشی سعید 8260</t>
  </si>
  <si>
    <t>6.3.4.136/30</t>
  </si>
  <si>
    <t>هایپر برادران8120</t>
  </si>
  <si>
    <t>6.3.24.28/30</t>
  </si>
  <si>
    <t>هایپر ماهان8099</t>
  </si>
  <si>
    <t>6.3.24.12/30</t>
  </si>
  <si>
    <t>هایپر مهدیس</t>
  </si>
  <si>
    <t>6.3.21.68/30</t>
  </si>
  <si>
    <t>هایپر مارکت 7819 ب</t>
  </si>
  <si>
    <t>6.3.21.120/30</t>
  </si>
  <si>
    <t>هایپر مارکت بهارستان</t>
  </si>
  <si>
    <t>6.3.13.228/30</t>
  </si>
  <si>
    <t>هایپرمارکت کاظم</t>
  </si>
  <si>
    <t>6.3.13.132/30</t>
  </si>
  <si>
    <t>هایپر میت شهریار</t>
  </si>
  <si>
    <t>6.3.3.156/30</t>
  </si>
  <si>
    <t>هایپر پارسه8111</t>
  </si>
  <si>
    <t>6.3.24.56/30</t>
  </si>
  <si>
    <t>هدیه سرای سینا</t>
  </si>
  <si>
    <t>6.3.15.236/30</t>
  </si>
  <si>
    <t>شرکت کارگزاری مبین سرمایه  6931</t>
  </si>
  <si>
    <t>6.3.12.76/30</t>
  </si>
  <si>
    <t>حوله صدف 7899</t>
  </si>
  <si>
    <t>6.3.21.248/30</t>
  </si>
  <si>
    <t>حسینیه نور کن</t>
  </si>
  <si>
    <t>6.3.13.208/30</t>
  </si>
  <si>
    <t>هتل ایرانگردی و جهانگردی آستارا</t>
  </si>
  <si>
    <t>هتل دنیز</t>
  </si>
  <si>
    <t>6.3.21.28/30</t>
  </si>
  <si>
    <t>هتل امیر کبیر</t>
  </si>
  <si>
    <t>6.3.0.168/30</t>
  </si>
  <si>
    <t>هتل آپارتمان سوران</t>
  </si>
  <si>
    <t>6.3.8.36/30</t>
  </si>
  <si>
    <t>هتل فارس</t>
  </si>
  <si>
    <t>6.3.0.200/30</t>
  </si>
  <si>
    <t>هتل و تالارهای ایرانیان</t>
  </si>
  <si>
    <t>6.3.14.68/30</t>
  </si>
  <si>
    <t>هتل ستاره خلیج فارس</t>
  </si>
  <si>
    <t>6.3.4.80/30</t>
  </si>
  <si>
    <t>حوزه مرکزی لرستان و قم 7951</t>
  </si>
  <si>
    <t>6.3.22.88/30</t>
  </si>
  <si>
    <t>هایپر مارکت سلامت</t>
  </si>
  <si>
    <t>6.3.15.156/30</t>
  </si>
  <si>
    <t>ایرانسل رضویه</t>
  </si>
  <si>
    <t>6.3.14.184/30</t>
  </si>
  <si>
    <t>6.3.23.16/30</t>
  </si>
  <si>
    <t>جایگاه اختصاصی خرمی</t>
  </si>
  <si>
    <t>6.3.14.188/30</t>
  </si>
  <si>
    <t>جایگاه نفت قاسم آباد</t>
  </si>
  <si>
    <t>6.3.13.28/30</t>
  </si>
  <si>
    <t>جایگاه سوخت حافظیه</t>
  </si>
  <si>
    <t>6.3.11.100/30</t>
  </si>
  <si>
    <t>جواهری کلاسیک</t>
  </si>
  <si>
    <t>6.3.1.180/30</t>
  </si>
  <si>
    <t>جواهری معصوم شاهی</t>
  </si>
  <si>
    <t>6.3.3.72/30</t>
  </si>
  <si>
    <t>جواهری محمد8171</t>
  </si>
  <si>
    <t>6.3.15.40/30</t>
  </si>
  <si>
    <t>6.3.15.200/30</t>
  </si>
  <si>
    <t>جایگاه سوخت کیان</t>
  </si>
  <si>
    <t>6.3.4.204/30</t>
  </si>
  <si>
    <t>جایگاه سوخت امین</t>
  </si>
  <si>
    <t>6.3.4.196/30</t>
  </si>
  <si>
    <t>جلوبندی سازی یاسر  8334</t>
  </si>
  <si>
    <t>6.3.24.156/30</t>
  </si>
  <si>
    <t>کبابی فکتوری</t>
  </si>
  <si>
    <t>6.3.12.96/30</t>
  </si>
  <si>
    <t>کفپوش مدرن</t>
  </si>
  <si>
    <t>6.3.20.248/30</t>
  </si>
  <si>
    <t>کارخانه آجر ساحل یک اصفهان</t>
  </si>
  <si>
    <t>6.3.10.236/30</t>
  </si>
  <si>
    <t>کالای برق ثابت-مشد</t>
  </si>
  <si>
    <t>6.3.2.248/30</t>
  </si>
  <si>
    <t>کالاهای بهداشتی ساختمان براتی</t>
  </si>
  <si>
    <t>6.3.21.4/30</t>
  </si>
  <si>
    <t>کالای چوب و ام دی اف چاوشی</t>
  </si>
  <si>
    <t>6.3.1.176/30</t>
  </si>
  <si>
    <t>6.3.24.204/30</t>
  </si>
  <si>
    <t>کارخانه آجر ماشینی قاسمی</t>
  </si>
  <si>
    <t>6.3.20.44/30</t>
  </si>
  <si>
    <t>کاشی و  سرامیک فیروزه 8312</t>
  </si>
  <si>
    <t>6.3.24.148/30</t>
  </si>
  <si>
    <t>کلینیک دندانپزشکی رومی 8063</t>
  </si>
  <si>
    <t>6.3.23.108/30</t>
  </si>
  <si>
    <t>کلینیک دندانپزشکی لبخند</t>
  </si>
  <si>
    <t>6.3.20.92/30</t>
  </si>
  <si>
    <t>ساختمان پزشکان بوعلی کرمان</t>
  </si>
  <si>
    <t>6.3.1.128/30</t>
  </si>
  <si>
    <t>خدمات خودرویی جهانگیری</t>
  </si>
  <si>
    <t>6.3.20.68/30</t>
  </si>
  <si>
    <t>خدمات خودرویی صنوف توانا</t>
  </si>
  <si>
    <t>6.3.14.92/30</t>
  </si>
  <si>
    <t>خانه کارگر شزق تهران 8141</t>
  </si>
  <si>
    <t>6.3.1.160/30</t>
  </si>
  <si>
    <t>خوار و بار فروشی</t>
  </si>
  <si>
    <t>6.3.12.184/30</t>
  </si>
  <si>
    <t>خوراک دام ریحانی</t>
  </si>
  <si>
    <t>6.3.12.108/30</t>
  </si>
  <si>
    <t>خشکبار فروشی برادران نوری</t>
  </si>
  <si>
    <t>6.3.5.68/30</t>
  </si>
  <si>
    <t>خشکبار کمالی 7858</t>
  </si>
  <si>
    <t>6.3.21.184/30</t>
  </si>
  <si>
    <t>خشکبار فروشی مزرعه سبز</t>
  </si>
  <si>
    <t>6.3.3.160/30</t>
  </si>
  <si>
    <t>کرکره سازی ضیای</t>
  </si>
  <si>
    <t>6.3.7.244/30</t>
  </si>
  <si>
    <t>لاستیک فروشی کامرانی</t>
  </si>
  <si>
    <t>6.3.8.200/30</t>
  </si>
  <si>
    <t>لوازم یدکی محرم عبادیان 2</t>
  </si>
  <si>
    <t>6.3.20.96/30</t>
  </si>
  <si>
    <t>لوازم بهداشتی پر</t>
  </si>
  <si>
    <t>6.3.6.160/30</t>
  </si>
  <si>
    <t>لوازم قنادی پاک سرشت</t>
  </si>
  <si>
    <t>6.3.10.144/30</t>
  </si>
  <si>
    <t>لوازم یدکی عباس رجبی</t>
  </si>
  <si>
    <t>6.3.2.152/30</t>
  </si>
  <si>
    <t>لوازم یدکی ابولفضل</t>
  </si>
  <si>
    <t>6.3.7.64/30</t>
  </si>
  <si>
    <t>لوازم یدکی بازیار</t>
  </si>
  <si>
    <t>6.3.9.8/30</t>
  </si>
  <si>
    <t>لوازم یدکی ایساکو 349</t>
  </si>
  <si>
    <t>6.3.3.152/30</t>
  </si>
  <si>
    <t>6.3.2.40/30</t>
  </si>
  <si>
    <t>لوازم یدکی رستمی</t>
  </si>
  <si>
    <t>6.3.14.248/30</t>
  </si>
  <si>
    <t>لوازم یدکی طاهری</t>
  </si>
  <si>
    <t>6.3.6.96/30</t>
  </si>
  <si>
    <t>لوازم یدکی توکل</t>
  </si>
  <si>
    <t>6.3.10.48/30</t>
  </si>
  <si>
    <t>لوازم خانگی کوثر</t>
  </si>
  <si>
    <t>6.3.0.56/30</t>
  </si>
  <si>
    <t>لوازم خانگی یاس سفید</t>
  </si>
  <si>
    <t>6.3.15.44/30</t>
  </si>
  <si>
    <t>فروشگاه لوازم خانگی 15 خرداد8415</t>
  </si>
  <si>
    <t>6.3.14.72/30</t>
  </si>
  <si>
    <t>لوازم ساختمانی علی زاده</t>
  </si>
  <si>
    <t>6.3.9.104/30</t>
  </si>
  <si>
    <t>لوازم یدکی دریایی</t>
  </si>
  <si>
    <t>6.3.20.144/30</t>
  </si>
  <si>
    <t>لوازم یدکی ماشینهای سبک 8046</t>
  </si>
  <si>
    <t>6.3.23.164/30</t>
  </si>
  <si>
    <t>لوازم یدکی حسین</t>
  </si>
  <si>
    <t>6.3.20.60/30</t>
  </si>
  <si>
    <t>لوازم یدکی موتور سیکلت صابریان 7879</t>
  </si>
  <si>
    <t>6.3.22.32/30</t>
  </si>
  <si>
    <t>لوازم یدکی سایپا یدک فیروزه 7866</t>
  </si>
  <si>
    <t>6.3.21.188/30</t>
  </si>
  <si>
    <t>لوازم یدکی مسعود 8139</t>
  </si>
  <si>
    <t>6.3.7.52/30</t>
  </si>
  <si>
    <t>6.3.20.20/30</t>
  </si>
  <si>
    <t>لوازم التحریر رزمجو8159</t>
  </si>
  <si>
    <t>6.3.20.212/30</t>
  </si>
  <si>
    <t>مغازه تراشکاری 7878</t>
  </si>
  <si>
    <t>6.3.22.44/30</t>
  </si>
  <si>
    <t>مغازه های مصلی مکانیکی ناصر</t>
  </si>
  <si>
    <t>6.3.20.156/30</t>
  </si>
  <si>
    <t>مهد فرش درب شرقی</t>
  </si>
  <si>
    <t>6.3.22.64/30</t>
  </si>
  <si>
    <t>مجموعه پذیرایی حاج اسماعیل 8042</t>
  </si>
  <si>
    <t>6.3.23.132/30</t>
  </si>
  <si>
    <t>مجموعه پذیرایی تشریفات</t>
  </si>
  <si>
    <t>6.3.15.124/30</t>
  </si>
  <si>
    <t>منسوجات محسن</t>
  </si>
  <si>
    <t>6.3.1.216/30</t>
  </si>
  <si>
    <t>مرکز بهداشت استان ۸۴۷۳</t>
  </si>
  <si>
    <t>6.3.23.124/30</t>
  </si>
  <si>
    <t>مرکز علمی کاربردی شهید صیاد نزاجا ۸۴۷۲</t>
  </si>
  <si>
    <t>6.3.11.136/30</t>
  </si>
  <si>
    <t>مرکز آموزش جواد الاییمه 8324</t>
  </si>
  <si>
    <t>6.3.24.152/30</t>
  </si>
  <si>
    <t>مرکز اداری سانا</t>
  </si>
  <si>
    <t>6.3.14.164/30</t>
  </si>
  <si>
    <t>مرکز فیزیوتراپی اکسین</t>
  </si>
  <si>
    <t>6.3.13.4/30</t>
  </si>
  <si>
    <t>مرکز جراحی میرداماد</t>
  </si>
  <si>
    <t>6.3.0.104/30</t>
  </si>
  <si>
    <t>مرکز خرید ایرانیان</t>
  </si>
  <si>
    <t>6.3.15.216/30</t>
  </si>
  <si>
    <t>مرکز خرید میرداماد 2</t>
  </si>
  <si>
    <t>6.3.20.168/30</t>
  </si>
  <si>
    <t>مرکز خرید بزرگ سانلی</t>
  </si>
  <si>
    <t>6.3.9.48/30</t>
  </si>
  <si>
    <t>مرکز لیزر بارانا</t>
  </si>
  <si>
    <t>6.3.15.228/30</t>
  </si>
  <si>
    <t>مزکز مصالح ساختمانی شاطری</t>
  </si>
  <si>
    <t>6.3.12.248/30</t>
  </si>
  <si>
    <t>مرکز طلا و جواهر مهر</t>
  </si>
  <si>
    <t>6.3.4.44/30</t>
  </si>
  <si>
    <t>مرکز تجاری الیزه</t>
  </si>
  <si>
    <t>6.3.6.24/30</t>
  </si>
  <si>
    <t>مرکز تجاری ملت</t>
  </si>
  <si>
    <t>6.3.13.16/30</t>
  </si>
  <si>
    <t>مصلاح فروشی نوین</t>
  </si>
  <si>
    <t>6.3.13.184/30</t>
  </si>
  <si>
    <t>مصالح ساختمانی حمامی 8056</t>
  </si>
  <si>
    <t>6.3.23.140/30</t>
  </si>
  <si>
    <t>مجتمع تعمیرگاه ماشین های سبک و سنگین 8061</t>
  </si>
  <si>
    <t>6.3.22.252/30</t>
  </si>
  <si>
    <t>مسجد کنی</t>
  </si>
  <si>
    <t>6.3.14.176/30</t>
  </si>
  <si>
    <t>مطب دکتر شهرکی ۸۴۵۴</t>
  </si>
  <si>
    <t>6.3.15.180/30</t>
  </si>
  <si>
    <t>مواد غذایی شعبانی ۸۴۶۰</t>
  </si>
  <si>
    <t>6.3.22.208/30</t>
  </si>
  <si>
    <t>مواد غذایی امیر حسین-مشهد</t>
  </si>
  <si>
    <t>6.3.10.172/30</t>
  </si>
  <si>
    <t>فروشگاه مواد غذایی فرزند صالح</t>
  </si>
  <si>
    <t>6.3.11.88/30</t>
  </si>
  <si>
    <t>مواد غذایی قدوسی</t>
  </si>
  <si>
    <t>6.3.11.176/30</t>
  </si>
  <si>
    <t>مواد غذایی حیدر پور</t>
  </si>
  <si>
    <t>6.3.11.216/30</t>
  </si>
  <si>
    <t>مواد غذایی ناصری</t>
  </si>
  <si>
    <t>6.3.11.128/30</t>
  </si>
  <si>
    <t>مواد غذایی نیشابوری</t>
  </si>
  <si>
    <t>6.3.14.84/30</t>
  </si>
  <si>
    <t>6.3.14.48/30</t>
  </si>
  <si>
    <t>مواد غذاییی شبانی</t>
  </si>
  <si>
    <t>6.3.10.152/30</t>
  </si>
  <si>
    <t>مواد غذایی سورنا</t>
  </si>
  <si>
    <t>6.3.15.192/30</t>
  </si>
  <si>
    <t>مواد غذایی ولیعصر</t>
  </si>
  <si>
    <t>6.3.22.68/30</t>
  </si>
  <si>
    <t>مواد غذایی یاس 8132</t>
  </si>
  <si>
    <t>6.3.6.16/30</t>
  </si>
  <si>
    <t>میدان بار سپاد</t>
  </si>
  <si>
    <t>6.3.10.140/30</t>
  </si>
  <si>
    <t>میدان بروجرد</t>
  </si>
  <si>
    <t>6.3.15.204/30</t>
  </si>
  <si>
    <t>میدان امام مقابل بازار زرگرا</t>
  </si>
  <si>
    <t>6.3.13.236/30</t>
  </si>
  <si>
    <t>میدان میوه و تره بار خمین</t>
  </si>
  <si>
    <t>6.3.14.212/30</t>
  </si>
  <si>
    <t>میدان میوه و تره بار همدان</t>
  </si>
  <si>
    <t>6.3.14.40/30</t>
  </si>
  <si>
    <t>میدان میوه و تره بار ساوه</t>
  </si>
  <si>
    <t>6.3.13.176/30</t>
  </si>
  <si>
    <t>هتل آزادی تبریز</t>
  </si>
  <si>
    <t>6.3.7.96/30</t>
  </si>
  <si>
    <t>میدان میوه و تره بار غرفه 33 جنوبی</t>
  </si>
  <si>
    <t>6.3.20.172/30</t>
  </si>
  <si>
    <t>میدان میوه و تربار قم</t>
  </si>
  <si>
    <t>6.3.13.152/30</t>
  </si>
  <si>
    <t>میدان میوه و تره بار دورود</t>
  </si>
  <si>
    <t>6.3.14.180/30</t>
  </si>
  <si>
    <t>میوه تره بار  قنبرلو 8087</t>
  </si>
  <si>
    <t>6.3.23.228/30</t>
  </si>
  <si>
    <t>میوه فروشی قصابیان</t>
  </si>
  <si>
    <t>6.3.0.68/30</t>
  </si>
  <si>
    <t>میوه فروشی رسول رهسپاری 8068</t>
  </si>
  <si>
    <t>6.3.24.0/30</t>
  </si>
  <si>
    <t>میدان میوه و تره بار بروجرد 8078</t>
  </si>
  <si>
    <t>6.3.23.240/30</t>
  </si>
  <si>
    <t>معاونت قرآن</t>
  </si>
  <si>
    <t>6.3.14.76/30</t>
  </si>
  <si>
    <t>موبایل ورتو</t>
  </si>
  <si>
    <t>6.3.14.36/30</t>
  </si>
  <si>
    <t>موبایل آهوگیر</t>
  </si>
  <si>
    <t>6.3.21.16/30</t>
  </si>
  <si>
    <t>مبل بندار</t>
  </si>
  <si>
    <t>6.3.10.80/30</t>
  </si>
  <si>
    <t>مدرن دیزاین 7825</t>
  </si>
  <si>
    <t>6.3.21.180/30</t>
  </si>
  <si>
    <t>6.3.21.116/30</t>
  </si>
  <si>
    <t>مجتمع پزشکی رازی</t>
  </si>
  <si>
    <t>6.3.1.236/30</t>
  </si>
  <si>
    <t>مجتمع تجاری اداری زرسان ۸۴۶۷</t>
  </si>
  <si>
    <t>6.3.21.212/30</t>
  </si>
  <si>
    <t>مجتمع آموزشی امام حسین</t>
  </si>
  <si>
    <t>6.3.12.144/30</t>
  </si>
  <si>
    <t>مجتمع آموزشی مدرس</t>
  </si>
  <si>
    <t>6.3.15.196/30</t>
  </si>
  <si>
    <t>مجتمع برلیان</t>
  </si>
  <si>
    <t>6.3.20.132/30</t>
  </si>
  <si>
    <t>مجتمع دندان پزشکی دنتین</t>
  </si>
  <si>
    <t>6.3.13.80/30</t>
  </si>
  <si>
    <t>مجتمع تجاری دناسا 8127</t>
  </si>
  <si>
    <t>6.3.2.244/30</t>
  </si>
  <si>
    <t>6.3.20.136/30</t>
  </si>
  <si>
    <t>مجتمع قائم</t>
  </si>
  <si>
    <t>6.3.12.100/30</t>
  </si>
  <si>
    <t>مجتمع مسکونی گلبرگ-تهران</t>
  </si>
  <si>
    <t>6.3.4.188/30</t>
  </si>
  <si>
    <t>مجتمع گلدیس-تهران</t>
  </si>
  <si>
    <t>6.3.4.52/30</t>
  </si>
  <si>
    <t>مجتمع تجاری هدیش طلای روبی</t>
  </si>
  <si>
    <t>6.3.21.52/30</t>
  </si>
  <si>
    <t>مجتمع ایرانیان</t>
  </si>
  <si>
    <t>6.3.21.56/30</t>
  </si>
  <si>
    <t>مجتمع جاودان</t>
  </si>
  <si>
    <t>مجتمع کارگاهی پرند لوازم یدکی</t>
  </si>
  <si>
    <t>6.3.11.152/30</t>
  </si>
  <si>
    <t>مجتمع خودرویی ایرانیان</t>
  </si>
  <si>
    <t>6.3.15.92/30</t>
  </si>
  <si>
    <t>مجتمع خوشه طلایی</t>
  </si>
  <si>
    <t>6.3.1.92/30</t>
  </si>
  <si>
    <t>مجتمع مسکونی الماس شهر  7955</t>
  </si>
  <si>
    <t>6.3.22.148/30</t>
  </si>
  <si>
    <t>مجتمع مسکونی کامرانیه</t>
  </si>
  <si>
    <t>6.3.3.12/30</t>
  </si>
  <si>
    <t>مجتمع مسکونی مهتاب 2</t>
  </si>
  <si>
    <t>6.3.14.224/30</t>
  </si>
  <si>
    <t>مجتمع مسکونی پاسارگاد</t>
  </si>
  <si>
    <t>6.3.13.108/30</t>
  </si>
  <si>
    <t>مجتمع مسکونی پیامبر</t>
  </si>
  <si>
    <t>6.3.20.176/30</t>
  </si>
  <si>
    <t>مجتمع مسکونی پیاژه</t>
  </si>
  <si>
    <t>6.3.13.72/30</t>
  </si>
  <si>
    <t>مجتمع نان رستمی</t>
  </si>
  <si>
    <t>6.3.2.124/30</t>
  </si>
  <si>
    <t>مجتمع پزشکان عرفان 8274</t>
  </si>
  <si>
    <t>6.3.24.72/30</t>
  </si>
  <si>
    <t>مجتمع پزشکی دکتر زینعلی</t>
  </si>
  <si>
    <t>6.3.3.184/30</t>
  </si>
  <si>
    <t>مجتمع پزشکی سیدین</t>
  </si>
  <si>
    <t>6.3.20.80/30</t>
  </si>
  <si>
    <t>مجتمع پزشکی شیخ و الریس</t>
  </si>
  <si>
    <t>6.3.3.212/30</t>
  </si>
  <si>
    <t>مجتمع رفاهی امام رضا شهر  خضری دشت بیاض7947</t>
  </si>
  <si>
    <t>6.3.22.152/30</t>
  </si>
  <si>
    <t>مجتمع مسکونی سینا</t>
  </si>
  <si>
    <t>6.3.21.220/30</t>
  </si>
  <si>
    <t>مجتمع تعمیرگاهی پیام</t>
  </si>
  <si>
    <t>6.3.20.200/30</t>
  </si>
  <si>
    <t>مجتمع تجاری الماس تهرانسر8146</t>
  </si>
  <si>
    <t>6.3.8.4/30</t>
  </si>
  <si>
    <t>کجتمع اداری تجاری و مسکونی  سرمد 8133</t>
  </si>
  <si>
    <t>6.3.23.64/30</t>
  </si>
  <si>
    <t>مجتمع تجاری آریاگان</t>
  </si>
  <si>
    <t>6.3.3.32/30</t>
  </si>
  <si>
    <t>6.3.3.92/30</t>
  </si>
  <si>
    <t>مجتمع تجاری بازار 121</t>
  </si>
  <si>
    <t>6.3.13.76/30</t>
  </si>
  <si>
    <t>مجتمع تجاری چراغی</t>
  </si>
  <si>
    <t>6.3.20.216/30</t>
  </si>
  <si>
    <t>مجتمع تجاری امام علی</t>
  </si>
  <si>
    <t>6.3.20.64/30</t>
  </si>
  <si>
    <t>مجتمع تجاری گلستان</t>
  </si>
  <si>
    <t>6.3.7.252/30</t>
  </si>
  <si>
    <t>مجتمع تجاری هامون</t>
  </si>
  <si>
    <t>6.3.21.88/30</t>
  </si>
  <si>
    <t>مجتمع تجاری جارسنتر</t>
  </si>
  <si>
    <t>6.3.4.236/30</t>
  </si>
  <si>
    <t>مجتمع تجاری کارن 8360</t>
  </si>
  <si>
    <t>6.3.24.176/30</t>
  </si>
  <si>
    <t>مجتمع تجاری کارون</t>
  </si>
  <si>
    <t>6.3.7.72/30</t>
  </si>
  <si>
    <t>مجتمع تجاری مجدی 7977</t>
  </si>
  <si>
    <t>6.3.22.216/30</t>
  </si>
  <si>
    <t>مجتمع تجاری پانورما</t>
  </si>
  <si>
    <t>6.3.14.232/30</t>
  </si>
  <si>
    <t>مجتمع نجاری ریاحی 8298</t>
  </si>
  <si>
    <t>6.3.24.128/30</t>
  </si>
  <si>
    <t>مجتمع تجاری صدر</t>
  </si>
  <si>
    <t>6.3.15.0/30</t>
  </si>
  <si>
    <t>مجتمع تجاری و خدماتی آریا 8129</t>
  </si>
  <si>
    <t>6.3.3.40/30</t>
  </si>
  <si>
    <t>مجتمع یاس</t>
  </si>
  <si>
    <t>6.3.5.84/30</t>
  </si>
  <si>
    <t>مجتمع تجاری آماتیس  4527</t>
  </si>
  <si>
    <t>6.3.23.204/30</t>
  </si>
  <si>
    <t>مجتمع ضامن آهو8093</t>
  </si>
  <si>
    <t>6.3.24.36/30</t>
  </si>
  <si>
    <t>مجتمع کوه نور</t>
  </si>
  <si>
    <t>6.3.10.108/30</t>
  </si>
  <si>
    <t>مجتمع مسکونی ستارگان</t>
  </si>
  <si>
    <t>6.3.11.96/30</t>
  </si>
  <si>
    <t>مجتمع تجاری جواد</t>
  </si>
  <si>
    <t>6.3.11.116/30</t>
  </si>
  <si>
    <t>موسسه حمل و نقل فرهنگیان</t>
  </si>
  <si>
    <t>6.3.4.76/30</t>
  </si>
  <si>
    <t>مشاور املاک محمدی</t>
  </si>
  <si>
    <t>6.3.14.32/30</t>
  </si>
  <si>
    <t>مشاور املاک مولا</t>
  </si>
  <si>
    <t>6.3.13.20/30</t>
  </si>
  <si>
    <t>مشاوره نیک اندیشان</t>
  </si>
  <si>
    <t>6.3.5.200/30</t>
  </si>
  <si>
    <t>موتور آلات کشاورزی تسلیمی</t>
  </si>
  <si>
    <t>6.3.2.104/30</t>
  </si>
  <si>
    <t>آموزشگاه ایران مهر 8000</t>
  </si>
  <si>
    <t>6.3.23.24/30</t>
  </si>
  <si>
    <t>6.3.21.36/30</t>
  </si>
  <si>
    <t>نمایندگی آهن آلات عرب</t>
  </si>
  <si>
    <t>6.3.1.168/30</t>
  </si>
  <si>
    <t>نمایندگی ایران موتور</t>
  </si>
  <si>
    <t>6.3.6.244/30</t>
  </si>
  <si>
    <t>نمایندگی مجاز 2204 ایران خودرو</t>
  </si>
  <si>
    <t>6.3.2.240/30</t>
  </si>
  <si>
    <t>نمایندگی سایپا زاهدان</t>
  </si>
  <si>
    <t>6.3.5.36/30</t>
  </si>
  <si>
    <t>نمایندگی سایپا-گناوه</t>
  </si>
  <si>
    <t>6.3.4.116/30</t>
  </si>
  <si>
    <t>نمایندگی ایساکو 7844</t>
  </si>
  <si>
    <t>6.3.21.92/30</t>
  </si>
  <si>
    <t>نمایندگی 1708 کرمان موتور 7971</t>
  </si>
  <si>
    <t>6.3.23.4/30</t>
  </si>
  <si>
    <t>نمایندگی سایپا</t>
  </si>
  <si>
    <t>6.3.20.72/30</t>
  </si>
  <si>
    <t>نمایندگی سایپا 8354</t>
  </si>
  <si>
    <t>6.3.24.172/30</t>
  </si>
  <si>
    <t>نمایشگاه بین المللی مشهد 1</t>
  </si>
  <si>
    <t>6.3.24.236/30</t>
  </si>
  <si>
    <t>نمایشگاه بین المللی مشهد 2</t>
  </si>
  <si>
    <t>6.3.24.240/30</t>
  </si>
  <si>
    <t>نمایشگاه خودرو المپیک8018</t>
  </si>
  <si>
    <t>6.3.23.20/30</t>
  </si>
  <si>
    <t>نمایندگی ایران خودرو 1230</t>
  </si>
  <si>
    <t>6.3.11.228/30</t>
  </si>
  <si>
    <t>نظام آباد شمالی</t>
  </si>
  <si>
    <t>6.3.12.164/30</t>
  </si>
  <si>
    <t>نیکا مارکت</t>
  </si>
  <si>
    <t>6.3.15.12/30</t>
  </si>
  <si>
    <t>نمایندگی فومن شیمی سرکان</t>
  </si>
  <si>
    <t>6.3.5.184/30</t>
  </si>
  <si>
    <t>اتوسرویس فرزام</t>
  </si>
  <si>
    <t>6.3.0.24/30</t>
  </si>
  <si>
    <t>اتو نوحی</t>
  </si>
  <si>
    <t>6.3.15.88/30</t>
  </si>
  <si>
    <t>اتومهران 5552</t>
  </si>
  <si>
    <t>6.3.24.64/30</t>
  </si>
  <si>
    <t>پایانه حمل و نقل کالای غرفه 256</t>
  </si>
  <si>
    <t>6.3.13.96/30</t>
  </si>
  <si>
    <t>پخش حبوبات و برنج</t>
  </si>
  <si>
    <t>6.3.20.240/30</t>
  </si>
  <si>
    <t>پخش مواد غذایی اسماعیلی</t>
  </si>
  <si>
    <t>6.3.13.192/30</t>
  </si>
  <si>
    <t>پخش صادق زاده</t>
  </si>
  <si>
    <t>6.3.6.224/30</t>
  </si>
  <si>
    <t>پخش سازمند</t>
  </si>
  <si>
    <t>6.3.1.164/30</t>
  </si>
  <si>
    <t>پخش ورزشی رابط</t>
  </si>
  <si>
    <t>6.3.15.184/30</t>
  </si>
  <si>
    <t>پارچه سرای زمانی 8352 دزفول</t>
  </si>
  <si>
    <t>6.3.24.216/30</t>
  </si>
  <si>
    <t>پاساژ آزادی-آبیک</t>
  </si>
  <si>
    <t>6.3.4.24/30</t>
  </si>
  <si>
    <t>پاساژ افتاب</t>
  </si>
  <si>
    <t>6.3.24.112/30</t>
  </si>
  <si>
    <t>پاساژ الغدیر</t>
  </si>
  <si>
    <t>6.3.12.148/30</t>
  </si>
  <si>
    <t>پاساژ درودچی</t>
  </si>
  <si>
    <t>6.3.13.164/30</t>
  </si>
  <si>
    <t>پاساژ فردوس</t>
  </si>
  <si>
    <t>6.3.13.60/30</t>
  </si>
  <si>
    <t>پاساژ قدس</t>
  </si>
  <si>
    <t>6.3.15.20/30</t>
  </si>
  <si>
    <t>پاساژ حریر 1</t>
  </si>
  <si>
    <t>6.3.2.212/30</t>
  </si>
  <si>
    <t>پاساژ نصر نوین</t>
  </si>
  <si>
    <t>6.3.1.120/30</t>
  </si>
  <si>
    <t>پاساژ امت-تبریز</t>
  </si>
  <si>
    <t>6.3.4.16/30</t>
  </si>
  <si>
    <t>پاساژ سراج الملک 4480</t>
  </si>
  <si>
    <t>6.3.24.136/30</t>
  </si>
  <si>
    <t>پاساژ ستوده</t>
  </si>
  <si>
    <t>6.3.4.240/30</t>
  </si>
  <si>
    <t>پاساژ طلافروشان الغدیر</t>
  </si>
  <si>
    <t>6.3.12.136/30</t>
  </si>
  <si>
    <t>پاساژ زمرد 8098</t>
  </si>
  <si>
    <t>6.3.24.8/30</t>
  </si>
  <si>
    <t>خیابان طالقانی</t>
  </si>
  <si>
    <t>6.3.11.200/30</t>
  </si>
  <si>
    <t>6.3.14.28/30</t>
  </si>
  <si>
    <t>پاساژ آرا</t>
  </si>
  <si>
    <t>6.3.1.20/30</t>
  </si>
  <si>
    <t>پاساژ تجاری برلیان8130</t>
  </si>
  <si>
    <t>6.3.8.176/30</t>
  </si>
  <si>
    <t>پاساژ فردوسی</t>
  </si>
  <si>
    <t>6.3.0.132/30</t>
  </si>
  <si>
    <t>پاساژ قدس 8357</t>
  </si>
  <si>
    <t>6.3.24.196/30</t>
  </si>
  <si>
    <t>پاساژحاج ناصر کرهانی</t>
  </si>
  <si>
    <t>6.3.10.120/30</t>
  </si>
  <si>
    <t>پاساژ جوان</t>
  </si>
  <si>
    <t>6.3.1.224/30</t>
  </si>
  <si>
    <t>پاساژ مهر چالوس</t>
  </si>
  <si>
    <t>6.3.10.184/30</t>
  </si>
  <si>
    <t>پاساژ میلاد نور</t>
  </si>
  <si>
    <t>6.3.11.184/30</t>
  </si>
  <si>
    <t>پاساژ ممتاز</t>
  </si>
  <si>
    <t>6.3.21.80/30</t>
  </si>
  <si>
    <t>پاساژ پالادیوم</t>
  </si>
  <si>
    <t>6.3.10.232/30</t>
  </si>
  <si>
    <t>پاساژ پدر</t>
  </si>
  <si>
    <t>6.3.12.104/30</t>
  </si>
  <si>
    <t>پاساژ ستاره 8337</t>
  </si>
  <si>
    <t>6.3.24.212/30</t>
  </si>
  <si>
    <t>پاساژ شب تاب  2</t>
  </si>
  <si>
    <t>6.3.22.84/30</t>
  </si>
  <si>
    <t>پاساژ طلا فروشان</t>
  </si>
  <si>
    <t>6.3.20.84/30</t>
  </si>
  <si>
    <t>پاساژ لوکس طلای</t>
  </si>
  <si>
    <t>6.3.8.252/30</t>
  </si>
  <si>
    <t>پاساژ وحدتی</t>
  </si>
  <si>
    <t>6.3.12.24/30</t>
  </si>
  <si>
    <t>پلاستیک ملایی</t>
  </si>
  <si>
    <t>6.3.13.232/30</t>
  </si>
  <si>
    <t>6.3.18.100/30</t>
  </si>
  <si>
    <t>دفتر پیشخوان دولت شهریار-شریف</t>
  </si>
  <si>
    <t>6.3.2.92/30</t>
  </si>
  <si>
    <t>شرکت پیشخوان آروین سالار</t>
  </si>
  <si>
    <t>6.3.10.76/30</t>
  </si>
  <si>
    <t>پمپ بنزین محمدی</t>
  </si>
  <si>
    <t>6.3.5.228/30</t>
  </si>
  <si>
    <t>پمپ بنزین زارع</t>
  </si>
  <si>
    <t>6.3.23.68/30</t>
  </si>
  <si>
    <t>پوشاک امینی</t>
  </si>
  <si>
    <t>6.3.7.148/30</t>
  </si>
  <si>
    <t>پوشاک سرشار</t>
  </si>
  <si>
    <t>6.3.11.220/30</t>
  </si>
  <si>
    <t>پوشاک یزدانی</t>
  </si>
  <si>
    <t>6.3.20.88/30</t>
  </si>
  <si>
    <t>پست بانک رستمکلا</t>
  </si>
  <si>
    <t>6.3.14.20/30</t>
  </si>
  <si>
    <t>رحیمی دیزاین</t>
  </si>
  <si>
    <t>6.3.15.252/30</t>
  </si>
  <si>
    <t>رامان گستر</t>
  </si>
  <si>
    <t>6.3.2.64/30</t>
  </si>
  <si>
    <t>رنگ و ابزار برومند 8054</t>
  </si>
  <si>
    <t>6.3.0.52/30</t>
  </si>
  <si>
    <t>رشت بازار شریعتی سرای بزازها8267</t>
  </si>
  <si>
    <t>6.3.21.152/30</t>
  </si>
  <si>
    <t>رستوران باغ دربار</t>
  </si>
  <si>
    <t>6.3.13.100/30</t>
  </si>
  <si>
    <t>رستوران رضا</t>
  </si>
  <si>
    <t>6.3.10.160/30</t>
  </si>
  <si>
    <t>رستوران و مهمانپذیر سینا پارسه</t>
  </si>
  <si>
    <t>6.3.9.156/30</t>
  </si>
  <si>
    <t>داروخانه دامپزشکی دانشگاه تهران 8101</t>
  </si>
  <si>
    <t>6.3.8.116/30</t>
  </si>
  <si>
    <t>روستای رستم آباد-فاروج</t>
  </si>
  <si>
    <t>6.3.4.32/30</t>
  </si>
  <si>
    <t>روستای قلعه نو 7943</t>
  </si>
  <si>
    <t>6.3.22.120/30</t>
  </si>
  <si>
    <t>روستای احمد آباد</t>
  </si>
  <si>
    <t>6.3.13.160/30</t>
  </si>
  <si>
    <t>روستایی مشمپایی  فروشگاه نادر</t>
  </si>
  <si>
    <t>6.3.15.188/30</t>
  </si>
  <si>
    <t>روستای شیان</t>
  </si>
  <si>
    <t>6.3.10.104/30</t>
  </si>
  <si>
    <t>روستای محمد آباد میثم 7877</t>
  </si>
  <si>
    <t>6.3.22.8/30</t>
  </si>
  <si>
    <t>صافکاری مدرن</t>
  </si>
  <si>
    <t>6.3.14.12/30</t>
  </si>
  <si>
    <t>ساختمان پزشکان بزرگمهر ۸۴۷۱</t>
  </si>
  <si>
    <t>6.3.22.104/30</t>
  </si>
  <si>
    <t>ساختمان پزشکان عرفان-قم</t>
  </si>
  <si>
    <t>6.3.3.192/30</t>
  </si>
  <si>
    <t>ساختمان آرشا 8174</t>
  </si>
  <si>
    <t>6.3.11.4/30</t>
  </si>
  <si>
    <t>ساختمان پزشکان آتیه</t>
  </si>
  <si>
    <t>6.3.11.188/30</t>
  </si>
  <si>
    <t>ساختمان پزشکان اقاقیا</t>
  </si>
  <si>
    <t>6.3.14.216/30</t>
  </si>
  <si>
    <t>ساختمان پزشکان آرادوزیریان</t>
  </si>
  <si>
    <t>6.3.21.244/30</t>
  </si>
  <si>
    <t>ساختمان پزشکان برگزیده</t>
  </si>
  <si>
    <t>6.3.14.0/30</t>
  </si>
  <si>
    <t>ساختمان پزشکان دکتر هراتی</t>
  </si>
  <si>
    <t>6.3.10.168/30</t>
  </si>
  <si>
    <t>ساختمان زشکان شورا 8353</t>
  </si>
  <si>
    <t>6.3.24.200/30</t>
  </si>
  <si>
    <t>ساختمان پزشکان 438</t>
  </si>
  <si>
    <t>6.3.8.248/30</t>
  </si>
  <si>
    <t>ساختمان صندوق عسکریه خاوران</t>
  </si>
  <si>
    <t>6.3.14.244/30</t>
  </si>
  <si>
    <t>سالن آرایشی محدثه مهدویان</t>
  </si>
  <si>
    <t>6.3.20.56/30</t>
  </si>
  <si>
    <t>سالن پذیرایی مجلس افروز</t>
  </si>
  <si>
    <t>6.3.8.40/30</t>
  </si>
  <si>
    <t>سالن زیبایی نگار 7983</t>
  </si>
  <si>
    <t>6.3.22.228/30</t>
  </si>
  <si>
    <t>سالن زیبایی ستی ناز 6747</t>
  </si>
  <si>
    <t>6.3.23.112/30</t>
  </si>
  <si>
    <t>6.3.11.80/30</t>
  </si>
  <si>
    <t>سالن زیبایی ملکه آریایی</t>
  </si>
  <si>
    <t>6.3.0.108/30</t>
  </si>
  <si>
    <t>سالن زیبایی سودا</t>
  </si>
  <si>
    <t>6.3.13.204/30</t>
  </si>
  <si>
    <t>سالن زیبایی شیرین مقدم</t>
  </si>
  <si>
    <t>6.3.11.84/30</t>
  </si>
  <si>
    <t>سالن زیبایی فرخنده</t>
  </si>
  <si>
    <t>6.3.22.180/30</t>
  </si>
  <si>
    <t>سالن زیبایی آذین</t>
  </si>
  <si>
    <t>6.3.4.88/30</t>
  </si>
  <si>
    <t>سالن زیبایی نانا شعبه جمهوری</t>
  </si>
  <si>
    <t>6.3.22.20/30</t>
  </si>
  <si>
    <t>صنایع چوبی فدائی ۸۴۴۹</t>
  </si>
  <si>
    <t>6.3.23.8/30</t>
  </si>
  <si>
    <t>صندوق قرض الحسنه ولیعصر</t>
  </si>
  <si>
    <t>6.3.13.244/30</t>
  </si>
  <si>
    <t>صنعتکده آزادی</t>
  </si>
  <si>
    <t>6.3.13.196/30</t>
  </si>
  <si>
    <t>صنعت کشاورزی دهقانیان</t>
  </si>
  <si>
    <t>6.3.20.36/30</t>
  </si>
  <si>
    <t>سرای محله شهران جنوبی 7980</t>
  </si>
  <si>
    <t>6.3.22.232/30</t>
  </si>
  <si>
    <t>سرای فرش حاج علی اکبر</t>
  </si>
  <si>
    <t>6.3.11.28/30</t>
  </si>
  <si>
    <t>سرای کاظمیه بازار جعفری</t>
  </si>
  <si>
    <t>6.3.11.44/30</t>
  </si>
  <si>
    <t>سرای عمده فروشان مواد غذایی حبیب خوان</t>
  </si>
  <si>
    <t>6.3.11.12/30</t>
  </si>
  <si>
    <t>سرای محله کن 8089</t>
  </si>
  <si>
    <t>6.3.0.144/30</t>
  </si>
  <si>
    <t>سردخانه افضلی</t>
  </si>
  <si>
    <t>6.3.22.36/30</t>
  </si>
  <si>
    <t>سرزمین قهوه</t>
  </si>
  <si>
    <t>6.3.15.160/30</t>
  </si>
  <si>
    <t>سرزمین مادری 1</t>
  </si>
  <si>
    <t>6.3.21.8/30</t>
  </si>
  <si>
    <t>سرزمین مادری 2</t>
  </si>
  <si>
    <t>6.3.21.12/30</t>
  </si>
  <si>
    <t>سرزمین مادری 3</t>
  </si>
  <si>
    <t>6.3.21.24/30</t>
  </si>
  <si>
    <t>سازمان نوسازی توسعه و تجهیز مدارس کشور</t>
  </si>
  <si>
    <t>6.3.11.156/30</t>
  </si>
  <si>
    <t>سکه جمشید</t>
  </si>
  <si>
    <t>6.3.12.236/30</t>
  </si>
  <si>
    <t>سکه نیایش</t>
  </si>
  <si>
    <t>6.3.22.236/30</t>
  </si>
  <si>
    <t>سکه و طلا نیری 8031</t>
  </si>
  <si>
    <t>6.3.23.32/30</t>
  </si>
  <si>
    <t>شهرک صنعتی کار آفرینان</t>
  </si>
  <si>
    <t>6.3.20.40/30</t>
  </si>
  <si>
    <t>شرکت خدمات مسافرت هوایی و زیارتی پارامیس سیر مرداس  8135</t>
  </si>
  <si>
    <t>6.3.4.152/30</t>
  </si>
  <si>
    <t>شرکت تجارت صنعت ظریفان</t>
  </si>
  <si>
    <t>6.3.4.176/30</t>
  </si>
  <si>
    <t>شرکت به دانه شمال</t>
  </si>
  <si>
    <t>6.3.14.196/30</t>
  </si>
  <si>
    <t>شرکت کرمان موتور</t>
  </si>
  <si>
    <t>6.3.1.204/30</t>
  </si>
  <si>
    <t>شرکت خیام سپهر فولاد نیشابور</t>
  </si>
  <si>
    <t>6.3.20.24/30</t>
  </si>
  <si>
    <t>شرکت لاهیجان سفر البرز</t>
  </si>
  <si>
    <t>6.3.13.84/30</t>
  </si>
  <si>
    <t>دفتر شرکت خدمات مسافرتی و جهانگردی شاپرک</t>
  </si>
  <si>
    <t>6.3.2.0/30</t>
  </si>
  <si>
    <t>شرکت مسافرت هوایی آفاق</t>
  </si>
  <si>
    <t>6.3.11.140/30</t>
  </si>
  <si>
    <t>شیرینی سرای امیر</t>
  </si>
  <si>
    <t>6.3.3.240/30</t>
  </si>
  <si>
    <t>شیرینی آوازه 8156</t>
  </si>
  <si>
    <t>6.3.14.132/30</t>
  </si>
  <si>
    <t>شیرینی فروشی سالار خوشه</t>
  </si>
  <si>
    <t>6.3.14.168/30</t>
  </si>
  <si>
    <t>شیرینی فروشی باباگل زاده</t>
  </si>
  <si>
    <t>6.3.11.192/30</t>
  </si>
  <si>
    <t>شیرینی سرای خوشه</t>
  </si>
  <si>
    <t>6.3.15.208/30</t>
  </si>
  <si>
    <t>سینما سروش 7773</t>
  </si>
  <si>
    <t>6.3.21.172/30</t>
  </si>
  <si>
    <t>سوپر مارکت شوشتر</t>
  </si>
  <si>
    <t>6.3.4.92/30</t>
  </si>
  <si>
    <t>سوپر گوشت خانواده</t>
  </si>
  <si>
    <t>6.3.5.96/30</t>
  </si>
  <si>
    <t>سوپر گوشت رضا</t>
  </si>
  <si>
    <t>6.3.8.16/30</t>
  </si>
  <si>
    <t>سوپر مارکت نظری</t>
  </si>
  <si>
    <t>6.3.1.252/30</t>
  </si>
  <si>
    <t>سوپرمارکت برکت</t>
  </si>
  <si>
    <t>6.3.15.72/30</t>
  </si>
  <si>
    <t>سوپرمارکت همشهری</t>
  </si>
  <si>
    <t>6.3.0.48/30</t>
  </si>
  <si>
    <t>سوپر مارکت ترنج</t>
  </si>
  <si>
    <t>6.3.1.244/30</t>
  </si>
  <si>
    <t>سوپرمارکت محمدی</t>
  </si>
  <si>
    <t>6.3.11.92/30</t>
  </si>
  <si>
    <t>سوپر مارکت زین کوهی</t>
  </si>
  <si>
    <t>6.3.11.244/30</t>
  </si>
  <si>
    <t>سوپر مارکت میرزائیان-کلات</t>
  </si>
  <si>
    <t>6.3.4.216/30</t>
  </si>
  <si>
    <t>سوپر مارکت توریست ۸۲۶۲</t>
  </si>
  <si>
    <t>6.3.12.188/30</t>
  </si>
  <si>
    <t>سوپر مارکت 7946</t>
  </si>
  <si>
    <t>6.3.22.100/30</t>
  </si>
  <si>
    <t>سوپر مارکت امیر 7881</t>
  </si>
  <si>
    <t>6.3.22.128/30</t>
  </si>
  <si>
    <t>سوپر مارکت آرمانشهر 7750</t>
  </si>
  <si>
    <t>6.3.21.176/30</t>
  </si>
  <si>
    <t>هایپر مارکت برادران راحت 7852</t>
  </si>
  <si>
    <t>6.3.21.196/30</t>
  </si>
  <si>
    <t>سوپر مارکت رسولی</t>
  </si>
  <si>
    <t>6.3.20.192/30</t>
  </si>
  <si>
    <t>سوپر مارکت تک 8024</t>
  </si>
  <si>
    <t>6.3.23.36/30</t>
  </si>
  <si>
    <t>سوپر مواد غذایی جدیدی</t>
  </si>
  <si>
    <t>6.3.21.40/30</t>
  </si>
  <si>
    <t>تجهیزات بتنی شیرافکن 8252</t>
  </si>
  <si>
    <t>6.3.24.68/30</t>
  </si>
  <si>
    <t>تجهیزات سید 7826</t>
  </si>
  <si>
    <t>6.3.21.128/30</t>
  </si>
  <si>
    <t>تخلیه بار جاوید ترابر</t>
  </si>
  <si>
    <t>6.3.0.196/30</t>
  </si>
  <si>
    <t>طلافروشی سلیمی</t>
  </si>
  <si>
    <t>6.3.10.188/30</t>
  </si>
  <si>
    <t>طلا  و جواهرات معروفی</t>
  </si>
  <si>
    <t>6.3.20.116/30</t>
  </si>
  <si>
    <t>طلا و جواهری پرشین گلد</t>
  </si>
  <si>
    <t>6.3.20.32/30</t>
  </si>
  <si>
    <t>طلای صفایی</t>
  </si>
  <si>
    <t>6.3.1.188/30</t>
  </si>
  <si>
    <t>طلای زرین</t>
  </si>
  <si>
    <t>6.3.2.180/30</t>
  </si>
  <si>
    <t>تالار امین 7945</t>
  </si>
  <si>
    <t>6.3.22.192/30</t>
  </si>
  <si>
    <t>تعمیر استارت و دینام اصغریان</t>
  </si>
  <si>
    <t>6.3.15.220/30</t>
  </si>
  <si>
    <t>تعمیرات لوازم صوتی و تصویری ذاکر</t>
  </si>
  <si>
    <t>6.3.15.48/30</t>
  </si>
  <si>
    <t>تعمیرگاه 8079 خرق</t>
  </si>
  <si>
    <t>6.3.23.196/30</t>
  </si>
  <si>
    <t>تعمیرگاه مجاز رحمانی</t>
  </si>
  <si>
    <t>6.3.12.128/30</t>
  </si>
  <si>
    <t>تعمیرگاه نجفی</t>
  </si>
  <si>
    <t>6.3.12.48/30</t>
  </si>
  <si>
    <t>تعمیرگاه تخصصی رضا</t>
  </si>
  <si>
    <t>6.3.1.200/30</t>
  </si>
  <si>
    <t>تره بار سعدی8105</t>
  </si>
  <si>
    <t>6.3.23.248/30</t>
  </si>
  <si>
    <t>تاسیسات فنی ترابی</t>
  </si>
  <si>
    <t>6.3.6.28/30</t>
  </si>
  <si>
    <t>قروشگاه خدمات تعویض و فروش روغن آذربایجان 8169</t>
  </si>
  <si>
    <t>6.3.2.48/30</t>
  </si>
  <si>
    <t>تعاونی حسینیه 7783</t>
  </si>
  <si>
    <t>6.3.21.168/30</t>
  </si>
  <si>
    <t>تعویض روغن پارسا</t>
  </si>
  <si>
    <t>6.3.2.84/30</t>
  </si>
  <si>
    <t>تعاونی 4 میهن نور</t>
  </si>
  <si>
    <t>6.3.15.136/30</t>
  </si>
  <si>
    <t>تله کابین کرمان 7831</t>
  </si>
  <si>
    <t>6.3.23.128/30</t>
  </si>
  <si>
    <t>ترمینال مسافربری محمدی</t>
  </si>
  <si>
    <t>6.3.5.144/30</t>
  </si>
  <si>
    <t>تی تی کار سنتر</t>
  </si>
  <si>
    <t>6.3.8.196/30</t>
  </si>
  <si>
    <t>تیمار گاراژ 8045</t>
  </si>
  <si>
    <t>6.3.23.84/30</t>
  </si>
  <si>
    <t>تیمچه امیر جعفریه ملک</t>
  </si>
  <si>
    <t>6.3.14.88/30</t>
  </si>
  <si>
    <t>تراکتورسازی علیزاده</t>
  </si>
  <si>
    <t>6.3.1.152/30</t>
  </si>
  <si>
    <t>سوپر مارکت سهرابی 8261</t>
  </si>
  <si>
    <t>6.3.24.80/30</t>
  </si>
  <si>
    <t>یادگار پزشکان ۸۴۶۴</t>
  </si>
  <si>
    <t>6.3.24.76/30</t>
  </si>
  <si>
    <t>یخچال سازی طباطبائی  ۸۴۵۹</t>
  </si>
  <si>
    <t>6.3.21.252/30</t>
  </si>
  <si>
    <t>یخچال مرکزی</t>
  </si>
  <si>
    <t>6.3.20.188/30</t>
  </si>
  <si>
    <t>نمایندگی سایپا شرکت یاران خودرو صنعت 8164</t>
  </si>
  <si>
    <t>6.3.6.200/30</t>
  </si>
  <si>
    <t>زیرگذر پایانه بی آر تی محمد علی جناح</t>
  </si>
  <si>
    <t>6.3.14.24/30</t>
  </si>
  <si>
    <t>10.1.143.248/30</t>
  </si>
  <si>
    <t>10.1.135.108/30</t>
  </si>
  <si>
    <t>10.1.143.204/30</t>
  </si>
  <si>
    <t>10.1.143.244/30</t>
  </si>
  <si>
    <t>10.1.142.180/30</t>
  </si>
  <si>
    <t>10.1.143.216/30</t>
  </si>
  <si>
    <t>10.1.143.196/30</t>
  </si>
  <si>
    <t>10.1.141.236/30</t>
  </si>
  <si>
    <t>10.1.143.84/30</t>
  </si>
  <si>
    <t>10.1.140.232/30</t>
  </si>
  <si>
    <t>10.1.141.36/30</t>
  </si>
  <si>
    <t>10.1.141.32/30</t>
  </si>
  <si>
    <t>نسیم شهر</t>
  </si>
  <si>
    <t>10.1.128.108/30</t>
  </si>
  <si>
    <t>رودان</t>
  </si>
  <si>
    <t>فارس - BOT</t>
  </si>
  <si>
    <t>مجتمع پاسارگاد</t>
  </si>
  <si>
    <t>آذربایجان شرقی - BOT</t>
  </si>
  <si>
    <t>کاشان</t>
  </si>
  <si>
    <t>تهران - لایزر</t>
  </si>
  <si>
    <t>شهر قدس</t>
  </si>
  <si>
    <t>شهر ری</t>
  </si>
  <si>
    <t>فیروز آباد</t>
  </si>
  <si>
    <t>فشم</t>
  </si>
  <si>
    <t>نکا</t>
  </si>
  <si>
    <t>انزلی</t>
  </si>
  <si>
    <t>10.1.143.40/30</t>
  </si>
  <si>
    <t>10.1.143.160/30</t>
  </si>
  <si>
    <t>10.1.142.192/30</t>
  </si>
  <si>
    <t>10.1.132.48/30</t>
  </si>
  <si>
    <t>10.1.132.52/30</t>
  </si>
  <si>
    <t>10.1.134.0/30</t>
  </si>
  <si>
    <t>10.1.134.4/30</t>
  </si>
  <si>
    <t>10.1.128.68/30</t>
  </si>
  <si>
    <t>10.1.135.116/30</t>
  </si>
  <si>
    <t>10.1.135.192/30</t>
  </si>
  <si>
    <t>10.1.136.136/30</t>
  </si>
  <si>
    <t>10.1.136.140/30</t>
  </si>
  <si>
    <t>10.1.136.248/30</t>
  </si>
  <si>
    <t>10.1.136.176/30</t>
  </si>
  <si>
    <t>10.1.136.252/30</t>
  </si>
  <si>
    <t>10.1.139.108/30</t>
  </si>
  <si>
    <t>10.1.141.88/30</t>
  </si>
  <si>
    <t>10.1.141.92/30</t>
  </si>
  <si>
    <t>10.1.128.136/30</t>
  </si>
  <si>
    <t>10.1.141.144/30</t>
  </si>
  <si>
    <t>10.1.141.148/30</t>
  </si>
  <si>
    <t>10.1.144.40/30</t>
  </si>
  <si>
    <t>10.1.144.168/30</t>
  </si>
  <si>
    <t>10.1.144.172/30</t>
  </si>
  <si>
    <t>10.1.144.176/30</t>
  </si>
  <si>
    <t>10.1.144.180/30</t>
  </si>
  <si>
    <t>10.1.144.184/30</t>
  </si>
  <si>
    <t>10.1.144.188/30</t>
  </si>
  <si>
    <t>10.1.144.196/30</t>
  </si>
  <si>
    <t>10.1.144.204/30</t>
  </si>
  <si>
    <t>10.1.144.208/30</t>
  </si>
  <si>
    <t>10.1.144.220/30</t>
  </si>
  <si>
    <t>10.1.144.212/30</t>
  </si>
  <si>
    <t>10.1.144.216/30</t>
  </si>
  <si>
    <t>10.1.138.176/30</t>
  </si>
  <si>
    <t>10.1.138.180/30</t>
  </si>
  <si>
    <t>10.1.144.240/30</t>
  </si>
  <si>
    <t>10.1.142.224/30</t>
  </si>
  <si>
    <t>10.1.142.160/30</t>
  </si>
  <si>
    <t>10.1.142.172/30</t>
  </si>
  <si>
    <t>10.1.142.136/30</t>
  </si>
  <si>
    <t>10.1.142.120/30</t>
  </si>
  <si>
    <t>10.1.142.76/30</t>
  </si>
  <si>
    <t>10.1.255.216/29</t>
  </si>
  <si>
    <t>بندرگز</t>
  </si>
  <si>
    <t>10.1.137.248/29</t>
  </si>
  <si>
    <t>10.1.141.40/29</t>
  </si>
  <si>
    <t>10.1.139.144/29</t>
  </si>
  <si>
    <t>10.1.139.112/29</t>
  </si>
  <si>
    <t>10.1.138.112/29</t>
  </si>
  <si>
    <t>10.1.138.200/29</t>
  </si>
  <si>
    <t>10.1.137.64/30</t>
  </si>
  <si>
    <t>10.1.137.0/29</t>
  </si>
  <si>
    <t>10.1.137.8/29</t>
  </si>
  <si>
    <t>10.1.136.80/29</t>
  </si>
  <si>
    <t>10.1.135.208/29</t>
  </si>
  <si>
    <t>10.1.131.240/29</t>
  </si>
  <si>
    <t>10.1.135.80/29</t>
  </si>
  <si>
    <t>10.1.135.128/30</t>
  </si>
  <si>
    <t>دورود</t>
  </si>
  <si>
    <t>10.1.129.184/30</t>
  </si>
  <si>
    <t>10.1.134.56/29</t>
  </si>
  <si>
    <t>10.1.132.136/29</t>
  </si>
  <si>
    <t>10.1.133.88/29</t>
  </si>
  <si>
    <t>10.1.133.32/29</t>
  </si>
  <si>
    <t>خضری</t>
  </si>
  <si>
    <t>مبین نت</t>
  </si>
  <si>
    <t>اداره داده کاوی</t>
  </si>
  <si>
    <t>نام و نام خانوادگی</t>
  </si>
  <si>
    <t>عنوان سازمانی</t>
  </si>
  <si>
    <t>شماره مودم دورکاری</t>
  </si>
  <si>
    <t xml:space="preserve">علت </t>
  </si>
  <si>
    <t>علیرضا نیکنام</t>
  </si>
  <si>
    <t>رئیس اداره پایگاه داده ها</t>
  </si>
  <si>
    <t>پشتیبانی 24*7 سرویس های دیتابیسی بانکی و غیربانکی</t>
  </si>
  <si>
    <t>سهیل زارعی</t>
  </si>
  <si>
    <t>رئیس گروه میان افزارها</t>
  </si>
  <si>
    <t>پشتیبانی 24*7 سرویس های BI و Weblogic ها</t>
  </si>
  <si>
    <t>فریبا استاجی</t>
  </si>
  <si>
    <t>کارمند گروه پایگاه داده ها</t>
  </si>
  <si>
    <t>پشتیبانی 24*7 سرویس های دیتابیسی بانکی و غیربانکی/ کیس</t>
  </si>
  <si>
    <t>امیر رضائی</t>
  </si>
  <si>
    <t>202 جدید</t>
  </si>
  <si>
    <t>پشتیبانی 24*7 سرویس های دیتابیسی بانکی و غیربانکی / کیس</t>
  </si>
  <si>
    <t>اداره زیرساخت</t>
  </si>
  <si>
    <t>علت</t>
  </si>
  <si>
    <t>فاطمه انصاری</t>
  </si>
  <si>
    <t>رئیس اداره زیرساخت</t>
  </si>
  <si>
    <t>9 قدیم</t>
  </si>
  <si>
    <t>پشتیبانی</t>
  </si>
  <si>
    <t>مهدی قانع</t>
  </si>
  <si>
    <t xml:space="preserve">رییس اداره </t>
  </si>
  <si>
    <t>3 قدیم</t>
  </si>
  <si>
    <t>پشتیبانی حوزه بانکداری الکترونیک</t>
  </si>
  <si>
    <t>اداره بانکداری متمرکز</t>
  </si>
  <si>
    <t>امین شکری الموتی</t>
  </si>
  <si>
    <t>مدیریت بانکداری متمرکز</t>
  </si>
  <si>
    <t>7 قدیم</t>
  </si>
  <si>
    <t>حسین مریی</t>
  </si>
  <si>
    <t>رئیس گروه توسعه سوئیچ</t>
  </si>
  <si>
    <t>200 جدید</t>
  </si>
  <si>
    <t>حسن الهامی نژاد</t>
  </si>
  <si>
    <t>رئیس گروه پشتیبانی شعب</t>
  </si>
  <si>
    <t>جعفر نیک مهر</t>
  </si>
  <si>
    <t>رئیس گروه استقرار</t>
  </si>
  <si>
    <t>امیر محمدیوسفی</t>
  </si>
  <si>
    <t>گروه توسعه پایگاه داده ها</t>
  </si>
  <si>
    <t>مدیریت  شبکه و امنیت</t>
  </si>
  <si>
    <t>کریم کوثری</t>
  </si>
  <si>
    <t>5 قدیم</t>
  </si>
  <si>
    <t>محمدمصطفی خوشدوز</t>
  </si>
  <si>
    <t>کارمند اداره شبکه</t>
  </si>
  <si>
    <t>2 قدیم</t>
  </si>
  <si>
    <t>مجید امیدی</t>
  </si>
  <si>
    <t>رییس اداره ارتباطات شبکه</t>
  </si>
  <si>
    <t>205 جدید</t>
  </si>
  <si>
    <t>محمد عادل</t>
  </si>
  <si>
    <t>رییس گروه سرویس های شبکه</t>
  </si>
  <si>
    <t>206 جدید</t>
  </si>
  <si>
    <t>اکبر صیدیلو</t>
  </si>
  <si>
    <t>علیرضا نعمتی</t>
  </si>
  <si>
    <t xml:space="preserve">پوریا رستگارنیا </t>
  </si>
  <si>
    <t>کارمند اداره امنیت</t>
  </si>
  <si>
    <t>مدیریت</t>
  </si>
  <si>
    <t>جمیله رنجبر</t>
  </si>
  <si>
    <t>مدیر امور مالی و اداری</t>
  </si>
  <si>
    <t>10 قدیم</t>
  </si>
  <si>
    <t>مجموعه مدیریت امور مالی و اداری</t>
  </si>
  <si>
    <t>فاطمه محمدبیگی</t>
  </si>
  <si>
    <t>رییس دایره دبیرخانه</t>
  </si>
  <si>
    <t>8 قدیم</t>
  </si>
  <si>
    <t>مرجان توکلی</t>
  </si>
  <si>
    <t>رییس اداره نظارت و پیگیری</t>
  </si>
  <si>
    <t>208 جدید</t>
  </si>
  <si>
    <t xml:space="preserve"> نزد حاج آقا بکا می باشد.</t>
  </si>
  <si>
    <t>اداره فناوری های نوین</t>
  </si>
  <si>
    <t>مهدی طالب</t>
  </si>
  <si>
    <t>رییس اداره فناوری های نوین</t>
  </si>
  <si>
    <t>203 جدید</t>
  </si>
  <si>
    <t>لطفا بررسی شود مودمی جا نمونده باشه ودرضمن شماره مودم های دور کاری حاج اقا اضافه شود- مهندس مهری وخانم دکتر صامت</t>
  </si>
  <si>
    <t>اداره بانکداری متمرکز (توسعه دهنده)</t>
  </si>
  <si>
    <t>ip استاتیک</t>
  </si>
  <si>
    <t>وضعیت دورکاری</t>
  </si>
  <si>
    <t>ملاحظات</t>
  </si>
  <si>
    <t>شماره سیم کارت</t>
  </si>
  <si>
    <t>1</t>
  </si>
  <si>
    <t>رئیس اداره بانکداری متمرکز</t>
  </si>
  <si>
    <r>
      <t>2.144.236.228</t>
    </r>
    <r>
      <rPr>
        <sz val="11"/>
        <color theme="1"/>
        <rFont val="Calibri"/>
        <family val="2"/>
        <scheme val="minor"/>
      </rPr>
      <t/>
    </r>
  </si>
  <si>
    <t>فعال- 1402.12.02</t>
  </si>
  <si>
    <t xml:space="preserve"> تا کنون جهت تحویل گرفتن مودمها اقدام ننموده اند. </t>
  </si>
  <si>
    <t>مهدی کریمی</t>
  </si>
  <si>
    <t>رئیس گروه توسعه سامانه بانکی</t>
  </si>
  <si>
    <t>2.144.236.228</t>
  </si>
  <si>
    <t>رئیس گروه کانال های پرداخت</t>
  </si>
  <si>
    <t>2.144.236.230</t>
  </si>
  <si>
    <t>نیما مشهدی زاده</t>
  </si>
  <si>
    <t>کمک کارشناس درجه دو گروه کانال های پرداخت</t>
  </si>
  <si>
    <t>2.144.236.240</t>
  </si>
  <si>
    <t>سید حسین مریی</t>
  </si>
  <si>
    <t>کارشناس ارشد درجه یک گروه توسعه سوئیچ</t>
  </si>
  <si>
    <t>2.144.236.64</t>
  </si>
  <si>
    <t>مدیریت شبکه و امنیت</t>
  </si>
  <si>
    <t>2/144/247/249</t>
  </si>
  <si>
    <t>41 جیبی</t>
  </si>
  <si>
    <t>فعال - 1402/10/20</t>
  </si>
  <si>
    <t>احتمالا جابجا شده با مهندس خوشدوز و ip جدید اعلام نشده</t>
  </si>
  <si>
    <t>محمد مصطفی خوشدوز</t>
  </si>
  <si>
    <t>2/144/230/52</t>
  </si>
  <si>
    <t>فعال - 1402/05/06</t>
  </si>
  <si>
    <t>احتمالا جابجا شده با مهندس کوثری و ip جدید اعلام نشده</t>
  </si>
  <si>
    <t>2.144.236.226</t>
  </si>
  <si>
    <t>فعال - 1402/12/02</t>
  </si>
  <si>
    <t>سید مرتضی بکاء</t>
  </si>
  <si>
    <t>مدیرعامل</t>
  </si>
  <si>
    <t>2.144.230.54</t>
  </si>
  <si>
    <t>42 جیبی</t>
  </si>
  <si>
    <t xml:space="preserve"> فعال</t>
  </si>
  <si>
    <t>جهت دریافت شماره چندین بار اقدام گردید ولی نتیجه ای حاصل نشد.</t>
  </si>
  <si>
    <t>اعلام نشده</t>
  </si>
  <si>
    <t>_</t>
  </si>
  <si>
    <t>2.144.236.219</t>
  </si>
  <si>
    <t>فعال - 1402/11/30</t>
  </si>
  <si>
    <t>محمد حیدرزاده</t>
  </si>
  <si>
    <t>عضو هیات مدیره</t>
  </si>
  <si>
    <t>___</t>
  </si>
  <si>
    <t>44 جیبی</t>
  </si>
  <si>
    <t>توسط خودشان تمدید گردید/ دورکاری نمی باشد</t>
  </si>
  <si>
    <t>رئیس اداره</t>
  </si>
  <si>
    <t>2/144/245/192</t>
  </si>
  <si>
    <t>54 بدون انتن</t>
  </si>
  <si>
    <t xml:space="preserve">رئیس اداره  </t>
  </si>
  <si>
    <t>2/144/245/184</t>
  </si>
  <si>
    <t>28 بدون آنتن</t>
  </si>
  <si>
    <t>فعال - 1402/09/12</t>
  </si>
  <si>
    <t>192.168.55.6/30</t>
  </si>
  <si>
    <t>192.168.158.18/30</t>
  </si>
  <si>
    <t>FastEthernet0/0.330</t>
  </si>
  <si>
    <t>VLAN330-FE23 SW</t>
  </si>
  <si>
    <t>نام سرویس</t>
  </si>
  <si>
    <t>تعداد</t>
  </si>
  <si>
    <t>هزینه واحد(ریال)</t>
  </si>
  <si>
    <t>هزینه نصب</t>
  </si>
  <si>
    <t>هزینه جمع آوری</t>
  </si>
  <si>
    <t>نوع سرویس /شرح سرویس</t>
  </si>
  <si>
    <t>1Mb</t>
  </si>
  <si>
    <t>2Mb</t>
  </si>
  <si>
    <t>40Mb</t>
  </si>
  <si>
    <t>50Mb</t>
  </si>
  <si>
    <t>4Mb</t>
  </si>
  <si>
    <t>8Mb</t>
  </si>
  <si>
    <t>512Kb</t>
  </si>
  <si>
    <t>رادیو/VPN</t>
  </si>
  <si>
    <t>LTE/VPN</t>
  </si>
  <si>
    <t>رادیو/اینترنت</t>
  </si>
  <si>
    <t>30Mb</t>
  </si>
  <si>
    <t xml:space="preserve">جمع کل </t>
  </si>
  <si>
    <t>جمع کل</t>
  </si>
  <si>
    <t>---</t>
  </si>
  <si>
    <t>12Mb</t>
  </si>
  <si>
    <t>20Mb</t>
  </si>
  <si>
    <t>هزینه پهنای باند</t>
  </si>
  <si>
    <t>هزینه برای 6 ماه می باشد(1404/06/27 الی 1404/12/26)</t>
  </si>
  <si>
    <t>نوع ارتباط</t>
  </si>
  <si>
    <t>تاریخ دایری</t>
  </si>
  <si>
    <t>تاریخ تغییرات</t>
  </si>
  <si>
    <t>تاریخ جمع آوری</t>
  </si>
  <si>
    <t>مبلغ ماهانه</t>
  </si>
  <si>
    <t>تخفیف</t>
  </si>
  <si>
    <t>مبلغ با اعمال تخفیف</t>
  </si>
  <si>
    <t>ActName</t>
  </si>
  <si>
    <t>فعال/غیرفعال</t>
  </si>
  <si>
    <t>نام واحد</t>
  </si>
  <si>
    <t>کد مشتری</t>
  </si>
  <si>
    <t>نام مشترک</t>
  </si>
  <si>
    <t>کد حساب</t>
  </si>
  <si>
    <t>MPLS - Special</t>
  </si>
  <si>
    <t>بين شهري عادي</t>
  </si>
  <si>
    <t>1400/07/26</t>
  </si>
  <si>
    <t>1403/10/05</t>
  </si>
  <si>
    <t/>
  </si>
  <si>
    <t>مصوبه سال 1404-فیبر</t>
  </si>
  <si>
    <t>اردبیل(مادر میانی)</t>
  </si>
  <si>
    <t>اردبيل</t>
  </si>
  <si>
    <t xml:space="preserve">اعتباری ملل </t>
  </si>
  <si>
    <t>شهري عادي</t>
  </si>
  <si>
    <t>1401/06/09</t>
  </si>
  <si>
    <t>مصوبه سال 1404-سيم</t>
  </si>
  <si>
    <t>یساول</t>
  </si>
  <si>
    <t>1401/05/31</t>
  </si>
  <si>
    <t>مشگین شهر</t>
  </si>
  <si>
    <t>بین استانی عادي</t>
  </si>
  <si>
    <t>1388/12/04</t>
  </si>
  <si>
    <t>1404/01/01</t>
  </si>
  <si>
    <t>مصوبه 287</t>
  </si>
  <si>
    <t>شعبه اردبیل کد–304</t>
  </si>
  <si>
    <t>1395/11/17</t>
  </si>
  <si>
    <t>1397/06/14</t>
  </si>
  <si>
    <t>درمانگاه کودک من</t>
  </si>
  <si>
    <t>1397/09/13</t>
  </si>
  <si>
    <t>1397/09/14</t>
  </si>
  <si>
    <t>شعبه دشتستان</t>
  </si>
  <si>
    <t>1397/09/27</t>
  </si>
  <si>
    <t>1404/05/01</t>
  </si>
  <si>
    <t>مصوبه سال 1403</t>
  </si>
  <si>
    <t>شعبه  دشتستان</t>
  </si>
  <si>
    <t>1388/07/06</t>
  </si>
  <si>
    <t>no unit</t>
  </si>
  <si>
    <t>1389/10/25</t>
  </si>
  <si>
    <t>1401/10/03</t>
  </si>
  <si>
    <t>مبدا اول اصفهان</t>
  </si>
  <si>
    <t>1389/10/30</t>
  </si>
  <si>
    <t>1402/05/02</t>
  </si>
  <si>
    <t>شعبه حکیم نظامی</t>
  </si>
  <si>
    <t>1389/11/06</t>
  </si>
  <si>
    <t>1397/09/01</t>
  </si>
  <si>
    <t>شعبه ملک شهر</t>
  </si>
  <si>
    <t>1389/11/04</t>
  </si>
  <si>
    <t>1398/10/21</t>
  </si>
  <si>
    <t>شعبه شاهین شهر</t>
  </si>
  <si>
    <t>شعبه کاشان</t>
  </si>
  <si>
    <t>1389/12/11</t>
  </si>
  <si>
    <t>1403/01/15</t>
  </si>
  <si>
    <t>شعبه فلکه ارتش</t>
  </si>
  <si>
    <t>1389/12/25</t>
  </si>
  <si>
    <t>1402/12/09</t>
  </si>
  <si>
    <t>شعبه نواب صفوی اصفهان</t>
  </si>
  <si>
    <t>1391/10/27</t>
  </si>
  <si>
    <t>شعبه کاشان</t>
  </si>
  <si>
    <t>1391/10/21</t>
  </si>
  <si>
    <t>شعبه ملک شهر</t>
  </si>
  <si>
    <t>شعبه شاهین شهر</t>
  </si>
  <si>
    <t>1391/10/28</t>
  </si>
  <si>
    <t>1393/04/18</t>
  </si>
  <si>
    <t>شعبه بزرگمهر</t>
  </si>
  <si>
    <t>1393/04/02</t>
  </si>
  <si>
    <t>شعبه نواب صفوی</t>
  </si>
  <si>
    <t>1393/04/29</t>
  </si>
  <si>
    <t>شعبه شیخ صدوق شمالی</t>
  </si>
  <si>
    <t>1399/04/21</t>
  </si>
  <si>
    <t>موسسه اعتباری ملل-شعبه سعدی جنوبی</t>
  </si>
  <si>
    <t>ايلام</t>
  </si>
  <si>
    <t>موسسه اعتباری ملل- شعبه بلوار سیدالشهداایلام</t>
  </si>
  <si>
    <t>1389/06/23</t>
  </si>
  <si>
    <t>1403/01/02</t>
  </si>
  <si>
    <t>1389/08/09</t>
  </si>
  <si>
    <t>1402/09/25</t>
  </si>
  <si>
    <t>شعبه 404 سعدی ایلام</t>
  </si>
  <si>
    <t>PTMP-Mother</t>
  </si>
  <si>
    <t>1399/01/11</t>
  </si>
  <si>
    <t>( مبدا)ایلام</t>
  </si>
  <si>
    <t>1395/03/12</t>
  </si>
  <si>
    <t>1399/12/19</t>
  </si>
  <si>
    <t>مادر2</t>
  </si>
  <si>
    <t>آذربايجان شرقي</t>
  </si>
  <si>
    <t>1395/07/19</t>
  </si>
  <si>
    <t>خودپرداز برج دوقلوی زمرد</t>
  </si>
  <si>
    <t>1400/12/01</t>
  </si>
  <si>
    <t>رجایی</t>
  </si>
  <si>
    <t>قندی</t>
  </si>
  <si>
    <t>طالقانی</t>
  </si>
  <si>
    <t>1396/09/04</t>
  </si>
  <si>
    <t>خودپردازسوپرمارکت امیر</t>
  </si>
  <si>
    <t>1396/11/02</t>
  </si>
  <si>
    <t>مادرمیانی سوم</t>
  </si>
  <si>
    <t>1397/08/27</t>
  </si>
  <si>
    <t>1401/05/05</t>
  </si>
  <si>
    <t>موسسه ملل شعبه ولیعصر</t>
  </si>
  <si>
    <t>1401/01/17</t>
  </si>
  <si>
    <t>مادر میانی 4</t>
  </si>
  <si>
    <t>1401/06/08</t>
  </si>
  <si>
    <t>1404/01/26</t>
  </si>
  <si>
    <t>خودپرداز پردیس مراغه (قاری زاده)</t>
  </si>
  <si>
    <t>1388/11/07</t>
  </si>
  <si>
    <t>1400/12/24</t>
  </si>
  <si>
    <t>شعبه تبریز کد314</t>
  </si>
  <si>
    <t>1389/09/17</t>
  </si>
  <si>
    <t>مادر1</t>
  </si>
  <si>
    <t>شعبه بازار تبریز</t>
  </si>
  <si>
    <t>1401/01/29</t>
  </si>
  <si>
    <t>شعبه عباسی تبریز</t>
  </si>
  <si>
    <t>1401/02/19</t>
  </si>
  <si>
    <t>شعبه ابوریحان تبریز</t>
  </si>
  <si>
    <t>1389/10/18</t>
  </si>
  <si>
    <t>شعبه سراب</t>
  </si>
  <si>
    <t>1389/10/22</t>
  </si>
  <si>
    <t>موسسه اعتباری ملل – شعبه مرند</t>
  </si>
  <si>
    <t>1392/08/12</t>
  </si>
  <si>
    <t>1401/11/06</t>
  </si>
  <si>
    <t>شعبه مراغه</t>
  </si>
  <si>
    <t>1388/11/12</t>
  </si>
  <si>
    <t>1404/02/03</t>
  </si>
  <si>
    <t>آذربايجان غربي</t>
  </si>
  <si>
    <t>1393/02/14</t>
  </si>
  <si>
    <t>1393/03/01</t>
  </si>
  <si>
    <t>شعبه طالقانی ارومیه</t>
  </si>
  <si>
    <t>1393/02/15</t>
  </si>
  <si>
    <t>1393/02/17</t>
  </si>
  <si>
    <t>میاندواب</t>
  </si>
  <si>
    <t>1394/04/07</t>
  </si>
  <si>
    <t>1395/02/08</t>
  </si>
  <si>
    <t>1395/11/10</t>
  </si>
  <si>
    <t>1399/02/14</t>
  </si>
  <si>
    <t>1403/05/30</t>
  </si>
  <si>
    <t>مادر 2</t>
  </si>
  <si>
    <t>1389/03/04</t>
  </si>
  <si>
    <t>1403/04/10</t>
  </si>
  <si>
    <t>ارتباط کشوری</t>
  </si>
  <si>
    <t>1389/05/31</t>
  </si>
  <si>
    <t>مادر</t>
  </si>
  <si>
    <t>1389/06/01</t>
  </si>
  <si>
    <t>1401/02/25</t>
  </si>
  <si>
    <t>دیر</t>
  </si>
  <si>
    <t>1389/07/18</t>
  </si>
  <si>
    <t>1399/05/26</t>
  </si>
  <si>
    <t>شعبه مطهری بوشهر</t>
  </si>
  <si>
    <t>1389/08/17</t>
  </si>
  <si>
    <t>1401/07/16</t>
  </si>
  <si>
    <t>شعبه خورموج</t>
  </si>
  <si>
    <t>1389/11/24</t>
  </si>
  <si>
    <t>1399/02/07</t>
  </si>
  <si>
    <t>شعبه گناوه</t>
  </si>
  <si>
    <t>1389/12/14</t>
  </si>
  <si>
    <t>1404/03/10</t>
  </si>
  <si>
    <t>شعبه برازجان</t>
  </si>
  <si>
    <t>1391/12/22</t>
  </si>
  <si>
    <t>برازجان</t>
  </si>
  <si>
    <t>1391/12/23</t>
  </si>
  <si>
    <t>1391/12/27</t>
  </si>
  <si>
    <t>1391/12/29</t>
  </si>
  <si>
    <t>بین استانی ويژه</t>
  </si>
  <si>
    <t>1395/02/27</t>
  </si>
  <si>
    <t>1400/09/01</t>
  </si>
  <si>
    <t>ارتباط دوم کشوری</t>
  </si>
  <si>
    <t>1396/07/24</t>
  </si>
  <si>
    <t>1396/10/23</t>
  </si>
  <si>
    <t>1396/10/16</t>
  </si>
  <si>
    <t>1397/05/15</t>
  </si>
  <si>
    <t>ساختمان اداری</t>
  </si>
  <si>
    <t>1398/10/08</t>
  </si>
  <si>
    <t>1400/06/16</t>
  </si>
  <si>
    <t>980114935540 - مبداء کشوری</t>
  </si>
  <si>
    <t>1402/08/13</t>
  </si>
  <si>
    <t xml:space="preserve">ارتباط با پرداخت الکترونیک شاپرک	</t>
  </si>
  <si>
    <t>1402/11/21</t>
  </si>
  <si>
    <t>1403/02/19</t>
  </si>
  <si>
    <t>مبدا کشوری</t>
  </si>
  <si>
    <t>1389/02/19</t>
  </si>
  <si>
    <t>1400/02/28</t>
  </si>
  <si>
    <t>1393/02/10</t>
  </si>
  <si>
    <t>کشوری پشتیبان</t>
  </si>
  <si>
    <t>1395/04/28</t>
  </si>
  <si>
    <t>مجتمع تجاری آپادانا بروجن</t>
  </si>
  <si>
    <t>چهارمحال بختياري</t>
  </si>
  <si>
    <t>1388/10/19</t>
  </si>
  <si>
    <t>1389/09/15</t>
  </si>
  <si>
    <t>1400/06/10</t>
  </si>
  <si>
    <t>شعبه شریعتی</t>
  </si>
  <si>
    <t>1390/02/14</t>
  </si>
  <si>
    <t>1392/12/27</t>
  </si>
  <si>
    <t>1392/11/21</t>
  </si>
  <si>
    <t>1393/04/23</t>
  </si>
  <si>
    <t>شعبه مرکزی شهرکرد</t>
  </si>
  <si>
    <t>VPLS</t>
  </si>
  <si>
    <t>1394/10/01</t>
  </si>
  <si>
    <t>1397/12/15</t>
  </si>
  <si>
    <t>خودپرداز سالنی پایانه مسافربری طبس</t>
  </si>
  <si>
    <t>خراسان جنوبي</t>
  </si>
  <si>
    <t>1396/04/26</t>
  </si>
  <si>
    <t>1404/02/09</t>
  </si>
  <si>
    <t>روستای دستگرد</t>
  </si>
  <si>
    <t>1396/04/19</t>
  </si>
  <si>
    <t>مادرمیانی  2</t>
  </si>
  <si>
    <t>1397/03/29</t>
  </si>
  <si>
    <t>1400/06/07</t>
  </si>
  <si>
    <t>نقطه مادرمیانی1 -</t>
  </si>
  <si>
    <t>1397/04/09</t>
  </si>
  <si>
    <t>1398/05/01</t>
  </si>
  <si>
    <t>شعبه قاین</t>
  </si>
  <si>
    <t>1397/04/24</t>
  </si>
  <si>
    <t>شعبه طبس</t>
  </si>
  <si>
    <t>1397/04/17</t>
  </si>
  <si>
    <t>1402/02/09</t>
  </si>
  <si>
    <t>شعبه فردوس</t>
  </si>
  <si>
    <t>1397/03/30</t>
  </si>
  <si>
    <t>شعبه مرکزی بیرجند(جمهوری)</t>
  </si>
  <si>
    <t>1388/11/06</t>
  </si>
  <si>
    <t>موسسه اعتباری ملل عسکریه سابق خراسان جنوبی</t>
  </si>
  <si>
    <t>1389/11/03</t>
  </si>
  <si>
    <t>1399/05/13</t>
  </si>
  <si>
    <t>شعبه حاجی آباد بیرجند</t>
  </si>
  <si>
    <t>1392/05/25</t>
  </si>
  <si>
    <t>شعبه مرکزی بیرجند</t>
  </si>
  <si>
    <t>1392/05/23</t>
  </si>
  <si>
    <t>حاجی آباد بیرجند</t>
  </si>
  <si>
    <t>1392/05/28</t>
  </si>
  <si>
    <t>- شعبه قاین</t>
  </si>
  <si>
    <t>1392/05/24</t>
  </si>
  <si>
    <t>- شعبه فردوس</t>
  </si>
  <si>
    <t>1392/06/09</t>
  </si>
  <si>
    <t>شعبه طبس</t>
  </si>
  <si>
    <t>1394/06/23</t>
  </si>
  <si>
    <t>شعبه مدرس</t>
  </si>
  <si>
    <t>1394/04/09</t>
  </si>
  <si>
    <t>1404/04/08</t>
  </si>
  <si>
    <t>شرکت سیرود</t>
  </si>
  <si>
    <t>خراسان رضوي</t>
  </si>
  <si>
    <t>1394/10/05</t>
  </si>
  <si>
    <t>راه آهن تربت حیدریه</t>
  </si>
  <si>
    <t>1395/02/04</t>
  </si>
  <si>
    <t>– فروشگاه شبانه روزی درگز</t>
  </si>
  <si>
    <t>1395/01/25</t>
  </si>
  <si>
    <t>– خودپرداز قوچان</t>
  </si>
  <si>
    <t>1395/06/01</t>
  </si>
  <si>
    <t>1404/03/19</t>
  </si>
  <si>
    <t> نان نانا</t>
  </si>
  <si>
    <t>1395/06/07</t>
  </si>
  <si>
    <t>لبنیات غدیر</t>
  </si>
  <si>
    <t>1395/07/10</t>
  </si>
  <si>
    <t>روغن طلایی</t>
  </si>
  <si>
    <t>1395/06/31</t>
  </si>
  <si>
    <t>خودپرداز موسسه اعتباری ملل - املاک بهاران</t>
  </si>
  <si>
    <t>1395/09/29</t>
  </si>
  <si>
    <t>خودپرداز پاساژ بلور</t>
  </si>
  <si>
    <t>1395/09/02</t>
  </si>
  <si>
    <t>خودپرداز لبنیات فرودی قوچان</t>
  </si>
  <si>
    <t>1395/08/18</t>
  </si>
  <si>
    <t>خودپردازتاکسی تلفنی کنعان</t>
  </si>
  <si>
    <t>1395/09/22</t>
  </si>
  <si>
    <t>1404/03/25</t>
  </si>
  <si>
    <t>خودپرداز سوپرمارکت صدف رسالت</t>
  </si>
  <si>
    <t>1395/09/07</t>
  </si>
  <si>
    <t>خودپرداز سپید گوشت</t>
  </si>
  <si>
    <t>1396/02/25</t>
  </si>
  <si>
    <t>خودپرداز فروشگاه یدک بنز</t>
  </si>
  <si>
    <t>1396/02/27</t>
  </si>
  <si>
    <t>خودپردازسوپر مارکت شجری</t>
  </si>
  <si>
    <t>1395/09/17</t>
  </si>
  <si>
    <t>مارکت لیمون</t>
  </si>
  <si>
    <t>1395/10/11</t>
  </si>
  <si>
    <t>1397/11/07</t>
  </si>
  <si>
    <t>1397/11/08</t>
  </si>
  <si>
    <t>– خودپردازمجتمع تجاری نگین</t>
  </si>
  <si>
    <t>1396/03/22</t>
  </si>
  <si>
    <t>خودپرداز - موزاییک رضایی - نقره</t>
  </si>
  <si>
    <t>1395/11/23</t>
  </si>
  <si>
    <t>1396/12/15</t>
  </si>
  <si>
    <t>شعبه طرقبه</t>
  </si>
  <si>
    <t>1401/01/28</t>
  </si>
  <si>
    <t>امام خمینی</t>
  </si>
  <si>
    <t>1395/12/17</t>
  </si>
  <si>
    <t>هایپر مارکت فخر</t>
  </si>
  <si>
    <t>بين شهري ويژه</t>
  </si>
  <si>
    <t>1396/07/03</t>
  </si>
  <si>
    <t>1401/01/23</t>
  </si>
  <si>
    <t>شعبه ???</t>
  </si>
  <si>
    <t>1395/12/22</t>
  </si>
  <si>
    <t>1401/01/22</t>
  </si>
  <si>
    <t>شعبه طالقانی سبزوار339</t>
  </si>
  <si>
    <t>1395/12/21</t>
  </si>
  <si>
    <t>1396/12/09</t>
  </si>
  <si>
    <t>بهشتی سبزوار???</t>
  </si>
  <si>
    <t>1401/11/01</t>
  </si>
  <si>
    <t>شعبه شریعتی</t>
  </si>
  <si>
    <t>1396/07/29</t>
  </si>
  <si>
    <t>1403/11/17</t>
  </si>
  <si>
    <t>شعبه حافظ نیشابور 278</t>
  </si>
  <si>
    <t>1396/06/13</t>
  </si>
  <si>
    <t>1397/02/02</t>
  </si>
  <si>
    <t>کلات ???</t>
  </si>
  <si>
    <t>1396/06/22</t>
  </si>
  <si>
    <t>لایین نو ???</t>
  </si>
  <si>
    <t>1396/04/21</t>
  </si>
  <si>
    <t>سوپر مارکت ابراهیمی</t>
  </si>
  <si>
    <t>1397/02/18</t>
  </si>
  <si>
    <t>مسجد الغدیر</t>
  </si>
  <si>
    <t>1396/08/13</t>
  </si>
  <si>
    <t>سوپرمارگت پدیده</t>
  </si>
  <si>
    <t>شهري ويژه</t>
  </si>
  <si>
    <t>1396/10/12</t>
  </si>
  <si>
    <t>شعبه رسالت شاخص 220</t>
  </si>
  <si>
    <t>1396/10/05</t>
  </si>
  <si>
    <t>شعبه گلشهر شاخص 231</t>
  </si>
  <si>
    <t>1396/08/09</t>
  </si>
  <si>
    <t>مواد غذایی فیاضی</t>
  </si>
  <si>
    <t>سوپرمهدیع</t>
  </si>
  <si>
    <t>1397/10/11</t>
  </si>
  <si>
    <t>1399/12/27</t>
  </si>
  <si>
    <t>آژانس دانش</t>
  </si>
  <si>
    <t>شعبه بلوار قرنی</t>
  </si>
  <si>
    <t>1396/10/19</t>
  </si>
  <si>
    <t>شعبه چهارراه آزادشهر شاخص 512</t>
  </si>
  <si>
    <t>1396/10/04</t>
  </si>
  <si>
    <t>شعبه فرامرز عباسی شاخص 254</t>
  </si>
  <si>
    <t>1396/09/26</t>
  </si>
  <si>
    <t>شعبه امام خمینی شاخص 329</t>
  </si>
  <si>
    <t>1396/10/20</t>
  </si>
  <si>
    <t>شعبه خواجه ربیع شاخص 236</t>
  </si>
  <si>
    <t>شعبه کوی امیر شاخص 238</t>
  </si>
  <si>
    <t>1396/10/11</t>
  </si>
  <si>
    <t>شعبه بلوار هدایت شاخص 240</t>
  </si>
  <si>
    <t>شعبه مفتح شاخص 225</t>
  </si>
  <si>
    <t>موسسه اعتباری ملل شعبه پنجتن</t>
  </si>
  <si>
    <t>شعبه میثم شمالی شاخص 215</t>
  </si>
  <si>
    <t>شعبه امیرکبیر شاخص 280</t>
  </si>
  <si>
    <t>1396/10/10</t>
  </si>
  <si>
    <t>شعبه امامت شاخص 229</t>
  </si>
  <si>
    <t>شعبه قاسم اباد شاخص 219</t>
  </si>
  <si>
    <t>شعبه بلوار اول طبرسی شاخص 292</t>
  </si>
  <si>
    <t>1396/09/29</t>
  </si>
  <si>
    <t>شعبه پایداری شاخص 259</t>
  </si>
  <si>
    <t>1396/10/09</t>
  </si>
  <si>
    <t>1403/03/22</t>
  </si>
  <si>
    <t xml:space="preserve">شعبه بلوار توس - شاخص 232	</t>
  </si>
  <si>
    <t>شعبه امام هادی</t>
  </si>
  <si>
    <t>1400/06/21</t>
  </si>
  <si>
    <t>شعبه المهدی شاخص 224</t>
  </si>
  <si>
    <t>شعبه احمد آباد شاخص 477</t>
  </si>
  <si>
    <t>شعبه پانزده خرداد - شاخص 226</t>
  </si>
  <si>
    <t>1396/11/17</t>
  </si>
  <si>
    <t>1402/10/21</t>
  </si>
  <si>
    <t xml:space="preserve">شعبه فلاحی	</t>
  </si>
  <si>
    <t>شعبه عبدالمطلب شاخص 214</t>
  </si>
  <si>
    <t>شعبه 17 شهریور</t>
  </si>
  <si>
    <t>1397/11/16</t>
  </si>
  <si>
    <t>رستوران احسان</t>
  </si>
  <si>
    <t>1396/10/25</t>
  </si>
  <si>
    <t>شعبه المهدی 221</t>
  </si>
  <si>
    <t>شعبه پیروزی</t>
  </si>
  <si>
    <t>شعبه ولیعصر شاخص 222</t>
  </si>
  <si>
    <t>1396/11/11</t>
  </si>
  <si>
    <t>1396/11/21</t>
  </si>
  <si>
    <t>شعبه هاشمی نژاد شاخص 312</t>
  </si>
  <si>
    <t>1396/12/19</t>
  </si>
  <si>
    <t>شعبه بلوار دوم طبرسی شاخص 237</t>
  </si>
  <si>
    <t>1397/02/09</t>
  </si>
  <si>
    <t>1403/01/01</t>
  </si>
  <si>
    <t>شعبه 239بلوار کلاهدوز</t>
  </si>
  <si>
    <t>1397/02/17</t>
  </si>
  <si>
    <t>شعبه میدان عدالت</t>
  </si>
  <si>
    <t>1397/04/10</t>
  </si>
  <si>
    <t>شعبه کوشش 244</t>
  </si>
  <si>
    <t>1398/02/14</t>
  </si>
  <si>
    <t>موسسه اعتباری ملل-فرودگاه هاشمی نژاد-پرواز خارجی</t>
  </si>
  <si>
    <t>1398/02/07</t>
  </si>
  <si>
    <t>موسسه  اعتباری ملل-فرودگاه هاشمی نژاد-پرواز داخلی-سالن عمومی</t>
  </si>
  <si>
    <t>موسسه  اعتباری ملل-فرودگاه هاشمی نژاد-پرواز داخلی-سالن ترانزیت</t>
  </si>
  <si>
    <t>1397/07/17</t>
  </si>
  <si>
    <t>1403/12/27</t>
  </si>
  <si>
    <t>کلینیک تخصصی رنو</t>
  </si>
  <si>
    <t>1397/09/05</t>
  </si>
  <si>
    <t>1404/03/01</t>
  </si>
  <si>
    <t>موسسه اعتباری ملل-رستوران خسروی</t>
  </si>
  <si>
    <t>1397/10/12</t>
  </si>
  <si>
    <t>موسسه اعتباری ملل-ترمینال مسافربری-ورودی دو</t>
  </si>
  <si>
    <t>موسسه اعتباری ملل-ترمینال مسافربری-ورودی یک</t>
  </si>
  <si>
    <t>1397/12/19</t>
  </si>
  <si>
    <t>1398/03/19</t>
  </si>
  <si>
    <t>موسسه اعتباری ملل-آژانس گلها</t>
  </si>
  <si>
    <t>1398/01/25</t>
  </si>
  <si>
    <t>موسسه  اعتباری ملل-شعبه گناباد-شاخص 268</t>
  </si>
  <si>
    <t>1398/09/23</t>
  </si>
  <si>
    <t>1403/05/22</t>
  </si>
  <si>
    <t xml:space="preserve">شعبه چناران-217  	</t>
  </si>
  <si>
    <t>1398/03/04</t>
  </si>
  <si>
    <t>1401/06/28</t>
  </si>
  <si>
    <t>شعبه قوچان-شاخص 228</t>
  </si>
  <si>
    <t>شعبه درگز-شاخص 255</t>
  </si>
  <si>
    <t>1398/02/17</t>
  </si>
  <si>
    <t>شعبه تربت حیدریه-شاخص 301</t>
  </si>
  <si>
    <t>1398/04/12</t>
  </si>
  <si>
    <t>شعبه کاشمر-شاخص 318</t>
  </si>
  <si>
    <t>1398/01/26</t>
  </si>
  <si>
    <t>موسسه  اعتباری ملل-حوزه مرکزی-MPLS ATM</t>
  </si>
  <si>
    <t>1398/03/01</t>
  </si>
  <si>
    <t>موسسه  اعتباری ملل-عطاری رنجبر</t>
  </si>
  <si>
    <t>1398/07/10</t>
  </si>
  <si>
    <t>موسسه  اعتباری ملل-شرکت تعاونی روستایی مهرگان</t>
  </si>
  <si>
    <t>1398/12/12</t>
  </si>
  <si>
    <t>1402/07/18</t>
  </si>
  <si>
    <t>موسسه اعتباری ملل-شعبه خین عرب-شاخص 245</t>
  </si>
  <si>
    <t>1398/11/30</t>
  </si>
  <si>
    <t>1400/02/18</t>
  </si>
  <si>
    <t>موسسه  اعتباری ملل-شهید رجایی-شاخص 274</t>
  </si>
  <si>
    <t>1398/12/06</t>
  </si>
  <si>
    <t>1400/01/07</t>
  </si>
  <si>
    <t>موسسه  اعتباری ملل-رسالت(شاخص 220)</t>
  </si>
  <si>
    <t>1399/04/08</t>
  </si>
  <si>
    <t>موسسه اعتباری ملل - شعبه پیروزی-شاخص 235</t>
  </si>
  <si>
    <t>1400/11/09</t>
  </si>
  <si>
    <t>قاسم آباد (شاخص-219)</t>
  </si>
  <si>
    <t>1399/06/23</t>
  </si>
  <si>
    <t>مفتح(شاخص 225)</t>
  </si>
  <si>
    <t>1400/09/06</t>
  </si>
  <si>
    <t>نیشابور(شاخص 223)</t>
  </si>
  <si>
    <t>1399/04/29</t>
  </si>
  <si>
    <t>ولیعصر(ع)-(شاخص 222)</t>
  </si>
  <si>
    <t>1399/11/14</t>
  </si>
  <si>
    <t>احمدآباد (477)</t>
  </si>
  <si>
    <t>1399/04/24</t>
  </si>
  <si>
    <t>گلشهر-(شاخص231)</t>
  </si>
  <si>
    <t>1399/06/16</t>
  </si>
  <si>
    <t>طالقانی سبزوار (339)</t>
  </si>
  <si>
    <t>1399/07/08</t>
  </si>
  <si>
    <t>پنجتن(شاخص 218)</t>
  </si>
  <si>
    <t>شعبه میمثم شمالی (شاخص 215)</t>
  </si>
  <si>
    <t>1400/04/14</t>
  </si>
  <si>
    <t>امامت-(شاخص229)</t>
  </si>
  <si>
    <t>1399/08/28</t>
  </si>
  <si>
    <t>هاشمی نژاد-شاخص 312</t>
  </si>
  <si>
    <t>1399/08/20</t>
  </si>
  <si>
    <t>امام خمینی (329)</t>
  </si>
  <si>
    <t>1399/06/22</t>
  </si>
  <si>
    <t>بلوار اول طبرسی-شاخص 292</t>
  </si>
  <si>
    <t>1399/11/13</t>
  </si>
  <si>
    <t>موسسه  اعتباری ملل-کاشمر (318)</t>
  </si>
  <si>
    <t>1399/08/06</t>
  </si>
  <si>
    <t>1399/12/03</t>
  </si>
  <si>
    <t>لائین نو کلات-شاخص234</t>
  </si>
  <si>
    <t>1400/02/04</t>
  </si>
  <si>
    <t>حافظ نیشابور-شاخص 278</t>
  </si>
  <si>
    <t>1399/07/21</t>
  </si>
  <si>
    <t>موسسه  اعتباری ملل-بلواردوم طبرسی(شاخص 237)</t>
  </si>
  <si>
    <t>کوی امیر(ع)(شاخص 238)</t>
  </si>
  <si>
    <t>1399/11/08</t>
  </si>
  <si>
    <t>بلوار هدایت(شاخص 240)</t>
  </si>
  <si>
    <t>کلات-شاخص 243</t>
  </si>
  <si>
    <t>1400/04/26</t>
  </si>
  <si>
    <t>فرامرزعباسی(شاخص 254)</t>
  </si>
  <si>
    <t>1399/07/23</t>
  </si>
  <si>
    <t>درگز(شاخص 220)</t>
  </si>
  <si>
    <t>1400/04/19</t>
  </si>
  <si>
    <t>پایداری-شاخص 259</t>
  </si>
  <si>
    <t>دکتر شریعتی(شاخص 263)</t>
  </si>
  <si>
    <t>شعبه قائم(شاخص224)</t>
  </si>
  <si>
    <t>1399/05/08</t>
  </si>
  <si>
    <t>گناباد-شاخص 268</t>
  </si>
  <si>
    <t>1399/11/19</t>
  </si>
  <si>
    <t>طرقبه(شاخص 277)</t>
  </si>
  <si>
    <t>1400/06/09</t>
  </si>
  <si>
    <t>المهدی(عج)(شاخص 221)</t>
  </si>
  <si>
    <t>1400/04/20</t>
  </si>
  <si>
    <t>شعبه فلاحی-شاخص 233</t>
  </si>
  <si>
    <t>1399/12/09</t>
  </si>
  <si>
    <t xml:space="preserve">امیرکبیر(شاخص 280)  	</t>
  </si>
  <si>
    <t>شعبه عبدالمطلب(شاخص214)</t>
  </si>
  <si>
    <t>چهارراه آزاد شهر-شاخص 512</t>
  </si>
  <si>
    <t>1400/02/01</t>
  </si>
  <si>
    <t>خواجه ربیع-(236)</t>
  </si>
  <si>
    <t>17 شهریور-(227)</t>
  </si>
  <si>
    <t>1400/02/29</t>
  </si>
  <si>
    <t>موسسه اعتباری ملل شعبه 15 خرداد شاخص 226</t>
  </si>
  <si>
    <t>1400/03/22</t>
  </si>
  <si>
    <t>بهشتی سبزوار-289</t>
  </si>
  <si>
    <t>1401/02/24</t>
  </si>
  <si>
    <t>1401/11/04</t>
  </si>
  <si>
    <t>موسسه اعتباری ملل سرپرستی حوزه دو خراسان</t>
  </si>
  <si>
    <t>1400/11/24</t>
  </si>
  <si>
    <t>موسسه اعتباری ملل سرپرستی حوزه دو</t>
  </si>
  <si>
    <t>1401/03/30</t>
  </si>
  <si>
    <t>اعتباری ملل-شعبه شهید رجائی-274</t>
  </si>
  <si>
    <t>1401/06/15</t>
  </si>
  <si>
    <t>اعتباری ملل-شعبه شهید قرنی-509</t>
  </si>
  <si>
    <t>1401/05/09</t>
  </si>
  <si>
    <t>اعتباری ملل-شعبه کوشش-244</t>
  </si>
  <si>
    <t>1401/04/21</t>
  </si>
  <si>
    <t>اعتباری ملل-امام هادی-264</t>
  </si>
  <si>
    <t>1401/06/12</t>
  </si>
  <si>
    <t>اعتباری ملل-مسجد رفیعی</t>
  </si>
  <si>
    <t>1401/12/03</t>
  </si>
  <si>
    <t>اعتباری ملل-حوزه دو-سجاد</t>
  </si>
  <si>
    <t>1402/05/28</t>
  </si>
  <si>
    <t>اعتباری ملل-آس مارکت</t>
  </si>
  <si>
    <t>1402/08/02</t>
  </si>
  <si>
    <t>خودپرداز هتل پارس</t>
  </si>
  <si>
    <t>1403/01/18</t>
  </si>
  <si>
    <t>اعتباری ملل- شعبه الهیه 392</t>
  </si>
  <si>
    <t>1404/02/07</t>
  </si>
  <si>
    <t>شعبه 239 بلوار کلاهدوز</t>
  </si>
  <si>
    <t>1388/07/04</t>
  </si>
  <si>
    <t>1402/08/10</t>
  </si>
  <si>
    <t>نقطه مادر</t>
  </si>
  <si>
    <t>1386/03/27</t>
  </si>
  <si>
    <t xml:space="preserve">شعبه فلاحی شاخص 233	</t>
  </si>
  <si>
    <t>1386/04/18</t>
  </si>
  <si>
    <t>عبه امامت</t>
  </si>
  <si>
    <t>1388/07/05</t>
  </si>
  <si>
    <t>1404/02/16</t>
  </si>
  <si>
    <t>شعبه المهدی224</t>
  </si>
  <si>
    <t>1388/07/25</t>
  </si>
  <si>
    <t>شعبه خواجه ربیع236</t>
  </si>
  <si>
    <t>شعبه میدان عدالت230</t>
  </si>
  <si>
    <t>1387/08/21</t>
  </si>
  <si>
    <t>1400/12/14</t>
  </si>
  <si>
    <t>مبدا کشوری–ویژه</t>
  </si>
  <si>
    <t>1388/09/22</t>
  </si>
  <si>
    <t>شعبه شریعتی سبزوار263</t>
  </si>
  <si>
    <t>1388/07/29</t>
  </si>
  <si>
    <t>1397/10/22</t>
  </si>
  <si>
    <t>شعبه درگز255</t>
  </si>
  <si>
    <t>1388/07/14</t>
  </si>
  <si>
    <t>شعبه کلاهدوز239</t>
  </si>
  <si>
    <t>1388/10/07</t>
  </si>
  <si>
    <t>شعبه بهشتی280</t>
  </si>
  <si>
    <t>شعبه حجت312</t>
  </si>
  <si>
    <t>1388/07/07</t>
  </si>
  <si>
    <t>شعبه امام خمینی329</t>
  </si>
  <si>
    <t>1389/01/25</t>
  </si>
  <si>
    <t>شعبه طرقبه277</t>
  </si>
  <si>
    <t>1389/01/18</t>
  </si>
  <si>
    <t>شعبه کلات243</t>
  </si>
  <si>
    <t>1389/03/22</t>
  </si>
  <si>
    <t>شعبه لایین کلات234</t>
  </si>
  <si>
    <t>1388/08/02</t>
  </si>
  <si>
    <t>تربت حیدریه301</t>
  </si>
  <si>
    <t>1388/08/04</t>
  </si>
  <si>
    <t>1397/10/15</t>
  </si>
  <si>
    <t>شعبه کاشمر318</t>
  </si>
  <si>
    <t>1388/11/11</t>
  </si>
  <si>
    <t>شعبه گناباد268</t>
  </si>
  <si>
    <t>1404/01/18</t>
  </si>
  <si>
    <t>شعبه میدان حافظ نیشابور278</t>
  </si>
  <si>
    <t>شعبه بهشتی289</t>
  </si>
  <si>
    <t>شعبه قوچان228</t>
  </si>
  <si>
    <t>1389/03/27</t>
  </si>
  <si>
    <t>نقطه مادر4</t>
  </si>
  <si>
    <t>1389/10/28</t>
  </si>
  <si>
    <t>شعبه فرامرز عباسی254 2</t>
  </si>
  <si>
    <t>1390/03/20</t>
  </si>
  <si>
    <t>شعبه همت آباد</t>
  </si>
  <si>
    <t>1390/06/03</t>
  </si>
  <si>
    <t>شعبه 17 شهریور</t>
  </si>
  <si>
    <t>شعبه پیروزی</t>
  </si>
  <si>
    <t>1390/03/01</t>
  </si>
  <si>
    <t>شعبه کوی امیر</t>
  </si>
  <si>
    <t>1390/02/22</t>
  </si>
  <si>
    <t>1398/05/15</t>
  </si>
  <si>
    <t>شعبه امام هادی</t>
  </si>
  <si>
    <t>1390/02/25</t>
  </si>
  <si>
    <t>بلوار اول طبرسی</t>
  </si>
  <si>
    <t>1390/02/29</t>
  </si>
  <si>
    <t>1390/08/07</t>
  </si>
  <si>
    <t>بلوار دوم طبرسی</t>
  </si>
  <si>
    <t>1390/02/18</t>
  </si>
  <si>
    <t>شعبه سید رضی</t>
  </si>
  <si>
    <t>1390/12/21</t>
  </si>
  <si>
    <t>1392/02/07</t>
  </si>
  <si>
    <t>شعبه بلوار قرنی</t>
  </si>
  <si>
    <t>1392/02/21</t>
  </si>
  <si>
    <t>شعبه میدان عدالت</t>
  </si>
  <si>
    <t>1394/09/23</t>
  </si>
  <si>
    <t>شعبه کوشش (244) - اینترانت</t>
  </si>
  <si>
    <t>1392/03/05</t>
  </si>
  <si>
    <t>شعبه چناران</t>
  </si>
  <si>
    <t>1392/07/23</t>
  </si>
  <si>
    <t>شعبه تربت حیدریه</t>
  </si>
  <si>
    <t>شعبه قوچان</t>
  </si>
  <si>
    <t>1395/07/11</t>
  </si>
  <si>
    <t>1401/11/10</t>
  </si>
  <si>
    <t>مادر میانی2</t>
  </si>
  <si>
    <t>خراسان شمالي</t>
  </si>
  <si>
    <t>1395/08/19</t>
  </si>
  <si>
    <t>مادر میانی3</t>
  </si>
  <si>
    <t>لوازم تحریرمهر</t>
  </si>
  <si>
    <t>1404/03/12</t>
  </si>
  <si>
    <t>فروشگاه موادغذایی سیب</t>
  </si>
  <si>
    <t>پروتئین دریا</t>
  </si>
  <si>
    <t>1403/09/14</t>
  </si>
  <si>
    <t>مبدا اترنتی استان خراسان شمالی</t>
  </si>
  <si>
    <t>1400/05/13</t>
  </si>
  <si>
    <t>مادرمیانی4</t>
  </si>
  <si>
    <t>1402/04/10</t>
  </si>
  <si>
    <t>موسسه مالی اعتباری چمران</t>
  </si>
  <si>
    <t>1388/05/28</t>
  </si>
  <si>
    <t>اغتباری ملل</t>
  </si>
  <si>
    <t>1388/10/13</t>
  </si>
  <si>
    <t>مادر میانی</t>
  </si>
  <si>
    <t>1388/12/05</t>
  </si>
  <si>
    <t>1403/10/01</t>
  </si>
  <si>
    <t>شعبه اسفراین</t>
  </si>
  <si>
    <t>شعبه فاروج</t>
  </si>
  <si>
    <t>1403/10/03</t>
  </si>
  <si>
    <t>شعبه چمران بجنورد</t>
  </si>
  <si>
    <t>شعبه طالقانی بجنورد</t>
  </si>
  <si>
    <t>1389/02/22</t>
  </si>
  <si>
    <t>شعبه شیروان</t>
  </si>
  <si>
    <t>1392/10/25</t>
  </si>
  <si>
    <t>1401/11/05</t>
  </si>
  <si>
    <t>شعبه خرق فاروج</t>
  </si>
  <si>
    <t>1393/02/08</t>
  </si>
  <si>
    <t>طالقانی بجنورد</t>
  </si>
  <si>
    <t>1393/05/15</t>
  </si>
  <si>
    <t>مرکزی بجنورد</t>
  </si>
  <si>
    <t>1396/06/20</t>
  </si>
  <si>
    <t>شعبه خوزستان- اهواز ساختمان خیابان سی متری</t>
  </si>
  <si>
    <t>1399/05/28</t>
  </si>
  <si>
    <t>شعبه کیانپارس</t>
  </si>
  <si>
    <t>1399/05/19</t>
  </si>
  <si>
    <t>شعبه شوشتر</t>
  </si>
  <si>
    <t>شعبه شادگان</t>
  </si>
  <si>
    <t>1399/04/14</t>
  </si>
  <si>
    <t>شعبه ایذه</t>
  </si>
  <si>
    <t>1399/07/27</t>
  </si>
  <si>
    <t>شعبه زیتون</t>
  </si>
  <si>
    <t>1402/02/22</t>
  </si>
  <si>
    <t>1402/12/08</t>
  </si>
  <si>
    <t>شریعتی(اهواز)-370</t>
  </si>
  <si>
    <t>1402/02/23</t>
  </si>
  <si>
    <t>1402/05/01</t>
  </si>
  <si>
    <t>1402/04/05</t>
  </si>
  <si>
    <t>1402/02/31</t>
  </si>
  <si>
    <t>1403/09/18</t>
  </si>
  <si>
    <t>1389/01/28</t>
  </si>
  <si>
    <t>1404/02/20</t>
  </si>
  <si>
    <t>1389/06/07</t>
  </si>
  <si>
    <t>1402/10/03</t>
  </si>
  <si>
    <t>1389/10/04</t>
  </si>
  <si>
    <t>1401/10/10</t>
  </si>
  <si>
    <t>کیان آباد</t>
  </si>
  <si>
    <t>1389/09/28</t>
  </si>
  <si>
    <t>1402/04/26</t>
  </si>
  <si>
    <t>طالقانی دزفول</t>
  </si>
  <si>
    <t>1389/08/28</t>
  </si>
  <si>
    <t>امام دزفول</t>
  </si>
  <si>
    <t>منتظری دزفول</t>
  </si>
  <si>
    <t>1403/12/15</t>
  </si>
  <si>
    <t>آفرینش دزفول</t>
  </si>
  <si>
    <t>1389/11/25</t>
  </si>
  <si>
    <t>شوش</t>
  </si>
  <si>
    <t>1389/09/09</t>
  </si>
  <si>
    <t>1390/05/18</t>
  </si>
  <si>
    <t>1396/11/30</t>
  </si>
  <si>
    <t>موسسه  اعتباری ملل– خوزستان چمران</t>
  </si>
  <si>
    <t>1390/02/19</t>
  </si>
  <si>
    <t>1396/08/30</t>
  </si>
  <si>
    <t>سرپرستی خوزستان کیان آباد</t>
  </si>
  <si>
    <t>1390/11/09</t>
  </si>
  <si>
    <t>خوزستان بهبهان</t>
  </si>
  <si>
    <t>1391/10/16</t>
  </si>
  <si>
    <t>اندیمشک </t>
  </si>
  <si>
    <t>1391/10/06</t>
  </si>
  <si>
    <t>آبادان </t>
  </si>
  <si>
    <t>شریعتی اهواز </t>
  </si>
  <si>
    <t>1391/11/23</t>
  </si>
  <si>
    <t>امام دزفول </t>
  </si>
  <si>
    <t>1391/11/29</t>
  </si>
  <si>
    <t>شعبه شوش </t>
  </si>
  <si>
    <t>1391/11/17</t>
  </si>
  <si>
    <t>1391/11/30</t>
  </si>
  <si>
    <t>1391/11/09</t>
  </si>
  <si>
    <t>خرمشهر </t>
  </si>
  <si>
    <t>منتظری دزفول </t>
  </si>
  <si>
    <t>1391/12/20</t>
  </si>
  <si>
    <t>آفرینش دزفول – شعبه 430</t>
  </si>
  <si>
    <t>1392/02/22</t>
  </si>
  <si>
    <t>ماهشهر </t>
  </si>
  <si>
    <t>1399/07/30</t>
  </si>
  <si>
    <t>1402/03/31</t>
  </si>
  <si>
    <t>مبدا نورونتا ملل زنجان شعبه خیابان فرودگاه</t>
  </si>
  <si>
    <t>1402/10/02</t>
  </si>
  <si>
    <t>شعبه آزادی ملل (زنجان)-346</t>
  </si>
  <si>
    <t>1399/09/19</t>
  </si>
  <si>
    <t>شعبه خرمدره ملل (زنجان)-475</t>
  </si>
  <si>
    <t>شعبه ابهر ملل (زنجان)-393</t>
  </si>
  <si>
    <t>1389/09/07</t>
  </si>
  <si>
    <t>1403/01/28</t>
  </si>
  <si>
    <t>شعبه کد346</t>
  </si>
  <si>
    <t>1393/11/20</t>
  </si>
  <si>
    <t>ش خرم دره</t>
  </si>
  <si>
    <t>1394/05/01</t>
  </si>
  <si>
    <t>1403/05/01</t>
  </si>
  <si>
    <t>1393/10/28</t>
  </si>
  <si>
    <t>ش آزادی</t>
  </si>
  <si>
    <t>1393/11/19</t>
  </si>
  <si>
    <t>ش ابهر</t>
  </si>
  <si>
    <t>1394/10/20</t>
  </si>
  <si>
    <t>1395/03/03</t>
  </si>
  <si>
    <t>1396/03/10</t>
  </si>
  <si>
    <t>1394/12/02</t>
  </si>
  <si>
    <t>1396/04/31</t>
  </si>
  <si>
    <t>خودپرداز مجتمع تجاری مطلب خان دامغان</t>
  </si>
  <si>
    <t>1396/03/23</t>
  </si>
  <si>
    <t>خودپرداز فروشگاه سیب سرخ دامغان</t>
  </si>
  <si>
    <t>خودپرداز راه آهن گرمسار</t>
  </si>
  <si>
    <t>1396/03/30</t>
  </si>
  <si>
    <t>خودپردازآموزشگاه رایان افزار گرمسار</t>
  </si>
  <si>
    <t>1399/02/27</t>
  </si>
  <si>
    <t>1402/12/23</t>
  </si>
  <si>
    <t>مصوبه 3-200</t>
  </si>
  <si>
    <t>شعبه مرکزی استان سمنان</t>
  </si>
  <si>
    <t>1399/03/10</t>
  </si>
  <si>
    <t>شعبه مرکزی استان سمنان-اینترنت BGP</t>
  </si>
  <si>
    <t>1400/12/02</t>
  </si>
  <si>
    <t>شعبه مرکزی سمنان</t>
  </si>
  <si>
    <t>1402/12/14</t>
  </si>
  <si>
    <t>1403/04/13</t>
  </si>
  <si>
    <t>ارتباط کشوری منطقه سمنان</t>
  </si>
  <si>
    <t>1404/03/04</t>
  </si>
  <si>
    <t>سرپرستی موسسه اعتباری ملل</t>
  </si>
  <si>
    <t>1401/06/30</t>
  </si>
  <si>
    <t>شرکت اندیشه پردازان چوگان</t>
  </si>
  <si>
    <t>1387/06/09</t>
  </si>
  <si>
    <t>1389/04/28</t>
  </si>
  <si>
    <t>1397/09/03</t>
  </si>
  <si>
    <t>1401/03/18</t>
  </si>
  <si>
    <t>1389/08/03</t>
  </si>
  <si>
    <t>خ تهران شاهرود</t>
  </si>
  <si>
    <t>1389/12/24</t>
  </si>
  <si>
    <t>مادر هواوی</t>
  </si>
  <si>
    <t>1401/03/10</t>
  </si>
  <si>
    <t>22– بهمن شاهرود</t>
  </si>
  <si>
    <t>صدوقی شاهرود</t>
  </si>
  <si>
    <t>1402/02/30</t>
  </si>
  <si>
    <t>امام شاهرود</t>
  </si>
  <si>
    <t>1403/09/10</t>
  </si>
  <si>
    <t>1400/12/09</t>
  </si>
  <si>
    <t>طالقانی سمنان</t>
  </si>
  <si>
    <t>قائم سمنان</t>
  </si>
  <si>
    <t>امام گرمسار</t>
  </si>
  <si>
    <t>1399/03/01</t>
  </si>
  <si>
    <t>شهدا گرمسار</t>
  </si>
  <si>
    <t>1391/10/10</t>
  </si>
  <si>
    <t>مشاهیرسمنان</t>
  </si>
  <si>
    <t>معلم سمنان</t>
  </si>
  <si>
    <t>خ شهربانی شاهرود</t>
  </si>
  <si>
    <t>خیابان تهران شاهرود</t>
  </si>
  <si>
    <t>امام خمینی شاهرود</t>
  </si>
  <si>
    <t>1391/11/26</t>
  </si>
  <si>
    <t>1393/09/10</t>
  </si>
  <si>
    <t>بلوار قائم</t>
  </si>
  <si>
    <t>1394/05/04</t>
  </si>
  <si>
    <t>خودپرداز خوابگاه امام رضا زاهدان</t>
  </si>
  <si>
    <t>سيستان و بلوچستان</t>
  </si>
  <si>
    <t>موسسه اعتباری ملل - شاخص 384</t>
  </si>
  <si>
    <t>1389/08/10</t>
  </si>
  <si>
    <t>1390/03/11</t>
  </si>
  <si>
    <t>1394/05/10</t>
  </si>
  <si>
    <t>مزاری زاهدان</t>
  </si>
  <si>
    <t>1389/12/10</t>
  </si>
  <si>
    <t>1401/03/31</t>
  </si>
  <si>
    <t>1390/01/20</t>
  </si>
  <si>
    <t>1402/12/02</t>
  </si>
  <si>
    <t>شعبه بهشتی زاهدان</t>
  </si>
  <si>
    <t>1402/08/08</t>
  </si>
  <si>
    <t>1392/03/04</t>
  </si>
  <si>
    <t>بهشتی زاهدان</t>
  </si>
  <si>
    <t>طالقانی زابل</t>
  </si>
  <si>
    <t>1395/05/06</t>
  </si>
  <si>
    <t>1395/12/25</t>
  </si>
  <si>
    <t>1395/06/08</t>
  </si>
  <si>
    <t>بیمارستان  امام حسن عسکریه زرقان</t>
  </si>
  <si>
    <t>1395/07/03</t>
  </si>
  <si>
    <t>بازار همایون</t>
  </si>
  <si>
    <t>پیشخوان دولت شماره72251018</t>
  </si>
  <si>
    <t>1395/11/16</t>
  </si>
  <si>
    <t>حللقاانی شیراز</t>
  </si>
  <si>
    <t>1395/11/05</t>
  </si>
  <si>
    <t>مللمرودشت</t>
  </si>
  <si>
    <t>ارزان فروشی پیام</t>
  </si>
  <si>
    <t>1396/07/04</t>
  </si>
  <si>
    <t>زندان مرودشت</t>
  </si>
  <si>
    <t>1396/02/19</t>
  </si>
  <si>
    <t>سوپرمارکت اباصالح</t>
  </si>
  <si>
    <t>رستوران کلبه سبز</t>
  </si>
  <si>
    <t>بلوار عدالت</t>
  </si>
  <si>
    <t>1398/09/19</t>
  </si>
  <si>
    <t>موسسه اعتباری ملل</t>
  </si>
  <si>
    <t>1399/10/22</t>
  </si>
  <si>
    <t>شعبه زرقان</t>
  </si>
  <si>
    <t>1404/04/01</t>
  </si>
  <si>
    <t>شعبه عدالت</t>
  </si>
  <si>
    <t>1399/07/22</t>
  </si>
  <si>
    <t>1403/04/20</t>
  </si>
  <si>
    <t>شعبه معالی اباد -مادر میانی</t>
  </si>
  <si>
    <t>1399/08/26</t>
  </si>
  <si>
    <t>شعبه عفیف آباد</t>
  </si>
  <si>
    <t>1399/12/14</t>
  </si>
  <si>
    <t>شعبه لارستان</t>
  </si>
  <si>
    <t>1399/12/24</t>
  </si>
  <si>
    <t>موسسه ملل-شعبه معلم(شیراز)</t>
  </si>
  <si>
    <t>1399/11/07</t>
  </si>
  <si>
    <t>شعبه مرودشت</t>
  </si>
  <si>
    <t>1399/11/11</t>
  </si>
  <si>
    <t>شعبه مدرس (لار)</t>
  </si>
  <si>
    <t>1399/11/05</t>
  </si>
  <si>
    <t>شعبه آباده</t>
  </si>
  <si>
    <t>شعبه کازرون</t>
  </si>
  <si>
    <t>شعبه قصرالدشت</t>
  </si>
  <si>
    <t>1399/12/18</t>
  </si>
  <si>
    <t>موسسه اعتباری ملل - مرودشت</t>
  </si>
  <si>
    <t>1400/01/28</t>
  </si>
  <si>
    <t>موسسه اعتباری ملل-مدرس لار</t>
  </si>
  <si>
    <t>1399/12/13</t>
  </si>
  <si>
    <t>موسسه اعتباری ملل-آباده</t>
  </si>
  <si>
    <t>1399/12/16</t>
  </si>
  <si>
    <t>موسسه اعتباری- فرهنگ شهر</t>
  </si>
  <si>
    <t>1399/11/20</t>
  </si>
  <si>
    <t>موسسه اعتباری ملل- کازرون</t>
  </si>
  <si>
    <t>1389/05/18</t>
  </si>
  <si>
    <t>1403/04/27</t>
  </si>
  <si>
    <t>شعبه قاآنی کد336</t>
  </si>
  <si>
    <t>1389/07/14</t>
  </si>
  <si>
    <t>1398/07/16</t>
  </si>
  <si>
    <t>شعبه مدرس لار</t>
  </si>
  <si>
    <t>1392/01/21</t>
  </si>
  <si>
    <t>1393/10/06</t>
  </si>
  <si>
    <t>سرپرستی</t>
  </si>
  <si>
    <t>قزوين</t>
  </si>
  <si>
    <t>1395/03/29</t>
  </si>
  <si>
    <t>سر پرستی مادر</t>
  </si>
  <si>
    <t>1395/11/26</t>
  </si>
  <si>
    <t>سرپرستی مادر 2</t>
  </si>
  <si>
    <t>1395/12/09</t>
  </si>
  <si>
    <t>خودپرداز مسکن مهر فاز یک تاکستان</t>
  </si>
  <si>
    <t>1388/10/16</t>
  </si>
  <si>
    <t>1393/10/10</t>
  </si>
  <si>
    <t>1396/07/15</t>
  </si>
  <si>
    <t>سرپرستی مادر</t>
  </si>
  <si>
    <t>1389/05/17</t>
  </si>
  <si>
    <t>1398/10/01</t>
  </si>
  <si>
    <t>( عسکریه سابق )شعبه آبیک</t>
  </si>
  <si>
    <t>1389/06/17</t>
  </si>
  <si>
    <t>1400/05/21</t>
  </si>
  <si>
    <t>( عسکریه سابق)شعبه البرز</t>
  </si>
  <si>
    <t>1389/07/26</t>
  </si>
  <si>
    <t>شعبه بلوار مدرس</t>
  </si>
  <si>
    <t>1395/04/03</t>
  </si>
  <si>
    <t>( عسکریه سابق )شعبه شهدا</t>
  </si>
  <si>
    <t>1401/03/11</t>
  </si>
  <si>
    <t>شعبه نادری</t>
  </si>
  <si>
    <t>( عسکریه سابق)شعبه تاکستان</t>
  </si>
  <si>
    <t>1392/03/26</t>
  </si>
  <si>
    <t>شعبه شهدا</t>
  </si>
  <si>
    <t>1392/03/28</t>
  </si>
  <si>
    <t>شعبه پادگان</t>
  </si>
  <si>
    <t>1392/03/19</t>
  </si>
  <si>
    <t>شعبه تاکستان</t>
  </si>
  <si>
    <t>1392/04/23</t>
  </si>
  <si>
    <t>شعبه آبیک</t>
  </si>
  <si>
    <t>1392/04/05</t>
  </si>
  <si>
    <t>شعبه الوند</t>
  </si>
  <si>
    <t>1393/12/20</t>
  </si>
  <si>
    <t>شعبه بلوار امین</t>
  </si>
  <si>
    <t>1393/12/17</t>
  </si>
  <si>
    <t>شعبه جهاد</t>
  </si>
  <si>
    <t>1388/12/26</t>
  </si>
  <si>
    <t>موسسه اعتباری ملل(عسکریه سابق) - قم</t>
  </si>
  <si>
    <t>1402/09/06</t>
  </si>
  <si>
    <t>مبدا</t>
  </si>
  <si>
    <t>1391/01/05</t>
  </si>
  <si>
    <t>1402/10/16</t>
  </si>
  <si>
    <t>1388/10/28</t>
  </si>
  <si>
    <t>شعبه سنندج کد359</t>
  </si>
  <si>
    <t>1389/05/26</t>
  </si>
  <si>
    <t>مادر میانی تلبس</t>
  </si>
  <si>
    <t>1389/06/31</t>
  </si>
  <si>
    <t>1401/10/11</t>
  </si>
  <si>
    <t>تعاونی مللقروه</t>
  </si>
  <si>
    <t>1392/01/29</t>
  </si>
  <si>
    <t>شعبه آبیدر شهرستان سنندج شاخص444</t>
  </si>
  <si>
    <t>1393/05/25</t>
  </si>
  <si>
    <t>شهرستان سنندج</t>
  </si>
  <si>
    <t>1394/02/23</t>
  </si>
  <si>
    <t>سیدالشهدا(ع)</t>
  </si>
  <si>
    <t>1403/04/31</t>
  </si>
  <si>
    <t>شعبه زرند</t>
  </si>
  <si>
    <t>1395/07/15</t>
  </si>
  <si>
    <t>شعبه کهنوج</t>
  </si>
  <si>
    <t>شعبه بافت</t>
  </si>
  <si>
    <t>1394/02/02</t>
  </si>
  <si>
    <t>1401/05/26</t>
  </si>
  <si>
    <t>شعبه امام خمینی</t>
  </si>
  <si>
    <t>1401/09/28</t>
  </si>
  <si>
    <t>شعبه بم</t>
  </si>
  <si>
    <t>1403/09/21</t>
  </si>
  <si>
    <t>شعبه جیرفت</t>
  </si>
  <si>
    <t>1398/07/03</t>
  </si>
  <si>
    <t>شعبه سیرجان</t>
  </si>
  <si>
    <t>شعبه انار</t>
  </si>
  <si>
    <t>1398/06/17</t>
  </si>
  <si>
    <t>شعبه رفسنجان</t>
  </si>
  <si>
    <t>1395/06/20</t>
  </si>
  <si>
    <t>پاساژ علایی انار</t>
  </si>
  <si>
    <t>1395/07/18</t>
  </si>
  <si>
    <t>بازارچه صاحب الزمان انار</t>
  </si>
  <si>
    <t>فرودگاه</t>
  </si>
  <si>
    <t>1398/03/12</t>
  </si>
  <si>
    <t>مرکز mri  حکیم سیرجان</t>
  </si>
  <si>
    <t>1399/03/27</t>
  </si>
  <si>
    <t>شعبه امام خمینی شاخص 374</t>
  </si>
  <si>
    <t>1389/01/22</t>
  </si>
  <si>
    <t>1389/09/03</t>
  </si>
  <si>
    <t>1399/12/12</t>
  </si>
  <si>
    <t>شعبه مطهری</t>
  </si>
  <si>
    <t>شعبه ابوذر</t>
  </si>
  <si>
    <t>1391/07/05</t>
  </si>
  <si>
    <t>بم کد377</t>
  </si>
  <si>
    <t>رفسنجان کد378</t>
  </si>
  <si>
    <t>جیرفت کد380</t>
  </si>
  <si>
    <t>سیرجان کد394</t>
  </si>
  <si>
    <t>کهنوج کد397</t>
  </si>
  <si>
    <t>بافت کد403</t>
  </si>
  <si>
    <t>انار کد445</t>
  </si>
  <si>
    <t>1391/08/28</t>
  </si>
  <si>
    <t>زرند کد396</t>
  </si>
  <si>
    <t>1392/01/20</t>
  </si>
  <si>
    <t>شعبه بلوار جمهوری کد365</t>
  </si>
  <si>
    <t>شعبه بلوار جهاد  کد383</t>
  </si>
  <si>
    <t>شعبه خیابان آیت ا………صالحی کد380مطهری</t>
  </si>
  <si>
    <t>شعبه خیابان ابوذر کد391</t>
  </si>
  <si>
    <t>1399/01/23</t>
  </si>
  <si>
    <t>شعبه سرپرستی</t>
  </si>
  <si>
    <t>1399/02/30</t>
  </si>
  <si>
    <t>مطهری مبدا2</t>
  </si>
  <si>
    <t>1396/04/27</t>
  </si>
  <si>
    <t>فروشگاه شهر ما</t>
  </si>
  <si>
    <t>1396/04/12</t>
  </si>
  <si>
    <t>1403/08/02</t>
  </si>
  <si>
    <t>مجتمع آزادی ژ</t>
  </si>
  <si>
    <t>1397/12/14</t>
  </si>
  <si>
    <t>1403/10/23</t>
  </si>
  <si>
    <t>شعبه اسلام اباد</t>
  </si>
  <si>
    <t>1389/02/14</t>
  </si>
  <si>
    <t>شعبه  کد358</t>
  </si>
  <si>
    <t>1403/05/27</t>
  </si>
  <si>
    <t>شعبه گلستان</t>
  </si>
  <si>
    <t>مطهری مبدا</t>
  </si>
  <si>
    <t>1389/06/18</t>
  </si>
  <si>
    <t>1399/01/25</t>
  </si>
  <si>
    <t>1399/03/03</t>
  </si>
  <si>
    <t>شعبه فردوسی</t>
  </si>
  <si>
    <t>1391/07/01</t>
  </si>
  <si>
    <t>موسسه مالی و اعتباری ملل سنقر ژ</t>
  </si>
  <si>
    <t>1391/12/19</t>
  </si>
  <si>
    <t>شعبه مسکن</t>
  </si>
  <si>
    <t>1392/03/08</t>
  </si>
  <si>
    <t>شعبه سنقر</t>
  </si>
  <si>
    <t>1392/03/07</t>
  </si>
  <si>
    <t>1392/08/05</t>
  </si>
  <si>
    <t>1393/02/30</t>
  </si>
  <si>
    <t>1394/09/08</t>
  </si>
  <si>
    <t>موسسه مالی اعتباری عسکریه</t>
  </si>
  <si>
    <t>کهگيلويه و بويراحمد</t>
  </si>
  <si>
    <t>1397/05/08</t>
  </si>
  <si>
    <t>شهرستان گچساران</t>
  </si>
  <si>
    <t>1402/04/01</t>
  </si>
  <si>
    <t>مادرمیانی بانک اعتباری ملل</t>
  </si>
  <si>
    <t>1402/07/03</t>
  </si>
  <si>
    <t>موسسه اعتباری ملل گچساران</t>
  </si>
  <si>
    <t>1389/04/06</t>
  </si>
  <si>
    <t>1394/01/27</t>
  </si>
  <si>
    <t>خودپرداز کارخانه صنایع شهره</t>
  </si>
  <si>
    <t>1395/12/01</t>
  </si>
  <si>
    <t>خودپرداز چاپ ماهرخ</t>
  </si>
  <si>
    <t>1395/12/10</t>
  </si>
  <si>
    <t>خودپرداز ارزانکده محمد کردکوی</t>
  </si>
  <si>
    <t>1396/06/07</t>
  </si>
  <si>
    <t>1404/04/10</t>
  </si>
  <si>
    <t>کش لس فروشگاه و خدمات رنگ مهر</t>
  </si>
  <si>
    <t>1397/04/23</t>
  </si>
  <si>
    <t>1400/05/09</t>
  </si>
  <si>
    <t>.g مادر3</t>
  </si>
  <si>
    <t>1403/09/06</t>
  </si>
  <si>
    <t>شعبه سرخواجه</t>
  </si>
  <si>
    <t>1401/04/08</t>
  </si>
  <si>
    <t>1401/04/28</t>
  </si>
  <si>
    <t>مبدا اترنتی</t>
  </si>
  <si>
    <t>1387/11/12</t>
  </si>
  <si>
    <t>1389/10/06</t>
  </si>
  <si>
    <t>کریمی گرگان</t>
  </si>
  <si>
    <t>1389/10/21</t>
  </si>
  <si>
    <t>شعبه کردکوی</t>
  </si>
  <si>
    <t>1390/05/22</t>
  </si>
  <si>
    <t>1403/07/04</t>
  </si>
  <si>
    <t>امام خمینی شمالی گنبد</t>
  </si>
  <si>
    <t>1404/06/03</t>
  </si>
  <si>
    <t>شعبه علی آباد</t>
  </si>
  <si>
    <t>1401/12/22</t>
  </si>
  <si>
    <t>امام خمینی جنوبی گنبد(میهن)</t>
  </si>
  <si>
    <t>1390/09/06</t>
  </si>
  <si>
    <t>1401/04/29</t>
  </si>
  <si>
    <t>1390/05/25</t>
  </si>
  <si>
    <t>1401/11/27</t>
  </si>
  <si>
    <t>شعبه آزادشهر</t>
  </si>
  <si>
    <t>ملل گالیکش</t>
  </si>
  <si>
    <t>1390/02/04</t>
  </si>
  <si>
    <t>میدان سرخواجه گرگان</t>
  </si>
  <si>
    <t>1389/12/28</t>
  </si>
  <si>
    <t>1403/03/30</t>
  </si>
  <si>
    <t>ایرانمهرگرگان</t>
  </si>
  <si>
    <t>سرپرستی مادر</t>
  </si>
  <si>
    <t>1392/11/09</t>
  </si>
  <si>
    <t>مالی واعتباری مللگالیکش</t>
  </si>
  <si>
    <t>1393/03/04</t>
  </si>
  <si>
    <t>ولیعصر گرگان</t>
  </si>
  <si>
    <t>ایرانمهر کد387</t>
  </si>
  <si>
    <t>1393/03/05</t>
  </si>
  <si>
    <t>کریمی کد325</t>
  </si>
  <si>
    <t>ملل کد265 امام خمینی جنوبی(میهن)</t>
  </si>
  <si>
    <t>امام خمینی شمالی  گنبد</t>
  </si>
  <si>
    <t>1393/03/13</t>
  </si>
  <si>
    <t>مینودشت کد323</t>
  </si>
  <si>
    <t>آزادشهرکد356</t>
  </si>
  <si>
    <t>1404/06/08</t>
  </si>
  <si>
    <t>علی آباد</t>
  </si>
  <si>
    <t>1393/04/03</t>
  </si>
  <si>
    <t> گرگان(امام خمینی)</t>
  </si>
  <si>
    <t>1395/07/24</t>
  </si>
  <si>
    <t>مادرمیانیVPLS</t>
  </si>
  <si>
    <t>گيلان</t>
  </si>
  <si>
    <t>1395/10/08</t>
  </si>
  <si>
    <t>هتل ایرانگردی و جهانگردی آستارا</t>
  </si>
  <si>
    <t>1396/03/02</t>
  </si>
  <si>
    <t>دفترپیشخوان دولت اطهری</t>
  </si>
  <si>
    <t>گیلان - موسسه اعتباری ملل - پیشخوان دولت شاهی</t>
  </si>
  <si>
    <t>1397/08/18</t>
  </si>
  <si>
    <t>گیلان-موسسه اعتباری ملل-بقعه سیدجوادموسوی-فومن</t>
  </si>
  <si>
    <t>1399/07/15</t>
  </si>
  <si>
    <t>شعبه لنگرود شاخص 286</t>
  </si>
  <si>
    <t>1387/10/04</t>
  </si>
  <si>
    <t>1389/05/16</t>
  </si>
  <si>
    <t>1401/10/13</t>
  </si>
  <si>
    <t>شعبه خ امام خمینی رشت</t>
  </si>
  <si>
    <t>1390/01/15</t>
  </si>
  <si>
    <t>1401/03/22</t>
  </si>
  <si>
    <t>شعبه صومعه سرا</t>
  </si>
  <si>
    <t>1401/03/21</t>
  </si>
  <si>
    <t>شعبه لاهیجان</t>
  </si>
  <si>
    <t>1389/12/18</t>
  </si>
  <si>
    <t>شعبه لنگرود</t>
  </si>
  <si>
    <t>شعبه خ طالقانی رشت</t>
  </si>
  <si>
    <t>1389/12/15</t>
  </si>
  <si>
    <t>1400/01/25</t>
  </si>
  <si>
    <t>شعبه خ امام خمینی آستارا</t>
  </si>
  <si>
    <t>شعبه گلسار رشت</t>
  </si>
  <si>
    <t>1389/12/22</t>
  </si>
  <si>
    <t>شعبه رودسر</t>
  </si>
  <si>
    <t>شعبه بندر انزلی</t>
  </si>
  <si>
    <t>1390/02/10</t>
  </si>
  <si>
    <t>شعبه تالش</t>
  </si>
  <si>
    <t>شعبه فومن</t>
  </si>
  <si>
    <t>1389/12/21</t>
  </si>
  <si>
    <t>شعبه بلوار شهید بهشتی رشت</t>
  </si>
  <si>
    <t>(عسکریه سابق)شعبه ه اشرفیه</t>
  </si>
  <si>
    <t>1389/12/26</t>
  </si>
  <si>
    <t>شعبه خ ملت غربی آستارا</t>
  </si>
  <si>
    <t>1391/01/21</t>
  </si>
  <si>
    <t>1400/04/27</t>
  </si>
  <si>
    <t>رشت( نقطه مادر میانی)2</t>
  </si>
  <si>
    <t>1393/06/16</t>
  </si>
  <si>
    <t>شریعتی رشت</t>
  </si>
  <si>
    <t>1393/05/12</t>
  </si>
  <si>
    <t>صومعه سرا</t>
  </si>
  <si>
    <t>1393/05/13</t>
  </si>
  <si>
    <t>1393/09/04</t>
  </si>
  <si>
    <t>طالقانی رشت</t>
  </si>
  <si>
    <t>خ امام خمینی آستارا</t>
  </si>
  <si>
    <t>1393/09/26</t>
  </si>
  <si>
    <t>(عسکریه سابق)گلسار رشت</t>
  </si>
  <si>
    <t>1393/05/04</t>
  </si>
  <si>
    <t>(عسکریه سابق)بندرانزلی</t>
  </si>
  <si>
    <t>1393/06/23</t>
  </si>
  <si>
    <t>1393/08/28</t>
  </si>
  <si>
    <t>1393/10/24</t>
  </si>
  <si>
    <t>بلوار شهید بهشتی رشت</t>
  </si>
  <si>
    <t>1393/08/25</t>
  </si>
  <si>
    <t>اشرفیه</t>
  </si>
  <si>
    <t>1394/07/15</t>
  </si>
  <si>
    <t>بازارچه ساحلی آستارا</t>
  </si>
  <si>
    <t>1395/12/15</t>
  </si>
  <si>
    <t>خ امام خمینی رشت</t>
  </si>
  <si>
    <t>1394/04/10</t>
  </si>
  <si>
    <t>1395/09/14</t>
  </si>
  <si>
    <t>موسسه  مالی و اعتباری خودپرداز پاساژ الماس الیگودرز -لرستان</t>
  </si>
  <si>
    <t>1397/05/01</t>
  </si>
  <si>
    <t>1399/06/05</t>
  </si>
  <si>
    <t>مادر 2</t>
  </si>
  <si>
    <t>1397/07/28</t>
  </si>
  <si>
    <t>1397/05/29</t>
  </si>
  <si>
    <t>خشکبار سیددوست کرم حسینی</t>
  </si>
  <si>
    <t>1397/07/09</t>
  </si>
  <si>
    <t>1403/02/08</t>
  </si>
  <si>
    <t>شعبه پلدختر</t>
  </si>
  <si>
    <t>1401/04/26</t>
  </si>
  <si>
    <t>مبدا E1 جدید</t>
  </si>
  <si>
    <t>1389/05/11</t>
  </si>
  <si>
    <t>شعبه خرم اباد کد401</t>
  </si>
  <si>
    <t>1389/11/20</t>
  </si>
  <si>
    <t>1398/12/19</t>
  </si>
  <si>
    <t>بازار بروجرد</t>
  </si>
  <si>
    <t>1390/01/24</t>
  </si>
  <si>
    <t>1402/09/21</t>
  </si>
  <si>
    <t>بروجرد کاشانی</t>
  </si>
  <si>
    <t>1389/11/27</t>
  </si>
  <si>
    <t>1398/12/13</t>
  </si>
  <si>
    <t>1392/02/09</t>
  </si>
  <si>
    <t>شعبه کاشانی بروجرد</t>
  </si>
  <si>
    <t>1392/03/20</t>
  </si>
  <si>
    <t>شعبه دورود</t>
  </si>
  <si>
    <t>1392/02/30</t>
  </si>
  <si>
    <t>شعبه الیگودرز</t>
  </si>
  <si>
    <t>1392/02/31</t>
  </si>
  <si>
    <t>شعبه ازنا</t>
  </si>
  <si>
    <t>1392/03/06</t>
  </si>
  <si>
    <t>شعبه پلدختر</t>
  </si>
  <si>
    <t>شعبه بازار بروجرد</t>
  </si>
  <si>
    <t>1392/12/10</t>
  </si>
  <si>
    <t>شعبه مرکزی کوهدشت</t>
  </si>
  <si>
    <t>1396/09/12</t>
  </si>
  <si>
    <t>1397/02/23</t>
  </si>
  <si>
    <t>شعبه رومشکان</t>
  </si>
  <si>
    <t>1394/12/08</t>
  </si>
  <si>
    <t>خودپرداز بابلسر)310(</t>
  </si>
  <si>
    <t>1394/12/25</t>
  </si>
  <si>
    <t>1403/08/01</t>
  </si>
  <si>
    <t>( 257 پورت مادر) ساری</t>
  </si>
  <si>
    <t>1404/01/19</t>
  </si>
  <si>
    <t>اداره کل ساری</t>
  </si>
  <si>
    <t>1395/03/17</t>
  </si>
  <si>
    <t>(پاساژ ملک تجار)بابل</t>
  </si>
  <si>
    <t>1395/03/16</t>
  </si>
  <si>
    <t>(پاساژمولانا)بابل</t>
  </si>
  <si>
    <t>1395/07/17</t>
  </si>
  <si>
    <t>خودپرداز شرکت ایرتویا کد282ساری</t>
  </si>
  <si>
    <t>1395/07/28</t>
  </si>
  <si>
    <t>دستگاه خودپردازساختمان پزشکان سیناکد 434نور</t>
  </si>
  <si>
    <t>دستگاه خودپردازفروشگاه موادغذایی بهرورزکد311قایم شهر</t>
  </si>
  <si>
    <t>1395/12/18</t>
  </si>
  <si>
    <t>خودپرداز فروشگاه های مارکت محمودآباد</t>
  </si>
  <si>
    <t>1396/03/16</t>
  </si>
  <si>
    <t>دستگاه خودپردازمجتمع نیکانبابل</t>
  </si>
  <si>
    <t>1396/03/31</t>
  </si>
  <si>
    <t>دستگاه خودپردازدافروشگاه خانه کاشانه کد449محموداباد</t>
  </si>
  <si>
    <t>پورت مادر 4  ساری</t>
  </si>
  <si>
    <t>1404/01/30</t>
  </si>
  <si>
    <t>اعتباری ملل شیرینی سرای سپهسالار قائمشهر</t>
  </si>
  <si>
    <t>1403/07/18</t>
  </si>
  <si>
    <t>خودپرداز پرده سرای شقایق بابلسر</t>
  </si>
  <si>
    <t>1387/09/20</t>
  </si>
  <si>
    <t>اعتباری ملل مازندران</t>
  </si>
  <si>
    <t>18 دی 256 ساری</t>
  </si>
  <si>
    <t>1389/07/10</t>
  </si>
  <si>
    <t>بلوار طالقانی کد291بابل</t>
  </si>
  <si>
    <t>کد(282پورت مادر ) ساری</t>
  </si>
  <si>
    <t>1389/06/24</t>
  </si>
  <si>
    <t>کد449 محمودآباد</t>
  </si>
  <si>
    <t>ش شیخ طبرسی کد326ساری</t>
  </si>
  <si>
    <t>1389/12/16</t>
  </si>
  <si>
    <t>شعبه فرهنگ کد282 ساری</t>
  </si>
  <si>
    <t>1389/07/09</t>
  </si>
  <si>
    <t>ش انقلاب کد283نکا</t>
  </si>
  <si>
    <t>1390/12/02</t>
  </si>
  <si>
    <t>1399/08/10</t>
  </si>
  <si>
    <t>کد310بابلسر</t>
  </si>
  <si>
    <t>کد311قائمشهر</t>
  </si>
  <si>
    <t>1391/01/03</t>
  </si>
  <si>
    <t>کد324نوشهر</t>
  </si>
  <si>
    <t>1389/08/18</t>
  </si>
  <si>
    <t>شعبه 348 بهشهر</t>
  </si>
  <si>
    <t>1389/07/21</t>
  </si>
  <si>
    <t>1399/03/21</t>
  </si>
  <si>
    <t>366 چالوس</t>
  </si>
  <si>
    <t>1402/03/17</t>
  </si>
  <si>
    <t>434 نور</t>
  </si>
  <si>
    <t>1389/07/25</t>
  </si>
  <si>
    <t>1398/04/29</t>
  </si>
  <si>
    <t>468 آمل</t>
  </si>
  <si>
    <t>1390/02/28</t>
  </si>
  <si>
    <t>شعبه شریعتی بابل</t>
  </si>
  <si>
    <t>1391/02/17</t>
  </si>
  <si>
    <t>کد(257پورت مادر ) ساری</t>
  </si>
  <si>
    <t>1392/01/18</t>
  </si>
  <si>
    <t>شعبه  326 - ساری</t>
  </si>
  <si>
    <t>شعبه  18دی کد 256ساری</t>
  </si>
  <si>
    <t>شعبه 282- ساری</t>
  </si>
  <si>
    <t>1393/01/24</t>
  </si>
  <si>
    <t>شعبه  283- نکا</t>
  </si>
  <si>
    <t>1393/01/26</t>
  </si>
  <si>
    <t>شعبه 291- بابل</t>
  </si>
  <si>
    <t>1393/05/19</t>
  </si>
  <si>
    <t>شعبه 310- بابلسر</t>
  </si>
  <si>
    <t>1393/01/27</t>
  </si>
  <si>
    <t>شعبه  کد311 - قائمشهر</t>
  </si>
  <si>
    <t>1393/02/03</t>
  </si>
  <si>
    <t>شعبه 324- نوشهر</t>
  </si>
  <si>
    <t>کد 348بهشهر</t>
  </si>
  <si>
    <t>شعبه366- چالوس</t>
  </si>
  <si>
    <t>1393/01/31</t>
  </si>
  <si>
    <t>شعبه 434- نور</t>
  </si>
  <si>
    <t>1393/01/30</t>
  </si>
  <si>
    <t>شعبه449- محموداباد</t>
  </si>
  <si>
    <t>1393/02/02</t>
  </si>
  <si>
    <t>شعبه 468- امل</t>
  </si>
  <si>
    <t>شعبه مدرس بابل</t>
  </si>
  <si>
    <t>شعبه257 - بابل</t>
  </si>
  <si>
    <t>PTP-Norota</t>
  </si>
  <si>
    <t>1401/08/01</t>
  </si>
  <si>
    <t>1404/06/01</t>
  </si>
  <si>
    <t>ارتباط نورونتا تهران سمنان</t>
  </si>
  <si>
    <t>مخابرات ایران</t>
  </si>
  <si>
    <t>1394/02/22</t>
  </si>
  <si>
    <t>شعبه مجتمع تجاری امام علی  اراک</t>
  </si>
  <si>
    <t>مرکزي</t>
  </si>
  <si>
    <t>1395/06/16</t>
  </si>
  <si>
    <t>موسسه اعتباری عسکریه مادرمیانی شماره دو هواوی</t>
  </si>
  <si>
    <t>1389/05/13</t>
  </si>
  <si>
    <t>حوزه  اراک( مادر میانی تلبس) </t>
  </si>
  <si>
    <t>1399/11/28</t>
  </si>
  <si>
    <t>شعبه خیابان شهید بهشتی اراک</t>
  </si>
  <si>
    <t>1390/05/11</t>
  </si>
  <si>
    <t>حوزه ( مادرمیانی شماره یک هوآیی)</t>
  </si>
  <si>
    <t>1399/04/31</t>
  </si>
  <si>
    <t>شعبه اراک</t>
  </si>
  <si>
    <t>1394/10/06</t>
  </si>
  <si>
    <t>شعبه  ساوه</t>
  </si>
  <si>
    <t>1401/07/22</t>
  </si>
  <si>
    <t>شعبه خمین</t>
  </si>
  <si>
    <t>شعبه دلیجان</t>
  </si>
  <si>
    <t>1393/02/20</t>
  </si>
  <si>
    <t>1392/12/24</t>
  </si>
  <si>
    <t>شعبه امیرکبیراراک</t>
  </si>
  <si>
    <t>1393/08/06</t>
  </si>
  <si>
    <t>حوزه مرکزی</t>
  </si>
  <si>
    <t>1393/08/07</t>
  </si>
  <si>
    <t>شعبه ساوه</t>
  </si>
  <si>
    <t>1393/04/30</t>
  </si>
  <si>
    <t>1398/12/24</t>
  </si>
  <si>
    <t>شعبه خیابان دانشگاه اراک</t>
  </si>
  <si>
    <t>1395/02/11</t>
  </si>
  <si>
    <t>موسسه  اعتباری ملل مادر میانی2</t>
  </si>
  <si>
    <t>1396/06/27</t>
  </si>
  <si>
    <t>شعبه کیش</t>
  </si>
  <si>
    <t>1396/06/17</t>
  </si>
  <si>
    <t>1398/06/04</t>
  </si>
  <si>
    <t>1400/07/01</t>
  </si>
  <si>
    <t>شعبه قشم</t>
  </si>
  <si>
    <t>1398/06/05</t>
  </si>
  <si>
    <t>1398/08/20</t>
  </si>
  <si>
    <t>شعبه شاخص 560</t>
  </si>
  <si>
    <t>1403/02/12</t>
  </si>
  <si>
    <t>شعبه میناب شاخص 429</t>
  </si>
  <si>
    <t>1389/10/19</t>
  </si>
  <si>
    <t>1395/08/10</t>
  </si>
  <si>
    <t>مجتمع قدس</t>
  </si>
  <si>
    <t>دفترخانه31</t>
  </si>
  <si>
    <t>1397/05/10</t>
  </si>
  <si>
    <t>1394/07/07</t>
  </si>
  <si>
    <t>1400/06/08</t>
  </si>
  <si>
    <t>شعبه ارامگاه بوعلی</t>
  </si>
  <si>
    <t>1389/11/19</t>
  </si>
  <si>
    <t>شعبه ملایر</t>
  </si>
  <si>
    <t>1392/04/30</t>
  </si>
  <si>
    <t>شعبه بوعلی</t>
  </si>
  <si>
    <t>1392/04/31</t>
  </si>
  <si>
    <t>1392/07/22</t>
  </si>
  <si>
    <t>1393/04/04</t>
  </si>
  <si>
    <t>يزد</t>
  </si>
  <si>
    <t>1396/04/04</t>
  </si>
  <si>
    <t>1396/04/05</t>
  </si>
  <si>
    <t>1397/08/12</t>
  </si>
  <si>
    <t>خود پردازبرج الهیه نواب</t>
  </si>
  <si>
    <t>1397/07/30</t>
  </si>
  <si>
    <t>1398/08/13</t>
  </si>
  <si>
    <t>مجتمع صدف</t>
  </si>
  <si>
    <t>1391/11/08</t>
  </si>
  <si>
    <t>1404/05/18</t>
  </si>
  <si>
    <t>1402/05/03</t>
  </si>
  <si>
    <t>شعبه صفاییه</t>
  </si>
  <si>
    <t>1392/10/04</t>
  </si>
  <si>
    <t>موسشعبه بلوارجمهوری</t>
  </si>
  <si>
    <t>بلوار جمهوری</t>
  </si>
  <si>
    <t>1393/02/28</t>
  </si>
  <si>
    <t>صفاییه</t>
  </si>
  <si>
    <t>1393/05/11</t>
  </si>
  <si>
    <t>شعبه کاشانی</t>
  </si>
  <si>
    <t>هزینه برای 3 ماه می باشد(1404/07/12 الی 1405/10/12)</t>
  </si>
  <si>
    <t>Ip  استاتیک</t>
  </si>
  <si>
    <t>----</t>
  </si>
  <si>
    <t>128 Kbps</t>
  </si>
  <si>
    <t>10.1.133.184/30</t>
  </si>
  <si>
    <t>10.1.142.144/30</t>
  </si>
  <si>
    <t>10.1.133.148/30</t>
  </si>
  <si>
    <t>10.1.133.172/30</t>
  </si>
  <si>
    <t>10.1.129.216/30</t>
  </si>
  <si>
    <t>10.1.137.120/30</t>
  </si>
  <si>
    <t>10.1.137.116/30</t>
  </si>
  <si>
    <t>10.1.137.112/30</t>
  </si>
  <si>
    <t>10.1.140.224/30</t>
  </si>
  <si>
    <t>10.1.140.228/30</t>
  </si>
  <si>
    <t>10.1.136.196/30</t>
  </si>
  <si>
    <t>10.1.136.156/30</t>
  </si>
  <si>
    <t>10.1.136.192/30</t>
  </si>
  <si>
    <t>10.1.137.84/30</t>
  </si>
  <si>
    <t>10.1.137.80/30</t>
  </si>
  <si>
    <t>10.1.135.120/30</t>
  </si>
  <si>
    <t>10.1.135.68/30</t>
  </si>
  <si>
    <t>10.1.135.112/30</t>
  </si>
  <si>
    <t>10.1.135.48/30</t>
  </si>
  <si>
    <t>10.1.135.104/30</t>
  </si>
  <si>
    <t>10.1.128.196/30</t>
  </si>
  <si>
    <t>10.1.128.208/30</t>
  </si>
  <si>
    <t>10.1.128.192/30</t>
  </si>
  <si>
    <t>10.1.129.88/30</t>
  </si>
  <si>
    <t>10.1.138.64/30</t>
  </si>
  <si>
    <t>10.1.128.156/30</t>
  </si>
  <si>
    <t>10.1.128.212/30</t>
  </si>
  <si>
    <t>10.1.131.212/30</t>
  </si>
  <si>
    <t>10.1.131.164/30</t>
  </si>
  <si>
    <t>10.1.128.172/30</t>
  </si>
  <si>
    <t>10.1.138.208/30</t>
  </si>
  <si>
    <t>10.1.138.72/30</t>
  </si>
  <si>
    <t>10.1.138.68/30</t>
  </si>
  <si>
    <t>10.1.129.92/30</t>
  </si>
  <si>
    <t>10.1.128.80/30</t>
  </si>
  <si>
    <t>10.1.143.128/30</t>
  </si>
  <si>
    <t>10.1.142.184/30</t>
  </si>
  <si>
    <t>10.1.142.240/30</t>
  </si>
  <si>
    <t>10.1.134.184/30</t>
  </si>
  <si>
    <t>10.1.133.192/30</t>
  </si>
  <si>
    <t>10.1.133.236/30</t>
  </si>
  <si>
    <t>10.1.131.188/30</t>
  </si>
  <si>
    <t>10.1.130.44/30</t>
  </si>
  <si>
    <t>10.1.128.88/30</t>
  </si>
  <si>
    <t>10.1.141.216/30</t>
  </si>
  <si>
    <t>10.1.141.220/30</t>
  </si>
  <si>
    <t>10.1.142.60/30</t>
  </si>
  <si>
    <t>10.1.135.124/30</t>
  </si>
  <si>
    <t>10.1.134.12/30</t>
  </si>
  <si>
    <t>10.1.131.56/30</t>
  </si>
  <si>
    <t>10.1.128.140/30</t>
  </si>
  <si>
    <t>10.1.141.84/30</t>
  </si>
  <si>
    <t>10.1.132.84/30</t>
  </si>
  <si>
    <t>10.1.128.116/30</t>
  </si>
  <si>
    <t>10.1.128.128/30</t>
  </si>
  <si>
    <t>10.1.128.148/30</t>
  </si>
  <si>
    <t>10.1.135.60/30</t>
  </si>
  <si>
    <t>10.1.131.184/30</t>
  </si>
  <si>
    <t>10.1.131.208/30</t>
  </si>
  <si>
    <t>10.1.128.152/30</t>
  </si>
  <si>
    <t>10.1.135.148/30</t>
  </si>
  <si>
    <t>10.1.134.188/30</t>
  </si>
  <si>
    <t>10.1.132.80/30</t>
  </si>
  <si>
    <t>10.1.133.232/30</t>
  </si>
  <si>
    <t>10.1.133.188/30</t>
  </si>
  <si>
    <t>10.1.134.196/30</t>
  </si>
  <si>
    <t>10.1.142.232/30</t>
  </si>
  <si>
    <t>10.1.142.164/30</t>
  </si>
  <si>
    <t>10.1.130.124/30</t>
  </si>
  <si>
    <t>10.1.142.152/30</t>
  </si>
  <si>
    <t>10.1.135.52/30</t>
  </si>
  <si>
    <t>10.1.128.132/30</t>
  </si>
  <si>
    <t>10.1.128.112/30</t>
  </si>
  <si>
    <t>10.1.135.64/30</t>
  </si>
  <si>
    <t>10.1.142.88/30</t>
  </si>
  <si>
    <t>6,512,400</t>
  </si>
  <si>
    <t>405571</t>
  </si>
  <si>
    <t>507688</t>
  </si>
  <si>
    <t>507687</t>
  </si>
  <si>
    <r>
      <rPr>
        <sz val="11"/>
        <rFont val="B Nazanin"/>
        <charset val="178"/>
      </rPr>
      <t>20</t>
    </r>
    <r>
      <rPr>
        <sz val="11"/>
        <color theme="0"/>
        <rFont val="B Nazanin"/>
        <charset val="178"/>
      </rPr>
      <t xml:space="preserve"> </t>
    </r>
    <r>
      <rPr>
        <sz val="11"/>
        <rFont val="B Nazanin"/>
        <charset val="178"/>
      </rPr>
      <t>Mb</t>
    </r>
  </si>
  <si>
    <t>تناقض دارد 2 مگ است در مخابرات</t>
  </si>
  <si>
    <t>تناقض دارد 4 مگ است در فایل خودمان</t>
  </si>
  <si>
    <t>507689</t>
  </si>
  <si>
    <t>تناقض دارد 1 مگ است در مخابرات</t>
  </si>
  <si>
    <t>507693</t>
  </si>
  <si>
    <t>507691</t>
  </si>
  <si>
    <t>تناقض دارد 3.5 مگ است در مخابرات</t>
  </si>
  <si>
    <t>531054</t>
  </si>
  <si>
    <t>507692</t>
  </si>
  <si>
    <t>518541</t>
  </si>
  <si>
    <t>531056</t>
  </si>
  <si>
    <t>531052</t>
  </si>
  <si>
    <t>405572</t>
  </si>
  <si>
    <t>405576</t>
  </si>
  <si>
    <r>
      <t xml:space="preserve">TDFV </t>
    </r>
    <r>
      <rPr>
        <b/>
        <sz val="11"/>
        <rFont val="B Nazanin"/>
        <charset val="178"/>
      </rPr>
      <t>فیبر دسترسی</t>
    </r>
  </si>
  <si>
    <t>هزینه ماهیانه پهنای باند(ریال)</t>
  </si>
  <si>
    <t>هزینه باند فرکانسی</t>
  </si>
  <si>
    <t>یکبار درزمان نصب</t>
  </si>
  <si>
    <t>مجموع:</t>
  </si>
  <si>
    <t>اینترنت ساختمان 68 شرقی</t>
  </si>
  <si>
    <t>31عدد سرویس MPLSدرکشور</t>
  </si>
  <si>
    <t>271Mb</t>
  </si>
  <si>
    <t>524012</t>
  </si>
  <si>
    <t>647227</t>
  </si>
  <si>
    <t>2/5 Mb</t>
  </si>
  <si>
    <t>609139</t>
  </si>
  <si>
    <t>درلیست مخابرات نیست</t>
  </si>
  <si>
    <t>524018</t>
  </si>
  <si>
    <t>524017</t>
  </si>
  <si>
    <t>609144</t>
  </si>
  <si>
    <t>609145</t>
  </si>
  <si>
    <t>655463</t>
  </si>
  <si>
    <t>613514</t>
  </si>
  <si>
    <t>PTMP2-VPLS</t>
  </si>
  <si>
    <t xml:space="preserve">درفایل ما 2 ولی در مخابرات 2/5 مگ </t>
  </si>
  <si>
    <t>594798</t>
  </si>
  <si>
    <t>538589</t>
  </si>
  <si>
    <t>PTP-VPLS</t>
  </si>
  <si>
    <t>هزینه-14040910</t>
  </si>
  <si>
    <t>548021</t>
  </si>
  <si>
    <t>548022</t>
  </si>
  <si>
    <t>593923</t>
  </si>
  <si>
    <t>548024</t>
  </si>
  <si>
    <t>593924</t>
  </si>
  <si>
    <t>639441</t>
  </si>
  <si>
    <t>631919</t>
  </si>
  <si>
    <t>درفایل مخابرات نیست</t>
  </si>
  <si>
    <t>548626</t>
  </si>
  <si>
    <t>درفایل 1 ولی در فایل مخابرات 2 مگ است</t>
  </si>
  <si>
    <t>608427</t>
  </si>
  <si>
    <t>548482</t>
  </si>
  <si>
    <t>608434</t>
  </si>
  <si>
    <t>548486</t>
  </si>
  <si>
    <t>548502</t>
  </si>
  <si>
    <t>548506</t>
  </si>
  <si>
    <t>543886</t>
  </si>
  <si>
    <t>608433</t>
  </si>
  <si>
    <t>548665</t>
  </si>
  <si>
    <t>628026</t>
  </si>
  <si>
    <t>653006</t>
  </si>
  <si>
    <t>661019</t>
  </si>
  <si>
    <t>40 Mb</t>
  </si>
  <si>
    <t xml:space="preserve"> مرکز امام MPLS</t>
  </si>
  <si>
    <t>مرکز مطهریMPLS-VPN</t>
  </si>
  <si>
    <t>9602031004</t>
  </si>
  <si>
    <t>593872</t>
  </si>
  <si>
    <t>9602023870</t>
  </si>
  <si>
    <t>960Kb</t>
  </si>
  <si>
    <t>9602023865</t>
  </si>
  <si>
    <t>9602023880</t>
  </si>
  <si>
    <t>9602023850</t>
  </si>
  <si>
    <t>9602031127</t>
  </si>
  <si>
    <t>درفایل 1 ولی درمخابرات 2 مگ است-کاهش داده شود</t>
  </si>
  <si>
    <t>657023</t>
  </si>
  <si>
    <t>9602027655</t>
  </si>
  <si>
    <t>9602031137</t>
  </si>
  <si>
    <t>درفایل 1 ولی درمخابرات 4 مگ است-کاهش داده شود</t>
  </si>
  <si>
    <t>9602023847</t>
  </si>
  <si>
    <t>9602023856</t>
  </si>
  <si>
    <t>657407</t>
  </si>
  <si>
    <t>9702058760</t>
  </si>
  <si>
    <t>590266</t>
  </si>
  <si>
    <t>9602023839</t>
  </si>
  <si>
    <t>657048</t>
  </si>
  <si>
    <t>9902216165</t>
  </si>
  <si>
    <t>9602025058</t>
  </si>
  <si>
    <t>40102364207</t>
  </si>
  <si>
    <t>521036</t>
  </si>
  <si>
    <t>9902216212</t>
  </si>
  <si>
    <t>657046</t>
  </si>
  <si>
    <t>9602039821</t>
  </si>
  <si>
    <t>9602023845</t>
  </si>
  <si>
    <t>657032</t>
  </si>
  <si>
    <t xml:space="preserve"> شعبه الهیه 392</t>
  </si>
  <si>
    <t>254035126149</t>
  </si>
  <si>
    <t>12,168,000</t>
  </si>
  <si>
    <t>545139</t>
  </si>
  <si>
    <t>9702099034</t>
  </si>
  <si>
    <t>650275</t>
  </si>
  <si>
    <t>8,960,000</t>
  </si>
  <si>
    <t>9602029431</t>
  </si>
  <si>
    <t>دایر است ولی هزینه ای براش صادر نمیشه و صفره</t>
  </si>
  <si>
    <t>نامه کاهش ثبت شد</t>
  </si>
  <si>
    <t xml:space="preserve">دایر است ولی هزینه ای براش صادر نمی شود </t>
  </si>
  <si>
    <t>بخاطر فیبر بودن حداقل 2 مگ</t>
  </si>
  <si>
    <t>جمع آوری شده و اترنتی شده</t>
  </si>
  <si>
    <t>اجاره تجهیزات</t>
  </si>
  <si>
    <t>هزینه برای3 ماه می باشد(1404/03/27 الی 1404/6/26) -کلا 116 ایستگاه است که  55 ایستگاه هزینه ندارد-هزینه هاب 454.800.000 ریال است</t>
  </si>
  <si>
    <t>دوره 6 ماهه</t>
  </si>
  <si>
    <t xml:space="preserve"> و درست است 2.1 مگ است</t>
  </si>
  <si>
    <t>3 مگ درست است</t>
  </si>
  <si>
    <t>2 مگ درست است</t>
  </si>
  <si>
    <t>1 مگ درست است</t>
  </si>
  <si>
    <t>3.5 مگ درست است</t>
  </si>
  <si>
    <t>627724</t>
  </si>
  <si>
    <t>9902217226</t>
  </si>
  <si>
    <t>541752</t>
  </si>
  <si>
    <t>650143</t>
  </si>
  <si>
    <t>648457</t>
  </si>
  <si>
    <t>642484</t>
  </si>
  <si>
    <t>595179</t>
  </si>
  <si>
    <t>25403767806</t>
  </si>
  <si>
    <t>662174</t>
  </si>
  <si>
    <t>25402767713</t>
  </si>
  <si>
    <t>613432</t>
  </si>
  <si>
    <t>536382</t>
  </si>
  <si>
    <t>640705</t>
  </si>
  <si>
    <t>573004</t>
  </si>
  <si>
    <t>9702063463</t>
  </si>
  <si>
    <t>607240</t>
  </si>
  <si>
    <t>536410</t>
  </si>
  <si>
    <t>536391</t>
  </si>
  <si>
    <t>536429</t>
  </si>
  <si>
    <t>607199</t>
  </si>
  <si>
    <t>536436</t>
  </si>
  <si>
    <t>607219</t>
  </si>
  <si>
    <t>538363</t>
  </si>
  <si>
    <t>536383</t>
  </si>
  <si>
    <t>607229</t>
  </si>
  <si>
    <t>538368</t>
  </si>
  <si>
    <t>644557</t>
  </si>
  <si>
    <t>649608</t>
  </si>
  <si>
    <t>650128</t>
  </si>
  <si>
    <t>609602</t>
  </si>
  <si>
    <t>547611</t>
  </si>
  <si>
    <t>609603</t>
  </si>
  <si>
    <t>547613</t>
  </si>
  <si>
    <t>547614</t>
  </si>
  <si>
    <t>547618</t>
  </si>
  <si>
    <t>547619</t>
  </si>
  <si>
    <t>547620</t>
  </si>
  <si>
    <t>547621</t>
  </si>
  <si>
    <t>547622</t>
  </si>
  <si>
    <t>547624</t>
  </si>
  <si>
    <t>612671</t>
  </si>
  <si>
    <t>631542</t>
  </si>
  <si>
    <t>548291</t>
  </si>
  <si>
    <t>548294</t>
  </si>
  <si>
    <t>548317</t>
  </si>
  <si>
    <t>548293</t>
  </si>
  <si>
    <t>651917</t>
  </si>
  <si>
    <t>542136</t>
  </si>
  <si>
    <t>550611</t>
  </si>
  <si>
    <t>542137</t>
  </si>
  <si>
    <t>607214</t>
  </si>
  <si>
    <t>546782</t>
  </si>
  <si>
    <t>540634</t>
  </si>
  <si>
    <t>546860</t>
  </si>
  <si>
    <t>543105</t>
  </si>
  <si>
    <t>543107</t>
  </si>
  <si>
    <t>543109</t>
  </si>
  <si>
    <t>543108</t>
  </si>
  <si>
    <t>547571</t>
  </si>
  <si>
    <t>547572</t>
  </si>
  <si>
    <t>9702102373</t>
  </si>
  <si>
    <t xml:space="preserve"> </t>
  </si>
  <si>
    <t>تو مخابرات این پرونده نیست پرونده صحیح چیه؟</t>
  </si>
  <si>
    <t>25402665890</t>
  </si>
  <si>
    <t>9702101779</t>
  </si>
  <si>
    <t>9802208155</t>
  </si>
  <si>
    <t>9802208178-</t>
  </si>
  <si>
    <t>651138</t>
  </si>
  <si>
    <t>591234</t>
  </si>
  <si>
    <t>جمع آوری</t>
  </si>
  <si>
    <t>1.5 Mb</t>
  </si>
  <si>
    <t>896 Kb</t>
  </si>
  <si>
    <t>جمع آوری-مبین نت شده</t>
  </si>
  <si>
    <t>3.5 Mb</t>
  </si>
  <si>
    <t>پهنای باند(Kbps)</t>
  </si>
  <si>
    <t>VON-Radio Active/Standby</t>
  </si>
  <si>
    <t>10 Mb/10 Mb</t>
  </si>
  <si>
    <t>درحال راه اندازی</t>
  </si>
  <si>
    <t>امام خمینی</t>
  </si>
  <si>
    <t>Melal-6643326301-Moaseseh-Melal</t>
  </si>
  <si>
    <t>VPN ::: Melal ::: X-DSL</t>
  </si>
  <si>
    <t>10.1.128.0/29</t>
  </si>
  <si>
    <t>امام</t>
  </si>
  <si>
    <t>10.1.128.16/29</t>
  </si>
  <si>
    <t>عدالت</t>
  </si>
  <si>
    <t>10.1.128.32/29</t>
  </si>
  <si>
    <t>15 خرداد</t>
  </si>
  <si>
    <t>VPN ::: Melal ::: LTE</t>
  </si>
  <si>
    <t>10.1.128.40/29</t>
  </si>
  <si>
    <t>Melal-77915704-Moaseseh-Melalll</t>
  </si>
  <si>
    <t>آزادگان</t>
  </si>
  <si>
    <t>10.1.128.64/29</t>
  </si>
  <si>
    <t>344</t>
  </si>
  <si>
    <t>C-mojtama tejari ahoan 8483</t>
  </si>
  <si>
    <t>518</t>
  </si>
  <si>
    <t>10.1.128.84/29</t>
  </si>
  <si>
    <t>19 دی</t>
  </si>
  <si>
    <t>10.1.128.92/29</t>
  </si>
  <si>
    <t>10.1.128.96/29</t>
  </si>
  <si>
    <t>شهر صنعتی منطقه آزاد1-پاپ سایت</t>
  </si>
  <si>
    <t>10.1.128.104/29</t>
  </si>
  <si>
    <t>مازندران - BOT</t>
  </si>
  <si>
    <t>گلوگاه</t>
  </si>
  <si>
    <t>مصطفی خمینی</t>
  </si>
  <si>
    <t>453</t>
  </si>
  <si>
    <t>C-bazar bozorg nasr8531</t>
  </si>
  <si>
    <t>نکا2</t>
  </si>
  <si>
    <t>رضوی</t>
  </si>
  <si>
    <t>215</t>
  </si>
  <si>
    <t>A-labaniyat alghadir3719</t>
  </si>
  <si>
    <t>10.1.128.144/29</t>
  </si>
  <si>
    <t>میمند</t>
  </si>
  <si>
    <t>شهدا</t>
  </si>
  <si>
    <t>صابری وحید</t>
  </si>
  <si>
    <t>10.1.128.160/29</t>
  </si>
  <si>
    <t>توحید- لایزر</t>
  </si>
  <si>
    <t>Melal-9301726586-metro-milad</t>
  </si>
  <si>
    <t>493</t>
  </si>
  <si>
    <t>10.1.128.188/30</t>
  </si>
  <si>
    <t>کاظمیان- لایزر</t>
  </si>
  <si>
    <t>شیخ فضل الله</t>
  </si>
  <si>
    <t>افرا-پاپ سایت</t>
  </si>
  <si>
    <t>امام PTP</t>
  </si>
  <si>
    <t>10.1.128.216/29</t>
  </si>
  <si>
    <t>10.1.129.72/29</t>
  </si>
  <si>
    <t>قندی- لایزر</t>
  </si>
  <si>
    <t>10.1.129.104/29</t>
  </si>
  <si>
    <t>A-46223964-khalili5588-Modem.asiatech</t>
  </si>
  <si>
    <t>10.1.129.128/29</t>
  </si>
  <si>
    <t>10.1.129.192/29</t>
  </si>
  <si>
    <t>221</t>
  </si>
  <si>
    <t>A-gavsandogh nasoz ezanlo 8528</t>
  </si>
  <si>
    <t>10.1.129.220/30</t>
  </si>
  <si>
    <t>شهدا-مرکز2</t>
  </si>
  <si>
    <t>10.1.129.232/29</t>
  </si>
  <si>
    <t>10.1.129.240/29</t>
  </si>
  <si>
    <t>10.1.129.248/29</t>
  </si>
  <si>
    <t>ابیک</t>
  </si>
  <si>
    <t>10.1.130.32/29</t>
  </si>
  <si>
    <t>10.1.130.88/29</t>
  </si>
  <si>
    <t>231</t>
  </si>
  <si>
    <t>A-pelastic arab8525</t>
  </si>
  <si>
    <t>10.1.130.120/30</t>
  </si>
  <si>
    <t>عاملو</t>
  </si>
  <si>
    <t>10.1.130.128/29</t>
  </si>
  <si>
    <t>326</t>
  </si>
  <si>
    <t>C-sakhteman pezeshkan alef8526</t>
  </si>
  <si>
    <t>10.1.130.224/30</t>
  </si>
  <si>
    <t>473</t>
  </si>
  <si>
    <t>A-mojtama shahab parvaz8538</t>
  </si>
  <si>
    <t>10.1.130.228/30</t>
  </si>
  <si>
    <t>الهیه</t>
  </si>
  <si>
    <t>Melal-77100256-Shahrak-Shahid-Beheshti-Nastaran</t>
  </si>
  <si>
    <t>خواجه ربیع</t>
  </si>
  <si>
    <t>10.1.131.112/29</t>
  </si>
  <si>
    <t>519</t>
  </si>
  <si>
    <t>C-sport car8544</t>
  </si>
  <si>
    <t>10.1.131.160/30</t>
  </si>
  <si>
    <t>حسابی</t>
  </si>
  <si>
    <t>266</t>
  </si>
  <si>
    <t>A-amozesh parvaresh nahie4-8537</t>
  </si>
  <si>
    <t>10.1.131.168/30</t>
  </si>
  <si>
    <t>طلاب</t>
  </si>
  <si>
    <t>10.1.131.200/29</t>
  </si>
  <si>
    <t>فجر</t>
  </si>
  <si>
    <t>مدرس</t>
  </si>
  <si>
    <t>10.1.131.248/29</t>
  </si>
  <si>
    <t>10.1.132.8/29</t>
  </si>
  <si>
    <t>10.1.132.40/29</t>
  </si>
  <si>
    <t>شعبه شیخ صدوق 249</t>
  </si>
  <si>
    <t>C-mojtama maskoni baharan 8482</t>
  </si>
  <si>
    <t>شعبه شوشتر 538</t>
  </si>
  <si>
    <t>C-khar o bar foroshi baradaran ghadrdan 8476</t>
  </si>
  <si>
    <t>10.1.132.72/29</t>
  </si>
  <si>
    <t>مطهری</t>
  </si>
  <si>
    <t>Melal-3155570035-MarkazBatry-Kashan</t>
  </si>
  <si>
    <t>10.1.132.88/29</t>
  </si>
  <si>
    <t>دستوری</t>
  </si>
  <si>
    <t>borj tehran</t>
  </si>
  <si>
    <t>10.1.132.128/29</t>
  </si>
  <si>
    <t>امت</t>
  </si>
  <si>
    <t>10.1.132.144/29</t>
  </si>
  <si>
    <t>10.1.132.168/29</t>
  </si>
  <si>
    <t>انقلاب</t>
  </si>
  <si>
    <t>10.1.132.184/29</t>
  </si>
  <si>
    <t>10.1.133.64/29</t>
  </si>
  <si>
    <t>10.1.133.104/29</t>
  </si>
  <si>
    <t>استقلال</t>
  </si>
  <si>
    <t>10.1.133.128/29</t>
  </si>
  <si>
    <t>C-kanon bazneshastegan sepah maraghe8344</t>
  </si>
  <si>
    <t>C-namayandegi isako norani 8342</t>
  </si>
  <si>
    <t>امیرکبیر - پاپ سایت</t>
  </si>
  <si>
    <t>گلستان - بیت استریم مخابرات</t>
  </si>
  <si>
    <t>اسدی</t>
  </si>
  <si>
    <t>C-foroshgah kalis8316</t>
  </si>
  <si>
    <t>5 تن</t>
  </si>
  <si>
    <t>C-daftar pishkhan dolat 8497</t>
  </si>
  <si>
    <t>C-amozeshgah ranandegi parasto8485</t>
  </si>
  <si>
    <t>A-amlak iji4029</t>
  </si>
  <si>
    <t>10.1.134.8/30</t>
  </si>
  <si>
    <t>Melal-9045916168-clinic-Tabasom</t>
  </si>
  <si>
    <t>دهقانی</t>
  </si>
  <si>
    <t>10.1.134.72/29</t>
  </si>
  <si>
    <t>10.1.134.104/29</t>
  </si>
  <si>
    <t>538</t>
  </si>
  <si>
    <t>C-khar bar foroshi 7768</t>
  </si>
  <si>
    <t>10.1.134.132/30</t>
  </si>
  <si>
    <t>C-daftar khadamat electronik entezami polic10</t>
  </si>
  <si>
    <t>C-22701705-borj maskoni Elahiye4745</t>
  </si>
  <si>
    <t>10.1.134.248/29</t>
  </si>
  <si>
    <t>بهنمیر</t>
  </si>
  <si>
    <t>222</t>
  </si>
  <si>
    <t>C-dam v tior madad8535</t>
  </si>
  <si>
    <t>10.1.135.56/30</t>
  </si>
  <si>
    <t>C-sarzamin ghahve 2-8385</t>
  </si>
  <si>
    <t>C-foroshgah tajhizat keshavarzi haji zade8383</t>
  </si>
  <si>
    <t>511</t>
  </si>
  <si>
    <t>A-zayeat foroshi afsariye-4057</t>
  </si>
  <si>
    <t>ملت</t>
  </si>
  <si>
    <t>435</t>
  </si>
  <si>
    <t>C-mojtama eghamati besat8539</t>
  </si>
  <si>
    <t>10.1.135.144/30</t>
  </si>
  <si>
    <t>10.1.135.152/29</t>
  </si>
  <si>
    <t>C-mojtama tejari atlas8496</t>
  </si>
  <si>
    <t>299</t>
  </si>
  <si>
    <t>A-poshak zinal jeen8493</t>
  </si>
  <si>
    <t>10.1.135.196/30</t>
  </si>
  <si>
    <t>10.1.136.0/29</t>
  </si>
  <si>
    <t>صدوقی 1</t>
  </si>
  <si>
    <t>10.1.136.64/29</t>
  </si>
  <si>
    <t>10.1.136.88/29</t>
  </si>
  <si>
    <t>C-parde foroshi saber8492</t>
  </si>
  <si>
    <t xml:space="preserve">مازندران </t>
  </si>
  <si>
    <t>قایم شهر</t>
  </si>
  <si>
    <t>311</t>
  </si>
  <si>
    <t>C-ghanadi sepahsalar8489</t>
  </si>
  <si>
    <t>جماران</t>
  </si>
  <si>
    <t>10.1.136.152/29</t>
  </si>
  <si>
    <t>484</t>
  </si>
  <si>
    <t>C-mojtama maskoni mahab8486</t>
  </si>
  <si>
    <t>C-parking-shalbaf4249</t>
  </si>
  <si>
    <t>C-chap v taksir etehad8488</t>
  </si>
  <si>
    <t>C-fast food kelva8490</t>
  </si>
  <si>
    <t>جعفری</t>
  </si>
  <si>
    <t>10.1.137.104/29</t>
  </si>
  <si>
    <t>الغدیر</t>
  </si>
  <si>
    <t>10.1.137.168/29</t>
  </si>
  <si>
    <t>C-foroshgah electriki iman6750</t>
  </si>
  <si>
    <t>10.1.138.8/29</t>
  </si>
  <si>
    <t>10.1.138.32/29</t>
  </si>
  <si>
    <t>10.1.138.80/29</t>
  </si>
  <si>
    <t>C-payane mosaferbari neyshabor6814</t>
  </si>
  <si>
    <t>257</t>
  </si>
  <si>
    <t>C-lavazem ghanadi saeed8527</t>
  </si>
  <si>
    <t>465</t>
  </si>
  <si>
    <t>C-sakhteman pezeshkan heydari8518</t>
  </si>
  <si>
    <t>10.1.138.184/29</t>
  </si>
  <si>
    <t>462</t>
  </si>
  <si>
    <t>C-yaran daryan8500</t>
  </si>
  <si>
    <t>C-meydan mive tare bar jadid8505</t>
  </si>
  <si>
    <t>10.1.138.244/30</t>
  </si>
  <si>
    <t>10.1.139.24/29</t>
  </si>
  <si>
    <t>10.1.139.40/29</t>
  </si>
  <si>
    <t>10.1.139.96/29</t>
  </si>
  <si>
    <t>مشاهیر</t>
  </si>
  <si>
    <t>C-lastic bartar8504</t>
  </si>
  <si>
    <t>10.1.139.104/30</t>
  </si>
  <si>
    <t>341</t>
  </si>
  <si>
    <t>A-abzar yaragh gordan8502</t>
  </si>
  <si>
    <t>حکیم الهی</t>
  </si>
  <si>
    <t>10.1.139.128/29</t>
  </si>
  <si>
    <t>10.1.139.136/29</t>
  </si>
  <si>
    <t>اسرار</t>
  </si>
  <si>
    <t>Melal-5144454484-Foroshka-Lavazemyadki</t>
  </si>
  <si>
    <t>10.1.139.232/29</t>
  </si>
  <si>
    <t>10.1.139.240/29</t>
  </si>
  <si>
    <t>10.1.140.16/29</t>
  </si>
  <si>
    <t>Melal-1333225643-Charmchi</t>
  </si>
  <si>
    <t>10.1.140.40/29</t>
  </si>
  <si>
    <t>چمران - پاپ سایت</t>
  </si>
  <si>
    <t>10.1.141.24/29</t>
  </si>
  <si>
    <t>میلان - پاپ سایت</t>
  </si>
  <si>
    <t>7 تیر</t>
  </si>
  <si>
    <t>10.1.141.56/29</t>
  </si>
  <si>
    <t>10.1.141.80/30</t>
  </si>
  <si>
    <t>لنگه</t>
  </si>
  <si>
    <t>413</t>
  </si>
  <si>
    <t>313</t>
  </si>
  <si>
    <t>C-farsh hoseini8498</t>
  </si>
  <si>
    <t>10.1.141.96/29</t>
  </si>
  <si>
    <t>10.1.141.112/29</t>
  </si>
  <si>
    <t>10.1.141.120/29</t>
  </si>
  <si>
    <t>283</t>
  </si>
  <si>
    <t>C-dampezeshki neka 8508</t>
  </si>
  <si>
    <t>مرزداران</t>
  </si>
  <si>
    <t>532</t>
  </si>
  <si>
    <t>C-mojtama maskoni iraniyan8506</t>
  </si>
  <si>
    <t>C-pasazh obodi8519</t>
  </si>
  <si>
    <t>10.1.141.172/30</t>
  </si>
  <si>
    <t>348</t>
  </si>
  <si>
    <t>C-kharbar foroshi namashon 8532</t>
  </si>
  <si>
    <t>10.1.141.196/30</t>
  </si>
  <si>
    <t>C-shirini foroshi asal 7696</t>
  </si>
  <si>
    <t>10.1.142.20/30</t>
  </si>
  <si>
    <t>پرستش</t>
  </si>
  <si>
    <t>C-foroshgah sabzevari7636</t>
  </si>
  <si>
    <t>C-super ekbatan7711</t>
  </si>
  <si>
    <t>10.1.142.64/30</t>
  </si>
  <si>
    <t>C-foroshgah lavazem yadaki mashinalat rashidi8406</t>
  </si>
  <si>
    <t>C-Moshaver amak shiraz7810</t>
  </si>
  <si>
    <t>10.1.142.96/30</t>
  </si>
  <si>
    <t>C-tasfie ab azadi 7816</t>
  </si>
  <si>
    <t>10.1.142.100/30</t>
  </si>
  <si>
    <t>C-kharazi-telka</t>
  </si>
  <si>
    <t>10.1.142.104/30</t>
  </si>
  <si>
    <t>C-shahrak shahid beheshti7774</t>
  </si>
  <si>
    <t>10.1.142.108/30</t>
  </si>
  <si>
    <t>C-matab sono dr hasan farshchi7832</t>
  </si>
  <si>
    <t>10.1.142.124/30</t>
  </si>
  <si>
    <t>10.1.142.128/30</t>
  </si>
  <si>
    <t>فداییان اسلام</t>
  </si>
  <si>
    <t>آقابابائی</t>
  </si>
  <si>
    <t>آیت الله بروجردی</t>
  </si>
  <si>
    <t>A-moshaver amlak resalat</t>
  </si>
  <si>
    <t>Melal-3134462286-Foroshgah-Esfehan</t>
  </si>
  <si>
    <t>10.1.142.168/30</t>
  </si>
  <si>
    <t>C-super market rajabi8066</t>
  </si>
  <si>
    <t>C-pasazh ghaem modiriyat8434 t3</t>
  </si>
  <si>
    <t>حق شناس</t>
  </si>
  <si>
    <t>C-sina safar 8049</t>
  </si>
  <si>
    <t>C-mobil ehsan sori4270</t>
  </si>
  <si>
    <t>فرشچی</t>
  </si>
  <si>
    <t>Cmojtama arayeshi sayna8435</t>
  </si>
  <si>
    <t>C-nan hajim 8446</t>
  </si>
  <si>
    <t>A-super ebrahimi 3972</t>
  </si>
  <si>
    <t>درگز255</t>
  </si>
  <si>
    <t>A-mavad ghazaei faroghi 3773</t>
  </si>
  <si>
    <t>10.1.143.236/30</t>
  </si>
  <si>
    <t>ابن سینا</t>
  </si>
  <si>
    <t>C-tazenat sakhteman ide 8444</t>
  </si>
  <si>
    <t>A-mavad ghazaei shajee 4129</t>
  </si>
  <si>
    <t>A-taxi telephoni kanan4075 4090</t>
  </si>
  <si>
    <t>10.1.144.4/30</t>
  </si>
  <si>
    <t>10.1.144.16/30</t>
  </si>
  <si>
    <t>C-sakhteman sarvenaz8503</t>
  </si>
  <si>
    <t>C-mojamate-tejare22-bahman-8131</t>
  </si>
  <si>
    <t>10.1.144.48/30</t>
  </si>
  <si>
    <t>C-abzar alat keshavarzi davari6905</t>
  </si>
  <si>
    <t>10.1.144.56/30</t>
  </si>
  <si>
    <t>C-bazar mobile almas marand6209</t>
  </si>
  <si>
    <t>10.1.144.60/30</t>
  </si>
  <si>
    <t>C-ti ti car center7334</t>
  </si>
  <si>
    <t>10.1.144.64/30</t>
  </si>
  <si>
    <t>C-foroshgah-asghari8155</t>
  </si>
  <si>
    <t>10.1.144.68/30</t>
  </si>
  <si>
    <t>C-hyper market saberin5321</t>
  </si>
  <si>
    <t>10.1.144.76/30</t>
  </si>
  <si>
    <t>C-pasazh miladnor7494</t>
  </si>
  <si>
    <t>10.1.144.84/30</t>
  </si>
  <si>
    <t>C-Mojtama khadamat fani MA2.6018</t>
  </si>
  <si>
    <t>10.1.144.92/30</t>
  </si>
  <si>
    <t>A-borj elize8039</t>
  </si>
  <si>
    <t>10.1.144.100/30</t>
  </si>
  <si>
    <t>A-804-173-Amlak-Pardis7966</t>
  </si>
  <si>
    <t>10.1.144.104/30</t>
  </si>
  <si>
    <t>A-mavad ghazaei korosh5347</t>
  </si>
  <si>
    <t>10.1.144.108/30</t>
  </si>
  <si>
    <t>A-super-market-bagheri4089</t>
  </si>
  <si>
    <t>10.1.144.112/30</t>
  </si>
  <si>
    <t>10.1.144.116/30</t>
  </si>
  <si>
    <t>A-isogam-sanat-bam7922</t>
  </si>
  <si>
    <t>10.1.144.120/30</t>
  </si>
  <si>
    <t>A-Arayeshgar-Pasha-Dargaz.4104</t>
  </si>
  <si>
    <t>10.1.144.128/30</t>
  </si>
  <si>
    <t>10.1.144.132/30</t>
  </si>
  <si>
    <t>A-Nan-Sonati-Rahmani4064</t>
  </si>
  <si>
    <t>10.1.144.136/30</t>
  </si>
  <si>
    <t>C-hayper-mahan8099</t>
  </si>
  <si>
    <t>10.1.144.144/30</t>
  </si>
  <si>
    <t>C-Forooshgah gheymatshekan7759</t>
  </si>
  <si>
    <t>10.1.144.148/30</t>
  </si>
  <si>
    <t>A-808-225-Metro-Dolatabad.6638</t>
  </si>
  <si>
    <t>10.1.144.156/30</t>
  </si>
  <si>
    <t>A-metro-kahrizak6640</t>
  </si>
  <si>
    <t>10.1.144.160/30</t>
  </si>
  <si>
    <t>C-foroshgah ghahve time8512</t>
  </si>
  <si>
    <t>C-istgah rah ahan ghazvin8511</t>
  </si>
  <si>
    <t>A-khar bar foroshi gol narges8509</t>
  </si>
  <si>
    <t>C-zayeat pormorad8495</t>
  </si>
  <si>
    <t>C-Bazarbozorg Mahiforoushan 5818</t>
  </si>
  <si>
    <t>C-foroshgah iran naylex6690</t>
  </si>
  <si>
    <t>C-mojtama khadamat refahi 2gholoha 7332</t>
  </si>
  <si>
    <t>10.1.144.192/30</t>
  </si>
  <si>
    <t>C-foroshgah lole golkhane jafari7002</t>
  </si>
  <si>
    <t>C-foroshgah abzar khadem8524</t>
  </si>
  <si>
    <t>A-mavad ghazaee baradaran izedi8522</t>
  </si>
  <si>
    <t>A-foroshgah amir8510</t>
  </si>
  <si>
    <t>C-masaleh sakhtemani hoseini v pesaran8414</t>
  </si>
  <si>
    <t>C-super market khodaparast8521</t>
  </si>
  <si>
    <t>C-alminium sarem8534</t>
  </si>
  <si>
    <t>10.1.144.232/30</t>
  </si>
  <si>
    <t>C-oto service molavi8533</t>
  </si>
  <si>
    <t>10.1.144.236/30</t>
  </si>
  <si>
    <t>C-sakhteman safi 8520</t>
  </si>
  <si>
    <t>C-namayandegi saipa dastaran8513</t>
  </si>
  <si>
    <t>10.1.144.244/30</t>
  </si>
  <si>
    <t>C-mosaferbari tondro 8516</t>
  </si>
  <si>
    <t>10.1.144.248/30</t>
  </si>
  <si>
    <t>المهدیPTP</t>
  </si>
  <si>
    <t>10.1.255.0/29</t>
  </si>
  <si>
    <t>10.1.255.24/29</t>
  </si>
  <si>
    <t>A-mavad ghazaei sohrab 7169</t>
  </si>
  <si>
    <t>10.1.255.128/29</t>
  </si>
  <si>
    <t>C-foroshgah ajil salamat7575</t>
  </si>
  <si>
    <t>یزدان پناه</t>
  </si>
  <si>
    <t>C-bazar gol va gyah gharb teh7665</t>
  </si>
  <si>
    <t>10.1.255.224/29</t>
  </si>
  <si>
    <t xml:space="preserve">ردیف </t>
  </si>
  <si>
    <t>نام نقطه</t>
  </si>
  <si>
    <t>کد شعبه</t>
  </si>
  <si>
    <t>پهنای باند جدید</t>
  </si>
  <si>
    <t>پهنای باند قدیم</t>
  </si>
  <si>
    <t>نوع کاربری</t>
  </si>
  <si>
    <t>هزینه</t>
  </si>
  <si>
    <t>60 Mbps</t>
  </si>
  <si>
    <t>4 Mbps</t>
  </si>
  <si>
    <t>30 Mbps</t>
  </si>
  <si>
    <t>10 Mbps</t>
  </si>
  <si>
    <t>40 Mbps</t>
  </si>
  <si>
    <t>172.22.178.59</t>
  </si>
  <si>
    <t>50 Mbps</t>
  </si>
  <si>
    <t>2 Mbps</t>
  </si>
  <si>
    <t>1 Mbps</t>
  </si>
  <si>
    <t>شعب</t>
  </si>
  <si>
    <t>539</t>
  </si>
  <si>
    <t>6.3.16.44/30</t>
  </si>
  <si>
    <t>شعبه گچساران</t>
  </si>
  <si>
    <t>melal-239</t>
  </si>
  <si>
    <t>239</t>
  </si>
  <si>
    <t>512 Kbps</t>
  </si>
  <si>
    <t>6.3.17.132/30</t>
  </si>
  <si>
    <t>شعبه  کلاهدوز</t>
  </si>
  <si>
    <t>melal-245</t>
  </si>
  <si>
    <t>245</t>
  </si>
  <si>
    <t>6.3.16.100/30</t>
  </si>
  <si>
    <t xml:space="preserve">شعبه طرحچی </t>
  </si>
  <si>
    <t>melal-298</t>
  </si>
  <si>
    <t>298</t>
  </si>
  <si>
    <t>6.3.16.64/30</t>
  </si>
  <si>
    <t xml:space="preserve">شعبه بهبهان </t>
  </si>
  <si>
    <t>melal-304</t>
  </si>
  <si>
    <t>304</t>
  </si>
  <si>
    <t>6.3.16.12/30</t>
  </si>
  <si>
    <t xml:space="preserve">شعبه اردبیل </t>
  </si>
  <si>
    <t>melal-322</t>
  </si>
  <si>
    <t>322</t>
  </si>
  <si>
    <t>6.3.18.40/29</t>
  </si>
  <si>
    <t xml:space="preserve">شعبه  ارومیه </t>
  </si>
  <si>
    <t>melal-327</t>
  </si>
  <si>
    <t>327</t>
  </si>
  <si>
    <t>6.3.16.16/30</t>
  </si>
  <si>
    <t>بازار اردبیل</t>
  </si>
  <si>
    <t>melal-328</t>
  </si>
  <si>
    <t>328</t>
  </si>
  <si>
    <t>6.3.16.32/30</t>
  </si>
  <si>
    <t xml:space="preserve">شعبه شوش دانیال </t>
  </si>
  <si>
    <t>melal-333</t>
  </si>
  <si>
    <t>333</t>
  </si>
  <si>
    <t>6.3.17.180/30</t>
  </si>
  <si>
    <t xml:space="preserve">شعبه طالقانی </t>
  </si>
  <si>
    <t>melal-347</t>
  </si>
  <si>
    <t>347</t>
  </si>
  <si>
    <t>6.3.16.20/30</t>
  </si>
  <si>
    <t>شعبه مشکین شهر</t>
  </si>
  <si>
    <t>melal-370</t>
  </si>
  <si>
    <t>370</t>
  </si>
  <si>
    <t>6.3.17.236/30</t>
  </si>
  <si>
    <t>شعبه  اهواز</t>
  </si>
  <si>
    <t>melal-378</t>
  </si>
  <si>
    <t>378</t>
  </si>
  <si>
    <t>6.3.18.88/30</t>
  </si>
  <si>
    <t xml:space="preserve">شعبه رفسنجان </t>
  </si>
  <si>
    <t>melal-384</t>
  </si>
  <si>
    <t>384</t>
  </si>
  <si>
    <t>6.3.17.72/30</t>
  </si>
  <si>
    <t xml:space="preserve">شعبه زاهدان </t>
  </si>
  <si>
    <t>melal-386</t>
  </si>
  <si>
    <t>386</t>
  </si>
  <si>
    <t>6.3.17.196/30</t>
  </si>
  <si>
    <t xml:space="preserve">شعبه سلماس </t>
  </si>
  <si>
    <t>melal-388</t>
  </si>
  <si>
    <t>388</t>
  </si>
  <si>
    <t>6.3.18.32/30</t>
  </si>
  <si>
    <t>melal-390</t>
  </si>
  <si>
    <t>390</t>
  </si>
  <si>
    <t>6.3.17.204/30</t>
  </si>
  <si>
    <t xml:space="preserve">شعبه خوی </t>
  </si>
  <si>
    <t>melal-401</t>
  </si>
  <si>
    <t>401</t>
  </si>
  <si>
    <t>6.3.17.136/30</t>
  </si>
  <si>
    <t xml:space="preserve">شعبه خرم آباد </t>
  </si>
  <si>
    <t>melal-408</t>
  </si>
  <si>
    <t>408</t>
  </si>
  <si>
    <t>6.3.18.56/29</t>
  </si>
  <si>
    <t xml:space="preserve">شعبه بندرعباس </t>
  </si>
  <si>
    <t>melal-409</t>
  </si>
  <si>
    <t>409</t>
  </si>
  <si>
    <t>6.3.16.24/30</t>
  </si>
  <si>
    <t>شعبه خلخال</t>
  </si>
  <si>
    <t>melal-420</t>
  </si>
  <si>
    <t>420</t>
  </si>
  <si>
    <t>6.3.17.212/30</t>
  </si>
  <si>
    <t xml:space="preserve">شعبه کیش </t>
  </si>
  <si>
    <t>melal-429</t>
  </si>
  <si>
    <t>429</t>
  </si>
  <si>
    <t>6.3.17.172/30</t>
  </si>
  <si>
    <t xml:space="preserve">شعبه میناب </t>
  </si>
  <si>
    <t>melal-451</t>
  </si>
  <si>
    <t>451</t>
  </si>
  <si>
    <t>6.3.17.188/30</t>
  </si>
  <si>
    <t xml:space="preserve">شعبه میاندوآب </t>
  </si>
  <si>
    <t>6.3.18.128/30</t>
  </si>
  <si>
    <t xml:space="preserve">شعبه خرمدره </t>
  </si>
  <si>
    <t xml:space="preserve">  شعبه برازجان</t>
  </si>
  <si>
    <t>melal-538</t>
  </si>
  <si>
    <t>6.3.16.84/30</t>
  </si>
  <si>
    <t xml:space="preserve"> شعبه شوشتر </t>
  </si>
  <si>
    <t>melal-540</t>
  </si>
  <si>
    <t>540</t>
  </si>
  <si>
    <t>6.3.17.164/30</t>
  </si>
  <si>
    <t xml:space="preserve">شعبه کوهدشت </t>
  </si>
  <si>
    <t>melal-541</t>
  </si>
  <si>
    <t>541</t>
  </si>
  <si>
    <t>6.3.17.116/30</t>
  </si>
  <si>
    <t xml:space="preserve">شعبه نهاوند </t>
  </si>
  <si>
    <t>6.3.18.4/30</t>
  </si>
  <si>
    <t>شعبه امیر آباد</t>
  </si>
  <si>
    <t>melal-547</t>
  </si>
  <si>
    <t>547</t>
  </si>
  <si>
    <t>6.3.16.184/30</t>
  </si>
  <si>
    <t xml:space="preserve">شعبه امیدیه </t>
  </si>
  <si>
    <t>6.3.17.60/30</t>
  </si>
  <si>
    <t xml:space="preserve">شعبه گلسار </t>
  </si>
  <si>
    <t>6.3.17.192/30</t>
  </si>
  <si>
    <t xml:space="preserve">شعبه یاسوج </t>
  </si>
  <si>
    <t>6.3.18.136/30</t>
  </si>
  <si>
    <t xml:space="preserve">شعبه بلوار توس  </t>
  </si>
  <si>
    <t>6.3.18.152/30</t>
  </si>
  <si>
    <t>شعبه مشهد</t>
  </si>
  <si>
    <t>6.3.18.228/30</t>
  </si>
  <si>
    <t>شعبه قم</t>
  </si>
  <si>
    <t>6.3.18.104/30</t>
  </si>
  <si>
    <t>خودپرداز/کش لس</t>
  </si>
  <si>
    <t xml:space="preserve">نام نقطه </t>
  </si>
  <si>
    <t>Foroodgah-s2-teranzit</t>
  </si>
  <si>
    <t>6.3.0.220/30</t>
  </si>
  <si>
    <t>فرودگاه-ترمینال 2-سالن ترانزیت</t>
  </si>
  <si>
    <t>Foroodgah-s4-teranzit</t>
  </si>
  <si>
    <t>6.3.0.224/30</t>
  </si>
  <si>
    <t>فرودگاه-ترمینال 4-سالن ترانزیت</t>
  </si>
  <si>
    <t>MELAL-Mehrabad-T1-Teranzit</t>
  </si>
  <si>
    <t>6.3.0.252/30</t>
  </si>
  <si>
    <t>فرودگاه مهرآباد-ترمینال 1-سالن ترانزیت</t>
  </si>
  <si>
    <t>MELAL-Terminal Mashhad-V1</t>
  </si>
  <si>
    <t>6.3.9.28/30</t>
  </si>
  <si>
    <t>ترمینال مسافربری مشهد-ورودی 1</t>
  </si>
  <si>
    <t>MELAL-Terminal Mashhad-V2</t>
  </si>
  <si>
    <t>6.3.9.88/30</t>
  </si>
  <si>
    <t>ترمینال مسافربری مشهد-ورودی 2</t>
  </si>
  <si>
    <t>MELAL-Terminal Shargh</t>
  </si>
  <si>
    <t>6.3.1.32/30</t>
  </si>
  <si>
    <t>ترمینال شرق</t>
  </si>
  <si>
    <t>MELAL-Terminal-Gharb-Savari</t>
  </si>
  <si>
    <t>6.3.0.236/30</t>
  </si>
  <si>
    <t>ترمینال غرب-محوطه سواری ها</t>
  </si>
  <si>
    <t>MELAL-Terminal-jonoob-sharghi</t>
  </si>
  <si>
    <t>6.3.1.4/30</t>
  </si>
  <si>
    <t>ترمینال جنوب-ضلع جنوب شرقی</t>
  </si>
  <si>
    <t>MELAL-Terminal-jonoob-shomal</t>
  </si>
  <si>
    <t>6.3.1.0/30</t>
  </si>
  <si>
    <t>ترمینال جنوب-ضلع شمال</t>
  </si>
  <si>
    <t>Bajeh-Iran Khodro</t>
  </si>
  <si>
    <t>6.3.16.156/30</t>
  </si>
  <si>
    <t>باجه ایران خودرو</t>
  </si>
  <si>
    <t>Foroodgah-Mashhad-T1-S-Dakheli</t>
  </si>
  <si>
    <t>6.3.3.204/30</t>
  </si>
  <si>
    <t>فرودگاه مشهد-ترمینال1-سالن داخلی</t>
  </si>
  <si>
    <t>Foroodgah-Mashhad-T1-S-Teranzit</t>
  </si>
  <si>
    <t>6.3.9.84/30</t>
  </si>
  <si>
    <t>فرودگاه مشهد-ترمینال1-سالن ترانزیت</t>
  </si>
  <si>
    <t>Foroodgah-Mashhad-T2-Hojaj</t>
  </si>
  <si>
    <t>6.3.3.232/30</t>
  </si>
  <si>
    <t>فرودگاه مشهد-ترمینال(2) حجاج</t>
  </si>
  <si>
    <t>Terminal-Gharb-Police</t>
  </si>
  <si>
    <t>6.3.0.248/30</t>
  </si>
  <si>
    <t>ترمینال غرب-دفتر پلیس</t>
  </si>
  <si>
    <t>Terminal-Gharb-out3-4</t>
  </si>
  <si>
    <t>6.3.0.244/30</t>
  </si>
  <si>
    <t>ترمینال غرب داخل سالن اصلی-خروجی 3 و 4</t>
  </si>
  <si>
    <t>hotell-misag</t>
  </si>
  <si>
    <t>6.3.17.112/30</t>
  </si>
  <si>
    <t>kharobar-froshi-parizad</t>
  </si>
  <si>
    <t>6.3.10.148/30</t>
  </si>
  <si>
    <t>lavazem-ganadi-dehgan</t>
  </si>
  <si>
    <t>6.3.10.24/30</t>
  </si>
  <si>
    <t>pasazh-almas</t>
  </si>
  <si>
    <t>6.3.11.124/30</t>
  </si>
  <si>
    <t>terminal-garb-khoroji-13</t>
  </si>
  <si>
    <t>6.3.0.240/30</t>
  </si>
  <si>
    <t>ترمینال غرب خروجی 13</t>
  </si>
  <si>
    <t>MELAL-Bargh Hamid</t>
  </si>
  <si>
    <t>MELAL-Elahiye-Goldis</t>
  </si>
  <si>
    <t>MELLAL-Hotel-Lutus</t>
  </si>
  <si>
    <t>MELLAL-Chap-Ghaem</t>
  </si>
  <si>
    <t>MELLAL-Masjed-Seyedshohada</t>
  </si>
  <si>
    <t>MELLAL-Mojtama-Alborz7</t>
  </si>
  <si>
    <t>MELLAL-Pasaj-Tooba</t>
  </si>
  <si>
    <t>Melal-MetDarvazeh-Shemiran</t>
  </si>
  <si>
    <t>Melal-MetFarhangsara</t>
  </si>
  <si>
    <t>Melal-MetHassan Abad</t>
  </si>
  <si>
    <t>Melal-MetMelat</t>
  </si>
  <si>
    <t>Melal-MetMeydan-Azadi</t>
  </si>
  <si>
    <t>Melal-MetNabard</t>
  </si>
  <si>
    <t>Melal-MetSayad Shirazi</t>
  </si>
  <si>
    <t>MELAL-Pardis Kamraniyeh</t>
  </si>
  <si>
    <t>MELAL-Resturan-Shandiz-Tehran</t>
  </si>
  <si>
    <t>pirayesh Cheshmeh</t>
  </si>
  <si>
    <t>NANRoosta</t>
  </si>
  <si>
    <t>Cashless</t>
  </si>
  <si>
    <t>AMLAK-FAIAZI</t>
  </si>
  <si>
    <t>Abnabat-sazi-sadeghi-niya</t>
  </si>
  <si>
    <t>⁧6.3.22.60/30</t>
  </si>
  <si>
    <t>Ahanalat-Arab-beygi-Mashhad</t>
  </si>
  <si>
    <t>Ajil-khoshkbar-ghayome</t>
  </si>
  <si>
    <t>Alborz2Maskooni</t>
  </si>
  <si>
    <t>Amlak-Mahdi-Fashafouyeh</t>
  </si>
  <si>
    <t>Amlak-Omid</t>
  </si>
  <si>
    <t>Amlak-Samen-Mashhad</t>
  </si>
  <si>
    <t>Amuzesh-parvaresh-Songhor</t>
  </si>
  <si>
    <t>Arayeshgah-Pasha-Dargaz</t>
  </si>
  <si>
    <t>Arya-Armin Tejarat</t>
  </si>
  <si>
    <t>Asnad-Rasmi442</t>
  </si>
  <si>
    <t>Atari-Saebi</t>
  </si>
  <si>
    <t>Atuo - servic-hamzeh</t>
  </si>
  <si>
    <t>BAZAR-GOL-GARB-TEHRAN</t>
  </si>
  <si>
    <t>BAZAR-MIVE-TAREBAR-AZNA</t>
  </si>
  <si>
    <t>BEH-SHIRAN-NEMONE-SHARG</t>
  </si>
  <si>
    <t>BORJ-SKAN</t>
  </si>
  <si>
    <t>BORJ-ZOMOROD</t>
  </si>
  <si>
    <t>Barbari Esfahan</t>
  </si>
  <si>
    <t>Bashgah-Barg-Sabz-Tehran</t>
  </si>
  <si>
    <t>Baskul-Rabani</t>
  </si>
  <si>
    <t>Bazar Bozorg Miveh va Tarebar Ghadamgah-Larestan</t>
  </si>
  <si>
    <t>Bazar Gol-Mahalati-Mohamad Vali</t>
  </si>
  <si>
    <t>Bazar Gol-Mahalati-Sarlak</t>
  </si>
  <si>
    <t>Bazarbozorg Mahiforoushan Bandar Anzali</t>
  </si>
  <si>
    <t>Bime-Iran-Mashhad</t>
  </si>
  <si>
    <t>Bolboring-Forooshi</t>
  </si>
  <si>
    <t>Borj Bostan-Tabriz</t>
  </si>
  <si>
    <t>Borj arsh 8376</t>
  </si>
  <si>
    <t>Borj-Milad-Varzaghan</t>
  </si>
  <si>
    <t>BorjeDena</t>
  </si>
  <si>
    <t>Bours Sekeh Sadeghi-Shahr noor</t>
  </si>
  <si>
    <t>CL-KHAYAM</t>
  </si>
  <si>
    <t>Cilinik Elahiye</t>
  </si>
  <si>
    <t>Clinic Takhasosi Doctor Kamali-Tehran</t>
  </si>
  <si>
    <t>Clinic-Dandanpezeshki-Naseri-Esfahan</t>
  </si>
  <si>
    <t>Clinic-Doctor-Hashem-Naseri-Mashhad</t>
  </si>
  <si>
    <t>Clinic-Poost-Va-Mo-Esfahan</t>
  </si>
  <si>
    <t>Daftar Khadamat interneti Asia-Abadeh</t>
  </si>
  <si>
    <t>Daftar Pishkhan Doulat-Meshginshahr</t>
  </si>
  <si>
    <t>Daftar Pishkhan Doulat-Zanjan</t>
  </si>
  <si>
    <t>Daftar Pishkhan Dowlat-Chaloos</t>
  </si>
  <si>
    <t>Daftar-Asnad-518-Tehran</t>
  </si>
  <si>
    <t>Daftar-Pishkhan-1337-Rey</t>
  </si>
  <si>
    <t>Daftar-Pishkhan-Dowlat-Autoban-Mahalati-Tehran</t>
  </si>
  <si>
    <t>Daftar-Pishkhan-Dowlat-Shahriyar-Aderan</t>
  </si>
  <si>
    <t>Daftar-Pishkhan-Dowlat-Yousefi-Shahriyar</t>
  </si>
  <si>
    <t>Daftar-Pishkhan-Dowlat-Zahedan</t>
  </si>
  <si>
    <t>Daftar-Pishkhan-Downlat-Shahriyar-Sabashahr</t>
  </si>
  <si>
    <t>Daftar-Pishkhan-Maliyati-Yas</t>
  </si>
  <si>
    <t>Daftarkhaneh-1425-Tehran</t>
  </si>
  <si>
    <t>Daftarkhaneh486</t>
  </si>
  <si>
    <t>Dandanpezashki-Mahestan-Afsariyeh</t>
  </si>
  <si>
    <t>Dandanpezeshki Doctor Seyedeh Mahsafar</t>
  </si>
  <si>
    <t>Darb-Voroudi-Padegan-Mokhaberat-Aja</t>
  </si>
  <si>
    <t>Darmangah-Doktor-Sirjani-Abyek</t>
  </si>
  <si>
    <t>Darmangah-Salamat-Pars-Rashtkhar</t>
  </si>
  <si>
    <t>Darmangah-Shabaneh-Rouzi-Hakiman</t>
  </si>
  <si>
    <t>Darokhane dampezeshki doctor Sina 8373</t>
  </si>
  <si>
    <t>Daroukhaneh-Dampezeshki-Pourghasemi-Meshkinshahr</t>
  </si>
  <si>
    <t>Daroukhaneh-Doktor-Monabeti-Karaj</t>
  </si>
  <si>
    <t>Daroukhaneh-Doktor-Sahmoldini-Kohdasht</t>
  </si>
  <si>
    <t>Daroukhaneh-Rey</t>
  </si>
  <si>
    <t>EINAK-HAFEZ</t>
  </si>
  <si>
    <t>Elekteriki-salehy</t>
  </si>
  <si>
    <t>Esteratoos-S7</t>
  </si>
  <si>
    <t>Esteratoos-s6</t>
  </si>
  <si>
    <t>Etehadiye-gajkaran</t>
  </si>
  <si>
    <t>Etehadiyeh-Miveh-Bojnord</t>
  </si>
  <si>
    <t>FOROSHGAH-AZIMI</t>
  </si>
  <si>
    <t>FROSHGAH-SEADAT</t>
  </si>
  <si>
    <t>Fooroudgah-MehrAbad-Slon-Omoumi-Terminal-4</t>
  </si>
  <si>
    <t>Foroushgah-Choub-Foroushi-Ahmad-Jafarzadeh-Foman</t>
  </si>
  <si>
    <t>Foroushgah-Lavazem-Khanegi-Puya-Abyek</t>
  </si>
  <si>
    <t>Foroushgah-Manazel-Sazmani-Shahid-Khoshrou</t>
  </si>
  <si>
    <t>Foroushgah-Maryam</t>
  </si>
  <si>
    <t>Foroushgah-Mavad-Ghazaei-As-Market-Kalat</t>
  </si>
  <si>
    <t>Foroushgah-Mavad-Proteini-Jouryan-Neyshapour</t>
  </si>
  <si>
    <t>Foroushgah-Rangabzar-Mohammadzadeh-Mashhad</t>
  </si>
  <si>
    <t>Foroushgah-Taavoni-Masraf-Gorouh-Mokhaberat</t>
  </si>
  <si>
    <t>GALERY-SHARBIANI</t>
  </si>
  <si>
    <t>Gallery-Ay-para</t>
  </si>
  <si>
    <t>Garaj Saadi Ghadim-Afifabad</t>
  </si>
  <si>
    <t>Ghanadi-Khayam-Mashhad</t>
  </si>
  <si>
    <t>Ghanat-Naseri</t>
  </si>
  <si>
    <t>Ghasabi Khanjari-Farouj</t>
  </si>
  <si>
    <t>Hotel Edris-Mashhad</t>
  </si>
  <si>
    <t>Hotel-Laleh-Tehran</t>
  </si>
  <si>
    <t>Hotel-Zagros-Borojerd</t>
  </si>
  <si>
    <t>Hyper Balut-Targhabeh</t>
  </si>
  <si>
    <t>Hyper Market Kamalian-Larestan</t>
  </si>
  <si>
    <t>Hyper Market Taj-Mashhad</t>
  </si>
  <si>
    <t>Hyper Sedaghat-Garmsar</t>
  </si>
  <si>
    <t>Hyper-Market-Mansourzadeh-Torbat-Heydariyeh</t>
  </si>
  <si>
    <t>Hyper-Market-Mojtama-Maskoni-Pars-Marvdasht</t>
  </si>
  <si>
    <t>Hyper-Market-Omid-Neyshabor</t>
  </si>
  <si>
    <t>Hyper-Market-Omid-Tehran-Rey</t>
  </si>
  <si>
    <t>Hyper-Market-Sedaghat-Sabzevar</t>
  </si>
  <si>
    <t>Hyper-Market-Tameshk-Kazeroun</t>
  </si>
  <si>
    <t>Isako Ahmadi</t>
  </si>
  <si>
    <t>Jaygah-Soukht-Aftab-Shargh</t>
  </si>
  <si>
    <t>Jaygah-sookht-165</t>
  </si>
  <si>
    <t>Jaygah-sookht-189</t>
  </si>
  <si>
    <t>Jolobandimashhadi</t>
  </si>
  <si>
    <t>KAFSH-EMPERATOOR</t>
  </si>
  <si>
    <t>Kafe-Resturan-Amour</t>
  </si>
  <si>
    <t>Kalaye Bargh Dastgerdi-Birjand</t>
  </si>
  <si>
    <t>Karkhaneh-Ajor-Va-Sofal-Bahrami</t>
  </si>
  <si>
    <t>Ketring Sofreh Irani-Mashhad</t>
  </si>
  <si>
    <t>Khadamat-Computer-Parsian-Pakdasht</t>
  </si>
  <si>
    <t>Kharobar Foroushi-Asfarayen</t>
  </si>
  <si>
    <t>Kharobar-Foroushi-Yousefi-Ghochan</t>
  </si>
  <si>
    <t>Lastic foroshi niko 8412</t>
  </si>
  <si>
    <t>Lavazem yadaki Benzolahi-Kerman</t>
  </si>
  <si>
    <t>Lavazem-Khanegi-Mahan-Mashhad</t>
  </si>
  <si>
    <t>Lavazem-yadaki-nikdel</t>
  </si>
  <si>
    <t>MATAB-DR-BAKHSHAEI</t>
  </si>
  <si>
    <t>MDF-lotfi-2</t>
  </si>
  <si>
    <t>MEIDAN-NEISHABOR</t>
  </si>
  <si>
    <t>MOJTAMA-AMOZESHI-REFAH</t>
  </si>
  <si>
    <t>MOJTAMA-APADANA-FAZ5</t>
  </si>
  <si>
    <t>MOJTAMA-TEJARI-PARSIAN</t>
  </si>
  <si>
    <t>Maghazeh-Ghanadi-Shahriyar</t>
  </si>
  <si>
    <t>Maghz-va-Asab-Mahan-Iranian</t>
  </si>
  <si>
    <t>Majmoue-Varzeshi-Sajad-Mashhad</t>
  </si>
  <si>
    <t>Markaz Tejari Edari Maryam-Tehran</t>
  </si>
  <si>
    <t>Markaz-kharid-shahran</t>
  </si>
  <si>
    <t>Market-Danial-2</t>
  </si>
  <si>
    <t>Market-Emadin</t>
  </si>
  <si>
    <t>Masjd-Laylatolghadr</t>
  </si>
  <si>
    <t>Masjed-Emam-Hossein-Mashhad</t>
  </si>
  <si>
    <t>Masjed-Emam-Sadegh-Khalkhal</t>
  </si>
  <si>
    <t>Masjed-Rafiei-Mashhad</t>
  </si>
  <si>
    <t>Masjed-aliasghar</t>
  </si>
  <si>
    <t>Masjed-shahrak-omid</t>
  </si>
  <si>
    <t>Matab Dandanpezeshki-Bolvar Ferdos Tehran</t>
  </si>
  <si>
    <t>Matab doctor tahernezad 8371</t>
  </si>
  <si>
    <t>Mavad Ghazaei Babaei-Mashhad</t>
  </si>
  <si>
    <t>Mavad-Ghazaei-Kurosh</t>
  </si>
  <si>
    <t>Mavad-Ghazaei-Masumi</t>
  </si>
  <si>
    <t>Mehmanshahr Mohajerin Semnan</t>
  </si>
  <si>
    <t>Mehrasayeh Kowsar-Mashhad</t>
  </si>
  <si>
    <t>Melal-Aseman12</t>
  </si>
  <si>
    <t>Melal-Bazar bozorg-valiasr-T1</t>
  </si>
  <si>
    <t>Melal-Bazar-Nasr-B3-A3</t>
  </si>
  <si>
    <t>Melal-Behzisti-Firoozeh</t>
  </si>
  <si>
    <t>Melal-Borj Tehran</t>
  </si>
  <si>
    <t>Melal-Borj-Jam</t>
  </si>
  <si>
    <t>Melal-Daftar-Asnad Rasmi625</t>
  </si>
  <si>
    <t>Melal-Daftar-AsnadRasmi-Hasanabad</t>
  </si>
  <si>
    <t>Melal-Daftar-AsnadRasmi1089</t>
  </si>
  <si>
    <t>Melal-Darukhaneh-Alizadeh-Anar</t>
  </si>
  <si>
    <t>Melal-Dehyari-ShahrakNasuz</t>
  </si>
  <si>
    <t>Melal-Ekbatan-A3-v13</t>
  </si>
  <si>
    <t>Melal-Farsh-Iran</t>
  </si>
  <si>
    <t>Melal-Fekrobekr</t>
  </si>
  <si>
    <t>Melal-Forodgah-Mashhad-khoroji mosaferan</t>
  </si>
  <si>
    <t>Melal-Frushgah-Kabiri</t>
  </si>
  <si>
    <t>Melal-Galeri-Ansar</t>
  </si>
  <si>
    <t>Melal-Hotel-Reza</t>
  </si>
  <si>
    <t>Melal-Hyper-Mohamadi</t>
  </si>
  <si>
    <t>Melal-Hyper-Rahimi</t>
  </si>
  <si>
    <t>Melal-Javaher-Almahdi</t>
  </si>
  <si>
    <t>Melal-Karvash-Shargh</t>
  </si>
  <si>
    <t>Melal-Labaniat-Binalud-Mashhad</t>
  </si>
  <si>
    <t>Melal-Mahzar69</t>
  </si>
  <si>
    <t>Melal-Masaleh-Safikhani</t>
  </si>
  <si>
    <t>Melal-Maskuni-KeyhanNo</t>
  </si>
  <si>
    <t>Melal-Maskuni-Mahestan</t>
  </si>
  <si>
    <t>Melal-Maskuni-Shaghayegh 24-25</t>
  </si>
  <si>
    <t>Melal-Mavad Ghazaei Saheb</t>
  </si>
  <si>
    <t>Melal-Metro-Beryanak</t>
  </si>
  <si>
    <t>Melal-Metro-Ghaem</t>
  </si>
  <si>
    <t>Melal-Metro-Khaje ablolah-Ansari</t>
  </si>
  <si>
    <t>Melal-Metro-Mahalati</t>
  </si>
  <si>
    <t>Melal-Metro-Mahdiyeh</t>
  </si>
  <si>
    <t>Melal-Metro-Meydan-Sanat</t>
  </si>
  <si>
    <t>Melal-Metro-Tarbiat-Modares</t>
  </si>
  <si>
    <t>Melal-Mobl-Arzi</t>
  </si>
  <si>
    <t>Melal-Mojtama-Aramis</t>
  </si>
  <si>
    <t>Melal-Mojtama-Arghavan-14-15</t>
  </si>
  <si>
    <t>Melal-Mojtama-BazargananShiraz</t>
  </si>
  <si>
    <t>Melal-Mojtama-Bozorgi</t>
  </si>
  <si>
    <t>Melal-Mojtama-Darya</t>
  </si>
  <si>
    <t>Melal-Mojtama-Esteratoos-N10</t>
  </si>
  <si>
    <t>Melal-Mojtama-Jam Jam-Kuhsar</t>
  </si>
  <si>
    <t>Melal-Mojtama-Shaghayegh2</t>
  </si>
  <si>
    <t>Melal-Mojtama-Tarbiat-Novin</t>
  </si>
  <si>
    <t>Melal-Mojtama-Yas1</t>
  </si>
  <si>
    <t>Melal-Mojtama-khane-kashi</t>
  </si>
  <si>
    <t>Melal-Nan-Mehrafarin</t>
  </si>
  <si>
    <t>Melal-Nastaran36</t>
  </si>
  <si>
    <t>Melal-Nastaran47</t>
  </si>
  <si>
    <t>Melal-Pishkan-Dolat-218</t>
  </si>
  <si>
    <t>Melal-Sakhteman-Gardeshgari</t>
  </si>
  <si>
    <t>Melal-Sakhteman-Pezeshkan-Markazi</t>
  </si>
  <si>
    <t>Melal-Sakhteman-Sina</t>
  </si>
  <si>
    <t>Melal-Saleh-Gach</t>
  </si>
  <si>
    <t>Melal-Shahrak-beheshti-nastaran22</t>
  </si>
  <si>
    <t>Melal-Super Milad-Mashhad</t>
  </si>
  <si>
    <t>Melal-Super-GoharShad</t>
  </si>
  <si>
    <t>Melal-Super-Zarei</t>
  </si>
  <si>
    <t>Melal-Talar-Golhaye zendegi</t>
  </si>
  <si>
    <t>Melal-Tashrifat</t>
  </si>
  <si>
    <t>Melal-Zeytun-Rasht</t>
  </si>
  <si>
    <t>Miveh-Forooshi Hesari</t>
  </si>
  <si>
    <t>Moasese-Farhangi-Tebiyan-Noor-Tehran</t>
  </si>
  <si>
    <t>Mobleman-Noel-Mashhad</t>
  </si>
  <si>
    <t>Moblie-Khanjari-Shirvan</t>
  </si>
  <si>
    <t>Mojtama Edari 125-Tehran</t>
  </si>
  <si>
    <t>Mojtama Golestan-Tehran</t>
  </si>
  <si>
    <t>Mojtama Maskoni Kosar Borj 14-Tehran</t>
  </si>
  <si>
    <t>Mojtama Maskooni Morvarid-Tehran</t>
  </si>
  <si>
    <t>Mojtama Nastaran17</t>
  </si>
  <si>
    <t>Mojtama Refahi Hafezieh-Tehran</t>
  </si>
  <si>
    <t>Mojtama Tejari Edari 711-Narmak</t>
  </si>
  <si>
    <t>Mojtama Tejari Zistkhavar-Mashhad</t>
  </si>
  <si>
    <t>Mojtama khalijfars-amlak baran</t>
  </si>
  <si>
    <t>Mojtama-Aghigh-EmamReza-Tehran</t>
  </si>
  <si>
    <t>Mojtama-Apadana-Hamkaf-Pele Barghi</t>
  </si>
  <si>
    <t>Mojtama-Apadana-Hamkaf-Voroodi</t>
  </si>
  <si>
    <t>Mojtama-Arghavan-Shahr-Rey</t>
  </si>
  <si>
    <t>Mojtama-Aseman-qom</t>
  </si>
  <si>
    <t>Mojtama-Bazargani-Bazargan-Gilar-Saheli-Anzali</t>
  </si>
  <si>
    <t>Mojtama-Khodroei-Takmehr-Zanjan</t>
  </si>
  <si>
    <t>Mojtama-Maskoni-Abshar-Zahedan</t>
  </si>
  <si>
    <t>Mojtama-Maskoni-Ghaba-Tehran</t>
  </si>
  <si>
    <t>Mojtama-Maskoni-Hadi0-Shiraz</t>
  </si>
  <si>
    <t>Mojtama-Maskoni-Hana-Tehran</t>
  </si>
  <si>
    <t>Mojtama-Maskoni-Kowsar-Saadatabad</t>
  </si>
  <si>
    <t>Mojtama-Maskoni-Mohammad-Shiraz</t>
  </si>
  <si>
    <t>Mojtama-Maskoni-Sepehr-Khyaban-Esteghlal</t>
  </si>
  <si>
    <t>Mojtama-Maskoni-Sepehr-Tehran</t>
  </si>
  <si>
    <t>Mojtama-Maskoni-Shaghayegh-Tabriz</t>
  </si>
  <si>
    <t>Mojtama-Maskuni-Kuhpayeh</t>
  </si>
  <si>
    <t>Mojtama-Pasargad-perspolis</t>
  </si>
  <si>
    <t>Mojtama-Satarkhan-Tehran</t>
  </si>
  <si>
    <t>Mojtama-Shahrak-Sanati-Khavaran-Tehran</t>
  </si>
  <si>
    <t>Mojtama-Tejari-Edari-Osan-Esfahan</t>
  </si>
  <si>
    <t>Mojtama-Tejari-Khadamati-AlmasShahr-Ardebil</t>
  </si>
  <si>
    <t>Mojtama-Tejari-Khashayar</t>
  </si>
  <si>
    <t>Mojtama-maskuni-molana</t>
  </si>
  <si>
    <t>MojtamaComputeriKhayamOromieyeh</t>
  </si>
  <si>
    <t>MojtamaTejariAhmadNejad-Salmas</t>
  </si>
  <si>
    <t>MojtamaTejariParsaMashhad</t>
  </si>
  <si>
    <t>Morgh Sadegh-Bojnourd</t>
  </si>
  <si>
    <t>Morgh-Sahar</t>
  </si>
  <si>
    <t>Moshaver amlak sarcheshme 8388</t>
  </si>
  <si>
    <t>Moslem</t>
  </si>
  <si>
    <t>Mpjtama-Kurosh-Mashhad</t>
  </si>
  <si>
    <t>NEZHA-MARKET</t>
  </si>
  <si>
    <t>Naghashi-Asgharpur</t>
  </si>
  <si>
    <t>Namayandegi saipa khodadadi 8409</t>
  </si>
  <si>
    <t>Namayandegi-Mojaz-Irankhodro-Khodami-Garmsar</t>
  </si>
  <si>
    <t>Namayandegi-Mojaz-Irankhodrou-1140</t>
  </si>
  <si>
    <t>Namayandegi-Saypa-Tabriz</t>
  </si>
  <si>
    <t>NamayandegiReno</t>
  </si>
  <si>
    <t>Namayeshgah-Automobile-Iran-Mashhad</t>
  </si>
  <si>
    <t>Nan nana 3776</t>
  </si>
  <si>
    <t>Nan shirini sahel 8463</t>
  </si>
  <si>
    <t>Nan-Mohseni-Doulab-Tehran</t>
  </si>
  <si>
    <t>Nan-Nasrollahi</t>
  </si>
  <si>
    <t>Nan-Sonati-Rahmani</t>
  </si>
  <si>
    <t>Nanvaei-Faal-Mashhad</t>
  </si>
  <si>
    <t>Otagh Asnaf Bushehr</t>
  </si>
  <si>
    <t>PASAZH-GAEM-MASHHAD</t>
  </si>
  <si>
    <t>PASAZH-GOLHA</t>
  </si>
  <si>
    <t>PASAZH-SHABNAM-TALAFOROSHI-PARSA</t>
  </si>
  <si>
    <t>PASAZH-SHABTAB</t>
  </si>
  <si>
    <t>PASAZH-SHARIEATI</t>
  </si>
  <si>
    <t>Pariz-Tayer-Kerman</t>
  </si>
  <si>
    <t>Parking-Enghelab-Foman</t>
  </si>
  <si>
    <t>Partov-Zhen-Beh-Tashkhis-Vanak</t>
  </si>
  <si>
    <t>Pasaj-Esteghlal</t>
  </si>
  <si>
    <t>Pasaj-Mahtab-Mashhad</t>
  </si>
  <si>
    <t>Pasaj-pardis-talesh</t>
  </si>
  <si>
    <t>Pasazh Mostaghim-Tabriz</t>
  </si>
  <si>
    <t>Pasazh ghaem 8433</t>
  </si>
  <si>
    <t>Pasazh-Eghtesad-Tehran</t>
  </si>
  <si>
    <t>Pasazh-Ghaem-Abyek</t>
  </si>
  <si>
    <t>Pasazh-Saba</t>
  </si>
  <si>
    <t>Passage_Maysa</t>
  </si>
  <si>
    <t>Pezeshk-Man-Tabriz</t>
  </si>
  <si>
    <t>PirayeshDanialMashhad</t>
  </si>
  <si>
    <t>Pishkhan Dolat Daneshgah-Arak</t>
  </si>
  <si>
    <t>Pishkhandolat-Shahrbar</t>
  </si>
  <si>
    <t>Pomp Benzin Khatayan-Abyek</t>
  </si>
  <si>
    <t>Protein Sam-Tehran</t>
  </si>
  <si>
    <t>Prouzheh-Bahar-Razavi</t>
  </si>
  <si>
    <t>Psazh-Jefroudi-Siahkol</t>
  </si>
  <si>
    <t>RONIKA-PELAS-HERAVI2</t>
  </si>
  <si>
    <t>Radiology-rafa</t>
  </si>
  <si>
    <t>RahAhan-Arak</t>
  </si>
  <si>
    <t>Rangforoushi-Ebadi</t>
  </si>
  <si>
    <t>Resturan Haj Ali-Rey</t>
  </si>
  <si>
    <t>Resturan-Pagani</t>
  </si>
  <si>
    <t>Rosha Mobile-Shiraz</t>
  </si>
  <si>
    <t>Roustayeh-Beykhoyeh-Fars</t>
  </si>
  <si>
    <t>Roustayeh-Mafranghah-Farouj</t>
  </si>
  <si>
    <t>SHERKAT-RADIN-AEIN-CHAVOSH</t>
  </si>
  <si>
    <t>Saheban-Amaken-Nafti</t>
  </si>
  <si>
    <t>Sakhteman-Pezeshkan-Borna</t>
  </si>
  <si>
    <t>Sakhteman-Pezeshki-Rad--Mashhad</t>
  </si>
  <si>
    <t>Salon-Zibaee-Setareh-Farhang-Narmak</t>
  </si>
  <si>
    <t>Salon-Zibaee-Setareh-Farhang-Narmak-2</t>
  </si>
  <si>
    <t>Sandogh-Gharzolhasaneh-Valiasr-Dahak</t>
  </si>
  <si>
    <t>Sangin-Bar-Mashhad</t>
  </si>
  <si>
    <t>Sarayeh-Zargarha-Tehran</t>
  </si>
  <si>
    <t>Shahr-Shadi-Rasht</t>
  </si>
  <si>
    <t>Shahrak Siah Mansour-Dezfoul</t>
  </si>
  <si>
    <t>Shahrak milad Sharafabad-Yasuj</t>
  </si>
  <si>
    <t>Shahrak-Sanati-Fajr-Garmsar</t>
  </si>
  <si>
    <t>Shen va mase abbas zade 8025</t>
  </si>
  <si>
    <t>Sherkat-Alvares  Juje</t>
  </si>
  <si>
    <t>Sherkat-Aradchoub-Asr-Entezar-Mashhad</t>
  </si>
  <si>
    <t>Sherkat-Jamshirin-Yazd</t>
  </si>
  <si>
    <t>Sherkat-NavarBaf</t>
  </si>
  <si>
    <t>Sherkat-Rah-Va-Sakhteman-Hamesh-Bar-Semnan</t>
  </si>
  <si>
    <t>Sherkat-shen-va-maseh-mazand</t>
  </si>
  <si>
    <t>Soper Sadaf</t>
  </si>
  <si>
    <t>Stratus-N7</t>
  </si>
  <si>
    <t>Super Market Melal-Marvdasht</t>
  </si>
  <si>
    <t>Super mahdi</t>
  </si>
  <si>
    <t>Super market Sadat-Firouzabad Fars</t>
  </si>
  <si>
    <t>Super market Shahrvand-Rasht</t>
  </si>
  <si>
    <t>Super market shabaneh rouzi Ali-Karaj</t>
  </si>
  <si>
    <t>Super-Bahar-Mashhad</t>
  </si>
  <si>
    <t>Super-Market-Bamdad-Mashhad</t>
  </si>
  <si>
    <t>Super-Market-Darabi-Karaj</t>
  </si>
  <si>
    <t>Super-Market-Delavar-Mashhad</t>
  </si>
  <si>
    <t>Super-Market-Sadeghiyan-Mashhad</t>
  </si>
  <si>
    <t>Super-Market-Sherafat-Mashhad</t>
  </si>
  <si>
    <t>Super-Sajad-Bam</t>
  </si>
  <si>
    <t>Super-Taravat-Shahroud</t>
  </si>
  <si>
    <t>SuperMarket-Yahya</t>
  </si>
  <si>
    <t>Supermarket-Hossein-Roustaye-Bekandi-Ghazwin</t>
  </si>
  <si>
    <t>Supermarket-Rahimi-Asfarayen-Roustaye-Ghanbar-Baghi</t>
  </si>
  <si>
    <t>TAMIRGAH-104</t>
  </si>
  <si>
    <t>TAZEINAT-OTOMOBIL-PERSHIAN</t>
  </si>
  <si>
    <t>Taamirgah-Automobile-Khareji-Shahrak-Khoshrou</t>
  </si>
  <si>
    <t>Taamirgah-Khodro</t>
  </si>
  <si>
    <t>Taaviz-Roughan-Autoban-Shiraz</t>
  </si>
  <si>
    <t>Talar-Va-Resturan-Shafiei-Tehran</t>
  </si>
  <si>
    <t>Talayeh-Amir-Arak</t>
  </si>
  <si>
    <t>Tamirgah-Pasargad-ARAK</t>
  </si>
  <si>
    <t>Tamirgah-Pezho-Frans</t>
  </si>
  <si>
    <t>Tasfieh-Ab-Esmaeili-Boushehr</t>
  </si>
  <si>
    <t>Tehtansar</t>
  </si>
  <si>
    <t>YasMahallati</t>
  </si>
  <si>
    <t>abkale-sarbozorg</t>
  </si>
  <si>
    <t>abzar-alat-reza</t>
  </si>
  <si>
    <t>abzar-alat-sakhtemani-259116</t>
  </si>
  <si>
    <t>abzar-foroshi-rezaei</t>
  </si>
  <si>
    <t>abzar-iaragh-ahmad</t>
  </si>
  <si>
    <t>abzar-saneati-firoze</t>
  </si>
  <si>
    <t>abzar-shaian</t>
  </si>
  <si>
    <t>abzarforoshi-mohseni</t>
  </si>
  <si>
    <t>adndan-pezeshki-mosavi-jahed</t>
  </si>
  <si>
    <t>aghzie-zare</t>
  </si>
  <si>
    <t>ahan-alat-gholami</t>
  </si>
  <si>
    <t>ahan-alat-morad-goli</t>
  </si>
  <si>
    <t>ahan-alat-mostamel-abdi</t>
  </si>
  <si>
    <t>ahanalat-abolfazl-jafary</t>
  </si>
  <si>
    <t>ahangari-masomi</t>
  </si>
  <si>
    <t>ajil-hoseini</t>
  </si>
  <si>
    <t>ajil-khoshkbar-hasan-dost</t>
  </si>
  <si>
    <t>akasi-hamshahri</t>
  </si>
  <si>
    <t>akhsh-roghan-kheyrodin</t>
  </si>
  <si>
    <t>algadir3</t>
  </si>
  <si>
    <t>alyaf-poliester-sayna</t>
  </si>
  <si>
    <t>amlak-amin-Tollab-mashhad</t>
  </si>
  <si>
    <t>amlak-amin-mashhad</t>
  </si>
  <si>
    <t>amlak-ashiyane</t>
  </si>
  <si>
    <t>amlak-elahie-garb</t>
  </si>
  <si>
    <t>amlak-khalij-fars</t>
  </si>
  <si>
    <t>amlak-melal</t>
  </si>
  <si>
    <t>amlak-pardis</t>
  </si>
  <si>
    <t>amlak-shaghaghi-375</t>
  </si>
  <si>
    <t>amozeshgah-fani-rezaei</t>
  </si>
  <si>
    <t>amozeshgah-mohsen-tehran</t>
  </si>
  <si>
    <t>amozeshgah-ranandegi-sorosh</t>
  </si>
  <si>
    <t>amozeshi-farhangi-mobtakeran</t>
  </si>
  <si>
    <t>anbar-mellal-gostar</t>
  </si>
  <si>
    <t>anbar-teavoni-1-iranpeima</t>
  </si>
  <si>
    <t>anbarhai-kantineri-tehran-depo</t>
  </si>
  <si>
    <t>araieshgah-mahnaz</t>
  </si>
  <si>
    <t>araieshgah-zanane</t>
  </si>
  <si>
    <t>araieshi-behdashti-sajedi</t>
  </si>
  <si>
    <t>aray-mahale-sharif</t>
  </si>
  <si>
    <t>arayeshgah-ghasr-sadaf</t>
  </si>
  <si>
    <t>arayeshgah-gol-bano-111413</t>
  </si>
  <si>
    <t>arayeshgah-paziresh</t>
  </si>
  <si>
    <t>arzan-sarai-hidari</t>
  </si>
  <si>
    <t>attari-ranjbar</t>
  </si>
  <si>
    <t>auto-mekaniki-amir-kala</t>
  </si>
  <si>
    <t>azhans-parian-seir-parsian</t>
  </si>
  <si>
    <t>azmeyeshgah-khatamalanbia</t>
  </si>
  <si>
    <t>baba-nan</t>
  </si>
  <si>
    <t>bag-restoran-apadana</t>
  </si>
  <si>
    <t>bagh-restoran-abshar</t>
  </si>
  <si>
    <t>bar-foroshi-aslan-asade</t>
  </si>
  <si>
    <t>barbari-esfahanbar</t>
  </si>
  <si>
    <t>barbari-payam-shams</t>
  </si>
  <si>
    <t>bashgah-varzeshi-arnika</t>
  </si>
  <si>
    <t>bashgah-varzeshi-boniad-roshd</t>
  </si>
  <si>
    <t>baskol-shokohey-ghom-439107</t>
  </si>
  <si>
    <t>bastani-khanzanian</t>
  </si>
  <si>
    <t>batri-foroshi-reza</t>
  </si>
  <si>
    <t>bazar-ahan-alat-makan</t>
  </si>
  <si>
    <t>bazar-albase</t>
  </si>
  <si>
    <t>bazar-bozorg-dastbaft-mashhad</t>
  </si>
  <si>
    <t>bazar-bozorg-larestan</t>
  </si>
  <si>
    <t>bazar-farsh-foroshan-borojerd</t>
  </si>
  <si>
    <t>bazar-gol-babaei</t>
  </si>
  <si>
    <t>bazar-jafari</t>
  </si>
  <si>
    <t>bazar-janbazan</t>
  </si>
  <si>
    <t>bazar-mahi-forshi-bandar-kong</t>
  </si>
  <si>
    <t>bazar-mashrote</t>
  </si>
  <si>
    <t>bazar-moble-koroosh</t>
  </si>
  <si>
    <t>bazar-roz-valieasr</t>
  </si>
  <si>
    <t>bazar-talaforoshan</t>
  </si>
  <si>
    <t>bazar-valfajr</t>
  </si>
  <si>
    <t>bazar-zeiton-kish</t>
  </si>
  <si>
    <t>bazarche-10-ekbatan</t>
  </si>
  <si>
    <t>bazargani alborz</t>
  </si>
  <si>
    <t>bazargani-amir</t>
  </si>
  <si>
    <t>bazargani-gholame</t>
  </si>
  <si>
    <t>bazargani-mostafavi</t>
  </si>
  <si>
    <t>behesht-asa</t>
  </si>
  <si>
    <t>berand-terafik</t>
  </si>
  <si>
    <t>bimeh-pasargad</t>
  </si>
  <si>
    <t>biron-bar-sib</t>
  </si>
  <si>
    <t>bolor-keristal-naroe</t>
  </si>
  <si>
    <t>bonakdari -vozara</t>
  </si>
  <si>
    <t>borj s1_8475</t>
  </si>
  <si>
    <t>borj-Sahra</t>
  </si>
  <si>
    <t>borj-elizeh-2</t>
  </si>
  <si>
    <t>borj-ladan</t>
  </si>
  <si>
    <t>borj-maskoni-dornika</t>
  </si>
  <si>
    <t>borj-maskoni-mojalal-kan</t>
  </si>
  <si>
    <t>borj-maskoni-pir-omid</t>
  </si>
  <si>
    <t>borj-maskoni-skan</t>
  </si>
  <si>
    <t>borj-maskuni-park</t>
  </si>
  <si>
    <t>borj-rezvan</t>
  </si>
  <si>
    <t>borj-tejari-aryan</t>
  </si>
  <si>
    <t>borj-zarin2</t>
  </si>
  <si>
    <t>borje-ayshen</t>
  </si>
  <si>
    <t>borje-nakhl</t>
  </si>
  <si>
    <t>boton-amade-majid</t>
  </si>
  <si>
    <t>cafe-fenjoon</t>
  </si>
  <si>
    <t>caffi-net-tadbir</t>
  </si>
  <si>
    <t>caffinet-parsian</t>
  </si>
  <si>
    <t>celasic-raiane</t>
  </si>
  <si>
    <t>celinic-parto-darmani-tabesh-baran</t>
  </si>
  <si>
    <t>celinic-takhasose-hstars-gergij</t>
  </si>
  <si>
    <t>celinice-ravanshenasi-nik-aram</t>
  </si>
  <si>
    <t>chap-va-taksir-katibe</t>
  </si>
  <si>
    <t>cheshm-pezeshke-basir</t>
  </si>
  <si>
    <t>clinic-dandanpezeshki-farabi</t>
  </si>
  <si>
    <t>clinic-post-mo-derakhshan</t>
  </si>
  <si>
    <t>clinic-post-moo-dr-shahin</t>
  </si>
  <si>
    <t>clinic-sakhteman-ikhkeshi</t>
  </si>
  <si>
    <t>clinic-tavanbakhshi-emam-ali</t>
  </si>
  <si>
    <t>cofee-viona</t>
  </si>
  <si>
    <t>cofenet-hidden</t>
  </si>
  <si>
    <t>coffee-restoran-kavish</t>
  </si>
  <si>
    <t>dabestan-rahbord-danesh</t>
  </si>
  <si>
    <t>daftar izogam mehrabi 4804</t>
  </si>
  <si>
    <t>daftar-asnad-rasmi-87</t>
  </si>
  <si>
    <t>daftar-ertebatat-irancell</t>
  </si>
  <si>
    <t>daftar-pishkhan-dolat</t>
  </si>
  <si>
    <t>daftar-pishkhan-dolat-ghods</t>
  </si>
  <si>
    <t>daftar-pishkhan-dowlat</t>
  </si>
  <si>
    <t>daftar-pishkhan-dowlat-jafari-gom</t>
  </si>
  <si>
    <t>daftar-pishkhan-dowlat-rey</t>
  </si>
  <si>
    <t>daftar-pishkhan-dowlati</t>
  </si>
  <si>
    <t>daftar-pishkhan-farmahini</t>
  </si>
  <si>
    <t>daftarhane-39</t>
  </si>
  <si>
    <t>dandanpezeshki-Dena</t>
  </si>
  <si>
    <t>dandanpezeshki-Hazrat-Zeibab</t>
  </si>
  <si>
    <t>dandapezeshki-gaem</t>
  </si>
  <si>
    <t>darafshani</t>
  </si>
  <si>
    <t>darmangah-merag-toos</t>
  </si>
  <si>
    <t>darmangah-meraj-tos</t>
  </si>
  <si>
    <t>darmangah-pezeshki-dandanpezeshki-dr-rezazadeh</t>
  </si>
  <si>
    <t>darmangah-resalat</t>
  </si>
  <si>
    <t>darmangah-shabane-rozi-hazrat-zeinab-noor</t>
  </si>
  <si>
    <t>darmangah-shabanrozi-yas-7722</t>
  </si>
  <si>
    <t>darmangah-tamin-ejtemaei-borojen</t>
  </si>
  <si>
    <t>darmangahshabanehdoktorzaker</t>
  </si>
  <si>
    <t>daro-khane-dr-azizizade</t>
  </si>
  <si>
    <t>daro-khaneh</t>
  </si>
  <si>
    <t>darokhane-arian</t>
  </si>
  <si>
    <t>darokhane-doktor-rahnama</t>
  </si>
  <si>
    <t>darokhane-shabanerozi-alireza</t>
  </si>
  <si>
    <t>dehiari-lape-zanak</t>
  </si>
  <si>
    <t>dehkade-amozeshi-goltabar</t>
  </si>
  <si>
    <t>dehyari dah raeis 8443</t>
  </si>
  <si>
    <t>dndanpezeshki-darin</t>
  </si>
  <si>
    <t>dndanpezeshki-majid-reza-rahman-dost</t>
  </si>
  <si>
    <t>dokhaniyat-ghare-khani</t>
  </si>
  <si>
    <t>dolat_abad-568652</t>
  </si>
  <si>
    <t>edareh-kol-enteghal-khon-ostan-boshehr</t>
  </si>
  <si>
    <t>ekbatan-bazarche-9</t>
  </si>
  <si>
    <t>electeriki-nama-noor</t>
  </si>
  <si>
    <t>elekteriki-namanoor</t>
  </si>
  <si>
    <t>elektoro-khodro-hasanzade</t>
  </si>
  <si>
    <t>elektriki-Mohamad</t>
  </si>
  <si>
    <t>elinik-sakhtemane-nazri</t>
  </si>
  <si>
    <t>erfan-market 7929</t>
  </si>
  <si>
    <t>erotein-bahrame</t>
  </si>
  <si>
    <t>farhangestan-zaban-va-adab-farsi-554278</t>
  </si>
  <si>
    <t>fast-food-sorozh</t>
  </si>
  <si>
    <t>fiziotorapi-roia</t>
  </si>
  <si>
    <t>forodgah-kish</t>
  </si>
  <si>
    <t>foroodgah-Tehran-S1-omumi</t>
  </si>
  <si>
    <t>forosh-namayandegy-isako</t>
  </si>
  <si>
    <t>foroshgah Kaj 7321</t>
  </si>
  <si>
    <t>foroshgah abzar alborz</t>
  </si>
  <si>
    <t>foroshgah arhame</t>
  </si>
  <si>
    <t>foroshgah mahan-geravand</t>
  </si>
  <si>
    <t>foroshgah mobile land 8478</t>
  </si>
  <si>
    <t>foroshgah moravej 8461</t>
  </si>
  <si>
    <t>foroshgah parvin 8468</t>
  </si>
  <si>
    <t>foroshgah poshak norozi 8469</t>
  </si>
  <si>
    <t>foroshgah rang v abzar bologhi 8479</t>
  </si>
  <si>
    <t>foroshgah saray ramezani 8541</t>
  </si>
  <si>
    <t>6.3.15.16/30</t>
  </si>
  <si>
    <t>فروشگاه سرای رمضانی ۸۵۴۱</t>
  </si>
  <si>
    <t>foroshgah shahr sarma 8466</t>
  </si>
  <si>
    <t>foroshgah-abtin</t>
  </si>
  <si>
    <t>foroshgah-abzar-arva</t>
  </si>
  <si>
    <t>foroshgah-abzar-saneati-kave</t>
  </si>
  <si>
    <t>foroshgah-abzaralat-eideal</t>
  </si>
  <si>
    <t>foroshgah-ahanalat-shahrokhi</t>
  </si>
  <si>
    <t>foroshgah-atarzade</t>
  </si>
  <si>
    <t>foroshgah-baghcheghi</t>
  </si>
  <si>
    <t>foroshgah-baradaran-mohammadi</t>
  </si>
  <si>
    <t>foroshgah-bozorg-salar-2</t>
  </si>
  <si>
    <t>foroshgah-daliran-onsori</t>
  </si>
  <si>
    <t>foroshgah-deyle-market</t>
  </si>
  <si>
    <t>foroshgah-gaem</t>
  </si>
  <si>
    <t>foroshgah-ghazaei-etmad</t>
  </si>
  <si>
    <t>foroshgah-iran-fanar</t>
  </si>
  <si>
    <t>foroshgah-iranian</t>
  </si>
  <si>
    <t>foroshgah-isako-sfarain</t>
  </si>
  <si>
    <t>foroshgah-jam-pelastic</t>
  </si>
  <si>
    <t>foroshgah-javan</t>
  </si>
  <si>
    <t>foroshgah-kadoei-mofid</t>
  </si>
  <si>
    <t>foroshgah-karimi</t>
  </si>
  <si>
    <t>foroshgah-keshavarz</t>
  </si>
  <si>
    <t>foroshgah-keshavarzi-gandali</t>
  </si>
  <si>
    <t>foroshgah-khoshkbar-fatahi</t>
  </si>
  <si>
    <t>foroshgah-lavazem-iadaki-shoraka</t>
  </si>
  <si>
    <t>foroshgah-lavazem-khanegi-bakhshizade</t>
  </si>
  <si>
    <t>foroshgah-lavazem-khanegi-reza-khademi-218859</t>
  </si>
  <si>
    <t>foroshgah-lavazem-utomobil-khadivar</t>
  </si>
  <si>
    <t>foroshgah-lavazem-yadaky-abasian</t>
  </si>
  <si>
    <t>foroshgah-lavazem-yadaky-taheri</t>
  </si>
  <si>
    <t>foroshgah-mahmodi</t>
  </si>
  <si>
    <t>foroshgah-mavad-gazaei-salimi</t>
  </si>
  <si>
    <t>foroshgah-modern-sport</t>
  </si>
  <si>
    <t>foroshgah-morgh-mahi-kerdar</t>
  </si>
  <si>
    <t>foroshgah-nazerinai</t>
  </si>
  <si>
    <t>foroshgah-nezafat</t>
  </si>
  <si>
    <t>foroshgah-ofog-korosh</t>
  </si>
  <si>
    <t>foroshgah-pars-campiuter</t>
  </si>
  <si>
    <t>foroshgah-partland</t>
  </si>
  <si>
    <t>foroshgah-pelasko-chopani</t>
  </si>
  <si>
    <t>foroshgah-pelastik-moshkani</t>
  </si>
  <si>
    <t>foroshgah-reza-izadi</t>
  </si>
  <si>
    <t>foroshgah-roghan-motor-rahmani</t>
  </si>
  <si>
    <t>foroshgah-salari</t>
  </si>
  <si>
    <t>foroshgah-saman-boresh</t>
  </si>
  <si>
    <t>foroshgah-sara</t>
  </si>
  <si>
    <t>foroshgah-shahrvand</t>
  </si>
  <si>
    <t>foroshgah-shirini-misam</t>
  </si>
  <si>
    <t>foroshgah-takhfifi-khorasani</t>
  </si>
  <si>
    <t>foroshgah-taktaz-motor-ghoreyshi</t>
  </si>
  <si>
    <t>foroshgah-tamin-niyaz-182535</t>
  </si>
  <si>
    <t>foroshgah-tamirgahy-kazemi</t>
  </si>
  <si>
    <t>foroshgah-teavoni-peiman</t>
  </si>
  <si>
    <t>foroshgah-vaezi</t>
  </si>
  <si>
    <t>foroshgah-volvo</t>
  </si>
  <si>
    <t>foroshgah-yasin</t>
  </si>
  <si>
    <t>foroshgah-yragh-alat-esmali</t>
  </si>
  <si>
    <t>foroshgah-zabihi</t>
  </si>
  <si>
    <t>foroshgah-zarei</t>
  </si>
  <si>
    <t>foroshgah-zeiton</t>
  </si>
  <si>
    <t>foroshgaj-mavad-gazaei-fatemi</t>
  </si>
  <si>
    <t>froshgah-bozorg-shiraz</t>
  </si>
  <si>
    <t>froshgah-garni</t>
  </si>
  <si>
    <t>froshgah-gheymat-shekan</t>
  </si>
  <si>
    <t>froshgah-iran-elekteronik</t>
  </si>
  <si>
    <t>froshgah-jafar-zadeh</t>
  </si>
  <si>
    <t>froshgah-lavazem-araieshi-behdashti</t>
  </si>
  <si>
    <t>froshgah-lavazem-khaneghi-arya</t>
  </si>
  <si>
    <t>froshgah-lavazem-khanegi-kale-besiari</t>
  </si>
  <si>
    <t>froshgah-lavzemkhanegi-mohsen-rahimi</t>
  </si>
  <si>
    <t>froshgah-mavad-gazaei-tirazhe</t>
  </si>
  <si>
    <t>froshgah-modern</t>
  </si>
  <si>
    <t>froshgah-zanjirei-sorna</t>
  </si>
  <si>
    <t>galeri-aroos</t>
  </si>
  <si>
    <t>galeri-farsh-ezatkhah</t>
  </si>
  <si>
    <t>galeri-shanel</t>
  </si>
  <si>
    <t>galeri-talai-asal</t>
  </si>
  <si>
    <t>gallery eynak lena</t>
  </si>
  <si>
    <t>garazh-khorasani</t>
  </si>
  <si>
    <t>gol-giah-moradi</t>
  </si>
  <si>
    <t>gorfe-76-mive-tarebar</t>
  </si>
  <si>
    <t>gorfe-96-mojtama-bazarganan</t>
  </si>
  <si>
    <t>haribar-forosh-saeed</t>
  </si>
  <si>
    <t>hayper-abdolahi</t>
  </si>
  <si>
    <t>hayper-baradaran 8120</t>
  </si>
  <si>
    <t>hayper-mahan</t>
  </si>
  <si>
    <t>hayper-mahdis</t>
  </si>
  <si>
    <t>hayper-market-310748</t>
  </si>
  <si>
    <t>hayper-market-baharestan</t>
  </si>
  <si>
    <t>hayper-market-kazem</t>
  </si>
  <si>
    <t>hayper-meat-shahriar</t>
  </si>
  <si>
    <t>hayper-parseh</t>
  </si>
  <si>
    <t>hedie-saraie-sina</t>
  </si>
  <si>
    <t>holeh-sadaf-318801</t>
  </si>
  <si>
    <t>hoseinie-naran</t>
  </si>
  <si>
    <t>hosseinie-noor-kan</t>
  </si>
  <si>
    <t>hotel jahangardi astara</t>
  </si>
  <si>
    <t>hotel-deniz</t>
  </si>
  <si>
    <t>hotell-amir-kabir</t>
  </si>
  <si>
    <t>hotell-aparteman-soran</t>
  </si>
  <si>
    <t>hotell-fars</t>
  </si>
  <si>
    <t>hotell-talar-iranian</t>
  </si>
  <si>
    <t>hottel-setare-khalij-fars</t>
  </si>
  <si>
    <t>hozeh-markazi-lorestan-va-ghom</t>
  </si>
  <si>
    <t>hyper market baradaran tire 3824</t>
  </si>
  <si>
    <t>hyper-market-salamat</t>
  </si>
  <si>
    <t>irancell-razavie</t>
  </si>
  <si>
    <t>ishkhjan asre fanavaran navid</t>
  </si>
  <si>
    <t>isogam-sanat-bam</t>
  </si>
  <si>
    <t>istgah-metro-besat</t>
  </si>
  <si>
    <t>jabari</t>
  </si>
  <si>
    <t>6.3.15.104/30</t>
  </si>
  <si>
    <t>فروشگاه جباری 8507</t>
  </si>
  <si>
    <t>jaigah-ekhtesasi-khorami</t>
  </si>
  <si>
    <t>jaigah-naft-gasemabad</t>
  </si>
  <si>
    <t>jaigah-sokht-hafezie</t>
  </si>
  <si>
    <t>javaheri-classic</t>
  </si>
  <si>
    <t>javaheri-dolatshahi</t>
  </si>
  <si>
    <t>javaheri-mohamad</t>
  </si>
  <si>
    <t>jaygah-shukht-kian</t>
  </si>
  <si>
    <t>jaygah-sukht-amin</t>
  </si>
  <si>
    <t>jolo-bandi-sazi-yaser</t>
  </si>
  <si>
    <t>kababi-faktori</t>
  </si>
  <si>
    <t>kaf-posh-modern</t>
  </si>
  <si>
    <t>kakhane-ajor-sahel-1-esfahan</t>
  </si>
  <si>
    <t>kala-bargh Sabt</t>
  </si>
  <si>
    <t>kalahay-behdashti-sakhteman-barati</t>
  </si>
  <si>
    <t>kalai-chob-MDF-chavoshi</t>
  </si>
  <si>
    <t>karkhane-ajor-mashini-ghasemi</t>
  </si>
  <si>
    <t>karvash-santeral</t>
  </si>
  <si>
    <t>kashi-seramik-firuzeh</t>
  </si>
  <si>
    <t>kelenik-romi</t>
  </si>
  <si>
    <t>kelinik-dandan-pezeshki-labkhand</t>
  </si>
  <si>
    <t>kerman-sakhteman-pezeshkan-booali</t>
  </si>
  <si>
    <t>khadamat-khodroeei-jahangiri</t>
  </si>
  <si>
    <t>khadamat-khodroei-sonof-tavana</t>
  </si>
  <si>
    <t>khadamati-seid</t>
  </si>
  <si>
    <t>khaneh mobael</t>
  </si>
  <si>
    <t>khaneh-karegar-shargh-tehran</t>
  </si>
  <si>
    <t>kharo-bar-galivar</t>
  </si>
  <si>
    <t>kharo-bar-gangi</t>
  </si>
  <si>
    <t>kharobar-froshi</t>
  </si>
  <si>
    <t>kheyry-khorshid-baghy</t>
  </si>
  <si>
    <t>khorak-dam-reihani</t>
  </si>
  <si>
    <t>khoshkbar-baradaran-noori2</t>
  </si>
  <si>
    <t>khoshkbar-kamali</t>
  </si>
  <si>
    <t>khoshkbar-mazrae-sabz</t>
  </si>
  <si>
    <t>krkresazi-ziaei</t>
  </si>
  <si>
    <t>lastik-foroshi-kamrani</t>
  </si>
  <si>
    <t>lavazem tahrir mehr 4115</t>
  </si>
  <si>
    <t>lavazem-behdashti-par</t>
  </si>
  <si>
    <t>lavazem-ghanadi-pakseresht</t>
  </si>
  <si>
    <t>lavazem-iadaki-abas-rajabi</t>
  </si>
  <si>
    <t>lavazem-iadaki-abolfazl</t>
  </si>
  <si>
    <t>lavazem-iadaki-baziar</t>
  </si>
  <si>
    <t>lavazem-iadaki-isako-349</t>
  </si>
  <si>
    <t>lavazem-iadaki-moradi</t>
  </si>
  <si>
    <t>lavazem-iadaki-rostami</t>
  </si>
  <si>
    <t>lavazem-iadaki-taheri</t>
  </si>
  <si>
    <t>lavazem-iadaki-tavakol</t>
  </si>
  <si>
    <t>lavazem-khanegi-kosar</t>
  </si>
  <si>
    <t>lavazem-khanegi-mohammadi</t>
  </si>
  <si>
    <t>lavazem-khanegi-yas-sefid</t>
  </si>
  <si>
    <t>lavazem-khanrgi 15 khordaD</t>
  </si>
  <si>
    <t>lavazem-sakhtemani-alizade</t>
  </si>
  <si>
    <t>lavazem-yadake-daryaei</t>
  </si>
  <si>
    <t>lavazem-yadake-mashinhay-sabok</t>
  </si>
  <si>
    <t>lavazem-yadaki-hossein</t>
  </si>
  <si>
    <t>lavazem-yadaki-motor-siklet-saberian</t>
  </si>
  <si>
    <t>lavazem-yadaki-saipa-firuzeh</t>
  </si>
  <si>
    <t>lavazem-yadaky-masod</t>
  </si>
  <si>
    <t>lavazem-yadaky-razmjo</t>
  </si>
  <si>
    <t>maghazeh-tarashkari-560882</t>
  </si>
  <si>
    <t>maghazehay-mosala-mekanici-naser</t>
  </si>
  <si>
    <t>mahd-farsh-darb-shargi</t>
  </si>
  <si>
    <t>mahde-farsh</t>
  </si>
  <si>
    <t>majmoe-pazirae-haj-esmael</t>
  </si>
  <si>
    <t>majmoe-pazirai-tashrifat</t>
  </si>
  <si>
    <t>mansojat-mohsen</t>
  </si>
  <si>
    <t>markaz behdasht ehsan 8473</t>
  </si>
  <si>
    <t>markaz elmi karbordi Shahid sayad nazaja 8472</t>
  </si>
  <si>
    <t>markaz-amozesh-javad-aemeh</t>
  </si>
  <si>
    <t>markaz-edari-sana</t>
  </si>
  <si>
    <t>markaz-fiziotorapi-oxin</t>
  </si>
  <si>
    <t>markaz-jarahi-mirdamad</t>
  </si>
  <si>
    <t>markaz-kharid-iranian</t>
  </si>
  <si>
    <t>markaz-kharid-mirdamad-2</t>
  </si>
  <si>
    <t>markaz-kharid-sanli</t>
  </si>
  <si>
    <t>markaz-lame-saratan-amam-ali</t>
  </si>
  <si>
    <t>markaz-leizer-barana</t>
  </si>
  <si>
    <t>markaz-masaleh-sakhtemani-shateri</t>
  </si>
  <si>
    <t>markaz-tala-jawaher-mehr</t>
  </si>
  <si>
    <t>markaz-tejari-elize</t>
  </si>
  <si>
    <t>markaz-tejari-melat</t>
  </si>
  <si>
    <t>masale-foroshi-novin</t>
  </si>
  <si>
    <t>masaleh-sakhtemane-hamame</t>
  </si>
  <si>
    <t>masaleh-sakhtemani-safae</t>
  </si>
  <si>
    <t>masaleh-sakhtemani-sheh-bandgan</t>
  </si>
  <si>
    <t>mashhad-seyrod</t>
  </si>
  <si>
    <t>mashin-sangin</t>
  </si>
  <si>
    <t>masjed-hazrat-abolfazl</t>
  </si>
  <si>
    <t>masjed-kani</t>
  </si>
  <si>
    <t>matab doctor shahraki 8454</t>
  </si>
  <si>
    <t>mavad ghazaei shabani 8460</t>
  </si>
  <si>
    <t>mavad-gazaei-amirhossein-Mashhad</t>
  </si>
  <si>
    <t>mavad-gazaei-farzand-saleh</t>
  </si>
  <si>
    <t>mavad-gazaei-godosi</t>
  </si>
  <si>
    <t>mavad-gazaei-heidarpoor</t>
  </si>
  <si>
    <t>mavad-gazaei-naseri</t>
  </si>
  <si>
    <t>mavad-gazaei-neishabori</t>
  </si>
  <si>
    <t>mavad-gazaei-saheb-zaman</t>
  </si>
  <si>
    <t>mavad-gazaei-shabani</t>
  </si>
  <si>
    <t>mavad-gazaei-sorena</t>
  </si>
  <si>
    <t>mavad-ghazae-ganjali</t>
  </si>
  <si>
    <t>mavad-ghazae-valiasr</t>
  </si>
  <si>
    <t>mavad-ghazae-yas</t>
  </si>
  <si>
    <t>meidan-bar-sepad</t>
  </si>
  <si>
    <t>meidan-borojerd</t>
  </si>
  <si>
    <t>meidan-emam-moghabel-bazar-zargarha</t>
  </si>
  <si>
    <t>meidan-mive-tare-bar-khomin</t>
  </si>
  <si>
    <t>meidan-mive-va-tarebar-hamedan</t>
  </si>
  <si>
    <t>meidan-mive-va-tarebar-save</t>
  </si>
  <si>
    <t>melal-Hotel-Azadi-Tabriz</t>
  </si>
  <si>
    <t>melal-TOP-Service</t>
  </si>
  <si>
    <t>metro-aghdasie</t>
  </si>
  <si>
    <t>metro-amir-kabir</t>
  </si>
  <si>
    <t>metro-ashrafi-esfahani</t>
  </si>
  <si>
    <t>metro-hoseinabad</t>
  </si>
  <si>
    <t>metro-iadegar-emam</t>
  </si>
  <si>
    <t>metro-kahrizak</t>
  </si>
  <si>
    <t>metro-kargar</t>
  </si>
  <si>
    <t>metro-kiyan-shahr</t>
  </si>
  <si>
    <t>metro-marzdaran</t>
  </si>
  <si>
    <t>metro-mehr-shahr</t>
  </si>
  <si>
    <t>metro-meydan-ketab</t>
  </si>
  <si>
    <t>metro-sadegie</t>
  </si>
  <si>
    <t>metro-satari</t>
  </si>
  <si>
    <t>metro-shahid-dadman</t>
  </si>
  <si>
    <t>meydan-miveh-va-tarehbar-ghorfeh33-jonobi</t>
  </si>
  <si>
    <t>meydan-rustaye-afjeh</t>
  </si>
  <si>
    <t>midan-mive-tare-bar-gom</t>
  </si>
  <si>
    <t>midan-mive-tarebar-dorood</t>
  </si>
  <si>
    <t>mioveh-tareh-bar-ghanbar-lo</t>
  </si>
  <si>
    <t>mive-foroshi-gasabian</t>
  </si>
  <si>
    <t>miveh-foroshi-rasul-rahsepare</t>
  </si>
  <si>
    <t>miveh-va-tareh-bar-berojer</t>
  </si>
  <si>
    <t>moavenat-ghorean</t>
  </si>
  <si>
    <t>mobail-verto</t>
  </si>
  <si>
    <t>mobail-zare</t>
  </si>
  <si>
    <t>mobil_ahogir</t>
  </si>
  <si>
    <t>moble-bondar</t>
  </si>
  <si>
    <t>moblsazi</t>
  </si>
  <si>
    <t>modern disan</t>
  </si>
  <si>
    <t>modern-disain</t>
  </si>
  <si>
    <t>mojtam-pezeshki-razi</t>
  </si>
  <si>
    <t>mojtama tejari edari zarsan 8467</t>
  </si>
  <si>
    <t>mojtama-24-vahedi-golha</t>
  </si>
  <si>
    <t>mojtama-Tejari edari shargh</t>
  </si>
  <si>
    <t>mojtama-amozeshi-emam-hosein</t>
  </si>
  <si>
    <t>mojtama-amozeshi-modares</t>
  </si>
  <si>
    <t>mojtama-berelian</t>
  </si>
  <si>
    <t>mojtama-dandanpezeshki-denthin</t>
  </si>
  <si>
    <t>mojtama-denasa</t>
  </si>
  <si>
    <t>mojtama-edari-tejari-erfan</t>
  </si>
  <si>
    <t>mojtama-ghaem</t>
  </si>
  <si>
    <t>mojtama-golbarg</t>
  </si>
  <si>
    <t>mojtama-goldis</t>
  </si>
  <si>
    <t>mojtama-hadish-talaei-robi</t>
  </si>
  <si>
    <t>mojtama-iranian</t>
  </si>
  <si>
    <t>mojtama-javdan</t>
  </si>
  <si>
    <t>mojtama-kargahi-parand-lavazem-iadaki</t>
  </si>
  <si>
    <t>mojtama-khodroei-iranian</t>
  </si>
  <si>
    <t>mojtama-khoshe-talaei</t>
  </si>
  <si>
    <t>mojtama-maskoni-almas-shahr-357382</t>
  </si>
  <si>
    <t>mojtama-maskoni-baharan</t>
  </si>
  <si>
    <t>mojtama-maskoni-kamranieh</t>
  </si>
  <si>
    <t>mojtama-maskoni-mahtab 2</t>
  </si>
  <si>
    <t>mojtama-maskoni-pasargad</t>
  </si>
  <si>
    <t>mojtama-maskoni-payambar</t>
  </si>
  <si>
    <t>mojtama-maskoni-piazhe</t>
  </si>
  <si>
    <t>mojtama-nan-rostami</t>
  </si>
  <si>
    <t>mojtama-pezeshkan-erfan</t>
  </si>
  <si>
    <t>mojtama-pezeshki-dr-zeinali</t>
  </si>
  <si>
    <t>mojtama-pezeshki-seyedin</t>
  </si>
  <si>
    <t>mojtama-pezeshki-sheikhl-raeis</t>
  </si>
  <si>
    <t>mojtama-refahi-emam-reza-shahr-khezri</t>
  </si>
  <si>
    <t>mojtama-shamlo-2</t>
  </si>
  <si>
    <t>mojtama-sina</t>
  </si>
  <si>
    <t>mojtama-tamir-gahi-payam</t>
  </si>
  <si>
    <t>mojtama-tejare-almas-tehransar</t>
  </si>
  <si>
    <t>mojtama-tejare-edare-maskoni-sarmad</t>
  </si>
  <si>
    <t>mojtama-tejari-aghigh</t>
  </si>
  <si>
    <t>mojtama-tejari-ariagan</t>
  </si>
  <si>
    <t>mojtama-tejari-bazar-121</t>
  </si>
  <si>
    <t>mojtama-tejari-cheraghi</t>
  </si>
  <si>
    <t>mojtama-tejari-emam-ali</t>
  </si>
  <si>
    <t>mojtama-tejari-golestan</t>
  </si>
  <si>
    <t>mojtama-tejari-hamon</t>
  </si>
  <si>
    <t>mojtama-tejari-jarcenter</t>
  </si>
  <si>
    <t>mojtama-tejari-karen</t>
  </si>
  <si>
    <t>mojtama-tejari-karoun</t>
  </si>
  <si>
    <t>mojtama-tejari-majd</t>
  </si>
  <si>
    <t>mojtama-tejari-mehr-mah</t>
  </si>
  <si>
    <t>mojtama-tejari-panorma</t>
  </si>
  <si>
    <t>mojtama-tejari-parsi-room</t>
  </si>
  <si>
    <t>mojtama-tejari-reyhani</t>
  </si>
  <si>
    <t>mojtama-tejari-sadr</t>
  </si>
  <si>
    <t>mojtama-tejari-va-khadamati-ariya</t>
  </si>
  <si>
    <t>mojtama-yas</t>
  </si>
  <si>
    <t>mojtamae-tejare-amatis</t>
  </si>
  <si>
    <t>mojtamae-zamen-ahoo</t>
  </si>
  <si>
    <t>mojtame-koh-noor</t>
  </si>
  <si>
    <t>mojtame-maskoni-setaregan</t>
  </si>
  <si>
    <t>mojtame-tejari-javad</t>
  </si>
  <si>
    <t>mosese-haml-nagl-farhangian</t>
  </si>
  <si>
    <t>mosese-pishkhan-gostar-kosh</t>
  </si>
  <si>
    <t>moshaver-amlak-kolbe-gil</t>
  </si>
  <si>
    <t>moshaver-amlak-mohammadi</t>
  </si>
  <si>
    <t>moshaver-amlak-mola</t>
  </si>
  <si>
    <t>moshavere-nik-andishan</t>
  </si>
  <si>
    <t>motor-alat-keshavarzi-taslimi</t>
  </si>
  <si>
    <t>motorsazi-ahmad</t>
  </si>
  <si>
    <t>mozeshgah</t>
  </si>
  <si>
    <t>namaiandegi-ahan-arab</t>
  </si>
  <si>
    <t>namaiandegi-iran-motor</t>
  </si>
  <si>
    <t>namaiandegi-mojaz-2204-irankhodro</t>
  </si>
  <si>
    <t>namaiandegi0saipa-zahedan</t>
  </si>
  <si>
    <t>namaieshgah-otomobil-caspian</t>
  </si>
  <si>
    <t>namayandegi saypa genaveh</t>
  </si>
  <si>
    <t>namayandegi-isako</t>
  </si>
  <si>
    <t>namayandegi-kerman-khodro</t>
  </si>
  <si>
    <t>namayandegi-saipa</t>
  </si>
  <si>
    <t>namayandegi-saipa8354</t>
  </si>
  <si>
    <t>namayeshgah mashhad 1</t>
  </si>
  <si>
    <t>namayeshgah mashhad 2</t>
  </si>
  <si>
    <t>namianegi-iran-khodro-1230</t>
  </si>
  <si>
    <t>nezam-abad-shomali</t>
  </si>
  <si>
    <t>nika-market</t>
  </si>
  <si>
    <t>nmaiandgi-fomanshimi-sarkan</t>
  </si>
  <si>
    <t>novin-egzoz</t>
  </si>
  <si>
    <t>otaghak amn dezfol 3727</t>
  </si>
  <si>
    <t>oto-servis-farzam</t>
  </si>
  <si>
    <t>otoo-nohy</t>
  </si>
  <si>
    <t>otu mehran</t>
  </si>
  <si>
    <t>paiane-haml-nagl-kalai-gorfe-256</t>
  </si>
  <si>
    <t>pakhsh-hobobat-va-bereng</t>
  </si>
  <si>
    <t>pakhsh-mavadgazaei-smaeili</t>
  </si>
  <si>
    <t>pakhsh-sadegzade</t>
  </si>
  <si>
    <t>pakhsh-sazmand</t>
  </si>
  <si>
    <t>pakhsh-varzeshi-rabet</t>
  </si>
  <si>
    <t>parche-saray-dezfol</t>
  </si>
  <si>
    <t>pasaj-Azadi-Abiek</t>
  </si>
  <si>
    <t>pasaj-aftab</t>
  </si>
  <si>
    <t>pasaj-algadir</t>
  </si>
  <si>
    <t>pasaj-doroudchi</t>
  </si>
  <si>
    <t>pasaj-ferdos</t>
  </si>
  <si>
    <t>pasaj-gods</t>
  </si>
  <si>
    <t>pasaj-harir1</t>
  </si>
  <si>
    <t>pasaj-nasr-novin</t>
  </si>
  <si>
    <t>pasaj-omat-tabriz</t>
  </si>
  <si>
    <t>pasaj-seraj-almolk</t>
  </si>
  <si>
    <t>pasaj-sotode</t>
  </si>
  <si>
    <t>pasaj-talafroshan-algadir</t>
  </si>
  <si>
    <t>pasaj-zomorod</t>
  </si>
  <si>
    <t>pasazh tejari moalem 8462</t>
  </si>
  <si>
    <t>khiaban-taleghani</t>
  </si>
  <si>
    <t>pasazh-algadir</t>
  </si>
  <si>
    <t>pasazh-ara</t>
  </si>
  <si>
    <t>pasazh-berelian</t>
  </si>
  <si>
    <t>pasazh-ferdosi</t>
  </si>
  <si>
    <t>pasazh-ghods</t>
  </si>
  <si>
    <t>pasazh-hajnaser-karhani</t>
  </si>
  <si>
    <t>pasazh-jawan</t>
  </si>
  <si>
    <t>pasazh-kabir</t>
  </si>
  <si>
    <t>pasazh-mehr-chalos</t>
  </si>
  <si>
    <t>pasazh-milad-noor</t>
  </si>
  <si>
    <t>pasazh-momtaz</t>
  </si>
  <si>
    <t>pasazh-paladiom</t>
  </si>
  <si>
    <t>pasazh-pedar</t>
  </si>
  <si>
    <t>pasazh-setareh</t>
  </si>
  <si>
    <t>pasazh-setareh-shahr</t>
  </si>
  <si>
    <t>pasazh-shab-tab-2</t>
  </si>
  <si>
    <t>pasazh-tala-foroshan</t>
  </si>
  <si>
    <t>pasazh-talaei-salmas</t>
  </si>
  <si>
    <t>pasazh-vahdati</t>
  </si>
  <si>
    <t>payane mosaferbari tabas 3560</t>
  </si>
  <si>
    <t>6.3.15.120/30</t>
  </si>
  <si>
    <t>پایانه مسافربری طبس ۳۵۶۰</t>
  </si>
  <si>
    <t>payanemosaferbari 1</t>
  </si>
  <si>
    <t>pelastik-malaei</t>
  </si>
  <si>
    <t>perozheh-bahar-razavi</t>
  </si>
  <si>
    <t>pirayesh khosro 8452</t>
  </si>
  <si>
    <t>pishkhan dolat-Shahriar</t>
  </si>
  <si>
    <t>pishkhan-arvin-salar</t>
  </si>
  <si>
    <t>pomp-benzin-mohamadi</t>
  </si>
  <si>
    <t>pomp-benzin-zare</t>
  </si>
  <si>
    <t>porotein-seadat</t>
  </si>
  <si>
    <t>poshak-amini</t>
  </si>
  <si>
    <t>poshak-sarshar</t>
  </si>
  <si>
    <t>poshak-yazdani</t>
  </si>
  <si>
    <t>postbank-rostam</t>
  </si>
  <si>
    <t>protein darya 4164</t>
  </si>
  <si>
    <t>rahimi-disain</t>
  </si>
  <si>
    <t>raman-gostar</t>
  </si>
  <si>
    <t>rang-abzar-boromand</t>
  </si>
  <si>
    <t>rash-saray-bazazha</t>
  </si>
  <si>
    <t>restoran-bag-darbar</t>
  </si>
  <si>
    <t>restoran-reza</t>
  </si>
  <si>
    <t>resturan-mehmanpazer-sina</t>
  </si>
  <si>
    <t>rokhaneh-dampezeshki-daneshgah-tehran</t>
  </si>
  <si>
    <t>rosstaye rostam Abad</t>
  </si>
  <si>
    <t>rostae-ghale-no</t>
  </si>
  <si>
    <t>rostai-ahmad-abad</t>
  </si>
  <si>
    <t>rostai-moshampaei-foroshgah-nader</t>
  </si>
  <si>
    <t>rostai-shian</t>
  </si>
  <si>
    <t>rostay-mohamad-abad-meysam-629655</t>
  </si>
  <si>
    <t>safkari-modern</t>
  </si>
  <si>
    <t>sakhteman pezeshkan bozorgmehr 8471</t>
  </si>
  <si>
    <t>sakhteman-Pezeshkan-qom</t>
  </si>
  <si>
    <t>sakhteman-arsh</t>
  </si>
  <si>
    <t>sakhteman-pezeshgan-atie</t>
  </si>
  <si>
    <t>sakhteman-pezeshkan-agagia</t>
  </si>
  <si>
    <t>sakhteman-pezeshkan-arad-vazirian</t>
  </si>
  <si>
    <t>sakhteman-pezeshkan-bargozide</t>
  </si>
  <si>
    <t>sakhteman-pezeshkan-doctor-harati</t>
  </si>
  <si>
    <t>sakhteman-pezeshkan-shora</t>
  </si>
  <si>
    <t>sakhteman-pezshkan-438</t>
  </si>
  <si>
    <t>sakhteman-sandog-askarie-khavaran</t>
  </si>
  <si>
    <t>salon-arayeshi-mohadeseh-mahdavian</t>
  </si>
  <si>
    <t>salon-paziray-majles-afroz</t>
  </si>
  <si>
    <t>salon-zibae-negar</t>
  </si>
  <si>
    <t>salon-zibae-seti-naz</t>
  </si>
  <si>
    <t>salon-zibaei-malake-aryaei</t>
  </si>
  <si>
    <t>salon-zibaei-sevda</t>
  </si>
  <si>
    <t>salon-zibaei-shirin-mogdam</t>
  </si>
  <si>
    <t>salon-zibafarkhondeh-946056</t>
  </si>
  <si>
    <t>saloon-zibaei-azin</t>
  </si>
  <si>
    <t>saloon-zibaei-nana-jomhori</t>
  </si>
  <si>
    <t>sanaye chobi fadaei 8449</t>
  </si>
  <si>
    <t>sandog-gharzol-hasane-valieasr</t>
  </si>
  <si>
    <t>saneatkade-azadi</t>
  </si>
  <si>
    <t>sanyat-keshavarzi-dehghaniyan</t>
  </si>
  <si>
    <t>sarae-mahale-shahran-jonobi</t>
  </si>
  <si>
    <t>sarai-farsh-haialiakbar</t>
  </si>
  <si>
    <t>sarai-kazemie-bazar-jafari</t>
  </si>
  <si>
    <t>sarai-omde-froshan-mavad-gazaei-habibikhan</t>
  </si>
  <si>
    <t>saray-mahale-kam</t>
  </si>
  <si>
    <t>saraye-mahale-kerman</t>
  </si>
  <si>
    <t>sardkhane-afzali</t>
  </si>
  <si>
    <t>sarvenaz-b3</t>
  </si>
  <si>
    <t>sarzamin-ghahve</t>
  </si>
  <si>
    <t>sarzamin-madari -1</t>
  </si>
  <si>
    <t>sarzamin-madari-2</t>
  </si>
  <si>
    <t>sarzamin-madari-3</t>
  </si>
  <si>
    <t>sazman-nosazi-tose-tajheiz-madares-keshvar</t>
  </si>
  <si>
    <t>seke-jamshid</t>
  </si>
  <si>
    <t>seke-niyaesh</t>
  </si>
  <si>
    <t>seke-tala-nayeri</t>
  </si>
  <si>
    <t>shahrak-sanati-kar-afarinan</t>
  </si>
  <si>
    <t>sherak-tavoni-masraf-shomareh yek-naja</t>
  </si>
  <si>
    <t>sherkarparadis seir merdas</t>
  </si>
  <si>
    <t>sherkat-Tejarat-Zarifan</t>
  </si>
  <si>
    <t>sherkat-beh-dane-shomal</t>
  </si>
  <si>
    <t>sherkat-kerman-motor</t>
  </si>
  <si>
    <t>sherkat-khayam-sepehr-neyshabor</t>
  </si>
  <si>
    <t>sherkat-lahijan-safar-alborz</t>
  </si>
  <si>
    <t>sherkat-mosaferati-shaparak</t>
  </si>
  <si>
    <t>sherkat-mosaferbari-tak-safar</t>
  </si>
  <si>
    <t>sherkat-mosafert-havaei-afag</t>
  </si>
  <si>
    <t>shirini-amir</t>
  </si>
  <si>
    <t>shirini-avazeh</t>
  </si>
  <si>
    <t>shirini-foroshi-salar-khoshe</t>
  </si>
  <si>
    <t>shirinifroshi-babagolzade</t>
  </si>
  <si>
    <t>shirinisarai-khoshe</t>
  </si>
  <si>
    <t>shobe 527</t>
  </si>
  <si>
    <t>sinema-surosh-844183</t>
  </si>
  <si>
    <t>soer-market-shoshtar</t>
  </si>
  <si>
    <t>soper-gazi-shahrood</t>
  </si>
  <si>
    <t>soper-gosht-khanevade</t>
  </si>
  <si>
    <t>soper-gosht-reza</t>
  </si>
  <si>
    <t>soper-maket-nazari</t>
  </si>
  <si>
    <t>soper-market-azadi</t>
  </si>
  <si>
    <t>soper-market-barekat</t>
  </si>
  <si>
    <t>soper-market-hamshahri</t>
  </si>
  <si>
    <t>soper-market-toranj</t>
  </si>
  <si>
    <t>soper-teavon</t>
  </si>
  <si>
    <t>sopermarket-mehdi</t>
  </si>
  <si>
    <t>sopermarket-mohammadi</t>
  </si>
  <si>
    <t>sopermarket-tavakol</t>
  </si>
  <si>
    <t>sopermarket-zinkohi</t>
  </si>
  <si>
    <t>super - market-delavar - 2</t>
  </si>
  <si>
    <t>super market mirzaeian</t>
  </si>
  <si>
    <t>super market torist 8262</t>
  </si>
  <si>
    <t>super-gosht-baradaran-jonabadi</t>
  </si>
  <si>
    <t>super-market</t>
  </si>
  <si>
    <t>super-market-amir</t>
  </si>
  <si>
    <t>super-market-arman-shahr</t>
  </si>
  <si>
    <t>super-market-bagheri</t>
  </si>
  <si>
    <t>super-market-baradaran-rahat</t>
  </si>
  <si>
    <t>super-market-ghasr-haris-195443</t>
  </si>
  <si>
    <t>super-market-haram</t>
  </si>
  <si>
    <t>super-market-rasuli</t>
  </si>
  <si>
    <t>super-market-tak</t>
  </si>
  <si>
    <t>super-mavad-ghazai-jadidi</t>
  </si>
  <si>
    <t>superNavad</t>
  </si>
  <si>
    <t>supermarketPardis-Mashhad</t>
  </si>
  <si>
    <t>tajhizat-botoni-shirafkan</t>
  </si>
  <si>
    <t>tajhizat-seyed</t>
  </si>
  <si>
    <t>takhlie-bar0javid-tarabar</t>
  </si>
  <si>
    <t>tala-froshi-salimi</t>
  </si>
  <si>
    <t>tala-javaherat-marofi</t>
  </si>
  <si>
    <t>tala-javaheri-persian-gold</t>
  </si>
  <si>
    <t>talai-safaei</t>
  </si>
  <si>
    <t>talai-zarin</t>
  </si>
  <si>
    <t>talar resturan hemat</t>
  </si>
  <si>
    <t>talar-amin</t>
  </si>
  <si>
    <t>tamir-start-dinam-asgarian</t>
  </si>
  <si>
    <t>tamirat-lavazem-soti-tasviri-zaker</t>
  </si>
  <si>
    <t>tamirgah</t>
  </si>
  <si>
    <t>tamirgah-mojaz-rahmani</t>
  </si>
  <si>
    <t>tamirgah-najafi</t>
  </si>
  <si>
    <t>tamirgah-reza</t>
  </si>
  <si>
    <t>tareh-bar-sadi</t>
  </si>
  <si>
    <t>tasisat-fani-torabi</t>
  </si>
  <si>
    <t>taviz-roghan-azarbayjan</t>
  </si>
  <si>
    <t>tavoni-hoseynie</t>
  </si>
  <si>
    <t>teaviz-rogan-parsa</t>
  </si>
  <si>
    <t>teavoni4-mihan-noor</t>
  </si>
  <si>
    <t>teleh-kabin-kerman 7831</t>
  </si>
  <si>
    <t>telekabin-bam-istgah-bala-890882</t>
  </si>
  <si>
    <t>telekabin-bam-istgah-paein-421200</t>
  </si>
  <si>
    <t>terminal-mosaferbari-mohammadi</t>
  </si>
  <si>
    <t>ti-ti-kar-center</t>
  </si>
  <si>
    <t>timar-garazh</t>
  </si>
  <si>
    <t>timche-amir-jafarie-molk</t>
  </si>
  <si>
    <t>topoli-berger</t>
  </si>
  <si>
    <t>tractor-sazi-alizade</t>
  </si>
  <si>
    <t>uper-marker-sohrabi-527012</t>
  </si>
  <si>
    <t>uper-market-deyhim-fard</t>
  </si>
  <si>
    <t>vorodi 2 payane mosaferbari 5326</t>
  </si>
  <si>
    <t>yadegar pezeshkan 8464</t>
  </si>
  <si>
    <t>yakhchal sazi tabatabaei 8459</t>
  </si>
  <si>
    <t>yakhchal-markazi</t>
  </si>
  <si>
    <t>yaran-khodro-sanat</t>
  </si>
  <si>
    <t>zirgozar-payane-BRT-mohmmad-ali-jenah</t>
  </si>
  <si>
    <t>melal-daneshgh-eslam-abad-gharb</t>
  </si>
  <si>
    <t>6.3.15.24/30</t>
  </si>
  <si>
    <t>دانشگاه آزاد واحد اسلامی شهر اسلام آباد غرب</t>
  </si>
  <si>
    <t>foroshgah-saraye-ramezani</t>
  </si>
  <si>
    <t>6.3.15.224/30</t>
  </si>
  <si>
    <t>مجتمع خوابگاهی امام رضا</t>
  </si>
  <si>
    <t>payaneh-mosaferbari-tabas</t>
  </si>
  <si>
    <t>مودم های دورکاری</t>
  </si>
  <si>
    <t xml:space="preserve">پهنای باند قدیم </t>
  </si>
  <si>
    <t>دورکاری 1</t>
  </si>
  <si>
    <t>172.16.5.8/29</t>
  </si>
  <si>
    <t>دورکاری</t>
  </si>
  <si>
    <t>دورکاری 2</t>
  </si>
  <si>
    <t>172.16.5.16/29</t>
  </si>
  <si>
    <t>دورکاری 3</t>
  </si>
  <si>
    <t>172.16.5.24/29</t>
  </si>
  <si>
    <t>دورکاری 4</t>
  </si>
  <si>
    <t>172.16.5.32/29</t>
  </si>
  <si>
    <t>دورکاری 5</t>
  </si>
  <si>
    <t>172.16.5.40/29</t>
  </si>
  <si>
    <t>دورکاری 7</t>
  </si>
  <si>
    <t>172.16.5.56/29</t>
  </si>
  <si>
    <t>دورکاری 8</t>
  </si>
  <si>
    <t>172.16.5.64/29</t>
  </si>
  <si>
    <t>دورکاری 10</t>
  </si>
  <si>
    <t>172.16.5.80/29</t>
  </si>
  <si>
    <t>دورکاری 6</t>
  </si>
  <si>
    <t>172.16.5.48/29</t>
  </si>
  <si>
    <t>دورکاری 9</t>
  </si>
  <si>
    <t>172.16.5.72/29</t>
  </si>
  <si>
    <t>دورکاری 303</t>
  </si>
  <si>
    <t>172.16.7.176/29</t>
  </si>
  <si>
    <t>دورکاری 200</t>
  </si>
  <si>
    <t>172.16.6.0/29</t>
  </si>
  <si>
    <t>دورکاری 201</t>
  </si>
  <si>
    <t>172.16.6.64/29</t>
  </si>
  <si>
    <t>دورکاری 203</t>
  </si>
  <si>
    <t>172.16.6.72/29</t>
  </si>
  <si>
    <t>دورکاری 204</t>
  </si>
  <si>
    <t>172.16.6.56/29</t>
  </si>
  <si>
    <t>دورکاری 206</t>
  </si>
  <si>
    <t>172.16.6.24/29</t>
  </si>
  <si>
    <t>دورکاری 207</t>
  </si>
  <si>
    <t>172.16.6.48/29</t>
  </si>
  <si>
    <t>دورکاری 208</t>
  </si>
  <si>
    <t>172.16.6.33/29</t>
  </si>
  <si>
    <t>دورکاری 209</t>
  </si>
  <si>
    <t>172.16.6.16/29</t>
  </si>
  <si>
    <t>دورکاری-310</t>
  </si>
  <si>
    <t>172.16.7.200/29</t>
  </si>
  <si>
    <t>دورکاری 308</t>
  </si>
  <si>
    <t>172.16.7.192/29</t>
  </si>
  <si>
    <t>دورکاری6.1</t>
  </si>
  <si>
    <t>172.16.7.216/29</t>
  </si>
  <si>
    <t>دورکاری67.1</t>
  </si>
  <si>
    <t>172.16.7.224/29</t>
  </si>
  <si>
    <t>دورکاری 14.1</t>
  </si>
  <si>
    <t>172.16.7.232/29</t>
  </si>
  <si>
    <t>دورکاری17.1</t>
  </si>
  <si>
    <t>172.16.7.240/29</t>
  </si>
  <si>
    <t>دورکاری14</t>
  </si>
  <si>
    <t>172.16.4.176/29</t>
  </si>
  <si>
    <t>دورکاری16</t>
  </si>
  <si>
    <t>172.16.4.160</t>
  </si>
  <si>
    <t>دورکاری17</t>
  </si>
  <si>
    <t>172.16.4.152/29</t>
  </si>
  <si>
    <t>دورکاری18</t>
  </si>
  <si>
    <t>172.16.4.144/29</t>
  </si>
  <si>
    <t>دورکاری 202</t>
  </si>
  <si>
    <t>172.16.6.8/29</t>
  </si>
  <si>
    <t>دورکاری24</t>
  </si>
  <si>
    <t>172.16.4.96/29</t>
  </si>
  <si>
    <t>دورکاری 301</t>
  </si>
  <si>
    <t>172.16.7.152/29</t>
  </si>
  <si>
    <t>دورکاری 302</t>
  </si>
  <si>
    <t>172.16.7.144/29</t>
  </si>
  <si>
    <t>دورکاری 304</t>
  </si>
  <si>
    <t>172.16.7.168/29</t>
  </si>
  <si>
    <t>دورکاری 305</t>
  </si>
  <si>
    <t>172.16.7.160/29</t>
  </si>
  <si>
    <t>دورکاری 306</t>
  </si>
  <si>
    <t>172.16.6.96/29</t>
  </si>
  <si>
    <t>دورکاری 307</t>
  </si>
  <si>
    <t>172.16.6.104/29</t>
  </si>
  <si>
    <t>دورکاری6</t>
  </si>
  <si>
    <t>172.16.4.240/29</t>
  </si>
  <si>
    <t>دورکاری64</t>
  </si>
  <si>
    <t>172.16.7.32</t>
  </si>
  <si>
    <t>دورکاری70</t>
  </si>
  <si>
    <t>172.16.6.240/29</t>
  </si>
  <si>
    <t>دورکاری_140006_01</t>
  </si>
  <si>
    <t>172.16.6.88/29</t>
  </si>
  <si>
    <t>مجموع هزینه کلی شبکه LTE مبین نت در کشور</t>
  </si>
  <si>
    <t>خودپردازنقدی وغیر نقدی</t>
  </si>
  <si>
    <t>970114096174-۱۴۰۹۶۱۷۴</t>
  </si>
  <si>
    <t>970114273367-۱۴۲۷۳۳۶۷</t>
  </si>
  <si>
    <t>مجموع هزینه:</t>
  </si>
  <si>
    <t>x</t>
  </si>
  <si>
    <t>12 Mb</t>
  </si>
  <si>
    <t>565498</t>
  </si>
  <si>
    <t>ساختمان 68 شرقی</t>
  </si>
  <si>
    <t>529306</t>
  </si>
  <si>
    <t xml:space="preserve"> فیبر دسترسی</t>
  </si>
  <si>
    <t xml:space="preserve">50 Mb </t>
  </si>
  <si>
    <t>خودپرداز</t>
  </si>
  <si>
    <t>مجموع</t>
  </si>
  <si>
    <t>تعداد سرویس ها</t>
  </si>
  <si>
    <t>مراکز داده وساختمان های اداری وسازمانی</t>
  </si>
  <si>
    <t>16 Mb</t>
  </si>
  <si>
    <t>60 Mb</t>
  </si>
  <si>
    <t>154880 Kb</t>
  </si>
  <si>
    <t>3072 Kb</t>
  </si>
  <si>
    <t>7168 Kb</t>
  </si>
  <si>
    <t>16384 Kb</t>
  </si>
  <si>
    <t>24576 Kb</t>
  </si>
  <si>
    <t>32768 Kb</t>
  </si>
  <si>
    <t>61440 Kb</t>
  </si>
  <si>
    <t>437 Mb</t>
  </si>
  <si>
    <t>447488 Kb</t>
  </si>
  <si>
    <t>شبکه مبین نت   شماره قرارداد  1404/1769</t>
  </si>
  <si>
    <t>شبکه آسیاتک   شماره قرارداد   1404/1738-1404/1739</t>
  </si>
  <si>
    <t>مجموع هزینه کلی شبکه DSL وlteآسیاتک در کشور</t>
  </si>
  <si>
    <t>شبکه VSAT   شماره قرارداد   1401/12/01</t>
  </si>
  <si>
    <t>مجموع هزینه کلی شبکه VSAT سامان ماهواره در کشور</t>
  </si>
  <si>
    <t>مجموع هزینه کلی شبکه MPLS-VPN کشوری مخابرات ایران</t>
  </si>
  <si>
    <t>شعب مرکز استان</t>
  </si>
  <si>
    <t>مراکز داده</t>
  </si>
  <si>
    <t xml:space="preserve">2 Mb </t>
  </si>
  <si>
    <t xml:space="preserve">4 Mb </t>
  </si>
  <si>
    <t xml:space="preserve">8 Mb </t>
  </si>
  <si>
    <t xml:space="preserve">10 Mb </t>
  </si>
  <si>
    <t>جمع کل  دریکسال</t>
  </si>
  <si>
    <t>اجاره تجهیزات برای 61 ایستگاه مابقی تا116 تا رایگان</t>
  </si>
  <si>
    <t>12288 Kb</t>
  </si>
  <si>
    <t>22656 Kb</t>
  </si>
  <si>
    <t>50176 Kb</t>
  </si>
  <si>
    <t>20480 Kb</t>
  </si>
  <si>
    <t>93312 Kb</t>
  </si>
  <si>
    <t>91.126 Mb</t>
  </si>
  <si>
    <t>هزینه نصب (هرایستگاه LTE برابر با 12,150,000ریال ) جمع آوری(هرایستگاه 1,350,000ریال)</t>
  </si>
  <si>
    <t>هزینه رانژه ونصب (هرایستگاه DSL برابر با 2,900,000ریال)</t>
  </si>
  <si>
    <t>فقط یکبار پرداخت می شود</t>
  </si>
  <si>
    <t>ماهیانه</t>
  </si>
  <si>
    <t>هزینه نصب وراه اندازی(برای هرایستگاه کاری20,020,000 ریال)</t>
  </si>
  <si>
    <t>هزینه جمع آوری(برای هرایستگاه کاری4,000,000 ریال)</t>
  </si>
  <si>
    <t xml:space="preserve">شبکه مخابراتی - مخابرات ایران   </t>
  </si>
  <si>
    <t>104 Mb</t>
  </si>
  <si>
    <t>مجموع(Kb)</t>
  </si>
  <si>
    <t>استان خراسان رضوی</t>
  </si>
  <si>
    <t>استان خراسان شمالی</t>
  </si>
  <si>
    <t>استان خراسان جنوبی</t>
  </si>
  <si>
    <t>145808000</t>
  </si>
  <si>
    <t>174760000</t>
  </si>
  <si>
    <t>کهکلویه وبویراحمد</t>
  </si>
  <si>
    <t>مجموع هزینه کلی شبکه مخابراتی  شعب(MPLS-VPN/Intranet/PTMP)- مخابرات ایران</t>
  </si>
  <si>
    <t>مجموع هزینه کلی شبکه مخابراتی  خودپرداز(MPLS/Intranet/PTMP)- مخابرات ایران</t>
  </si>
  <si>
    <t>254025125372</t>
  </si>
  <si>
    <t>646798</t>
  </si>
  <si>
    <t>649570</t>
  </si>
  <si>
    <t>نصب وجمع آوری(برای هرایستگاه 27,500,000 ریال)</t>
  </si>
  <si>
    <t>استان خراسان رضوی(55 شعبه)</t>
  </si>
  <si>
    <t>استان خراسان شمالی(7 شعبه)</t>
  </si>
  <si>
    <t>استان خراسان جنوبی(6 شعبه)</t>
  </si>
  <si>
    <t>سیستان وبلوچستان(4 شعبه)</t>
  </si>
  <si>
    <t>گلستان(12 شعبه)</t>
  </si>
  <si>
    <t>تهران(85 شعبه)</t>
  </si>
  <si>
    <t>البرز(5 شعبه)</t>
  </si>
  <si>
    <t>اردبیل(4 شعبه)</t>
  </si>
  <si>
    <t>آذربایجان غربی(5 شعبه)</t>
  </si>
  <si>
    <t>آذربایجان شرقی(8شعبه)</t>
  </si>
  <si>
    <t>خوزستان(19 شعبه)</t>
  </si>
  <si>
    <t>فارس(12 شعبه)</t>
  </si>
  <si>
    <t>قم(2 شعبه)</t>
  </si>
  <si>
    <t>کردستان(2 شعبه)</t>
  </si>
  <si>
    <t>لرستان(8 شعبه)</t>
  </si>
  <si>
    <t>همدان(4 شعبه)</t>
  </si>
  <si>
    <t>مرکزی(7شعبه)</t>
  </si>
  <si>
    <t>کرمانشاه(5 شعبه)</t>
  </si>
  <si>
    <t>قزوین(7شعبه)</t>
  </si>
  <si>
    <t>ایلام(2شعبه)</t>
  </si>
  <si>
    <t>اصفهان(8شعبه)</t>
  </si>
  <si>
    <t>بوشهر(6شعبه)</t>
  </si>
  <si>
    <t>چهارمحال وبختیاری(3شعبه)</t>
  </si>
  <si>
    <t>زنجان(5شعبه)</t>
  </si>
  <si>
    <t>سمنان(11شعبه)</t>
  </si>
  <si>
    <t>کهکلویه وبویراحمد(2شعبه)</t>
  </si>
  <si>
    <t>یزد(3شعبه)</t>
  </si>
  <si>
    <t>گیلان(15شعبه)</t>
  </si>
  <si>
    <t>مازندران(15شعبه)</t>
  </si>
  <si>
    <t>هرمزگان(6شعبه)</t>
  </si>
  <si>
    <t>کرمان(13شعبه)</t>
  </si>
  <si>
    <t>SW-Distribution-FAM</t>
  </si>
  <si>
    <t>SW-Distribution-68</t>
  </si>
  <si>
    <t>100.107.1.1</t>
  </si>
  <si>
    <t>Router4431-68</t>
  </si>
  <si>
    <t>Router4431-FAM</t>
  </si>
  <si>
    <t>100.111.100.1,2,3</t>
  </si>
  <si>
    <t>Router1841-Melal</t>
  </si>
  <si>
    <t>?</t>
  </si>
  <si>
    <t>sw-Roof</t>
  </si>
  <si>
    <t>شرکت فام - 68 شرقی</t>
  </si>
  <si>
    <t>فیبر اختصاصی-مرکز مخابراتی فضل اله ساختمان 68</t>
  </si>
  <si>
    <t>DES-WANEdge(-1)</t>
  </si>
  <si>
    <t>100.100.1.7</t>
  </si>
  <si>
    <t>WAN-Router</t>
  </si>
  <si>
    <t>LTE-Mobinet</t>
  </si>
  <si>
    <t>Intranet-Tehran</t>
  </si>
  <si>
    <t>VSAT-OFF-Tehran</t>
  </si>
  <si>
    <t>اینترنت ساختمان 68 شرقی-فام</t>
  </si>
  <si>
    <t>اینترنت ساختمان مشهد-فام</t>
  </si>
  <si>
    <t>رادیو/BGP- سمنان</t>
  </si>
  <si>
    <t>رادیو/BGP-تهران</t>
  </si>
  <si>
    <t>تجريش</t>
  </si>
  <si>
    <t>انبار تهران-یافت آباد</t>
  </si>
  <si>
    <t>طرح چی</t>
  </si>
  <si>
    <t>قانی شیراز</t>
  </si>
  <si>
    <t>شعبه /خودپرداز</t>
  </si>
  <si>
    <t>شاخص</t>
  </si>
  <si>
    <t>رسانه انتقال</t>
  </si>
  <si>
    <t>پهنای باند(Kb)</t>
  </si>
  <si>
    <t>LTE-Mobnnet</t>
  </si>
  <si>
    <t>DSL&amp;LTE Asiatech</t>
  </si>
  <si>
    <t>PTMP/PTP/Intranet(Branch)</t>
  </si>
  <si>
    <t>PTMP/PTP/Intranet(ATM)</t>
  </si>
  <si>
    <t>مرکز داده تهران وسمنان</t>
  </si>
  <si>
    <t>مجموع هزینه شبکه VPN سازمانی(ریال)</t>
  </si>
  <si>
    <t>1Gb</t>
  </si>
  <si>
    <t>2227200Kb</t>
  </si>
  <si>
    <t>2.175 Gb</t>
  </si>
  <si>
    <t xml:space="preserve">    </t>
  </si>
  <si>
    <t>هزینه نگهداری کانال های SIP ماهیانه-ریال-آذر1404(ماهیانه  بسته به مصرف متغیر است)</t>
  </si>
  <si>
    <t>هزینه پهنای باند وترافیک-ریال</t>
  </si>
  <si>
    <t>40047983</t>
  </si>
  <si>
    <t>40050199</t>
  </si>
  <si>
    <t>هزینه نگهداری متغیر است-آذر1404</t>
  </si>
  <si>
    <t>C-darmangah nikan 8437</t>
  </si>
  <si>
    <t>10.1.143.192/30</t>
  </si>
  <si>
    <t>268</t>
  </si>
  <si>
    <t>10.1.144.32/30</t>
  </si>
  <si>
    <t>C-foroshgah zhapon yadak 8451</t>
  </si>
  <si>
    <t>10.1.144.28/30</t>
  </si>
  <si>
    <t>C-batri sazi ali 8457</t>
  </si>
  <si>
    <t>10.1.144.24/30</t>
  </si>
  <si>
    <t>C-rang v abzar mohammad8425</t>
  </si>
  <si>
    <t>10.1.144.36/30</t>
  </si>
  <si>
    <t>C-markaz takhasosi khodro rahimi8450</t>
  </si>
  <si>
    <t>10.1.144.44/30</t>
  </si>
  <si>
    <t>C-bzar haj ghasem8491</t>
  </si>
  <si>
    <t>10.1.144.224/30</t>
  </si>
  <si>
    <t>C-pasazh andishe8484</t>
  </si>
  <si>
    <t>10.1.143.220/30</t>
  </si>
  <si>
    <t>A-super fayazi4112</t>
  </si>
  <si>
    <t>214</t>
  </si>
  <si>
    <t>10.1.143.224/30</t>
  </si>
  <si>
    <t>A-hyper market fakhr3998</t>
  </si>
  <si>
    <t>10.1.143.24/30</t>
  </si>
  <si>
    <t>A-masjed alghadir 4038</t>
  </si>
  <si>
    <t>240</t>
  </si>
  <si>
    <t>10.1.143.232/30</t>
  </si>
  <si>
    <t>A-amlak baharan 3786</t>
  </si>
  <si>
    <t>211</t>
  </si>
  <si>
    <t>10.1.143.240/30</t>
  </si>
  <si>
    <t>C-sherkat roghan talaei neyshabor4581</t>
  </si>
  <si>
    <t>278</t>
  </si>
  <si>
    <t>10.1.144.52/30</t>
  </si>
  <si>
    <t>C-gallery eynak lena-8008</t>
  </si>
  <si>
    <t>10.1.144.124/30</t>
  </si>
  <si>
    <t>C-daftar pishkhan asr fanavaran7981</t>
  </si>
  <si>
    <t>10.1.144.80/30</t>
  </si>
  <si>
    <t>C-saray akbariyan bazar arak7546</t>
  </si>
  <si>
    <t>10.1.144.152/30</t>
  </si>
  <si>
    <t>C-foroshgah lavazem yadaki polad benz6900</t>
  </si>
  <si>
    <t>10.1.144.88/30</t>
  </si>
  <si>
    <t>C-donya-botri va pelastic makran8288</t>
  </si>
  <si>
    <t>10.1.144.200/30</t>
  </si>
  <si>
    <t>C-daftar asnad 31 hamedan4317</t>
  </si>
  <si>
    <t>شبکه اینترنت</t>
  </si>
  <si>
    <t xml:space="preserve">محل نصب سرویس </t>
  </si>
  <si>
    <t>شرکت سرویس دهنده</t>
  </si>
  <si>
    <t>هزینه ماهیانه /سالیانه(ریال)</t>
  </si>
  <si>
    <t>شماره قرارداد/فاکتور</t>
  </si>
  <si>
    <t>رسانه انتقال/روتر</t>
  </si>
  <si>
    <t>Askariyeh-4MahalBakhtiari-Borujen</t>
  </si>
  <si>
    <t>Askariyeh-4MahalBakhtiari-ShahreKord-Kashani</t>
  </si>
  <si>
    <t>Askariyeh-Alborz-Karaj-ATMForodgahPayam</t>
  </si>
  <si>
    <t>Askariyeh-Alborz-Karaj-Gohardasht</t>
  </si>
  <si>
    <t>Askariyeh-Alborz-Karaj-ShahinVila</t>
  </si>
  <si>
    <t>Askariyeh-Alborz-Karaj-Shohada</t>
  </si>
  <si>
    <t>Askariyeh-Ardebil</t>
  </si>
  <si>
    <t>Askariyeh-AzarbayjanGharbi-Uromiyeh</t>
  </si>
  <si>
    <t>Askariyeh-AzarbayjanSharghi-Tabriz</t>
  </si>
  <si>
    <t>Askariyeh-Bushehr</t>
  </si>
  <si>
    <t>Askariyeh-Bushehr-Genaveh-ATMMojtamaJamalZadeh</t>
  </si>
  <si>
    <t>Askariyeh-Eilam-Saadi</t>
  </si>
  <si>
    <t>Askariyeh-Esfahan-Markazi</t>
  </si>
  <si>
    <t>Askariyeh-Fars-Lar-ATMDarmangahRahgozar</t>
  </si>
  <si>
    <t>Askariyeh-Fars-Larestan</t>
  </si>
  <si>
    <t>Askariyeh-Fars-Marvdasht-ATMDaneshkadehFaniHerfeiPesaran</t>
  </si>
  <si>
    <t>Askariyeh-Fars-Marvdasht-ATMMasjedEmamHadi</t>
  </si>
  <si>
    <t>Askariyeh-Fars-Shiraz</t>
  </si>
  <si>
    <t>Askariyeh-Fars-Shiraz-Pasdaran</t>
  </si>
  <si>
    <t>Askariyeh-Gilan-Astara</t>
  </si>
  <si>
    <t>Askariyeh-Gilan-Rasht</t>
  </si>
  <si>
    <t>Askariyeh-Gilan-SomehSara</t>
  </si>
  <si>
    <t>Askariyeh-Golestan-Gorgan-ValiAsr</t>
  </si>
  <si>
    <t>Askariyeh-Hamedan</t>
  </si>
  <si>
    <t>Askariyeh-Hamedan-Buali</t>
  </si>
  <si>
    <t>Askariyeh-Hamedan-Malayer</t>
  </si>
  <si>
    <t>Askariyeh-Hormozgan-BandarAbas</t>
  </si>
  <si>
    <t>Askariyeh-Hormozgan-Minab</t>
  </si>
  <si>
    <t>Askariyeh-Hormozgan-Qeshm</t>
  </si>
  <si>
    <t>Askariyeh-Isfahan-MalekShahr</t>
  </si>
  <si>
    <t>Askariyeh-Kerman-EmamKhomeini</t>
  </si>
  <si>
    <t>Askariyeh-Kerman-HozeKerman</t>
  </si>
  <si>
    <t>Askariyeh-Kermanshah-Ferdowsi</t>
  </si>
  <si>
    <t>Askariyeh-KhorasanJonubi-Birjand-HajiAbad</t>
  </si>
  <si>
    <t>Askariyeh-KhorasanJonubi-Birjand-Modares</t>
  </si>
  <si>
    <t>Askariyeh-KhorasanRazavi-Dargaz</t>
  </si>
  <si>
    <t>Askariyeh-KhorasanRazavi-Gonabad</t>
  </si>
  <si>
    <t>Askariyeh-KhorasanRazavi-Kalat</t>
  </si>
  <si>
    <t>Askariyeh-KhorasanRazavi-Kalat-LayeneNow</t>
  </si>
  <si>
    <t>Askariyeh-KhorasanRazavi-Kashmar</t>
  </si>
  <si>
    <t>Askariyeh-KhorasanRazavi-Mashhad</t>
  </si>
  <si>
    <t>Askariyeh-KhorasanRazavi-Mashhad-17Shahrivar</t>
  </si>
  <si>
    <t>Askariyeh-KhorasanRazavi-Mashhad-5Tan</t>
  </si>
  <si>
    <t>Askariyeh-KhorasanRazavi-Mashhad-AhmadAbad</t>
  </si>
  <si>
    <t>Askariyeh-KhorasanRazavi-Mashhad-Anbar</t>
  </si>
  <si>
    <t>Askariyeh-KhorasanRazavi-Mashhad-Bolvar2Tabarsi</t>
  </si>
  <si>
    <t>Askariyeh-KhorasanRazavi-Mashhad-BolvarMoalem</t>
  </si>
  <si>
    <t>Askariyeh-KhorasanRazavi-Mashhad-Emamat</t>
  </si>
  <si>
    <t>Askariyeh-KhorasanRazavi-Mashhad-GarazhDara</t>
  </si>
  <si>
    <t>Askariyeh-KhorasanRazavi-Mashhad-GhasemAbad</t>
  </si>
  <si>
    <t>Askariyeh-KhorasanRazavi-Mashhad-Golshahr</t>
  </si>
  <si>
    <t>Askariyeh-KhorasanRazavi-Mashhad-HashemiNezhad</t>
  </si>
  <si>
    <t>Askariyeh-KhorasanRazavi-Mashhad-KoyeAmir</t>
  </si>
  <si>
    <t>Askariyeh-KhorasanRazavi-Mashhad-Mofateh</t>
  </si>
  <si>
    <t>Askariyeh-KhorasanRazavi-Mashhad-Paydari</t>
  </si>
  <si>
    <t>Askariyeh-KhorasanRazavi-Mashhad-Resalat</t>
  </si>
  <si>
    <t>Askariyeh-KhorasanRazavi-Mashhad-Tarhchi</t>
  </si>
  <si>
    <t>Askariyeh-KhorasanRazavi-Mashhad-Torghabeh</t>
  </si>
  <si>
    <t>Askariyeh-KhorasanRazavi-Mashhad-Valiasr</t>
  </si>
  <si>
    <t>Askariyeh-KhorasanRazavi-Neishabur</t>
  </si>
  <si>
    <t>Askariyeh-KhorasanShomali-Bojnurd</t>
  </si>
  <si>
    <t>Askariyeh-KhorasanShomali-Esfarayen</t>
  </si>
  <si>
    <t>Askariyeh-KhorasanShomali-Faruj-Khargh</t>
  </si>
  <si>
    <t>Askariyeh-Khozestan-Abadan</t>
  </si>
  <si>
    <t>Askariyeh-Khozestan-Ahvaz</t>
  </si>
  <si>
    <t>Askariyeh-Khozestan-Ahvaz-Golestan</t>
  </si>
  <si>
    <t>Askariyeh-Khozestan-Ahvaz-Shariati</t>
  </si>
  <si>
    <t>Askariyeh-Khozestan-Dezful-Taleghani</t>
  </si>
  <si>
    <t>Askariyeh-Khozestan-Izeh</t>
  </si>
  <si>
    <t>Askariyeh-Khozestan-KhoramShahr</t>
  </si>
  <si>
    <t>Askariyeh-Khozestan-Mahshahr</t>
  </si>
  <si>
    <t>Askariyeh-Khozestan-Omidiyeh</t>
  </si>
  <si>
    <t>Askariyeh-Khozestan-Ramhormoz</t>
  </si>
  <si>
    <t>Askariyeh-Khozestan-Shadegan</t>
  </si>
  <si>
    <t>Askariyeh-Kohkiloyeh-Yasuj</t>
  </si>
  <si>
    <t>Askariyeh-Kordestan-Sanandaj</t>
  </si>
  <si>
    <t>Askariyeh-Lorestan-PolDokhtar</t>
  </si>
  <si>
    <t>Askariyeh-Markazi-Arak-AmirKabir</t>
  </si>
  <si>
    <t>Askariyeh-Mazandaran-Babol</t>
  </si>
  <si>
    <t>Askariyeh-Qazvin-Padegan</t>
  </si>
  <si>
    <t>Askariyeh-Qom</t>
  </si>
  <si>
    <t>Askariyeh-Semnan</t>
  </si>
  <si>
    <t>Askariyeh-Sistan-Zabol</t>
  </si>
  <si>
    <t>Askariyeh-Sistan-Zahedan-Beheshti</t>
  </si>
  <si>
    <t>Askariyeh-Sistan-Zahedan-Markazi</t>
  </si>
  <si>
    <t>Askariyeh-Sistan-Zahedan-ShahidMazari</t>
  </si>
  <si>
    <t>Askariyeh-Tehran-Afsariyeh</t>
  </si>
  <si>
    <t>Askariyeh-Tehran-Anbar</t>
  </si>
  <si>
    <t>Askariyeh-Tehran-Ashpazkhaneh</t>
  </si>
  <si>
    <t>Askariyeh-Tehran-BolvarFerdos</t>
  </si>
  <si>
    <t>Askariyeh-Tehran-EslamShahr-Kashani</t>
  </si>
  <si>
    <t>Askariyeh-Tehran-GhaemMagham</t>
  </si>
  <si>
    <t>Askariyeh-Tehran-Lavasan</t>
  </si>
  <si>
    <t>Askariyeh-Tehran-Markazi</t>
  </si>
  <si>
    <t>Askariyeh-Tehran-Narmak</t>
  </si>
  <si>
    <t>Askariyeh-Tehran-Pakdasht</t>
  </si>
  <si>
    <t>Askariyeh-Tehran-Pasdaran-Zomorod</t>
  </si>
  <si>
    <t>Askariyeh-Tehran-Qarchak</t>
  </si>
  <si>
    <t>Askariyeh-Tehran-Razavieh</t>
  </si>
  <si>
    <t>Askariyeh-Tehran-ShahreRey</t>
  </si>
  <si>
    <t>Askariyeh-Tehran-Shahriar-Andisheh</t>
  </si>
  <si>
    <t>Askariyeh-Tehran-ShamsAbad</t>
  </si>
  <si>
    <t>Askariyeh-Tehran-Tajrish</t>
  </si>
  <si>
    <t>Askariyeh-Tehran-Varamin</t>
  </si>
  <si>
    <t>Askariyeh-Yazd</t>
  </si>
  <si>
    <t>Askariyeh-Yazd-Safaeieh</t>
  </si>
  <si>
    <t>Askariyeh-Zanjan-Forodgah</t>
  </si>
  <si>
    <t>Askariyeh-Semnan-Markazi</t>
  </si>
  <si>
    <t>خودپرداز جمال زاده</t>
  </si>
  <si>
    <t>اندیشه</t>
  </si>
  <si>
    <t>آشپزخانه</t>
  </si>
  <si>
    <t>گلستان اهواز</t>
  </si>
  <si>
    <t>شعب/اداره</t>
  </si>
  <si>
    <t>سرپرستی ملل تهران مرکزی</t>
  </si>
  <si>
    <t>Radio/Mikrotik OS</t>
  </si>
  <si>
    <t>1.236.576.000</t>
  </si>
  <si>
    <t>سرپرستی ملل مشهد</t>
  </si>
  <si>
    <t>30MB</t>
  </si>
  <si>
    <t>Radio/Mikrotik RB951G-2HnD</t>
  </si>
  <si>
    <t>684.000.000</t>
  </si>
  <si>
    <t>سرپرستی فام رضوان</t>
  </si>
  <si>
    <t>سرپرستی فام رضوان امنیت</t>
  </si>
  <si>
    <t>Radio/Mikrotik RB5009UG+S+</t>
  </si>
  <si>
    <t>سرپرستی فام ساختمان 68</t>
  </si>
  <si>
    <t>سرپرستی ملل ساختمان 68</t>
  </si>
  <si>
    <t xml:space="preserve">866.448.000 </t>
  </si>
  <si>
    <t>سرپرستی ملل تهران قائم مقام</t>
  </si>
  <si>
    <t>Radio/Mikrotik RB951Ui-2HnD</t>
  </si>
  <si>
    <t>1.137.300.000</t>
  </si>
  <si>
    <t>ملل شریف تهران</t>
  </si>
  <si>
    <t>سرپرستی ملل سمنان</t>
  </si>
  <si>
    <t>رادیو/اینترنت   قائم مقام</t>
  </si>
  <si>
    <t>947.700.000</t>
  </si>
  <si>
    <t>هزینه برای یکسال می باشد</t>
  </si>
  <si>
    <t>هزینه IP  قائم مقام</t>
  </si>
  <si>
    <t>57.600.000</t>
  </si>
  <si>
    <t>هزینه نگهداری رادیو  قائم مقام</t>
  </si>
  <si>
    <t>132.000.000</t>
  </si>
  <si>
    <t>رادیو/اینترنت  ساختمان رضوان</t>
  </si>
  <si>
    <t>1.076.976.000</t>
  </si>
  <si>
    <t>هزینه IP  ساختمان رضوان</t>
  </si>
  <si>
    <t>هزینه نگهداری رادیو ساختمان رضوان</t>
  </si>
  <si>
    <t>102.000.000</t>
  </si>
  <si>
    <t>84.000.000</t>
  </si>
  <si>
    <t>1.008.000.000</t>
  </si>
  <si>
    <t>22.800.000</t>
  </si>
  <si>
    <t>273.600.000</t>
  </si>
  <si>
    <t>54.000.000</t>
  </si>
  <si>
    <t>ساختمان68 شرقی-فام VPN-رادیو</t>
  </si>
  <si>
    <t>مرکز محاسبات دانشگاه شریف-فام-رادیو</t>
  </si>
  <si>
    <t>ساختمان آموزش حراست (مرکزی)-ملل-رادیو</t>
  </si>
  <si>
    <t>لینک اصلی موسسه ملل-رادیو</t>
  </si>
  <si>
    <t>لینک بکاپ موسسه ملل-رادیو</t>
  </si>
  <si>
    <t>لینک  هاب  سمنان-ملل-رادیو</t>
  </si>
  <si>
    <t>انبار مرکزی تهران-ملل-مودم</t>
  </si>
  <si>
    <t>melal-539</t>
  </si>
  <si>
    <t>melal-412</t>
  </si>
  <si>
    <t>melal-545</t>
  </si>
  <si>
    <t>melal-498</t>
  </si>
  <si>
    <t>melal-232</t>
  </si>
  <si>
    <t>Tehran:33.1.2.60/20-Anti:38.1.2.60/20-Seman:44.1.2.60/20</t>
  </si>
  <si>
    <t>Tehran:33.1.2.69/20-Anti:38.1.2.69/20-Seman:44.1.2.69/20</t>
  </si>
  <si>
    <t>Tehran:33.1.2.81/20-Anti:38.1.2.81/20-Seman:44.1.2.81/20</t>
  </si>
  <si>
    <t>Tehran:33.1.2.99/20-Anti:38.1.2.99/20-Seman:44.1.2.991/20</t>
  </si>
  <si>
    <t>192.168.121.1/24</t>
  </si>
  <si>
    <t>192.168.144.2/29</t>
  </si>
  <si>
    <t>10.56.217.218/29</t>
  </si>
  <si>
    <t>Tehran:31.1.1.2 /21-Semnan:28.1.1.2/21-FAM:18.2.2.11/20</t>
  </si>
  <si>
    <t>Tehran:38.1.2.11/20-Anti: 38.1.2.11/20  -Off-Semnan:44.1.2.11/20</t>
  </si>
  <si>
    <t>Tehran:33.1.3.61/20-Anti:38.1.3.61/20-Seman:44.1.3.61/20</t>
  </si>
  <si>
    <t>Tehran:33.1.5.4/20-Anti:38.1.5.4/20-Seman:44.1.5.4/20</t>
  </si>
  <si>
    <t>Tehran:33.1.5.21/20-Anti:38.1.5.21/20-Seman:44.1.5.21/20</t>
  </si>
  <si>
    <t>C-pasazh sepahan8565</t>
  </si>
  <si>
    <t>6.3.21.60/30</t>
  </si>
  <si>
    <t>پاساژ سپاهان8565</t>
  </si>
  <si>
    <t>C-daftarkhane asnad52-8552</t>
  </si>
  <si>
    <t>6.3.20.16/30</t>
  </si>
  <si>
    <t>دفترخانه اسناد رسمی52-8552</t>
  </si>
  <si>
    <t>A-restoran derak8499</t>
  </si>
  <si>
    <t>6.3.20.204/30</t>
  </si>
  <si>
    <t>رستوران دراک8499</t>
  </si>
  <si>
    <t>C-shaygan venos iranian8560</t>
  </si>
  <si>
    <t>6.3.20.52/30</t>
  </si>
  <si>
    <t>شایگان ونوس ایرانیان8560</t>
  </si>
  <si>
    <t>C-mojtama tejari bahar8515</t>
  </si>
  <si>
    <t>6.3.21.100/30</t>
  </si>
  <si>
    <t>مجتمع تجاری بهار8515</t>
  </si>
  <si>
    <t>6.3.20.0/30</t>
  </si>
  <si>
    <t>بازار موبایل الماس مرند6209</t>
  </si>
  <si>
    <t>A-rahahan torbat hydare 3529</t>
  </si>
  <si>
    <t>6.3.20.28/30</t>
  </si>
  <si>
    <t>راه آهن تربت حیدریه3529</t>
  </si>
  <si>
    <t>6.3.21.0/30</t>
  </si>
  <si>
    <t>مجتمع آپادانا4273</t>
  </si>
  <si>
    <t>C-foroshgah kashi aghigh8558</t>
  </si>
  <si>
    <t>6.3.21.20/30</t>
  </si>
  <si>
    <t>فروشگاه کاشی عقیق8558</t>
  </si>
  <si>
    <t>forishgah-shiraz-filter8551</t>
  </si>
  <si>
    <t>6.3.2.232/30</t>
  </si>
  <si>
    <t>فروشگاه شیراز فیلتر8551</t>
  </si>
  <si>
    <t>Tehran:33.1.2.14/20-Anti: 38.1.2.14  -Off-Semnan:44.1.2.14</t>
  </si>
  <si>
    <t>C-bazar sonati emam reza8563</t>
  </si>
  <si>
    <t>6.3.21.64/30</t>
  </si>
  <si>
    <t>بازار سنتی امام رضا8563</t>
  </si>
  <si>
    <t>ساختمان 16 واحدی حراست-ملل-رادیو</t>
  </si>
  <si>
    <t>ساختمان فریور حراست دوربین-ملل-رادیو</t>
  </si>
  <si>
    <t>ساختمان فناوری حراست-مودم</t>
  </si>
  <si>
    <t>انبار مشهد -ملل-مودم</t>
  </si>
  <si>
    <t>melal-244</t>
  </si>
  <si>
    <t>6.3.19.40/30</t>
  </si>
  <si>
    <t>A-daneshkade fani pesaran4080</t>
  </si>
  <si>
    <t>6.3.21.76/30</t>
  </si>
  <si>
    <t>دانشکده فنی پسران4080</t>
  </si>
  <si>
    <t>A-masjed emam hadi4103</t>
  </si>
  <si>
    <t>6.3.21.96/30</t>
  </si>
  <si>
    <t>مسجد امام هادی4103</t>
  </si>
  <si>
    <t>A-mojtama narsis8570</t>
  </si>
  <si>
    <t>463</t>
  </si>
  <si>
    <t>تهرانپارس</t>
  </si>
  <si>
    <t>10.1.130.136/30</t>
  </si>
  <si>
    <t>Total</t>
  </si>
  <si>
    <t>591746</t>
  </si>
  <si>
    <t>C-foroshgah mavad ghazaei sorena7925</t>
  </si>
  <si>
    <t>6.3.22.56/30</t>
  </si>
  <si>
    <t>فروشگاه مواد غذایی سورنا7925</t>
  </si>
  <si>
    <t>C-hyper mive askari8557</t>
  </si>
  <si>
    <t>6.3.22.52/30</t>
  </si>
  <si>
    <t>هایپر میوه عسکری8557</t>
  </si>
  <si>
    <t>558</t>
  </si>
  <si>
    <t>C-borj shahid hojaji b11-8562</t>
  </si>
  <si>
    <t>10.1.134.192/30</t>
  </si>
  <si>
    <t xml:space="preserve">شهرک گلستان </t>
  </si>
  <si>
    <t>6.3.19.46/30</t>
  </si>
  <si>
    <t>6.8.19.46/20</t>
  </si>
  <si>
    <t>melal-407</t>
  </si>
  <si>
    <t>6.3.19.48/30</t>
  </si>
  <si>
    <t>C-matab post v mo dr liyaghat8170</t>
  </si>
  <si>
    <t>A-otomobil majid mohamadi8122</t>
  </si>
  <si>
    <t>A-poshak.matin8248</t>
  </si>
  <si>
    <t>A-super samen8246</t>
  </si>
  <si>
    <t>C-bazarche sanaye dasti rastkerdar</t>
  </si>
  <si>
    <t>C-sabzi sara miyan kale8331</t>
  </si>
  <si>
    <t>Melal-9301724320-Pasazh-Enghelab8247</t>
  </si>
  <si>
    <t>C-mojtama khadamat khodro mahmodi8295</t>
  </si>
  <si>
    <t>A-labi borj a11 v a12.8286</t>
  </si>
  <si>
    <t>C-lavazem yadaki dehghan8325</t>
  </si>
  <si>
    <t>C-resturan abi 8299</t>
  </si>
  <si>
    <t>C-clinic dr sharlos 8305</t>
  </si>
  <si>
    <t>C-ekbatan bolok d1-8291</t>
  </si>
  <si>
    <t>C-lavazem yadaki 110.8310</t>
  </si>
  <si>
    <t>C-pasazh bozorg molavi8304</t>
  </si>
  <si>
    <t>C-pasaj-atlas8265</t>
  </si>
  <si>
    <t>C-mojtama tejari hazrat aliasghar8340</t>
  </si>
  <si>
    <t>C-khadamat khodro mohsen5991</t>
  </si>
  <si>
    <t>Melal-9032966073-Arayeshgah-Semilarدستوری</t>
  </si>
  <si>
    <t>C-foroshgah ostadi8501</t>
  </si>
  <si>
    <t>A-hyper market farodi 3730</t>
  </si>
  <si>
    <t>A-rang v abzar naji6074</t>
  </si>
  <si>
    <t>A-Mojtama-Sahandiyeh5589</t>
  </si>
  <si>
    <t>C-morgho-mahi safari8006</t>
  </si>
  <si>
    <t>360</t>
  </si>
  <si>
    <t>استانه اشرفیه</t>
  </si>
  <si>
    <t>A-858-241-Paramis5354</t>
  </si>
  <si>
    <t>C-shishe mohamadzade8272</t>
  </si>
  <si>
    <t>225</t>
  </si>
  <si>
    <t>A-hyper market senator8300</t>
  </si>
  <si>
    <t>10.1.133.196/30</t>
  </si>
  <si>
    <t>230</t>
  </si>
  <si>
    <t>A-fastfood jigo8401</t>
  </si>
  <si>
    <t>224</t>
  </si>
  <si>
    <t>10.1.143.4/30</t>
  </si>
  <si>
    <t>A-ordogah kar darmani8394</t>
  </si>
  <si>
    <t>10.1.143.28/30</t>
  </si>
  <si>
    <t>C-pasazh lavazem yadaki sobhan8403</t>
  </si>
  <si>
    <t>10.1.143.32/30</t>
  </si>
  <si>
    <t>507</t>
  </si>
  <si>
    <t>C-shalikobi modern hasanpour8426</t>
  </si>
  <si>
    <t>10.1.143.44/30</t>
  </si>
  <si>
    <t>291</t>
  </si>
  <si>
    <t>C-Pasazh abzar sanat 8436</t>
  </si>
  <si>
    <t>10.1.143.176/30</t>
  </si>
  <si>
    <t>C-mojtame 216 vahedi mahan8438</t>
  </si>
  <si>
    <t>10.1.143.212/30</t>
  </si>
  <si>
    <t>439</t>
  </si>
  <si>
    <t>C-darmangah sajadieh8431</t>
  </si>
  <si>
    <t>10.1.143.200/30</t>
  </si>
  <si>
    <t>228</t>
  </si>
  <si>
    <t>10.1.143.208/30</t>
  </si>
  <si>
    <t>C-lavazem yadaki ebrahimpour8439</t>
  </si>
  <si>
    <t>258</t>
  </si>
  <si>
    <t>10.1.143.252/30</t>
  </si>
  <si>
    <t>C-foroshgah sepid gosht 4302</t>
  </si>
  <si>
    <t>235</t>
  </si>
  <si>
    <t>melal-277</t>
  </si>
  <si>
    <t>6.3.19.52/30</t>
  </si>
  <si>
    <t>6.3.19.60/30</t>
  </si>
  <si>
    <t>تجهیزات امانی</t>
  </si>
  <si>
    <t>مادرمیانی استان تهران-مرکز داده رضوان</t>
  </si>
  <si>
    <t>SW-C2960-24TT-L*1-WS-C2960S-24PD-L*1</t>
  </si>
  <si>
    <t>Planet Convertor*2</t>
  </si>
  <si>
    <t>Cisco 4431*2</t>
  </si>
  <si>
    <t>انبار تهران</t>
  </si>
  <si>
    <t>قایم مقام -حسابرسان بانک مرکزی</t>
  </si>
  <si>
    <t>Switch</t>
  </si>
  <si>
    <t>Router</t>
  </si>
  <si>
    <t>Modem/Convertor Media/SDH/PDH</t>
  </si>
  <si>
    <t>سرپرستی مشهد</t>
  </si>
  <si>
    <t>پارت نامبر</t>
  </si>
  <si>
    <t>EOL</t>
  </si>
  <si>
    <t>EOS</t>
  </si>
  <si>
    <t>CISCO 3800</t>
  </si>
  <si>
    <t>ASR-1001-X</t>
  </si>
  <si>
    <t>ASR-1001-HX</t>
  </si>
  <si>
    <t>WS-C2960-48PST-L</t>
  </si>
  <si>
    <t>WS-C3850-24PST</t>
  </si>
  <si>
    <t>CISCO ISR4321/K9</t>
  </si>
  <si>
    <t>CISCO ISR4331/K9</t>
  </si>
  <si>
    <t>CISCO ISR4451/K9</t>
  </si>
  <si>
    <t>WS-C2960S-24PD-L</t>
  </si>
  <si>
    <t>WS-C3560C-8PC-S</t>
  </si>
  <si>
    <t>WS-C2960CX-8PC-L</t>
  </si>
  <si>
    <t>WS-C2960C-8PC-L</t>
  </si>
  <si>
    <t>WS-C2960C-8PC-S</t>
  </si>
  <si>
    <t>WS-C3850-48P</t>
  </si>
  <si>
    <t>WS-C2960S-24PC-L</t>
  </si>
  <si>
    <t>Planet Converor*2</t>
  </si>
  <si>
    <t>ASR-1001-HX*2</t>
  </si>
  <si>
    <t>C9300-48T*2</t>
  </si>
  <si>
    <t>ASR-1001*2</t>
  </si>
  <si>
    <t>ASR-1001</t>
  </si>
  <si>
    <t>C-88244670-Sarayemahale-SHahrara4788</t>
  </si>
  <si>
    <t>C-43213882-Ghahveh Perspolis-Cashless5705</t>
  </si>
  <si>
    <t>C-foroshgah lavazem khanegi mohsen6996.DSL</t>
  </si>
  <si>
    <t>10.1.128.48/29</t>
  </si>
  <si>
    <t>C-9301723583-Ahan-Alat-Motamed8163</t>
  </si>
  <si>
    <t>C-26601202-sarafi-golhak4348</t>
  </si>
  <si>
    <t>C-09301723981-Pasazh-hojat8186</t>
  </si>
  <si>
    <t>C-5137334766-Ptotein-Mohammadi6403</t>
  </si>
  <si>
    <t>C-9301724906-Gallery-Amin8251</t>
  </si>
  <si>
    <t>C-09301724692-baradaran resoli8254</t>
  </si>
  <si>
    <t>A-9301724781-Hyper shehark8181</t>
  </si>
  <si>
    <t>C-9301724518-Garaj-Basati8257</t>
  </si>
  <si>
    <t>C-9301724632-Panj-Setare8255</t>
  </si>
  <si>
    <t>C-9301725237-Mojtama-Razavi-Mehr8290</t>
  </si>
  <si>
    <t>C-5137623963-Matab-Dandanpezeshki6411</t>
  </si>
  <si>
    <t>C-42251641-DandanPezeshki-Moallem4233</t>
  </si>
  <si>
    <t>C-65256477-Sndogh-Gharzolhasaneh-Valiasr6307</t>
  </si>
  <si>
    <t>C-34382440-EmamzadehSaleh-Anar5164</t>
  </si>
  <si>
    <t>C-5147217016-Bongah-Brenj-Ghanei6036</t>
  </si>
  <si>
    <t>C-76343909-Sakhteman-Pezashkan-Yas6217</t>
  </si>
  <si>
    <t>C-6142263822-Clinic-Physiotropy-Bouali6061</t>
  </si>
  <si>
    <t>C-9301725733-Bazar-Zargaran-HajJamshid8259</t>
  </si>
  <si>
    <t>C-saraye fakhr6105</t>
  </si>
  <si>
    <t>C-5138513375-Pasazh-Kristal6390</t>
  </si>
  <si>
    <t>C-6643210180-Pasazh Mahmoudi-Doroud5993</t>
  </si>
  <si>
    <t>C-2832896069-Pasazh-Valiasr5188</t>
  </si>
  <si>
    <t>C-44266425-SadafSakhteman-Tehran5323</t>
  </si>
  <si>
    <t>C-7137534371-Bazargani-Mostafavi-Shobe6285</t>
  </si>
  <si>
    <t>C-9301726785-pasazh yadak khodro8275</t>
  </si>
  <si>
    <t>C-2333337922-Froshgah-Abzar-Va-yarag6469</t>
  </si>
  <si>
    <t>C-9301726925-Zarghan-Amlak-Nourozi8301</t>
  </si>
  <si>
    <t>C-77785638-AmozeshgahAzizadeh-Tehran5351</t>
  </si>
  <si>
    <t>C-44424053-Darmangah-Norozi5526</t>
  </si>
  <si>
    <t>C-77973030-Foroushgah-Setareh6336</t>
  </si>
  <si>
    <t>A-9301726990-Sakhteman-Pezheshgan-Mofid8319</t>
  </si>
  <si>
    <t>C-88370346-Daroukhaneh-Mirhabibi6227</t>
  </si>
  <si>
    <t>C-1734365242-foroshgah-elctrici-masoud7449</t>
  </si>
  <si>
    <t>C-6136220039-omde-foroshi-shoshtar7229</t>
  </si>
  <si>
    <t>C-9374764819-mojtama maskoni sahar2-8445</t>
  </si>
  <si>
    <t>C-9054826241-Borj-Pamchal 1-8022</t>
  </si>
  <si>
    <t>C-9012557839-coic-service8001</t>
  </si>
  <si>
    <t>C-9012557587-Chob-Kaj8004</t>
  </si>
  <si>
    <t>C-9012557578-Morgho-Mahi-Safari8006</t>
  </si>
  <si>
    <t>C-9012557047-Dokhaniyat-HosseinNia7993</t>
  </si>
  <si>
    <t>C-9014820632-Mekanic-Mehran8084</t>
  </si>
  <si>
    <t>C-989382588421-namayeshgah otoklasik8424</t>
  </si>
  <si>
    <t>C-2146829671-amozeshgah-abdolmaleki7960</t>
  </si>
  <si>
    <t>مجتمع مسکونی سپهر-تهران6270و6070</t>
  </si>
  <si>
    <t>C-9014820658-Brojerd-Garazh-Iran7985</t>
  </si>
  <si>
    <t>C-9014820657-Foroshgah-Jadiri7987</t>
  </si>
  <si>
    <t>C-5133493397-foroshgah-arya-josh7858</t>
  </si>
  <si>
    <t>C-5146226130-lavazem-iadaki-babaei7918</t>
  </si>
  <si>
    <t>C-5155242504-bazargani-siah7861</t>
  </si>
  <si>
    <t>C-2136162155-coffenet-pars-net7602</t>
  </si>
  <si>
    <t>A-9376513254-Mashhad-Yadaki-Benz3987</t>
  </si>
  <si>
    <t>C-5146120159-foroshgah-docharkhe-bavandi7666</t>
  </si>
  <si>
    <t>C-2332349481-elctrici-ali-mohammadi7595</t>
  </si>
  <si>
    <t>C-7152330093-abzar-foroshi-mohsen-larestan7554</t>
  </si>
  <si>
    <t>C-2122387743-sakhteman-pezeshkan-sina7530</t>
  </si>
  <si>
    <t>C-5144226480-abzaralat-sadatpoor7667</t>
  </si>
  <si>
    <t>C-9382581246-Amlak-Heravi8427</t>
  </si>
  <si>
    <t>A-9376753478-Esfaryen-Pishkhane-Keyvanlo8389</t>
  </si>
  <si>
    <t>A-9376496097-Shirvan-Khalij-Market8397</t>
  </si>
  <si>
    <t>C-5144442951-Mavagholad-Ghazaei-Gholami7100</t>
  </si>
  <si>
    <t>C-22558379-Batri-Montazeri7103</t>
  </si>
  <si>
    <t>C-5137687304-Soper-Gosht-Nikravesh7127</t>
  </si>
  <si>
    <t>C-57220088-PARCHE-ATLAS7041</t>
  </si>
  <si>
    <t>C-9012557695-Mobile-Kavoosh7975</t>
  </si>
  <si>
    <t>C-5632227020-Shishe-Secorit-Behdani7294</t>
  </si>
  <si>
    <t>C-2332396199-Namaishgah-Loster-Golami7042</t>
  </si>
  <si>
    <t>C-33561937-Namaiandegi-Mahak7026</t>
  </si>
  <si>
    <t>C-9366578128-Ghom-rang-Ameri8402</t>
  </si>
  <si>
    <t>C-9386455021-hamel va naghal شمال جنوب8399</t>
  </si>
  <si>
    <t>C-Pasaj-Mahdi6881</t>
  </si>
  <si>
    <t>C-9376574211-Mojtama-Sahand8393</t>
  </si>
  <si>
    <t>C-26458706-Mojtame-Almas4602</t>
  </si>
  <si>
    <t>C-44154399-Sang-Gharb-Tehran5644</t>
  </si>
  <si>
    <t>C-44234328-Mojtama-Maskoni-Sahar6174</t>
  </si>
  <si>
    <t>C-7132229178-Hotel-Apartman-Shams6345</t>
  </si>
  <si>
    <t>A-7138232600-Mojtame-Bostan5151</t>
  </si>
  <si>
    <t>C-2333302563-Meydantarehbar-Semnan5248</t>
  </si>
  <si>
    <t>C-5132227149-Bazar-Varzesh6184</t>
  </si>
  <si>
    <t>C-77962062-Daroukhaneh-Doktor-Asadi6328</t>
  </si>
  <si>
    <t>C-5143210505-Forushgah-HajiBeshkani7027</t>
  </si>
  <si>
    <t>C-3434380098- lastik-Foroshi-Hamidi6877</t>
  </si>
  <si>
    <t>C-2333301757-Galeri-Sakhtemani-Firooze6963</t>
  </si>
  <si>
    <t>C-5143215209-Foroshgah-Tak-Market6850</t>
  </si>
  <si>
    <t>C-5155269409-Foroshgah-Mavad-Ghazaei-Hesam6861</t>
  </si>
  <si>
    <t>C-5143329001-Foroshgah-Pedar-KHob6908</t>
  </si>
  <si>
    <t>C-5155226300-Foroshgah-Mavad-Gazaei-SHakeri6809</t>
  </si>
  <si>
    <t>C-5143345275-Forshgah-Rang-Abozar-Iazdani6832</t>
  </si>
  <si>
    <t>C-5155247073-Foroshgah-lavazem-Ganadi-Ziafat6868</t>
  </si>
  <si>
    <t>C-9032966312-Mojtame-Tejari-Khorasan8183</t>
  </si>
  <si>
    <t>C-9032966357-AshpazKhane-Khosravi8178</t>
  </si>
  <si>
    <t>C-5143339528-Froshgah-Mojaz-isako6666</t>
  </si>
  <si>
    <t>C-5137419346-lavazem-yadaki-abdi6772</t>
  </si>
  <si>
    <t>C-36250167-Mojtama-Pezeshki-razi6807</t>
  </si>
  <si>
    <t>C-5142252595-Froshgah-Mavad-Gazaei-KHaloeian6774</t>
  </si>
  <si>
    <t>C-9396910583-Tehran-Mojtame-Sahel4568</t>
  </si>
  <si>
    <t>C-9383107944-Tehran-Royal-Pelaz4507</t>
  </si>
  <si>
    <t>C-9369422981-Tehran-Sepehr-Niyavaran4687</t>
  </si>
  <si>
    <t>A-7152331002-Foroshgah-Mosaferbari-Paiam-Gohar6673</t>
  </si>
  <si>
    <t>C-9369530154-Mojtama-Ladan4686</t>
  </si>
  <si>
    <t>C-9369569246-Daftar-Asnad-1506-4478</t>
  </si>
  <si>
    <t>C-5138531010-Katring-CHahar-Fasl6675</t>
  </si>
  <si>
    <t>C-5142224314-Pelastik-Froshi-Abdolla6676</t>
  </si>
  <si>
    <t>C-9381378527-Mojtama-Sorush4486</t>
  </si>
  <si>
    <t>C-9396885960-Mojtame-Pasargard4646</t>
  </si>
  <si>
    <t>C-9369473125-Mojtame-Sahra4705</t>
  </si>
  <si>
    <t>C-77117070-Mojtama-Tejari-Golestan6522</t>
  </si>
  <si>
    <t>C-1135287867-Mojtame-Tejari-Tafrihi-Citycenter6557</t>
  </si>
  <si>
    <t>C-5147224302-Matab-Doctor-Ganei7239</t>
  </si>
  <si>
    <t>C-3432133511- Shahrak-DaneshgahiI-Saba6578</t>
  </si>
  <si>
    <t>C-5137659402-Mazre-Gezelala-Radan6499</t>
  </si>
  <si>
    <t>C-44223814- clinic-orkide6445</t>
  </si>
  <si>
    <t>C-5147245422-Meidanbar-SHahrdari6491</t>
  </si>
  <si>
    <t>C-5138548326-Daroukhaneh-Automobile6414</t>
  </si>
  <si>
    <t>A-9369506371-Faz1-Maskan-Mehr4037</t>
  </si>
  <si>
    <t>C-2332365912-Super-Market-Shahrvand6365</t>
  </si>
  <si>
    <t>C-9381367924-Lavazem-Yadaki-Nemati8396</t>
  </si>
  <si>
    <t>C-5137417942-Abzar-Bagheriyan6485</t>
  </si>
  <si>
    <t>C-9301728158-Hosseinie-Aliasghar8308</t>
  </si>
  <si>
    <t>C-9034917597-shisheh otomobil neshkan7410</t>
  </si>
  <si>
    <t>A-9034917318-Mavad-ghazaei-amiri8314</t>
  </si>
  <si>
    <t>C-5132763401-LavazemKhanegi-Hasins5515</t>
  </si>
  <si>
    <t>C-9034917471-Mobl-Sepahan8303</t>
  </si>
  <si>
    <t>C-9034917503-Dena-Kar-Iranian8315</t>
  </si>
  <si>
    <t>C-55224948-froshgah-mavad-gazaei-shokfe6448</t>
  </si>
  <si>
    <t>32216588-Moasesse-Kheyrieh-Ansar-ol-Hojaj</t>
  </si>
  <si>
    <t>C-77117739-Ladan24-24-Tehran5604</t>
  </si>
  <si>
    <t>C-foroshgah tasme parvane6246</t>
  </si>
  <si>
    <t>A-44451418-Foroshgah-Maryam-Tehran5616</t>
  </si>
  <si>
    <t>C-9034917645-Talar-Paziraee-Sadaf8335</t>
  </si>
  <si>
    <t>A-9034917830-Darokhane-Dr-Dalia8330</t>
  </si>
  <si>
    <t>C-7132232975-Bazar-Mesgarha5691</t>
  </si>
  <si>
    <t>C-5132595950-Foroushgah Shahidi5912</t>
  </si>
  <si>
    <t>C-5147240099-Mavad-Ghazaei-Gholami6252</t>
  </si>
  <si>
    <t>C-22014111-Borj-Marjan6271</t>
  </si>
  <si>
    <t>C-5138472830-Foroushgah-Komak-Hamrah6244</t>
  </si>
  <si>
    <t>C-77524111-Sakhteman-Pezeshkan-Iran6695</t>
  </si>
  <si>
    <t>C-2333332327-Hamidreza-Rahimi4701</t>
  </si>
  <si>
    <t>C-5138451600-Restauran-Ghasr-Darvish6272</t>
  </si>
  <si>
    <t>C-3434383929-Taviz-Rogan-Mehralizade5904</t>
  </si>
  <si>
    <t>C-37764412-daftar-pishkhan-dowlat72-6488</t>
  </si>
  <si>
    <t>A-9045916221-super-tak-bolvar8336</t>
  </si>
  <si>
    <t>C-9045915986-Mobleman-Ide8320</t>
  </si>
  <si>
    <t>C-22009944-Matab-Doktor-Vazindel5867</t>
  </si>
  <si>
    <t>C-9045915947-ghenadi ve shirini pazi daght8306</t>
  </si>
  <si>
    <t>C-42252462-Darmangah-Sabzghiyah4789</t>
  </si>
  <si>
    <t>C-5836248705-Amouzeshgah Ranandegi Hosseini5910</t>
  </si>
  <si>
    <t>C-5155247803-Masnoat-Chob6459</t>
  </si>
  <si>
    <t>C-44031166-Shahid-Ramezani5075</t>
  </si>
  <si>
    <t>A-9301725114-Share-Kord-Foroshgah-Khanevadeh8348</t>
  </si>
  <si>
    <t>C-9032965946-javaher-alavi8368</t>
  </si>
  <si>
    <t>C-7132226234-Sofreh-Plastic-Reza6335</t>
  </si>
  <si>
    <t>A-2165268612-Mojtama-Lotus6247</t>
  </si>
  <si>
    <t>C-77262087-Daftar-698-4415</t>
  </si>
  <si>
    <t>C-9369452649-foroshgah sadar abadi8378</t>
  </si>
  <si>
    <t>C-9383101604-masjed-sahebelzaman-galeshekla8377</t>
  </si>
  <si>
    <t>A-9383071183-Mojtama-Darmani-Yas4015</t>
  </si>
  <si>
    <t>C-3155441113-Bastani-Shekarriz6461</t>
  </si>
  <si>
    <t>C-9396899079-Saraye-Mahale-Sharif4606</t>
  </si>
  <si>
    <t>C-9396841562-Shahab-Danesh8268</t>
  </si>
  <si>
    <t>C-clinic dr rafie8568</t>
  </si>
  <si>
    <t>6.3.23.168/30</t>
  </si>
  <si>
    <t>کلینیک پزشکی دکتر رفیعی8568</t>
  </si>
  <si>
    <t>C-nanvaei barnan8572</t>
  </si>
  <si>
    <t>نانوایی برنان8572</t>
  </si>
  <si>
    <t>6.3.23.180/30</t>
  </si>
  <si>
    <t>C-foroshgah kheyme alvand8172</t>
  </si>
  <si>
    <t>6.3.23.252/30</t>
  </si>
  <si>
    <t>فروشگاه خیمه الوند8172</t>
  </si>
  <si>
    <t>A-darmangah kheyrie rahgozar4014</t>
  </si>
  <si>
    <t>6.3.23.188/30</t>
  </si>
  <si>
    <t>درمانگاه خیریه رهگذر4014</t>
  </si>
  <si>
    <t>melal-422</t>
  </si>
  <si>
    <t>6.3.19.64/30</t>
  </si>
  <si>
    <t>WS-C2960-48PST-L *3-WS-C2960S-24PS-L*1</t>
  </si>
  <si>
    <t>WS-C3850-24PST*2- WS-C3560-8PC *3- WS-C2960X-48FPD-L*11-WS-C2960X-24PD-L*2-WS-C4500X*2-WS-C2960X-24PS-L*1</t>
  </si>
  <si>
    <t>فام رضوان</t>
  </si>
  <si>
    <t>WS-C3850-48XS *2-WS-C2960-24TT-L*2-WS-C2960S-48FPD-L*7-WS-C2960X-48FPD-L*4-WS-C2960S-24PS-L*1-WS-C2960X-24PD-L*1</t>
  </si>
  <si>
    <t>فام 68 شرقی</t>
  </si>
  <si>
    <t>ISR4451-X/K9*2</t>
  </si>
  <si>
    <t>WS-C3850-48P *2-WS-C2960X-48FPD-L*3-WS-C2960-48PST-S *1</t>
  </si>
  <si>
    <t>16 واحدی</t>
  </si>
  <si>
    <t>WS-C2960X-48FPD-L*2-WS-C3560-8PC*2-WS-C3560C-8PC-S*5-WS-C2960-24TT-L*1-WS-C2960X-24PS-L*1-WS-C2960-24PC-L*1</t>
  </si>
  <si>
    <t>سرپرستی ملل رضوان</t>
  </si>
  <si>
    <t>WS-C4500X*2-WS-C2960X-48FPD-L*15-WS-C2960S-48FPD-L*1-WS-C2960+48PST-L*1- WS-C2960C-8PC-L*1-WS-C2960CX-8PC-L*18-WS-C3560C-8PC-S*7-WS-C2960X-24PS-L*7</t>
  </si>
  <si>
    <t>محل نصب سرویس</t>
  </si>
  <si>
    <t>نام دیوایس</t>
  </si>
  <si>
    <t>برند</t>
  </si>
  <si>
    <t>مدل</t>
  </si>
  <si>
    <t>سرپرستی رضوان</t>
  </si>
  <si>
    <t>Controller</t>
  </si>
  <si>
    <t>EnGenius</t>
  </si>
  <si>
    <t>EWS1200-28TFP</t>
  </si>
  <si>
    <t>Access Point</t>
  </si>
  <si>
    <t>EAP1300</t>
  </si>
  <si>
    <t>قایم مقام فراهانی</t>
  </si>
  <si>
    <t>Mikrotik</t>
  </si>
  <si>
    <t>RB951Ui-2HnD</t>
  </si>
  <si>
    <t>EnHero5 AC1300</t>
  </si>
  <si>
    <t>Cisco</t>
  </si>
  <si>
    <t xml:space="preserve"> WS-C2960-24PC-L</t>
  </si>
  <si>
    <t xml:space="preserve">مرکز داده </t>
  </si>
  <si>
    <t>ساختمان سرپرستی مشهد</t>
  </si>
  <si>
    <t>RB951G-2HnD</t>
  </si>
  <si>
    <t>WS-C3560CX-8PC-S</t>
  </si>
  <si>
    <t>EWS7928FP</t>
  </si>
  <si>
    <t>RB5009UG+S+</t>
  </si>
  <si>
    <t>معتمد شریف</t>
  </si>
  <si>
    <t>شرکت های ملل68 شرقی</t>
  </si>
  <si>
    <t>فارس/اباده</t>
  </si>
  <si>
    <t>A-46223964-khalili5588</t>
  </si>
  <si>
    <t>چهارمحال</t>
  </si>
  <si>
    <t xml:space="preserve">فارس </t>
  </si>
  <si>
    <t>ASIATECH</t>
  </si>
  <si>
    <t>LTE-MOBINNET</t>
  </si>
  <si>
    <t>ADSL-Modem</t>
  </si>
  <si>
    <t>LTE-Modem</t>
  </si>
  <si>
    <t>امنیت سوئیچینگ انجام شود-IOS سوئیچ ها به روز شود.به اداره ژشتیبانی بارها گفته شده این موضوع برای تعویض سوئیچ</t>
  </si>
  <si>
    <t>مودم LTEوVSATامانی است</t>
  </si>
  <si>
    <t>Planet Converor*1</t>
  </si>
  <si>
    <t xml:space="preserve">WS-C2960X-48FPD-L </t>
  </si>
  <si>
    <t>Unifi</t>
  </si>
  <si>
    <t>214,830,000</t>
  </si>
  <si>
    <t>melal-217</t>
  </si>
  <si>
    <t>6.3.19.68/30</t>
  </si>
  <si>
    <t>C-batri sazi reza8566</t>
  </si>
  <si>
    <t>6.3.24.132/30</t>
  </si>
  <si>
    <t>باطری سازی رضا8566</t>
  </si>
  <si>
    <t>C-masjed jame8553</t>
  </si>
  <si>
    <t>6.3.24.16/30</t>
  </si>
  <si>
    <t>مسجد جامع8553</t>
  </si>
  <si>
    <t>C-ajil kalaei8576</t>
  </si>
  <si>
    <t>6.3.24.32/30</t>
  </si>
  <si>
    <t>آجیل کلائی8576</t>
  </si>
  <si>
    <t>430</t>
  </si>
  <si>
    <t>C-mojtama pezeshki neshat1-8545</t>
  </si>
  <si>
    <t>10.1.141.200/30</t>
  </si>
  <si>
    <t>503</t>
  </si>
  <si>
    <t>C-berand terafic8575</t>
  </si>
  <si>
    <t>10.1.136.180/30</t>
  </si>
  <si>
    <t>C-dr shahryar azizi8577</t>
  </si>
  <si>
    <t>10.1.133.116/30</t>
  </si>
  <si>
    <t>لوازم یدکی مرادی7247</t>
  </si>
  <si>
    <t>abzar-alat-reza6743</t>
  </si>
  <si>
    <t>ابزار آلات رضا6743</t>
  </si>
  <si>
    <t>c-lavaze-iadaki-ebadian-2-7672</t>
  </si>
  <si>
    <t>تیکت شد 1404/11/8</t>
  </si>
  <si>
    <t>300 to 100 Mbps 14041109</t>
  </si>
  <si>
    <t>10 G to 1G 14040601</t>
  </si>
  <si>
    <t>12 Mbps to 5 Mbps 14041020</t>
  </si>
  <si>
    <t>400 to 200 Mbps 14041105</t>
  </si>
  <si>
    <t>10 Gb to 1 Gb 14040601</t>
  </si>
  <si>
    <t>627719</t>
  </si>
  <si>
    <t>583355</t>
  </si>
  <si>
    <t>583356</t>
  </si>
  <si>
    <t>1 Mb---512Kb</t>
  </si>
  <si>
    <t xml:space="preserve">2 Mb-to-1/5 Mb </t>
  </si>
  <si>
    <t>591110</t>
  </si>
  <si>
    <t>2 Mb-to--1 Mb</t>
  </si>
  <si>
    <t>535516</t>
  </si>
  <si>
    <t>656988</t>
  </si>
  <si>
    <t>644028</t>
  </si>
  <si>
    <t xml:space="preserve"> جمع آوری بعد بررسی2 Mb</t>
  </si>
  <si>
    <t>600361</t>
  </si>
  <si>
    <t>654649</t>
  </si>
  <si>
    <t>612366</t>
  </si>
  <si>
    <t>535114</t>
  </si>
  <si>
    <t>548439</t>
  </si>
  <si>
    <t>613784</t>
  </si>
  <si>
    <t>547456</t>
  </si>
  <si>
    <t>2 Mb---to 1 Mb</t>
  </si>
  <si>
    <t>پرونده درفایل مخابرات نیست  2 Mb</t>
  </si>
  <si>
    <t>535798</t>
  </si>
  <si>
    <t>619720</t>
  </si>
  <si>
    <t>573392</t>
  </si>
  <si>
    <t>1/8 Mb</t>
  </si>
  <si>
    <t>34771419</t>
  </si>
  <si>
    <t>527204</t>
  </si>
  <si>
    <t>پرونده اترنت وپهنای باند را بفرمایید</t>
  </si>
  <si>
    <t>40102368933</t>
  </si>
  <si>
    <t>593925</t>
  </si>
  <si>
    <t>613014</t>
  </si>
  <si>
    <t>524015</t>
  </si>
  <si>
    <t>A-super aba saleh4060</t>
  </si>
  <si>
    <t>6.3.24.40/30</t>
  </si>
  <si>
    <t>سوپر اباصالح4060</t>
  </si>
  <si>
    <t>A-forodgah payam karaj3525</t>
  </si>
  <si>
    <t>6.3.24.44/30</t>
  </si>
  <si>
    <t>فرودگاه پیام کرج3525</t>
  </si>
  <si>
    <t>192.168.120.52/24</t>
  </si>
  <si>
    <t>نامه کاهش ثبت شد-نتیجه؟؟؟؟</t>
  </si>
  <si>
    <r>
      <t>SW-C2960-24TT-L</t>
    </r>
    <r>
      <rPr>
        <b/>
        <sz val="11"/>
        <color theme="1"/>
        <rFont val="B Nazanin"/>
        <charset val="178"/>
      </rPr>
      <t>*2</t>
    </r>
  </si>
  <si>
    <t>Tehran:33.1.2.21/20-Anti: 38.1.2.21/20 -Semnan:44.1.2.21/20</t>
  </si>
  <si>
    <t>Tehran:33.1.2.23/20-Anti: 38.1.2.23/20 -Semnan:44.1.2.23/20</t>
  </si>
  <si>
    <t>Tehran:33.1.2.20/20--Anti: 38.1.2.20/20-Semnan:44.1.2.20/20</t>
  </si>
  <si>
    <t>Tehran:33.1.2.15/20-Anti: 38.1.2.15  -Semnan:44.1.2.15</t>
  </si>
  <si>
    <t>Tehran:33.1.2.17/20-Anti: 38.1.2.17/20 -Semnan:44.1.2.17/20</t>
  </si>
  <si>
    <t>Tehran:33.1.2.18/20-Anti: 38.1.2.18/20 -Semnan:44.1.2.18/20</t>
  </si>
  <si>
    <t>Tehran:33.1.2.19/20-Anti: 38.1.2.19/20-Semnan:44.1.2.19/20</t>
  </si>
  <si>
    <t>Tehran:33.1.2.24/20-Anti: 38.1.2.24/20 -Semnan:44.1.2.24/20</t>
  </si>
  <si>
    <t>شعبه شلوغ بوده و خودمان زیاد کردیم-پهنای باند کم میورد-نتیجه؟؟؟؟؟</t>
  </si>
  <si>
    <t>روتر سوم سریعا وضعیت 5 نقطه نورنتا به یک ایوان تعیین تکلیف شود</t>
  </si>
  <si>
    <t>192.168.120.19/24</t>
  </si>
  <si>
    <t>Tehran:33.1.2.25/20-Anti: 38.1.2.25/20 -Semnan:44.1.2.25/20</t>
  </si>
  <si>
    <t>Tehran:33.1.2.26/20-Anti: 38.1.2.26/20 -Semnan:44.1.2.26/20</t>
  </si>
  <si>
    <t>Tehran:33.1.2.27/20-Anti: 38.1.2.27/20 -Semnan:44.1.2.27/20</t>
  </si>
  <si>
    <t>8 Kb</t>
  </si>
  <si>
    <t>Tehran:33.1.2.28/20-Anti: 38.1.2.28/20 -Semnan:44.1.2.28/20</t>
  </si>
  <si>
    <t>Tehran:33.1.2.29/20-Anti: 38.1.2.29/20 -Semnan:44.1.2.29/20</t>
  </si>
  <si>
    <t>Tehran:33.1.2.30/20-Anti: 38.1.2.30/20 -Semnan:44.1.2.30/20</t>
  </si>
  <si>
    <t>9602051419</t>
  </si>
  <si>
    <t>Tehran:33.1.2.31/20-Anti: 38.1.2.31/20 -Semnan:44.1.2.31/20</t>
  </si>
  <si>
    <t>Tehran:33.1.2.32/20-Anti: 38.1.2.32/20 -Semnan:44.1.2.32/20</t>
  </si>
  <si>
    <t>6.8.18.138/22</t>
  </si>
  <si>
    <t>عبدالمطلب-تخریب شعبه</t>
  </si>
  <si>
    <t>قایم-تخریب شعبه</t>
  </si>
  <si>
    <t>تاریخ جمع اوری</t>
  </si>
  <si>
    <t>هفته اول بهمن 1404</t>
  </si>
  <si>
    <t>Tehran:33.1.2.33/20-Anti: 38.1.2.33/20 -Semnan:44.1.2.33/20</t>
  </si>
  <si>
    <t>192.168.120.26/24</t>
  </si>
  <si>
    <t>Tehran:33.1.2.34/20-Anti: 38.1.2.34/20 -Semnan:44.1.2.34/20</t>
  </si>
  <si>
    <t>نامه کاهش ثبت شد نتیجه؟؟؟؟</t>
  </si>
  <si>
    <t>50 Mb-to-30Mb</t>
  </si>
  <si>
    <t>40 Mb-to-25Mb</t>
  </si>
  <si>
    <t>5 Mb-to-2Mb</t>
  </si>
  <si>
    <t>192.168.120.27/24</t>
  </si>
  <si>
    <t>Tehran:33.1.2.35/20-Anti: 38.1.2.35/20 -Semnan:44.1.2.35/20</t>
  </si>
  <si>
    <t>192.168.120.28/24</t>
  </si>
  <si>
    <t>Tehran:33.1.2.36/20-Anti: 38.1.2.36/20 -Semnan:44.1.2.36/20</t>
  </si>
  <si>
    <t>192.168.120.29/24</t>
  </si>
  <si>
    <t>Tehran:33.1.2.37/20-Anti: 38.1.2.37/20 -Semnan:44.1.2.37/20</t>
  </si>
  <si>
    <t>9602039826</t>
  </si>
  <si>
    <t>192.168.120.30/24</t>
  </si>
  <si>
    <t>Tehran:33.1.2.38/20-Anti: 38.1.2.38/20 -Semnan:44.1.2.38/20</t>
  </si>
  <si>
    <t>پهنای باند درفایل مخابرات 2 مگ است/پرونده اینترانت را نداریم؟؟؟؟</t>
  </si>
  <si>
    <t>پهنای باند درفایل مخابرات 2 مگ است هردوارتباط نامه کاهش سریعاً تنظیم شود</t>
  </si>
  <si>
    <t>192.168.120.49/24</t>
  </si>
  <si>
    <t>Tehran:33.1.2.39/20-Anti: 38.1.2.39/20 -Semnan:44.1.2.39/20</t>
  </si>
  <si>
    <t>10.59.29.250/29</t>
  </si>
  <si>
    <t>9602030990</t>
  </si>
  <si>
    <t>192.168.120.32/24</t>
  </si>
  <si>
    <t>Tehran:33.1.2.43/20-Anti: 38.1.2.43/20 -Semnan:44.1.2.43/20</t>
  </si>
  <si>
    <t>6.8.19.42/22</t>
  </si>
  <si>
    <t>Tehran:33.1.2.44/20-Anti: 38.1.2.44/20 -Semnan:44.1.2.44/20</t>
  </si>
  <si>
    <t>6.3.19.42/30</t>
  </si>
  <si>
    <t>کانفیگ VSAT پاکسازی شد</t>
  </si>
  <si>
    <t>Tehran:6.8.16.102/22-Anti:40.1.0.27/21-Semnan:42.1.2.45/21</t>
  </si>
  <si>
    <t>Tehran:33.1.2.54/20-Anti: 38.1.2.54/20 -Semnan:44.1.2.54/20</t>
  </si>
  <si>
    <t>کاهش ظرفیت254</t>
  </si>
  <si>
    <t>درفایل مخابرات 2 است-درفایل ما 1 لطفا کاهش سریعا اقدام شود</t>
  </si>
  <si>
    <t>Tehran:33.1.2.55/20-Anti: 38.1.2.55/20 -Semnan:44.1.2.55/20</t>
  </si>
  <si>
    <t>Tehran:33.1.2.59/20-Anti: 38.1.2.59/20 -Semnan:44.1.2.59/20</t>
  </si>
  <si>
    <t>9602025056</t>
  </si>
  <si>
    <t>Tehran:33.1.2.63/20-Anti: 38.1.2.63/20 -Semnan:44.1.2.63/20</t>
  </si>
  <si>
    <t>امام هادی</t>
  </si>
  <si>
    <t>9602025054</t>
  </si>
  <si>
    <t>تخریب شعبه264</t>
  </si>
  <si>
    <t>Tehran:33.1.2.64/20-Anti: 38.1.2.64/20 -Semnan:44.1.2.64/20</t>
  </si>
  <si>
    <t>Tehran:33.1.2.68/20-Anti: 38.1.2.68/20 -Semnan:44.1.2.68/20</t>
  </si>
  <si>
    <t>6.3.18.66/30</t>
  </si>
  <si>
    <t>Tehran:33.1.2.718/20-Anti: 38.1.2.71/20 -Semnan:44.1.2.71/20</t>
  </si>
  <si>
    <t>6.8.18.66/22</t>
  </si>
  <si>
    <t>احمداباد به سرپرستی حامد منتقل شده اند</t>
  </si>
  <si>
    <t>پرونده فیبر اختصاصی ومرکز مخابراتی؟</t>
  </si>
  <si>
    <t>تخریب شده274</t>
  </si>
  <si>
    <t>192.168.120.60/24</t>
  </si>
  <si>
    <t>Tehran:33.1.2.74/20-Anti: 38.1.2.74/20 -Semnan:44.1.2.74/20</t>
  </si>
  <si>
    <t>9802199583</t>
  </si>
  <si>
    <t>192.168.120.38/24</t>
  </si>
  <si>
    <t>Tehran:33.1.2.77/20-Anti: 38.1.2.77/20 -Semnan:44.1.2.77/20</t>
  </si>
  <si>
    <t>6.3.19.54/30</t>
  </si>
  <si>
    <t>1 Mbخرابی ده روزه به علت مودم</t>
  </si>
  <si>
    <t>Tehran:33.1.2.78/20-Anti: 38.1.2.78/20 -Semnan:44.1.2.78/20</t>
  </si>
  <si>
    <t>192.168.120.41/24</t>
  </si>
  <si>
    <t>Tehran:33.1.2.89/20-Anti: 38.1.2.89/20 -Semnan:44.1.2.89/20</t>
  </si>
  <si>
    <t>Tehran:33.1.2.80/20-Anti: 38.1.2.80/20 -Semnan:44.1.2.80/20</t>
  </si>
  <si>
    <t>Tehran:33.1.2.92/20-Anti: 38.1.2.92/20 -Semnan:44.1.2.92/20</t>
  </si>
  <si>
    <t>Tehran:33.1.2.71/20-Anti: 38.1.2.71/20 -Semnan:44.1.2.71/20</t>
  </si>
  <si>
    <t>Tehran:62.2.92.1/12-Off-Seman:63.2.92.1/12</t>
  </si>
  <si>
    <t>Tehran:33.1.3.1/20-Anti: 38.1.3.1/20 -Semnan:44.1.3.1/20</t>
  </si>
  <si>
    <t>595841</t>
  </si>
  <si>
    <t>Tehran:33.1.3.12/20-Anti: 38.1.3.12/20 -Semnan:44.1.3.12/20</t>
  </si>
  <si>
    <t>9902216084</t>
  </si>
  <si>
    <t>Tehran:33.1.3.29/20-Anti: 38.1.3.29/20 -Off-Semnan:44.1.3.29/20</t>
  </si>
  <si>
    <t>Tehran:33.1.3.18/20-Anti: 38.1.3.18/20 -Semnan:44.1.3.18/20</t>
  </si>
  <si>
    <t>192.168.120.59/24</t>
  </si>
  <si>
    <t>10.70.32.226/29</t>
  </si>
  <si>
    <t>Tehran:33.1.3.39/20-Anti: 38.1.3.39/20 -Off-Semnan:44.1.3.39/20</t>
  </si>
  <si>
    <t>کاهش ظرفیت339</t>
  </si>
  <si>
    <t>Tehran:33.1.3.929/20-Anti: 38.1.3.92/20 -Off-Semnan:44.1.3.92/20</t>
  </si>
  <si>
    <t>192.168.120.61/24</t>
  </si>
  <si>
    <t>6.8.18.186/22</t>
  </si>
  <si>
    <t>192.168.120.46/24</t>
  </si>
  <si>
    <t>Tehran:33.1.4.77/20-Anti: 38.1.4.77/20 -Semnan:44.1.4.77/20</t>
  </si>
  <si>
    <t>9602025067</t>
  </si>
  <si>
    <t>Tehran:33.1.5.9/20-Anti: 38.1.5.9/20 -Semnan:44.1.5.9/20</t>
  </si>
  <si>
    <t>9602023835</t>
  </si>
  <si>
    <t>Tehran:33.1.5.12/20-Anti: 38.1.5.12/20 -Semnan:44.1.5.12/20</t>
  </si>
  <si>
    <t>Tehran:6.8.16.106/22-Anti:40.1.0.29/21-Semnan:42.1.0.99/21</t>
  </si>
  <si>
    <t xml:space="preserve">شبکه خودپرداز استان خراسان رضوی-ارتباطات مخابراتی </t>
  </si>
  <si>
    <t>وضعیت جاری</t>
  </si>
  <si>
    <t>وضعیت سیستم های شعبه</t>
  </si>
  <si>
    <t>پيروزي(مشهد)</t>
  </si>
  <si>
    <t>غیرفعال</t>
  </si>
  <si>
    <t>تخریب کامل</t>
  </si>
  <si>
    <t>این نوع ارتباط در این شعبه وجود نداشته</t>
  </si>
  <si>
    <t>از تجهیزات فقط دیش باقی مانده که توسط شرکت سامان ماهواره جمع آوری شد.</t>
  </si>
  <si>
    <t>قائم</t>
  </si>
  <si>
    <t>از تجهیزات فقط دیش باقی مانده که توسط شرکت سامان ماهواره جمع آوری نشده است.</t>
  </si>
  <si>
    <t>شهید رجایی</t>
  </si>
  <si>
    <t>تجهیزات مبین نت کاملا از بین رفته است.</t>
  </si>
  <si>
    <t>خيابان تهران(شاهرود)</t>
  </si>
  <si>
    <t>تجهیزات به طور کامل موجود است که توسط شرکت سامان ماهواره جمع آوری نشده است.</t>
  </si>
  <si>
    <t>این نوع ارتباط در این شعبه مجددا راه اندازی شده است.</t>
  </si>
  <si>
    <t>كريمي</t>
  </si>
  <si>
    <t>طالقاني(رشت)</t>
  </si>
  <si>
    <t>نیمه تخریب</t>
  </si>
  <si>
    <t>امام خميني دزفول</t>
  </si>
  <si>
    <t>تجهیزات از بین رفته و دیش به حالت سوخته باقی مانده است.</t>
  </si>
  <si>
    <t>ايلام(مادرمیانی)</t>
  </si>
  <si>
    <t>اسلام آباد غرب</t>
  </si>
  <si>
    <t>كدحوزه</t>
  </si>
  <si>
    <t>نام استان</t>
  </si>
  <si>
    <t>نیاز به تعیین وضعیت</t>
  </si>
  <si>
    <t>عطف به نامه ملل جمع آوری ثبت شده است</t>
  </si>
  <si>
    <t>جمع آوری تجهیزات</t>
  </si>
  <si>
    <t>LLTE-Mobinnet</t>
  </si>
  <si>
    <t>كرمانشاه</t>
  </si>
  <si>
    <t>عدم کیفیت</t>
  </si>
  <si>
    <t>Tehran:6.8.19.54/22-Anti:40.1.0.31/21-Semnan:42.1.2.77/21</t>
  </si>
  <si>
    <t>20.1.0.63/23</t>
  </si>
  <si>
    <t>10.8.1.1/30</t>
  </si>
  <si>
    <t>Tunnel IP</t>
  </si>
  <si>
    <t xml:space="preserve"> IP Free</t>
  </si>
  <si>
    <t>6.3.24.232/30</t>
  </si>
  <si>
    <t>6.8.12.142/20</t>
  </si>
  <si>
    <t>10.8.1.53/30</t>
  </si>
  <si>
    <t>6.3.2.16/30</t>
  </si>
  <si>
    <t>6.8.0.85/20</t>
  </si>
  <si>
    <t>تبدیل به مبین نت</t>
  </si>
  <si>
    <t>10.8.1.73/29</t>
  </si>
  <si>
    <t>6.8.6.190/20</t>
  </si>
  <si>
    <t>20.1.0.78/20</t>
  </si>
  <si>
    <t xml:space="preserve"> 6.3.23.156/30 </t>
  </si>
  <si>
    <t>20.1.0.86/20</t>
  </si>
  <si>
    <t>20.1.0.77/20</t>
  </si>
  <si>
    <t>10.8.1.229/30</t>
  </si>
  <si>
    <t>10.8.1.222/30</t>
  </si>
  <si>
    <t>10.8.2.36/30</t>
  </si>
  <si>
    <t>10.8.2.40/30</t>
  </si>
  <si>
    <t>20.1.0.90/20</t>
  </si>
  <si>
    <t>آسیاتک نصب شد</t>
  </si>
  <si>
    <t>ATM&amp;Cachless&amp;Client</t>
  </si>
  <si>
    <t>مبین نت جایگزین شده است</t>
  </si>
  <si>
    <t>6.8.0.101/20</t>
  </si>
  <si>
    <t>تجهیزات مخابراتی مازاد</t>
  </si>
  <si>
    <t>10.8.2.185-10.8.2.191</t>
  </si>
  <si>
    <t>6.8.0.92/20</t>
  </si>
  <si>
    <t>مرکز امامMPLS</t>
  </si>
  <si>
    <t>اختلال مبین نت</t>
  </si>
  <si>
    <t>20.1.0.97/20</t>
  </si>
  <si>
    <t>10.8.4.56-10.8.4.71</t>
  </si>
  <si>
    <t>6.8.0.81/20</t>
  </si>
  <si>
    <t>نامه جمع اوری بررسی شود تنظیم دشه باشد با عودت هزینه ودیعه</t>
  </si>
  <si>
    <t>تغییر بستر به مبین نت</t>
  </si>
  <si>
    <t>6.8.0.93/20</t>
  </si>
  <si>
    <t>20.1.0.92/20</t>
  </si>
  <si>
    <t>609143</t>
  </si>
  <si>
    <t>FREE IP</t>
  </si>
  <si>
    <t>A-839-25-Tahrirتعیین تکلیف  شود؟ قطع است</t>
  </si>
  <si>
    <t>10.8.39.29/30</t>
  </si>
  <si>
    <t>20.1.0.70/20</t>
  </si>
  <si>
    <t>6.8.0.68/20</t>
  </si>
  <si>
    <t>10.8.39.37/30</t>
  </si>
  <si>
    <t>10.8.39.49/30</t>
  </si>
  <si>
    <t>20.1.0.71/20</t>
  </si>
  <si>
    <t>10.8.39.53/30</t>
  </si>
  <si>
    <t>20.1.0.94/20</t>
  </si>
  <si>
    <t>10.8.39.56-10.8.39.63</t>
  </si>
  <si>
    <t>6.8.0.88/20</t>
  </si>
  <si>
    <t>/تاریخ جمع اوری مخابراتی وتایید نهایی جمع اوری وعودت هزینه ودیعه</t>
  </si>
  <si>
    <t>20.1.0.28/20</t>
  </si>
  <si>
    <t>10.8.30.93/30</t>
  </si>
  <si>
    <t>وضعیت</t>
  </si>
  <si>
    <t>596859</t>
  </si>
  <si>
    <t>6.8.0.100/20</t>
  </si>
  <si>
    <t xml:space="preserve">شبکه خودپرداز استان خراسان جنوبی-ارتباطات مخابراتی </t>
  </si>
  <si>
    <t xml:space="preserve">شبکه خودپرداز استان خراسان شمالی-ارتباطات مخابراتی </t>
  </si>
  <si>
    <t>10.8.7.9/30</t>
  </si>
  <si>
    <t>6.8.0.83/20</t>
  </si>
  <si>
    <t>6.8.2.82/20</t>
  </si>
  <si>
    <t>C-8071-Khabgahe-emamreza قطع است؟؟؟؟</t>
  </si>
  <si>
    <t>مطمین شوید پرونده های قبلی هزینه ماهیانه همچنان صادر نشود</t>
  </si>
  <si>
    <t>10.8.3.37/30</t>
  </si>
  <si>
    <t>20.1.0.62/23</t>
  </si>
  <si>
    <t>10.8.3.45-10.8.3.255</t>
  </si>
  <si>
    <t>قطع است تعیین وضعیت شود</t>
  </si>
  <si>
    <t>تعیین وضعیت شود؟جمع اوری شده؟ عودت هزینه اوکی شده؟</t>
  </si>
  <si>
    <t xml:space="preserve">40 Mb </t>
  </si>
  <si>
    <t>510496</t>
  </si>
  <si>
    <t>6.3.17.240/30</t>
  </si>
  <si>
    <t>10.8.8.1/29</t>
  </si>
  <si>
    <t>6.8.17.242/23-Anti:40.1.0.14/22</t>
  </si>
  <si>
    <t>فرودگاه تهران-ترمینال4-سالن اصلی</t>
  </si>
  <si>
    <t>تعیین تکلیف شود قطع استC-80841-Shalbaf</t>
  </si>
  <si>
    <t>10.8.8.40/30</t>
  </si>
  <si>
    <t>20.1.0.67/23</t>
  </si>
  <si>
    <t>6.8.0.99/20</t>
  </si>
  <si>
    <t>آسیاتک حمع اوری مبین نت همچنان پایدار</t>
  </si>
  <si>
    <t>مخابرات نامه جمع اوری تنظیم شود14041125</t>
  </si>
  <si>
    <t>مبین نت دارد وکافی است</t>
  </si>
  <si>
    <t>تعیین تکلیفA-808113-PasajIranzamin</t>
  </si>
  <si>
    <t>10.8.8.120/30</t>
  </si>
  <si>
    <t>10.8.8.164/30</t>
  </si>
  <si>
    <t>جمع اوری شده است</t>
  </si>
  <si>
    <t>10.8.8.173/30</t>
  </si>
  <si>
    <t>6.8.1.18/20</t>
  </si>
  <si>
    <t>تجهیزات مخابراتی مازادوضعیت جمع اوری مخابرات مشخص شود</t>
  </si>
  <si>
    <t>95018793904</t>
  </si>
  <si>
    <t>نامه جمع آوری تنظیم شود</t>
  </si>
  <si>
    <t>10.8.9.16/29</t>
  </si>
  <si>
    <t>6.8.14.2/20</t>
  </si>
  <si>
    <t>A-808-181-Gheitariye</t>
  </si>
  <si>
    <t>10.8.8.181/30</t>
  </si>
  <si>
    <t>ردیوس ندارد-6.3.20.2/30</t>
  </si>
  <si>
    <t>6.8.0.69/20</t>
  </si>
  <si>
    <t>تعیین وضعیت شود قطع است آدرسwan درفایل مبین نت به نام جای دیگری است</t>
  </si>
  <si>
    <t>6.8.0.80/20</t>
  </si>
  <si>
    <t>10.8.10.24-10.8.10.31</t>
  </si>
  <si>
    <t>20.1.0.59/20</t>
  </si>
  <si>
    <t>10.8.10.81/30</t>
  </si>
  <si>
    <t>جمع آوری شده تایخ نامه مشخص شود تایید جمع اوری وعدم صدور قبض</t>
  </si>
  <si>
    <t>10.8.11.33/30</t>
  </si>
  <si>
    <t>10.8.11.36/30</t>
  </si>
  <si>
    <t>10.8.11.41/30</t>
  </si>
  <si>
    <t>6.8.0.87/20</t>
  </si>
  <si>
    <t>10.8.58.109/30</t>
  </si>
  <si>
    <t>6.8.0.97/20</t>
  </si>
  <si>
    <t>10.8.58.160/30</t>
  </si>
  <si>
    <t>10.8.58.165/30</t>
  </si>
  <si>
    <t>10.8.58.168-10.8.58.175</t>
  </si>
  <si>
    <t>6.8.0.95/20</t>
  </si>
  <si>
    <t>10.8.58.181/30</t>
  </si>
  <si>
    <t>CISCO1921/K9</t>
  </si>
  <si>
    <t>10.8.58.185/30</t>
  </si>
  <si>
    <t>10.8.58.188/30</t>
  </si>
  <si>
    <t>10.1.128.168/30</t>
  </si>
  <si>
    <t>20.1.0.57/23</t>
  </si>
  <si>
    <t>20.1.0.100/20</t>
  </si>
  <si>
    <t>10.8.59.41/30</t>
  </si>
  <si>
    <t>172.21.62.18</t>
  </si>
  <si>
    <t>10.177.0.172/20</t>
  </si>
  <si>
    <t>مبین نت دارد</t>
  </si>
  <si>
    <t>172.21.66.14</t>
  </si>
  <si>
    <t>10.177.0.176</t>
  </si>
  <si>
    <t>20.1.0.93/20</t>
  </si>
  <si>
    <t>جمع اوری</t>
  </si>
  <si>
    <t>A--Metro-Doalt</t>
  </si>
  <si>
    <t>با دو ارتباط اسیاتک ومبین ن است بررسی ویک ارتباط جمع شو</t>
  </si>
  <si>
    <t>iosسوئیچ منطقه به روز شود-برای تعویض سوئیچ به کارشناس اطلاع داده شده نامه کاهش پهنای باند به یک ثبت شد در تاریخ 27 بهمن</t>
  </si>
  <si>
    <t>نازی آباد</t>
  </si>
  <si>
    <t>970114789874</t>
  </si>
  <si>
    <t>10.30.207.184/24</t>
  </si>
  <si>
    <t>579345</t>
  </si>
  <si>
    <t>600812</t>
  </si>
  <si>
    <t>980114926807</t>
  </si>
  <si>
    <t>شرکت مخابرات ایران
لیست مفصّل قبوض سیم و ديتا</t>
  </si>
  <si>
    <t>تاريخ گزارش: ۰۸:۰۹:۳۳ - ١٤٠٤/١١/٢٧</t>
  </si>
  <si>
    <t>شماره تجمیع</t>
  </si>
  <si>
    <t>نام مشتری</t>
  </si>
  <si>
    <t>شناسه ملی</t>
  </si>
  <si>
    <t>شماره دسترسی</t>
  </si>
  <si>
    <t>شماره گروه</t>
  </si>
  <si>
    <t>پرونده (ها)ی صمصام</t>
  </si>
  <si>
    <t>پرونده (های) کاروان</t>
  </si>
  <si>
    <t>شرح سرویس</t>
  </si>
  <si>
    <t>نوع اشتراک</t>
  </si>
  <si>
    <t>شرح مالی</t>
  </si>
  <si>
    <t>مصوبه</t>
  </si>
  <si>
    <t>وضعيت صورتحسابی</t>
  </si>
  <si>
    <t>تعداد لينک/زوج تار/تار</t>
  </si>
  <si>
    <t>پهنای باند/متراژ/تعداد کانال</t>
  </si>
  <si>
    <t>مبلغ تفاوت</t>
  </si>
  <si>
    <t>هزينه های اضافی/ تغییر نام/ مکان</t>
  </si>
  <si>
    <t>آبونمان</t>
  </si>
  <si>
    <t>تعداد IP</t>
  </si>
  <si>
    <t>هزینه IP</t>
  </si>
  <si>
    <t>نرخ</t>
  </si>
  <si>
    <t>مبلغ خالص دوره</t>
  </si>
  <si>
    <t>تفاهم نامه</t>
  </si>
  <si>
    <t>مبلغ تخفیف محاسبه شده</t>
  </si>
  <si>
    <t>مالیات</t>
  </si>
  <si>
    <t>مبلغ صورتحساب</t>
  </si>
  <si>
    <t>بدهی پیشین</t>
  </si>
  <si>
    <t>بستانکاری پیشین</t>
  </si>
  <si>
    <t>قابل پرداخت</t>
  </si>
  <si>
    <t>کسر هزار ريال</t>
  </si>
  <si>
    <t>تعداد دفعات بدهی</t>
  </si>
  <si>
    <t>آخرين وضعیت</t>
  </si>
  <si>
    <t>شناسه قبض</t>
  </si>
  <si>
    <t>شناسه پرداخت</t>
  </si>
  <si>
    <t>شماره درخواست</t>
  </si>
  <si>
    <t>سال صورتحساب</t>
  </si>
  <si>
    <t>ماه صورتحساب</t>
  </si>
  <si>
    <t>آدرس</t>
  </si>
  <si>
    <t>کد پستی</t>
  </si>
  <si>
    <t>تاريخ دایری</t>
  </si>
  <si>
    <t>شروع</t>
  </si>
  <si>
    <t>پایان</t>
  </si>
  <si>
    <t>کد مرکز هزينه</t>
  </si>
  <si>
    <t>#</t>
  </si>
  <si>
    <t>145885</t>
  </si>
  <si>
    <t>اعتبار سنجي ايران</t>
  </si>
  <si>
    <t>10103197122</t>
  </si>
  <si>
    <t>موسسه مالی و اعتباری عسکریه</t>
  </si>
  <si>
    <t>572126</t>
  </si>
  <si>
    <t>5 مگابیت</t>
  </si>
  <si>
    <t>درآمد MPLS  (دیتای تجاری)</t>
  </si>
  <si>
    <t>مصوبه شماره 4 جلسه شماره 287 مورخ 1397/11/07</t>
  </si>
  <si>
    <t>عادی (درآمدی)</t>
  </si>
  <si>
    <t>3014588508848</t>
  </si>
  <si>
    <t>4164641110</t>
  </si>
  <si>
    <t>1404</t>
  </si>
  <si>
    <t>11</t>
  </si>
  <si>
    <t>اتوبان کردستان  ابتدای  شیرازی  جنوبی  نبش 68شرقی ساختمان عسکر</t>
  </si>
  <si>
    <t>1391/01/30</t>
  </si>
  <si>
    <t>1404/11/01</t>
  </si>
  <si>
    <t>1404/11/16</t>
  </si>
  <si>
    <t>100080008</t>
  </si>
  <si>
    <t>منطقه 8 - تهران - شیخ فضل الله نوری</t>
  </si>
  <si>
    <t>144703</t>
  </si>
  <si>
    <t>اعتباری ملل</t>
  </si>
  <si>
    <t>10380252343</t>
  </si>
  <si>
    <t>رضویه248</t>
  </si>
  <si>
    <t>1 مگابیت</t>
  </si>
  <si>
    <t>3014470308844</t>
  </si>
  <si>
    <t>2118641174</t>
  </si>
  <si>
    <t>تهران-خ شیراز جنوبی(جنوب بزرگراه همت )0نبش خ 68 شرقی -ساختمان شماره 8 موسسه مالی و اعتباری عسکریه معاونت فناوری اطلاعات</t>
  </si>
  <si>
    <t>1390/11/26</t>
  </si>
  <si>
    <t>100030008</t>
  </si>
  <si>
    <t>منطقه 3 - تهران - شهید مشهدی مهدی</t>
  </si>
  <si>
    <t>2</t>
  </si>
  <si>
    <t>144129</t>
  </si>
  <si>
    <t>اکباتان تهران 252</t>
  </si>
  <si>
    <t>510498</t>
  </si>
  <si>
    <t>512 کیلوبیت</t>
  </si>
  <si>
    <t>3014412908840</t>
  </si>
  <si>
    <t>745841105</t>
  </si>
  <si>
    <t>مشهدمطهری شمالی نبش مطهری شمالی 10س 274</t>
  </si>
  <si>
    <t>9149914493</t>
  </si>
  <si>
    <t>1388/11/19</t>
  </si>
  <si>
    <t>100040007</t>
  </si>
  <si>
    <t>منطقه 4 - تهران - شهید صالح طبری</t>
  </si>
  <si>
    <t>3</t>
  </si>
  <si>
    <t>150770</t>
  </si>
  <si>
    <t>میدان محمدیه-398</t>
  </si>
  <si>
    <t>527203</t>
  </si>
  <si>
    <t>3015077008843</t>
  </si>
  <si>
    <t>1485041133</t>
  </si>
  <si>
    <t>1388/11/23</t>
  </si>
  <si>
    <t>100050001</t>
  </si>
  <si>
    <t>منطقه 5 - تهران - شهید قندی</t>
  </si>
  <si>
    <t>4</t>
  </si>
  <si>
    <t>145090</t>
  </si>
  <si>
    <t>حکیمیه</t>
  </si>
  <si>
    <t>534216</t>
  </si>
  <si>
    <t>3014509008843</t>
  </si>
  <si>
    <t>745841102</t>
  </si>
  <si>
    <t>خ قایم مقام فراهانی خ هشتم پ19</t>
  </si>
  <si>
    <t>1389/05/20</t>
  </si>
  <si>
    <t>100070010</t>
  </si>
  <si>
    <t>منطقه 7 - تهران - شهید آل اسحاق</t>
  </si>
  <si>
    <t>5</t>
  </si>
  <si>
    <t>144805</t>
  </si>
  <si>
    <t>جمالزاده شمالی</t>
  </si>
  <si>
    <t>2 مگابیت</t>
  </si>
  <si>
    <t>3014480508841</t>
  </si>
  <si>
    <t>2593841170</t>
  </si>
  <si>
    <t>خ قایم مقام فراهانی بالاترازبهشتی خ 8پ19</t>
  </si>
  <si>
    <t>1389/08/25</t>
  </si>
  <si>
    <t>100060010</t>
  </si>
  <si>
    <t>منطقه 6 - تهران - توحید</t>
  </si>
  <si>
    <t>6</t>
  </si>
  <si>
    <t>138568</t>
  </si>
  <si>
    <t>قنات کوثر</t>
  </si>
  <si>
    <t>535317</t>
  </si>
  <si>
    <t>3013856808845</t>
  </si>
  <si>
    <t>745841101</t>
  </si>
  <si>
    <t>100070004</t>
  </si>
  <si>
    <t>منطقه 7 - تهران - شهدای گمنام</t>
  </si>
  <si>
    <t>7</t>
  </si>
  <si>
    <t>138553</t>
  </si>
  <si>
    <t>کاشانی اسلامشهر</t>
  </si>
  <si>
    <t>539391</t>
  </si>
  <si>
    <t>3013855308849</t>
  </si>
  <si>
    <t>1062641120</t>
  </si>
  <si>
    <t>خ قایم مقام فراهانی خ 8پ19</t>
  </si>
  <si>
    <t>1389/09/21</t>
  </si>
  <si>
    <t>100050104</t>
  </si>
  <si>
    <t>منطقه 5 - اسلامشهر - شهید قندی (اسلامشهر)</t>
  </si>
  <si>
    <t>8</t>
  </si>
  <si>
    <t>150359</t>
  </si>
  <si>
    <t>شعبه ورامین</t>
  </si>
  <si>
    <t>540270</t>
  </si>
  <si>
    <t>3015035908844</t>
  </si>
  <si>
    <t>2118641175</t>
  </si>
  <si>
    <t>1389/09/29</t>
  </si>
  <si>
    <t>100031613</t>
  </si>
  <si>
    <t>منطقه 3 - ورامین - مومن- ورامین</t>
  </si>
  <si>
    <t>9</t>
  </si>
  <si>
    <t>138773</t>
  </si>
  <si>
    <t>سیمون بولیوار</t>
  </si>
  <si>
    <t>536098</t>
  </si>
  <si>
    <t>3013877308842</t>
  </si>
  <si>
    <t>745841103</t>
  </si>
  <si>
    <t>1389/06/14</t>
  </si>
  <si>
    <t>100040016</t>
  </si>
  <si>
    <t>منطقه 4 - تهران - شهید یزدان پناه</t>
  </si>
  <si>
    <t>10</t>
  </si>
  <si>
    <t>144529</t>
  </si>
  <si>
    <t>کوی نصر)0453(</t>
  </si>
  <si>
    <t>536378</t>
  </si>
  <si>
    <t>3014452908842</t>
  </si>
  <si>
    <t>745841100</t>
  </si>
  <si>
    <t>1389/06/16</t>
  </si>
  <si>
    <t>100080009</t>
  </si>
  <si>
    <t>منطقه 8 - تهران - شهید نصرالهی</t>
  </si>
  <si>
    <t>138585</t>
  </si>
  <si>
    <t>امین حضور</t>
  </si>
  <si>
    <t>540626</t>
  </si>
  <si>
    <t>3013858508849</t>
  </si>
  <si>
    <t>745841108</t>
  </si>
  <si>
    <t>1389/09/30</t>
  </si>
  <si>
    <t>100030003</t>
  </si>
  <si>
    <t>منطقه 3 - تهران - شهید دیالمه</t>
  </si>
  <si>
    <t>12</t>
  </si>
  <si>
    <t>144960</t>
  </si>
  <si>
    <t>خ آفریقا</t>
  </si>
  <si>
    <t>536633</t>
  </si>
  <si>
    <t>3014496008849</t>
  </si>
  <si>
    <t>745841106</t>
  </si>
  <si>
    <t>1390/04/21</t>
  </si>
  <si>
    <t>100020007</t>
  </si>
  <si>
    <t>منطقه 2 - تهران - استقلال</t>
  </si>
  <si>
    <t>13</t>
  </si>
  <si>
    <t>145628</t>
  </si>
  <si>
    <t>خ ثانی</t>
  </si>
  <si>
    <t>544870</t>
  </si>
  <si>
    <t>3014562808843</t>
  </si>
  <si>
    <t>745841109</t>
  </si>
  <si>
    <t>1389/11/21</t>
  </si>
  <si>
    <t>100070006</t>
  </si>
  <si>
    <t>منطقه 7 - تهران - نبوت</t>
  </si>
  <si>
    <t>14</t>
  </si>
  <si>
    <t>143133</t>
  </si>
  <si>
    <t>شعبه کیانشهر</t>
  </si>
  <si>
    <t>3014313308849</t>
  </si>
  <si>
    <t>100030006</t>
  </si>
  <si>
    <t>منطقه 3 - تهران - شهید درزی</t>
  </si>
  <si>
    <t>15</t>
  </si>
  <si>
    <t>151666</t>
  </si>
  <si>
    <t>قرچک2</t>
  </si>
  <si>
    <t>543223</t>
  </si>
  <si>
    <t>3015166608846</t>
  </si>
  <si>
    <t>2118641170</t>
  </si>
  <si>
    <t>100030501</t>
  </si>
  <si>
    <t>منطقه 3 - قرچک - شهید بهشتی(قرچک 1)</t>
  </si>
  <si>
    <t>16</t>
  </si>
  <si>
    <t>138595</t>
  </si>
  <si>
    <t>شعبه فداییان اسلام</t>
  </si>
  <si>
    <t>547091</t>
  </si>
  <si>
    <t>3013859508842</t>
  </si>
  <si>
    <t>خ قایم مقام فراهانی خ 8هشتم پ19</t>
  </si>
  <si>
    <t>100050006</t>
  </si>
  <si>
    <t>منطقه 5 - ری - شهید منتظری</t>
  </si>
  <si>
    <t>17</t>
  </si>
  <si>
    <t>138458</t>
  </si>
  <si>
    <t>نیروهوایی</t>
  </si>
  <si>
    <t>547099</t>
  </si>
  <si>
    <t>3013845808843</t>
  </si>
  <si>
    <t>745841107</t>
  </si>
  <si>
    <t>1390/01/23</t>
  </si>
  <si>
    <t>100070001</t>
  </si>
  <si>
    <t>منطقه 7 - تهران - امامت</t>
  </si>
  <si>
    <t>18</t>
  </si>
  <si>
    <t>153398</t>
  </si>
  <si>
    <t>شعبه پانزده متری دوم افسریه</t>
  </si>
  <si>
    <t>547104</t>
  </si>
  <si>
    <t>3015339808846</t>
  </si>
  <si>
    <t>2593841178</t>
  </si>
  <si>
    <t>100030009</t>
  </si>
  <si>
    <t>منطقه 3 - تهران - هجرت</t>
  </si>
  <si>
    <t>19</t>
  </si>
  <si>
    <t>152063</t>
  </si>
  <si>
    <t>سیمتری نیروی هوایی</t>
  </si>
  <si>
    <t>547396</t>
  </si>
  <si>
    <t>3015206308840</t>
  </si>
  <si>
    <t>1485041136</t>
  </si>
  <si>
    <t>خ  قایم مقام فراهانی  بالاترازبهشتی  خیابان هشتم  پلاک  19</t>
  </si>
  <si>
    <t>1389/12/23</t>
  </si>
  <si>
    <t>20</t>
  </si>
  <si>
    <t>151968</t>
  </si>
  <si>
    <t>امامت شمالی</t>
  </si>
  <si>
    <t>547400</t>
  </si>
  <si>
    <t>3015196808840</t>
  </si>
  <si>
    <t>1485041135</t>
  </si>
  <si>
    <t>خ قایم مقام فراهانی بالاترازدکتربهشتی خ 8پ19</t>
  </si>
  <si>
    <t>15010317</t>
  </si>
  <si>
    <t>1389/11/26</t>
  </si>
  <si>
    <t>21</t>
  </si>
  <si>
    <t>139487</t>
  </si>
  <si>
    <t>548056</t>
  </si>
  <si>
    <t>3013948708847</t>
  </si>
  <si>
    <t>1390/01/16</t>
  </si>
  <si>
    <t>100030701</t>
  </si>
  <si>
    <t>منطقه 3 - پاکدشت - شهدای مرصاد  پاکدشت -حصارامیر-یبر</t>
  </si>
  <si>
    <t>22</t>
  </si>
  <si>
    <t>145343</t>
  </si>
  <si>
    <t>ش حسین آباد</t>
  </si>
  <si>
    <t>550356</t>
  </si>
  <si>
    <t>3014534308843</t>
  </si>
  <si>
    <t>تهران  خ قایم مقام فراهانی خ هشتم پ19</t>
  </si>
  <si>
    <t>1390/03/17</t>
  </si>
  <si>
    <t>100020011</t>
  </si>
  <si>
    <t>منطقه 2 - تهران - شهید لطیفی</t>
  </si>
  <si>
    <t>23</t>
  </si>
  <si>
    <t>143890</t>
  </si>
  <si>
    <t>شعبه پیامبر</t>
  </si>
  <si>
    <t>555191</t>
  </si>
  <si>
    <t>3014389008844</t>
  </si>
  <si>
    <t>1485041137</t>
  </si>
  <si>
    <t>خ   قایم  مقام  فراهانی  خ  هشتم  پ  19</t>
  </si>
  <si>
    <t>1390/07/24</t>
  </si>
  <si>
    <t>100040002</t>
  </si>
  <si>
    <t>منطقه 4 - تهران - آیت اله کاشانی</t>
  </si>
  <si>
    <t>24</t>
  </si>
  <si>
    <t>144761</t>
  </si>
  <si>
    <t>شعبه پل رومی</t>
  </si>
  <si>
    <t>566362</t>
  </si>
  <si>
    <t>3014476108847</t>
  </si>
  <si>
    <t>خ شیرازجنوبی جنوب بزرگراه همت نبش خ 68ش ساختمان ش 8م فناوری اط</t>
  </si>
  <si>
    <t>1390/10/12</t>
  </si>
  <si>
    <t>100020009</t>
  </si>
  <si>
    <t>منطقه 2 - تهران - شهید غریبی</t>
  </si>
  <si>
    <t>25</t>
  </si>
  <si>
    <t>144242</t>
  </si>
  <si>
    <t>درآمد اینترانت  (دیتای تجاری)</t>
  </si>
  <si>
    <t>3014424208843</t>
  </si>
  <si>
    <t>3438641168</t>
  </si>
  <si>
    <t>خ   شیرازجنوبی  خ 68 شرقی ساختمان شماره  8 موسسه عسکریه</t>
  </si>
  <si>
    <t>1391/01/27</t>
  </si>
  <si>
    <t>26</t>
  </si>
  <si>
    <t>152177</t>
  </si>
  <si>
    <t>شعبه دکتر فاطمی</t>
  </si>
  <si>
    <t>3015217708840</t>
  </si>
  <si>
    <t>1485041131</t>
  </si>
  <si>
    <t>شیرازجنوبی جنوب ب همت نبش خ 68شرقی ساختمان شماره 8معاونت فنا</t>
  </si>
  <si>
    <t>1949914493</t>
  </si>
  <si>
    <t>100080011</t>
  </si>
  <si>
    <t>منطقه 8 - تهران - شهید مدنی</t>
  </si>
  <si>
    <t>152355</t>
  </si>
  <si>
    <t>شعبه شهرری</t>
  </si>
  <si>
    <t>3015235508840</t>
  </si>
  <si>
    <t>خ شیرازجنوبی (جنوب بزرگراه همت) نبش خ 68 شرقی ش 8 موسسه اعتباری ملل معاونت فناوری اطلاعات</t>
  </si>
  <si>
    <t>1436975164</t>
  </si>
  <si>
    <t>1391/04/31</t>
  </si>
  <si>
    <t>28</t>
  </si>
  <si>
    <t>143804</t>
  </si>
  <si>
    <t>585956</t>
  </si>
  <si>
    <t>3014380408840</t>
  </si>
  <si>
    <t>3438641166</t>
  </si>
  <si>
    <t>خ   شیرازجنوبی  نبش خ  68شرقی ساختمان شماره  8 موسسه مالی</t>
  </si>
  <si>
    <t>1361813161</t>
  </si>
  <si>
    <t>1391/08/29</t>
  </si>
  <si>
    <t>100020002</t>
  </si>
  <si>
    <t>منطقه 2 - تهران - شهید مفتح</t>
  </si>
  <si>
    <t>29</t>
  </si>
  <si>
    <t>144207</t>
  </si>
  <si>
    <t>3014420708841</t>
  </si>
  <si>
    <t>3438641167</t>
  </si>
  <si>
    <t>خ   شیرازجنوبی  نبش  خ  68شرقی  ساختمان شماره  8 موسسه عسکریه</t>
  </si>
  <si>
    <t>1391/09/01</t>
  </si>
  <si>
    <t>30</t>
  </si>
  <si>
    <t>139625</t>
  </si>
  <si>
    <t>586305</t>
  </si>
  <si>
    <t>3013962508842</t>
  </si>
  <si>
    <t>3438641169</t>
  </si>
  <si>
    <t>خ   شیرازجنوبی  نبش  خ 68شرقی ساختمان شماره  8 موسسه مالی عسک</t>
  </si>
  <si>
    <t>1391/10/04</t>
  </si>
  <si>
    <t>100070002</t>
  </si>
  <si>
    <t>منطقه 7 - تهران - شهید آیت</t>
  </si>
  <si>
    <t>31</t>
  </si>
  <si>
    <t>144126</t>
  </si>
  <si>
    <t>587668</t>
  </si>
  <si>
    <t>3014412608846</t>
  </si>
  <si>
    <t>3438641164</t>
  </si>
  <si>
    <t>میرداماد - تقاطع ولیعصر - برج اسکان</t>
  </si>
  <si>
    <t>1391/11/02</t>
  </si>
  <si>
    <t>100080007</t>
  </si>
  <si>
    <t>منطقه 8 - تهران - شهید کلانتری</t>
  </si>
  <si>
    <t>32</t>
  </si>
  <si>
    <t>144059</t>
  </si>
  <si>
    <t>3014405908842</t>
  </si>
  <si>
    <t>3438641163</t>
  </si>
  <si>
    <t>خ شیراز جنوبی نبش خیابان 68شرقی ساختمان شماره 8</t>
  </si>
  <si>
    <t>33</t>
  </si>
  <si>
    <t>143982</t>
  </si>
  <si>
    <t>587858</t>
  </si>
  <si>
    <t>3014398208848</t>
  </si>
  <si>
    <t>3438641165</t>
  </si>
  <si>
    <t>کریم خان زند - خ به افرین پلاک 31</t>
  </si>
  <si>
    <t>1855918359</t>
  </si>
  <si>
    <t>1391/10/18</t>
  </si>
  <si>
    <t>34</t>
  </si>
  <si>
    <t>138605</t>
  </si>
  <si>
    <t>اسکان523</t>
  </si>
  <si>
    <t>587906</t>
  </si>
  <si>
    <t>3013860508848</t>
  </si>
  <si>
    <t>بزرگراه همت نبش خیابان 68شرقی ساختمان شماره 8</t>
  </si>
  <si>
    <t>35</t>
  </si>
  <si>
    <t>145030</t>
  </si>
  <si>
    <t>تهران شعبه دزاشیب شاخص522</t>
  </si>
  <si>
    <t>3014503008841</t>
  </si>
  <si>
    <t>تهران خ شیراز جنوبی جنوب بزرگراه همت نبش خ 68 شرقی س شماره 8 موسسه مالی واعتباری</t>
  </si>
  <si>
    <t>1935733651</t>
  </si>
  <si>
    <t>1391/12/15</t>
  </si>
  <si>
    <t>36</t>
  </si>
  <si>
    <t>144500</t>
  </si>
  <si>
    <t>تهران شعبه پونک شاخص524</t>
  </si>
  <si>
    <t>588306</t>
  </si>
  <si>
    <t>3014450008844</t>
  </si>
  <si>
    <t>1485041138</t>
  </si>
  <si>
    <t>خ شیراز جنوبی نبش خ 68 شرقی ساختمان ش 8 مو سسه مالی و اعتباری عسکریه معاونت فناو</t>
  </si>
  <si>
    <t>1392/01/11</t>
  </si>
  <si>
    <t>100040009</t>
  </si>
  <si>
    <t>منطقه 4 - تهران - پیام نور</t>
  </si>
  <si>
    <t>37</t>
  </si>
  <si>
    <t>144284</t>
  </si>
  <si>
    <t>591744</t>
  </si>
  <si>
    <t>3014428408847</t>
  </si>
  <si>
    <t>1392/02/24</t>
  </si>
  <si>
    <t>38</t>
  </si>
  <si>
    <t>139901</t>
  </si>
  <si>
    <t>3013990108841</t>
  </si>
  <si>
    <t>3438641160</t>
  </si>
  <si>
    <t>خ شیرازی جنوبی نبش خ 8 شرقی ساختمان ش 8 موسسه مالی و اعتباری عسکریه معاونت فناور</t>
  </si>
  <si>
    <t>1392/02/03</t>
  </si>
  <si>
    <t>100070007</t>
  </si>
  <si>
    <t>منطقه 7 - تهران - شهید حکمت شعار</t>
  </si>
  <si>
    <t>39</t>
  </si>
  <si>
    <t>139627</t>
  </si>
  <si>
    <t>3013962708841</t>
  </si>
  <si>
    <t>خ شیراز جنوبی نبش خ 68 ساختمان شماره 8</t>
  </si>
  <si>
    <t>100030001</t>
  </si>
  <si>
    <t>منطقه 3 - تهران - ملت</t>
  </si>
  <si>
    <t>40</t>
  </si>
  <si>
    <t>146165</t>
  </si>
  <si>
    <t>شعبه اوین</t>
  </si>
  <si>
    <t>600854</t>
  </si>
  <si>
    <t>3014616508840</t>
  </si>
  <si>
    <t>1478441157</t>
  </si>
  <si>
    <t>اتوبان چمران -بعداز نمایشگاه بین المللی خروجی اوین خ کچویی -جنب بانک سامان پ86</t>
  </si>
  <si>
    <t>100020008</t>
  </si>
  <si>
    <t>منطقه 2 - تهران - شهید جعفری</t>
  </si>
  <si>
    <t>41</t>
  </si>
  <si>
    <t>146224</t>
  </si>
  <si>
    <t>تهرانشعبه انصاری</t>
  </si>
  <si>
    <t>601305</t>
  </si>
  <si>
    <t>3014622408840</t>
  </si>
  <si>
    <t>خ شیراز جنوبی جنوب ب همت نبش خ 68شرقی ساختمان شماره 8معاونت فناوری اطلاعات</t>
  </si>
  <si>
    <t>42</t>
  </si>
  <si>
    <t>146274</t>
  </si>
  <si>
    <t>شعبه اشرفی اصفهانی</t>
  </si>
  <si>
    <t>602211</t>
  </si>
  <si>
    <t>3014627408848</t>
  </si>
  <si>
    <t>خ شیراز جنوبی نبش خ 68 شرقی - ساختمان شماره 8موسسه مالی عسکریه</t>
  </si>
  <si>
    <t>1392/09/20</t>
  </si>
  <si>
    <t>100040011</t>
  </si>
  <si>
    <t>منطقه 4 - تهران - شهید سعادتمند</t>
  </si>
  <si>
    <t>43</t>
  </si>
  <si>
    <t>146261</t>
  </si>
  <si>
    <t>ش کامرانیه شمالی</t>
  </si>
  <si>
    <t>601306</t>
  </si>
  <si>
    <t>3014626108840</t>
  </si>
  <si>
    <t>تهران کامرانیه شمالی جنبکوچه ناهید پ 2</t>
  </si>
  <si>
    <t>1392/08/15</t>
  </si>
  <si>
    <t>100020006</t>
  </si>
  <si>
    <t>منطقه 2 - تهران - جماران</t>
  </si>
  <si>
    <t>44</t>
  </si>
  <si>
    <t>139939</t>
  </si>
  <si>
    <t>3013993908849</t>
  </si>
  <si>
    <t>6012641104</t>
  </si>
  <si>
    <t>خ- شیبراز جنوبی - نبش  خ 68 شرقی- موسسه مالی  عسکریه</t>
  </si>
  <si>
    <t>1463864634</t>
  </si>
  <si>
    <t>45</t>
  </si>
  <si>
    <t>144818</t>
  </si>
  <si>
    <t>603796</t>
  </si>
  <si>
    <t>3014481808849</t>
  </si>
  <si>
    <t>1392/10/11</t>
  </si>
  <si>
    <t>46</t>
  </si>
  <si>
    <t>144797</t>
  </si>
  <si>
    <t>3014479708845</t>
  </si>
  <si>
    <t>م امامت خ امامت روبروی بانک صادرات</t>
  </si>
  <si>
    <t>47</t>
  </si>
  <si>
    <t>144810</t>
  </si>
  <si>
    <t>607128</t>
  </si>
  <si>
    <t>3014481008842</t>
  </si>
  <si>
    <t>خ شریعتی مقابل سینما سروش - جنب میثاق یکم پ1563835334</t>
  </si>
  <si>
    <t>1393/02/01</t>
  </si>
  <si>
    <t>100070003</t>
  </si>
  <si>
    <t>منطقه 7 - تهران - ولیعصر(ع)</t>
  </si>
  <si>
    <t>48</t>
  </si>
  <si>
    <t>139303</t>
  </si>
  <si>
    <t>607131</t>
  </si>
  <si>
    <t>3013930308841</t>
  </si>
  <si>
    <t>1722641157</t>
  </si>
  <si>
    <t>خ شیرازجنوبی- نبش خ 68شرقی - ساختمان شماره8 -موسسه مالی اعتباری عسکریه معاونت فن</t>
  </si>
  <si>
    <t>1393/01/18</t>
  </si>
  <si>
    <t>49</t>
  </si>
  <si>
    <t>138661</t>
  </si>
  <si>
    <t>ش بلوار دریا</t>
  </si>
  <si>
    <t>605804</t>
  </si>
  <si>
    <t>3013866108841</t>
  </si>
  <si>
    <t>خ- شیراز جنوبی- نبش خ 68 شرقی- ساختمان شماره 8 موسسه مالی و اعتباری</t>
  </si>
  <si>
    <t>100080012</t>
  </si>
  <si>
    <t>منطقه 8 - تهران - مرحوم نهری</t>
  </si>
  <si>
    <t>50</t>
  </si>
  <si>
    <t>139991</t>
  </si>
  <si>
    <t>607093</t>
  </si>
  <si>
    <t>3013999108844</t>
  </si>
  <si>
    <t>6012641109</t>
  </si>
  <si>
    <t>خ شیراز جنوبی نبش خ 68 شرقی ساختمان شماره 8 موسسه مالی واعتباری عسکریه معاونت فن</t>
  </si>
  <si>
    <t>100080005</t>
  </si>
  <si>
    <t>منطقه 8 - تهران - آزادگان</t>
  </si>
  <si>
    <t>51</t>
  </si>
  <si>
    <t>144907</t>
  </si>
  <si>
    <t>607096</t>
  </si>
  <si>
    <t>3014490708849</t>
  </si>
  <si>
    <t>3438641162</t>
  </si>
  <si>
    <t>ری نرسیده به سه راه امین حضور ک عبدالرضا شیرازی</t>
  </si>
  <si>
    <t>52</t>
  </si>
  <si>
    <t>140999</t>
  </si>
  <si>
    <t>607101</t>
  </si>
  <si>
    <t>3014099908841</t>
  </si>
  <si>
    <t>خ شیراز جنوبی نبش خ 68 شرقی ساختمان شماره 8 موسسه مالی واعتباری عسکریه معاونت ف</t>
  </si>
  <si>
    <t>53</t>
  </si>
  <si>
    <t>141001</t>
  </si>
  <si>
    <t>607103</t>
  </si>
  <si>
    <t>3014100108846</t>
  </si>
  <si>
    <t>خ ولیعصر نبش خ قزوین پل امیر بهادر</t>
  </si>
  <si>
    <t>100050005</t>
  </si>
  <si>
    <t>منطقه 5 - تهران - مهدیه</t>
  </si>
  <si>
    <t>54</t>
  </si>
  <si>
    <t>139630</t>
  </si>
  <si>
    <t>607104</t>
  </si>
  <si>
    <t>3013963008843</t>
  </si>
  <si>
    <t>46متری شرقی نارمک بین خ مهر و مدائن</t>
  </si>
  <si>
    <t>55</t>
  </si>
  <si>
    <t>152485</t>
  </si>
  <si>
    <t>کارت اعتباری ایران کیش</t>
  </si>
  <si>
    <t>623784</t>
  </si>
  <si>
    <t>3015248508840</t>
  </si>
  <si>
    <t>1478441155</t>
  </si>
  <si>
    <t>تهران-خ شیرازجنوبی(جنوب بزرگراه همت )نبش خ68شرقی -س شماره 8 موسسه مالی واعتباری</t>
  </si>
  <si>
    <t>1393/11/28</t>
  </si>
  <si>
    <t>56</t>
  </si>
  <si>
    <t>139189</t>
  </si>
  <si>
    <t>17921209</t>
  </si>
  <si>
    <t>94017921209</t>
  </si>
  <si>
    <t>10 مگابیت</t>
  </si>
  <si>
    <t>3013918908841</t>
  </si>
  <si>
    <t>5858641108</t>
  </si>
  <si>
    <t>خ شیراز جنوبی(جنوب بزرگراه همت).نبش خ 68 شرقی.س ش 8 موسسه اعتباری عسکریه معاونت فناوری اطلاعات</t>
  </si>
  <si>
    <t>1394/11/19</t>
  </si>
  <si>
    <t>100080010</t>
  </si>
  <si>
    <t>منطقه 8 - تهران - قدس</t>
  </si>
  <si>
    <t>57</t>
  </si>
  <si>
    <t>147617</t>
  </si>
  <si>
    <t>19039943</t>
  </si>
  <si>
    <t>95019039943</t>
  </si>
  <si>
    <t>128 کیلوبیت</t>
  </si>
  <si>
    <t>3014761708840</t>
  </si>
  <si>
    <t>191441193</t>
  </si>
  <si>
    <t>1395/04/13</t>
  </si>
  <si>
    <t>100080006</t>
  </si>
  <si>
    <t>منطقه 8 - تهران - شهید مطهری</t>
  </si>
  <si>
    <t>58</t>
  </si>
  <si>
    <t>138977</t>
  </si>
  <si>
    <t>بانک مرکزی جمهوری اسلامی ایران</t>
  </si>
  <si>
    <t>14002207985</t>
  </si>
  <si>
    <t>ارتباط بانک مرکزی و موسسه اعتباری ملل</t>
  </si>
  <si>
    <t>12052626</t>
  </si>
  <si>
    <t>960112052626</t>
  </si>
  <si>
    <t>3013897708847</t>
  </si>
  <si>
    <t>2593841175</t>
  </si>
  <si>
    <t>شیراز جنوبی نبش خ 68 شرقی ساختمان شماره 8 معاونت فناوری اطلاعات موسسه اعتباری ملل</t>
  </si>
  <si>
    <t>1549633111</t>
  </si>
  <si>
    <t>1396/08/27</t>
  </si>
  <si>
    <t>59</t>
  </si>
  <si>
    <t>151447</t>
  </si>
  <si>
    <t>تعاونی اعتبارعسکریه 17شهریورشمالی 379</t>
  </si>
  <si>
    <t>527202</t>
  </si>
  <si>
    <t>3015144708847</t>
  </si>
  <si>
    <t>1388/11/13</t>
  </si>
  <si>
    <t>60</t>
  </si>
  <si>
    <t>153314</t>
  </si>
  <si>
    <t>تعاونی اعتبارعسکریه ستارخان 369</t>
  </si>
  <si>
    <t>527200</t>
  </si>
  <si>
    <t>3015331408849</t>
  </si>
  <si>
    <t>100060013</t>
  </si>
  <si>
    <t>منطقه 6 - تهران - شهید چمران</t>
  </si>
  <si>
    <t>61</t>
  </si>
  <si>
    <t>142619</t>
  </si>
  <si>
    <t>تعاونی اعتباری عسکریه پیروزی 411</t>
  </si>
  <si>
    <t>527218</t>
  </si>
  <si>
    <t>3014261908842</t>
  </si>
  <si>
    <t>مشهدمطهری شمالی 10س 274</t>
  </si>
  <si>
    <t>1388/11/04</t>
  </si>
  <si>
    <t>62</t>
  </si>
  <si>
    <t>145854</t>
  </si>
  <si>
    <t>تعاونی اعتباری عسکریه - سهروردی شمالی</t>
  </si>
  <si>
    <t>588323</t>
  </si>
  <si>
    <t>3014585408842</t>
  </si>
  <si>
    <t>شیراز جنوبی - نبش خ 68 شرقی - ساختمان شماره 8</t>
  </si>
  <si>
    <t>100080002</t>
  </si>
  <si>
    <t>منطقه 8 - تهران - شهید بهشتی</t>
  </si>
  <si>
    <t>63</t>
  </si>
  <si>
    <t>144938</t>
  </si>
  <si>
    <t>تعاونی اعتباری عسکریه ش شاهدتهرانپارس</t>
  </si>
  <si>
    <t>538722</t>
  </si>
  <si>
    <t>3014493808844</t>
  </si>
  <si>
    <t>100070009</t>
  </si>
  <si>
    <t>منطقه 7 - تهران - شهید اکبری</t>
  </si>
  <si>
    <t>64</t>
  </si>
  <si>
    <t>151520</t>
  </si>
  <si>
    <t>تعاونی اعتباری عسکریه ش میدان سلماس</t>
  </si>
  <si>
    <t>3015152008846</t>
  </si>
  <si>
    <t>1389/08/16</t>
  </si>
  <si>
    <t>65</t>
  </si>
  <si>
    <t>151932</t>
  </si>
  <si>
    <t>تعاونی اعتباری عسکریه قصرفیروزه</t>
  </si>
  <si>
    <t>547401</t>
  </si>
  <si>
    <t>3015193208841</t>
  </si>
  <si>
    <t>1389/12/03</t>
  </si>
  <si>
    <t>66</t>
  </si>
  <si>
    <t>144606</t>
  </si>
  <si>
    <t>تعاونی مالی اعتباری عسکریه17 شهریور</t>
  </si>
  <si>
    <t>591742</t>
  </si>
  <si>
    <t>3014460608840</t>
  </si>
  <si>
    <t>خ شیراز جنوبی(جنوب بزرگراه همت).نبش خ 68 شرقی.س ش 8 موسسه اعتباری  ملل معاونت فناوری اطلاعات</t>
  </si>
  <si>
    <t>1392/02/08</t>
  </si>
  <si>
    <t>67</t>
  </si>
  <si>
    <t>144110</t>
  </si>
  <si>
    <t>تعاونی مالی اعتباری عسکریه - پیروزی</t>
  </si>
  <si>
    <t>586332</t>
  </si>
  <si>
    <t>3014411008845</t>
  </si>
  <si>
    <t>خ شیراز جنوبی  نبش خ 68شرقی ساختمان  شماره 8  موسسه مالی عسکریه</t>
  </si>
  <si>
    <t>1391/10/03</t>
  </si>
  <si>
    <t>68</t>
  </si>
  <si>
    <t>144521</t>
  </si>
  <si>
    <t>تعاونی مالی اعتباری عسکریه - شاهد</t>
  </si>
  <si>
    <t>591836</t>
  </si>
  <si>
    <t>3014452108846</t>
  </si>
  <si>
    <t>خ شیراز جنوبی نبش خ 68 شرقی س ش 8</t>
  </si>
  <si>
    <t>1392/02/18</t>
  </si>
  <si>
    <t>69</t>
  </si>
  <si>
    <t>145113</t>
  </si>
  <si>
    <t>تعاونی مالی اعتباری عسکریه ش توانیر - شاخص 536</t>
  </si>
  <si>
    <t>607250</t>
  </si>
  <si>
    <t>3014511308846</t>
  </si>
  <si>
    <t>خ شیرازجنوبی- نبش خ 68ش - ساختمان ش8 -موسسه مالی اعتباری عسکریه معاونت فناوری</t>
  </si>
  <si>
    <t>1393/01/17</t>
  </si>
  <si>
    <t>70</t>
  </si>
  <si>
    <t>144355</t>
  </si>
  <si>
    <t>تعاونی مالی اعتباری عسکریه - ش شادمهر شاخص 369</t>
  </si>
  <si>
    <t>591737</t>
  </si>
  <si>
    <t>3014435508849</t>
  </si>
  <si>
    <t>خ شاد مهر پایین تراز ستارخان جنب نمایشگاه مقدم پ359 قدیم</t>
  </si>
  <si>
    <t>71</t>
  </si>
  <si>
    <t>139916</t>
  </si>
  <si>
    <t>تعاونی مالی اعتباری عسکریه -ش شمس اباد</t>
  </si>
  <si>
    <t>3013991608848</t>
  </si>
  <si>
    <t>مجیدیه شمالی خ بنا بالاتر از م ملت پیچ شمس اباد پ10</t>
  </si>
  <si>
    <t>100020010</t>
  </si>
  <si>
    <t>منطقه 2 - تهران - شهید تندگویان</t>
  </si>
  <si>
    <t>72</t>
  </si>
  <si>
    <t>145071</t>
  </si>
  <si>
    <t>تعاونی مالی اعتباری عسکریه - قصرفیروزه - شاخص 496</t>
  </si>
  <si>
    <t>607111</t>
  </si>
  <si>
    <t>3014507108840</t>
  </si>
  <si>
    <t>35متری قصر فیروزه خ قایم _نبش کوچه طباطبایی</t>
  </si>
  <si>
    <t>1393/01/25</t>
  </si>
  <si>
    <t>73</t>
  </si>
  <si>
    <t>141000</t>
  </si>
  <si>
    <t>تعاونی مالی عسکریه -ش میدان سلماس</t>
  </si>
  <si>
    <t>586297</t>
  </si>
  <si>
    <t>3014100008841</t>
  </si>
  <si>
    <t>1391/09/29</t>
  </si>
  <si>
    <t>74</t>
  </si>
  <si>
    <t>152839</t>
  </si>
  <si>
    <t>خدمات انفورماتیک</t>
  </si>
  <si>
    <t>10101455520</t>
  </si>
  <si>
    <t>19215002</t>
  </si>
  <si>
    <t>95019215002</t>
  </si>
  <si>
    <t>3015283908842</t>
  </si>
  <si>
    <t>میرداماد . م مادر . خ شاه نظری- خ مددکاران- تقاطع خواجوی- ش6- س مرجان</t>
  </si>
  <si>
    <t>1911993111</t>
  </si>
  <si>
    <t>1395/04/09</t>
  </si>
  <si>
    <t>75</t>
  </si>
  <si>
    <t>136990</t>
  </si>
  <si>
    <t>سازمان بورس و اوراق بهادار - ملل پویا(عمران فارس)</t>
  </si>
  <si>
    <t>14000259050</t>
  </si>
  <si>
    <t>11492041</t>
  </si>
  <si>
    <t>960111492041</t>
  </si>
  <si>
    <t>3013699008848</t>
  </si>
  <si>
    <t>864641105</t>
  </si>
  <si>
    <t>خ قایم مقام فراهانی- بین خ مطهری و خ بهشتی- نبش خ چهارم- پ 143- ط 2</t>
  </si>
  <si>
    <t>1396/07/11</t>
  </si>
  <si>
    <t>76</t>
  </si>
  <si>
    <t>149955</t>
  </si>
  <si>
    <t>شبکه الکترونیکی پرداخت کارت شاپرک</t>
  </si>
  <si>
    <t>10320718470</t>
  </si>
  <si>
    <t>14937655</t>
  </si>
  <si>
    <t>980114937655</t>
  </si>
  <si>
    <t>3014995508844</t>
  </si>
  <si>
    <t>862441101</t>
  </si>
  <si>
    <t>میرداماد - م محسنی - خ شاه نظری - خ دوم - پ 14</t>
  </si>
  <si>
    <t>1547914811</t>
  </si>
  <si>
    <t>1398/12/03</t>
  </si>
  <si>
    <t>77</t>
  </si>
  <si>
    <t>146807</t>
  </si>
  <si>
    <t>شرکت بورس کالای ایران - کارگزاری ملل پویا</t>
  </si>
  <si>
    <t>10104002107</t>
  </si>
  <si>
    <t>10055206</t>
  </si>
  <si>
    <t>4 مگابیت</t>
  </si>
  <si>
    <t>3014680708845</t>
  </si>
  <si>
    <t>3702641126</t>
  </si>
  <si>
    <t>خیابان قایم مقام فراهانی - بالاتر از مطهری- نبش کوچه 4 پلاک 22 طبقه 2</t>
  </si>
  <si>
    <t>1593649315</t>
  </si>
  <si>
    <t>1395/09/20</t>
  </si>
  <si>
    <t>78</t>
  </si>
  <si>
    <t>152696</t>
  </si>
  <si>
    <t>شرکت ملی پست جمهوری اسلامی ایران</t>
  </si>
  <si>
    <t>14002919855</t>
  </si>
  <si>
    <t>موسسه اعتباری ملل-اداره کل جغرافیایی و کد گذاری شرکت پست</t>
  </si>
  <si>
    <t>10060477</t>
  </si>
  <si>
    <t>950110060477</t>
  </si>
  <si>
    <t>3015269608844</t>
  </si>
  <si>
    <t>1478441158</t>
  </si>
  <si>
    <t>خیابان شریعتی بالاتر از هویزه بن بست عمادیان پلاک 2 مرکز فن آوری پست</t>
  </si>
  <si>
    <t>1631481654</t>
  </si>
  <si>
    <t>79</t>
  </si>
  <si>
    <t>138627</t>
  </si>
  <si>
    <t>مالی و اعتباری عسکریه- تهران ش شمس اباد</t>
  </si>
  <si>
    <t>3013862708844</t>
  </si>
  <si>
    <t>مجیدیه شمالی - استاد حسن بنا بالاتر از ملت پ 10</t>
  </si>
  <si>
    <t>80</t>
  </si>
  <si>
    <t>149869</t>
  </si>
  <si>
    <t>مدیریت فناوری بورس تهران</t>
  </si>
  <si>
    <t>10101491919</t>
  </si>
  <si>
    <t>کارگزاری ملل پویا</t>
  </si>
  <si>
    <t>14960294</t>
  </si>
  <si>
    <t>3014986908848</t>
  </si>
  <si>
    <t>246441110</t>
  </si>
  <si>
    <t>تهران-خیابان شیرازجنوبی-نبش 68 شرقی-پلاک 8 - ط3 -کارگزاری ملل پویا</t>
  </si>
  <si>
    <t>1436975159</t>
  </si>
  <si>
    <t>1400/06/24</t>
  </si>
  <si>
    <t>81</t>
  </si>
  <si>
    <t>227703</t>
  </si>
  <si>
    <t>معتمد ملل شریف - اینامو بدون مودم</t>
  </si>
  <si>
    <t>15011453</t>
  </si>
  <si>
    <t>4020115011453</t>
  </si>
  <si>
    <t>82.52 مگابیت</t>
  </si>
  <si>
    <t>Internet (tehran)</t>
  </si>
  <si>
    <t>درآمد اینترنت  (دیتای تجاری)</t>
  </si>
  <si>
    <t>مصوبه شماره 735/4998949 مورخ 1391/2/13 منطقه تهران</t>
  </si>
  <si>
    <t>3022770308849</t>
  </si>
  <si>
    <t>30401441102</t>
  </si>
  <si>
    <t>شیراز جنوبی پایین اتوبان همت نبش کوچه رضوان پ7</t>
  </si>
  <si>
    <t>100060006</t>
  </si>
  <si>
    <t>منطقه 6 - تهران - شهید فرداسدی</t>
  </si>
  <si>
    <t>82</t>
  </si>
  <si>
    <t>142849</t>
  </si>
  <si>
    <t>14096174</t>
  </si>
  <si>
    <t>970114096174</t>
  </si>
  <si>
    <t>400 مگابیت</t>
  </si>
  <si>
    <t>3014284908840</t>
  </si>
  <si>
    <t>114150941185</t>
  </si>
  <si>
    <t>1401/05/25</t>
  </si>
  <si>
    <t>1404/11/13</t>
  </si>
  <si>
    <t>83</t>
  </si>
  <si>
    <t>200 مگابیت</t>
  </si>
  <si>
    <t>84</t>
  </si>
  <si>
    <t>148835</t>
  </si>
  <si>
    <t>14789874</t>
  </si>
  <si>
    <t>3014883508841</t>
  </si>
  <si>
    <t>14131741195</t>
  </si>
  <si>
    <t>1398/04/25</t>
  </si>
  <si>
    <t>1404/10/16</t>
  </si>
  <si>
    <t>85</t>
  </si>
  <si>
    <t>50 مگابیت</t>
  </si>
  <si>
    <t>86</t>
  </si>
  <si>
    <t>143560</t>
  </si>
  <si>
    <t>نارمک تهران 266</t>
  </si>
  <si>
    <t>510499</t>
  </si>
  <si>
    <t>3014356008849</t>
  </si>
  <si>
    <t>نارمک چهارراه سرسبز پ 652</t>
  </si>
  <si>
    <t>1388/11/18</t>
  </si>
  <si>
    <t>87</t>
  </si>
  <si>
    <t>151183</t>
  </si>
  <si>
    <t>نظام آباد تهران294</t>
  </si>
  <si>
    <t>510500</t>
  </si>
  <si>
    <t>3015118308849</t>
  </si>
  <si>
    <t>88</t>
  </si>
  <si>
    <t>144204</t>
  </si>
  <si>
    <t>پاسداران340</t>
  </si>
  <si>
    <t>527198</t>
  </si>
  <si>
    <t>3014420408848</t>
  </si>
  <si>
    <t>89</t>
  </si>
  <si>
    <t>150600</t>
  </si>
  <si>
    <t>جمهوری 375</t>
  </si>
  <si>
    <t>527201</t>
  </si>
  <si>
    <t>3015060008840</t>
  </si>
  <si>
    <t>1485041134</t>
  </si>
  <si>
    <t>90</t>
  </si>
  <si>
    <t>138538</t>
  </si>
  <si>
    <t>جنت آباد</t>
  </si>
  <si>
    <t>527217</t>
  </si>
  <si>
    <t>3013853808844</t>
  </si>
  <si>
    <t>خ شیراز جنوبی (جنوب بزرگراه همت  ) نبش خ 68 شرقی س ش 8</t>
  </si>
  <si>
    <t>1388/12/08</t>
  </si>
  <si>
    <t>91</t>
  </si>
  <si>
    <t>138483</t>
  </si>
  <si>
    <t>530768</t>
  </si>
  <si>
    <t>3013848308841</t>
  </si>
  <si>
    <t>خ شیرازج جنوب بزرگراه همت نبش خ 68شرقی س ش 8معاونت فناوری اطلا</t>
  </si>
  <si>
    <t>1389/04/13</t>
  </si>
  <si>
    <t>100050004</t>
  </si>
  <si>
    <t>منطقه 5 - تهران - سیدالشهدا</t>
  </si>
  <si>
    <t>92</t>
  </si>
  <si>
    <t>144817</t>
  </si>
  <si>
    <t>شعبه بلوار ارتش</t>
  </si>
  <si>
    <t>532563</t>
  </si>
  <si>
    <t>3014481708844</t>
  </si>
  <si>
    <t>1389/04/26</t>
  </si>
  <si>
    <t>100020012</t>
  </si>
  <si>
    <t>منطقه 2 - تهران - شهید محلاتی</t>
  </si>
  <si>
    <t>93</t>
  </si>
  <si>
    <t>144528</t>
  </si>
  <si>
    <t>بازار مبل تهران</t>
  </si>
  <si>
    <t>532577</t>
  </si>
  <si>
    <t>3014452808848</t>
  </si>
  <si>
    <t>خ قایم مقام فراهانی خ هشتم پ۹١</t>
  </si>
  <si>
    <t>100060015</t>
  </si>
  <si>
    <t>منطقه 6 - تهران - شهید کرمی</t>
  </si>
  <si>
    <t>94</t>
  </si>
  <si>
    <t>138534</t>
  </si>
  <si>
    <t>فرجام</t>
  </si>
  <si>
    <t>532761</t>
  </si>
  <si>
    <t>3013853408846</t>
  </si>
  <si>
    <t>1389/03/30</t>
  </si>
  <si>
    <t>95</t>
  </si>
  <si>
    <t>151833</t>
  </si>
  <si>
    <t>اسلامشهر</t>
  </si>
  <si>
    <t>539563</t>
  </si>
  <si>
    <t>3015183308848</t>
  </si>
  <si>
    <t>اسلامشهر - سرنوری - پاساژ میلاد نور موسسه عسکریه</t>
  </si>
  <si>
    <t>1389/10/12</t>
  </si>
  <si>
    <t>100050114</t>
  </si>
  <si>
    <t>منطقه 5 - اسلامشهر - شهید بهشتی (اسلامشهر)</t>
  </si>
  <si>
    <t>96</t>
  </si>
  <si>
    <t>145189</t>
  </si>
  <si>
    <t>ستارخان</t>
  </si>
  <si>
    <t>538685</t>
  </si>
  <si>
    <t>3014518908849</t>
  </si>
  <si>
    <t>خ قایم مقام فراهانی خ بهشتی پ19</t>
  </si>
  <si>
    <t>1389/08/04</t>
  </si>
  <si>
    <t>97</t>
  </si>
  <si>
    <t>153472</t>
  </si>
  <si>
    <t>ش  تهرانپارس شاخص463</t>
  </si>
  <si>
    <t>538883</t>
  </si>
  <si>
    <t>3015347208840</t>
  </si>
  <si>
    <t>تهرانپارس فلکه سوم خیابان 196 شرقی پ 508</t>
  </si>
  <si>
    <t>100070005</t>
  </si>
  <si>
    <t>منطقه 7 - تهران - شهید عاطف</t>
  </si>
  <si>
    <t>98</t>
  </si>
  <si>
    <t>143779</t>
  </si>
  <si>
    <t>فرجام شرقی</t>
  </si>
  <si>
    <t>539077</t>
  </si>
  <si>
    <t>3014377908840</t>
  </si>
  <si>
    <t>قایم مقام فراهانی   خیابان هشتم  پلاک  19</t>
  </si>
  <si>
    <t>1389/09/08</t>
  </si>
  <si>
    <t>99</t>
  </si>
  <si>
    <t>142919</t>
  </si>
  <si>
    <t>ش بلوار فردوس458</t>
  </si>
  <si>
    <t>539559</t>
  </si>
  <si>
    <t>3014291908847</t>
  </si>
  <si>
    <t>100</t>
  </si>
  <si>
    <t>148117</t>
  </si>
  <si>
    <t>تعاونی اعتباری عسکریه - قیطریه</t>
  </si>
  <si>
    <t>542165</t>
  </si>
  <si>
    <t>3014811708846</t>
  </si>
  <si>
    <t>1062641128</t>
  </si>
  <si>
    <t>خ شیراز جنوبی(جنوب بزرگراه همت)-نبش خ 68 شرقی-س ش 8 موسسه اعتباری عسکریه معاونت فناوری اطلاعات</t>
  </si>
  <si>
    <t>101</t>
  </si>
  <si>
    <t>145289</t>
  </si>
  <si>
    <t>ابوذر481</t>
  </si>
  <si>
    <t>542205</t>
  </si>
  <si>
    <t>3014528908847</t>
  </si>
  <si>
    <t>مطهری شمالی نبش مطهری شمالی 10س 274</t>
  </si>
  <si>
    <t>102</t>
  </si>
  <si>
    <t>145537</t>
  </si>
  <si>
    <t>شریعتی</t>
  </si>
  <si>
    <t>544950</t>
  </si>
  <si>
    <t>3014553708844</t>
  </si>
  <si>
    <t>1389/11/12</t>
  </si>
  <si>
    <t>103</t>
  </si>
  <si>
    <t>144724</t>
  </si>
  <si>
    <t>15 خرداد غربی</t>
  </si>
  <si>
    <t>545146</t>
  </si>
  <si>
    <t>3014472408846</t>
  </si>
  <si>
    <t>1401/08/11</t>
  </si>
  <si>
    <t>104</t>
  </si>
  <si>
    <t>151937</t>
  </si>
  <si>
    <t>ش سرو-سعادت آباد شاخص 493</t>
  </si>
  <si>
    <t>546699</t>
  </si>
  <si>
    <t>3015193708844</t>
  </si>
  <si>
    <t>سعادت اباد ضلع شمال شرقی م سرو نبش پاکنژاد پ339</t>
  </si>
  <si>
    <t>100020013</t>
  </si>
  <si>
    <t>منطقه 2 - تهران - سلمان فارسی</t>
  </si>
  <si>
    <t>105</t>
  </si>
  <si>
    <t>145139</t>
  </si>
  <si>
    <t>ش کریمخان زند-</t>
  </si>
  <si>
    <t>542282</t>
  </si>
  <si>
    <t>3014513908840</t>
  </si>
  <si>
    <t>1390/04/18</t>
  </si>
  <si>
    <t>100080004</t>
  </si>
  <si>
    <t>منطقه 8 - تهران - شهید رجائی</t>
  </si>
  <si>
    <t>106</t>
  </si>
  <si>
    <t>142912</t>
  </si>
  <si>
    <t>لواسان</t>
  </si>
  <si>
    <t>542792</t>
  </si>
  <si>
    <t>3014291208845</t>
  </si>
  <si>
    <t>1062641125</t>
  </si>
  <si>
    <t>100020201</t>
  </si>
  <si>
    <t>منطقه 2 - شمیرانات - شهدای لواسان - لواسان کوچک (گلندوک)</t>
  </si>
  <si>
    <t>107</t>
  </si>
  <si>
    <t>145339</t>
  </si>
  <si>
    <t>شعبه امیریه</t>
  </si>
  <si>
    <t>543973</t>
  </si>
  <si>
    <t>3014533908847</t>
  </si>
  <si>
    <t>1389/11/18</t>
  </si>
  <si>
    <t>108</t>
  </si>
  <si>
    <t>145142</t>
  </si>
  <si>
    <t>باغ صبا</t>
  </si>
  <si>
    <t>547394</t>
  </si>
  <si>
    <t>3014514208842</t>
  </si>
  <si>
    <t>745841104</t>
  </si>
  <si>
    <t>1389/12/04</t>
  </si>
  <si>
    <t>109</t>
  </si>
  <si>
    <t>146356</t>
  </si>
  <si>
    <t>شعبه الهیه</t>
  </si>
  <si>
    <t>550310</t>
  </si>
  <si>
    <t>3014635608848</t>
  </si>
  <si>
    <t>تهران - خ  قائم مقام فراهانی- خ  هشتم - پ 19</t>
  </si>
  <si>
    <t>1390/03/23</t>
  </si>
  <si>
    <t>110</t>
  </si>
  <si>
    <t>144866</t>
  </si>
  <si>
    <t>خ ملت</t>
  </si>
  <si>
    <t>551589</t>
  </si>
  <si>
    <t>3014486608848</t>
  </si>
  <si>
    <t>1390/03/18</t>
  </si>
  <si>
    <t>111</t>
  </si>
  <si>
    <t>138603</t>
  </si>
  <si>
    <t>دادمان</t>
  </si>
  <si>
    <t>567066</t>
  </si>
  <si>
    <t>3013860308849</t>
  </si>
  <si>
    <t>خ شیرازجنوبی جنوب بزرگراه  همت نبش خ 68شرقی ساختمان شماره 8 فن</t>
  </si>
  <si>
    <t>1390/10/10</t>
  </si>
  <si>
    <t>112</t>
  </si>
  <si>
    <t>145768</t>
  </si>
  <si>
    <t>دولت 518</t>
  </si>
  <si>
    <t>569713</t>
  </si>
  <si>
    <t>3014576808846</t>
  </si>
  <si>
    <t>1391/03/09</t>
  </si>
  <si>
    <t>100020003</t>
  </si>
  <si>
    <t>منطقه 2 - تهران - پاسداران</t>
  </si>
  <si>
    <t>113</t>
  </si>
  <si>
    <t>138607</t>
  </si>
  <si>
    <t>شعبه اقدسیه</t>
  </si>
  <si>
    <t>570725</t>
  </si>
  <si>
    <t>3013860708847</t>
  </si>
  <si>
    <t>1390/12/01</t>
  </si>
  <si>
    <t>114</t>
  </si>
  <si>
    <t>139284</t>
  </si>
  <si>
    <t>شعبه بازار مبل</t>
  </si>
  <si>
    <t>565499</t>
  </si>
  <si>
    <t>3013928408847</t>
  </si>
  <si>
    <t>1722641155</t>
  </si>
  <si>
    <t>خ شیرازجنوبی نبش خ 68شرقی ساختمان شماره 8معاونت فناوری اطلاعات</t>
  </si>
  <si>
    <t>1586845418</t>
  </si>
  <si>
    <t>115</t>
  </si>
  <si>
    <t>140988</t>
  </si>
  <si>
    <t>شعبه قرچک - شاخص 295</t>
  </si>
  <si>
    <t>575857</t>
  </si>
  <si>
    <t>3014098808843</t>
  </si>
  <si>
    <t>تهران   خیابان  شیرازجنوبی نبش خیابان 68شرقی س 8موسسه مالی عس</t>
  </si>
  <si>
    <t>1391/05/16</t>
  </si>
  <si>
    <t>116</t>
  </si>
  <si>
    <t>140985</t>
  </si>
  <si>
    <t>شعبه پاکدشت - شاخص 287</t>
  </si>
  <si>
    <t>575859</t>
  </si>
  <si>
    <t>3014098508840</t>
  </si>
  <si>
    <t>1391/05/14</t>
  </si>
  <si>
    <t>117</t>
  </si>
  <si>
    <t>142283</t>
  </si>
  <si>
    <t>575860</t>
  </si>
  <si>
    <t>3014228308848</t>
  </si>
  <si>
    <t>خ شیرازجنوبی نبش خ 68شرقی ساختمان ش 8معاونت فناوری اطلاعات</t>
  </si>
  <si>
    <t>1391/06/11</t>
  </si>
  <si>
    <t>118</t>
  </si>
  <si>
    <t>139876</t>
  </si>
  <si>
    <t>شعبه قیطریه -</t>
  </si>
  <si>
    <t>585957</t>
  </si>
  <si>
    <t>3013987608841</t>
  </si>
  <si>
    <t>1391/09/07</t>
  </si>
  <si>
    <t>119</t>
  </si>
  <si>
    <t>144343</t>
  </si>
  <si>
    <t>شعبه جنت آباد</t>
  </si>
  <si>
    <t>586298</t>
  </si>
  <si>
    <t>3014434308846</t>
  </si>
  <si>
    <t>خ  شیرازجنوبی  نبش  خ  68شرقی  ساختمان شماره  8 موسسه عسکریه</t>
  </si>
  <si>
    <t>1391/09/27</t>
  </si>
  <si>
    <t>120</t>
  </si>
  <si>
    <t>139888</t>
  </si>
  <si>
    <t>نارمک</t>
  </si>
  <si>
    <t>3013988808844</t>
  </si>
  <si>
    <t>6012641103</t>
  </si>
  <si>
    <t>خ شیراز جنوبی نبش خ 68شرقی ساختمان شماره 8 موسسه مالی واعتباری عسکریه معاونت فناوری اطلاعات</t>
  </si>
  <si>
    <t>1391/11/16</t>
  </si>
  <si>
    <t>121</t>
  </si>
  <si>
    <t>144548</t>
  </si>
  <si>
    <t>پونک</t>
  </si>
  <si>
    <t>587857</t>
  </si>
  <si>
    <t>3014454808845</t>
  </si>
  <si>
    <t>خ شیراز جنوبی نبش 68 شرقی ساختمان شماره 8 موسسه عسکریه</t>
  </si>
  <si>
    <t>122</t>
  </si>
  <si>
    <t>139628</t>
  </si>
  <si>
    <t>سهروردی شمالی</t>
  </si>
  <si>
    <t>588136</t>
  </si>
  <si>
    <t>3013962808846</t>
  </si>
  <si>
    <t>سهروردی شمالی نبش چهارراه زینالی - پ 326</t>
  </si>
  <si>
    <t>1391/11/15</t>
  </si>
  <si>
    <t>123</t>
  </si>
  <si>
    <t>139927</t>
  </si>
  <si>
    <t>اکباتان</t>
  </si>
  <si>
    <t>591736</t>
  </si>
  <si>
    <t>3013992708846</t>
  </si>
  <si>
    <t>شضهرک اکباتان</t>
  </si>
  <si>
    <t>124</t>
  </si>
  <si>
    <t>144464</t>
  </si>
  <si>
    <t>591745</t>
  </si>
  <si>
    <t>3014446408846</t>
  </si>
  <si>
    <t>1392/02/10</t>
  </si>
  <si>
    <t>125</t>
  </si>
  <si>
    <t>144350</t>
  </si>
  <si>
    <t>شعبه ابوذرفلاح</t>
  </si>
  <si>
    <t>591747</t>
  </si>
  <si>
    <t>3014435008846</t>
  </si>
  <si>
    <t>3438641161</t>
  </si>
  <si>
    <t>شیراز جنوبی - نبش خ 68 شرقی - ساختمان شماره 8 موسسه مالی</t>
  </si>
  <si>
    <t>1392/02/14</t>
  </si>
  <si>
    <t>126</t>
  </si>
  <si>
    <t>144742</t>
  </si>
  <si>
    <t>591780</t>
  </si>
  <si>
    <t>3014474208844</t>
  </si>
  <si>
    <t>شهران ضلع شمال شرقی - فلکه اول شهران</t>
  </si>
  <si>
    <t>1392/06/19</t>
  </si>
  <si>
    <t>100040008</t>
  </si>
  <si>
    <t>منطقه 4 - تهران - شهید کاظمیان</t>
  </si>
  <si>
    <t>127</t>
  </si>
  <si>
    <t>139897</t>
  </si>
  <si>
    <t>591781</t>
  </si>
  <si>
    <t>3013989708843</t>
  </si>
  <si>
    <t>خ شیراز جنوبی نبش خ 68 شرقی ساختمان شماره 8 موسسه مالی و اعتباری عسکریه</t>
  </si>
  <si>
    <t>1392/02/17</t>
  </si>
  <si>
    <t>128</t>
  </si>
  <si>
    <t>139626</t>
  </si>
  <si>
    <t>شعبه جمالزاده شمالی</t>
  </si>
  <si>
    <t>591782</t>
  </si>
  <si>
    <t>3013962608847</t>
  </si>
  <si>
    <t>129</t>
  </si>
  <si>
    <t>139913</t>
  </si>
  <si>
    <t>591783</t>
  </si>
  <si>
    <t>3013991308844</t>
  </si>
  <si>
    <t>شیراز جنوبی- نبش خ 68 شرقی- ساختمان ش 8</t>
  </si>
  <si>
    <t>1392/02/02</t>
  </si>
  <si>
    <t>130</t>
  </si>
  <si>
    <t>144444</t>
  </si>
  <si>
    <t>شعبه قنات کوثر</t>
  </si>
  <si>
    <t>591784</t>
  </si>
  <si>
    <t>3014444408849</t>
  </si>
  <si>
    <t>131</t>
  </si>
  <si>
    <t>144508</t>
  </si>
  <si>
    <t>کوی نصر</t>
  </si>
  <si>
    <t>591785</t>
  </si>
  <si>
    <t>3014450808840</t>
  </si>
  <si>
    <t>کوی نصر - بین یکم و سوم - پ 14022</t>
  </si>
  <si>
    <t>1392/01/27</t>
  </si>
  <si>
    <t>132</t>
  </si>
  <si>
    <t>144312</t>
  </si>
  <si>
    <t>شعبه لواسان</t>
  </si>
  <si>
    <t>591788</t>
  </si>
  <si>
    <t>3014431208840</t>
  </si>
  <si>
    <t>133</t>
  </si>
  <si>
    <t>144241</t>
  </si>
  <si>
    <t>امام خمینی اسلامشهر</t>
  </si>
  <si>
    <t>591833</t>
  </si>
  <si>
    <t>3014424108849</t>
  </si>
  <si>
    <t>134</t>
  </si>
  <si>
    <t>139631</t>
  </si>
  <si>
    <t>591834</t>
  </si>
  <si>
    <t>3013963108848</t>
  </si>
  <si>
    <t>خ شیراز جنوبی (جنوب بزرگراه همت) نبش خ 68 شرقی س ش 8 موسسه اعتباری ملل معاونت فناوری اطلاعات</t>
  </si>
  <si>
    <t>135</t>
  </si>
  <si>
    <t>139701</t>
  </si>
  <si>
    <t>3013970108845</t>
  </si>
  <si>
    <t>6012641106</t>
  </si>
  <si>
    <t>تهرانپارس فلکه 3 - خ 196 شرقی پ 508</t>
  </si>
  <si>
    <t>136</t>
  </si>
  <si>
    <t>139907</t>
  </si>
  <si>
    <t>591837</t>
  </si>
  <si>
    <t>3013990708849</t>
  </si>
  <si>
    <t>137</t>
  </si>
  <si>
    <t>144266</t>
  </si>
  <si>
    <t>پیامبر اعظم</t>
  </si>
  <si>
    <t>591838</t>
  </si>
  <si>
    <t>3014426608849</t>
  </si>
  <si>
    <t>خ شیرازجنوبی نبش خ 68 شرقی س ش 8 موسسه مالی واعتباری عسکریه معاونت فناوری اطلاعا</t>
  </si>
  <si>
    <t>138</t>
  </si>
  <si>
    <t>144494</t>
  </si>
  <si>
    <t>شهیددادمان</t>
  </si>
  <si>
    <t>592082</t>
  </si>
  <si>
    <t>3014449408847</t>
  </si>
  <si>
    <t>1392/02/25</t>
  </si>
  <si>
    <t>139</t>
  </si>
  <si>
    <t>146338</t>
  </si>
  <si>
    <t>599492</t>
  </si>
  <si>
    <t>3014633808840</t>
  </si>
  <si>
    <t>شهران ضلع شمال شرقی فلکه اول</t>
  </si>
  <si>
    <t>140</t>
  </si>
  <si>
    <t>144637</t>
  </si>
  <si>
    <t>شعبه نازی آباد</t>
  </si>
  <si>
    <t>3014463708845</t>
  </si>
  <si>
    <t>تهران - نازی آباد - خیابان مدائن - نبش خیابان شهید بدلی گیوی - پلاک 29</t>
  </si>
  <si>
    <t>1815783135</t>
  </si>
  <si>
    <t>100050003</t>
  </si>
  <si>
    <t>منطقه 5 - تهران - بعثت</t>
  </si>
  <si>
    <t>141</t>
  </si>
  <si>
    <t>139632</t>
  </si>
  <si>
    <t>کامرانیه شمالی</t>
  </si>
  <si>
    <t>3013963208842</t>
  </si>
  <si>
    <t>1392/11/13</t>
  </si>
  <si>
    <t>142</t>
  </si>
  <si>
    <t>139635</t>
  </si>
  <si>
    <t>اشرفی اصفهانی</t>
  </si>
  <si>
    <t>602244</t>
  </si>
  <si>
    <t>3013963508846</t>
  </si>
  <si>
    <t>اشرفی اصفهانی - بعداز بل عرب حسینی -جنب بانک قرض الحسنه رسالت پ2</t>
  </si>
  <si>
    <t>1392/08/29</t>
  </si>
  <si>
    <t>143</t>
  </si>
  <si>
    <t>144958</t>
  </si>
  <si>
    <t>انصاری</t>
  </si>
  <si>
    <t>602367</t>
  </si>
  <si>
    <t>3014495808841</t>
  </si>
  <si>
    <t>خیابان شیرازجنوبی نبش خیابان 68 شرقی ساختمان شماره 8 معاونت فناوری اطلاعات</t>
  </si>
  <si>
    <t>1392/08/21</t>
  </si>
  <si>
    <t>144</t>
  </si>
  <si>
    <t>153614</t>
  </si>
  <si>
    <t>تهران مرزداران</t>
  </si>
  <si>
    <t>3015361408843</t>
  </si>
  <si>
    <t>2593841176</t>
  </si>
  <si>
    <t>145</t>
  </si>
  <si>
    <t>146549</t>
  </si>
  <si>
    <t>603885</t>
  </si>
  <si>
    <t>3014654908844</t>
  </si>
  <si>
    <t>خ اصف - بین حامد وسوداچی پ42</t>
  </si>
  <si>
    <t>1987875957</t>
  </si>
  <si>
    <t>1392/10/24</t>
  </si>
  <si>
    <t>146</t>
  </si>
  <si>
    <t>139633</t>
  </si>
  <si>
    <t>607126</t>
  </si>
  <si>
    <t>3013963308847</t>
  </si>
  <si>
    <t>147</t>
  </si>
  <si>
    <t>139638</t>
  </si>
  <si>
    <t>شعبه خ دولت - شاخص 518</t>
  </si>
  <si>
    <t>607133</t>
  </si>
  <si>
    <t>3013963808840</t>
  </si>
  <si>
    <t>1393/02/21</t>
  </si>
  <si>
    <t>148</t>
  </si>
  <si>
    <t>145247</t>
  </si>
  <si>
    <t>دکترفاطمی</t>
  </si>
  <si>
    <t>607134</t>
  </si>
  <si>
    <t>3014524708843</t>
  </si>
  <si>
    <t>1393/03/28</t>
  </si>
  <si>
    <t>149</t>
  </si>
  <si>
    <t>144694</t>
  </si>
  <si>
    <t>بلواردریا</t>
  </si>
  <si>
    <t>607254</t>
  </si>
  <si>
    <t>3014469408843</t>
  </si>
  <si>
    <t>150</t>
  </si>
  <si>
    <t>140458</t>
  </si>
  <si>
    <t>شعبه ستارخان-شاخص 431</t>
  </si>
  <si>
    <t>607095</t>
  </si>
  <si>
    <t>3014045808841</t>
  </si>
  <si>
    <t>خ ستارخان جنب بازار چه سنتی</t>
  </si>
  <si>
    <t>1392/12/26</t>
  </si>
  <si>
    <t>151</t>
  </si>
  <si>
    <t>140992</t>
  </si>
  <si>
    <t>607097</t>
  </si>
  <si>
    <t>3014099208840</t>
  </si>
  <si>
    <t>خ پیروزی بل ابوذر نبش ک هفتم غربی</t>
  </si>
  <si>
    <t>152</t>
  </si>
  <si>
    <t>145411</t>
  </si>
  <si>
    <t>شعبه کریمخان ش 83</t>
  </si>
  <si>
    <t>607098</t>
  </si>
  <si>
    <t>3014541108841</t>
  </si>
  <si>
    <t>1393/11/07</t>
  </si>
  <si>
    <t>153</t>
  </si>
  <si>
    <t>144791</t>
  </si>
  <si>
    <t>3014479108848</t>
  </si>
  <si>
    <t>کیانشهر خ شهید ابراهیمی نبش خ شهید قربان زاده</t>
  </si>
  <si>
    <t>154</t>
  </si>
  <si>
    <t>145031</t>
  </si>
  <si>
    <t>607108</t>
  </si>
  <si>
    <t>3014503108846</t>
  </si>
  <si>
    <t>پانزده خرداد غربی - نبش خ شیخ فضل ا000نوری</t>
  </si>
  <si>
    <t>155</t>
  </si>
  <si>
    <t>145455</t>
  </si>
  <si>
    <t>607110</t>
  </si>
  <si>
    <t>3014545508844</t>
  </si>
  <si>
    <t>خ شیراز  جنوبی - نبش خ 68 شرقی  ساختمان ش 8</t>
  </si>
  <si>
    <t>144798</t>
  </si>
  <si>
    <t>- شاخص 499</t>
  </si>
  <si>
    <t>607124</t>
  </si>
  <si>
    <t>3014479808840</t>
  </si>
  <si>
    <t>6012641102</t>
  </si>
  <si>
    <t>افسریه خ 15 متری دوم - نبش خ 24</t>
  </si>
  <si>
    <t>1436957164</t>
  </si>
  <si>
    <t>157</t>
  </si>
  <si>
    <t>139942</t>
  </si>
  <si>
    <t>3013994208840</t>
  </si>
  <si>
    <t>1393/02/16</t>
  </si>
  <si>
    <t>158</t>
  </si>
  <si>
    <t>144887</t>
  </si>
  <si>
    <t>607127</t>
  </si>
  <si>
    <t>3014488708840</t>
  </si>
  <si>
    <t>خیابان شیراز جنوبی نبش خیابان 68 شرقی ساختمان شماره 8 معاونت فناوری اطلاعات</t>
  </si>
  <si>
    <t>159</t>
  </si>
  <si>
    <t>139933</t>
  </si>
  <si>
    <t>607130</t>
  </si>
  <si>
    <t>3013993308841</t>
  </si>
  <si>
    <t>خ  شیراز جنوبی  نبش 68 شرقی  ساختمان ش8 موسسه مالی واعتباری</t>
  </si>
  <si>
    <t>160</t>
  </si>
  <si>
    <t>144772</t>
  </si>
  <si>
    <t>اقدسیه - 517</t>
  </si>
  <si>
    <t>607132</t>
  </si>
  <si>
    <t>3014477208845</t>
  </si>
  <si>
    <t>1393/01/20</t>
  </si>
  <si>
    <t>161</t>
  </si>
  <si>
    <t>139979</t>
  </si>
  <si>
    <t>610553</t>
  </si>
  <si>
    <t>3013997908843</t>
  </si>
  <si>
    <t>تقاطع پارک وی جنب بانک ملی پ2688</t>
  </si>
  <si>
    <t>1393/04/17</t>
  </si>
  <si>
    <t>162</t>
  </si>
  <si>
    <t>139123</t>
  </si>
  <si>
    <t>613666</t>
  </si>
  <si>
    <t>3013912308842</t>
  </si>
  <si>
    <t>خ امام خمینی-شماره-186 ساختمان شماره5</t>
  </si>
  <si>
    <t>6841778887</t>
  </si>
  <si>
    <t>1393/06/15</t>
  </si>
  <si>
    <t>163</t>
  </si>
  <si>
    <t>145422</t>
  </si>
  <si>
    <t>جمهوری- شاخص 375</t>
  </si>
  <si>
    <t>622911</t>
  </si>
  <si>
    <t>3014542208840</t>
  </si>
  <si>
    <t>1393/11/26</t>
  </si>
  <si>
    <t>164</t>
  </si>
  <si>
    <t>138915</t>
  </si>
  <si>
    <t>خودپرداز سرای محله شهرداری ابوذر</t>
  </si>
  <si>
    <t>10152352</t>
  </si>
  <si>
    <t>950110152352</t>
  </si>
  <si>
    <t>3013891508846</t>
  </si>
  <si>
    <t>464041143</t>
  </si>
  <si>
    <t>1395/08/23</t>
  </si>
  <si>
    <t>1404/10/29</t>
  </si>
  <si>
    <t>100030007</t>
  </si>
  <si>
    <t>منطقه 3 - تهران - شهید اشرفی اصفهانی</t>
  </si>
  <si>
    <t>165</t>
  </si>
  <si>
    <t>148060</t>
  </si>
  <si>
    <t>OPG</t>
  </si>
  <si>
    <t>10083965</t>
  </si>
  <si>
    <t>950110083965</t>
  </si>
  <si>
    <t>3014806008844</t>
  </si>
  <si>
    <t>464141102</t>
  </si>
  <si>
    <t>1396/03/09</t>
  </si>
  <si>
    <t>166</t>
  </si>
  <si>
    <t>138960</t>
  </si>
  <si>
    <t>مجتمع مسکونی یاس</t>
  </si>
  <si>
    <t>10133567</t>
  </si>
  <si>
    <t>950110133567</t>
  </si>
  <si>
    <t>3013896008841</t>
  </si>
  <si>
    <t>464141109</t>
  </si>
  <si>
    <t>167</t>
  </si>
  <si>
    <t>148368</t>
  </si>
  <si>
    <t>موسسه پژوهشی علوم و فناوری رنگ و پوشش</t>
  </si>
  <si>
    <t>10262443</t>
  </si>
  <si>
    <t>3014836808845</t>
  </si>
  <si>
    <t>1395/11/27</t>
  </si>
  <si>
    <t>168</t>
  </si>
  <si>
    <t>148369</t>
  </si>
  <si>
    <t>سرای محله شریف</t>
  </si>
  <si>
    <t>10443342</t>
  </si>
  <si>
    <t>3014836908840</t>
  </si>
  <si>
    <t>1396/05/17</t>
  </si>
  <si>
    <t>169</t>
  </si>
  <si>
    <t>138952</t>
  </si>
  <si>
    <t>ساختمان پزشکان 241 فرمانیه</t>
  </si>
  <si>
    <t>10590303</t>
  </si>
  <si>
    <t>950110590303</t>
  </si>
  <si>
    <t>3013895208847</t>
  </si>
  <si>
    <t>480641169</t>
  </si>
  <si>
    <t>1404/10/30</t>
  </si>
  <si>
    <t>170</t>
  </si>
  <si>
    <t>148077</t>
  </si>
  <si>
    <t>برج های ابی 1و2</t>
  </si>
  <si>
    <t>10594790</t>
  </si>
  <si>
    <t>3014807708840</t>
  </si>
  <si>
    <t>1396/04/03</t>
  </si>
  <si>
    <t>171</t>
  </si>
  <si>
    <t>148052</t>
  </si>
  <si>
    <t>خواربار فروشی</t>
  </si>
  <si>
    <t>10594899</t>
  </si>
  <si>
    <t>3014805208840</t>
  </si>
  <si>
    <t>1396/02/20</t>
  </si>
  <si>
    <t>172</t>
  </si>
  <si>
    <t>138963</t>
  </si>
  <si>
    <t>گروه فنی مهندسی کبیری</t>
  </si>
  <si>
    <t>10625482</t>
  </si>
  <si>
    <t>950110625482</t>
  </si>
  <si>
    <t>3013896308845</t>
  </si>
  <si>
    <t>191441195</t>
  </si>
  <si>
    <t>1396/01/20</t>
  </si>
  <si>
    <t>100050008</t>
  </si>
  <si>
    <t>منطقه 5 - تهران - شهید خوشقدم</t>
  </si>
  <si>
    <t>173</t>
  </si>
  <si>
    <t>147976</t>
  </si>
  <si>
    <t>فرودگاه -ترمینال 4</t>
  </si>
  <si>
    <t>10687223</t>
  </si>
  <si>
    <t>950110687223</t>
  </si>
  <si>
    <t>3014797608841</t>
  </si>
  <si>
    <t>1395/11/18</t>
  </si>
  <si>
    <t>174</t>
  </si>
  <si>
    <t>148287</t>
  </si>
  <si>
    <t>خوشکبار</t>
  </si>
  <si>
    <t>11345153</t>
  </si>
  <si>
    <t>960111345153</t>
  </si>
  <si>
    <t>3014828708840</t>
  </si>
  <si>
    <t>175</t>
  </si>
  <si>
    <t>138970</t>
  </si>
  <si>
    <t>مرکز تجاری اداری کاوه</t>
  </si>
  <si>
    <t>11588639</t>
  </si>
  <si>
    <t>960111588639</t>
  </si>
  <si>
    <t>3013897008845</t>
  </si>
  <si>
    <t>447541189</t>
  </si>
  <si>
    <t>1404/10/28</t>
  </si>
  <si>
    <t>100060005</t>
  </si>
  <si>
    <t>منطقه 6 - تهران - دانشگاه</t>
  </si>
  <si>
    <t>176</t>
  </si>
  <si>
    <t>148404</t>
  </si>
  <si>
    <t>شرکت گرایش پارس</t>
  </si>
  <si>
    <t>12295304</t>
  </si>
  <si>
    <t>960112295304</t>
  </si>
  <si>
    <t>3014840408843</t>
  </si>
  <si>
    <t>1396/07/19</t>
  </si>
  <si>
    <t>177</t>
  </si>
  <si>
    <t>142788</t>
  </si>
  <si>
    <t>آموزشگاه رانندگی نصر</t>
  </si>
  <si>
    <t>12675903</t>
  </si>
  <si>
    <t>960112675903</t>
  </si>
  <si>
    <t>3014278808841</t>
  </si>
  <si>
    <t>779241167</t>
  </si>
  <si>
    <t>1396/10/06</t>
  </si>
  <si>
    <t>1404/11/04</t>
  </si>
  <si>
    <t>100060259</t>
  </si>
  <si>
    <t>منطقه 6 - ملارد - دکترحسابی(مارلیک)</t>
  </si>
  <si>
    <t>178</t>
  </si>
  <si>
    <t>138976</t>
  </si>
  <si>
    <t>خودپرداز نقدی</t>
  </si>
  <si>
    <t>13002176</t>
  </si>
  <si>
    <t>3013897608842</t>
  </si>
  <si>
    <t>100060014</t>
  </si>
  <si>
    <t>منطقه 6 - تهران - شهید محسنیان</t>
  </si>
  <si>
    <t>179</t>
  </si>
  <si>
    <t>137253</t>
  </si>
  <si>
    <t>شرکت ارتباطات سیار ایران</t>
  </si>
  <si>
    <t>13423866</t>
  </si>
  <si>
    <t>3013725308847</t>
  </si>
  <si>
    <t>2587241199</t>
  </si>
  <si>
    <t>1396/12/14</t>
  </si>
  <si>
    <t>180</t>
  </si>
  <si>
    <t>149287</t>
  </si>
  <si>
    <t>ابزار فروشی</t>
  </si>
  <si>
    <t>13454667</t>
  </si>
  <si>
    <t>960113454667</t>
  </si>
  <si>
    <t>3014928708847</t>
  </si>
  <si>
    <t>464141100</t>
  </si>
  <si>
    <t>خ شیراز جنوبی(جنوب بزرگراه همت).نبش خ 68 شرقی.س ش 7 موسسه اعتباری  ملل معاونت فناوری اطلاعات</t>
  </si>
  <si>
    <t>1397/02/08</t>
  </si>
  <si>
    <t>181</t>
  </si>
  <si>
    <t>148827</t>
  </si>
  <si>
    <t>برج دانش</t>
  </si>
  <si>
    <t>14128437</t>
  </si>
  <si>
    <t>3014882708847</t>
  </si>
  <si>
    <t>191441190</t>
  </si>
  <si>
    <t>1397/03/27</t>
  </si>
  <si>
    <t>100040010</t>
  </si>
  <si>
    <t>منطقه 4 - تهران - شهید زارعی</t>
  </si>
  <si>
    <t>182</t>
  </si>
  <si>
    <t>235947</t>
  </si>
  <si>
    <t>شاخص 558</t>
  </si>
  <si>
    <t>14219680</t>
  </si>
  <si>
    <t>3023594708840</t>
  </si>
  <si>
    <t>خ شیراز جنوبی جنوب بزرگراه همت نبش کوچه رضوان س ش 7 موسسه اعتباری  ملل معاونت فناوری اطلاعات</t>
  </si>
  <si>
    <t>1403/11/08</t>
  </si>
  <si>
    <t>100040015</t>
  </si>
  <si>
    <t>منطقه 4 - تهران - شهید حق شناس</t>
  </si>
  <si>
    <t>183</t>
  </si>
  <si>
    <t>147791</t>
  </si>
  <si>
    <t>شعبه شهرک دیباجی</t>
  </si>
  <si>
    <t>14252848</t>
  </si>
  <si>
    <t>3014779108840</t>
  </si>
  <si>
    <t>1397/06/07</t>
  </si>
  <si>
    <t>184</t>
  </si>
  <si>
    <t>140008</t>
  </si>
  <si>
    <t>14273367</t>
  </si>
  <si>
    <t>970114273367</t>
  </si>
  <si>
    <t>300 مگابیت</t>
  </si>
  <si>
    <t>3014000808840</t>
  </si>
  <si>
    <t>87190541117</t>
  </si>
  <si>
    <t>1397/04/27</t>
  </si>
  <si>
    <t>185</t>
  </si>
  <si>
    <t>149156</t>
  </si>
  <si>
    <t>14248949</t>
  </si>
  <si>
    <t>3014915608843</t>
  </si>
  <si>
    <t>2593841171</t>
  </si>
  <si>
    <t>1397/05/20</t>
  </si>
  <si>
    <t>186</t>
  </si>
  <si>
    <t>138746</t>
  </si>
  <si>
    <t>شبکه دولت</t>
  </si>
  <si>
    <t>14348917</t>
  </si>
  <si>
    <t>970114348917</t>
  </si>
  <si>
    <t>3013874608845</t>
  </si>
  <si>
    <t>739241112</t>
  </si>
  <si>
    <t>187</t>
  </si>
  <si>
    <t>142004</t>
  </si>
  <si>
    <t>14322924</t>
  </si>
  <si>
    <t>20 مگابیت</t>
  </si>
  <si>
    <t>3014200408847</t>
  </si>
  <si>
    <t>17160041193</t>
  </si>
  <si>
    <t>1397/05/17</t>
  </si>
  <si>
    <t>188</t>
  </si>
  <si>
    <t>149293</t>
  </si>
  <si>
    <t>ارتباط سازمان فناوری اطلاعات</t>
  </si>
  <si>
    <t>14404400</t>
  </si>
  <si>
    <t>970114404400</t>
  </si>
  <si>
    <t>3014929308842</t>
  </si>
  <si>
    <t>739241114</t>
  </si>
  <si>
    <t>1397/07/08</t>
  </si>
  <si>
    <t>189</t>
  </si>
  <si>
    <t>138983</t>
  </si>
  <si>
    <t>املاک آتیه سهیل</t>
  </si>
  <si>
    <t>14458780</t>
  </si>
  <si>
    <t>970114458780</t>
  </si>
  <si>
    <t>3013898308842</t>
  </si>
  <si>
    <t>191441199</t>
  </si>
  <si>
    <t>1397/07/14</t>
  </si>
  <si>
    <t>190</t>
  </si>
  <si>
    <t>140374</t>
  </si>
  <si>
    <t>شعبه شهید پایدارفرد</t>
  </si>
  <si>
    <t>14608811</t>
  </si>
  <si>
    <t>3014037408842</t>
  </si>
  <si>
    <t>خ شیراز جنوبی(جنوب بزرگراه همت) - نبش کوچه رضوان - ساختمان شماره 7 - معاونت فناوری اطلاعات موسسه اع</t>
  </si>
  <si>
    <t>1397/08/15</t>
  </si>
  <si>
    <t>191</t>
  </si>
  <si>
    <t>148006</t>
  </si>
  <si>
    <t>امیرآباد</t>
  </si>
  <si>
    <t>14611120</t>
  </si>
  <si>
    <t>3014800608840</t>
  </si>
  <si>
    <t>1397/09/18</t>
  </si>
  <si>
    <t>192</t>
  </si>
  <si>
    <t>139155</t>
  </si>
  <si>
    <t>ش امیر آباد</t>
  </si>
  <si>
    <t>14611423</t>
  </si>
  <si>
    <t>3013915508842</t>
  </si>
  <si>
    <t>1397/09/20</t>
  </si>
  <si>
    <t>193</t>
  </si>
  <si>
    <t>139134</t>
  </si>
  <si>
    <t>ش شهید پایدارفرد</t>
  </si>
  <si>
    <t>14611355</t>
  </si>
  <si>
    <t>3013913408840</t>
  </si>
  <si>
    <t>1397/08/14</t>
  </si>
  <si>
    <t>194</t>
  </si>
  <si>
    <t>148836</t>
  </si>
  <si>
    <t>کارواش ظفر</t>
  </si>
  <si>
    <t>14834183</t>
  </si>
  <si>
    <t>970114834183</t>
  </si>
  <si>
    <t>3014883608846</t>
  </si>
  <si>
    <t>546941132</t>
  </si>
  <si>
    <t>1397/10/01</t>
  </si>
  <si>
    <t>195</t>
  </si>
  <si>
    <t>148830</t>
  </si>
  <si>
    <t>14839243</t>
  </si>
  <si>
    <t>100 مگابیت</t>
  </si>
  <si>
    <t>3014883008849</t>
  </si>
  <si>
    <t>35447041167</t>
  </si>
  <si>
    <t>پایین بزرگراه همت - خ شیراز جنوبی - ک رضوان - معاونت فناوری اطلاعات موسسه اعتباری ملل</t>
  </si>
  <si>
    <t>1397/09/26</t>
  </si>
  <si>
    <t>196</t>
  </si>
  <si>
    <t>143844</t>
  </si>
  <si>
    <t>14897718</t>
  </si>
  <si>
    <t>3014384408844</t>
  </si>
  <si>
    <t>5657241188</t>
  </si>
  <si>
    <t>خ شیراز جنوبی(جنوب بزرگراه همت).نبش ک رضوان - ساختمان شماره 7 موسسه اعتباری ملل</t>
  </si>
  <si>
    <t>197</t>
  </si>
  <si>
    <t>148888</t>
  </si>
  <si>
    <t>برج نیایش 1</t>
  </si>
  <si>
    <t>14901712</t>
  </si>
  <si>
    <t>3014888808843</t>
  </si>
  <si>
    <t>1397/10/10</t>
  </si>
  <si>
    <t>198</t>
  </si>
  <si>
    <t>147859</t>
  </si>
  <si>
    <t>14914195</t>
  </si>
  <si>
    <t>3014785908840</t>
  </si>
  <si>
    <t>13585041122</t>
  </si>
  <si>
    <t>1397/12/08</t>
  </si>
  <si>
    <t>199</t>
  </si>
  <si>
    <t>141025</t>
  </si>
  <si>
    <t>شعبه شهریار</t>
  </si>
  <si>
    <t>14926706</t>
  </si>
  <si>
    <t>3014102508841</t>
  </si>
  <si>
    <t>1398/06/02</t>
  </si>
  <si>
    <t>100060101</t>
  </si>
  <si>
    <t>منطقه 6 - شهریار - بکه</t>
  </si>
  <si>
    <t>200</t>
  </si>
  <si>
    <t>141560</t>
  </si>
  <si>
    <t>14926807</t>
  </si>
  <si>
    <t>3014156008844</t>
  </si>
  <si>
    <t>1062641122</t>
  </si>
  <si>
    <t>تهران - پایین تر از بزرگراه شهید همت - خیابان شیراز جنوی - نبش کوچه رضوان - ساختمان شماره 7 اداره کل فناوری اطلاعات  موسسه اعتباری  ملل</t>
  </si>
  <si>
    <t>1398/06/26</t>
  </si>
  <si>
    <t>201</t>
  </si>
  <si>
    <t>149442</t>
  </si>
  <si>
    <t>پاساژ رسالت</t>
  </si>
  <si>
    <t>14924644</t>
  </si>
  <si>
    <t>3014944208846</t>
  </si>
  <si>
    <t>1398/04/15</t>
  </si>
  <si>
    <t>202</t>
  </si>
  <si>
    <t>142509</t>
  </si>
  <si>
    <t>شعبه میدان کاج</t>
  </si>
  <si>
    <t>14928464</t>
  </si>
  <si>
    <t>3014250908840</t>
  </si>
  <si>
    <t>1398/06/06</t>
  </si>
  <si>
    <t>203</t>
  </si>
  <si>
    <t>141027</t>
  </si>
  <si>
    <t>14928609</t>
  </si>
  <si>
    <t>3014102708840</t>
  </si>
  <si>
    <t>1398/06/24</t>
  </si>
  <si>
    <t>204</t>
  </si>
  <si>
    <t>137557</t>
  </si>
  <si>
    <t>دو نقطه ای - مبدا</t>
  </si>
  <si>
    <t>14936411</t>
  </si>
  <si>
    <t>3013755708840</t>
  </si>
  <si>
    <t>2587241190</t>
  </si>
  <si>
    <t>پایین بزرگراه شهید همت  - خ شیراز جنوبی نبش کوچه رضوان - ساختمان شماره 7 اداره کل  فناوری اطلاعاتموسسه اعتباری  ملل</t>
  </si>
  <si>
    <t>1398/11/20</t>
  </si>
  <si>
    <t>205</t>
  </si>
  <si>
    <t>137422</t>
  </si>
  <si>
    <t>دو نقطه ای - مقصد - شرکت آتیه داده پرداز</t>
  </si>
  <si>
    <t>14936412</t>
  </si>
  <si>
    <t>980114936412</t>
  </si>
  <si>
    <t>3013742208848</t>
  </si>
  <si>
    <t>پایین بزرگراه شهید همت  - خ شیراز جنوبی نبش کوچه رضوان - ساختمان شماره 7 اداره کل  فناوری اطلاعات</t>
  </si>
  <si>
    <t>1398/11/28</t>
  </si>
  <si>
    <t>206</t>
  </si>
  <si>
    <t>140678</t>
  </si>
  <si>
    <t>ساختمان مرکزی موسسه ملل</t>
  </si>
  <si>
    <t>14949561</t>
  </si>
  <si>
    <t>3014067808845</t>
  </si>
  <si>
    <t>1400/01/30</t>
  </si>
  <si>
    <t>100080001</t>
  </si>
  <si>
    <t>منطقه 8 - تهران - شهدای هفت تیر</t>
  </si>
  <si>
    <t>207</t>
  </si>
  <si>
    <t>149958</t>
  </si>
  <si>
    <t>14952673</t>
  </si>
  <si>
    <t>3014995808848</t>
  </si>
  <si>
    <t>9659141100</t>
  </si>
  <si>
    <t>1400/01/24</t>
  </si>
  <si>
    <t>208</t>
  </si>
  <si>
    <t>149959</t>
  </si>
  <si>
    <t>14954905</t>
  </si>
  <si>
    <t>990114954905</t>
  </si>
  <si>
    <t>3014995908842</t>
  </si>
  <si>
    <t>13585041121</t>
  </si>
  <si>
    <t>1400/01/21</t>
  </si>
  <si>
    <t>209</t>
  </si>
  <si>
    <t>176109</t>
  </si>
  <si>
    <t>ارتباط با سازمان فناوری اطلاعات</t>
  </si>
  <si>
    <t>14982635</t>
  </si>
  <si>
    <t>3017610908846</t>
  </si>
  <si>
    <t>739241118</t>
  </si>
  <si>
    <t>تهران - خیابان شیراز جنوبی - نبش رضوان - پلاک 7</t>
  </si>
  <si>
    <t>1436954361</t>
  </si>
  <si>
    <t>1401/07/19</t>
  </si>
  <si>
    <t>210</t>
  </si>
  <si>
    <t>258018</t>
  </si>
  <si>
    <t>ساختمان شماره 2 اداره فناوری و اطلاعات ملل</t>
  </si>
  <si>
    <t>14991507</t>
  </si>
  <si>
    <t>3025801808844</t>
  </si>
  <si>
    <t>11060041177</t>
  </si>
  <si>
    <t>خ شیراز جنوبی جنوب بزرگراه همت نبش خ 68 شرقی س ش 8 موسسه اعتباری  ملل معاونت فناوری اطلاعات</t>
  </si>
  <si>
    <t>212716</t>
  </si>
  <si>
    <t>مبدا ارتباط دو نقطه ای با بورس کالای ایران</t>
  </si>
  <si>
    <t>14993564</t>
  </si>
  <si>
    <t>4020114993564</t>
  </si>
  <si>
    <t>3021271608843</t>
  </si>
  <si>
    <t>خ شیراز جنوبی جنوب بزرگراه همت نبش خ 68 شرقی س ش 8 موسسه اعتباری ملل معاونت فناوری اطلاعات</t>
  </si>
  <si>
    <t>1402/03/23</t>
  </si>
  <si>
    <t>212</t>
  </si>
  <si>
    <t>212309</t>
  </si>
  <si>
    <t>مقصد ارتباط دو نقطه ای با بورس کالای ایران</t>
  </si>
  <si>
    <t>14993565</t>
  </si>
  <si>
    <t>4020114993565</t>
  </si>
  <si>
    <t>3021230908840</t>
  </si>
  <si>
    <t>213</t>
  </si>
  <si>
    <t>212753</t>
  </si>
  <si>
    <t>مبدا ارتباط دو نقطه ای با رهیاب</t>
  </si>
  <si>
    <t>14996065</t>
  </si>
  <si>
    <t>4020114996065</t>
  </si>
  <si>
    <t>3021275308844</t>
  </si>
  <si>
    <t>1386041100</t>
  </si>
  <si>
    <t>خ شیراز جنوبی جنوب بزرگراه همت نبش خ 68 شرقی ساختمان ش 8</t>
  </si>
  <si>
    <t>1402/05/04</t>
  </si>
  <si>
    <t>214032</t>
  </si>
  <si>
    <t>مقصد ارتباط دو نقطه ای با رهیاب</t>
  </si>
  <si>
    <t>14996066</t>
  </si>
  <si>
    <t>4020114996066</t>
  </si>
  <si>
    <t>3021403208840</t>
  </si>
  <si>
    <t>4158041139</t>
  </si>
  <si>
    <t>خیابان شیراز جنوبی جنوب بزرگراه همت نبش خیابان 68 شرقی ساختمان ش 8</t>
  </si>
  <si>
    <t>1402/05/23</t>
  </si>
  <si>
    <t>215048</t>
  </si>
  <si>
    <t>آشپزخانه ملل</t>
  </si>
  <si>
    <t>15000508</t>
  </si>
  <si>
    <t>4020115000508</t>
  </si>
  <si>
    <t>3021504808848</t>
  </si>
  <si>
    <t>1402/08/14</t>
  </si>
  <si>
    <t>216</t>
  </si>
  <si>
    <t>227176</t>
  </si>
  <si>
    <t>خودپردازکارواش مهران</t>
  </si>
  <si>
    <t>15006505</t>
  </si>
  <si>
    <t>3022717608849</t>
  </si>
  <si>
    <t>نبش خ 68 شرقی س ش 8 موسسه اعتباری  ملل معاونت فناوری اطلاعات</t>
  </si>
  <si>
    <t>1402/09/28</t>
  </si>
  <si>
    <t>217</t>
  </si>
  <si>
    <t>232432</t>
  </si>
  <si>
    <t>مبدا ارتباط با شرکت الکترونیک کارت دماوند</t>
  </si>
  <si>
    <t>15022334</t>
  </si>
  <si>
    <t>4030115022334</t>
  </si>
  <si>
    <t>3023243208840</t>
  </si>
  <si>
    <t>4158041136</t>
  </si>
  <si>
    <t>تهران  خیابان شیراز جنوبی جنوب بزرگراه همت پایین تر از اتوبان همت نبش خ رضوان ساختمان شماره 6</t>
  </si>
  <si>
    <t>1403/07/11</t>
  </si>
  <si>
    <t>218</t>
  </si>
  <si>
    <t>232620</t>
  </si>
  <si>
    <t>مقصد ارتباط با شرکت الکترونیک کارت دماوند</t>
  </si>
  <si>
    <t>15022337</t>
  </si>
  <si>
    <t>4030115022337</t>
  </si>
  <si>
    <t>3023262008844</t>
  </si>
  <si>
    <t>1403/07/22</t>
  </si>
  <si>
    <t>219</t>
  </si>
  <si>
    <t>140009</t>
  </si>
  <si>
    <t>623390-بلوار فردوس</t>
  </si>
  <si>
    <t>15444393</t>
  </si>
  <si>
    <t>93015444393</t>
  </si>
  <si>
    <t>3014000908845</t>
  </si>
  <si>
    <t>1393/12/05</t>
  </si>
  <si>
    <t>220</t>
  </si>
  <si>
    <t>136771</t>
  </si>
  <si>
    <t>موسسه اعتباری عسکریه- شعبه قائم مقام</t>
  </si>
  <si>
    <t>16298003</t>
  </si>
  <si>
    <t>94016298003</t>
  </si>
  <si>
    <t>3013677108849</t>
  </si>
  <si>
    <t>147109</t>
  </si>
  <si>
    <t>موسسه اعتباری عسکریه - شعبه تجریش شاخص 534</t>
  </si>
  <si>
    <t>16795399</t>
  </si>
  <si>
    <t>94016795399</t>
  </si>
  <si>
    <t>3014710908844</t>
  </si>
  <si>
    <t>1394/05/26</t>
  </si>
  <si>
    <t>100020005</t>
  </si>
  <si>
    <t>منطقه 2 - تهران - شهید دستغیب</t>
  </si>
  <si>
    <t>140024</t>
  </si>
  <si>
    <t>م تجریش</t>
  </si>
  <si>
    <t>16669534</t>
  </si>
  <si>
    <t>94016669534</t>
  </si>
  <si>
    <t>3014002408840</t>
  </si>
  <si>
    <t>1394/05/18</t>
  </si>
  <si>
    <t>223</t>
  </si>
  <si>
    <t>138875</t>
  </si>
  <si>
    <t>شعبه امیر کبیر</t>
  </si>
  <si>
    <t>17305365</t>
  </si>
  <si>
    <t>94017305365</t>
  </si>
  <si>
    <t>3013887508840</t>
  </si>
  <si>
    <t>1394/08/26</t>
  </si>
  <si>
    <t>138667</t>
  </si>
  <si>
    <t>شعبه GSS</t>
  </si>
  <si>
    <t>17687987</t>
  </si>
  <si>
    <t>3013866708849</t>
  </si>
  <si>
    <t>138673</t>
  </si>
  <si>
    <t>خ میرعماد</t>
  </si>
  <si>
    <t>18087551</t>
  </si>
  <si>
    <t>94018087551</t>
  </si>
  <si>
    <t>3013867308844</t>
  </si>
  <si>
    <t>1394/12/01</t>
  </si>
  <si>
    <t>226</t>
  </si>
  <si>
    <t>147575</t>
  </si>
  <si>
    <t>شعبه مجتمع مسکونی ستارخان</t>
  </si>
  <si>
    <t>19179429</t>
  </si>
  <si>
    <t>95019179429</t>
  </si>
  <si>
    <t>3014757508844</t>
  </si>
  <si>
    <t>227</t>
  </si>
  <si>
    <t>146684</t>
  </si>
  <si>
    <t>خودپرداز امور مالیاتی ورامین</t>
  </si>
  <si>
    <t>19770825</t>
  </si>
  <si>
    <t>95019770825</t>
  </si>
  <si>
    <t>3014668408844</t>
  </si>
  <si>
    <t>661241181</t>
  </si>
  <si>
    <t>1395/06/24</t>
  </si>
  <si>
    <t>147817</t>
  </si>
  <si>
    <t>شرکت مات کیش</t>
  </si>
  <si>
    <t>19777982</t>
  </si>
  <si>
    <t>95019777982</t>
  </si>
  <si>
    <t>3014781708846</t>
  </si>
  <si>
    <t>1395/07/26</t>
  </si>
  <si>
    <t>229</t>
  </si>
  <si>
    <t>147830</t>
  </si>
  <si>
    <t>نمایندگی کولر گازی LG</t>
  </si>
  <si>
    <t>19786070</t>
  </si>
  <si>
    <t>95019786070</t>
  </si>
  <si>
    <t>3014783008841</t>
  </si>
  <si>
    <t>1395/07/14</t>
  </si>
  <si>
    <t>148093</t>
  </si>
  <si>
    <t>تالار قصر محمد</t>
  </si>
  <si>
    <t>19789885</t>
  </si>
  <si>
    <t>95019789885</t>
  </si>
  <si>
    <t>3014809308849</t>
  </si>
  <si>
    <t>1395/10/29</t>
  </si>
  <si>
    <t>146634</t>
  </si>
  <si>
    <t>استراتوس N8</t>
  </si>
  <si>
    <t>19812328</t>
  </si>
  <si>
    <t>95019812328</t>
  </si>
  <si>
    <t>3014663408846</t>
  </si>
  <si>
    <t>1395/10/25</t>
  </si>
  <si>
    <t>100050107</t>
  </si>
  <si>
    <t>منطقه 5 - اسلامشهر - شهید رجائی ( واوان)</t>
  </si>
  <si>
    <t>232</t>
  </si>
  <si>
    <t>146801</t>
  </si>
  <si>
    <t>مجتمع استراتوس</t>
  </si>
  <si>
    <t>19773661</t>
  </si>
  <si>
    <t>95019773661</t>
  </si>
  <si>
    <t>3014680108848</t>
  </si>
  <si>
    <t>233</t>
  </si>
  <si>
    <t>142787</t>
  </si>
  <si>
    <t>مجتمع استراتوس بلوک N4</t>
  </si>
  <si>
    <t>19813811</t>
  </si>
  <si>
    <t>95019813811</t>
  </si>
  <si>
    <t>3014278708847</t>
  </si>
  <si>
    <t>684841117</t>
  </si>
  <si>
    <t>1395/08/24</t>
  </si>
  <si>
    <t>234</t>
  </si>
  <si>
    <t>147716</t>
  </si>
  <si>
    <t>خودپرداز مجتمع شمشاد</t>
  </si>
  <si>
    <t>19824830</t>
  </si>
  <si>
    <t>95019824830</t>
  </si>
  <si>
    <t>3014771608843</t>
  </si>
  <si>
    <t>138968</t>
  </si>
  <si>
    <t>خودپرداز مجتمع مسکونی  190 واحدی نگین  ولیعصر</t>
  </si>
  <si>
    <t>19825192</t>
  </si>
  <si>
    <t>3013896808848</t>
  </si>
  <si>
    <t>1396/10/02</t>
  </si>
  <si>
    <t>236</t>
  </si>
  <si>
    <t>138905</t>
  </si>
  <si>
    <t>مجتمع مسکونی لادن</t>
  </si>
  <si>
    <t>19826135</t>
  </si>
  <si>
    <t>95019826135</t>
  </si>
  <si>
    <t>3013890508842</t>
  </si>
  <si>
    <t>237</t>
  </si>
  <si>
    <t>146566</t>
  </si>
  <si>
    <t>خدمات الکترونیک قصر فیروزه</t>
  </si>
  <si>
    <t>19878168</t>
  </si>
  <si>
    <t>3014656608848</t>
  </si>
  <si>
    <t>1395/08/15</t>
  </si>
  <si>
    <t>238</t>
  </si>
  <si>
    <t>147386</t>
  </si>
  <si>
    <t>فشم رستوران دهکده</t>
  </si>
  <si>
    <t>19878213</t>
  </si>
  <si>
    <t>95019878213</t>
  </si>
  <si>
    <t>3014738608846</t>
  </si>
  <si>
    <t>873641193</t>
  </si>
  <si>
    <t>1404/11/08</t>
  </si>
  <si>
    <t>147970</t>
  </si>
  <si>
    <t>فروشگاه پارس</t>
  </si>
  <si>
    <t>19878233</t>
  </si>
  <si>
    <t>3014797008844</t>
  </si>
  <si>
    <t>1395/09/21</t>
  </si>
  <si>
    <t>147880</t>
  </si>
  <si>
    <t>خودپرداز برج تجاری گردون</t>
  </si>
  <si>
    <t>19878265</t>
  </si>
  <si>
    <t>95019878265</t>
  </si>
  <si>
    <t>3014788008840</t>
  </si>
  <si>
    <t>546941138</t>
  </si>
  <si>
    <t>1395/10/18</t>
  </si>
  <si>
    <t>100060011</t>
  </si>
  <si>
    <t>منطقه 6 - تهران - مالک اشتر</t>
  </si>
  <si>
    <t>241</t>
  </si>
  <si>
    <t>138922</t>
  </si>
  <si>
    <t>درمانگاه گلستان غرب</t>
  </si>
  <si>
    <t>19878273</t>
  </si>
  <si>
    <t>95019878273</t>
  </si>
  <si>
    <t>3013892208846</t>
  </si>
  <si>
    <t>1395/07/12</t>
  </si>
  <si>
    <t>242</t>
  </si>
  <si>
    <t>138940</t>
  </si>
  <si>
    <t>مجتمع مسکونی انارستان</t>
  </si>
  <si>
    <t>19878835</t>
  </si>
  <si>
    <t>95019878835</t>
  </si>
  <si>
    <t>3013894008844</t>
  </si>
  <si>
    <t>464141105</t>
  </si>
  <si>
    <t>1395/10/01</t>
  </si>
  <si>
    <t>243</t>
  </si>
  <si>
    <t>147784</t>
  </si>
  <si>
    <t>مجتمع مسکونی وزارت خارجه بهاران</t>
  </si>
  <si>
    <t>19879770</t>
  </si>
  <si>
    <t>95019879770</t>
  </si>
  <si>
    <t>3014778408840</t>
  </si>
  <si>
    <t>1395/08/02</t>
  </si>
  <si>
    <t>244</t>
  </si>
  <si>
    <t>139671</t>
  </si>
  <si>
    <t>مجتمع مسکونی صدا و سیما</t>
  </si>
  <si>
    <t>19880213</t>
  </si>
  <si>
    <t>95019880213</t>
  </si>
  <si>
    <t>3013967108842</t>
  </si>
  <si>
    <t>464041145</t>
  </si>
  <si>
    <t>142507</t>
  </si>
  <si>
    <t>شرکت تعاونی مصرف فشم (آرش)</t>
  </si>
  <si>
    <t>19888820</t>
  </si>
  <si>
    <t>95019888820</t>
  </si>
  <si>
    <t>3014250708841</t>
  </si>
  <si>
    <t>1062641121</t>
  </si>
  <si>
    <t>1395/09/30</t>
  </si>
  <si>
    <t>246</t>
  </si>
  <si>
    <t>138890</t>
  </si>
  <si>
    <t>مجتمع مسکونی شایان</t>
  </si>
  <si>
    <t>19738562</t>
  </si>
  <si>
    <t>95019738562</t>
  </si>
  <si>
    <t>3013889008844</t>
  </si>
  <si>
    <t>480641165</t>
  </si>
  <si>
    <t>1395/06/09</t>
  </si>
  <si>
    <t>247</t>
  </si>
  <si>
    <t>138925</t>
  </si>
  <si>
    <t>مجتمع مسکونی لوتوس</t>
  </si>
  <si>
    <t>19768172</t>
  </si>
  <si>
    <t>95019768172</t>
  </si>
  <si>
    <t>3013892508840</t>
  </si>
  <si>
    <t>464041141</t>
  </si>
  <si>
    <t>1395/07/06</t>
  </si>
  <si>
    <t>248</t>
  </si>
  <si>
    <t>142784</t>
  </si>
  <si>
    <t>خودپرداز   مدسه پیام</t>
  </si>
  <si>
    <t>19770564</t>
  </si>
  <si>
    <t>3014278408843</t>
  </si>
  <si>
    <t>1062641126</t>
  </si>
  <si>
    <t>249</t>
  </si>
  <si>
    <t>138942</t>
  </si>
  <si>
    <t>خودپرداز موسسه اعتباری ملل -پاساژ مهتاب</t>
  </si>
  <si>
    <t>19771404</t>
  </si>
  <si>
    <t>3013894208843</t>
  </si>
  <si>
    <t>1395/11/09</t>
  </si>
  <si>
    <t>250</t>
  </si>
  <si>
    <t>138935</t>
  </si>
  <si>
    <t>ساختمان ماهان</t>
  </si>
  <si>
    <t>19786126</t>
  </si>
  <si>
    <t>95019786126</t>
  </si>
  <si>
    <t>3013893508843</t>
  </si>
  <si>
    <t>251</t>
  </si>
  <si>
    <t>148196</t>
  </si>
  <si>
    <t>شعبه شرکت شهاب شمس</t>
  </si>
  <si>
    <t>19789856</t>
  </si>
  <si>
    <t>95019789856</t>
  </si>
  <si>
    <t>3014819608840</t>
  </si>
  <si>
    <t>140441165</t>
  </si>
  <si>
    <t>1396/05/01</t>
  </si>
  <si>
    <t>100040001</t>
  </si>
  <si>
    <t>منطقه 4 - تهران - شهدای چیتگر</t>
  </si>
  <si>
    <t>252</t>
  </si>
  <si>
    <t>138910</t>
  </si>
  <si>
    <t>جایگاه اختصاصی 124 تهران</t>
  </si>
  <si>
    <t>19795741</t>
  </si>
  <si>
    <t>95019795741</t>
  </si>
  <si>
    <t>3013891008843</t>
  </si>
  <si>
    <t>253</t>
  </si>
  <si>
    <t>138923</t>
  </si>
  <si>
    <t>فروشگاه صدف</t>
  </si>
  <si>
    <t>19813325</t>
  </si>
  <si>
    <t>95019813325</t>
  </si>
  <si>
    <t>3013892308840</t>
  </si>
  <si>
    <t>563541151</t>
  </si>
  <si>
    <t>1404/11/05</t>
  </si>
  <si>
    <t>254</t>
  </si>
  <si>
    <t>138924</t>
  </si>
  <si>
    <t>فروشگاه مدیال هایپر</t>
  </si>
  <si>
    <t>19813369</t>
  </si>
  <si>
    <t>3013892408845</t>
  </si>
  <si>
    <t>255</t>
  </si>
  <si>
    <t>146791</t>
  </si>
  <si>
    <t>مجتمع استراتوس بلوک N3</t>
  </si>
  <si>
    <t>19813792</t>
  </si>
  <si>
    <t>95019813792</t>
  </si>
  <si>
    <t>3014679108842</t>
  </si>
  <si>
    <t>684841116</t>
  </si>
  <si>
    <t>256</t>
  </si>
  <si>
    <t>138904</t>
  </si>
  <si>
    <t>مجتمع تجاری اقدسیه</t>
  </si>
  <si>
    <t>19825976</t>
  </si>
  <si>
    <t>95019825976</t>
  </si>
  <si>
    <t>3013890408848</t>
  </si>
  <si>
    <t>1395/08/08</t>
  </si>
  <si>
    <t>146477</t>
  </si>
  <si>
    <t>دفتر خانه 1370</t>
  </si>
  <si>
    <t>19826328</t>
  </si>
  <si>
    <t>95019826328</t>
  </si>
  <si>
    <t>3014647708848</t>
  </si>
  <si>
    <t>138889</t>
  </si>
  <si>
    <t>مجتمع آهن مکان</t>
  </si>
  <si>
    <t>19733250</t>
  </si>
  <si>
    <t>95019733250</t>
  </si>
  <si>
    <t>3013888908841</t>
  </si>
  <si>
    <t>1395/06/13</t>
  </si>
  <si>
    <t>100050009</t>
  </si>
  <si>
    <t>منطقه 5 - ری - سیزده آبان</t>
  </si>
  <si>
    <t>259</t>
  </si>
  <si>
    <t>138708</t>
  </si>
  <si>
    <t>مجتمع تجاری بلور</t>
  </si>
  <si>
    <t>19769995</t>
  </si>
  <si>
    <t>3013870808840</t>
  </si>
  <si>
    <t>260</t>
  </si>
  <si>
    <t>149221</t>
  </si>
  <si>
    <t>خودپرداز پاساژ مهدی</t>
  </si>
  <si>
    <t>19770460</t>
  </si>
  <si>
    <t>95019770460</t>
  </si>
  <si>
    <t>3014922108848</t>
  </si>
  <si>
    <t>546941134</t>
  </si>
  <si>
    <t>261</t>
  </si>
  <si>
    <t>147972</t>
  </si>
  <si>
    <t>تعاونی کارمندان</t>
  </si>
  <si>
    <t>19896651</t>
  </si>
  <si>
    <t>95019896651</t>
  </si>
  <si>
    <t>3014797208843</t>
  </si>
  <si>
    <t>1395/11/03</t>
  </si>
  <si>
    <t>262</t>
  </si>
  <si>
    <t>147865</t>
  </si>
  <si>
    <t>مجتمع مسکونی یاس 1</t>
  </si>
  <si>
    <t>19904110</t>
  </si>
  <si>
    <t>95019904110</t>
  </si>
  <si>
    <t>3014786508845</t>
  </si>
  <si>
    <t>464041142</t>
  </si>
  <si>
    <t>263</t>
  </si>
  <si>
    <t>138930</t>
  </si>
  <si>
    <t>مجتمع کاملیا 2</t>
  </si>
  <si>
    <t>19904961</t>
  </si>
  <si>
    <t>3013893008840</t>
  </si>
  <si>
    <t>264</t>
  </si>
  <si>
    <t>147894</t>
  </si>
  <si>
    <t>خواربار فروشی منصف</t>
  </si>
  <si>
    <t>19918836</t>
  </si>
  <si>
    <t>3014789408841</t>
  </si>
  <si>
    <t>265</t>
  </si>
  <si>
    <t>147844</t>
  </si>
  <si>
    <t>درمانگاه دکتر نوروزی</t>
  </si>
  <si>
    <t>19926768</t>
  </si>
  <si>
    <t>95019926768</t>
  </si>
  <si>
    <t>3014784408843</t>
  </si>
  <si>
    <t>138967</t>
  </si>
  <si>
    <t>مجتمع مسکونی کوهپایه 6</t>
  </si>
  <si>
    <t>19959007</t>
  </si>
  <si>
    <t>95019959007</t>
  </si>
  <si>
    <t>3013896708843</t>
  </si>
  <si>
    <t>1396/02/23</t>
  </si>
  <si>
    <t>267</t>
  </si>
  <si>
    <t>212817</t>
  </si>
  <si>
    <t>موسسه اعتباری ملل - ساختمان ریبون</t>
  </si>
  <si>
    <t>14993550</t>
  </si>
  <si>
    <t>3021281708846</t>
  </si>
  <si>
    <t>11815741152</t>
  </si>
  <si>
    <t>خ شیراز جنوبی (جنوب بزرگراه همت ) نبش خ 68 غربی س ش 8 موسسه اعتباری ملل معاونت فناوری اطلاعات</t>
  </si>
  <si>
    <t>1402/04/28</t>
  </si>
  <si>
    <t>212818</t>
  </si>
  <si>
    <t>ساختمان ریبون</t>
  </si>
  <si>
    <t>14993554</t>
  </si>
  <si>
    <t>3021281808840</t>
  </si>
  <si>
    <t>8558441170</t>
  </si>
  <si>
    <t>تهران خیابان شیراز جنوبی پالیین تر از اتوبان همت نبش 68 شرقی پلاک 3</t>
  </si>
  <si>
    <t>269</t>
  </si>
  <si>
    <t>155268</t>
  </si>
  <si>
    <t>موسسه اعتباری ملل - شرکت گام الکترونیک</t>
  </si>
  <si>
    <t>14981853</t>
  </si>
  <si>
    <t>3015526808841</t>
  </si>
  <si>
    <t>2593841177</t>
  </si>
  <si>
    <t>خ شیراز جنوبی(جنوب بزرگراه همت).نبش خ 68 شرقی.س ش 8 موسسه اعتباری  ملل معاونت ف</t>
  </si>
  <si>
    <t>1401/09/13</t>
  </si>
  <si>
    <t>270</t>
  </si>
  <si>
    <t>154585</t>
  </si>
  <si>
    <t>موسسه اعتباری ملل - شعبه شهرک گلستان</t>
  </si>
  <si>
    <t>14208126</t>
  </si>
  <si>
    <t>3015458508842</t>
  </si>
  <si>
    <t>شهرک گلستان -بلوار امیر کیبر بعداز 18متری بنفشه پ105 - شعبه شهرک گلستان شاخص 558</t>
  </si>
  <si>
    <t>1397/07/24</t>
  </si>
  <si>
    <t>271</t>
  </si>
  <si>
    <t>147929</t>
  </si>
  <si>
    <t>موسسه اعتباری ملل - مجتمع اسکان</t>
  </si>
  <si>
    <t>10248512</t>
  </si>
  <si>
    <t>950110248512</t>
  </si>
  <si>
    <t>3014792908847</t>
  </si>
  <si>
    <t>1395/09/16</t>
  </si>
  <si>
    <t>272</t>
  </si>
  <si>
    <t>146641</t>
  </si>
  <si>
    <t>موسسه مالی اعتباری ثامن الحجج-برج سفید</t>
  </si>
  <si>
    <t>614838</t>
  </si>
  <si>
    <t>256 کیلوبیت</t>
  </si>
  <si>
    <t>3014664108846</t>
  </si>
  <si>
    <t>376241106</t>
  </si>
  <si>
    <t>تقاطع دستگردی و آفریقا پلاک 263</t>
  </si>
  <si>
    <t>1968633971</t>
  </si>
  <si>
    <t>1393/07/06</t>
  </si>
  <si>
    <t>273</t>
  </si>
  <si>
    <t>146503</t>
  </si>
  <si>
    <t>موسسه مالی و اعتباری عسکریه - ساختمان اداره مرکزی</t>
  </si>
  <si>
    <t>3014650308842</t>
  </si>
  <si>
    <t>5858641107</t>
  </si>
  <si>
    <t>خ شیراز جنوبی - جنوب بزرگراه همت - خ 68 شرقی - ساختمان شماره 8 - معاونت فناوری ا</t>
  </si>
  <si>
    <t>274</t>
  </si>
  <si>
    <t>145670</t>
  </si>
  <si>
    <t>موسسه مالی و اعتباری عسکریه-شعبه ولیعصر توانیر</t>
  </si>
  <si>
    <t>606482</t>
  </si>
  <si>
    <t>3014567008845</t>
  </si>
  <si>
    <t>خ شیراز جنوبی- نبش خ 68 شرقی ساختمان شماره 8 موسسه مالی عسکریه</t>
  </si>
  <si>
    <t>275</t>
  </si>
  <si>
    <t>146510</t>
  </si>
  <si>
    <t>وزارت اموراقتصاد ودارایی -موسسه اعتباری عسکریه</t>
  </si>
  <si>
    <t>615991</t>
  </si>
  <si>
    <t>3014651008842</t>
  </si>
  <si>
    <t>2593841173</t>
  </si>
  <si>
    <t>پایین بزگراه شهید همت -خ شیراز جنوبی- جنب ونک پارک -ساختمان شماره 7 -</t>
  </si>
  <si>
    <t>1393/08/10</t>
  </si>
  <si>
    <t>276</t>
  </si>
  <si>
    <t>4,402,667</t>
  </si>
  <si>
    <t>2,125,000</t>
  </si>
  <si>
    <t>2,693,409,180</t>
  </si>
  <si>
    <t>269,340,918</t>
  </si>
  <si>
    <t>2,962,750,098</t>
  </si>
  <si>
    <t>25 Mb</t>
  </si>
  <si>
    <t xml:space="preserve">شبکه خودپرداز استان اردبیل-ارتباطات مخابراتی </t>
  </si>
  <si>
    <t xml:space="preserve">شبکه خودپرداز-ارتباطات مخابراتی </t>
  </si>
  <si>
    <t xml:space="preserve">آبان ماه 1404بین نت جمع اوری شده است </t>
  </si>
  <si>
    <t>10175.222.34/29</t>
  </si>
  <si>
    <t>جمع اوری در اسفند وجایگزین مبین نت</t>
  </si>
  <si>
    <t>10.8.15.0/24</t>
  </si>
  <si>
    <t>جمع آوری-اسیاتک شده</t>
  </si>
  <si>
    <t>بررسی شود تاریخ جمع اوری وعودت هزینه</t>
  </si>
  <si>
    <t xml:space="preserve"> درفایل مخابرات 8 است بررسی شود</t>
  </si>
  <si>
    <t>قبلا ارتباط مخابراتی داشته بررسی شود جمع اوری وعودت هزینه داشته باشد.الان مبین نت دایر است یاخیر؟</t>
  </si>
  <si>
    <t xml:space="preserve"> جمع اوری شده است ????</t>
  </si>
  <si>
    <t xml:space="preserve"> جمع اوری شده است</t>
  </si>
  <si>
    <t>melal-297</t>
  </si>
  <si>
    <t>جمع آوری 06اسفند1404</t>
  </si>
  <si>
    <t>جمع آوری 6 اسفند1404</t>
  </si>
  <si>
    <t>10.8.42.0/30</t>
  </si>
  <si>
    <t>469ولنجک</t>
  </si>
  <si>
    <t xml:space="preserve"> قطع استA-825-137-Niyayesh</t>
  </si>
  <si>
    <t xml:space="preserve"> A-825-177-Sinaقطع است</t>
  </si>
  <si>
    <t>2 Mb---512Kb</t>
  </si>
  <si>
    <t>ساختمان ملت تهران قایم مقام</t>
  </si>
  <si>
    <t>10.8.34.0/29</t>
  </si>
  <si>
    <t>قطع است؟؟؟C-834-41-Bazarchesahebzaman</t>
  </si>
  <si>
    <t>قطع است؟؟؟A-834-57-Alaie</t>
  </si>
  <si>
    <t>ماژول سریال روی روتر مازاد است</t>
  </si>
  <si>
    <t>10.8.30.65</t>
  </si>
  <si>
    <t>ردیوس</t>
  </si>
  <si>
    <t>پرداخت یاری4020115004734</t>
  </si>
  <si>
    <t>980114937655شاپرک</t>
  </si>
  <si>
    <t>Sherkat alopen 8407</t>
  </si>
  <si>
    <t>melal-527</t>
  </si>
  <si>
    <t>10.1.142.32/30</t>
  </si>
  <si>
    <t>10.1.142.44/30</t>
  </si>
  <si>
    <t>10.1.131.60/30</t>
  </si>
  <si>
    <t>جمع آوری10.3.61.1 /24-VLAN100</t>
  </si>
  <si>
    <t>10.3.25.1 /24-VLAN100جمع اوری</t>
  </si>
  <si>
    <t>تخریب</t>
  </si>
  <si>
    <t>جمع آوریVSAT</t>
  </si>
  <si>
    <t>تحریب214</t>
  </si>
  <si>
    <t>تحریب224</t>
  </si>
  <si>
    <t>تخریب235</t>
  </si>
  <si>
    <t>50 Mb/10 Mb</t>
  </si>
  <si>
    <t>192.168.197.1/29</t>
  </si>
  <si>
    <t>192.168.196.1/29</t>
  </si>
  <si>
    <t>192.168.196.2/29</t>
  </si>
  <si>
    <t>192.168.197.2/30</t>
  </si>
  <si>
    <t>192.168.236.129/29</t>
  </si>
  <si>
    <t>10.2.46.1/25-VLAN100-10.0.14.2/26-VLAN101-10.9.125.41/29-VLAN125</t>
  </si>
  <si>
    <t>10.2.46.99 /25-10.2.46.100/25</t>
  </si>
  <si>
    <t>192.168.235.193/29</t>
  </si>
  <si>
    <t>192.168.234.193/30(343branch)</t>
  </si>
  <si>
    <t>192.168.235.196/29</t>
  </si>
  <si>
    <t>192.168.236.130/29</t>
  </si>
  <si>
    <t>192.168.236.131/29</t>
  </si>
  <si>
    <t>192.168.236.132/29</t>
  </si>
  <si>
    <t>192.168.236.133/29</t>
  </si>
  <si>
    <t>10.2.41.1 /26-VLAN100</t>
  </si>
  <si>
    <t>10.2.93.1 /26-VLAN100</t>
  </si>
  <si>
    <t>10.3.43.1 /26-VLAN100</t>
  </si>
  <si>
    <t>10.3.50.1 /26-VLAN 100</t>
  </si>
  <si>
    <t>10.4.66.1 /26-VLAN100</t>
  </si>
  <si>
    <t>10.2.47.1/25-VLAN100</t>
  </si>
  <si>
    <t>10.2.47.99 /25</t>
  </si>
  <si>
    <t>192.168.188.1/27</t>
  </si>
  <si>
    <t>192.168.188.2/27</t>
  </si>
  <si>
    <t>192.168.188.3/27</t>
  </si>
  <si>
    <t>192.168.188.4/27</t>
  </si>
  <si>
    <t xml:space="preserve">VSATجمع اوری </t>
  </si>
  <si>
    <t>192.168.188.5/27</t>
  </si>
  <si>
    <t>192.168.188.6/27</t>
  </si>
  <si>
    <t>192.168.188.7/27</t>
  </si>
  <si>
    <t>192.168.188.8/27</t>
  </si>
  <si>
    <t>6.8.19.50/20</t>
  </si>
  <si>
    <t>6.3.19.50/30</t>
  </si>
  <si>
    <t>10.2.50.1/26-VLAN100</t>
  </si>
  <si>
    <t>192.168.209.66/29</t>
  </si>
  <si>
    <t>192.168.209.67/29</t>
  </si>
  <si>
    <t>192.168.207.3/28</t>
  </si>
  <si>
    <t>192.168.207.2/28</t>
  </si>
  <si>
    <t>10.3.23.1 /26-VLAN100</t>
  </si>
  <si>
    <t>10.3.23.2 /26</t>
  </si>
  <si>
    <t>192.168.207.5/28</t>
  </si>
  <si>
    <t>8.1.3.23 /32-8.3.3.23/32</t>
  </si>
  <si>
    <t>خریب وجمع اوری 14050126-541015</t>
  </si>
  <si>
    <t>10.3.56.1 /26-VLAN100</t>
  </si>
  <si>
    <t>10.3.56.2 /26</t>
  </si>
  <si>
    <t>192.168.207.6/28</t>
  </si>
  <si>
    <t>192.168.207.7/28</t>
  </si>
  <si>
    <t>6.3.16.206/30</t>
  </si>
  <si>
    <t>192.168.209.68/29</t>
  </si>
  <si>
    <t>192.168.207.8/28</t>
  </si>
  <si>
    <t>192.168.207.9/28</t>
  </si>
  <si>
    <t>فیبر اشتراکی راه اندازی شود-سرویس ها منتقل به فیبر-ظرفیت اینترانت 1مگ شود.14040618(فیبر اشتراکی-منفی است)</t>
  </si>
  <si>
    <t>شرکت فام - سعادت آباد</t>
  </si>
  <si>
    <t>سعادت آباد</t>
  </si>
  <si>
    <t>100.170.100.1/24</t>
  </si>
  <si>
    <t>100.170.100.2/24</t>
  </si>
  <si>
    <t>10.2.14.2/26</t>
  </si>
  <si>
    <t>10.2.15.1/26-VLAN 100</t>
  </si>
  <si>
    <t>10.2.14.1/26-VLAN 100</t>
  </si>
  <si>
    <t>10.2.15.2/26</t>
  </si>
  <si>
    <t>10.2.17.2/26</t>
  </si>
  <si>
    <t>10.2.17.1/26-VLAN100</t>
  </si>
  <si>
    <t>10.2.18.1/26-VLAN100</t>
  </si>
  <si>
    <t>10.2.19.1/26-VLAN100</t>
  </si>
  <si>
    <t>10.2.21.1/26-vlan 100</t>
  </si>
  <si>
    <t>10.2.23.1/26-VLAN100</t>
  </si>
  <si>
    <t>10.2.24.1/26-VLAN100</t>
  </si>
  <si>
    <t>10.2.25.1/26-VLAN 100</t>
  </si>
  <si>
    <t>10.2.26.1/26-VLAN 100</t>
  </si>
  <si>
    <t>10.2.27.1/26-VLAN 100</t>
  </si>
  <si>
    <t>10.2.28.1/26-VLAN 100</t>
  </si>
  <si>
    <t>10.2.29.1/26-VLAN100</t>
  </si>
  <si>
    <t>10.2.30.1/26-VLAN100</t>
  </si>
  <si>
    <t>10.2.18.2/26</t>
  </si>
  <si>
    <t>10.2.19.2/26</t>
  </si>
  <si>
    <t>10.2.20.99/25-10.2.20.100/25</t>
  </si>
  <si>
    <t>10.2.20.1/25-VLAN 100(Lan)-10.0.15.1/26-VLAN 105(Hoze)-10.9.125.17/29-VLAN125(FAM)</t>
  </si>
  <si>
    <t>10.2.21.2/26</t>
  </si>
  <si>
    <t>10.2.23.2/26</t>
  </si>
  <si>
    <t>10.2.24.2/26</t>
  </si>
  <si>
    <t>10.2.25.2/26</t>
  </si>
  <si>
    <t>10.2.26.2/26</t>
  </si>
  <si>
    <t>10.2.27.2/26</t>
  </si>
  <si>
    <t>10.2.28.2/26</t>
  </si>
  <si>
    <t>10.2.29.2/26</t>
  </si>
  <si>
    <t>10.2.30.2/26</t>
  </si>
  <si>
    <t>6.3.19.118/30</t>
  </si>
  <si>
    <t>Semnan:42.1.2.30/21</t>
  </si>
  <si>
    <t>به علت انتقال همکاران شعبه دیگر به شعبه 230 وکمبود ظرفیت فیزیکی با هدف مدیریت هزینه مبین نت راه اندازی شد14050204</t>
  </si>
  <si>
    <t>10.2.76.1/26-VLAN100</t>
  </si>
  <si>
    <t>192.168.123.66/28</t>
  </si>
  <si>
    <t>10.2.96.1/26-VLAN100</t>
  </si>
  <si>
    <t>10.2.97.1/26-VLAN100</t>
  </si>
  <si>
    <t>10.2.98.1/26-VLAN100</t>
  </si>
  <si>
    <t>192.168.123.67/28</t>
  </si>
  <si>
    <t>192.168.122.67/28</t>
  </si>
  <si>
    <t>Tehran:6.8.16.66/22-Semnan:42.1.2.98/21</t>
  </si>
  <si>
    <t>317تخریب شده</t>
  </si>
  <si>
    <t>10.3.17.1/26-VLAN100</t>
  </si>
  <si>
    <t>10.3.17.2/26</t>
  </si>
  <si>
    <t>10.3.43.2/26</t>
  </si>
  <si>
    <t>10.3.50.2/26</t>
  </si>
  <si>
    <t>10.4.66.2/26</t>
  </si>
  <si>
    <t>192.168.209.65/28</t>
  </si>
  <si>
    <t>192.168.235.67/28</t>
  </si>
  <si>
    <t>10.2.58.1/26-VLAN100</t>
  </si>
  <si>
    <t>192.168.235.69/28</t>
  </si>
  <si>
    <t>10.2.60.1/26-VLAN 100</t>
  </si>
  <si>
    <t>192.168.145.10/30</t>
  </si>
  <si>
    <t>10.2.69.1/26-VLAN100</t>
  </si>
  <si>
    <t>192.168.145.34/30</t>
  </si>
  <si>
    <t>10.2.81.1/26-VLAN100</t>
  </si>
  <si>
    <t>192.168.145.18/30</t>
  </si>
  <si>
    <t>192.168.209.70/28</t>
  </si>
  <si>
    <t>10.2.99.1/26-VLAN100</t>
  </si>
  <si>
    <t>192.168.145.22/30</t>
  </si>
  <si>
    <t>192.168.209.71/28</t>
  </si>
  <si>
    <t xml:space="preserve">خراسان شمالی </t>
  </si>
  <si>
    <t>10.2.31.1/26-VLAN 100</t>
  </si>
  <si>
    <t>10.2.31.2/26</t>
  </si>
  <si>
    <t>10.2.32.2/26</t>
  </si>
  <si>
    <t>10.2.33.2/26</t>
  </si>
  <si>
    <t>10.2.32.1/26-VLAN100</t>
  </si>
  <si>
    <t>10.2.33.1/26-VLAN 100</t>
  </si>
  <si>
    <t>10.2.34.1/26-VLAN100</t>
  </si>
  <si>
    <t>10.2.34.2/26</t>
  </si>
  <si>
    <t>10.2.35.2/26</t>
  </si>
  <si>
    <t>10.2.35.1/26-VLAN100</t>
  </si>
  <si>
    <t>Tehran:6.8.17.134/21-Seman:42.1.2.39/21</t>
  </si>
  <si>
    <t>10.2.36.1/26-VLAN 100</t>
  </si>
  <si>
    <t>10.2.37.1/26-VLAN 100</t>
  </si>
  <si>
    <t>10.2.38.1/26-VLAN100</t>
  </si>
  <si>
    <t>10.2.39.1/26-VLAN100</t>
  </si>
  <si>
    <t>10.2.43.1/26-VLAN100</t>
  </si>
  <si>
    <t>10.2.44.1/26-VLAN100</t>
  </si>
  <si>
    <t>10.2.45.1/26-VKAN100</t>
  </si>
  <si>
    <t>10.2.54.1/26-VLAN100</t>
  </si>
  <si>
    <t>10.2.54.2/26</t>
  </si>
  <si>
    <t>10.2.45.2/26</t>
  </si>
  <si>
    <t>10.2.44.2/26</t>
  </si>
  <si>
    <t>10.2.43.2/26</t>
  </si>
  <si>
    <t>10.2.39.2/26</t>
  </si>
  <si>
    <t>10.2.38.2/26</t>
  </si>
  <si>
    <t>10.2.37.2/26</t>
  </si>
  <si>
    <t>10.2.36.2/26</t>
  </si>
  <si>
    <t>192.168.230.2/28</t>
  </si>
  <si>
    <t>10.2.57.1/26-VLAN100</t>
  </si>
  <si>
    <t>192.168.230.3/28</t>
  </si>
  <si>
    <t>192.168.230.4/28</t>
  </si>
  <si>
    <t>192.168.230.5/28</t>
  </si>
  <si>
    <t>192.168.230.6/28</t>
  </si>
  <si>
    <t>192.168.230.7/28</t>
  </si>
  <si>
    <t>192.168.230.8/28</t>
  </si>
  <si>
    <t>192.168.230.9/28</t>
  </si>
  <si>
    <t>192.168.230.12/28</t>
  </si>
  <si>
    <t>192.168.230.13/28</t>
  </si>
  <si>
    <t>10.4.68.1 /26-VLAN100</t>
  </si>
  <si>
    <t>10.4.68.2 /26</t>
  </si>
  <si>
    <t>192.168.230.14/28</t>
  </si>
  <si>
    <t>10.2.62.1/26-VLAN100</t>
  </si>
  <si>
    <t>192.168.175.10/28</t>
  </si>
  <si>
    <t>192.168.174.2/28</t>
  </si>
  <si>
    <t>10.2.70.1/26-VLAN100</t>
  </si>
  <si>
    <t>192.168.175.11/28</t>
  </si>
  <si>
    <t>192.168.174.3/28</t>
  </si>
  <si>
    <t>10.2.72.1/26-VLAN100</t>
  </si>
  <si>
    <t>192.168.175.9/28</t>
  </si>
  <si>
    <t>192.168.174.4/28</t>
  </si>
  <si>
    <t>10.2.73.1/26-VLAN100</t>
  </si>
  <si>
    <t>192.168.175.4/28</t>
  </si>
  <si>
    <t>192.168.174.5/28</t>
  </si>
  <si>
    <t>10.192.255.6/29</t>
  </si>
  <si>
    <t>6.8.19.62/22</t>
  </si>
  <si>
    <t>8.9.7.1/32</t>
  </si>
  <si>
    <t>10.0.68.1/24-VLAN68</t>
  </si>
  <si>
    <t>10.0.68.2/24</t>
  </si>
  <si>
    <t>10.30.158.54/29</t>
  </si>
  <si>
    <t>Tehran:33.1.0.68/20</t>
  </si>
  <si>
    <t>10.160.68.1/12</t>
  </si>
  <si>
    <t>فیبر اختصاصی-کانورتور</t>
  </si>
  <si>
    <t>8.1.0.68/30</t>
  </si>
  <si>
    <t>FastEthernet0/0.3700</t>
  </si>
  <si>
    <t>10.2.71.2/2410.0.11.10/24-T1- 10.0.104.2/30(SW-Fiber)</t>
  </si>
  <si>
    <t>10.2.79.99 /25-10.2.79.100/25</t>
  </si>
  <si>
    <t>10.3.8.1/26-VLAN100</t>
  </si>
  <si>
    <t>10.3.8.2/30</t>
  </si>
  <si>
    <t>10.2.73.2/30</t>
  </si>
  <si>
    <t>10.2.72.2/30</t>
  </si>
  <si>
    <t>10.2.70.2/30</t>
  </si>
  <si>
    <t>10.2.62.2/30</t>
  </si>
  <si>
    <t>192.168.175.6/28</t>
  </si>
  <si>
    <t>192.168.174.7/28</t>
  </si>
  <si>
    <t>10.3.13.1/26-VLAN100</t>
  </si>
  <si>
    <t>10.3.13.2/30</t>
  </si>
  <si>
    <t>192.168.175.7/28</t>
  </si>
  <si>
    <t>192.168.174.9/28</t>
  </si>
  <si>
    <t>10.3.41.1/26-VLAN100</t>
  </si>
  <si>
    <t>10.3.41.2/30</t>
  </si>
  <si>
    <t>192.168.175.8/28</t>
  </si>
  <si>
    <t>192.168.174.10/28</t>
  </si>
  <si>
    <t>192.168.174.65 /29</t>
  </si>
  <si>
    <t>10.4.35.1/26-VLAN100</t>
  </si>
  <si>
    <t>10.4.35.2/30</t>
  </si>
  <si>
    <t>192.168.174.66/29</t>
  </si>
  <si>
    <t>10.88.64.136/29</t>
  </si>
  <si>
    <t>10.2.77.2/30</t>
  </si>
  <si>
    <t>10.2.77.1/26-vlan100</t>
  </si>
  <si>
    <t>1405/02/13</t>
  </si>
  <si>
    <t>960113132946-572126</t>
  </si>
  <si>
    <t>50,400,000</t>
  </si>
  <si>
    <t>گروه مالی 370شاهد</t>
  </si>
  <si>
    <t>70,933,333</t>
  </si>
  <si>
    <t>31,360,000</t>
  </si>
  <si>
    <t>17,920,000</t>
  </si>
  <si>
    <t>شرکت بورس کالای ایران-کارگزاری ملل پویا</t>
  </si>
  <si>
    <t>44,800,0000</t>
  </si>
  <si>
    <t>سازمان بورس واوراق بهادار-ملل پویا</t>
  </si>
  <si>
    <t>ارتباطات سیار ایران</t>
  </si>
  <si>
    <t>گروه مالی 370</t>
  </si>
  <si>
    <t>MPLS شهری(P2P)</t>
  </si>
  <si>
    <t>اینترانت</t>
  </si>
  <si>
    <t>82,333,333</t>
  </si>
  <si>
    <t>مدیریت فناوری بورس تهران-کارگزاری ملل پویا</t>
  </si>
  <si>
    <t>31,360,000/31,360,000</t>
  </si>
  <si>
    <t>55,440,000/55,440,000</t>
  </si>
  <si>
    <t>180,000,000</t>
  </si>
  <si>
    <t>شرکت الکترونیک کارت دماوند</t>
  </si>
  <si>
    <t>50,400,000/50,400,000</t>
  </si>
  <si>
    <t>75,242,668</t>
  </si>
  <si>
    <t>40040334</t>
  </si>
  <si>
    <t>38,848,003</t>
  </si>
  <si>
    <t>گروه مالی 5031 شاهد</t>
  </si>
  <si>
    <t>40041384</t>
  </si>
  <si>
    <t>40,384,011</t>
  </si>
  <si>
    <t>56,576,002</t>
  </si>
  <si>
    <t>22,509,225</t>
  </si>
  <si>
    <t>111,254,612</t>
  </si>
  <si>
    <t>54,022,140</t>
  </si>
  <si>
    <t>162,066,642</t>
  </si>
  <si>
    <t>10.2.84.1/26-VLAN100</t>
  </si>
  <si>
    <t>10.2.84.2/30</t>
  </si>
  <si>
    <t>10.2.85.1/26-VLAN100</t>
  </si>
  <si>
    <t>10.2.85.2/30</t>
  </si>
  <si>
    <t>10.2.86.1/26-VLAN100</t>
  </si>
  <si>
    <t>10.2.86.2/30</t>
  </si>
  <si>
    <t>192.168.214.1/27</t>
  </si>
  <si>
    <t>10.2.55.2/26</t>
  </si>
  <si>
    <t>10.2.59.2/26</t>
  </si>
  <si>
    <t>10.2.63.2/26</t>
  </si>
  <si>
    <t>10.2.64.2/26</t>
  </si>
  <si>
    <t>10.2.68.2/26</t>
  </si>
  <si>
    <t>10.2.74.2/30</t>
  </si>
  <si>
    <t>قبض باید اصلاح شود 300صادر می شودMPLS-VPN</t>
  </si>
  <si>
    <t>10.2.92.1/26-VLAN100</t>
  </si>
  <si>
    <t>10.2.92.2/30</t>
  </si>
  <si>
    <t>10.2.89.2/30</t>
  </si>
  <si>
    <t>10.2.80.2/30</t>
  </si>
  <si>
    <t>10.2.78.2/30</t>
  </si>
  <si>
    <t>10.2.78.1/26-VLAN100</t>
  </si>
  <si>
    <t>10.2.80.1/26-VLAN100</t>
  </si>
  <si>
    <t>10.2.89.1/26-VLAN100</t>
  </si>
  <si>
    <t>10.2.48.1/26-VLAN100</t>
  </si>
  <si>
    <t>10.2.52.1/26-VLAN100</t>
  </si>
  <si>
    <t>10.2.66.1/26-VLAN100-10.2.66.193/26-VLAN 200(Amozesh)</t>
  </si>
  <si>
    <t>10.2.87.1/26-VLAN100</t>
  </si>
  <si>
    <t>10.2.94.1/26-VLAN100</t>
  </si>
  <si>
    <t>10.2.95.1/26-VLAN100</t>
  </si>
  <si>
    <t>10.2.48.2/30</t>
  </si>
  <si>
    <t>10.2.52.2/30</t>
  </si>
  <si>
    <t>10.2.87.2./30</t>
  </si>
  <si>
    <t>10.2.94.2/30</t>
  </si>
  <si>
    <t>10.2.95.2/30</t>
  </si>
  <si>
    <t>10.2.76.2/30</t>
  </si>
  <si>
    <t>10.2.96.2/30</t>
  </si>
  <si>
    <t>10.2.97.2/30</t>
  </si>
  <si>
    <t>10.2.98.2/30</t>
  </si>
  <si>
    <t>10.2.99.2/30</t>
  </si>
  <si>
    <t>10.2.81.2/30</t>
  </si>
  <si>
    <t>10.2.69.2/30</t>
  </si>
  <si>
    <t>10.2.60.2/30</t>
  </si>
  <si>
    <t>10.2.58.2/30</t>
  </si>
  <si>
    <t>10.2.16.2/30</t>
  </si>
  <si>
    <t>10.2.41.2/30</t>
  </si>
  <si>
    <t>10.2.93.2/30</t>
  </si>
  <si>
    <t>10.2.50.2/30</t>
  </si>
  <si>
    <t>10.2.51.2/30</t>
  </si>
  <si>
    <t>10.2.61.2/30</t>
  </si>
  <si>
    <t>10.2.65.2/30</t>
  </si>
  <si>
    <t>لوازم یدکی نخعی</t>
  </si>
  <si>
    <t>مجتمع تجاری اداری عرفان7045</t>
  </si>
  <si>
    <t>محضر69-4743</t>
  </si>
  <si>
    <t>مواد غذایی صاحب الزمان ع6993</t>
  </si>
  <si>
    <t>مجتمع تجاری بازرگان گیلار ساحلی5894</t>
  </si>
  <si>
    <t>فروشگاه قیمت شکن7759</t>
  </si>
  <si>
    <t>دفتر پیشخوان عصر فن آوران نوید نو7981</t>
  </si>
  <si>
    <t>C-foroshgah-lavazem-yadake-asade</t>
  </si>
  <si>
    <t>فروشگاه لوازم یدکی اسدی8100</t>
  </si>
  <si>
    <t>A-foroshgah-zeiton7464</t>
  </si>
  <si>
    <t>فروشگاه زیتون7464</t>
  </si>
  <si>
    <t>6.3.18.184/30</t>
  </si>
  <si>
    <t>branch</t>
  </si>
  <si>
    <t>شعبه 392</t>
  </si>
  <si>
    <t>6.3.17.216/30</t>
  </si>
  <si>
    <t>شعبه 343</t>
  </si>
  <si>
    <t>6.3.19.44/30</t>
  </si>
  <si>
    <t>شعبه 353</t>
  </si>
  <si>
    <t>C-Mojtama baharan yas</t>
  </si>
  <si>
    <t>مجتمع مسکونی بهاران یاس</t>
  </si>
  <si>
    <t>salon-zibaei-lili7631</t>
  </si>
  <si>
    <t>سالن زیبایی لی لی7631</t>
  </si>
  <si>
    <t>C-daftar-pishkhan-gostaran7701</t>
  </si>
  <si>
    <t>دفتر پیشخوان گستران7701</t>
  </si>
  <si>
    <t>A-Mojtama-maskuni-molana5740</t>
  </si>
  <si>
    <t>مجتمع مسکونی مولانا5740</t>
  </si>
  <si>
    <t>C-foroshgah-jahan-shabrang7117</t>
  </si>
  <si>
    <t>فروشگاه جهان شبرنگ7117</t>
  </si>
  <si>
    <t>C-shahrak khodroe pardis8581</t>
  </si>
  <si>
    <t>6.3.4.208/30</t>
  </si>
  <si>
    <t>شهرک خودرویی پردیس8581</t>
  </si>
  <si>
    <t>A-novin-egzoz8080</t>
  </si>
  <si>
    <t>نوین اگزوز8080</t>
  </si>
  <si>
    <t>C-kala chob sabori 8358</t>
  </si>
  <si>
    <t>کالای چوب صبوری8358</t>
  </si>
  <si>
    <t>le</t>
  </si>
  <si>
    <t>ساختمان68 شرقی دوربین-ملل-رادیو</t>
  </si>
  <si>
    <t>16 Mbps</t>
  </si>
  <si>
    <t>20 Mbps</t>
  </si>
  <si>
    <t>بازار گل غرب تهران6802</t>
  </si>
  <si>
    <t>برج زمرد7408</t>
  </si>
  <si>
    <t>باسکول ربانی5543</t>
  </si>
  <si>
    <t>SW2960</t>
  </si>
  <si>
    <t>C-mojtama apadana4273</t>
  </si>
  <si>
    <t>6.3.3.196/30</t>
  </si>
  <si>
    <t>پاساژ عبودی8519</t>
  </si>
  <si>
    <t>C-pasazh bolor4255</t>
  </si>
  <si>
    <t>6.3.3.208/30</t>
  </si>
  <si>
    <t>پاساژ بلور4255</t>
  </si>
  <si>
    <t>C-restoran khatoon6275</t>
  </si>
  <si>
    <t>6.3.3.88/30</t>
  </si>
  <si>
    <t>رستوران خاتون6275</t>
  </si>
  <si>
    <t>C-sakhteman tak negin7933</t>
  </si>
  <si>
    <t>6.3.4.0/30</t>
  </si>
  <si>
    <t>ساختمان تک نگین7933</t>
  </si>
  <si>
    <t>C-shishe secorit behdani7294</t>
  </si>
  <si>
    <t>6.3.4.120/30</t>
  </si>
  <si>
    <t>شیشه سکوریت بهدانی7294</t>
  </si>
  <si>
    <t>C-ajil foroshi nazeri7425</t>
  </si>
  <si>
    <t>6.3.4.156/30</t>
  </si>
  <si>
    <t>آجیل فروشی ناظری7425</t>
  </si>
  <si>
    <t>C-namayeshgah mashin sabok v sangin8585</t>
  </si>
  <si>
    <t>6.3.4.172/30</t>
  </si>
  <si>
    <t>نمایشگاه ماشین سبک و سنگین8585</t>
  </si>
  <si>
    <t>C-foroshgah lavazem yadaki diyako8579</t>
  </si>
  <si>
    <t>6.3.4.28/30</t>
  </si>
  <si>
    <t>فروشگاه لوازم یدکی و تزینات دیاکو8579</t>
  </si>
  <si>
    <t>C-pasazh vahdat8573</t>
  </si>
  <si>
    <t>6.3.3.188/30</t>
  </si>
  <si>
    <t>پاساژ وحدت8573</t>
  </si>
  <si>
    <t>C-pelasko jamali6240</t>
  </si>
  <si>
    <t>6.3.6.152/30</t>
  </si>
  <si>
    <t>پلاسکو جمالی6240</t>
  </si>
  <si>
    <t>6.3.6.68/30</t>
  </si>
  <si>
    <t>املاک ایجی4029</t>
  </si>
  <si>
    <t>C-salon zibaee helya6849</t>
  </si>
  <si>
    <t>6.3.6.36/30</t>
  </si>
  <si>
    <t>سالن زیبایی هلیا6849</t>
  </si>
  <si>
    <t>C-amozeshgah ranandegi hoseni5910</t>
  </si>
  <si>
    <t>6.3.7.160/30</t>
  </si>
  <si>
    <t>آموزشگاه رانندگی حسینی5910</t>
  </si>
  <si>
    <t>C-mojtama tejari edari jahan4483</t>
  </si>
  <si>
    <t>6.3.7.136/30</t>
  </si>
  <si>
    <t>مجتمع تجاری اداری جهان4483</t>
  </si>
  <si>
    <t>A-pasazh mahdi.shahran3522</t>
  </si>
  <si>
    <t>6.3.6.64/30</t>
  </si>
  <si>
    <t>پاساژ مهدی 3522</t>
  </si>
  <si>
    <t>A-amlak baradaran keykha8548</t>
  </si>
  <si>
    <t>6.3.4.220/30</t>
  </si>
  <si>
    <t>املاک برادران کیخا8548</t>
  </si>
  <si>
    <t>A-karvash mehran7691</t>
  </si>
  <si>
    <t>6.3.6.212/30</t>
  </si>
  <si>
    <t>کارواش مهران7691</t>
  </si>
  <si>
    <t>A-mediyal hyper4028</t>
  </si>
  <si>
    <t>6.3.7.192/30</t>
  </si>
  <si>
    <t>مدیال هایپر4028</t>
  </si>
  <si>
    <t>C-tamirgah khodroei amir8591</t>
  </si>
  <si>
    <t>6.3.7.168/30</t>
  </si>
  <si>
    <t>تعمیرگاه خودرویی امیر8591</t>
  </si>
  <si>
    <t>C-mojtama tejari gol narges7632</t>
  </si>
  <si>
    <t>6.3.7.176/30</t>
  </si>
  <si>
    <t>مجتمع تجاری گل نرگس7632</t>
  </si>
  <si>
    <t>C-mojtama tejari setare majd8583</t>
  </si>
  <si>
    <t>6.3.7.200/30</t>
  </si>
  <si>
    <t>مجتمع تجاری ستاره مجد8583</t>
  </si>
  <si>
    <t>C-daftar pishkhan javadi8601</t>
  </si>
  <si>
    <t>6.3.7.212/30</t>
  </si>
  <si>
    <t>دفتر پیشخوان جوادی8601</t>
  </si>
  <si>
    <t>C-foroshgah mavad ghazaei ghaem8440</t>
  </si>
  <si>
    <t>6.3.8.136/30</t>
  </si>
  <si>
    <t>فروشگاه مواد غذایی قایم8440</t>
  </si>
  <si>
    <t>دورکاری 324</t>
  </si>
  <si>
    <t>172.16.7.184/29</t>
  </si>
  <si>
    <t>دورکاری 325</t>
  </si>
  <si>
    <t>172.16.7.248/29</t>
  </si>
  <si>
    <t>دورکاری  323</t>
  </si>
  <si>
    <t>172.16.5.152/29</t>
  </si>
  <si>
    <t>10.1.130.140/29</t>
  </si>
  <si>
    <t>10.1.130.248</t>
  </si>
  <si>
    <t>10.1.139.57</t>
  </si>
  <si>
    <t>10.1.141.128/</t>
  </si>
  <si>
    <t>10.1.142.24/</t>
  </si>
  <si>
    <t>10.1.142.28/</t>
  </si>
  <si>
    <t>10.1.142.48/</t>
  </si>
  <si>
    <t>10.1.142.56</t>
  </si>
  <si>
    <t>10.1.143.228/30</t>
  </si>
  <si>
    <t>C-daneshkade dandanpezeshki8567</t>
  </si>
  <si>
    <t>10.1.134.128/30</t>
  </si>
  <si>
    <t>A-orzhans bimarestan tajrish 1</t>
  </si>
  <si>
    <t>A-orzhans bimarestan tajrish 2</t>
  </si>
  <si>
    <t>10.1.133.112/30</t>
  </si>
  <si>
    <t>329</t>
  </si>
  <si>
    <t>C-tarashkari seyed8595</t>
  </si>
  <si>
    <t>10.1.139.116/30</t>
  </si>
  <si>
    <t>479</t>
  </si>
  <si>
    <t>C-kharbar izedi8580</t>
  </si>
  <si>
    <t>10.1.138.240/30</t>
  </si>
  <si>
    <t>10.1.139.0/30</t>
  </si>
  <si>
    <t>C-sanaye electric parsa toos8582</t>
  </si>
  <si>
    <t>10.1.138.76/30</t>
  </si>
  <si>
    <t>338</t>
  </si>
  <si>
    <t>C-majmoe saado saltane8596</t>
  </si>
  <si>
    <t>10.1.141.184/30</t>
  </si>
  <si>
    <t>Ashpaz khane melal.dastori</t>
  </si>
  <si>
    <t>C-darmangah shabane rozi salamat8587</t>
  </si>
  <si>
    <t>10.1.142.176/30</t>
  </si>
  <si>
    <t>C-mojtama tejari reza8589</t>
  </si>
  <si>
    <t>10.1.137.164/30</t>
  </si>
  <si>
    <t>C-foroshgah yadaki amiri8584</t>
  </si>
  <si>
    <t>369</t>
  </si>
  <si>
    <t>C-mojtama maskoni satarkhan8603</t>
  </si>
  <si>
    <t>10.1.132.216/30</t>
  </si>
  <si>
    <t>375</t>
  </si>
  <si>
    <t>C-clinic amirali8605</t>
  </si>
  <si>
    <t>10.1.129.8/30</t>
  </si>
  <si>
    <t>C-khadamat khodroei H plus8600</t>
  </si>
  <si>
    <t>10.1.130.72/30</t>
  </si>
  <si>
    <t>534</t>
  </si>
  <si>
    <t>C-mojtama shahrak nasim danesh8597</t>
  </si>
  <si>
    <t>10.1.128.0/30</t>
  </si>
  <si>
    <t>496</t>
  </si>
  <si>
    <t>C-dandanpezeshki salehyar6723</t>
  </si>
  <si>
    <t>IP WAN</t>
  </si>
  <si>
    <t>کارشناس</t>
  </si>
  <si>
    <t>مجتمع پزشکی دارالشفا7562</t>
  </si>
  <si>
    <t>10.1.255.232/30</t>
  </si>
  <si>
    <t>معناویان</t>
  </si>
  <si>
    <t>نمایشگاه کامیون حقیقت8313-C</t>
  </si>
  <si>
    <t>موحدی پور</t>
  </si>
  <si>
    <t>lte</t>
  </si>
  <si>
    <t>38519698-Pasaj-EmamJavad-Cashless</t>
  </si>
  <si>
    <t>10.1.131.48/30</t>
  </si>
  <si>
    <t>دهقان</t>
  </si>
  <si>
    <t>قبلا</t>
  </si>
  <si>
    <t>dsl</t>
  </si>
  <si>
    <t>supermarket turist.cashless.asiatech</t>
  </si>
  <si>
    <t>حسن زاده</t>
  </si>
  <si>
    <t>43336253-IzoogamMehrabi-Marvdasht-Router</t>
  </si>
  <si>
    <t>10.1.134.144/30</t>
  </si>
  <si>
    <t>معمار</t>
  </si>
  <si>
    <t>20.1.0.18</t>
  </si>
  <si>
    <t>pasazh ghane 8175.cashless</t>
  </si>
  <si>
    <t>C-lavazem yadaki omidi7725.cashless</t>
  </si>
  <si>
    <t>10.1.142.80/30</t>
  </si>
  <si>
    <t>C-5143331144.cashless.asiatech(alom fonon kish8249)</t>
  </si>
  <si>
    <t>مولاپور</t>
  </si>
  <si>
    <t>A-804-157-Sina-Hamrah.Asiatech.LAN(7958)</t>
  </si>
  <si>
    <t>دانشمندی</t>
  </si>
  <si>
    <t>37420037-Moshaver-Amlak-Melal-Cashless</t>
  </si>
  <si>
    <t>10.1.129.224/30</t>
  </si>
  <si>
    <t>قاسمی</t>
  </si>
  <si>
    <t>Melal-9301724932-Automobile-Kourosh</t>
  </si>
  <si>
    <t>C-kafe resturan tot farangi7710</t>
  </si>
  <si>
    <t>10.1.142.68/30</t>
  </si>
  <si>
    <t>رنجبر سمنان</t>
  </si>
  <si>
    <t>C-Matab Dr Shojaei.modem.Asiatech</t>
  </si>
  <si>
    <t>C-talim ranandegi parsa7515</t>
  </si>
  <si>
    <t>10.1.255.184/30</t>
  </si>
  <si>
    <t>تهران فدایی</t>
  </si>
  <si>
    <t>C-KMEYDAN MIVE TARE BAR7989</t>
  </si>
  <si>
    <t>10.1.142.208/30</t>
  </si>
  <si>
    <t>اراک رفیعی</t>
  </si>
  <si>
    <t>A-Metro khaje abdola ansari</t>
  </si>
  <si>
    <t>10.1.144.140/30</t>
  </si>
  <si>
    <t>تهران احمدزاده</t>
  </si>
  <si>
    <t>A-809133-Metroamirkabir7940</t>
  </si>
  <si>
    <t>10.1.144.164/30</t>
  </si>
  <si>
    <t>C-pasaj-omat-tabriz5679</t>
  </si>
  <si>
    <t>10.1.144.96/30</t>
  </si>
  <si>
    <t>تبریز پوریوسف</t>
  </si>
  <si>
    <t>C-foroshgah kheyaban shohada6661</t>
  </si>
  <si>
    <t>سمنان رنجبر</t>
  </si>
  <si>
    <t>A-foroshgah zanjire yaran daryan8430</t>
  </si>
  <si>
    <t>10.1.143.80/30</t>
  </si>
  <si>
    <t>A-830-149-Lavazemghanadi6129</t>
  </si>
  <si>
    <t>10.1.134.208/29</t>
  </si>
  <si>
    <t>مازندران باباپور</t>
  </si>
  <si>
    <t>20.1.0.42</t>
  </si>
  <si>
    <t>C-mojtama amozeshi chehramoz 8165</t>
  </si>
  <si>
    <t>C-sherkat mabna4588</t>
  </si>
  <si>
    <t>تهران جاور</t>
  </si>
  <si>
    <t>C-moasse farhangi amozeshi tazkie8465</t>
  </si>
  <si>
    <t>تهران مولاپور</t>
  </si>
  <si>
    <t>C-mojtama ghane8175</t>
  </si>
  <si>
    <t>مشهد دهقان</t>
  </si>
  <si>
    <t>C-borj tejari edari sepehr8007</t>
  </si>
  <si>
    <t>10.1.141.104/30</t>
  </si>
  <si>
    <t>مشهد نژادهاشمی</t>
  </si>
  <si>
    <t>C-mojtama tejari edari mino8481</t>
  </si>
  <si>
    <t>c-5157226237-abzar alat tashakori6722</t>
  </si>
  <si>
    <t>10.1.137.160/30</t>
  </si>
  <si>
    <t>رضوی موحدی</t>
  </si>
  <si>
    <t>c-36136727-Maskan-Sazan-Mahan6960</t>
  </si>
  <si>
    <t>10.1.139.192/30</t>
  </si>
  <si>
    <t>C-foroshgah jabari 8507</t>
  </si>
  <si>
    <t>44057098-Amozeshgah-Ferdovs</t>
  </si>
  <si>
    <t>10.1.132.120/30</t>
  </si>
  <si>
    <t>isako jafarzade6718</t>
  </si>
  <si>
    <t>10.1.137.56/30</t>
  </si>
  <si>
    <t>آذر شرقی پوریوسف</t>
  </si>
  <si>
    <t>Mavad ghazaei ramezani mashhad.7143</t>
  </si>
  <si>
    <t>10.1.141.176/30</t>
  </si>
  <si>
    <t>A-amozesh parvaresh nahie4-8537-</t>
  </si>
  <si>
    <t>تهران صدقی</t>
  </si>
  <si>
    <t>بوشهر سنایی</t>
  </si>
  <si>
    <t>A-Ayneh-Vanak-5519</t>
  </si>
  <si>
    <t>C-parde saray fakhr5433</t>
  </si>
  <si>
    <t>k hplnd</t>
  </si>
  <si>
    <t>C-modern design 7825</t>
  </si>
  <si>
    <t>6.3.17.200/30</t>
  </si>
  <si>
    <t>شعبه ولنجک</t>
  </si>
  <si>
    <t>melal-342</t>
  </si>
  <si>
    <t>6.3.19.96/30</t>
  </si>
  <si>
    <t>شعبه  رشت بهشتی</t>
  </si>
  <si>
    <t>melal-546</t>
  </si>
  <si>
    <t>6.3.18.8/30</t>
  </si>
  <si>
    <t xml:space="preserve">شعبه فردیس کرج </t>
  </si>
  <si>
    <t>6.3.18.220/30</t>
  </si>
  <si>
    <t>شعبه دزفول</t>
  </si>
  <si>
    <t>melal- 524</t>
  </si>
  <si>
    <t>6.3.19.24/30</t>
  </si>
  <si>
    <t>شعبه پونک</t>
  </si>
  <si>
    <t>melal-532</t>
  </si>
  <si>
    <t>6.3.19.36/30</t>
  </si>
  <si>
    <t>melal-443</t>
  </si>
  <si>
    <t>6.3.19.56/30</t>
  </si>
  <si>
    <t>melal-318</t>
  </si>
  <si>
    <t>6.3.19.80/30</t>
  </si>
  <si>
    <t>melal-461</t>
  </si>
  <si>
    <t>6.3.19.88/30</t>
  </si>
  <si>
    <t>ری</t>
  </si>
  <si>
    <t>melal-335</t>
  </si>
  <si>
    <t>6.3.19.92/30</t>
  </si>
  <si>
    <t>melal-379</t>
  </si>
  <si>
    <t>6.3.19.76/30</t>
  </si>
  <si>
    <t>شعبه هفده شهریور</t>
  </si>
  <si>
    <t>melal-533</t>
  </si>
  <si>
    <t>6.3.19.32/30</t>
  </si>
  <si>
    <t>melal-514</t>
  </si>
  <si>
    <t>6.3.16.80/30</t>
  </si>
  <si>
    <t>6.3.16.60/30</t>
  </si>
  <si>
    <t>melal-368</t>
  </si>
  <si>
    <t>6.3.16.76/30</t>
  </si>
  <si>
    <t>melal-500</t>
  </si>
  <si>
    <t>6.3.19.112/30</t>
  </si>
  <si>
    <t>melal-230</t>
  </si>
  <si>
    <t>6.3.19.116/30</t>
  </si>
  <si>
    <t>melal-558</t>
  </si>
  <si>
    <t>6.3.19.200/30</t>
  </si>
  <si>
    <t>melal-499</t>
  </si>
  <si>
    <t>6.3.19.204/30</t>
  </si>
  <si>
    <t>melal-314</t>
  </si>
  <si>
    <t>6.3.19.208/30</t>
  </si>
  <si>
    <t>melal-216</t>
  </si>
  <si>
    <t>6.3.19.212/30</t>
  </si>
  <si>
    <t>melal-214</t>
  </si>
  <si>
    <t>6.3.19.216/30</t>
  </si>
  <si>
    <t>10.3.27.1/26-VLAN100</t>
  </si>
  <si>
    <t>10.3.27.2/30</t>
  </si>
  <si>
    <t>10.3.47.1/26-VLAN100</t>
  </si>
  <si>
    <t>10.3.47.2/30</t>
  </si>
  <si>
    <t>10.4.9.1/26-VLAN100</t>
  </si>
  <si>
    <t>10.4.9.2/30</t>
  </si>
  <si>
    <t>192.168.133.1/29-Used:192.168.133.2-4/29</t>
  </si>
  <si>
    <t>192.168.133.4/29</t>
  </si>
  <si>
    <t>192.168.133.3/29</t>
  </si>
  <si>
    <t>10.3.2.1/26-VLAN 100</t>
  </si>
  <si>
    <t>10.3.2.2/30</t>
  </si>
  <si>
    <t>10.3.3.1/24-VLAN100</t>
  </si>
  <si>
    <t>10.3.3.2/30</t>
  </si>
  <si>
    <t>10.3.5.1/26-VLAN100</t>
  </si>
  <si>
    <t>10.3.5.2/30</t>
  </si>
  <si>
    <t>Tehran:33.1.3.5/20</t>
  </si>
  <si>
    <t>10.3.6.1/26-VLAN 100</t>
  </si>
  <si>
    <t>10.3.6.2/30</t>
  </si>
  <si>
    <t>10.3.7.1/26-VLAN100</t>
  </si>
  <si>
    <t>10.3.7.2/30</t>
  </si>
  <si>
    <t>10.3.9.1/26-VLAN100</t>
  </si>
  <si>
    <t>10.3.9.2/30</t>
  </si>
  <si>
    <t>10.3.16.1/26-VLAN100</t>
  </si>
  <si>
    <t>10.3.16.2/30</t>
  </si>
  <si>
    <t>10.3.42.1/26-VLAN100</t>
  </si>
  <si>
    <t>10.3.42.2/30</t>
  </si>
  <si>
    <t>6.3.19.98/30</t>
  </si>
  <si>
    <t>10.3.60.1/26-VLAN100</t>
  </si>
  <si>
    <t>10.4.23.1/26-VLAN100</t>
  </si>
  <si>
    <t>10.4.23.2/30</t>
  </si>
  <si>
    <t>192.168.214.14/27</t>
  </si>
  <si>
    <t>10.2.56.1/26-VLAN 100</t>
  </si>
  <si>
    <t>10.2.56.2/30</t>
  </si>
  <si>
    <t>10.2.57.2/30</t>
  </si>
  <si>
    <t>10.2.82.1/26-VLAN100</t>
  </si>
  <si>
    <t>10.2.82.2/30</t>
  </si>
  <si>
    <t>10.2.83.1/26-VLAN100</t>
  </si>
  <si>
    <t>10.2.83.2/30</t>
  </si>
  <si>
    <t>10.2.91.2/306</t>
  </si>
  <si>
    <t>10.3.10.1/26-VLAN100</t>
  </si>
  <si>
    <t>10.2.91.1/26-VLAN100</t>
  </si>
  <si>
    <t>10.3.10.2/30</t>
  </si>
  <si>
    <t>10.3.11.1/26-VLAN100</t>
  </si>
  <si>
    <t>10.3.11.2/30</t>
  </si>
  <si>
    <t>10.3.24.1/26-VLAN100</t>
  </si>
  <si>
    <t>10.3.24.2/30</t>
  </si>
  <si>
    <t>10.3.26.1/26-VLAN100</t>
  </si>
  <si>
    <t>10.3.26.2/30</t>
  </si>
  <si>
    <t>10.3.48.1/26-VLAN100</t>
  </si>
  <si>
    <t>10.3.48.2/30</t>
  </si>
  <si>
    <t>10.3.66.1/26-VLAN100</t>
  </si>
  <si>
    <t>10.3.66.2/30</t>
  </si>
  <si>
    <t>10.4.34.1/26-VLAN100</t>
  </si>
  <si>
    <t>10.4.34.2/30</t>
  </si>
  <si>
    <t>10.4.49.1/266-VLAN100</t>
  </si>
  <si>
    <t>10.4.49.2/30</t>
  </si>
  <si>
    <t>192.168.230.66/29</t>
  </si>
  <si>
    <t xml:space="preserve"> قطعی است؟10.8.25.137/30</t>
  </si>
  <si>
    <t>172.60.1.138/30</t>
  </si>
  <si>
    <t>192.168.230.89/26</t>
  </si>
  <si>
    <t>10.3.14.1/25-VLAN100-10.0.32.1/26-VLAN101-10.9.125.129/29-VLAN125-90.90.90.64/30-Connected</t>
  </si>
  <si>
    <t>10.3.14.99 /25-10.3.14.100/25</t>
  </si>
  <si>
    <t>10.3.37.2/30</t>
  </si>
  <si>
    <t>10.3.37.1/26-VLAN100</t>
  </si>
  <si>
    <t>10.3.52.1/26-VLAN100</t>
  </si>
  <si>
    <t>10.3.95.1/26-VLAN100</t>
  </si>
  <si>
    <t>10.4.0.1/26-VLAN100</t>
  </si>
  <si>
    <t>10.4.79.1/26-VLAN100</t>
  </si>
  <si>
    <t>10.4.80.1/26-VLAN100</t>
  </si>
  <si>
    <t>10.5.48.1/26-VLAN100</t>
  </si>
  <si>
    <t>10.3.52.2/30</t>
  </si>
  <si>
    <t>10.3.95.2/30</t>
  </si>
  <si>
    <t>10.4.0.2/30</t>
  </si>
  <si>
    <t>10.4.79.2/30</t>
  </si>
  <si>
    <t>10.4.80.2/30</t>
  </si>
  <si>
    <t>10.5.48.2/30</t>
  </si>
  <si>
    <t>192.168.138.2/28</t>
  </si>
  <si>
    <t>192.168.138.3/28</t>
  </si>
  <si>
    <t>192.168.138.4/28</t>
  </si>
  <si>
    <t>192.168.138.5/28</t>
  </si>
  <si>
    <t>192.168.138.6/28</t>
  </si>
  <si>
    <t>192.168.138.7/28</t>
  </si>
  <si>
    <t>192.168.138.9/28</t>
  </si>
  <si>
    <t>192.168.138.65/29</t>
  </si>
  <si>
    <t>192.168.138.1/28</t>
  </si>
  <si>
    <t>6.3.19.210/30</t>
  </si>
  <si>
    <t>6.8.19.210/22</t>
  </si>
  <si>
    <t>192.168.138.66/29</t>
  </si>
  <si>
    <t xml:space="preserve"> ip unnumbered FastEthernet0/0</t>
  </si>
  <si>
    <t>10.3.15.2/25-VLAN100</t>
  </si>
  <si>
    <t>10.3.15.99/25</t>
  </si>
  <si>
    <t>10.3.82.1/26-VLAN100</t>
  </si>
  <si>
    <t>10.3.82.2/30</t>
  </si>
  <si>
    <t>10.4.67.1/26-VLAN100</t>
  </si>
  <si>
    <t>10.4.67.2/30</t>
  </si>
  <si>
    <t>10.3.60.2/30</t>
  </si>
  <si>
    <t>6.3.19.82/30</t>
  </si>
  <si>
    <t>Tehran:6.8.19.82/22-Anti: 40.1.0.32/21 -Semnan:42.1.3.18/21</t>
  </si>
  <si>
    <t>10.3.19.1/26-VLAN100</t>
  </si>
  <si>
    <t>10.3.19.2/30</t>
  </si>
  <si>
    <t>192.168.217.66/30</t>
  </si>
  <si>
    <t>192.168.216.66/29</t>
  </si>
  <si>
    <t>192.168.216.65/29</t>
  </si>
  <si>
    <t>دی ماه 1404 جمع اوری شد</t>
  </si>
  <si>
    <t xml:space="preserve"> جمع آوریVSAT</t>
  </si>
  <si>
    <t>10.3.38.1/26-VLAN100</t>
  </si>
  <si>
    <t>10.3.38.2/30</t>
  </si>
  <si>
    <t>192.168.217.67/29</t>
  </si>
  <si>
    <t>192.168.216.67/29</t>
  </si>
  <si>
    <t>10.3.76.2/30</t>
  </si>
  <si>
    <t>10.3.76.1/26-VLAN100</t>
  </si>
  <si>
    <t>192.168.217.2/30</t>
  </si>
  <si>
    <t>192.168.216.2/30</t>
  </si>
  <si>
    <t>10.4.37.2/30</t>
  </si>
  <si>
    <t>10.4.37.1/26-VLAN100</t>
  </si>
  <si>
    <t>192.168.217.3/29</t>
  </si>
  <si>
    <t>192.168.216.3/29</t>
  </si>
  <si>
    <t>10.4.41.2/30</t>
  </si>
  <si>
    <t>10.4.41.1/26-VLAN100</t>
  </si>
  <si>
    <t>192.168.217.68/29</t>
  </si>
  <si>
    <t>192.168.216.68/29</t>
  </si>
  <si>
    <t>C-parde saray shaghayegh7997.MPLS</t>
  </si>
  <si>
    <t>254031114637</t>
  </si>
  <si>
    <t>10.8.25.185/30</t>
  </si>
  <si>
    <t>WAN:10.139.21.0/24-LAN:10.20.210.2/30</t>
  </si>
  <si>
    <t>6.8.17.194/30</t>
  </si>
  <si>
    <t>FastEthernet0/0.19</t>
  </si>
  <si>
    <t>VLAN 22-FE17 SW</t>
  </si>
  <si>
    <t>FOS?</t>
  </si>
  <si>
    <t>FTTH?</t>
  </si>
  <si>
    <t>192.168.255.1/29(PTMP-FTTH)</t>
  </si>
  <si>
    <t>192.13.66.14/30</t>
  </si>
  <si>
    <t>192.168.255.2/29</t>
  </si>
  <si>
    <t>192.168.255.3/29</t>
  </si>
  <si>
    <t xml:space="preserve">L1:   8.1.3.15/32-192.13.66.2/29(467,382) L315:  10.139.7.1/24
</t>
  </si>
  <si>
    <t>192.168.187.1/29</t>
  </si>
  <si>
    <t>192.168.186.65/28(Branch)</t>
  </si>
  <si>
    <t>10.4.13.1/26-VLAN100</t>
  </si>
  <si>
    <t>10.4.20.1/26-VLAN100</t>
  </si>
  <si>
    <t>192.168.187.5/29</t>
  </si>
  <si>
    <t>192.168.186.66/29</t>
  </si>
  <si>
    <t>10.4.29.1/26-VLAN100</t>
  </si>
  <si>
    <t>192.168.187.7/28</t>
  </si>
  <si>
    <t>192.168.186.70/29</t>
  </si>
  <si>
    <t>10.5.54.1/26-VLAN100</t>
  </si>
  <si>
    <t>192.168.187.4 /29</t>
  </si>
  <si>
    <t>192.168.186.68/29</t>
  </si>
  <si>
    <t>10.5.4.1/26-VLAN100</t>
  </si>
  <si>
    <t>10.5.4.2/30</t>
  </si>
  <si>
    <t>192.168.146.5/29</t>
  </si>
  <si>
    <t>192.168.146.4/29</t>
  </si>
  <si>
    <t>10.5.21.1/26-VLAN100</t>
  </si>
  <si>
    <t>10.5.21.2/30</t>
  </si>
  <si>
    <t>طبق دستورالعمل هییت سرپرستی در فروردین 1405</t>
  </si>
  <si>
    <t xml:space="preserve"> جمع اوری شبکهVSAT</t>
  </si>
  <si>
    <t>قبض 609608 اینترانت گلسار</t>
  </si>
  <si>
    <t>1399150048
609608</t>
  </si>
  <si>
    <t>هردو یک قبض دارند-----&gt;</t>
  </si>
  <si>
    <t>536365</t>
  </si>
  <si>
    <t>VIP:172.19.56.74/29(75,76)-vlan 610</t>
  </si>
  <si>
    <t>94018238189-640540</t>
  </si>
  <si>
    <t>VIP:172.21.16.6/29(1,2)-vlan 901</t>
  </si>
  <si>
    <t>172.16.84.198/28-vlan466</t>
  </si>
  <si>
    <t xml:space="preserve">960112395717-9706063713-9602018015 </t>
  </si>
  <si>
    <t>661840-960111434479</t>
  </si>
  <si>
    <t>Port-channel1.906:172.21.48.208/29-HA-213,214-VIP(210)-Vlan 906</t>
  </si>
  <si>
    <t>Port-channel1.111:100.111.100.1/24 LAN HA(2,3)</t>
  </si>
  <si>
    <t>Port-channel2.2500:172.21.145.0/29-HA-3,4-VIP(2500)</t>
  </si>
  <si>
    <t>Tu1:98.1.1.2/30 VDI-MPLS</t>
  </si>
  <si>
    <t>Port-channel1.140:10.100.140.1/24 FAM-VDI HA(2,3)</t>
  </si>
  <si>
    <t>Tu2:98.1.1.6/30 VDI-MOBINET</t>
  </si>
  <si>
    <t>Port-channel1.142:10.100.142.1/24 FAM-CASE HA(2,3)</t>
  </si>
  <si>
    <t>Tu3:98.1.1.10/30 CASE-MPLS-MELAL</t>
  </si>
  <si>
    <t>Port-channel1.144:10.100.144.1/24 MELAL-VDI HA(2,3)</t>
  </si>
  <si>
    <t>Tu4:98.1.1.14/30 CASE-MOBINET-MELAL</t>
  </si>
  <si>
    <t>Port-channel1.146:10.100.146.1/24 MELAL-CASE HA(2,3)</t>
  </si>
  <si>
    <t>Tu5:98.1.1.18/30 CASE-MPLS-FAM</t>
  </si>
  <si>
    <t>Port-channel1.148:10.100.148.1/24 VOIP HA(2,3)</t>
  </si>
  <si>
    <t>Tu6:98.1.1.22/30 CASE-MOBINET-FAM</t>
  </si>
  <si>
    <t>Port-channel1.150:10.100.150.1/24 CAMERA HA(2,3)</t>
  </si>
  <si>
    <t>Tu7:98.1.1.26/30-CAMERA</t>
  </si>
  <si>
    <t>Tu8:98.1.1.29/30 VDI-INTRANET</t>
  </si>
  <si>
    <t>Tu9:98.1.1.33/30 CASE-INTRANET-MELAL</t>
  </si>
  <si>
    <t>Tu10:98.1.1.37/30 CASE-INTRANET-FAM</t>
  </si>
  <si>
    <t>Port-channel2.2501:172.19.35.248/30-VIP(2501)</t>
  </si>
  <si>
    <t>بی سیم-رادیو</t>
  </si>
  <si>
    <t>Port-channel2.600 : 6.3.18.24/29-HA-26,27</t>
  </si>
  <si>
    <t>Gig 0/3-Gig 0/4---&gt;SW-100.111.100.15(SW-Aggregation)</t>
  </si>
  <si>
    <t>WS-C2960-48PST-S</t>
  </si>
  <si>
    <t>IOS: CAT3K_CAA-UNIVERSALK9</t>
  </si>
  <si>
    <t>Gig 1/0/47-Gig 1/0/48---&gt;SW-100.111.100.15(SW-Aggregation)</t>
  </si>
  <si>
    <t>Gig 2/0/47-Gig 1/0/47---&gt;R-100.111.100.2( R-BRAZIL-A)
Gig 2/0/45-Gig 1/0/45---&gt;R-100.111.100.2( R-BRAZIL-A)
TenGig 1/1/1-TenGig 2/1/2---&gt;SW-100.107.1.2( SW-4500)
TenGig 1/1/2-TenGig 2/1/1---&gt;SW-100.107.1.2( SW-4500)</t>
  </si>
  <si>
    <t xml:space="preserve">WS-C3850-48P </t>
  </si>
  <si>
    <t>Sw-Monitoring.</t>
  </si>
  <si>
    <t>100.111.100.26</t>
  </si>
  <si>
    <t>fa0/24---&gt;SW-100.111.100.11(SW-Floor6-1-68Sharghi)</t>
  </si>
  <si>
    <t xml:space="preserve">WS-C2960-24TT-L </t>
  </si>
  <si>
    <t>10.5.14.1/26-VLAN100</t>
  </si>
  <si>
    <t>10.5.14.2/30</t>
  </si>
  <si>
    <t>192.168.122.72/28</t>
  </si>
  <si>
    <t>192.168.123.72/28</t>
  </si>
  <si>
    <t>10.5.16.1/26-VLAN100</t>
  </si>
  <si>
    <t>10.5.16.2/30</t>
  </si>
  <si>
    <t>10.5.13.1/26-VLAN100</t>
  </si>
  <si>
    <t>10.5.13.2/30</t>
  </si>
  <si>
    <t>10.5.8.1/26-VLAN100</t>
  </si>
  <si>
    <t>10.5.8.2/30</t>
  </si>
  <si>
    <t>10.5.7.1/26-VLAN100</t>
  </si>
  <si>
    <t>10.5.7.2/30</t>
  </si>
  <si>
    <t>10.5.6.1/26-VLAN100</t>
  </si>
  <si>
    <t>10.5.6.2/30</t>
  </si>
  <si>
    <t>10.5.3.2/30</t>
  </si>
  <si>
    <t>10.5.3.1/26-VLAN100</t>
  </si>
  <si>
    <t>10.5.2.1/26-VLAN100</t>
  </si>
  <si>
    <t>10.5.2.2/30</t>
  </si>
  <si>
    <t>10.5.1.2/30</t>
  </si>
  <si>
    <t>10.5.1.1/26-VLAN100</t>
  </si>
  <si>
    <t>10.5.0.1/26-VLAN100</t>
  </si>
  <si>
    <t>10.5.0.2/30</t>
  </si>
  <si>
    <t>10.5.17.1/26-VLAN100</t>
  </si>
  <si>
    <t>10.5.17.2/30</t>
  </si>
  <si>
    <t>10.5.18.1/26-VLAN100</t>
  </si>
  <si>
    <t>10.5.18.2/30</t>
  </si>
  <si>
    <t>10.175.157.138/29</t>
  </si>
  <si>
    <t>12.0.0.13/28</t>
  </si>
  <si>
    <t>طبق دستورالعمل هییت سرپرستی در خرداد11ام 1405</t>
  </si>
  <si>
    <t>192.168.122.66/30</t>
  </si>
  <si>
    <t>192.168.122.131/29</t>
  </si>
  <si>
    <t>192.168.122.132/29</t>
  </si>
  <si>
    <t>192.168.122.133/29</t>
  </si>
  <si>
    <t>192.168.123.68/29</t>
  </si>
  <si>
    <t>192.168.122.68/29</t>
  </si>
  <si>
    <t>10.3.21.2 /30</t>
  </si>
  <si>
    <t>10.3.28.2 /30</t>
  </si>
  <si>
    <t>10.3.21.1/26-VLAN100</t>
  </si>
  <si>
    <t>10.3.28.1/26-VLAN100</t>
  </si>
  <si>
    <t>10.3.34.1/26-VLAN100</t>
  </si>
  <si>
    <t>10.3.34.2/30</t>
  </si>
  <si>
    <t>192.168.122.134/29</t>
  </si>
  <si>
    <t>10.3.35.2/30</t>
  </si>
  <si>
    <t>10.3.35.1/26-VLAN100</t>
  </si>
  <si>
    <t>961513140460-2180017987</t>
  </si>
  <si>
    <t>961511227687-2180017750</t>
  </si>
  <si>
    <t>961513140563-2180017989</t>
  </si>
  <si>
    <t>971514912942-80018743</t>
  </si>
  <si>
    <t>971514912944-40041384</t>
  </si>
  <si>
    <t>2180023438</t>
  </si>
  <si>
    <t>9304383659-2140050199</t>
  </si>
  <si>
    <t>6.8.19.94/20</t>
  </si>
  <si>
    <t>6.3.19.94/30</t>
  </si>
  <si>
    <t>10.3.63.1/26-VLAN100</t>
  </si>
  <si>
    <t>10.3.63.2/30</t>
  </si>
  <si>
    <t>192.168.122.70/29</t>
  </si>
  <si>
    <t>192.168.123.75/28</t>
  </si>
  <si>
    <t>192.168.122.71/28</t>
  </si>
  <si>
    <t>192.168.123.84/28</t>
  </si>
  <si>
    <t>10.3.68.2/30</t>
  </si>
  <si>
    <t>10.3.68.1/26-VLAN100</t>
  </si>
  <si>
    <t>10.4.30.1/26-VLAN100</t>
  </si>
  <si>
    <t>10.4.30.2/30</t>
  </si>
  <si>
    <t>192.168.122.73/28</t>
  </si>
  <si>
    <t>6.3.18.222/30</t>
  </si>
  <si>
    <t>6.8.18.222/20</t>
  </si>
  <si>
    <t>10.4.32.1/26-VLAN100</t>
  </si>
  <si>
    <t>10.4.32.2/30</t>
  </si>
  <si>
    <t>6.8.18.106/20</t>
  </si>
  <si>
    <t>192.168.122.135/28</t>
  </si>
  <si>
    <t>192.168.123.94/30</t>
  </si>
  <si>
    <t>10.5.38.2/30</t>
  </si>
  <si>
    <t>10.5.38.1/26-VLAN100</t>
  </si>
  <si>
    <t>192.168.122.136/28</t>
  </si>
  <si>
    <t>10.5.47.2/30</t>
  </si>
  <si>
    <t>10.5.47.1/26-VLAN100</t>
  </si>
  <si>
    <t>192.168.122.137/28</t>
  </si>
  <si>
    <t>10.5.49.1/26-VLAN100</t>
  </si>
  <si>
    <t>10.5.49.2/30</t>
  </si>
  <si>
    <t>10.5.51.1/26-VLAN100</t>
  </si>
  <si>
    <t>10.5.51.2/30</t>
  </si>
  <si>
    <t>192.168.122.139/28</t>
  </si>
  <si>
    <t>12.0.0.2/30</t>
  </si>
  <si>
    <t>10.3.36.1/26-VLAN100</t>
  </si>
  <si>
    <t>10.3.36.2/30</t>
  </si>
  <si>
    <t>10.3.71.1/26-VLAN100</t>
  </si>
  <si>
    <t>10.3.71.2/30</t>
  </si>
  <si>
    <t>12.0.0.3/29</t>
  </si>
  <si>
    <t>12.0.0.4/29</t>
  </si>
  <si>
    <t>10.3.85.1/26-VLAN100</t>
  </si>
  <si>
    <t>10.3.85.2/30</t>
  </si>
  <si>
    <t>10.3.89.1/26-VLAN100</t>
  </si>
  <si>
    <t>10.3.89.2/30</t>
  </si>
  <si>
    <t>12.0.0.5/29</t>
  </si>
  <si>
    <t>10.4.422.1/26-VLAN100</t>
  </si>
  <si>
    <t>10.4.22.2/30</t>
  </si>
  <si>
    <t>12.0.0.6/28</t>
  </si>
  <si>
    <t>6.8.19.66/22</t>
  </si>
  <si>
    <t>6.3.19.66/30</t>
  </si>
  <si>
    <t>12.0.0.7/28</t>
  </si>
  <si>
    <t>10.4.36.1/26-VLAN100</t>
  </si>
  <si>
    <t>10.4.36.2/30</t>
  </si>
  <si>
    <t>12.0.0.8/28</t>
  </si>
  <si>
    <t>10.4.39.1/26-VLAN100</t>
  </si>
  <si>
    <t>10.4.39.2/30</t>
  </si>
  <si>
    <t>10.4.48.1/26-VLAN100</t>
  </si>
  <si>
    <t>10.4.48.2/30</t>
  </si>
  <si>
    <t>10.5.20.1/26-VLAN100</t>
  </si>
  <si>
    <t>10.5.20.2/30</t>
  </si>
  <si>
    <t>12.0.0.9/28</t>
  </si>
  <si>
    <t>15.0.4.1/27-VLAN100-FAM:10.9.125.161/29</t>
  </si>
  <si>
    <t>15.0.4.2/30</t>
  </si>
  <si>
    <t>10.5.22.1/26-VLAN100</t>
  </si>
  <si>
    <t>10.5.23.1/26-VLAN100</t>
  </si>
  <si>
    <t>10.5.22.2/30</t>
  </si>
  <si>
    <t>10.5.23.2/30</t>
  </si>
  <si>
    <t xml:space="preserve"> عطف به نیاز شعبه ارتقا به 1مگ انجام شد-10.5.19.1/26-VLAN100</t>
  </si>
  <si>
    <t>10.5.19.2/30</t>
  </si>
  <si>
    <t>عطف به نیاز شعبه ارتقا به 1مگ انجام شد-10.5.24.1/26-VLAN100</t>
  </si>
  <si>
    <t>10.5.24.2/30</t>
  </si>
  <si>
    <t>10.5.25.1/26-VLAN100</t>
  </si>
  <si>
    <t>10.5.25.2/30</t>
  </si>
  <si>
    <t>10.5.26.1/26-VLAN100</t>
  </si>
  <si>
    <t>10.5.26.2/30</t>
  </si>
  <si>
    <t>6.8.19.22/22</t>
  </si>
  <si>
    <t>6.3.19.22/30</t>
  </si>
  <si>
    <t>10.5.27.1/25-VLAN100-10.9.125.57/29VLAN125-Hoze Jonob:10.0.25.1/26-VoIP:20.5.27.1/24</t>
  </si>
  <si>
    <t>10.5.27.2/30-105.27.100/25</t>
  </si>
  <si>
    <t>6.3.19.26/30</t>
  </si>
  <si>
    <t>6.8.19.26/22</t>
  </si>
  <si>
    <t>10.5.28.1/26-VLAN100</t>
  </si>
  <si>
    <t>10.5.28.2/30</t>
  </si>
  <si>
    <t>10.5.29.1/26-VLAN100</t>
  </si>
  <si>
    <t>10.5.29.2/30</t>
  </si>
  <si>
    <t>10.5.30.2/30</t>
  </si>
  <si>
    <t>10.5.30.1/26-VLAN100</t>
  </si>
  <si>
    <t>6.3.19.58/30</t>
  </si>
  <si>
    <t>6.8.19.58/22</t>
  </si>
  <si>
    <t>10.5.31.1/26-VLAN100</t>
  </si>
  <si>
    <t>10.5.31.2/30</t>
  </si>
  <si>
    <t>10.5.33.2/30</t>
  </si>
  <si>
    <t>6.8.19.34/22</t>
  </si>
  <si>
    <t>6.3.19.34/30</t>
  </si>
  <si>
    <t>6.8.19.38/22</t>
  </si>
  <si>
    <t>6.3.19.38/30</t>
  </si>
  <si>
    <t>علت تراست شدن بعضی پورت های سوئیچ چک شود-بررسی شود این شعبه فیبردارد یاخیر-ظرفیت ها هم چک شود</t>
  </si>
  <si>
    <t>10.5.33.1/25-VLAN100</t>
  </si>
  <si>
    <t>10.5.32.1/25-VLAN100-10.9.125.65/29-VLAN125-Hoze:10.0.22.1/26</t>
  </si>
  <si>
    <t>10.5.35.1/26-VLAN100</t>
  </si>
  <si>
    <t>10.5.35.2/30</t>
  </si>
  <si>
    <t>10.5.36.1/26-VLAN100</t>
  </si>
  <si>
    <t>10.5.36.2/30</t>
  </si>
  <si>
    <t>10.5.39.1/26-VLAN100</t>
  </si>
  <si>
    <t>10.5.39.2/30</t>
  </si>
  <si>
    <t>192.40.2.58/30</t>
  </si>
  <si>
    <t>192.40.2.57/30</t>
  </si>
  <si>
    <t>10.4.12.1/25-VLAN100</t>
  </si>
  <si>
    <t>10.4.12.99 /25</t>
  </si>
  <si>
    <t>192.168.164.130/30</t>
  </si>
  <si>
    <t>10.2.16.4/29</t>
  </si>
  <si>
    <t>10.5.40.1/26-VLAN100</t>
  </si>
  <si>
    <t>105.40.2/30</t>
  </si>
  <si>
    <t>10.3.20.1/26-VLAN100</t>
  </si>
  <si>
    <t>10.3.20.2/30</t>
  </si>
  <si>
    <t>10.3.64.1/26-VLAN100</t>
  </si>
  <si>
    <t>10.3.64.2/30</t>
  </si>
  <si>
    <t>192.168.164.3/29</t>
  </si>
  <si>
    <t>192.168.164.2/30</t>
  </si>
  <si>
    <t>592059</t>
  </si>
  <si>
    <t>10.4.15.1/26-VLAN100</t>
  </si>
  <si>
    <t>10.4.15.2/30</t>
  </si>
  <si>
    <t>10.4.16.2/30</t>
  </si>
  <si>
    <t>10.4.16.1/26-VLAN100</t>
  </si>
  <si>
    <t>192.168.164.5/29</t>
  </si>
  <si>
    <t>192.168.164.4/29</t>
  </si>
  <si>
    <t>10.2.16.5/29</t>
  </si>
  <si>
    <t>192.168.164.131/29</t>
  </si>
  <si>
    <t>192.168.164.6/29</t>
  </si>
  <si>
    <t>10.2.16.1/29</t>
  </si>
  <si>
    <t>192.168.164.1/29(Branch)</t>
  </si>
  <si>
    <t xml:space="preserve">L10:   100.100.100.100/32
</t>
  </si>
  <si>
    <t>192.168.164.129/29(Branch)</t>
  </si>
  <si>
    <t>10.5.41.1/26-VLAN100</t>
  </si>
  <si>
    <t>192.168.155.4/29</t>
  </si>
  <si>
    <t>192.168.155.3/29</t>
  </si>
  <si>
    <t>192.168.155.1/29</t>
  </si>
  <si>
    <t>10.4.95.1/26-VLAN100</t>
  </si>
  <si>
    <t>10.4.95.2/30</t>
  </si>
  <si>
    <t>10.5.41.2/30</t>
  </si>
  <si>
    <t>10.3.72.1/25-VLAN100</t>
  </si>
  <si>
    <t>10.3.72.99/25</t>
  </si>
  <si>
    <t>جمع اوری VSAT</t>
  </si>
  <si>
    <t>10.5.42.2 /30</t>
  </si>
  <si>
    <t>10.5.42.1/26-VLAN100</t>
  </si>
  <si>
    <t>10.5.44.1/26-VLAN100</t>
  </si>
  <si>
    <t>10.5.44.2/30</t>
  </si>
  <si>
    <t>10.5.45.1/26-VLAN100</t>
  </si>
  <si>
    <t>10.5.45.2/30</t>
  </si>
  <si>
    <t>6.8.18.10/22</t>
  </si>
  <si>
    <t>10.5.46.2/30</t>
  </si>
  <si>
    <t>10.5.46.1/26-VLAN100</t>
  </si>
  <si>
    <t>10.5.5.1/26-VLAN100</t>
  </si>
  <si>
    <t>10.5.5.2/30</t>
  </si>
  <si>
    <t>10.5.50.1/26-VLAN100</t>
  </si>
  <si>
    <t>10.5.50.2/30</t>
  </si>
  <si>
    <t>10.5.54.2/30</t>
  </si>
  <si>
    <t>10.5.58.1/26-VLAN100</t>
  </si>
  <si>
    <t>10.5.58.2/30</t>
  </si>
  <si>
    <t>10.5.59.1/26-VLAN100</t>
  </si>
  <si>
    <t>10.5.59.2/30</t>
  </si>
  <si>
    <t>10.5.61.1/26-VLAN100</t>
  </si>
  <si>
    <t>10.5.61.2/30</t>
  </si>
  <si>
    <t>10.3.30.1/26-VLAN100</t>
  </si>
  <si>
    <t>10.3.30.2/30</t>
  </si>
  <si>
    <t>10.3.51.1/26-VLAN100</t>
  </si>
  <si>
    <t>10.3.51.2/30</t>
  </si>
  <si>
    <t>10.3.54.1/26-VLAN100</t>
  </si>
  <si>
    <t>10.3.54.2/30</t>
  </si>
  <si>
    <t>10.3.62.1/26-VLAN100</t>
  </si>
  <si>
    <t>10.3.62.2/30</t>
  </si>
  <si>
    <t>192.168.160.4/29</t>
  </si>
  <si>
    <t>192.168.160.3/29</t>
  </si>
  <si>
    <t>192.168.160.1/29</t>
  </si>
  <si>
    <t>10.3.73.1/26-VLAN100</t>
  </si>
  <si>
    <t>10.3.73.2/30</t>
  </si>
  <si>
    <t>10.4.42.1/26-VLAN100</t>
  </si>
  <si>
    <t>10.4.42.2/30</t>
  </si>
  <si>
    <t>جمع اوریVSAT</t>
  </si>
  <si>
    <t>طبق دستورالعمل هییت سرپرستی در خرداد10ام 1405-فروش ساختمان</t>
  </si>
  <si>
    <t>جمع VSAT</t>
  </si>
  <si>
    <t>10.4.92.1/26-VLAN100</t>
  </si>
  <si>
    <t>10.4.92.2/30</t>
  </si>
  <si>
    <t>192.168.239.4/29</t>
  </si>
  <si>
    <t>192.168.238.4/29</t>
  </si>
  <si>
    <t>10.4.17.1/26-VLAN100</t>
  </si>
  <si>
    <t>10.4.17.2/30</t>
  </si>
  <si>
    <t>192.168.239.3/29</t>
  </si>
  <si>
    <t>192.168.238.3/29</t>
  </si>
  <si>
    <t>10.4.3.1/26-VLAN100</t>
  </si>
  <si>
    <t>10.4.3.2/30</t>
  </si>
  <si>
    <t>192.168.239.2/30</t>
  </si>
  <si>
    <t>192.168.238.2/30</t>
  </si>
  <si>
    <t>تنظیم نامه عودت ودیعه وجمع اوری</t>
  </si>
  <si>
    <t>10.3.84.99 /25</t>
  </si>
  <si>
    <t>192.168.239.1/29</t>
  </si>
  <si>
    <t>192.168.238.1/29</t>
  </si>
  <si>
    <t xml:space="preserve"> به درخواست شعبه وبررسی گراف ترافیکی ارتقا به 2 انجام شد--10.4.93.1/26-VLAN100</t>
  </si>
  <si>
    <t>10.4.93.2/30</t>
  </si>
  <si>
    <t>10.4.94.2/30</t>
  </si>
  <si>
    <t>10.4.94.1/26-VLAN100</t>
  </si>
  <si>
    <t>10.2.65.1/26-VLAN100</t>
  </si>
  <si>
    <t>10.2.61.1/26-VLAN100</t>
  </si>
  <si>
    <t>10.2.51.1/26-VLAN100</t>
  </si>
  <si>
    <t>10.4.98.1/26-VLAN100</t>
  </si>
  <si>
    <t>10.4.98.2/30</t>
  </si>
  <si>
    <t>192.168.170.6/29</t>
  </si>
  <si>
    <t>10.4.70.1/26-VLAN100</t>
  </si>
  <si>
    <t>10.4.70.2/30</t>
  </si>
  <si>
    <t>192.168.170.4/29</t>
  </si>
  <si>
    <t>10.4.40.2/30</t>
  </si>
  <si>
    <t>192.168.170.2/29</t>
  </si>
  <si>
    <t>10.4.27.2/30</t>
  </si>
  <si>
    <t>192.168.170.5/29</t>
  </si>
  <si>
    <t>192.13.66.34/30</t>
  </si>
  <si>
    <t>192.13.66.26/30</t>
  </si>
  <si>
    <t>192.13.66.30/30</t>
  </si>
  <si>
    <t>192.13.66.18/30</t>
  </si>
  <si>
    <t>10.4.5.1/26-VLAN100</t>
  </si>
  <si>
    <t>10.4.40.1/26-VLAN100</t>
  </si>
  <si>
    <t>10.4.27.1/26-VLAN100</t>
  </si>
  <si>
    <t>10.4.5.2/30</t>
  </si>
  <si>
    <t>192.13.66.22/30</t>
  </si>
  <si>
    <t>192.168.170.3/29</t>
  </si>
  <si>
    <t>VLAN1237-Fa0/22 SW</t>
  </si>
  <si>
    <t>VLAN1324-Fa0/22 SW</t>
  </si>
  <si>
    <t>VLAN2206-Fa0/22 SW</t>
  </si>
  <si>
    <t>VSAT جمع اوری</t>
  </si>
  <si>
    <t>شعبه  گلستان/گالیکاش</t>
  </si>
  <si>
    <t>کیان پارس اهواز</t>
  </si>
  <si>
    <t>افسریه</t>
  </si>
  <si>
    <t>صفی آباد</t>
  </si>
  <si>
    <t>melal-343</t>
  </si>
  <si>
    <t>6.3.19.232/30</t>
  </si>
  <si>
    <t>55459004-Restauran-Khatoon-Kashan.Cashless</t>
  </si>
  <si>
    <t>10.1.134.112/30</t>
  </si>
  <si>
    <t>کاشان زارع</t>
  </si>
  <si>
    <t>10.1.141.72/30</t>
  </si>
  <si>
    <t>C-moasese fizioterapi hali8143</t>
  </si>
  <si>
    <t>10.1.128.248/30</t>
  </si>
  <si>
    <t>10.1.133.122</t>
  </si>
  <si>
    <t>10.1.134.96/30</t>
  </si>
  <si>
    <t>مشهد دانشمندی</t>
  </si>
  <si>
    <t>شیراز معمار</t>
  </si>
  <si>
    <t>A-borj tehran.dastori</t>
  </si>
  <si>
    <t>teh-gharb-202-515</t>
  </si>
  <si>
    <t>10.1.140.64/30</t>
  </si>
  <si>
    <t>فارس معمار</t>
  </si>
  <si>
    <t>10.1.134.224/30</t>
  </si>
  <si>
    <t>C-kharazi-telka7821</t>
  </si>
  <si>
    <t xml:space="preserve">Melal-7143225957-Kharobar-Froshi-Mohammadmehdi0zare6677
</t>
  </si>
  <si>
    <t>C-foroshgah habibi6916</t>
  </si>
  <si>
    <t>خوزستان معناویان</t>
  </si>
  <si>
    <t xml:space="preserve">رضوی  </t>
  </si>
  <si>
    <t>رضوی  218</t>
  </si>
  <si>
    <t>رضوی 240</t>
  </si>
  <si>
    <t>C-foroshgah kiomars8588</t>
  </si>
  <si>
    <t>561</t>
  </si>
  <si>
    <t>C-taher khodro8574</t>
  </si>
  <si>
    <t>533</t>
  </si>
  <si>
    <t>C-foroshgah teni no8592</t>
  </si>
  <si>
    <t>C-sherkat kaspian estil8618</t>
  </si>
  <si>
    <t>C-Protein.Mohammadi6403</t>
  </si>
  <si>
    <t>516</t>
  </si>
  <si>
    <t>C-bimarestan dampezeshki paytakht8617</t>
  </si>
  <si>
    <t>10.1.143.184/30</t>
  </si>
  <si>
    <t>414</t>
  </si>
  <si>
    <t>C-darmangah norozi5526</t>
  </si>
  <si>
    <t>10.1.143.144/30</t>
  </si>
  <si>
    <t>545</t>
  </si>
  <si>
    <t>C-barandaz janat8629</t>
  </si>
  <si>
    <t>531</t>
  </si>
  <si>
    <t>C-mojtama tejari venos8634</t>
  </si>
  <si>
    <t>10.1.137.20/30</t>
  </si>
  <si>
    <t>mojtama-khabghahe-emam-reza6254</t>
  </si>
  <si>
    <t>A-amlak aramesh8586</t>
  </si>
  <si>
    <t>6.3.8.224/30</t>
  </si>
  <si>
    <t>املاک آرامش8586</t>
  </si>
  <si>
    <t>C-poshak azimi6949</t>
  </si>
  <si>
    <t>6.3.8.232/30</t>
  </si>
  <si>
    <t>پوشاک عظیمی6949</t>
  </si>
  <si>
    <t>C-matab dr mohammadi6394</t>
  </si>
  <si>
    <t>6.3.8.8/30</t>
  </si>
  <si>
    <t>مطب دکتر محمدی6394</t>
  </si>
  <si>
    <t>C-kharbar mohammad mehdi zare6677</t>
  </si>
  <si>
    <t>6.3.8.56/30</t>
  </si>
  <si>
    <t>خواربار محمد مهدی زارع6677</t>
  </si>
  <si>
    <t>C-hotel aparteman shams6345</t>
  </si>
  <si>
    <t>6.3.8.84/30</t>
  </si>
  <si>
    <t>هتل آپارتمان شمس6345</t>
  </si>
  <si>
    <t>6.3.9.116/30</t>
  </si>
  <si>
    <t>خرازی تلکا 7821</t>
  </si>
  <si>
    <t>6.3.9.160/30</t>
  </si>
  <si>
    <t>مجتمع تجاری اطلس8496</t>
  </si>
  <si>
    <t>C-bazar mesgarha5691</t>
  </si>
  <si>
    <t>6.3.9.176/30</t>
  </si>
  <si>
    <t>بازار مسگرها5691</t>
  </si>
  <si>
    <t>C-mojtama tejari ghods4582</t>
  </si>
  <si>
    <t>6.3.9.120/30</t>
  </si>
  <si>
    <t>مجتمع تجاری قدس4582</t>
  </si>
  <si>
    <t>A-foroshgah khoshkbar hoseni5184</t>
  </si>
  <si>
    <t>6.3.9.200/30</t>
  </si>
  <si>
    <t>فروشگاه خشکبار حسینی5184</t>
  </si>
  <si>
    <t>C-foroshgah mavad ghazaei besat8606</t>
  </si>
  <si>
    <t>6.3.9.208/30</t>
  </si>
  <si>
    <t>فروشگاه مواد غذایی بعثت8606</t>
  </si>
  <si>
    <t>C-foroshgah zarin8619</t>
  </si>
  <si>
    <t>6.3.9.220/30</t>
  </si>
  <si>
    <t>فروشگاه زرین8619</t>
  </si>
  <si>
    <t>C-foroshgah lavazem yadaki mohammad8620</t>
  </si>
  <si>
    <t>6.3.9.224/30</t>
  </si>
  <si>
    <t>فروشگاه لوازم یدکی محمد8620</t>
  </si>
  <si>
    <t>C-lavazem yadaki hamid8604</t>
  </si>
  <si>
    <t>6.3.9.24/30</t>
  </si>
  <si>
    <t>لوازم یدکی حمید8604</t>
  </si>
  <si>
    <t>C-mojtama borj bagh Rolex8636</t>
  </si>
  <si>
    <t>6.3.9.252/30</t>
  </si>
  <si>
    <t>مجتمع برج باغ رولکس8636</t>
  </si>
  <si>
    <t>C-mojtama tejari ara8631</t>
  </si>
  <si>
    <t>مجتمع تجاری آرا8631</t>
  </si>
  <si>
    <t>C-bazargani mostafavi shobe2-6285</t>
  </si>
  <si>
    <t>بازرگانی مصطفوی شعبه دوم 6285</t>
  </si>
  <si>
    <t>a-Hotel-Lutus4814</t>
  </si>
  <si>
    <t>شرکت هل های لوتوس4814</t>
  </si>
  <si>
    <t>c-ahan-alat-hamdolah-por7870</t>
  </si>
  <si>
    <t>sherkat-mobin-sarmayeh6931</t>
  </si>
  <si>
    <t>A-852-25-Bazar-Almas-Shahr6049</t>
  </si>
  <si>
    <t>مجتمع تجاری و خدماتی الماس شهر 6049</t>
  </si>
  <si>
    <t>A-talar resturan hemat8109</t>
  </si>
  <si>
    <t>تالار رستوران همت8109</t>
  </si>
  <si>
    <t>A-porotein-seadat6354</t>
  </si>
  <si>
    <t>پروتین سعادت6354</t>
  </si>
  <si>
    <t>A-telekabin-bam-istgah-bala-7965</t>
  </si>
  <si>
    <t>تله کابین کرمان بالا7965</t>
  </si>
  <si>
    <t>A-834-141-SIBSIRJAN3986</t>
  </si>
  <si>
    <t>6.3.0.72/30</t>
  </si>
  <si>
    <t>درمانگاه سیب سیرجان3986</t>
  </si>
  <si>
    <t>A-karvash-santeral8023</t>
  </si>
  <si>
    <t>کارواش سانترال8023</t>
  </si>
  <si>
    <t>A-Mojtama-Berelyan5582</t>
  </si>
  <si>
    <t>مجتمع تجاری برلیان5582</t>
  </si>
  <si>
    <t>A-821-5-Daroukhaneh-Monabati6260</t>
  </si>
  <si>
    <t>داروخانه دکتر منبتی6260</t>
  </si>
  <si>
    <t>192.168.170.1/29Branch</t>
  </si>
  <si>
    <t>192.13.66.10/29-192.168.77.2/30(498)-L0:100.100.100.100/32</t>
  </si>
  <si>
    <t>10.4.99.1/26-VLAN100</t>
  </si>
  <si>
    <t xml:space="preserve">10.4.99.2./30
</t>
  </si>
  <si>
    <t>10.4.97.1/26-VLAN100</t>
  </si>
  <si>
    <t>10.4.96.1/26-VLAN100</t>
  </si>
  <si>
    <t>10.4.96.2/30</t>
  </si>
  <si>
    <t>10.4.97.2/30</t>
  </si>
  <si>
    <t>6.8.19.206/22</t>
  </si>
  <si>
    <t>6.3.19.206/30</t>
  </si>
  <si>
    <t>10.4.89.1/26-VLAN100</t>
  </si>
  <si>
    <t>10.4.89.2/30</t>
  </si>
  <si>
    <t>10.4.90.1/26-VLAN100</t>
  </si>
  <si>
    <t>10.4.90.2/30</t>
  </si>
  <si>
    <t>10.4.84.1/26-VLAN100</t>
  </si>
  <si>
    <t>10.4.84.2/30</t>
  </si>
  <si>
    <t>10.4.87.1/26-VLAN100</t>
  </si>
  <si>
    <t>10.4.87.2/30</t>
  </si>
  <si>
    <t>10.4.86.1/26-VLAN100</t>
  </si>
  <si>
    <t>10.4.86.2/30</t>
  </si>
  <si>
    <t>10.4.85.1/26-VLAN100</t>
  </si>
  <si>
    <t>10.4.85.2/30</t>
  </si>
  <si>
    <t>10.4.83.1/26-VLAN100</t>
  </si>
  <si>
    <t>10.4.83.2/30</t>
  </si>
  <si>
    <t>10.4.81.1/26-VLAN100</t>
  </si>
  <si>
    <t>10.4.81.2/30</t>
  </si>
  <si>
    <t>10.4.4.1/25-VLAN100</t>
  </si>
  <si>
    <t>10.4.4.99/25</t>
  </si>
  <si>
    <t>192.168.126.1/30</t>
  </si>
  <si>
    <t>10.4.72.1/26-VLAN100</t>
  </si>
  <si>
    <t>10.4.72.2/30</t>
  </si>
  <si>
    <t>10.4.73.1/26-VLAN100</t>
  </si>
  <si>
    <t>10.4.73.2/30</t>
  </si>
  <si>
    <t>10.4.78.1/26-VLAN100</t>
  </si>
  <si>
    <t>10.4.78.2/30</t>
  </si>
  <si>
    <t>10.3.93./26-VLAN100</t>
  </si>
  <si>
    <t>10.3.93.2/30</t>
  </si>
  <si>
    <t>10.3.46.1/26-VLAN100</t>
  </si>
  <si>
    <t>10.3.46.2/30</t>
  </si>
  <si>
    <t>10.4.64.1/25-VLAN100</t>
  </si>
  <si>
    <t>10.4.64.99/25</t>
  </si>
  <si>
    <t>12.0.0.66/30</t>
  </si>
  <si>
    <t>12.0.0.67/29</t>
  </si>
  <si>
    <t>12.0.0.65/29</t>
  </si>
  <si>
    <t>10.4.50.1/26-VLAN100</t>
  </si>
  <si>
    <t>10.4.50.2/30</t>
  </si>
  <si>
    <t>10.4.53.1/26-VLAN100</t>
  </si>
  <si>
    <t>10.4.53.2/30</t>
  </si>
  <si>
    <t>10.4.54.1/26-VLAN100</t>
  </si>
  <si>
    <t>10.4.54.2/30</t>
  </si>
  <si>
    <t>10.4.57.1/26-VLAN100</t>
  </si>
  <si>
    <t>10.4.58.1/26-VLAN100</t>
  </si>
  <si>
    <t>10.4.59.1/26-VLAN100</t>
  </si>
  <si>
    <t>10.4.57.2/30</t>
  </si>
  <si>
    <t>10.4.58.2/30</t>
  </si>
  <si>
    <t>10.4.59.2/30</t>
  </si>
  <si>
    <t>10.4.60.1/26-VLAN100</t>
  </si>
  <si>
    <t>10.4.60.2/30</t>
  </si>
  <si>
    <t>10.4.51.1/26-VLAN100</t>
  </si>
  <si>
    <t>10.3.90.1/26-VLAN100</t>
  </si>
  <si>
    <t>10.3.86.1/26-VLAN100</t>
  </si>
  <si>
    <t>10.3.33.1/26-VLAN100</t>
  </si>
  <si>
    <t>103.22.1/25-VLAN100</t>
  </si>
  <si>
    <t>10.3.22.99 /25</t>
  </si>
  <si>
    <t>10.3.33.2 /30</t>
  </si>
  <si>
    <t>10.3.86.2 /30</t>
  </si>
  <si>
    <t>10.3.90.2/30</t>
  </si>
  <si>
    <t>10.3.49.1/26-VLAN100</t>
  </si>
  <si>
    <t>10.3.49.2/30</t>
  </si>
  <si>
    <t>10.4.61.1/26-VLAN100</t>
  </si>
  <si>
    <t>10.4.61.2/30</t>
  </si>
  <si>
    <t>6.8.19.90/22</t>
  </si>
  <si>
    <t>6.3.19.90/30</t>
  </si>
  <si>
    <t>10.4.62.1/26-VLAN100</t>
  </si>
  <si>
    <t>10.4.62.2/30</t>
  </si>
  <si>
    <t>10.4.63.1/25-VLAN100-10.0.24.1/26-VAN101-10.9.125.73/29-VLAN125</t>
  </si>
  <si>
    <t>10.4.63.2/25-10.4.63.100/25</t>
  </si>
  <si>
    <t>10.4.65.1/26-VLAN100</t>
  </si>
  <si>
    <t>10.4.65.2/30</t>
  </si>
  <si>
    <t>10.4.69.1/26-VLAN100</t>
  </si>
  <si>
    <t>10.4.69.2/30</t>
  </si>
  <si>
    <t>10.4.77.1/26-VLAN100</t>
  </si>
  <si>
    <t>10.4.77.2/30</t>
  </si>
  <si>
    <t>10.5.9.2/30</t>
  </si>
  <si>
    <t>10.5.12.2/30</t>
  </si>
  <si>
    <t>10.5.12.1/26-VLAN100</t>
  </si>
  <si>
    <t>10.5.9.1/26-VLAN100</t>
  </si>
  <si>
    <t>10.3.92.1/26-VLAN100</t>
  </si>
  <si>
    <t>10.3.39.1/26-VLAN100</t>
  </si>
  <si>
    <t>10.3.29.1/26-VLAN100</t>
  </si>
  <si>
    <t>10.3.18.1/26-VLAN100</t>
  </si>
  <si>
    <t>10.3.12.1/26-VLAN100</t>
  </si>
  <si>
    <t>10.3.12.2/30</t>
  </si>
  <si>
    <t>10.3.18.2/30</t>
  </si>
  <si>
    <t>10.3.29.2/30</t>
  </si>
  <si>
    <t>10.3.39.2/30</t>
  </si>
  <si>
    <t>10.3.92.2/30</t>
  </si>
  <si>
    <t>10.0.97.2/30</t>
  </si>
  <si>
    <t>6.3.19.62/30</t>
  </si>
  <si>
    <t>10.0.97.1/29-VLAN100</t>
  </si>
  <si>
    <t>آسیا تک LTE</t>
  </si>
  <si>
    <t>10.0.96.1/29-VLAN100</t>
  </si>
  <si>
    <t>10.0.96.2/30</t>
  </si>
  <si>
    <t>10.1.135.110/30</t>
  </si>
  <si>
    <t>10.192.255.10/30</t>
  </si>
  <si>
    <t>10.0.98.1/29-VLAN100</t>
  </si>
  <si>
    <t>10.0.98.2/30</t>
  </si>
  <si>
    <t>8.9.8.1/32</t>
  </si>
  <si>
    <t>6.3.18.202/30</t>
  </si>
  <si>
    <t>6.8.18.202 /22</t>
  </si>
  <si>
    <t>6.3.19.106/29</t>
  </si>
  <si>
    <t>Tu22: 10.192.255.6/29</t>
  </si>
  <si>
    <t>Tu10: 10.192.255.2/29</t>
  </si>
  <si>
    <t>Fa0/0.160  : 10.100.160.1 /23  Case-Melal</t>
  </si>
  <si>
    <t>Fa0/0.164  : 10.100.164.1 /23 VDI</t>
  </si>
  <si>
    <t>Fa0/0.166  : 10.100.166.1 /23  VOIP</t>
  </si>
  <si>
    <t xml:space="preserve">192.168.150.1/30(Branch)
</t>
  </si>
  <si>
    <t>192.168.150.2/30</t>
  </si>
  <si>
    <t>10.4.44.2/30</t>
  </si>
  <si>
    <t>10.4.44.1/26-VLAN100</t>
  </si>
  <si>
    <t>10.3.59.1/25 VLAN100</t>
  </si>
  <si>
    <t>10.3.59.99/25</t>
  </si>
  <si>
    <t xml:space="preserve">VPN-LTE </t>
  </si>
  <si>
    <t>89.43.13.192/29</t>
  </si>
  <si>
    <t xml:space="preserve">L0:  100.100.100.100/32
</t>
  </si>
  <si>
    <t>10.4.45.1/26-VLAN100</t>
  </si>
  <si>
    <t>10.4.45.2/30</t>
  </si>
  <si>
    <t>192.168.178.74/28</t>
  </si>
  <si>
    <t>10.8.1.16/29</t>
  </si>
  <si>
    <t>A-801-53-PlasticArab</t>
  </si>
  <si>
    <t>10.1.130.122/30</t>
  </si>
  <si>
    <t>20.1.0.95/23</t>
  </si>
  <si>
    <t>قطع است10.8.1.65/30</t>
  </si>
  <si>
    <t>192.168.121.3/29</t>
  </si>
  <si>
    <t>192.168.121.2/30</t>
  </si>
  <si>
    <t>10.8.1.180/30</t>
  </si>
  <si>
    <t>10.8.1.232/30</t>
  </si>
  <si>
    <t>10.8.1.240/29</t>
  </si>
  <si>
    <t>10.8.1.252/30</t>
  </si>
  <si>
    <t>6.7.0.2/30</t>
  </si>
  <si>
    <t>6.7.0.3/29</t>
  </si>
  <si>
    <t>6.7.0.4/29</t>
  </si>
  <si>
    <t>6.7.0.5/29</t>
  </si>
  <si>
    <t>10.8.2.228-10.8.2.255</t>
  </si>
  <si>
    <t>192.168.208.130/30</t>
  </si>
  <si>
    <t>192.168.208.129/29(ATM)</t>
  </si>
  <si>
    <t>192.168.210.2/29(Branch)</t>
  </si>
  <si>
    <t>192.168.207.1/28(Branch)</t>
  </si>
  <si>
    <t>192.168.209.1/29</t>
  </si>
  <si>
    <t>192.168.209.65/29(Branch)</t>
  </si>
  <si>
    <t>192.168.208.9/29(Branch)</t>
  </si>
  <si>
    <t>6.7.0.6/29</t>
  </si>
  <si>
    <t>192.168.121.4/29</t>
  </si>
  <si>
    <t>10.8.4.48/30</t>
  </si>
  <si>
    <t>تعداد دستگاه POS</t>
  </si>
  <si>
    <t>ارتباط 2 دستگاه POSبر قرار میباشد</t>
  </si>
  <si>
    <t>ارتباط 1 دستگاه POSبر قرار میباشد</t>
  </si>
  <si>
    <t>ارتباط 0 دستگاه POSبر قرار میباشد</t>
  </si>
  <si>
    <t>10.8.4.108/30</t>
  </si>
  <si>
    <t xml:space="preserve">مادر میانی گلستان </t>
  </si>
  <si>
    <t>جمع اوری در سال 1404</t>
  </si>
  <si>
    <t>مشکل دستگاه سختافزاری است وتا 72 ساعت از تاریخ 14050323 برطرف می شود</t>
  </si>
  <si>
    <t>192.168.121.6/29</t>
  </si>
  <si>
    <t>192.168.121.5/29</t>
  </si>
  <si>
    <t>192.168.121.1/29</t>
  </si>
  <si>
    <t>10.8.4.168/30</t>
  </si>
  <si>
    <t>10.8.4.216/30</t>
  </si>
  <si>
    <t>قطع است10.8.7.13/30</t>
  </si>
  <si>
    <t>فرودگاه ترمینال 4 باجه</t>
  </si>
  <si>
    <t>10.8.7.12-10.8.17.23</t>
  </si>
  <si>
    <t>6.8.6.68/20</t>
  </si>
  <si>
    <t>6.8.0.109/20</t>
  </si>
  <si>
    <t>تغییر بستر به مبین نت1405</t>
  </si>
  <si>
    <t>10.8.8.117/30</t>
  </si>
  <si>
    <t>10.8.8.113/30</t>
  </si>
  <si>
    <t>20.1.0.111/23</t>
  </si>
  <si>
    <t>20.1.0.110/23</t>
  </si>
  <si>
    <t>10.8.8.49/30</t>
  </si>
  <si>
    <t>10.8.2.193/30</t>
  </si>
  <si>
    <t xml:space="preserve"> بررسی شودنامه جمع اوری مخابرات وعودت هزینه اوکی شده یا خیر؟A-809149-Karvashmehran</t>
  </si>
  <si>
    <t>10.8.9.156/30</t>
  </si>
  <si>
    <t>قطع استC-810105-Aghdasiye</t>
  </si>
  <si>
    <t>قطع است A-810-121-LG</t>
  </si>
  <si>
    <t>قطع استA-810161-Amlakatiyesoheil</t>
  </si>
  <si>
    <t>10.8.23.0/29</t>
  </si>
  <si>
    <t>10.8.23.20-10.8.23.55</t>
  </si>
  <si>
    <t>10.8.58.0-10.8.58.19</t>
  </si>
  <si>
    <t>قطع استA-85817-Tavoonifasham</t>
  </si>
  <si>
    <t>قطع استA-858-69-Borjabi</t>
  </si>
  <si>
    <t>10.8.59.36/30</t>
  </si>
  <si>
    <t>تعیین وضعیت نهایی جمع اوری شده /نامه عودت رفته مخابرات؟</t>
  </si>
  <si>
    <t>خرداد1405</t>
  </si>
  <si>
    <t>6.8.0.67/20</t>
  </si>
  <si>
    <t>10.8.42.13/30</t>
  </si>
  <si>
    <t>6.8.0.23/20</t>
  </si>
  <si>
    <t>10.8.34.89/29</t>
  </si>
  <si>
    <t>6.8.4.230/20</t>
  </si>
  <si>
    <t>10.8.24.141/30</t>
  </si>
  <si>
    <t>10.8.24.1/30</t>
  </si>
  <si>
    <t>20.1.0.72/23</t>
  </si>
  <si>
    <t>10.8.24.5/30</t>
  </si>
  <si>
    <t>6.8.14.46/20</t>
  </si>
  <si>
    <t>10.8.24.13/30</t>
  </si>
  <si>
    <t>20.1.0.56/20</t>
  </si>
  <si>
    <t>10.8.24.17/30</t>
  </si>
  <si>
    <t>6.8.0.39/20</t>
  </si>
  <si>
    <t>10.8.24.21/30</t>
  </si>
  <si>
    <t>6.8.6.86/20</t>
  </si>
  <si>
    <t>10.8.24.24-10.8.24.79</t>
  </si>
  <si>
    <t>10.8.24.84-10.8.24.127</t>
  </si>
  <si>
    <t>20.1.0.98/23</t>
  </si>
  <si>
    <t>10.8.24.97/30</t>
  </si>
  <si>
    <t>6.8.0.73/20</t>
  </si>
  <si>
    <t>10.8.24.144-10.8.24.255</t>
  </si>
  <si>
    <t>10.8.25.36-10.8.25.255</t>
  </si>
  <si>
    <t>10.8.42.5/30</t>
  </si>
  <si>
    <t>6.8.1.150/20</t>
  </si>
  <si>
    <t>10.8.42.9/30</t>
  </si>
  <si>
    <t>6.8.0.21/20</t>
  </si>
  <si>
    <t>10.8.42.65/30</t>
  </si>
  <si>
    <t>6.8.0.252/20</t>
  </si>
  <si>
    <t>10.8.31.0/24</t>
  </si>
  <si>
    <t>10.8.71.1/30</t>
  </si>
  <si>
    <t>6.8.5.82/20</t>
  </si>
  <si>
    <t>10.8.74.5/30</t>
  </si>
  <si>
    <t>20.1.0.58/20</t>
  </si>
  <si>
    <t>10.8.38.9/30</t>
  </si>
  <si>
    <t>20.1.0.87/23</t>
  </si>
  <si>
    <t>10.8.38.0/29</t>
  </si>
  <si>
    <t>10.8.38.13/30</t>
  </si>
  <si>
    <t>6.8.0.15/20</t>
  </si>
  <si>
    <t>10.8.38.16-10.8.38.255</t>
  </si>
  <si>
    <t>20.1.0.99/23</t>
  </si>
  <si>
    <t>10.8.70.5/30</t>
  </si>
  <si>
    <t>6.8.1.242/20</t>
  </si>
  <si>
    <t>10.8.70.9/30</t>
  </si>
  <si>
    <t>6.8.11.106/20</t>
  </si>
  <si>
    <t>10.8.70.13/30</t>
  </si>
  <si>
    <t>6.8.0.72/20</t>
  </si>
  <si>
    <t>10.8.37.0-10.8.37.39</t>
  </si>
  <si>
    <t>10.8.37.44-10.8.37.255</t>
  </si>
  <si>
    <t>10.8.5.0-10.8.5.35</t>
  </si>
  <si>
    <t>10.8.79.1/30</t>
  </si>
  <si>
    <t>20.1.0.61/23</t>
  </si>
  <si>
    <t>10.8.29.9/30</t>
  </si>
  <si>
    <t>6.8.0.42/20</t>
  </si>
  <si>
    <t>10.8.29.65/30</t>
  </si>
  <si>
    <t>6.8.9.138/20</t>
  </si>
  <si>
    <t>6.8.0.104/20</t>
  </si>
  <si>
    <t>10.8.29.92/30</t>
  </si>
  <si>
    <t>6.8.0.105/20</t>
  </si>
  <si>
    <t>10.8.29.132-10.8.29.151</t>
  </si>
  <si>
    <t>10.8.29.153/30</t>
  </si>
  <si>
    <t>6.8.5.138/20</t>
  </si>
  <si>
    <t>10.8.29.156-10.8.29.255</t>
  </si>
  <si>
    <t xml:space="preserve"> A-822-17-Borj.zomorodقطع است </t>
  </si>
  <si>
    <t>20.1.0.91/23</t>
  </si>
  <si>
    <t>10.8.22.64-10.8.22.255</t>
  </si>
  <si>
    <t>10.8.22.53/30</t>
  </si>
  <si>
    <t>6.8.0.22/20</t>
  </si>
  <si>
    <t>10.8.58.197/30</t>
  </si>
  <si>
    <t>6.8.7.90/20</t>
  </si>
  <si>
    <t>10.8.50.17/30</t>
  </si>
  <si>
    <t>10.8.50.0/28</t>
  </si>
  <si>
    <t>10.8.50.20-10.8.50.255</t>
  </si>
  <si>
    <t>6.8.5.78/20</t>
  </si>
  <si>
    <t>10.8.52.13/30</t>
  </si>
  <si>
    <t>6.8.8.94/20</t>
  </si>
  <si>
    <t>6.8.0.59/20</t>
  </si>
  <si>
    <t>10.8.34.65/30</t>
  </si>
  <si>
    <t>6.8.0.96/20</t>
  </si>
  <si>
    <t>10.8.34.145/30</t>
  </si>
  <si>
    <t>10.8.34.148-10.8.34.255</t>
  </si>
  <si>
    <t>6.8.0.38/20</t>
  </si>
  <si>
    <t>6.8.15.146/20</t>
  </si>
  <si>
    <t>6.8.0.55/20</t>
  </si>
  <si>
    <t>10.8.4.109/30</t>
  </si>
  <si>
    <t>6.8.0.103/20</t>
  </si>
  <si>
    <t>6.8.0.107/20</t>
  </si>
  <si>
    <t>6.8.0.106/20</t>
  </si>
  <si>
    <t>10.8.9.121/30</t>
  </si>
  <si>
    <t>10.8.9.101-119</t>
  </si>
  <si>
    <t>10.8.9.124-10.8.9.131</t>
  </si>
  <si>
    <t>6.8.0.112/20</t>
  </si>
  <si>
    <t>10.8.4.13/30-10.8.2.49/30</t>
  </si>
  <si>
    <t>10.8.59.241/30</t>
  </si>
  <si>
    <t>melal-543</t>
  </si>
  <si>
    <t>10.4.29.2/30</t>
  </si>
  <si>
    <t>10.4.20.2/30</t>
  </si>
  <si>
    <t>10.4.13.2 /30</t>
  </si>
  <si>
    <t>10.4.8.1 /25-VLAN100</t>
  </si>
  <si>
    <t>10.4.8.99 /25</t>
  </si>
  <si>
    <t>10.3.74.1/26-VLAN100</t>
  </si>
  <si>
    <t>10.3.74.2/30</t>
  </si>
  <si>
    <t>192.168.178.66/30</t>
  </si>
  <si>
    <t>10.3.77.1/26-VLAN100</t>
  </si>
  <si>
    <t>10.3.77.2/30</t>
  </si>
  <si>
    <t>192.168.178.67/29</t>
  </si>
  <si>
    <t>192.168.178.65/28-192.168.178.129/30(8349)-192.168.178.137/30(83441)-192.168.178.145/30(83457)-192.168.178.149/30(83465)</t>
  </si>
  <si>
    <t>10.3.78.1/26-VLAN100</t>
  </si>
  <si>
    <t>10.3.78.2/30</t>
  </si>
  <si>
    <t>192.168.178.68/29</t>
  </si>
  <si>
    <t>192.168.178.1/29</t>
  </si>
  <si>
    <t>10.3.81.1/26-VLAN100</t>
  </si>
  <si>
    <t>10.3.81.2/30</t>
  </si>
  <si>
    <t>192.168.178.69/29</t>
  </si>
  <si>
    <t>10.3.91.1/26-VLAN100</t>
  </si>
  <si>
    <t>10.3.91.2/30</t>
  </si>
  <si>
    <t>192.168.178.4/29</t>
  </si>
  <si>
    <t>10.3.94.1/26-VLAN100</t>
  </si>
  <si>
    <t>10.3.94.2/30</t>
  </si>
  <si>
    <t>192.168.178.70/29</t>
  </si>
  <si>
    <t>10.3.96.1/26-VLAN100</t>
  </si>
  <si>
    <t>10.3.96.2/30</t>
  </si>
  <si>
    <t>192.168.178.71/28</t>
  </si>
  <si>
    <t>10.3.97.1/26-VLAN100</t>
  </si>
  <si>
    <t>10.3.97.2/30</t>
  </si>
  <si>
    <t>192.168.178.72/28</t>
  </si>
  <si>
    <t>10.4.2.2/30</t>
  </si>
  <si>
    <t>10.4.2.1/26-VLAN 100</t>
  </si>
  <si>
    <t>192.168.178.73/28</t>
  </si>
  <si>
    <t>10.3.65.1 /25-VLAN100-90.90.90.5/30-VLAN10-10.9.125.177/29-VLAN125</t>
  </si>
  <si>
    <t>10.3.65.99 /25-10.3.65.100/25(Hoze)</t>
  </si>
  <si>
    <t>Tehran:31.1.3.65/21-Tehran:18.2.3.65/21(FAM)-Semnan:28.1.3.65/20</t>
  </si>
  <si>
    <t>VSATجمع آوری</t>
  </si>
  <si>
    <t>10.3.99.1/26-VLAN100</t>
  </si>
  <si>
    <t>10.3.99.2/30</t>
  </si>
  <si>
    <t>10.3.98.1/26-VLAN 100</t>
  </si>
  <si>
    <t>10.3.98.2/30</t>
  </si>
  <si>
    <t>10.3.88.1/26-VLAN100</t>
  </si>
  <si>
    <t>10.3.88.2/30</t>
  </si>
  <si>
    <t>192.168.208.12/28</t>
  </si>
  <si>
    <t>10.3.87.1/26-VLAN100</t>
  </si>
  <si>
    <t>10.3.87.2/30</t>
  </si>
  <si>
    <t>10.3.79.1/26-VLAN100</t>
  </si>
  <si>
    <t>10.3.79.2/30</t>
  </si>
  <si>
    <t>6.3.19.78/30</t>
  </si>
  <si>
    <t>Tehran:6.8.19.78/20-Semnan:42.1.3.79/20</t>
  </si>
  <si>
    <t>254047117532</t>
  </si>
  <si>
    <t>254047117421</t>
  </si>
  <si>
    <t>10.3.75.1/25-VLAN100-10.0.23.1/26-VLAN101-10.9.125.113/29-VLAN125</t>
  </si>
  <si>
    <t>10.3.75.99/25</t>
  </si>
  <si>
    <t>10.3.69.1/26-VLAN100</t>
  </si>
  <si>
    <t>10.3.69.2/30</t>
  </si>
  <si>
    <t>10.3.53.1/26-VLAN100</t>
  </si>
  <si>
    <t>10.3.67.1/26-VLAN100</t>
  </si>
  <si>
    <t>10.3.67.2/30</t>
  </si>
  <si>
    <t>6.8.19.238/22</t>
  </si>
  <si>
    <t>6.3.19.238/30</t>
  </si>
  <si>
    <t>10.3.55.1/26-VLAN100</t>
  </si>
  <si>
    <t>10.3.55.2/30</t>
  </si>
  <si>
    <t>10.3.53.2/30</t>
  </si>
  <si>
    <t>10.4.7.2/30</t>
  </si>
  <si>
    <t>10.4.7.1/26-VLAN100</t>
  </si>
  <si>
    <t>10.4.82.1/26-VLAN100</t>
  </si>
  <si>
    <t>10.4.82.2/30</t>
  </si>
  <si>
    <t>10.5.11.2/30</t>
  </si>
  <si>
    <t>10.5.11.1/26-VLAN100</t>
  </si>
  <si>
    <t>10.5.37.1/26-VLAN100</t>
  </si>
  <si>
    <t>10.5.37.2/30</t>
  </si>
  <si>
    <t>10.3.31.2/30</t>
  </si>
  <si>
    <t>Tehran:6.8.19.46/20-Semnan:42.1.3.53/20-Anti:40.1.0.30/22</t>
  </si>
  <si>
    <t>Tehran:33.1.3.53/20-Seman:44.1.3.53/20</t>
  </si>
  <si>
    <t>6.8.19.234/22</t>
  </si>
  <si>
    <t>6.3.19.234/30</t>
  </si>
  <si>
    <t>192.168.214.12/28</t>
  </si>
  <si>
    <t>192.168.214.11/28</t>
  </si>
  <si>
    <t>192.168.214.10/28</t>
  </si>
  <si>
    <t>192.168.214.9/28</t>
  </si>
  <si>
    <t>192.168.214.8/28</t>
  </si>
  <si>
    <t>192.168.214.6/29</t>
  </si>
  <si>
    <t>192.168.214.5/29</t>
  </si>
  <si>
    <t>192.168.214.4/29</t>
  </si>
  <si>
    <t>192.168.214.3/29</t>
  </si>
  <si>
    <t>192.168.214.2/30</t>
  </si>
  <si>
    <t>192.168.214.13/28</t>
  </si>
  <si>
    <t>10.3.40.1/26-VLAN100</t>
  </si>
  <si>
    <t>10.3.40.2/30</t>
  </si>
  <si>
    <t>6.3.16.42/30</t>
  </si>
  <si>
    <t>6.8.16.42/30</t>
  </si>
  <si>
    <t>6.3.19.250/29</t>
  </si>
  <si>
    <t>6.8.19.250/29</t>
  </si>
  <si>
    <t>جمع اوری است -دانشگاه به علت بدهی شرکت معتمد همکاری ندارد</t>
  </si>
  <si>
    <t>جمع اوری تنظیم شد14050402</t>
  </si>
  <si>
    <t>6.8.16.78/20</t>
  </si>
  <si>
    <t>جمع اوری  استVSAT</t>
  </si>
  <si>
    <t>217.218.19.176/30-172.19.7.8/29</t>
  </si>
  <si>
    <t>روتر2811 درشرکت رهیاب نصب شده است</t>
  </si>
  <si>
    <t xml:space="preserve">قدس کر1و2/FOS:8-1509-4  </t>
  </si>
  <si>
    <t>256000 Kb</t>
  </si>
  <si>
    <t>14050423ارتقا داده شد از 10 به 250</t>
  </si>
  <si>
    <t>ساختمان فناوری رضوان</t>
  </si>
  <si>
    <t>شرکت فام - ملاصدرا</t>
  </si>
  <si>
    <t>ملاصدرا</t>
  </si>
  <si>
    <t>100.171.100.1/24</t>
  </si>
  <si>
    <t>100.171.100.2/24</t>
  </si>
  <si>
    <t xml:space="preserve"> 6.3.19.240/29</t>
  </si>
  <si>
    <t>Gi0/0.173  : 10.100.173.1 /23 VDI</t>
  </si>
  <si>
    <t>Gi0/0.172  : 10.100.172.1 /23  Case-Melal</t>
  </si>
  <si>
    <t>GI0/0.174  : 10.100.174.1 /23  VOIP</t>
  </si>
  <si>
    <t>Tu23: 10.192.255.14/29</t>
  </si>
  <si>
    <t xml:space="preserve"> CISCO1921/K9</t>
  </si>
  <si>
    <t xml:space="preserve">C2960-LANBASEK9-M </t>
  </si>
  <si>
    <t>192.168.32.1/22</t>
  </si>
  <si>
    <t>192.168.10.2/24</t>
  </si>
  <si>
    <t>79.127.98.154/29</t>
  </si>
  <si>
    <t>MikroTik R5009UG+S+</t>
  </si>
  <si>
    <t>WS-C2960X-24PS-L</t>
  </si>
  <si>
    <t>فام فرهاد</t>
  </si>
  <si>
    <t>50 MB</t>
  </si>
  <si>
    <t>192.168.20.2-10/24</t>
  </si>
  <si>
    <t>79.127.98.154:22228</t>
  </si>
  <si>
    <t>VPN-Radio</t>
  </si>
  <si>
    <t>Internet-Radio</t>
  </si>
  <si>
    <t>192.168.10.0/23</t>
  </si>
  <si>
    <t>Gig 1/0/46-47-Internet-Switch</t>
  </si>
  <si>
    <t>WS-2960X-48FPD-L</t>
  </si>
  <si>
    <t>شماره مجازی فیبر:2198924582</t>
  </si>
  <si>
    <t>21تیر1405</t>
  </si>
  <si>
    <t>10.8.1.64/30</t>
  </si>
  <si>
    <t>10.8.1.76/30</t>
  </si>
  <si>
    <t>10.8.1.92-10.8.1.139</t>
  </si>
  <si>
    <t>10.8.1.144-10.8.1.151</t>
  </si>
  <si>
    <t>10.8.1.156/30</t>
  </si>
  <si>
    <t>10.8.1.160/29</t>
  </si>
  <si>
    <t>10.8.2.52-10.8.2.71</t>
  </si>
  <si>
    <t>10.8.4.0/29</t>
  </si>
  <si>
    <t>10.8.4.132/30</t>
  </si>
  <si>
    <t>10.8.4.156/30</t>
  </si>
  <si>
    <t>10.8.30.0-10.8.30.63</t>
  </si>
  <si>
    <t>10.8.30.68-10.8.30.79</t>
  </si>
  <si>
    <t>10.8.30.81/30</t>
  </si>
  <si>
    <t>20.1.0.27/20</t>
  </si>
  <si>
    <t>10.8.30.88/30</t>
  </si>
  <si>
    <t>10.8.30.96-10.8.30.151</t>
  </si>
  <si>
    <t>10.8.30.157/30</t>
  </si>
  <si>
    <t>10.8.30.160-10.8.30.174</t>
  </si>
  <si>
    <t>10.8.30.180-10.8.30.255</t>
  </si>
  <si>
    <t>10.8.39.12-10.8.39.27</t>
  </si>
  <si>
    <t>10.8.7.0/30</t>
  </si>
  <si>
    <t>10.8.7.40-10.8.7.255</t>
  </si>
  <si>
    <t>10.8.7.37/30</t>
  </si>
  <si>
    <t>20.1.0.68/20</t>
  </si>
  <si>
    <t>10.8.8.0-10.8.8.15</t>
  </si>
  <si>
    <t>A-808-89-Medialhyper</t>
  </si>
  <si>
    <t>10.8.8.180-10.8.8.255</t>
  </si>
  <si>
    <t>10.8.9.44-10.8.9.91</t>
  </si>
  <si>
    <t>10.8.9.168-10.8.9.219</t>
  </si>
  <si>
    <t>10.8.9.248/30</t>
  </si>
  <si>
    <t>10.8.10.48-10.8.10.67</t>
  </si>
  <si>
    <t>10.8.10.92-10.8.10.119</t>
  </si>
  <si>
    <t>10.8.10.124-10.8.10.255</t>
  </si>
  <si>
    <t>10.8.11.63-10.8.11.103</t>
  </si>
  <si>
    <t>10.8.58.48-10.8.58.71</t>
  </si>
  <si>
    <t>10.8.58.116/30</t>
  </si>
  <si>
    <t>c-darokhane dr rahjo7777</t>
  </si>
  <si>
    <t>داروخانه دکتر رهجو7777</t>
  </si>
  <si>
    <t>C-Markaz-Moshavereh-Rozbah-Mandegar6393-</t>
  </si>
  <si>
    <t>مرکز مشاوره روزبه ماندگار6393</t>
  </si>
  <si>
    <t>C-darmangah-dandanpezeshki-labkhand-parnian6607</t>
  </si>
  <si>
    <t>درمانگاه دندانپزشکی لبخند پرنیان6607</t>
  </si>
  <si>
    <t>C-Pishkhan Dolat-Jalil Abad5431</t>
  </si>
  <si>
    <t>دفتر پیشخوان دولت جلیل اباد5431</t>
  </si>
  <si>
    <t>A-otaghak amn dezfol 3727</t>
  </si>
  <si>
    <t>C-namayeshgah-khodro-olampik8018</t>
  </si>
  <si>
    <t>Foroshgah-Hardani8173</t>
  </si>
  <si>
    <t>borj-maskoni-dornika7213</t>
  </si>
  <si>
    <t>برج مسکونی دورنیکا7213</t>
  </si>
  <si>
    <t>c-hayper-market-mohammadi7124</t>
  </si>
  <si>
    <t>6.3.15.60/30</t>
  </si>
  <si>
    <t>هایپر مارکت محمدی7124</t>
  </si>
  <si>
    <t>C-foroshgeh-mir-ghaforian7874</t>
  </si>
  <si>
    <t>فروشگاه میر غفوریان7874</t>
  </si>
  <si>
    <t>c-mojtama-tejari-babolsar7226</t>
  </si>
  <si>
    <t>مجتمع تجاری بابلسر7226</t>
  </si>
  <si>
    <t>C-amozeshgah-jahan-nama7749</t>
  </si>
  <si>
    <t>آموزشگاه جهان نما7749</t>
  </si>
  <si>
    <t>C-auto-yosef8095</t>
  </si>
  <si>
    <t>اتو یوسف نژاد8095</t>
  </si>
  <si>
    <t>C-pardis nasibe8421</t>
  </si>
  <si>
    <t>پردیس نسیبه8421</t>
  </si>
  <si>
    <t>A-pasaj-setare.shahr</t>
  </si>
  <si>
    <t>A-lavazem tahrir mehr4115</t>
  </si>
  <si>
    <t>A-829-133-Safikhani7654</t>
  </si>
  <si>
    <t>مصالح ساختمانی صفی خانی7654</t>
  </si>
  <si>
    <t>A-801-65-masged Ghoba3992</t>
  </si>
  <si>
    <t>مسجد قبا3992</t>
  </si>
  <si>
    <t>تاریخ نصب</t>
  </si>
  <si>
    <t>خوار و بارفروشی پریزاد6476</t>
  </si>
  <si>
    <t>لوازم قنادی دهقان6820</t>
  </si>
  <si>
    <t>پاساژ الماس الیگودرز4318</t>
  </si>
  <si>
    <t>مترو نبرد5288</t>
  </si>
  <si>
    <t>س</t>
  </si>
  <si>
    <t>پردیس کامرانیه4457</t>
  </si>
  <si>
    <t>10.8.8.37/30</t>
  </si>
  <si>
    <t>Foroushgah-Maryam6340</t>
  </si>
  <si>
    <t>فروشگاه مریم6340</t>
  </si>
  <si>
    <t>Foroushgah-Mavad-Ghazaei-As-Market-Kalat6332</t>
  </si>
  <si>
    <t>فروشگاه مواد غذایی آس مارکت عمارت-کلات6332</t>
  </si>
  <si>
    <t>10.8.4.89/30</t>
  </si>
  <si>
    <t>Hyper Market Kamalian-Larestan5841</t>
  </si>
  <si>
    <t>هایپر مارکت کمالیان5841</t>
  </si>
  <si>
    <t>Hyper Sedaghat-Garmsar5826</t>
  </si>
  <si>
    <t>هایپر صداقت5826</t>
  </si>
  <si>
    <t>Hyper-Market-Mansourzadeh-Torbat-Heydariyeh3722</t>
  </si>
  <si>
    <t>هایپر مارکت منصور زاده-تربت حیدریه3722</t>
  </si>
  <si>
    <t>10.8.9.161/30</t>
  </si>
  <si>
    <t>Lavazem yadaki Benzolahi-Kerman5822</t>
  </si>
  <si>
    <t>لوازم یدکی بنز الهی -کرمان5822</t>
  </si>
  <si>
    <t>10.8.58.73/30</t>
  </si>
  <si>
    <t>10.8.58.157/30</t>
  </si>
  <si>
    <t>10.8.9.41/30</t>
  </si>
  <si>
    <t>Namayandegi-Saypa-Tabriz6452</t>
  </si>
  <si>
    <t>10.8.1.169/29-VLAN100-10.8.1.170/29SW-10.8.1.171/29-10.8.1.172/29</t>
  </si>
  <si>
    <t>10.8.8.29/30</t>
  </si>
  <si>
    <t>YasMahallati5373</t>
  </si>
  <si>
    <t>برح مسکونی یاس محلاتی5373</t>
  </si>
  <si>
    <t>bazar-bozorg-larestan6665</t>
  </si>
  <si>
    <t>بازار بزرگ لارستان6665</t>
  </si>
  <si>
    <t>6.8.0.52/20</t>
  </si>
  <si>
    <t>10.8.4.1/30</t>
  </si>
  <si>
    <t>10.8.10.21/30</t>
  </si>
  <si>
    <t>////سخت افزاری10.8.30.45/30</t>
  </si>
  <si>
    <t>dandanpezeshki-Dena4404</t>
  </si>
  <si>
    <t>6.3.11.242/30</t>
  </si>
  <si>
    <t>10.8.1.221/30</t>
  </si>
  <si>
    <t>mojtama-Tejari edari shargh5469</t>
  </si>
  <si>
    <t>مجتمع تجاری اداری شرق5469</t>
  </si>
  <si>
    <t>mojtama-maskoni-baharan8019</t>
  </si>
  <si>
    <t>مجتمع مسکونی بهاران8019</t>
  </si>
  <si>
    <t>mojtama-tejari-parsi-room7787</t>
  </si>
  <si>
    <t>مجتمع تجاری پارسی روم7787</t>
  </si>
  <si>
    <t>motorsazi-ahmad-6466</t>
  </si>
  <si>
    <t>موتورسازی احمد6466</t>
  </si>
  <si>
    <t>payanemosaferbari 1-5327</t>
  </si>
  <si>
    <t>///طبق گفته کارشناس احتمالا جمع اوی10.8.2.49/30</t>
  </si>
  <si>
    <t>ورودی 1 پایانه مسافربری  مشهد-5327</t>
  </si>
  <si>
    <t>10.8.4.85/30</t>
  </si>
  <si>
    <t>A-858197-Mojtamealborz2</t>
  </si>
  <si>
    <t>10.8.58.197 /30</t>
  </si>
  <si>
    <t>C-paladiom tabriz8622</t>
  </si>
  <si>
    <t>پالادیوم تبریز8622</t>
  </si>
  <si>
    <t>C-foroshgah sarma yadak7842</t>
  </si>
  <si>
    <t>فروشگاه سرما یدک7842</t>
  </si>
  <si>
    <t>C-meydan mive tarebar hamoon8599</t>
  </si>
  <si>
    <t>میدان میوه تره بار زاهدان هامون8599</t>
  </si>
  <si>
    <t>C-sherkat bazargani folad moazen8642</t>
  </si>
  <si>
    <t>6.3.5.4/30</t>
  </si>
  <si>
    <t>شرکت بازرگانی فولاد موذن8642</t>
  </si>
  <si>
    <t>C-daftar pishkhan hasanzade8640</t>
  </si>
  <si>
    <t>6.3.5.16/30</t>
  </si>
  <si>
    <t>دفتر پیشخوان حسن زاده8640</t>
  </si>
  <si>
    <t>1405/03/25</t>
  </si>
  <si>
    <t>C-pato foroshi mokhtari8612</t>
  </si>
  <si>
    <t>6.3.5.20/30</t>
  </si>
  <si>
    <t>پتو فروشی مختاری8612</t>
  </si>
  <si>
    <t>1405/03/30</t>
  </si>
  <si>
    <t>C-moshaver amlak shiraz7810</t>
  </si>
  <si>
    <t>مشاور املاک شیراز7810</t>
  </si>
  <si>
    <t>1405/03/31</t>
  </si>
  <si>
    <t>C-borj maskoni dornika melal8655</t>
  </si>
  <si>
    <t>برج مسکونی درنیکا ملل8655</t>
  </si>
  <si>
    <t>1405/04/01</t>
  </si>
  <si>
    <t>C-hotel aparteman asa mehr8654</t>
  </si>
  <si>
    <t>6.3.5.56/30</t>
  </si>
  <si>
    <t>هتل آپارتمان آسا مهر8654</t>
  </si>
  <si>
    <t>1405/04/06</t>
  </si>
  <si>
    <t>C-kashi foroshi aghigh8656</t>
  </si>
  <si>
    <t>فروشگاه کاشی عقیق8656</t>
  </si>
  <si>
    <t>C-pasazh sheykh bahaei8662</t>
  </si>
  <si>
    <t>6.3.5.64/30</t>
  </si>
  <si>
    <t>پاساژ شیخ بهایی8662</t>
  </si>
  <si>
    <t>آذر غربی</t>
  </si>
  <si>
    <t>1405/04/08</t>
  </si>
  <si>
    <t>C-meydan mive tarebar8648</t>
  </si>
  <si>
    <t>6.3.5.112/30</t>
  </si>
  <si>
    <t>میدان میوه تره بار8648</t>
  </si>
  <si>
    <t>1405/04/10</t>
  </si>
  <si>
    <t>C-bashgah varzeshi tohid8647</t>
  </si>
  <si>
    <t>6.3.6.80/30</t>
  </si>
  <si>
    <t>باشگاه ورزشی توحید8647</t>
  </si>
  <si>
    <t>1405/04/21</t>
  </si>
  <si>
    <t>C-mavad ghazaei zandi8658</t>
  </si>
  <si>
    <t>مواد غذایی زندی8658</t>
  </si>
  <si>
    <t>C-shirini jalili 8644</t>
  </si>
  <si>
    <t>6.3.5.148/30</t>
  </si>
  <si>
    <t>شیرینی جلیلی8644</t>
  </si>
  <si>
    <t>دورکاری16-سهیل زارعی</t>
  </si>
  <si>
    <t>دورکاری321-علیرضا نیک نام</t>
  </si>
  <si>
    <t>دورکاری 202-اقای رضایی</t>
  </si>
  <si>
    <t>دورکاری 307-اقای حاجی زاده</t>
  </si>
  <si>
    <t>10.1.128.184/29</t>
  </si>
  <si>
    <t>Melal-77648092-Kafinet-Mohammad-Tehran5609</t>
  </si>
  <si>
    <t>جمع اوری1403/11/24</t>
  </si>
  <si>
    <t>32542582-HayperMarket-Asadollahi4751</t>
  </si>
  <si>
    <t>Melal-5143348492-Lavazem Yadaki Ali6012</t>
  </si>
  <si>
    <t>20.1.0.66/20</t>
  </si>
  <si>
    <t>20.1.0.88/20</t>
  </si>
  <si>
    <t>C-2144338900-Mojtama-Kosar-Shahran7086</t>
  </si>
  <si>
    <t>C-9301588761-Terminal-Astara</t>
  </si>
  <si>
    <t>10.8.1.249/30</t>
  </si>
  <si>
    <t>10.8.2.73/30</t>
  </si>
  <si>
    <t>108.2.233/29-VLAN100-10.8.2.234/29SW</t>
  </si>
  <si>
    <t>C-romak mall8633</t>
  </si>
  <si>
    <t>10.1.137.200/30</t>
  </si>
  <si>
    <t>A-romak mall8632</t>
  </si>
  <si>
    <t>10.1.137.196/30</t>
  </si>
  <si>
    <t>C-Abzar forooshi mohsen khoramnezhad7554</t>
  </si>
  <si>
    <t>10.1.141.44/30</t>
  </si>
  <si>
    <t>442</t>
  </si>
  <si>
    <t>A-terminal payam gohar larestan6673</t>
  </si>
  <si>
    <t>10.1.140.236/30</t>
  </si>
  <si>
    <t>10.8.30.177/30</t>
  </si>
  <si>
    <t>A-hyper yadak8610</t>
  </si>
  <si>
    <t>10.1.137.212/30</t>
  </si>
  <si>
    <t>371</t>
  </si>
  <si>
    <t>C-sofre pelastic reza6335</t>
  </si>
  <si>
    <t>10.1.137.16/30</t>
  </si>
  <si>
    <t>C-lastic foroshi jaberzade6824</t>
  </si>
  <si>
    <t>10.1.137.216/30</t>
  </si>
  <si>
    <t>310</t>
  </si>
  <si>
    <t>C-mojtama city center6557</t>
  </si>
  <si>
    <t>C-sakhteman tejari galeria8626</t>
  </si>
  <si>
    <t>C-tasfie ab hosini gol8638</t>
  </si>
  <si>
    <t>10.1.137.188/30</t>
  </si>
  <si>
    <t>C-khoshkbar foroshi norozi8625</t>
  </si>
  <si>
    <t>10.1.137.204/30</t>
  </si>
  <si>
    <t>426</t>
  </si>
  <si>
    <t>1405/03/12</t>
  </si>
  <si>
    <t>C-Ladan24-25-.5604</t>
  </si>
  <si>
    <t>10.1.141.60/30</t>
  </si>
  <si>
    <t>469</t>
  </si>
  <si>
    <t>C-sakhteman paramis elit8652</t>
  </si>
  <si>
    <t>10.1.137.192/30</t>
  </si>
  <si>
    <t>9039271157</t>
  </si>
  <si>
    <t>A-bazar bozorg nasr8660</t>
  </si>
  <si>
    <t>9039270163</t>
  </si>
  <si>
    <t>سیاهکل</t>
  </si>
  <si>
    <t>285</t>
  </si>
  <si>
    <t>C-pomp benzin mohammadi8645</t>
  </si>
  <si>
    <t>9038963648</t>
  </si>
  <si>
    <t>1405/04/07</t>
  </si>
  <si>
    <t>C-atari adel8646</t>
  </si>
  <si>
    <t>10.1.138.108/30</t>
  </si>
  <si>
    <t>9038967247</t>
  </si>
  <si>
    <t>527</t>
  </si>
  <si>
    <t>A-Markaz-Tavanbakhshi-Emam-Ali6369</t>
  </si>
  <si>
    <t>10.1.141.224/30</t>
  </si>
  <si>
    <t>9039269462</t>
  </si>
  <si>
    <t>20.1.0.44/20</t>
  </si>
  <si>
    <t>543</t>
  </si>
  <si>
    <t>C-khadamat bar iran zamin8659</t>
  </si>
  <si>
    <t>10.1.138.104/30</t>
  </si>
  <si>
    <t>9038965149</t>
  </si>
  <si>
    <t>C-majmoe  varzeshi shahid ramezani5075</t>
  </si>
  <si>
    <t>10.1.137.208/30</t>
  </si>
  <si>
    <t>1405/04/11</t>
  </si>
  <si>
    <t>C-tala foroshi almas shahr8664</t>
  </si>
  <si>
    <t>10.1.138.116/30</t>
  </si>
  <si>
    <t>9038736756</t>
  </si>
  <si>
    <t>1405/04/20</t>
  </si>
  <si>
    <t>C-mavad ghazaei alavi8667</t>
  </si>
  <si>
    <t>10.1.143.148/30</t>
  </si>
  <si>
    <t>9038954582</t>
  </si>
  <si>
    <t>517</t>
  </si>
  <si>
    <t>1405/04/22</t>
  </si>
  <si>
    <t>C-mojtama maskoni sepanta8681</t>
  </si>
  <si>
    <t>10.1.138.132/30</t>
  </si>
  <si>
    <t>9045071599</t>
  </si>
  <si>
    <t>335</t>
  </si>
  <si>
    <t>1405/04/24</t>
  </si>
  <si>
    <t>C-kanon karshenasan ahvaz8665</t>
  </si>
  <si>
    <t>10.1.138.120/30</t>
  </si>
  <si>
    <t>1405/04/25</t>
  </si>
  <si>
    <t>C-pasazh hatam8668</t>
  </si>
  <si>
    <t>10.1.138.128/30</t>
  </si>
  <si>
    <t>9039453206</t>
  </si>
  <si>
    <t>C-hyper market shemron7164</t>
  </si>
  <si>
    <t>10.1.138.172/30</t>
  </si>
  <si>
    <t>535</t>
  </si>
  <si>
    <t>1405/04/27</t>
  </si>
  <si>
    <t>C-mojtama pesarane moalem6749</t>
  </si>
  <si>
    <t>10.1.138.192/30</t>
  </si>
  <si>
    <t>419</t>
  </si>
  <si>
    <t>C-clinic hyonda v farjam7799</t>
  </si>
  <si>
    <t>10.1.138.196/30</t>
  </si>
  <si>
    <t>1405/04/29</t>
  </si>
  <si>
    <t>C-pakhsh mavad ghazaei simorgh8487</t>
  </si>
  <si>
    <t>10.1.138.168/30</t>
  </si>
  <si>
    <t>C-darokhane gyah pezeshki javadi8673</t>
  </si>
  <si>
    <t>10.1.138.136/30</t>
  </si>
  <si>
    <t>9038737638</t>
  </si>
  <si>
    <t>1405/04/30</t>
  </si>
  <si>
    <t>C-mojtama parsis8674</t>
  </si>
  <si>
    <t>10.1.133.48/30</t>
  </si>
  <si>
    <t>C-ixogam v ghir ferdosipor8670</t>
  </si>
  <si>
    <t>10.1.138.124/30</t>
  </si>
  <si>
    <t>9045068661</t>
  </si>
  <si>
    <t>397</t>
  </si>
  <si>
    <t>1405/04/31</t>
  </si>
  <si>
    <t>C-pakhsh mavad ghazaei ebrahimi6984</t>
  </si>
  <si>
    <t>10.1.138.144/30</t>
  </si>
  <si>
    <t>1405/05/05</t>
  </si>
  <si>
    <t>C-mojtama tejari pardisan8680</t>
  </si>
  <si>
    <t>10.1.138.148/30</t>
  </si>
  <si>
    <t>9039270328</t>
  </si>
  <si>
    <t>A-moshaver amlak resalat7920</t>
  </si>
  <si>
    <t>C-77354752-Matab-Pezeshki-110-6043</t>
  </si>
  <si>
    <t>10.1.142.40/29</t>
  </si>
  <si>
    <t>A-barbari esfehan bar5889</t>
  </si>
  <si>
    <t>تهران426</t>
  </si>
  <si>
    <t>مشهد239</t>
  </si>
  <si>
    <t>مازندران310</t>
  </si>
  <si>
    <t>تهران531</t>
  </si>
  <si>
    <t>melal-469 b</t>
  </si>
  <si>
    <t>melal-475-b</t>
  </si>
  <si>
    <t>melal-Golsar-305</t>
  </si>
  <si>
    <t>melal-mashahd 254-961724</t>
  </si>
  <si>
    <t>melal-qom 357-343512</t>
  </si>
  <si>
    <t>melal-shobeh 430-536283</t>
  </si>
  <si>
    <t>melal-shobeh579-520914</t>
  </si>
  <si>
    <t>6.3.19.16/30</t>
  </si>
  <si>
    <t>وحدت</t>
  </si>
  <si>
    <t>Sakhteman edari ghaem magham2</t>
  </si>
  <si>
    <t>ساختمان اداری قایم مقام/ناظر مرکزی</t>
  </si>
  <si>
    <t>رادیوsaadat abad motahari-dastori</t>
  </si>
  <si>
    <t>6.3.19.104/29</t>
  </si>
  <si>
    <t>melal-364</t>
  </si>
  <si>
    <t>6.3.19.236/30</t>
  </si>
  <si>
    <t>Sakhteman molasadra</t>
  </si>
  <si>
    <t>8 Mbps</t>
  </si>
  <si>
    <t>6.3.19.240/29</t>
  </si>
  <si>
    <t>melal-554</t>
  </si>
  <si>
    <t>6.3.19.248/29</t>
  </si>
  <si>
    <t>معالی اباد شیراز</t>
  </si>
  <si>
    <t>6.3.16.40/30</t>
  </si>
  <si>
    <t>رادیوmolasadra-mmd</t>
  </si>
  <si>
    <t>70 Mbps</t>
  </si>
  <si>
    <t>6.3.19.240/30</t>
  </si>
  <si>
    <t>melal-237</t>
  </si>
  <si>
    <t>6.3.16.88/30</t>
  </si>
  <si>
    <t>melal-shoberamhormoz-742844</t>
  </si>
  <si>
    <t xml:space="preserve">شعبه رامهرمز </t>
  </si>
  <si>
    <t>10.8.12.0/24</t>
  </si>
  <si>
    <t>10.8.5.44-10.8.5.255</t>
  </si>
  <si>
    <t>10.8.52.0/29</t>
  </si>
  <si>
    <t>10.8.52.17/30</t>
  </si>
  <si>
    <t>6.8.6.90/20</t>
  </si>
  <si>
    <t>10.8.52.20-10.8.52.255</t>
  </si>
  <si>
    <t>جمع اوری درخرداد 1405</t>
  </si>
  <si>
    <t>10.8.22.0-10.8.22.51</t>
  </si>
  <si>
    <t>جمع اوری درمرداد 1405</t>
  </si>
  <si>
    <t>10.8.29.36-10.8.29.47</t>
  </si>
  <si>
    <t>10.8.29.52-10.8.29.63</t>
  </si>
  <si>
    <t>قطع است؟"؟؟؟</t>
  </si>
  <si>
    <t>?????</t>
  </si>
  <si>
    <t>10.8.29.100-10.8.29.119</t>
  </si>
  <si>
    <t>درخواست جمع اوری10.8.10.129/30</t>
  </si>
  <si>
    <t>??????</t>
  </si>
  <si>
    <t>قطع است؟؟؟؟</t>
  </si>
  <si>
    <t>10.8.29.4/30</t>
  </si>
  <si>
    <t>10.8.79.4-10.8.79.15</t>
  </si>
  <si>
    <t>10.8.79.17/30</t>
  </si>
  <si>
    <t>6.8.10.134/20</t>
  </si>
  <si>
    <t>10.8.51.0/24</t>
  </si>
  <si>
    <t>10.8.4.129/30</t>
  </si>
  <si>
    <t>6.8.4.254/20</t>
  </si>
  <si>
    <t>10.8.71.4-10.8.71.255</t>
  </si>
  <si>
    <t>10.8.81.1/30</t>
  </si>
  <si>
    <t>?????علت قطع-درضمن آدرس LANوTUNNEL</t>
  </si>
  <si>
    <t>ازم مهری پیگیری شود بسیار مهم</t>
  </si>
  <si>
    <t>؟؟؟؟</t>
  </si>
  <si>
    <t>؟؟؟؟؟</t>
  </si>
  <si>
    <t>10.8.5.41/30</t>
  </si>
  <si>
    <t>تعداد مشخص شود</t>
  </si>
  <si>
    <t>10.8.34.68-10.8.34.87</t>
  </si>
  <si>
    <t>10.8.34.92-10.8.34.143</t>
  </si>
  <si>
    <t>ICT-Amloo</t>
  </si>
  <si>
    <t>10.8.9.149/30 (وصل است)</t>
  </si>
  <si>
    <t>10.8.59.241/30با دو ارتباط اسیاتک ومبین ن است بررسی ویک ارتباط جمع شود (دسترسی به روتر نیست -تیکت ثبت شد به اقای نیرومند گفته شد)</t>
  </si>
  <si>
    <t>10.8.59.37/30 ارتباط mps جمع اوری و عودت داده شده</t>
  </si>
  <si>
    <t>10.8.10.105/30  جمع اوری و عودت داده شده</t>
  </si>
  <si>
    <t>10.8.10.121/30 جمع اوری و عودت داده شده</t>
  </si>
  <si>
    <t>10.8.10.161/30 جمع اوری و عودت داده شده</t>
  </si>
  <si>
    <t>10.8.58.17/30  جمع اوری و عودت داده شده</t>
  </si>
  <si>
    <t>10.8.58.69/30 وصل است</t>
  </si>
  <si>
    <t>عدم مجوز ورود</t>
  </si>
  <si>
    <t>پینگ مودم برقرار می باشد</t>
  </si>
  <si>
    <t>در حال جمع اوری</t>
  </si>
  <si>
    <t>تغییر بستر از مبین نت به اسیاتک/جمع اوری ثبت گردید ولی محل اجازه جمع اوری نمی دهد</t>
  </si>
  <si>
    <t>1405/04/22جمع اوری بانکداری</t>
  </si>
  <si>
    <t>1404/02/23جمع اوری بانکداری</t>
  </si>
  <si>
    <t>Melal-Bazar bozorg-valiasr-T1--5340</t>
  </si>
  <si>
    <t>1405/04/07درخواست جمع اوری بانکداری</t>
  </si>
  <si>
    <t>در بانکداری پیدا نکردم</t>
  </si>
  <si>
    <t>محل مشکل برقی دارد</t>
  </si>
  <si>
    <t xml:space="preserve"> 10.8.8.69/30---پینگ مودم برقرار است/lan قطع</t>
  </si>
  <si>
    <t>1402/06/11جمع اوری</t>
  </si>
  <si>
    <t>1403/11/13جمع اوری بانکداری</t>
  </si>
  <si>
    <t>طی 2 بار مراجعه محل اجازه جمع اوری نمی دهد</t>
  </si>
  <si>
    <t>1405/02/15جمع اوری بانکداری</t>
  </si>
  <si>
    <t>10.8.9.11/30---1404/11/28درخواست جمع اوری بانکداری</t>
  </si>
  <si>
    <t>قطع است10.8.10.77/30///پینگ مودم برقرار ولی دستگاه نداریم</t>
  </si>
  <si>
    <t>تاپ سرویس5994</t>
  </si>
  <si>
    <t>1403/02/08جمع اوری بانکداری</t>
  </si>
  <si>
    <t>در بانکداری لغو درخواست خورده است</t>
  </si>
  <si>
    <t>10.8.29.73/30--درخواست جمع اوری 1405/04/06</t>
  </si>
  <si>
    <t>10.8.29.97/30سخت افزاری</t>
  </si>
  <si>
    <t>در حال راه اندازی</t>
  </si>
  <si>
    <t>10.8.29.1/30--1405/05/07جمع اوری</t>
  </si>
  <si>
    <t>A-22468794-Markaz-Tavanbakhshi-Emam-Ali.</t>
  </si>
  <si>
    <t>نان سنتی رحمانی4064</t>
  </si>
  <si>
    <t>A-804-89-Ghanadi-Khayam3999</t>
  </si>
  <si>
    <t>قنادی خیام3999</t>
  </si>
  <si>
    <t>10.1.133.44/30</t>
  </si>
  <si>
    <t>C-sarafi-golhak4348</t>
  </si>
  <si>
    <t>C-javaheri abdos8679</t>
  </si>
  <si>
    <t>1405/05/10</t>
  </si>
  <si>
    <t>10.1.138.216/30</t>
  </si>
  <si>
    <t>C-kashi seramic fakhar8676</t>
  </si>
  <si>
    <t>10.1.138.140/30</t>
  </si>
  <si>
    <t>9038477354</t>
  </si>
  <si>
    <t>9038968719</t>
  </si>
  <si>
    <t>C-foroshgah lastic hoseni8687</t>
  </si>
  <si>
    <t>1405/05/11</t>
  </si>
  <si>
    <t>288</t>
  </si>
  <si>
    <t>هماهنگی با کاظمی</t>
  </si>
  <si>
    <t>هماهنگی جمع اوری</t>
  </si>
  <si>
    <t>کاظمی</t>
  </si>
  <si>
    <t>اقای بهرامیان</t>
  </si>
  <si>
    <t>بهرامیان</t>
  </si>
  <si>
    <t>10.8.79.13/30---تیکت ثبت گردید/14 مرداد تماس گرفتم اعلام کردند احتمالا مشکل قطعه</t>
  </si>
  <si>
    <t>هماهنگی جمع اوری//قرار شد اطلاع دهند</t>
  </si>
  <si>
    <t>///جمع اوری بانکداری10.8.51.1/301404/08/28</t>
  </si>
  <si>
    <t>در پنل نبود اصلا</t>
  </si>
  <si>
    <t>metro-kahrizak6640</t>
  </si>
  <si>
    <t>C-markaz kharid mahestan8637</t>
  </si>
  <si>
    <t>10.1.143.20/30</t>
  </si>
  <si>
    <t>9048965221</t>
  </si>
  <si>
    <t>C-foroshgah arayeshi behdashti pardis2-8682</t>
  </si>
  <si>
    <t>10.1.138.248/30</t>
  </si>
  <si>
    <t>9048965209</t>
  </si>
  <si>
    <t>9048965213</t>
  </si>
  <si>
    <t>1405/05/14</t>
  </si>
  <si>
    <t>10.1.139.20/30</t>
  </si>
  <si>
    <t>9048965216</t>
  </si>
  <si>
    <t>C-karkhane berenj kobi bakhshzade8688</t>
  </si>
  <si>
    <t>C-khadamat keshavarzi bahar8678</t>
  </si>
  <si>
    <t>306</t>
  </si>
  <si>
    <t>آملش</t>
  </si>
  <si>
    <t>10.1.138.252/30</t>
  </si>
  <si>
    <t>9048965214</t>
  </si>
  <si>
    <t>C-pasazh asia8690</t>
  </si>
  <si>
    <t>1405/05/18</t>
  </si>
  <si>
    <t>536</t>
  </si>
  <si>
    <t>10.1.143.88/30</t>
  </si>
  <si>
    <t>9048977156</t>
  </si>
  <si>
    <t>C-mojtama tejari ferdosi2-8694</t>
  </si>
  <si>
    <t>1405/05/17</t>
  </si>
  <si>
    <t>10.1.139.28/30</t>
  </si>
  <si>
    <t>477</t>
  </si>
  <si>
    <t>502</t>
  </si>
  <si>
    <t>C-sakhteman dr agha bagheri8693</t>
  </si>
  <si>
    <t>9048965217</t>
  </si>
  <si>
    <t>A-foroshgah sasan8691</t>
  </si>
  <si>
    <t>10.1.139.36/30</t>
  </si>
  <si>
    <t>9048965219</t>
  </si>
  <si>
    <t>A-mojtama tejari reza8683</t>
  </si>
  <si>
    <t>454</t>
  </si>
  <si>
    <t>10.1.138.228/30</t>
  </si>
  <si>
    <t>9048965212</t>
  </si>
  <si>
    <t>1405/05/20</t>
  </si>
  <si>
    <t>A-foroshgah shabanerozi 7market8692</t>
  </si>
  <si>
    <t>10.1.139.32/30</t>
  </si>
  <si>
    <t>9048965218</t>
  </si>
  <si>
    <t>melal-222</t>
  </si>
  <si>
    <t>6.3.16.108/30</t>
  </si>
  <si>
    <t>C-foroshgah zanjire AS market8675</t>
  </si>
  <si>
    <t>فروشگاه زنجیره ای آس مارکت8675</t>
  </si>
  <si>
    <t>315</t>
  </si>
  <si>
    <t>1405/05/26</t>
  </si>
  <si>
    <t>C-danadampezeshki dr salehi8684</t>
  </si>
  <si>
    <t>10.1.139.48/30</t>
  </si>
  <si>
    <t>9048977158</t>
  </si>
  <si>
    <t>9048977159</t>
  </si>
  <si>
    <t>10.1.139.52/30</t>
  </si>
  <si>
    <t>254052110789</t>
  </si>
  <si>
    <t>172.21.195.140/30</t>
  </si>
  <si>
    <t>G1/0/47</t>
  </si>
  <si>
    <t xml:space="preserve">FTT0 </t>
  </si>
  <si>
    <t>melal-291</t>
  </si>
  <si>
    <t>6.3.16.132/30</t>
  </si>
  <si>
    <t>مازندران/بابل</t>
  </si>
  <si>
    <t>20.1.0.103/20</t>
  </si>
  <si>
    <t>جمع اوری مردادماه</t>
  </si>
  <si>
    <t>VSAT*2</t>
  </si>
  <si>
    <t>10.198.2.8/30</t>
  </si>
  <si>
    <t>522</t>
  </si>
  <si>
    <t>1405/06/01</t>
  </si>
  <si>
    <t>A-borj abi 1v2-4043</t>
  </si>
  <si>
    <t>10.1.139.64/30</t>
  </si>
  <si>
    <t>C-mojtama arghavan B3-8701</t>
  </si>
  <si>
    <t>1405/06/02</t>
  </si>
  <si>
    <t>10.1.139.68/30</t>
  </si>
  <si>
    <t>9048977165</t>
  </si>
  <si>
    <t>9048977163</t>
  </si>
  <si>
    <t>515</t>
  </si>
  <si>
    <t>melal-218</t>
  </si>
  <si>
    <t>6.3.16.140/30</t>
  </si>
  <si>
    <t>C-reyl market rahahan8703</t>
  </si>
  <si>
    <t>1405/06/04</t>
  </si>
  <si>
    <t>10.1.139.92/30</t>
  </si>
  <si>
    <t>9048978161</t>
  </si>
  <si>
    <t>C-bazar dam ghochan8699</t>
  </si>
  <si>
    <t>10.1.139.80/30</t>
  </si>
  <si>
    <t>9048977167</t>
  </si>
  <si>
    <t>C-foroshgah lavazem khanegi samadi7807</t>
  </si>
  <si>
    <t>376</t>
  </si>
  <si>
    <t>10.1.143.52/30</t>
  </si>
  <si>
    <t>1405/06/05</t>
  </si>
  <si>
    <t>467</t>
  </si>
  <si>
    <t>10.1.139.84/30</t>
  </si>
  <si>
    <t>9048977168</t>
  </si>
  <si>
    <t>C-foroshgah ghodrat ghatat yadak iranian8695</t>
  </si>
  <si>
    <t>A-Masjed-Rafiei-Mashhad5959</t>
  </si>
  <si>
    <t>مسجد رفیعی-مشهد5959</t>
  </si>
  <si>
    <t>C-javaheri-zibahonar7234</t>
  </si>
  <si>
    <t>جواهری زیباهنر7234</t>
  </si>
  <si>
    <t xml:space="preserve">C-Lavazem-Yadaky-Motor-Etminan7604
</t>
  </si>
  <si>
    <t>لوازم یدکی موتور سیکلت اطمینان7604</t>
  </si>
  <si>
    <t>C-lavazem yadaki alijani8702</t>
  </si>
  <si>
    <t>1405/06/07</t>
  </si>
  <si>
    <t>10.1.139.88/30</t>
  </si>
  <si>
    <t>9048978162</t>
  </si>
  <si>
    <t>C-galery tala koh nor8564</t>
  </si>
  <si>
    <t>382</t>
  </si>
  <si>
    <t>10.1.139.60/30</t>
  </si>
  <si>
    <t>9048977162</t>
  </si>
  <si>
    <t>ادغام در237</t>
  </si>
  <si>
    <t>درتاریخ 31مردادادغام شد-نامه جمع اوری سرویس درهمین تاریخ تسلیم ملل شد.</t>
  </si>
  <si>
    <t>؟؟؟/</t>
  </si>
  <si>
    <t>ادغام در264</t>
  </si>
  <si>
    <t>ادغام در223</t>
  </si>
  <si>
    <t>ادغام در233</t>
  </si>
  <si>
    <t>ادغام در339</t>
  </si>
  <si>
    <t>سال 1401 جمع شده است</t>
  </si>
  <si>
    <t>ادغام در214</t>
  </si>
  <si>
    <t>ادغام در246</t>
  </si>
  <si>
    <t>1404/10/30شعبه تخریب شده</t>
  </si>
  <si>
    <t>ادغام در330</t>
  </si>
  <si>
    <t>10.2.67.1/26-VLAN 100</t>
  </si>
  <si>
    <t>10.2.67.2/30</t>
  </si>
  <si>
    <t>192.168.210.22/30</t>
  </si>
  <si>
    <t>192.168.207.4/28</t>
  </si>
  <si>
    <t>8.1.2.67 /32-8.3.2.67/32</t>
  </si>
  <si>
    <t>10.75.15.170/30</t>
  </si>
  <si>
    <t>Tehran:33.1.2.67/20-Anti:38.1.2.67/20-Seman:44.1.2.67/20</t>
  </si>
  <si>
    <t>ادغام در253</t>
  </si>
  <si>
    <t>ادغام در439</t>
  </si>
  <si>
    <t>ادغام در385</t>
  </si>
  <si>
    <t>ادغام در401</t>
  </si>
  <si>
    <t>536244</t>
  </si>
  <si>
    <t>10.3.58.1/26-VLAN100</t>
  </si>
  <si>
    <t>10.3.58.2/30</t>
  </si>
  <si>
    <t>FastEthernet0/0.100</t>
  </si>
  <si>
    <t>192.168.146.2/30</t>
  </si>
  <si>
    <t>8.1.3.58/32-8.3.3.58/32</t>
  </si>
  <si>
    <t>12-19</t>
  </si>
  <si>
    <t>10.246.2.90/29</t>
  </si>
  <si>
    <t>Tehran:33.1.3.58/20-Anti:38.1.3.58/20-Seman:44.1.3.58/20</t>
  </si>
  <si>
    <t>6.3.18.94/30</t>
  </si>
  <si>
    <t>6.8.18.94/22</t>
  </si>
  <si>
    <t>ادغام در443</t>
  </si>
  <si>
    <t>10.4.52.1/26-VLAN100</t>
  </si>
  <si>
    <t>10.4.52.2/30</t>
  </si>
  <si>
    <t>192.168.217.4/29</t>
  </si>
  <si>
    <t>192.168.216.4/29</t>
  </si>
  <si>
    <t>8.1.4.52 /32-8.2.4.52/32</t>
  </si>
  <si>
    <t>10.126.24.66/29</t>
  </si>
  <si>
    <t>Tehran:33.1.4.52/20-Anti:38.1.4.52/20-Semnan:44.1.4.52/20</t>
  </si>
  <si>
    <t>ادغام در345</t>
  </si>
  <si>
    <t>540651</t>
  </si>
  <si>
    <t>10.4.71.1/26-VLAN100</t>
  </si>
  <si>
    <t>10.4.71.2/30</t>
  </si>
  <si>
    <t>192.168.126.2/30</t>
  </si>
  <si>
    <t>8.1.4.71/32-8.3.4.71/32</t>
  </si>
  <si>
    <t>9902218058</t>
  </si>
  <si>
    <t>10.227.208.194/29</t>
  </si>
  <si>
    <t>Tehran:33.1.4.71/20-Anti:38.1.4.71/20-Semnan:44.1.4.71/20</t>
  </si>
  <si>
    <t>6.3.19.74/30</t>
  </si>
  <si>
    <t>6.8.19.74/20</t>
  </si>
  <si>
    <t>540804</t>
  </si>
  <si>
    <t>10.4.6.1/26-VLAN100</t>
  </si>
  <si>
    <t>10.4.6.2/30</t>
  </si>
  <si>
    <t>192.168.155.2/30</t>
  </si>
  <si>
    <t>192.168.154.2/30</t>
  </si>
  <si>
    <t>8.1.4.6/32-8.3.4.6/32</t>
  </si>
  <si>
    <t>FastEthernet0/1.406</t>
  </si>
  <si>
    <t>VLAN 406-FE20 SW</t>
  </si>
  <si>
    <t>10.254.212.154/29</t>
  </si>
  <si>
    <t>Tehran:33.1.4.6/20-Anti:38.1.4.6/20-Seman:44.1.4.6/20</t>
  </si>
  <si>
    <t>ادغام در372</t>
  </si>
  <si>
    <t>ادغام در404</t>
  </si>
  <si>
    <t>548292</t>
  </si>
  <si>
    <t>10.2.88.1/26-VLAN100</t>
  </si>
  <si>
    <t>10.2.88.2/30</t>
  </si>
  <si>
    <t>192.168.175.5/28</t>
  </si>
  <si>
    <t>192.168.174.6/28</t>
  </si>
  <si>
    <t>8.1.2.88 /32-8.3.2.88/32</t>
  </si>
  <si>
    <t>10.88.198.2/28</t>
  </si>
  <si>
    <t>Tehran:33.1.2.88/20-Anti:38.1.2.88/20-Seman:44.1.2.88/20</t>
  </si>
  <si>
    <t>591111</t>
  </si>
  <si>
    <t>10.4.25.1/26-VLAN100</t>
  </si>
  <si>
    <t>10.4.25.2/30</t>
  </si>
  <si>
    <t>10.103.238.90/29</t>
  </si>
  <si>
    <t>Tehran:33.1.4.25/20-Seman:44.1.4.25/20</t>
  </si>
  <si>
    <t>7/69</t>
  </si>
  <si>
    <t>8.1.4.25/32-8.3.4.25/32</t>
  </si>
  <si>
    <t>6.3.16.50/30</t>
  </si>
  <si>
    <t>Tehran:6.8.16.50/22-Semnan:42.1.4.25/21-Anti:40.1.0.22/24</t>
  </si>
  <si>
    <t>9902221785</t>
  </si>
  <si>
    <t>10.4.75.1/26-VLAN100</t>
  </si>
  <si>
    <t>10.4.75.2/30</t>
  </si>
  <si>
    <t>12.0.0.68/29</t>
  </si>
  <si>
    <t>8.1.4.75 /32-8.3.4.75/32</t>
  </si>
  <si>
    <t>10.103.238.106/29</t>
  </si>
  <si>
    <t>Tehran:33.1.4.75/20-Anti:38.1.4.75/20-Seman:44.1.4.75/20</t>
  </si>
  <si>
    <t>7/72</t>
  </si>
  <si>
    <t>6.3.18.130 /30</t>
  </si>
  <si>
    <t>6.8.18.130/22</t>
  </si>
  <si>
    <t>ادغام در262</t>
  </si>
  <si>
    <t>ادغام در346</t>
  </si>
  <si>
    <t>ادغام در393</t>
  </si>
  <si>
    <t>534453</t>
  </si>
  <si>
    <t>10.4.28.1/26-VLAN100</t>
  </si>
  <si>
    <t>10.4.28.2/30</t>
  </si>
  <si>
    <t>192.168.100.62/30</t>
  </si>
  <si>
    <t>192.168.214.15/27</t>
  </si>
  <si>
    <t>8.1.4.28 /24-8.3.4.28/32</t>
  </si>
  <si>
    <t>10.121.51.146/28</t>
  </si>
  <si>
    <t>Tehran:33.1.4.28/20-Anti:38.1.4.28/20-Seman:44.1.4.28/20</t>
  </si>
  <si>
    <t>ادغام در284</t>
  </si>
  <si>
    <t>589038</t>
  </si>
  <si>
    <t>10.4.55.1/26-VLAN100</t>
  </si>
  <si>
    <t>10.4.55.2/30</t>
  </si>
  <si>
    <t>192.168.197.4/29</t>
  </si>
  <si>
    <t>192.168.196.4/29</t>
  </si>
  <si>
    <t>8.1.4.55 /32-8.3.4.55/32</t>
  </si>
  <si>
    <t>10.144.43.18/29</t>
  </si>
  <si>
    <t>Tehran:33.1.4.55/20-Anti:38.1.4.55/20-Seman:44.1.4.55/20</t>
  </si>
  <si>
    <t>ادغام در247</t>
  </si>
  <si>
    <t>9802176517</t>
  </si>
  <si>
    <t>10.5.60.1/26-VLAN100</t>
  </si>
  <si>
    <t>10.5.60.2/26</t>
  </si>
  <si>
    <t>192.168.187.6 /29</t>
  </si>
  <si>
    <t>192.168.186.69/29</t>
  </si>
  <si>
    <t>8.1.5.60/32-8.3.5.60/32</t>
  </si>
  <si>
    <t>9802176520</t>
  </si>
  <si>
    <t>10.187.113.218 /29</t>
  </si>
  <si>
    <t>Tehran:33.1.5.60/20-Anti:38.1.5.60/20-Seman:44.1.5.60/20</t>
  </si>
  <si>
    <t>6.3.16.166/29</t>
  </si>
  <si>
    <t>Tehran:6.8.16.166/2</t>
  </si>
  <si>
    <t>ادغام در408</t>
  </si>
  <si>
    <t>ادغام در416</t>
  </si>
  <si>
    <t>541751</t>
  </si>
  <si>
    <t>10.3.80.1/26-VLAN100</t>
  </si>
  <si>
    <t>10.3.80.2/30</t>
  </si>
  <si>
    <t>192.168.178.2/30</t>
  </si>
  <si>
    <t>8.1.3.80/32-8.3.3.80/32</t>
  </si>
  <si>
    <t xml:space="preserve"> 9-10,15-16,28-31</t>
  </si>
  <si>
    <t>592467</t>
  </si>
  <si>
    <t>10.152.49.70/30</t>
  </si>
  <si>
    <t>Tehran:33.1.3.80/20-Anti:38.1.3.80/20-Seman:44.1.3.80/20</t>
  </si>
  <si>
    <t>ادغام در365</t>
  </si>
  <si>
    <t>541749</t>
  </si>
  <si>
    <t>10.3.83.1/26-VLAN100</t>
  </si>
  <si>
    <t>10.3.83.2/30</t>
  </si>
  <si>
    <t>192.168.178.3/29</t>
  </si>
  <si>
    <t>8.1.3.83/32-8.3.3.83/32</t>
  </si>
  <si>
    <t>11-14,21-24</t>
  </si>
  <si>
    <t>592465</t>
  </si>
  <si>
    <t>10.152.49.66/30</t>
  </si>
  <si>
    <t>Tehran:33.1.3.83/20-Anti:38.1.3.83/20-Seman:44.1.3.83/20</t>
  </si>
  <si>
    <t>گلستان كرمانشاه</t>
  </si>
  <si>
    <t>امام خميني(ره)</t>
  </si>
  <si>
    <t>مركزي</t>
  </si>
  <si>
    <t>بیهق سبزوار</t>
  </si>
  <si>
    <t>ادغام در265</t>
  </si>
  <si>
    <t>ادغام در384</t>
  </si>
  <si>
    <t>ادغام در314</t>
  </si>
  <si>
    <t>ادغام  226</t>
  </si>
  <si>
    <t>ادغام در275</t>
  </si>
  <si>
    <t>درتاریخ 20 مردادادغام شد-نامه جمع اوری سرویس درهمین تاریخ تسلیم ملل شد.</t>
  </si>
  <si>
    <t>درتاریخ 20مردادادغام شد-نامه جمع اوری سرویس درهمین تاریخ تسلیم ملل شد.</t>
  </si>
  <si>
    <t>درتاریخ 4شهریور ادغام شد-نامه جمع اوری سرویس درهمین تاریخ تسلیم ملل شد.</t>
  </si>
  <si>
    <t>درتاریخ2شهریور ادغام شد-نامه جمع اوری سرویس درهمین تاریخ تسلیم ملل شد.</t>
  </si>
  <si>
    <t>درتاریخ 26مردادادغام شد-نامه جمع اوری سرویس درهمین تاریخ تسلیم ملل شد.</t>
  </si>
  <si>
    <t>192.168.140.106/30</t>
  </si>
  <si>
    <t>Tehran:33.1.2.40/20-Anti: 38.1.2.40 -Off-Semnan:44.1.2.40</t>
  </si>
  <si>
    <t>9902216118</t>
  </si>
  <si>
    <t>10.70.56.146/28</t>
  </si>
  <si>
    <t>192.168.120.32 /24</t>
  </si>
  <si>
    <t>10.2.40.1/24-VLAN100</t>
  </si>
  <si>
    <t>10.2.40.2/24</t>
  </si>
  <si>
    <t>8.1.2.40/32-8.3.2.40/32</t>
  </si>
  <si>
    <t>10.3.25.1 /24-VLAN100</t>
  </si>
  <si>
    <t>C-pars poshak6978</t>
  </si>
  <si>
    <t>6.3.13.168/30</t>
  </si>
  <si>
    <t>پارس پوشاک6978</t>
  </si>
  <si>
    <t>1405/06/09</t>
  </si>
  <si>
    <t>6.3.5.180/30</t>
  </si>
  <si>
    <t>فروشگاه کیومرث8588</t>
  </si>
  <si>
    <t>C-abmive bastani fanoos8700</t>
  </si>
  <si>
    <t>10.1.143.168/30</t>
  </si>
  <si>
    <t>9048978167</t>
  </si>
  <si>
    <t>مشهد280</t>
  </si>
  <si>
    <t>گیلان307</t>
  </si>
  <si>
    <t>10.1.139.4/30</t>
  </si>
  <si>
    <t>رضوی278</t>
  </si>
  <si>
    <t>Mobinnet-LAN IP</t>
  </si>
  <si>
    <t>لینک Backup به محض رفع مشکل سوئیچ Stack روف فعال شود</t>
  </si>
  <si>
    <t>لینک های پرظرفیت-مراکز داده</t>
  </si>
  <si>
    <t>وضعیت14050618</t>
  </si>
  <si>
    <t>6.3.16.114/30-VLAN940</t>
  </si>
  <si>
    <t>OK</t>
  </si>
  <si>
    <t>شبکه اینترنت مبین نت</t>
  </si>
  <si>
    <t>مشهد مطهری (مرکزی) Internet-فام-رادیو-شرکت فام</t>
  </si>
  <si>
    <t>ساختمان 68 شرقی فام- Internet-رادیو-شرکت فام</t>
  </si>
  <si>
    <t>درمردادماه1405 جمع اوری شد-تجهیزات انبار ملل</t>
  </si>
  <si>
    <t>درمردادماه1405 جمع اوری شد-تجهیزات به علت بدهی ازاد نشده لذا جمع اوری اعمال نشده واز بهمن ماه سال 1404پهنای باند به کف ظرفیت کاهش داده شده است تا هزینه مدیریت شود.</t>
  </si>
  <si>
    <t>سرپرستی مشهد مطهری (مرکزی) VPN-ملل-رادبو</t>
  </si>
  <si>
    <t>معتمدشرف ملل(دانشگاه شریف)</t>
  </si>
  <si>
    <t>192.168.114.2/30-VLAN76(L2-P2P)</t>
  </si>
  <si>
    <t>ساختمان داتین-جردن-ملل-رادیو</t>
  </si>
  <si>
    <t>بررسی شود رادیو استفاده شده سمت داتین-پهنای باند بررسی شود</t>
  </si>
  <si>
    <t>صحت پهنای باند بررسی شود</t>
  </si>
  <si>
    <t>صحت پهنای باند بررسی شود-شماره vlan بررسی شود</t>
  </si>
  <si>
    <t>6.3.17.108/30-VLAN ???(L3-P2P)</t>
  </si>
  <si>
    <t>192.168.168.0/29(Melal-VLAN887)</t>
  </si>
  <si>
    <t>بورس کالا-ملل-رادیو</t>
  </si>
  <si>
    <t>الکترونیک کارت دماوند-ملل-رادیو</t>
  </si>
  <si>
    <t>6.3.16.104/30</t>
  </si>
  <si>
    <t>6.3.18.200/30</t>
  </si>
  <si>
    <t>????</t>
  </si>
  <si>
    <t>192.168.111.238/24-VLAN237(L3-P2P)</t>
  </si>
  <si>
    <t>جمع اوری سال 1404</t>
  </si>
  <si>
    <t>LTE-Branch</t>
  </si>
  <si>
    <t>LTE-ATM</t>
  </si>
  <si>
    <t>LTE-Telework</t>
  </si>
  <si>
    <t>6.4.0.0/29</t>
  </si>
  <si>
    <t>6.3.17.80/28</t>
  </si>
  <si>
    <t>6.3.16.0/29-VLAN886(Branch)/6.3.0.0/29-VLAN885(ATM)/192.168.111.0/24-VLAN882(L2 Old)/172.16.0.0/29-VLAN 883(Telework)/172.17.1.0/29-VLAN790(PSP Pasargad)-L3-P2P)</t>
  </si>
  <si>
    <t>6.3.17.80/29-VLAN799(Branch)/172.16.6.0/29-VLAN883(Telework)/6.4.0.0/29-VLAN885(ATM)</t>
  </si>
  <si>
    <t xml:space="preserve"> پهنای باند هرvlan بررسی شود جقدراست؟</t>
  </si>
  <si>
    <t>Telework</t>
  </si>
  <si>
    <t>6.3.16.0/29</t>
  </si>
  <si>
    <t>6.3.0.0/29</t>
  </si>
  <si>
    <t>L2 OLD</t>
  </si>
  <si>
    <t>172.16.0.0/29</t>
  </si>
  <si>
    <t>172.17.1.0/29</t>
  </si>
  <si>
    <t>PSPs</t>
  </si>
  <si>
    <t>192.168.111.238/24</t>
  </si>
  <si>
    <t>Atieh Dade Pardaz(P2P-L3)</t>
  </si>
  <si>
    <t>Datin(P2P-L3)</t>
  </si>
  <si>
    <t>Damavand(P2P-L3)</t>
  </si>
  <si>
    <t>192.168.168.0/29</t>
  </si>
  <si>
    <t>Bors Kala(P2P-L3)</t>
  </si>
  <si>
    <t>(Active&amp;Backup Radio(Radio-Mikrotik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</si>
</sst>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00000"/>
    <numFmt numFmtId="165" formatCode="[$-3000401]0.#####E+00"/>
  </numFmts>
  <fonts count="12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B Nazanin"/>
      <charset val="178"/>
    </font>
    <font>
      <sz val="10"/>
      <color theme="1"/>
      <name val="B Nazanin"/>
      <charset val="178"/>
    </font>
    <font>
      <b/>
      <sz val="10"/>
      <color theme="1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8"/>
      <name val="B Nazanin"/>
      <charset val="178"/>
    </font>
    <font>
      <sz val="10"/>
      <name val="B Nazanin"/>
      <charset val="178"/>
    </font>
    <font>
      <b/>
      <sz val="10"/>
      <name val="B Nazanin"/>
      <charset val="178"/>
    </font>
    <font>
      <sz val="8"/>
      <color theme="1"/>
      <name val="B Nazanin"/>
      <charset val="178"/>
    </font>
    <font>
      <sz val="11"/>
      <name val="B Nazanin"/>
      <charset val="178"/>
    </font>
    <font>
      <b/>
      <sz val="11"/>
      <color theme="0"/>
      <name val="B Nazanin"/>
      <charset val="178"/>
    </font>
    <font>
      <b/>
      <sz val="8"/>
      <color theme="0"/>
      <name val="B Nazanin"/>
      <charset val="178"/>
    </font>
    <font>
      <sz val="10"/>
      <name val="Arial"/>
      <family val="2"/>
    </font>
    <font>
      <sz val="11"/>
      <color theme="1"/>
      <name val="2  Nazanin"/>
      <charset val="178"/>
    </font>
    <font>
      <sz val="11"/>
      <color theme="0"/>
      <name val="B Nazanin"/>
      <charset val="178"/>
    </font>
    <font>
      <b/>
      <sz val="10"/>
      <color theme="1"/>
      <name val="Calibri"/>
      <family val="2"/>
      <scheme val="minor"/>
    </font>
    <font>
      <sz val="9"/>
      <color theme="1"/>
      <name val="B Nazanin"/>
      <charset val="178"/>
    </font>
    <font>
      <sz val="10"/>
      <color theme="1"/>
      <name val="Arial"/>
      <family val="2"/>
    </font>
    <font>
      <sz val="10"/>
      <color rgb="FFFF0000"/>
      <name val="B Nazanin"/>
      <charset val="178"/>
    </font>
    <font>
      <b/>
      <sz val="10"/>
      <color rgb="FFFF0000"/>
      <name val="B Nazanin"/>
      <charset val="178"/>
    </font>
    <font>
      <sz val="10"/>
      <color theme="1"/>
      <name val="Calibri"/>
      <family val="2"/>
      <scheme val="minor"/>
    </font>
    <font>
      <b/>
      <sz val="11"/>
      <name val="B Nazanin"/>
      <charset val="178"/>
    </font>
    <font>
      <sz val="11"/>
      <name val="Calibri"/>
      <family val="2"/>
      <scheme val="minor"/>
    </font>
    <font>
      <sz val="9"/>
      <name val="B Nazanin"/>
      <charset val="178"/>
    </font>
    <font>
      <sz val="11"/>
      <name val="2  Nazanin"/>
      <charset val="178"/>
    </font>
    <font>
      <sz val="10"/>
      <color theme="1"/>
      <name val="2  Nazanin"/>
      <charset val="178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theme="1"/>
      <name val="B Titr"/>
      <charset val="178"/>
    </font>
    <font>
      <sz val="10"/>
      <color theme="1"/>
      <name val="B Titr"/>
      <charset val="178"/>
    </font>
    <font>
      <b/>
      <sz val="10"/>
      <color theme="1"/>
      <name val="2  Nazanin"/>
      <charset val="178"/>
    </font>
    <font>
      <sz val="12"/>
      <color theme="1"/>
      <name val="2  Nazanin"/>
      <charset val="178"/>
    </font>
    <font>
      <sz val="10"/>
      <color rgb="FFFF0000"/>
      <name val="2  Nazanin"/>
      <charset val="178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BTitr"/>
    </font>
    <font>
      <sz val="10"/>
      <color indexed="8"/>
      <name val="Arial"/>
      <family val="2"/>
    </font>
    <font>
      <b/>
      <sz val="11"/>
      <color theme="1"/>
      <name val="Calibri"/>
      <family val="2"/>
      <charset val="178"/>
      <scheme val="minor"/>
    </font>
    <font>
      <b/>
      <sz val="11"/>
      <color theme="1"/>
      <name val="2  Nazanin"/>
      <charset val="178"/>
    </font>
    <font>
      <b/>
      <sz val="12"/>
      <color theme="1"/>
      <name val="2  Nazanin"/>
      <charset val="178"/>
    </font>
    <font>
      <b/>
      <sz val="12"/>
      <color theme="0"/>
      <name val="2  Nazanin"/>
      <charset val="178"/>
    </font>
    <font>
      <sz val="11"/>
      <name val="Calibri"/>
      <family val="2"/>
    </font>
    <font>
      <sz val="11"/>
      <color theme="1"/>
      <name val="2  Titr"/>
      <charset val="178"/>
    </font>
    <font>
      <b/>
      <sz val="11"/>
      <name val="Calibri"/>
      <family val="2"/>
      <charset val="178"/>
    </font>
    <font>
      <b/>
      <sz val="11"/>
      <name val="2  Nazanin"/>
      <charset val="178"/>
    </font>
    <font>
      <b/>
      <sz val="11"/>
      <name val="Calibri"/>
      <family val="2"/>
    </font>
    <font>
      <b/>
      <sz val="11"/>
      <color theme="0"/>
      <name val="2  Nazanin"/>
      <charset val="178"/>
    </font>
    <font>
      <sz val="11"/>
      <name val="Calibri"/>
      <family val="2"/>
      <charset val="178"/>
    </font>
    <font>
      <b/>
      <sz val="8"/>
      <name val="B Nazanin"/>
      <charset val="178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Verdana"/>
      <family val="2"/>
    </font>
    <font>
      <b/>
      <sz val="20"/>
      <color theme="0"/>
      <name val="Verdana"/>
      <family val="2"/>
    </font>
    <font>
      <b/>
      <sz val="14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b/>
      <sz val="14"/>
      <name val="2  Nazanin"/>
      <charset val="178"/>
    </font>
    <font>
      <b/>
      <sz val="20"/>
      <color theme="0"/>
      <name val="2  Nazanin"/>
      <charset val="178"/>
    </font>
    <font>
      <sz val="14"/>
      <name val="2  Nazanin"/>
      <charset val="178"/>
    </font>
    <font>
      <sz val="14"/>
      <name val="Verdana"/>
      <family val="2"/>
    </font>
    <font>
      <b/>
      <sz val="14"/>
      <color theme="0"/>
      <name val="2  Nazanin"/>
      <charset val="178"/>
    </font>
    <font>
      <sz val="14"/>
      <color theme="1"/>
      <name val="2  Nazanin"/>
      <charset val="178"/>
    </font>
    <font>
      <b/>
      <sz val="12"/>
      <color theme="1"/>
      <name val="Calibri"/>
      <family val="2"/>
      <scheme val="minor"/>
    </font>
    <font>
      <b/>
      <sz val="14"/>
      <color theme="1"/>
      <name val="2  Nazanin"/>
      <charset val="178"/>
    </font>
    <font>
      <b/>
      <sz val="11"/>
      <color theme="1"/>
      <name val="2  Titr"/>
      <charset val="178"/>
    </font>
    <font>
      <b/>
      <sz val="12"/>
      <name val="Calibri"/>
      <family val="2"/>
      <charset val="178"/>
    </font>
    <font>
      <sz val="12"/>
      <name val="Calibri"/>
      <family val="2"/>
      <charset val="178"/>
    </font>
    <font>
      <b/>
      <sz val="11"/>
      <color theme="0"/>
      <name val="2  Titr"/>
      <charset val="178"/>
    </font>
    <font>
      <b/>
      <sz val="11"/>
      <name val="2  Titr"/>
      <charset val="178"/>
    </font>
    <font>
      <b/>
      <sz val="14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B Nazanin"/>
      <charset val="178"/>
    </font>
    <font>
      <b/>
      <sz val="12"/>
      <name val="2  Nazanin"/>
      <charset val="178"/>
    </font>
    <font>
      <sz val="12"/>
      <name val="2  Nazanin"/>
      <charset val="178"/>
    </font>
    <font>
      <b/>
      <sz val="9"/>
      <name val="2  Nazanin"/>
      <charset val="178"/>
    </font>
    <font>
      <sz val="11"/>
      <color rgb="FF9C0006"/>
      <name val="Calibri"/>
      <family val="2"/>
      <scheme val="minor"/>
    </font>
    <font>
      <b/>
      <sz val="8"/>
      <color theme="1"/>
      <name val="B Nazanin"/>
      <charset val="178"/>
    </font>
    <font>
      <b/>
      <sz val="9"/>
      <color theme="1"/>
      <name val="B Nazanin"/>
      <charset val="178"/>
    </font>
    <font>
      <b/>
      <sz val="14"/>
      <color theme="0"/>
      <name val="B Titr"/>
      <charset val="178"/>
    </font>
    <font>
      <b/>
      <sz val="9"/>
      <name val="B Nazanin"/>
      <charset val="178"/>
    </font>
    <font>
      <sz val="11"/>
      <color rgb="FFFF0000"/>
      <name val="B Nazanin"/>
      <charset val="178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4"/>
      <color rgb="FF000000"/>
      <name val="Shabnam"/>
      <charset val="1"/>
    </font>
    <font>
      <sz val="9"/>
      <color rgb="FF000000"/>
      <name val="Shabnam"/>
      <charset val="1"/>
    </font>
    <font>
      <b/>
      <sz val="8"/>
      <color rgb="FF000000"/>
      <name val="Shabnam"/>
      <charset val="1"/>
    </font>
    <font>
      <b/>
      <sz val="9"/>
      <color rgb="FF000000"/>
      <name val="Shabnam"/>
      <charset val="1"/>
    </font>
    <font>
      <b/>
      <sz val="7"/>
      <color rgb="FF000000"/>
      <name val="Shabnam"/>
      <charset val="1"/>
    </font>
    <font>
      <b/>
      <sz val="9"/>
      <color rgb="FF1F3864"/>
      <name val="Shabnam"/>
      <charset val="1"/>
    </font>
    <font>
      <sz val="8"/>
      <color rgb="FF000000"/>
      <name val="Shabnam"/>
      <charset val="1"/>
    </font>
    <font>
      <b/>
      <sz val="9"/>
      <color rgb="FFFF0000"/>
      <name val="Shabnam"/>
      <charset val="1"/>
    </font>
    <font>
      <b/>
      <sz val="8"/>
      <color rgb="FFC00000"/>
      <name val="Shabnam"/>
      <charset val="1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10"/>
      <name val="2  Nazanin"/>
      <charset val="178"/>
    </font>
    <font>
      <sz val="12"/>
      <name val="Calibri"/>
      <family val="2"/>
      <scheme val="minor"/>
    </font>
    <font>
      <sz val="11"/>
      <color theme="1"/>
      <name val="Verdana"/>
      <family val="2"/>
    </font>
    <font>
      <sz val="12"/>
      <color theme="1"/>
      <name val="B Nazanin"/>
      <charset val="178"/>
    </font>
    <font>
      <sz val="12"/>
      <name val="Calibri"/>
      <family val="2"/>
    </font>
    <font>
      <b/>
      <sz val="10"/>
      <name val="2  Nazanin"/>
      <charset val="178"/>
    </font>
    <font>
      <b/>
      <sz val="12"/>
      <color theme="1"/>
      <name val="B Nazanin"/>
      <charset val="178"/>
    </font>
    <font>
      <b/>
      <sz val="12"/>
      <name val="B Nazanin"/>
      <charset val="178"/>
    </font>
    <font>
      <b/>
      <sz val="14"/>
      <color theme="0"/>
      <name val="B Nazanin"/>
      <charset val="178"/>
    </font>
    <font>
      <sz val="14"/>
      <color theme="1"/>
      <name val="Calibri"/>
      <family val="2"/>
      <scheme val="minor"/>
    </font>
    <font>
      <sz val="14"/>
      <name val="B Nazanin"/>
      <charset val="178"/>
    </font>
    <font>
      <b/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name val="2  Nazanin"/>
      <charset val="178"/>
    </font>
    <font>
      <sz val="11"/>
      <name val="Verdana"/>
      <family val="2"/>
    </font>
    <font>
      <b/>
      <sz val="11"/>
      <name val="Verdana"/>
      <family val="2"/>
    </font>
    <font>
      <b/>
      <sz val="11"/>
      <color theme="8" tint="-0.499984740745262"/>
      <name val="2  Nazanin"/>
      <charset val="178"/>
    </font>
    <font>
      <sz val="11"/>
      <color rgb="FF000000"/>
      <name val="Calibri"/>
      <family val="2"/>
      <scheme val="minor"/>
    </font>
    <font>
      <b/>
      <sz val="11"/>
      <color rgb="FF000000"/>
      <name val="2  Nazanin"/>
      <charset val="178"/>
    </font>
    <font>
      <sz val="10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b/>
      <sz val="12"/>
      <name val="Calibri"/>
      <family val="2"/>
      <scheme val="minor"/>
    </font>
    <font>
      <b/>
      <sz val="11"/>
      <name val="Calibri"/>
      <family val="2"/>
      <charset val="178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9"/>
        <bgColor theme="0" tint="-0.14999847407452621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505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 style="thick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69696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696969"/>
      </bottom>
      <diagonal/>
    </border>
    <border>
      <left/>
      <right style="thin">
        <color rgb="FF000000"/>
      </right>
      <top/>
      <bottom style="thin">
        <color rgb="FF696969"/>
      </bottom>
      <diagonal/>
    </border>
    <border>
      <left/>
      <right/>
      <top/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000000"/>
      </top>
      <bottom style="thin">
        <color rgb="FF69696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13" borderId="0" applyNumberFormat="0" applyBorder="0" applyAlignment="0" applyProtection="0"/>
    <xf numFmtId="0" fontId="29" fillId="12" borderId="0" applyNumberFormat="0" applyBorder="0" applyAlignment="0" applyProtection="0"/>
    <xf numFmtId="0" fontId="39" fillId="0" borderId="0"/>
    <xf numFmtId="0" fontId="55" fillId="0" borderId="0"/>
    <xf numFmtId="0" fontId="82" fillId="22" borderId="0" applyNumberFormat="0" applyBorder="0" applyAlignment="0" applyProtection="0"/>
    <xf numFmtId="0" fontId="91" fillId="0" borderId="0"/>
    <xf numFmtId="0" fontId="75" fillId="35" borderId="0" applyNumberFormat="0" applyBorder="0" applyAlignment="0" applyProtection="0"/>
    <xf numFmtId="43" fontId="103" fillId="0" borderId="0" applyFont="0" applyFill="0" applyBorder="0" applyAlignment="0" applyProtection="0"/>
    <xf numFmtId="0" fontId="15" fillId="0" borderId="0"/>
    <xf numFmtId="43" fontId="103" fillId="0" borderId="0" applyFont="0" applyFill="0" applyBorder="0" applyAlignment="0" applyProtection="0"/>
  </cellStyleXfs>
  <cellXfs count="20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 shrinkToFit="1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 wrapText="1" shrinkToFit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readingOrder="1"/>
    </xf>
    <xf numFmtId="49" fontId="3" fillId="2" borderId="5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shrinkToFit="1"/>
    </xf>
    <xf numFmtId="0" fontId="1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shrinkToFit="1"/>
    </xf>
    <xf numFmtId="1" fontId="6" fillId="0" borderId="1" xfId="2" applyNumberFormat="1" applyFont="1" applyBorder="1" applyAlignment="1">
      <alignment horizontal="center" vertical="center" shrinkToFit="1"/>
    </xf>
    <xf numFmtId="1" fontId="6" fillId="0" borderId="1" xfId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 readingOrder="2"/>
    </xf>
    <xf numFmtId="49" fontId="4" fillId="5" borderId="4" xfId="0" applyNumberFormat="1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/>
    </xf>
    <xf numFmtId="41" fontId="1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3" fillId="0" borderId="0" xfId="0" applyFont="1"/>
    <xf numFmtId="0" fontId="6" fillId="0" borderId="1" xfId="0" applyFont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shrinkToFit="1"/>
    </xf>
    <xf numFmtId="1" fontId="6" fillId="5" borderId="1" xfId="0" applyNumberFormat="1" applyFont="1" applyFill="1" applyBorder="1" applyAlignment="1">
      <alignment horizontal="center" vertical="center"/>
    </xf>
    <xf numFmtId="164" fontId="6" fillId="0" borderId="1" xfId="2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0" fillId="5" borderId="0" xfId="0" applyFill="1"/>
    <xf numFmtId="0" fontId="6" fillId="0" borderId="1" xfId="0" applyFont="1" applyBorder="1"/>
    <xf numFmtId="49" fontId="6" fillId="0" borderId="0" xfId="0" applyNumberFormat="1" applyFont="1" applyAlignment="1">
      <alignment horizontal="center" vertical="center" shrinkToFit="1"/>
    </xf>
    <xf numFmtId="4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 shrinkToFit="1"/>
    </xf>
    <xf numFmtId="0" fontId="24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 shrinkToFit="1"/>
    </xf>
    <xf numFmtId="49" fontId="12" fillId="6" borderId="1" xfId="0" applyNumberFormat="1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vertical="center"/>
    </xf>
    <xf numFmtId="49" fontId="12" fillId="6" borderId="1" xfId="0" applyNumberFormat="1" applyFont="1" applyFill="1" applyBorder="1" applyAlignment="1">
      <alignment horizontal="center" vertical="center" wrapText="1" readingOrder="1"/>
    </xf>
    <xf numFmtId="0" fontId="25" fillId="6" borderId="0" xfId="0" applyFont="1" applyFill="1"/>
    <xf numFmtId="0" fontId="1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shrinkToFit="1"/>
    </xf>
    <xf numFmtId="49" fontId="6" fillId="6" borderId="1" xfId="0" applyNumberFormat="1" applyFont="1" applyFill="1" applyBorder="1" applyAlignment="1">
      <alignment horizontal="center" vertical="center" shrinkToFit="1"/>
    </xf>
    <xf numFmtId="1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 shrinkToFit="1"/>
    </xf>
    <xf numFmtId="49" fontId="6" fillId="6" borderId="1" xfId="0" applyNumberFormat="1" applyFont="1" applyFill="1" applyBorder="1" applyAlignment="1">
      <alignment horizontal="center" vertical="center"/>
    </xf>
    <xf numFmtId="1" fontId="6" fillId="6" borderId="1" xfId="1" applyNumberFormat="1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top" wrapText="1" shrinkToFit="1"/>
    </xf>
    <xf numFmtId="0" fontId="12" fillId="0" borderId="1" xfId="0" applyFont="1" applyBorder="1" applyAlignment="1">
      <alignment horizontal="center" vertical="top" wrapText="1" shrinkToFit="1"/>
    </xf>
    <xf numFmtId="0" fontId="6" fillId="6" borderId="0" xfId="0" applyFont="1" applyFill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readingOrder="2"/>
    </xf>
    <xf numFmtId="49" fontId="4" fillId="6" borderId="4" xfId="0" applyNumberFormat="1" applyFont="1" applyFill="1" applyBorder="1" applyAlignment="1">
      <alignment horizontal="center" vertical="center" shrinkToFit="1"/>
    </xf>
    <xf numFmtId="1" fontId="12" fillId="5" borderId="1" xfId="0" applyNumberFormat="1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 shrinkToFit="1"/>
    </xf>
    <xf numFmtId="49" fontId="6" fillId="5" borderId="4" xfId="0" applyNumberFormat="1" applyFont="1" applyFill="1" applyBorder="1" applyAlignment="1">
      <alignment horizontal="center" vertical="center" shrinkToFit="1"/>
    </xf>
    <xf numFmtId="0" fontId="9" fillId="8" borderId="0" xfId="0" applyFont="1" applyFill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 readingOrder="1"/>
    </xf>
    <xf numFmtId="0" fontId="12" fillId="6" borderId="1" xfId="0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shrinkToFit="1"/>
    </xf>
    <xf numFmtId="0" fontId="0" fillId="6" borderId="0" xfId="0" applyFill="1"/>
    <xf numFmtId="0" fontId="0" fillId="0" borderId="0" xfId="0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/>
    </xf>
    <xf numFmtId="1" fontId="12" fillId="9" borderId="1" xfId="0" applyNumberFormat="1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center" vertical="center" wrapText="1"/>
    </xf>
    <xf numFmtId="1" fontId="12" fillId="9" borderId="1" xfId="0" applyNumberFormat="1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1" fontId="25" fillId="9" borderId="1" xfId="0" applyNumberFormat="1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 readingOrder="1"/>
    </xf>
    <xf numFmtId="0" fontId="12" fillId="5" borderId="1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readingOrder="1"/>
    </xf>
    <xf numFmtId="0" fontId="12" fillId="0" borderId="1" xfId="0" applyFont="1" applyBorder="1" applyAlignment="1">
      <alignment horizontal="center"/>
    </xf>
    <xf numFmtId="1" fontId="12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12" fillId="5" borderId="1" xfId="0" applyNumberFormat="1" applyFont="1" applyFill="1" applyBorder="1" applyAlignment="1">
      <alignment horizontal="center" vertical="center"/>
    </xf>
    <xf numFmtId="49" fontId="27" fillId="6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 shrinkToFit="1"/>
    </xf>
    <xf numFmtId="0" fontId="27" fillId="9" borderId="1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 wrapText="1"/>
    </xf>
    <xf numFmtId="0" fontId="27" fillId="9" borderId="1" xfId="0" applyFont="1" applyFill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 shrinkToFit="1"/>
    </xf>
    <xf numFmtId="49" fontId="27" fillId="0" borderId="1" xfId="0" applyNumberFormat="1" applyFont="1" applyBorder="1" applyAlignment="1">
      <alignment horizontal="center" vertical="center"/>
    </xf>
    <xf numFmtId="49" fontId="27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49" fontId="28" fillId="6" borderId="1" xfId="0" applyNumberFormat="1" applyFont="1" applyFill="1" applyBorder="1" applyAlignment="1">
      <alignment horizontal="center" vertical="center" shrinkToFit="1"/>
    </xf>
    <xf numFmtId="0" fontId="16" fillId="6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49" fontId="24" fillId="10" borderId="1" xfId="0" applyNumberFormat="1" applyFont="1" applyFill="1" applyBorder="1" applyAlignment="1">
      <alignment horizontal="center" vertical="center"/>
    </xf>
    <xf numFmtId="1" fontId="24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49" fontId="12" fillId="10" borderId="1" xfId="0" applyNumberFormat="1" applyFont="1" applyFill="1" applyBorder="1" applyAlignment="1">
      <alignment horizontal="center" vertical="center"/>
    </xf>
    <xf numFmtId="41" fontId="24" fillId="10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49" fontId="16" fillId="0" borderId="1" xfId="0" applyNumberFormat="1" applyFont="1" applyBorder="1" applyAlignment="1">
      <alignment horizontal="center" vertical="center" shrinkToFit="1"/>
    </xf>
    <xf numFmtId="49" fontId="16" fillId="5" borderId="1" xfId="0" applyNumberFormat="1" applyFont="1" applyFill="1" applyBorder="1" applyAlignment="1">
      <alignment horizontal="center" vertical="center" shrinkToFit="1"/>
    </xf>
    <xf numFmtId="49" fontId="16" fillId="6" borderId="1" xfId="0" applyNumberFormat="1" applyFont="1" applyFill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 shrinkToFit="1"/>
    </xf>
    <xf numFmtId="49" fontId="12" fillId="6" borderId="1" xfId="0" applyNumberFormat="1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41" fontId="12" fillId="0" borderId="0" xfId="0" applyNumberFormat="1" applyFon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2"/>
    </xf>
    <xf numFmtId="164" fontId="13" fillId="11" borderId="2" xfId="0" applyNumberFormat="1" applyFont="1" applyFill="1" applyBorder="1" applyAlignment="1">
      <alignment horizontal="center" vertical="center" shrinkToFit="1"/>
    </xf>
    <xf numFmtId="49" fontId="13" fillId="11" borderId="2" xfId="0" applyNumberFormat="1" applyFont="1" applyFill="1" applyBorder="1" applyAlignment="1">
      <alignment horizontal="center" vertical="center" shrinkToFit="1"/>
    </xf>
    <xf numFmtId="0" fontId="13" fillId="11" borderId="2" xfId="0" applyFont="1" applyFill="1" applyBorder="1" applyAlignment="1">
      <alignment horizontal="center" vertical="center"/>
    </xf>
    <xf numFmtId="164" fontId="13" fillId="11" borderId="2" xfId="0" applyNumberFormat="1" applyFont="1" applyFill="1" applyBorder="1" applyAlignment="1">
      <alignment horizontal="center" vertical="center" shrinkToFit="1" readingOrder="2"/>
    </xf>
    <xf numFmtId="49" fontId="13" fillId="11" borderId="7" xfId="0" applyNumberFormat="1" applyFont="1" applyFill="1" applyBorder="1" applyAlignment="1">
      <alignment horizontal="center" vertical="center" shrinkToFit="1"/>
    </xf>
    <xf numFmtId="164" fontId="13" fillId="11" borderId="7" xfId="0" applyNumberFormat="1" applyFont="1" applyFill="1" applyBorder="1" applyAlignment="1">
      <alignment horizontal="center" vertical="center" shrinkToFit="1"/>
    </xf>
    <xf numFmtId="41" fontId="13" fillId="11" borderId="2" xfId="0" applyNumberFormat="1" applyFont="1" applyFill="1" applyBorder="1" applyAlignment="1">
      <alignment horizontal="center" vertical="center" shrinkToFit="1"/>
    </xf>
    <xf numFmtId="0" fontId="25" fillId="6" borderId="1" xfId="0" applyFont="1" applyFill="1" applyBorder="1" applyAlignment="1">
      <alignment horizontal="center" vertical="center"/>
    </xf>
    <xf numFmtId="0" fontId="4" fillId="0" borderId="0" xfId="0" applyFont="1"/>
    <xf numFmtId="0" fontId="31" fillId="9" borderId="1" xfId="0" applyFont="1" applyFill="1" applyBorder="1" applyAlignment="1">
      <alignment horizontal="center" vertical="center" readingOrder="2"/>
    </xf>
    <xf numFmtId="0" fontId="5" fillId="9" borderId="1" xfId="0" applyFont="1" applyFill="1" applyBorder="1" applyAlignment="1">
      <alignment horizontal="center" vertical="center" readingOrder="2"/>
    </xf>
    <xf numFmtId="0" fontId="4" fillId="16" borderId="1" xfId="0" applyFont="1" applyFill="1" applyBorder="1" applyAlignment="1">
      <alignment horizontal="center" vertical="center" readingOrder="2"/>
    </xf>
    <xf numFmtId="0" fontId="4" fillId="0" borderId="1" xfId="7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readingOrder="2"/>
    </xf>
    <xf numFmtId="0" fontId="4" fillId="0" borderId="5" xfId="0" applyFont="1" applyBorder="1" applyAlignment="1">
      <alignment horizontal="center" vertical="center" readingOrder="2"/>
    </xf>
    <xf numFmtId="0" fontId="4" fillId="0" borderId="5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5" fillId="16" borderId="1" xfId="0" applyFont="1" applyFill="1" applyBorder="1" applyAlignment="1">
      <alignment horizontal="center" vertical="center" readingOrder="2"/>
    </xf>
    <xf numFmtId="0" fontId="34" fillId="0" borderId="0" xfId="0" applyFont="1" applyAlignment="1">
      <alignment horizontal="center" vertical="center" readingOrder="2"/>
    </xf>
    <xf numFmtId="0" fontId="33" fillId="9" borderId="1" xfId="0" applyFont="1" applyFill="1" applyBorder="1" applyAlignment="1">
      <alignment horizontal="center" vertical="center" readingOrder="2"/>
    </xf>
    <xf numFmtId="49" fontId="33" fillId="18" borderId="1" xfId="0" applyNumberFormat="1" applyFont="1" applyFill="1" applyBorder="1" applyAlignment="1">
      <alignment horizontal="center" vertical="center" readingOrder="2"/>
    </xf>
    <xf numFmtId="0" fontId="28" fillId="18" borderId="1" xfId="0" applyFont="1" applyFill="1" applyBorder="1" applyAlignment="1">
      <alignment horizontal="center" vertical="center" readingOrder="2"/>
    </xf>
    <xf numFmtId="0" fontId="28" fillId="18" borderId="1" xfId="0" applyFont="1" applyFill="1" applyBorder="1" applyAlignment="1">
      <alignment horizontal="center" vertical="center" wrapText="1" readingOrder="2"/>
    </xf>
    <xf numFmtId="0" fontId="33" fillId="18" borderId="1" xfId="0" applyFont="1" applyFill="1" applyBorder="1" applyAlignment="1">
      <alignment horizontal="center" vertical="center" readingOrder="2"/>
    </xf>
    <xf numFmtId="0" fontId="28" fillId="15" borderId="1" xfId="0" applyFont="1" applyFill="1" applyBorder="1" applyAlignment="1">
      <alignment horizontal="center" vertical="center" wrapText="1" readingOrder="2"/>
    </xf>
    <xf numFmtId="0" fontId="28" fillId="15" borderId="1" xfId="0" applyFont="1" applyFill="1" applyBorder="1" applyAlignment="1">
      <alignment horizontal="center" vertical="center" readingOrder="2"/>
    </xf>
    <xf numFmtId="0" fontId="33" fillId="15" borderId="1" xfId="0" applyFont="1" applyFill="1" applyBorder="1" applyAlignment="1">
      <alignment horizontal="center" vertical="center" readingOrder="2"/>
    </xf>
    <xf numFmtId="0" fontId="28" fillId="15" borderId="0" xfId="0" applyFont="1" applyFill="1" applyAlignment="1">
      <alignment horizontal="center" vertical="center" readingOrder="2"/>
    </xf>
    <xf numFmtId="0" fontId="35" fillId="15" borderId="1" xfId="0" applyFont="1" applyFill="1" applyBorder="1" applyAlignment="1">
      <alignment horizontal="center" vertical="center" readingOrder="2"/>
    </xf>
    <xf numFmtId="0" fontId="36" fillId="15" borderId="1" xfId="6" applyFont="1" applyFill="1" applyBorder="1" applyAlignment="1">
      <alignment horizontal="center" vertical="center" readingOrder="2"/>
    </xf>
    <xf numFmtId="0" fontId="16" fillId="0" borderId="0" xfId="0" applyFont="1" applyAlignment="1">
      <alignment horizontal="center" vertical="center" readingOrder="2"/>
    </xf>
    <xf numFmtId="0" fontId="33" fillId="15" borderId="1" xfId="0" applyFont="1" applyFill="1" applyBorder="1" applyAlignment="1">
      <alignment horizontal="center" vertical="center" wrapText="1" readingOrder="2"/>
    </xf>
    <xf numFmtId="0" fontId="28" fillId="0" borderId="1" xfId="0" applyFont="1" applyBorder="1" applyAlignment="1">
      <alignment horizontal="center" vertical="center" readingOrder="2"/>
    </xf>
    <xf numFmtId="3" fontId="0" fillId="0" borderId="0" xfId="0" applyNumberForma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19" borderId="16" xfId="0" applyFont="1" applyFill="1" applyBorder="1" applyAlignment="1">
      <alignment horizontal="center" vertical="center"/>
    </xf>
    <xf numFmtId="0" fontId="38" fillId="19" borderId="24" xfId="0" applyFont="1" applyFill="1" applyBorder="1" applyAlignment="1">
      <alignment horizontal="center" vertical="center"/>
    </xf>
    <xf numFmtId="0" fontId="38" fillId="19" borderId="17" xfId="0" applyFont="1" applyFill="1" applyBorder="1" applyAlignment="1">
      <alignment horizontal="center" vertical="center"/>
    </xf>
    <xf numFmtId="3" fontId="38" fillId="19" borderId="24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2" fillId="0" borderId="0" xfId="0" applyFont="1"/>
    <xf numFmtId="49" fontId="2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5" fillId="6" borderId="18" xfId="0" applyFont="1" applyFill="1" applyBorder="1" applyAlignment="1">
      <alignment horizontal="center" vertical="center"/>
    </xf>
    <xf numFmtId="0" fontId="44" fillId="6" borderId="1" xfId="8" applyFont="1" applyFill="1" applyBorder="1" applyAlignment="1">
      <alignment horizontal="center" vertical="center"/>
    </xf>
    <xf numFmtId="3" fontId="44" fillId="6" borderId="1" xfId="8" applyNumberFormat="1" applyFont="1" applyFill="1" applyBorder="1" applyAlignment="1">
      <alignment horizontal="center" vertical="center"/>
    </xf>
    <xf numFmtId="0" fontId="44" fillId="6" borderId="19" xfId="8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44" fillId="6" borderId="25" xfId="8" applyFont="1" applyFill="1" applyBorder="1" applyAlignment="1">
      <alignment horizontal="center" vertical="center"/>
    </xf>
    <xf numFmtId="3" fontId="44" fillId="6" borderId="25" xfId="8" applyNumberFormat="1" applyFont="1" applyFill="1" applyBorder="1" applyAlignment="1">
      <alignment horizontal="center" vertical="center"/>
    </xf>
    <xf numFmtId="0" fontId="44" fillId="6" borderId="21" xfId="8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3" fontId="41" fillId="7" borderId="1" xfId="0" applyNumberFormat="1" applyFont="1" applyFill="1" applyBorder="1" applyAlignment="1">
      <alignment horizontal="center" vertical="center"/>
    </xf>
    <xf numFmtId="0" fontId="40" fillId="0" borderId="1" xfId="0" applyFont="1" applyBorder="1"/>
    <xf numFmtId="49" fontId="7" fillId="0" borderId="1" xfId="0" applyNumberFormat="1" applyFont="1" applyBorder="1" applyAlignment="1">
      <alignment horizontal="center" vertical="center"/>
    </xf>
    <xf numFmtId="1" fontId="7" fillId="0" borderId="1" xfId="2" applyNumberFormat="1" applyFont="1" applyBorder="1" applyAlignment="1">
      <alignment horizontal="center" vertical="center" shrinkToFit="1"/>
    </xf>
    <xf numFmtId="3" fontId="46" fillId="6" borderId="1" xfId="8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shrinkToFit="1"/>
    </xf>
    <xf numFmtId="1" fontId="7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5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center" vertical="center" wrapText="1" shrinkToFit="1"/>
    </xf>
    <xf numFmtId="49" fontId="7" fillId="6" borderId="1" xfId="0" applyNumberFormat="1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49" fontId="24" fillId="6" borderId="1" xfId="0" applyNumberFormat="1" applyFont="1" applyFill="1" applyBorder="1" applyAlignment="1">
      <alignment horizontal="center" vertical="center"/>
    </xf>
    <xf numFmtId="1" fontId="24" fillId="6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 readingOrder="1"/>
    </xf>
    <xf numFmtId="1" fontId="24" fillId="5" borderId="1" xfId="0" applyNumberFormat="1" applyFont="1" applyFill="1" applyBorder="1" applyAlignment="1">
      <alignment horizontal="center" vertical="center"/>
    </xf>
    <xf numFmtId="49" fontId="24" fillId="6" borderId="1" xfId="0" applyNumberFormat="1" applyFont="1" applyFill="1" applyBorder="1" applyAlignment="1">
      <alignment horizontal="center" vertical="center" shrinkToFi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center"/>
    </xf>
    <xf numFmtId="3" fontId="48" fillId="5" borderId="1" xfId="8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6" borderId="19" xfId="0" quotePrefix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3" fontId="0" fillId="6" borderId="25" xfId="0" applyNumberFormat="1" applyFill="1" applyBorder="1" applyAlignment="1">
      <alignment horizontal="center" vertical="center"/>
    </xf>
    <xf numFmtId="0" fontId="0" fillId="6" borderId="21" xfId="0" quotePrefix="1" applyFill="1" applyBorder="1" applyAlignment="1">
      <alignment horizontal="center" vertical="center"/>
    </xf>
    <xf numFmtId="0" fontId="43" fillId="2" borderId="16" xfId="0" applyFont="1" applyFill="1" applyBorder="1" applyAlignment="1">
      <alignment horizontal="center" vertical="center"/>
    </xf>
    <xf numFmtId="0" fontId="43" fillId="2" borderId="24" xfId="0" applyFont="1" applyFill="1" applyBorder="1" applyAlignment="1">
      <alignment horizontal="center" vertical="center"/>
    </xf>
    <xf numFmtId="0" fontId="43" fillId="2" borderId="17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6" borderId="2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6" borderId="5" xfId="0" applyNumberFormat="1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3" fontId="2" fillId="6" borderId="25" xfId="0" applyNumberFormat="1" applyFont="1" applyFill="1" applyBorder="1" applyAlignment="1">
      <alignment horizontal="center" vertical="center"/>
    </xf>
    <xf numFmtId="3" fontId="2" fillId="6" borderId="25" xfId="0" quotePrefix="1" applyNumberFormat="1" applyFont="1" applyFill="1" applyBorder="1" applyAlignment="1">
      <alignment horizontal="center" vertical="center"/>
    </xf>
    <xf numFmtId="3" fontId="2" fillId="6" borderId="23" xfId="0" applyNumberFormat="1" applyFont="1" applyFill="1" applyBorder="1" applyAlignment="1">
      <alignment horizontal="center" vertical="center"/>
    </xf>
    <xf numFmtId="3" fontId="41" fillId="6" borderId="25" xfId="0" applyNumberFormat="1" applyFont="1" applyFill="1" applyBorder="1" applyAlignment="1">
      <alignment horizontal="center" vertical="center"/>
    </xf>
    <xf numFmtId="0" fontId="43" fillId="2" borderId="22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9" fillId="2" borderId="16" xfId="0" applyFont="1" applyFill="1" applyBorder="1" applyAlignment="1">
      <alignment horizontal="center" vertical="center"/>
    </xf>
    <xf numFmtId="0" fontId="49" fillId="2" borderId="24" xfId="0" applyFont="1" applyFill="1" applyBorder="1" applyAlignment="1">
      <alignment horizontal="center" vertical="center"/>
    </xf>
    <xf numFmtId="0" fontId="49" fillId="2" borderId="17" xfId="0" applyFont="1" applyFill="1" applyBorder="1" applyAlignment="1">
      <alignment horizontal="center" vertical="center"/>
    </xf>
    <xf numFmtId="1" fontId="24" fillId="7" borderId="3" xfId="0" applyNumberFormat="1" applyFont="1" applyFill="1" applyBorder="1" applyAlignment="1">
      <alignment horizontal="center" vertical="center" readingOrder="2"/>
    </xf>
    <xf numFmtId="1" fontId="7" fillId="5" borderId="1" xfId="0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41" fillId="7" borderId="1" xfId="0" applyFont="1" applyFill="1" applyBorder="1"/>
    <xf numFmtId="3" fontId="2" fillId="7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/>
    </xf>
    <xf numFmtId="3" fontId="48" fillId="6" borderId="1" xfId="8" applyNumberFormat="1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3" fontId="46" fillId="7" borderId="1" xfId="8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shrinkToFit="1"/>
    </xf>
    <xf numFmtId="41" fontId="13" fillId="2" borderId="5" xfId="0" applyNumberFormat="1" applyFont="1" applyFill="1" applyBorder="1" applyAlignment="1">
      <alignment horizontal="center" vertical="center"/>
    </xf>
    <xf numFmtId="3" fontId="48" fillId="6" borderId="5" xfId="8" applyNumberFormat="1" applyFont="1" applyFill="1" applyBorder="1" applyAlignment="1">
      <alignment horizontal="center" vertical="center"/>
    </xf>
    <xf numFmtId="3" fontId="2" fillId="7" borderId="5" xfId="0" applyNumberFormat="1" applyFont="1" applyFill="1" applyBorder="1" applyAlignment="1">
      <alignment horizontal="center" vertical="center"/>
    </xf>
    <xf numFmtId="3" fontId="44" fillId="6" borderId="3" xfId="8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 shrinkToFit="1"/>
    </xf>
    <xf numFmtId="0" fontId="41" fillId="7" borderId="0" xfId="0" applyFont="1" applyFill="1"/>
    <xf numFmtId="3" fontId="50" fillId="6" borderId="1" xfId="8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3" fillId="2" borderId="26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41" fillId="6" borderId="24" xfId="0" applyFont="1" applyFill="1" applyBorder="1" applyAlignment="1">
      <alignment horizontal="center" vertical="center"/>
    </xf>
    <xf numFmtId="3" fontId="0" fillId="6" borderId="24" xfId="0" applyNumberForma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41" fillId="6" borderId="2" xfId="0" applyFon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0" fontId="0" fillId="6" borderId="19" xfId="0" quotePrefix="1" applyFill="1" applyBorder="1" applyAlignment="1">
      <alignment horizontal="center" vertical="center" readingOrder="2"/>
    </xf>
    <xf numFmtId="3" fontId="44" fillId="7" borderId="1" xfId="8" applyNumberFormat="1" applyFont="1" applyFill="1" applyBorder="1" applyAlignment="1">
      <alignment horizontal="center" vertical="center"/>
    </xf>
    <xf numFmtId="3" fontId="48" fillId="7" borderId="1" xfId="8" applyNumberFormat="1" applyFont="1" applyFill="1" applyBorder="1" applyAlignment="1">
      <alignment horizontal="center" vertical="center"/>
    </xf>
    <xf numFmtId="3" fontId="44" fillId="6" borderId="0" xfId="8" applyNumberFormat="1" applyFont="1" applyFill="1" applyAlignment="1">
      <alignment horizontal="center" vertical="center"/>
    </xf>
    <xf numFmtId="3" fontId="48" fillId="7" borderId="0" xfId="8" applyNumberFormat="1" applyFont="1" applyFill="1" applyAlignment="1">
      <alignment horizontal="center" vertical="center"/>
    </xf>
    <xf numFmtId="0" fontId="40" fillId="7" borderId="0" xfId="0" applyFont="1" applyFill="1"/>
    <xf numFmtId="0" fontId="41" fillId="7" borderId="4" xfId="0" applyFont="1" applyFill="1" applyBorder="1"/>
    <xf numFmtId="0" fontId="2" fillId="7" borderId="1" xfId="0" applyFont="1" applyFill="1" applyBorder="1"/>
    <xf numFmtId="3" fontId="50" fillId="6" borderId="0" xfId="8" applyNumberFormat="1" applyFont="1" applyFill="1" applyAlignment="1">
      <alignment horizontal="center" vertical="center"/>
    </xf>
    <xf numFmtId="0" fontId="55" fillId="6" borderId="0" xfId="9" applyFill="1"/>
    <xf numFmtId="0" fontId="55" fillId="6" borderId="0" xfId="9" applyFill="1" applyAlignment="1">
      <alignment horizontal="center" vertical="center"/>
    </xf>
    <xf numFmtId="0" fontId="55" fillId="0" borderId="1" xfId="9" applyBorder="1" applyAlignment="1">
      <alignment horizontal="center" vertical="center"/>
    </xf>
    <xf numFmtId="0" fontId="58" fillId="6" borderId="0" xfId="9" applyFont="1" applyFill="1" applyAlignment="1">
      <alignment horizontal="center" vertical="center"/>
    </xf>
    <xf numFmtId="0" fontId="55" fillId="0" borderId="1" xfId="9" applyBorder="1"/>
    <xf numFmtId="0" fontId="0" fillId="6" borderId="0" xfId="0" applyFill="1" applyAlignment="1">
      <alignment horizontal="center" vertical="center"/>
    </xf>
    <xf numFmtId="3" fontId="55" fillId="0" borderId="1" xfId="9" applyNumberFormat="1" applyBorder="1" applyAlignment="1">
      <alignment horizontal="center" vertical="center"/>
    </xf>
    <xf numFmtId="3" fontId="58" fillId="7" borderId="1" xfId="9" applyNumberFormat="1" applyFont="1" applyFill="1" applyBorder="1" applyAlignment="1">
      <alignment horizontal="center" vertical="center"/>
    </xf>
    <xf numFmtId="0" fontId="60" fillId="7" borderId="1" xfId="9" applyFont="1" applyFill="1" applyBorder="1" applyAlignment="1">
      <alignment horizontal="center" vertical="center"/>
    </xf>
    <xf numFmtId="3" fontId="57" fillId="7" borderId="1" xfId="9" applyNumberFormat="1" applyFont="1" applyFill="1" applyBorder="1" applyAlignment="1">
      <alignment horizontal="center" vertical="center"/>
    </xf>
    <xf numFmtId="0" fontId="62" fillId="0" borderId="1" xfId="9" applyFont="1" applyBorder="1" applyAlignment="1">
      <alignment horizontal="center" vertical="center"/>
    </xf>
    <xf numFmtId="3" fontId="63" fillId="6" borderId="0" xfId="9" applyNumberFormat="1" applyFont="1" applyFill="1" applyAlignment="1">
      <alignment horizontal="center" vertical="center"/>
    </xf>
    <xf numFmtId="3" fontId="57" fillId="6" borderId="0" xfId="9" applyNumberFormat="1" applyFont="1" applyFill="1" applyAlignment="1">
      <alignment horizontal="center" vertical="center"/>
    </xf>
    <xf numFmtId="0" fontId="56" fillId="6" borderId="0" xfId="9" applyFont="1" applyFill="1" applyAlignment="1">
      <alignment horizontal="center" vertical="center"/>
    </xf>
    <xf numFmtId="3" fontId="55" fillId="6" borderId="0" xfId="9" applyNumberFormat="1" applyFill="1" applyAlignment="1">
      <alignment horizontal="center" vertical="center"/>
    </xf>
    <xf numFmtId="0" fontId="62" fillId="6" borderId="0" xfId="9" applyFont="1" applyFill="1"/>
    <xf numFmtId="3" fontId="58" fillId="7" borderId="2" xfId="9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50" fillId="5" borderId="1" xfId="8" applyNumberFormat="1" applyFont="1" applyFill="1" applyBorder="1" applyAlignment="1">
      <alignment horizontal="center" vertical="center"/>
    </xf>
    <xf numFmtId="165" fontId="0" fillId="0" borderId="0" xfId="0" applyNumberFormat="1"/>
    <xf numFmtId="3" fontId="44" fillId="5" borderId="1" xfId="8" applyNumberFormat="1" applyFont="1" applyFill="1" applyBorder="1" applyAlignment="1">
      <alignment horizontal="center" vertical="center"/>
    </xf>
    <xf numFmtId="0" fontId="40" fillId="7" borderId="1" xfId="0" applyFont="1" applyFill="1" applyBorder="1"/>
    <xf numFmtId="3" fontId="0" fillId="7" borderId="1" xfId="0" applyNumberFormat="1" applyFill="1" applyBorder="1" applyAlignment="1">
      <alignment horizontal="center" vertical="center"/>
    </xf>
    <xf numFmtId="0" fontId="47" fillId="4" borderId="1" xfId="9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6" fillId="6" borderId="1" xfId="2" applyNumberFormat="1" applyFont="1" applyFill="1" applyBorder="1" applyAlignment="1">
      <alignment horizontal="center" vertical="center" shrinkToFit="1"/>
    </xf>
    <xf numFmtId="3" fontId="46" fillId="6" borderId="0" xfId="8" applyNumberFormat="1" applyFont="1" applyFill="1" applyAlignment="1">
      <alignment horizontal="center" vertical="center"/>
    </xf>
    <xf numFmtId="3" fontId="69" fillId="6" borderId="1" xfId="8" applyNumberFormat="1" applyFont="1" applyFill="1" applyBorder="1" applyAlignment="1">
      <alignment horizontal="center" vertical="center"/>
    </xf>
    <xf numFmtId="3" fontId="70" fillId="6" borderId="1" xfId="8" applyNumberFormat="1" applyFont="1" applyFill="1" applyBorder="1" applyAlignment="1">
      <alignment horizontal="center" vertical="center"/>
    </xf>
    <xf numFmtId="3" fontId="66" fillId="7" borderId="1" xfId="0" applyNumberFormat="1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3" fontId="47" fillId="6" borderId="1" xfId="9" applyNumberFormat="1" applyFont="1" applyFill="1" applyBorder="1" applyAlignment="1">
      <alignment horizontal="center" vertical="center"/>
    </xf>
    <xf numFmtId="3" fontId="47" fillId="4" borderId="1" xfId="9" applyNumberFormat="1" applyFont="1" applyFill="1" applyBorder="1" applyAlignment="1">
      <alignment horizontal="center" vertical="center"/>
    </xf>
    <xf numFmtId="3" fontId="47" fillId="4" borderId="1" xfId="9" applyNumberFormat="1" applyFont="1" applyFill="1" applyBorder="1" applyAlignment="1">
      <alignment horizontal="center" vertical="center" readingOrder="2"/>
    </xf>
    <xf numFmtId="0" fontId="47" fillId="4" borderId="1" xfId="9" applyFont="1" applyFill="1" applyBorder="1" applyAlignment="1">
      <alignment horizontal="center" vertical="center" readingOrder="2"/>
    </xf>
    <xf numFmtId="0" fontId="2" fillId="4" borderId="1" xfId="0" applyFont="1" applyFill="1" applyBorder="1"/>
    <xf numFmtId="0" fontId="71" fillId="21" borderId="1" xfId="9" applyFont="1" applyFill="1" applyBorder="1" applyAlignment="1">
      <alignment horizontal="center" vertical="center"/>
    </xf>
    <xf numFmtId="0" fontId="71" fillId="21" borderId="1" xfId="0" applyFont="1" applyFill="1" applyBorder="1" applyAlignment="1">
      <alignment horizontal="center" vertical="center"/>
    </xf>
    <xf numFmtId="0" fontId="72" fillId="6" borderId="1" xfId="9" applyFont="1" applyFill="1" applyBorder="1" applyAlignment="1">
      <alignment horizontal="center" vertical="center"/>
    </xf>
    <xf numFmtId="49" fontId="42" fillId="7" borderId="1" xfId="0" applyNumberFormat="1" applyFont="1" applyFill="1" applyBorder="1" applyAlignment="1">
      <alignment horizontal="right" vertical="center" shrinkToFit="1"/>
    </xf>
    <xf numFmtId="3" fontId="66" fillId="7" borderId="24" xfId="0" applyNumberFormat="1" applyFont="1" applyFill="1" applyBorder="1" applyAlignment="1">
      <alignment horizontal="center" vertical="center"/>
    </xf>
    <xf numFmtId="49" fontId="67" fillId="7" borderId="1" xfId="0" applyNumberFormat="1" applyFont="1" applyFill="1" applyBorder="1" applyAlignment="1">
      <alignment horizontal="right" vertical="center" shrinkToFit="1"/>
    </xf>
    <xf numFmtId="3" fontId="73" fillId="7" borderId="1" xfId="8" applyNumberFormat="1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0" fontId="41" fillId="4" borderId="1" xfId="0" applyFont="1" applyFill="1" applyBorder="1"/>
    <xf numFmtId="0" fontId="41" fillId="0" borderId="0" xfId="0" applyFont="1"/>
    <xf numFmtId="0" fontId="49" fillId="21" borderId="1" xfId="9" applyFont="1" applyFill="1" applyBorder="1" applyAlignment="1">
      <alignment horizontal="center" vertical="center"/>
    </xf>
    <xf numFmtId="0" fontId="49" fillId="21" borderId="1" xfId="0" applyFont="1" applyFill="1" applyBorder="1" applyAlignment="1">
      <alignment horizontal="center" vertical="center"/>
    </xf>
    <xf numFmtId="0" fontId="47" fillId="6" borderId="1" xfId="9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6" fillId="7" borderId="1" xfId="0" applyFont="1" applyFill="1" applyBorder="1" applyAlignment="1">
      <alignment horizontal="center" vertical="center"/>
    </xf>
    <xf numFmtId="0" fontId="77" fillId="0" borderId="0" xfId="0" applyFont="1"/>
    <xf numFmtId="41" fontId="78" fillId="0" borderId="0" xfId="0" applyNumberFormat="1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0" fontId="75" fillId="2" borderId="1" xfId="0" applyFon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41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3" fontId="0" fillId="6" borderId="4" xfId="0" applyNumberForma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79" fillId="6" borderId="1" xfId="0" applyFont="1" applyFill="1" applyBorder="1" applyAlignment="1">
      <alignment horizontal="center" vertical="center"/>
    </xf>
    <xf numFmtId="0" fontId="80" fillId="6" borderId="1" xfId="0" applyFont="1" applyFill="1" applyBorder="1" applyAlignment="1">
      <alignment horizontal="center" vertical="center"/>
    </xf>
    <xf numFmtId="0" fontId="80" fillId="6" borderId="1" xfId="0" applyFont="1" applyFill="1" applyBorder="1" applyAlignment="1">
      <alignment horizontal="center" vertical="center" shrinkToFit="1"/>
    </xf>
    <xf numFmtId="1" fontId="80" fillId="6" borderId="1" xfId="0" applyNumberFormat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center" vertical="center" shrinkToFit="1"/>
    </xf>
    <xf numFmtId="1" fontId="80" fillId="6" borderId="1" xfId="0" applyNumberFormat="1" applyFont="1" applyFill="1" applyBorder="1" applyAlignment="1">
      <alignment horizontal="center" vertical="center" shrinkToFit="1"/>
    </xf>
    <xf numFmtId="0" fontId="43" fillId="21" borderId="1" xfId="0" applyFont="1" applyFill="1" applyBorder="1" applyAlignment="1">
      <alignment horizontal="center" vertical="center"/>
    </xf>
    <xf numFmtId="0" fontId="47" fillId="4" borderId="5" xfId="9" applyFont="1" applyFill="1" applyBorder="1" applyAlignment="1">
      <alignment horizontal="center" vertical="center" readingOrder="2"/>
    </xf>
    <xf numFmtId="0" fontId="2" fillId="4" borderId="2" xfId="0" applyFont="1" applyFill="1" applyBorder="1"/>
    <xf numFmtId="3" fontId="47" fillId="6" borderId="0" xfId="9" applyNumberFormat="1" applyFont="1" applyFill="1" applyAlignment="1">
      <alignment horizontal="center" vertical="center"/>
    </xf>
    <xf numFmtId="0" fontId="47" fillId="6" borderId="0" xfId="9" applyFont="1" applyFill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0" fontId="2" fillId="6" borderId="0" xfId="0" applyFont="1" applyFill="1"/>
    <xf numFmtId="3" fontId="47" fillId="6" borderId="8" xfId="9" applyNumberFormat="1" applyFont="1" applyFill="1" applyBorder="1" applyAlignment="1">
      <alignment horizontal="center" vertical="center"/>
    </xf>
    <xf numFmtId="3" fontId="2" fillId="6" borderId="0" xfId="0" applyNumberFormat="1" applyFont="1" applyFill="1" applyAlignment="1">
      <alignment horizontal="center" vertical="center"/>
    </xf>
    <xf numFmtId="0" fontId="74" fillId="6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10" fillId="6" borderId="4" xfId="0" applyNumberFormat="1" applyFont="1" applyFill="1" applyBorder="1" applyAlignment="1">
      <alignment horizontal="center" vertical="center" shrinkToFit="1"/>
    </xf>
    <xf numFmtId="49" fontId="33" fillId="0" borderId="1" xfId="0" applyNumberFormat="1" applyFont="1" applyBorder="1" applyAlignment="1">
      <alignment horizontal="center" vertical="center" shrinkToFit="1"/>
    </xf>
    <xf numFmtId="3" fontId="47" fillId="4" borderId="2" xfId="9" applyNumberFormat="1" applyFont="1" applyFill="1" applyBorder="1" applyAlignment="1">
      <alignment horizontal="center" vertical="center"/>
    </xf>
    <xf numFmtId="0" fontId="74" fillId="21" borderId="4" xfId="0" applyFont="1" applyFill="1" applyBorder="1" applyAlignment="1">
      <alignment horizontal="center" vertical="center"/>
    </xf>
    <xf numFmtId="3" fontId="49" fillId="21" borderId="1" xfId="9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3" fontId="2" fillId="0" borderId="25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3" fontId="41" fillId="6" borderId="31" xfId="0" applyNumberFormat="1" applyFont="1" applyFill="1" applyBorder="1" applyAlignment="1">
      <alignment horizontal="center" vertical="center"/>
    </xf>
    <xf numFmtId="3" fontId="41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center"/>
    </xf>
    <xf numFmtId="49" fontId="6" fillId="24" borderId="1" xfId="0" applyNumberFormat="1" applyFont="1" applyFill="1" applyBorder="1" applyAlignment="1">
      <alignment horizontal="center" vertical="center" shrinkToFit="1"/>
    </xf>
    <xf numFmtId="1" fontId="12" fillId="24" borderId="1" xfId="0" applyNumberFormat="1" applyFont="1" applyFill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5" fillId="2" borderId="1" xfId="0" applyFont="1" applyFill="1" applyBorder="1" applyAlignment="1">
      <alignment horizontal="center" vertical="center"/>
    </xf>
    <xf numFmtId="49" fontId="85" fillId="2" borderId="1" xfId="0" applyNumberFormat="1" applyFont="1" applyFill="1" applyBorder="1" applyAlignment="1">
      <alignment horizontal="center" vertical="center"/>
    </xf>
    <xf numFmtId="0" fontId="49" fillId="14" borderId="1" xfId="0" applyFont="1" applyFill="1" applyBorder="1" applyAlignment="1">
      <alignment horizontal="center" vertical="center"/>
    </xf>
    <xf numFmtId="14" fontId="41" fillId="5" borderId="1" xfId="0" applyNumberFormat="1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shrinkToFit="1"/>
    </xf>
    <xf numFmtId="0" fontId="12" fillId="0" borderId="5" xfId="0" applyFont="1" applyBorder="1" applyAlignment="1" applyProtection="1">
      <alignment horizontal="center" vertical="center" shrinkToFit="1"/>
      <protection locked="0"/>
    </xf>
    <xf numFmtId="0" fontId="12" fillId="6" borderId="5" xfId="0" applyFont="1" applyFill="1" applyBorder="1" applyAlignment="1" applyProtection="1">
      <alignment horizontal="center" vertical="center" shrinkToFit="1"/>
      <protection locked="0"/>
    </xf>
    <xf numFmtId="0" fontId="6" fillId="6" borderId="5" xfId="0" applyFont="1" applyFill="1" applyBorder="1" applyAlignment="1" applyProtection="1">
      <alignment horizontal="center" vertical="center" shrinkToFit="1"/>
      <protection locked="0"/>
    </xf>
    <xf numFmtId="0" fontId="9" fillId="0" borderId="5" xfId="0" applyFont="1" applyBorder="1" applyAlignment="1" applyProtection="1">
      <alignment horizontal="center" vertical="center" shrinkToFit="1"/>
      <protection locked="0"/>
    </xf>
    <xf numFmtId="0" fontId="9" fillId="3" borderId="5" xfId="0" applyFont="1" applyFill="1" applyBorder="1" applyAlignment="1" applyProtection="1">
      <alignment horizontal="center" vertical="center" shrinkToFit="1"/>
      <protection locked="0"/>
    </xf>
    <xf numFmtId="0" fontId="9" fillId="0" borderId="5" xfId="0" applyFont="1" applyBorder="1" applyAlignment="1">
      <alignment horizontal="center" vertical="center" shrinkToFit="1"/>
    </xf>
    <xf numFmtId="0" fontId="13" fillId="2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0" fillId="6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0" fillId="3" borderId="5" xfId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53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shrinkToFit="1"/>
    </xf>
    <xf numFmtId="0" fontId="55" fillId="6" borderId="1" xfId="9" applyFill="1" applyBorder="1" applyAlignment="1">
      <alignment horizontal="center" vertical="center"/>
    </xf>
    <xf numFmtId="0" fontId="62" fillId="6" borderId="1" xfId="9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49" fontId="1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49" fontId="12" fillId="0" borderId="1" xfId="0" applyNumberFormat="1" applyFont="1" applyBorder="1" applyAlignment="1">
      <alignment horizontal="center" vertical="center" readingOrder="2"/>
    </xf>
    <xf numFmtId="49" fontId="9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readingOrder="1"/>
    </xf>
    <xf numFmtId="0" fontId="16" fillId="6" borderId="0" xfId="0" applyFont="1" applyFill="1"/>
    <xf numFmtId="0" fontId="44" fillId="5" borderId="1" xfId="8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5" fillId="5" borderId="18" xfId="0" applyFont="1" applyFill="1" applyBorder="1" applyAlignment="1">
      <alignment horizontal="center" vertical="center"/>
    </xf>
    <xf numFmtId="0" fontId="44" fillId="5" borderId="19" xfId="8" applyFont="1" applyFill="1" applyBorder="1" applyAlignment="1">
      <alignment horizontal="center" vertical="center"/>
    </xf>
    <xf numFmtId="0" fontId="25" fillId="3" borderId="18" xfId="0" applyFont="1" applyFill="1" applyBorder="1" applyAlignment="1">
      <alignment horizontal="center" vertical="center"/>
    </xf>
    <xf numFmtId="0" fontId="44" fillId="3" borderId="1" xfId="8" applyFont="1" applyFill="1" applyBorder="1" applyAlignment="1">
      <alignment horizontal="center" vertical="center"/>
    </xf>
    <xf numFmtId="3" fontId="44" fillId="3" borderId="1" xfId="8" applyNumberFormat="1" applyFont="1" applyFill="1" applyBorder="1" applyAlignment="1">
      <alignment horizontal="center" vertical="center"/>
    </xf>
    <xf numFmtId="0" fontId="44" fillId="3" borderId="19" xfId="8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1" fontId="6" fillId="5" borderId="1" xfId="2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8" fillId="26" borderId="34" xfId="0" applyFont="1" applyFill="1" applyBorder="1" applyAlignment="1">
      <alignment horizontal="center" vertical="center"/>
    </xf>
    <xf numFmtId="0" fontId="88" fillId="26" borderId="12" xfId="0" applyFont="1" applyFill="1" applyBorder="1" applyAlignment="1">
      <alignment horizontal="center" vertical="center"/>
    </xf>
    <xf numFmtId="49" fontId="88" fillId="26" borderId="1" xfId="0" applyNumberFormat="1" applyFont="1" applyFill="1" applyBorder="1" applyAlignment="1">
      <alignment horizontal="center" vertical="center"/>
    </xf>
    <xf numFmtId="0" fontId="89" fillId="28" borderId="1" xfId="0" applyFont="1" applyFill="1" applyBorder="1" applyAlignment="1">
      <alignment horizontal="center" vertical="center"/>
    </xf>
    <xf numFmtId="49" fontId="89" fillId="6" borderId="1" xfId="0" applyNumberFormat="1" applyFont="1" applyFill="1" applyBorder="1" applyAlignment="1">
      <alignment horizontal="center" vertical="center"/>
    </xf>
    <xf numFmtId="0" fontId="89" fillId="29" borderId="1" xfId="0" applyFont="1" applyFill="1" applyBorder="1" applyAlignment="1">
      <alignment horizontal="center" vertical="center"/>
    </xf>
    <xf numFmtId="0" fontId="88" fillId="26" borderId="35" xfId="0" applyFont="1" applyFill="1" applyBorder="1" applyAlignment="1">
      <alignment horizontal="center" vertical="center"/>
    </xf>
    <xf numFmtId="0" fontId="89" fillId="27" borderId="1" xfId="0" applyFont="1" applyFill="1" applyBorder="1" applyAlignment="1">
      <alignment horizontal="center" vertical="center"/>
    </xf>
    <xf numFmtId="0" fontId="89" fillId="6" borderId="1" xfId="0" applyFont="1" applyFill="1" applyBorder="1" applyAlignment="1">
      <alignment horizontal="center" vertical="center"/>
    </xf>
    <xf numFmtId="14" fontId="89" fillId="27" borderId="1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58" fillId="7" borderId="0" xfId="9" applyNumberFormat="1" applyFont="1" applyFill="1" applyBorder="1" applyAlignment="1">
      <alignment horizontal="center" vertical="center"/>
    </xf>
    <xf numFmtId="0" fontId="55" fillId="0" borderId="0" xfId="9" applyBorder="1" applyAlignment="1">
      <alignment horizontal="center" vertical="center"/>
    </xf>
    <xf numFmtId="0" fontId="61" fillId="20" borderId="1" xfId="9" applyFont="1" applyFill="1" applyBorder="1" applyAlignment="1">
      <alignment horizontal="center" vertical="center"/>
    </xf>
    <xf numFmtId="0" fontId="56" fillId="20" borderId="1" xfId="9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shrinkToFit="1"/>
    </xf>
    <xf numFmtId="0" fontId="7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23" fillId="7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90" fillId="21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shrinkToFit="1"/>
    </xf>
    <xf numFmtId="1" fontId="6" fillId="3" borderId="1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3" fontId="24" fillId="7" borderId="1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shrinkToFit="1"/>
    </xf>
    <xf numFmtId="49" fontId="9" fillId="0" borderId="4" xfId="0" applyNumberFormat="1" applyFont="1" applyBorder="1" applyAlignment="1">
      <alignment horizontal="center" vertical="center" shrinkToFit="1"/>
    </xf>
    <xf numFmtId="49" fontId="9" fillId="0" borderId="4" xfId="0" applyNumberFormat="1" applyFont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91" fillId="0" borderId="0" xfId="11"/>
    <xf numFmtId="0" fontId="95" fillId="32" borderId="42" xfId="11" applyFont="1" applyFill="1" applyBorder="1" applyAlignment="1">
      <alignment horizontal="center" vertical="center" wrapText="1"/>
    </xf>
    <xf numFmtId="0" fontId="96" fillId="32" borderId="42" xfId="11" applyFont="1" applyFill="1" applyBorder="1" applyAlignment="1">
      <alignment vertical="center" wrapText="1" readingOrder="2"/>
    </xf>
    <xf numFmtId="0" fontId="96" fillId="32" borderId="42" xfId="11" applyFont="1" applyFill="1" applyBorder="1" applyAlignment="1">
      <alignment horizontal="center" vertical="center"/>
    </xf>
    <xf numFmtId="0" fontId="96" fillId="32" borderId="42" xfId="11" applyFont="1" applyFill="1" applyBorder="1" applyAlignment="1">
      <alignment horizontal="right" vertical="center"/>
    </xf>
    <xf numFmtId="0" fontId="96" fillId="32" borderId="42" xfId="11" applyFont="1" applyFill="1" applyBorder="1" applyAlignment="1">
      <alignment horizontal="right" vertical="center" wrapText="1"/>
    </xf>
    <xf numFmtId="0" fontId="95" fillId="32" borderId="42" xfId="11" applyFont="1" applyFill="1" applyBorder="1" applyAlignment="1">
      <alignment vertical="center" wrapText="1" readingOrder="2"/>
    </xf>
    <xf numFmtId="0" fontId="95" fillId="32" borderId="42" xfId="11" applyFont="1" applyFill="1" applyBorder="1" applyAlignment="1">
      <alignment horizontal="right" vertical="center"/>
    </xf>
    <xf numFmtId="0" fontId="95" fillId="32" borderId="42" xfId="11" applyFont="1" applyFill="1" applyBorder="1" applyAlignment="1">
      <alignment horizontal="center" vertical="center" wrapText="1" readingOrder="2"/>
    </xf>
    <xf numFmtId="0" fontId="95" fillId="32" borderId="42" xfId="11" applyFont="1" applyFill="1" applyBorder="1" applyAlignment="1">
      <alignment horizontal="right" vertical="center" wrapText="1"/>
    </xf>
    <xf numFmtId="0" fontId="95" fillId="32" borderId="42" xfId="11" applyFont="1" applyFill="1" applyBorder="1" applyAlignment="1">
      <alignment vertical="center" readingOrder="2"/>
    </xf>
    <xf numFmtId="0" fontId="97" fillId="32" borderId="42" xfId="11" applyFont="1" applyFill="1" applyBorder="1" applyAlignment="1">
      <alignment horizontal="center" vertical="center" wrapText="1"/>
    </xf>
    <xf numFmtId="0" fontId="96" fillId="32" borderId="42" xfId="11" applyFont="1" applyFill="1" applyBorder="1" applyAlignment="1">
      <alignment vertical="center" readingOrder="2"/>
    </xf>
    <xf numFmtId="0" fontId="95" fillId="32" borderId="42" xfId="11" applyFont="1" applyFill="1" applyBorder="1" applyAlignment="1">
      <alignment horizontal="center" vertical="center"/>
    </xf>
    <xf numFmtId="0" fontId="96" fillId="0" borderId="42" xfId="11" applyFont="1" applyBorder="1" applyAlignment="1">
      <alignment horizontal="center" vertical="center"/>
    </xf>
    <xf numFmtId="0" fontId="94" fillId="0" borderId="42" xfId="11" applyFont="1" applyBorder="1" applyAlignment="1">
      <alignment vertical="center" wrapText="1" readingOrder="2"/>
    </xf>
    <xf numFmtId="0" fontId="98" fillId="0" borderId="42" xfId="11" applyFont="1" applyBorder="1" applyAlignment="1">
      <alignment horizontal="center" vertical="center"/>
    </xf>
    <xf numFmtId="0" fontId="96" fillId="0" borderId="42" xfId="11" applyFont="1" applyBorder="1" applyAlignment="1">
      <alignment horizontal="center" vertical="center" wrapText="1" readingOrder="2"/>
    </xf>
    <xf numFmtId="0" fontId="99" fillId="0" borderId="42" xfId="11" applyFont="1" applyBorder="1" applyAlignment="1">
      <alignment vertical="center" wrapText="1" readingOrder="2"/>
    </xf>
    <xf numFmtId="0" fontId="94" fillId="0" borderId="42" xfId="11" applyFont="1" applyBorder="1" applyAlignment="1">
      <alignment horizontal="center" vertical="center" wrapText="1"/>
    </xf>
    <xf numFmtId="0" fontId="96" fillId="0" borderId="42" xfId="11" applyFont="1" applyBorder="1" applyAlignment="1">
      <alignment vertical="center" wrapText="1" readingOrder="2"/>
    </xf>
    <xf numFmtId="0" fontId="99" fillId="0" borderId="42" xfId="11" applyFont="1" applyBorder="1" applyAlignment="1">
      <alignment horizontal="center" vertical="center" wrapText="1" readingOrder="2"/>
    </xf>
    <xf numFmtId="0" fontId="94" fillId="0" borderId="42" xfId="11" applyFont="1" applyBorder="1" applyAlignment="1">
      <alignment horizontal="center" vertical="center"/>
    </xf>
    <xf numFmtId="3" fontId="94" fillId="0" borderId="42" xfId="11" applyNumberFormat="1" applyFont="1" applyBorder="1" applyAlignment="1">
      <alignment horizontal="right" vertical="center"/>
    </xf>
    <xf numFmtId="3" fontId="99" fillId="0" borderId="42" xfId="11" applyNumberFormat="1" applyFont="1" applyBorder="1" applyAlignment="1">
      <alignment horizontal="right" vertical="center"/>
    </xf>
    <xf numFmtId="3" fontId="96" fillId="0" borderId="42" xfId="11" applyNumberFormat="1" applyFont="1" applyBorder="1" applyAlignment="1">
      <alignment horizontal="right" vertical="center"/>
    </xf>
    <xf numFmtId="3" fontId="96" fillId="33" borderId="42" xfId="11" applyNumberFormat="1" applyFont="1" applyFill="1" applyBorder="1" applyAlignment="1">
      <alignment horizontal="right" vertical="center"/>
    </xf>
    <xf numFmtId="0" fontId="95" fillId="0" borderId="42" xfId="11" applyFont="1" applyBorder="1" applyAlignment="1">
      <alignment horizontal="right" vertical="center"/>
    </xf>
    <xf numFmtId="0" fontId="99" fillId="0" borderId="42" xfId="11" applyFont="1" applyBorder="1" applyAlignment="1">
      <alignment horizontal="center" vertical="center"/>
    </xf>
    <xf numFmtId="0" fontId="99" fillId="0" borderId="42" xfId="11" applyFont="1" applyBorder="1" applyAlignment="1">
      <alignment horizontal="center" vertical="center" wrapText="1"/>
    </xf>
    <xf numFmtId="3" fontId="100" fillId="0" borderId="42" xfId="11" applyNumberFormat="1" applyFont="1" applyBorder="1" applyAlignment="1">
      <alignment horizontal="right" vertical="center"/>
    </xf>
    <xf numFmtId="3" fontId="101" fillId="0" borderId="42" xfId="11" applyNumberFormat="1" applyFont="1" applyBorder="1" applyAlignment="1">
      <alignment horizontal="right" vertical="center"/>
    </xf>
    <xf numFmtId="0" fontId="94" fillId="34" borderId="42" xfId="11" applyFont="1" applyFill="1" applyBorder="1" applyAlignment="1">
      <alignment vertical="center"/>
    </xf>
    <xf numFmtId="0" fontId="94" fillId="34" borderId="42" xfId="11" applyFont="1" applyFill="1" applyBorder="1" applyAlignment="1">
      <alignment vertical="top"/>
    </xf>
    <xf numFmtId="0" fontId="102" fillId="34" borderId="42" xfId="11" applyFont="1" applyFill="1" applyBorder="1" applyAlignment="1">
      <alignment vertical="top"/>
    </xf>
    <xf numFmtId="3" fontId="95" fillId="34" borderId="42" xfId="11" applyNumberFormat="1" applyFont="1" applyFill="1" applyBorder="1" applyAlignment="1">
      <alignment horizontal="right" vertical="center"/>
    </xf>
    <xf numFmtId="0" fontId="95" fillId="34" borderId="42" xfId="11" applyFont="1" applyFill="1" applyBorder="1" applyAlignment="1">
      <alignment horizontal="right" vertical="center"/>
    </xf>
    <xf numFmtId="3" fontId="96" fillId="34" borderId="42" xfId="11" applyNumberFormat="1" applyFont="1" applyFill="1" applyBorder="1" applyAlignment="1">
      <alignment horizontal="right" vertical="center"/>
    </xf>
    <xf numFmtId="3" fontId="97" fillId="34" borderId="42" xfId="11" applyNumberFormat="1" applyFont="1" applyFill="1" applyBorder="1" applyAlignment="1">
      <alignment horizontal="right" vertical="center"/>
    </xf>
    <xf numFmtId="0" fontId="91" fillId="0" borderId="1" xfId="11" applyBorder="1"/>
    <xf numFmtId="3" fontId="91" fillId="0" borderId="1" xfId="11" applyNumberFormat="1" applyBorder="1"/>
    <xf numFmtId="3" fontId="91" fillId="0" borderId="0" xfId="11" applyNumberFormat="1"/>
    <xf numFmtId="1" fontId="6" fillId="6" borderId="1" xfId="0" applyNumberFormat="1" applyFont="1" applyFill="1" applyBorder="1" applyAlignment="1">
      <alignment horizontal="center" vertical="center" shrinkToFit="1"/>
    </xf>
    <xf numFmtId="164" fontId="6" fillId="6" borderId="1" xfId="0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shrinkToFit="1"/>
    </xf>
    <xf numFmtId="0" fontId="9" fillId="6" borderId="0" xfId="0" applyFont="1" applyFill="1" applyBorder="1" applyAlignment="1">
      <alignment horizontal="center" vertical="center" shrinkToFit="1"/>
    </xf>
    <xf numFmtId="0" fontId="0" fillId="6" borderId="0" xfId="0" applyFill="1" applyBorder="1"/>
    <xf numFmtId="1" fontId="6" fillId="0" borderId="1" xfId="0" applyNumberFormat="1" applyFont="1" applyBorder="1" applyAlignment="1">
      <alignment horizontal="center" vertical="center"/>
    </xf>
    <xf numFmtId="0" fontId="76" fillId="6" borderId="1" xfId="0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/>
    </xf>
    <xf numFmtId="0" fontId="7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3" fontId="55" fillId="6" borderId="1" xfId="9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49" fontId="4" fillId="6" borderId="4" xfId="0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49" fontId="28" fillId="0" borderId="1" xfId="0" applyNumberFormat="1" applyFont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/>
    </xf>
    <xf numFmtId="1" fontId="12" fillId="6" borderId="1" xfId="0" applyNumberFormat="1" applyFont="1" applyFill="1" applyBorder="1" applyAlignment="1">
      <alignment horizontal="center"/>
    </xf>
    <xf numFmtId="3" fontId="77" fillId="0" borderId="0" xfId="0" applyNumberFormat="1" applyFont="1"/>
    <xf numFmtId="49" fontId="27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55" fillId="6" borderId="1" xfId="9" applyFill="1" applyBorder="1"/>
    <xf numFmtId="0" fontId="104" fillId="35" borderId="1" xfId="12" applyFont="1" applyBorder="1" applyAlignment="1">
      <alignment horizontal="center" vertical="center"/>
    </xf>
    <xf numFmtId="0" fontId="75" fillId="35" borderId="1" xfId="12" applyBorder="1" applyAlignment="1">
      <alignment horizontal="center" vertical="center"/>
    </xf>
    <xf numFmtId="0" fontId="75" fillId="35" borderId="1" xfId="12" applyBorder="1" applyAlignment="1">
      <alignment horizontal="center"/>
    </xf>
    <xf numFmtId="49" fontId="1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shrinkToFit="1"/>
    </xf>
    <xf numFmtId="0" fontId="9" fillId="0" borderId="5" xfId="0" applyFont="1" applyBorder="1" applyAlignment="1" applyProtection="1">
      <alignment horizontal="center" vertical="center" shrinkToFit="1"/>
      <protection locked="0"/>
    </xf>
    <xf numFmtId="0" fontId="9" fillId="0" borderId="6" xfId="0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49" fontId="4" fillId="6" borderId="4" xfId="0" applyNumberFormat="1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readingOrder="2"/>
    </xf>
    <xf numFmtId="49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0" fontId="12" fillId="9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49" fontId="6" fillId="7" borderId="4" xfId="0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shrinkToFit="1"/>
    </xf>
    <xf numFmtId="0" fontId="6" fillId="0" borderId="3" xfId="2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1" fontId="6" fillId="0" borderId="2" xfId="0" applyNumberFormat="1" applyFont="1" applyBorder="1" applyAlignment="1">
      <alignment horizontal="center" vertical="center" shrinkToFit="1"/>
    </xf>
    <xf numFmtId="1" fontId="6" fillId="6" borderId="2" xfId="0" applyNumberFormat="1" applyFont="1" applyFill="1" applyBorder="1" applyAlignment="1">
      <alignment horizontal="center" vertical="center" shrinkToFit="1"/>
    </xf>
    <xf numFmtId="0" fontId="7" fillId="3" borderId="2" xfId="0" applyFont="1" applyFill="1" applyBorder="1" applyAlignment="1" applyProtection="1">
      <alignment horizontal="center" vertical="center" shrinkToFit="1"/>
      <protection locked="0"/>
    </xf>
    <xf numFmtId="0" fontId="16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 shrinkToFit="1"/>
    </xf>
    <xf numFmtId="0" fontId="16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80" fillId="0" borderId="1" xfId="9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05" fillId="0" borderId="1" xfId="9" applyFont="1" applyBorder="1" applyAlignment="1">
      <alignment horizontal="center" vertical="center"/>
    </xf>
    <xf numFmtId="3" fontId="80" fillId="0" borderId="1" xfId="9" applyNumberFormat="1" applyFont="1" applyBorder="1" applyAlignment="1">
      <alignment horizontal="center" vertical="center"/>
    </xf>
    <xf numFmtId="0" fontId="80" fillId="6" borderId="1" xfId="9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80" fillId="6" borderId="0" xfId="9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shrinkToFit="1"/>
    </xf>
    <xf numFmtId="3" fontId="27" fillId="6" borderId="1" xfId="8" applyNumberFormat="1" applyFont="1" applyFill="1" applyBorder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3" fontId="105" fillId="0" borderId="1" xfId="9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shrinkToFit="1"/>
    </xf>
    <xf numFmtId="0" fontId="6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shrinkToFit="1"/>
    </xf>
    <xf numFmtId="49" fontId="4" fillId="6" borderId="4" xfId="0" applyNumberFormat="1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shrinkToFit="1"/>
    </xf>
    <xf numFmtId="0" fontId="9" fillId="6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 shrinkToFit="1"/>
    </xf>
    <xf numFmtId="0" fontId="9" fillId="6" borderId="1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34" fillId="36" borderId="1" xfId="0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0" borderId="0" xfId="0" applyBorder="1"/>
    <xf numFmtId="49" fontId="4" fillId="6" borderId="9" xfId="0" applyNumberFormat="1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0" fillId="7" borderId="4" xfId="0" applyFill="1" applyBorder="1"/>
    <xf numFmtId="0" fontId="77" fillId="0" borderId="0" xfId="0" applyFont="1" applyAlignment="1">
      <alignment horizontal="center" vertical="center"/>
    </xf>
    <xf numFmtId="0" fontId="106" fillId="3" borderId="1" xfId="0" applyFont="1" applyFill="1" applyBorder="1" applyAlignment="1">
      <alignment horizontal="center" vertical="center" shrinkToFit="1"/>
    </xf>
    <xf numFmtId="0" fontId="106" fillId="0" borderId="1" xfId="0" applyFont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center" vertical="center"/>
    </xf>
    <xf numFmtId="3" fontId="0" fillId="6" borderId="1" xfId="0" applyNumberFormat="1" applyFont="1" applyFill="1" applyBorder="1" applyAlignment="1">
      <alignment horizontal="center" vertical="center"/>
    </xf>
    <xf numFmtId="0" fontId="107" fillId="6" borderId="1" xfId="9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49" fontId="78" fillId="0" borderId="1" xfId="0" applyNumberFormat="1" applyFont="1" applyBorder="1" applyAlignment="1">
      <alignment horizontal="center" vertical="center" shrinkToFit="1"/>
    </xf>
    <xf numFmtId="0" fontId="108" fillId="0" borderId="1" xfId="0" applyFont="1" applyBorder="1" applyAlignment="1">
      <alignment horizontal="center" vertical="center"/>
    </xf>
    <xf numFmtId="1" fontId="108" fillId="0" borderId="1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 shrinkToFit="1"/>
    </xf>
    <xf numFmtId="49" fontId="108" fillId="0" borderId="4" xfId="0" applyNumberFormat="1" applyFont="1" applyBorder="1" applyAlignment="1">
      <alignment horizontal="center" vertical="center" shrinkToFit="1"/>
    </xf>
    <xf numFmtId="1" fontId="78" fillId="0" borderId="1" xfId="0" applyNumberFormat="1" applyFont="1" applyBorder="1" applyAlignment="1">
      <alignment horizontal="center" vertical="center"/>
    </xf>
    <xf numFmtId="3" fontId="109" fillId="7" borderId="1" xfId="8" applyNumberFormat="1" applyFont="1" applyFill="1" applyBorder="1" applyAlignment="1">
      <alignment horizontal="center" vertical="center"/>
    </xf>
    <xf numFmtId="49" fontId="78" fillId="0" borderId="1" xfId="0" applyNumberFormat="1" applyFont="1" applyBorder="1" applyAlignment="1">
      <alignment horizontal="center" vertical="center"/>
    </xf>
    <xf numFmtId="0" fontId="78" fillId="0" borderId="0" xfId="0" applyFont="1" applyAlignment="1">
      <alignment horizontal="center" vertical="center" shrinkToFit="1"/>
    </xf>
    <xf numFmtId="0" fontId="77" fillId="6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shrinkToFit="1"/>
    </xf>
    <xf numFmtId="0" fontId="25" fillId="6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36" fillId="0" borderId="5" xfId="0" applyFont="1" applyBorder="1" applyAlignment="1">
      <alignment horizontal="center" vertical="center" shrinkToFit="1"/>
    </xf>
    <xf numFmtId="0" fontId="18" fillId="0" borderId="5" xfId="0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shrinkToFit="1"/>
    </xf>
    <xf numFmtId="0" fontId="25" fillId="3" borderId="1" xfId="0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/>
    </xf>
    <xf numFmtId="0" fontId="6" fillId="6" borderId="0" xfId="0" applyFont="1" applyFill="1" applyBorder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 shrinkToFit="1"/>
    </xf>
    <xf numFmtId="0" fontId="6" fillId="6" borderId="0" xfId="0" applyFont="1" applyFill="1" applyBorder="1" applyAlignment="1">
      <alignment horizontal="center" vertical="center" shrinkToFit="1"/>
    </xf>
    <xf numFmtId="1" fontId="6" fillId="6" borderId="0" xfId="0" applyNumberFormat="1" applyFont="1" applyFill="1" applyBorder="1" applyAlignment="1">
      <alignment horizontal="center" vertical="center"/>
    </xf>
    <xf numFmtId="3" fontId="44" fillId="6" borderId="0" xfId="8" applyNumberFormat="1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6" fillId="6" borderId="0" xfId="0" applyFont="1" applyFill="1" applyBorder="1" applyAlignment="1" applyProtection="1">
      <alignment horizontal="center" vertical="center" shrinkToFit="1"/>
      <protection locked="0"/>
    </xf>
    <xf numFmtId="49" fontId="4" fillId="6" borderId="0" xfId="0" applyNumberFormat="1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49" fontId="4" fillId="6" borderId="4" xfId="0" applyNumberFormat="1" applyFont="1" applyFill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/>
    </xf>
    <xf numFmtId="1" fontId="12" fillId="6" borderId="3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0" fontId="27" fillId="0" borderId="2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5" fillId="0" borderId="1" xfId="0" applyFont="1" applyBorder="1"/>
    <xf numFmtId="0" fontId="0" fillId="7" borderId="0" xfId="0" applyFill="1"/>
    <xf numFmtId="0" fontId="23" fillId="7" borderId="0" xfId="0" applyFont="1" applyFill="1"/>
    <xf numFmtId="0" fontId="7" fillId="3" borderId="1" xfId="0" applyFont="1" applyFill="1" applyBorder="1" applyAlignment="1">
      <alignment horizontal="center"/>
    </xf>
    <xf numFmtId="0" fontId="42" fillId="6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79" fillId="3" borderId="1" xfId="0" applyFont="1" applyFill="1" applyBorder="1" applyAlignment="1">
      <alignment horizontal="center" vertical="center" shrinkToFit="1"/>
    </xf>
    <xf numFmtId="0" fontId="9" fillId="5" borderId="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 shrinkToFit="1"/>
    </xf>
    <xf numFmtId="0" fontId="9" fillId="5" borderId="1" xfId="0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 shrinkToFit="1"/>
    </xf>
    <xf numFmtId="49" fontId="9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108" fillId="5" borderId="1" xfId="0" applyFont="1" applyFill="1" applyBorder="1" applyAlignment="1">
      <alignment horizontal="center" vertical="center"/>
    </xf>
    <xf numFmtId="0" fontId="78" fillId="5" borderId="1" xfId="0" applyFont="1" applyFill="1" applyBorder="1" applyAlignment="1">
      <alignment horizontal="center" vertical="center"/>
    </xf>
    <xf numFmtId="0" fontId="79" fillId="3" borderId="1" xfId="0" applyFont="1" applyFill="1" applyBorder="1" applyAlignment="1" applyProtection="1">
      <alignment horizontal="center" vertical="center" shrinkToFit="1"/>
      <protection locked="0"/>
    </xf>
    <xf numFmtId="0" fontId="42" fillId="3" borderId="0" xfId="0" applyFont="1" applyFill="1" applyAlignment="1">
      <alignment horizontal="center" vertical="center"/>
    </xf>
    <xf numFmtId="0" fontId="79" fillId="7" borderId="1" xfId="9" applyFont="1" applyFill="1" applyBorder="1" applyAlignment="1">
      <alignment horizontal="center" vertical="center"/>
    </xf>
    <xf numFmtId="0" fontId="52" fillId="6" borderId="0" xfId="0" applyFont="1" applyFill="1" applyAlignment="1">
      <alignment horizontal="center" vertical="center"/>
    </xf>
    <xf numFmtId="0" fontId="53" fillId="6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0" fontId="54" fillId="4" borderId="5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2" fillId="4" borderId="0" xfId="0" applyFont="1" applyFill="1" applyBorder="1" applyAlignment="1">
      <alignment horizontal="center" vertical="center"/>
    </xf>
    <xf numFmtId="0" fontId="52" fillId="4" borderId="5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center" vertical="center"/>
    </xf>
    <xf numFmtId="49" fontId="0" fillId="0" borderId="50" xfId="0" applyNumberFormat="1" applyFill="1" applyBorder="1" applyAlignment="1">
      <alignment horizontal="center" vertical="center"/>
    </xf>
    <xf numFmtId="43" fontId="60" fillId="7" borderId="1" xfId="15" applyFont="1" applyFill="1" applyBorder="1" applyAlignment="1">
      <alignment horizontal="center" vertical="center"/>
    </xf>
    <xf numFmtId="43" fontId="55" fillId="0" borderId="1" xfId="15" applyFont="1" applyBorder="1" applyAlignment="1">
      <alignment horizontal="center" vertical="center"/>
    </xf>
    <xf numFmtId="43" fontId="58" fillId="7" borderId="1" xfId="15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10" fillId="3" borderId="1" xfId="0" applyFont="1" applyFill="1" applyBorder="1" applyAlignment="1">
      <alignment horizontal="center" vertical="center" shrinkToFit="1"/>
    </xf>
    <xf numFmtId="0" fontId="111" fillId="6" borderId="1" xfId="0" applyFont="1" applyFill="1" applyBorder="1" applyAlignment="1">
      <alignment horizontal="center" vertical="center"/>
    </xf>
    <xf numFmtId="0" fontId="112" fillId="3" borderId="1" xfId="0" applyFont="1" applyFill="1" applyBorder="1" applyAlignment="1">
      <alignment horizontal="center" vertical="center" shrinkToFit="1"/>
    </xf>
    <xf numFmtId="49" fontId="4" fillId="6" borderId="4" xfId="0" applyNumberFormat="1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/>
    </xf>
    <xf numFmtId="0" fontId="66" fillId="3" borderId="1" xfId="0" applyFont="1" applyFill="1" applyBorder="1" applyAlignment="1">
      <alignment horizontal="center"/>
    </xf>
    <xf numFmtId="0" fontId="113" fillId="14" borderId="1" xfId="0" applyFont="1" applyFill="1" applyBorder="1" applyAlignment="1">
      <alignment horizontal="center" vertical="center"/>
    </xf>
    <xf numFmtId="49" fontId="113" fillId="14" borderId="1" xfId="0" applyNumberFormat="1" applyFont="1" applyFill="1" applyBorder="1" applyAlignment="1">
      <alignment horizontal="center" vertical="center"/>
    </xf>
    <xf numFmtId="1" fontId="113" fillId="14" borderId="1" xfId="0" applyNumberFormat="1" applyFont="1" applyFill="1" applyBorder="1" applyAlignment="1">
      <alignment horizontal="center" vertical="center"/>
    </xf>
    <xf numFmtId="41" fontId="113" fillId="14" borderId="1" xfId="0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9" fontId="114" fillId="6" borderId="1" xfId="0" applyNumberFormat="1" applyFont="1" applyFill="1" applyBorder="1" applyAlignment="1">
      <alignment horizontal="center" vertical="center"/>
    </xf>
    <xf numFmtId="0" fontId="114" fillId="6" borderId="1" xfId="0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 vertical="center"/>
    </xf>
    <xf numFmtId="0" fontId="114" fillId="0" borderId="1" xfId="0" applyFont="1" applyBorder="1"/>
    <xf numFmtId="49" fontId="115" fillId="6" borderId="2" xfId="0" applyNumberFormat="1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49" fontId="114" fillId="0" borderId="1" xfId="0" applyNumberFormat="1" applyFont="1" applyBorder="1"/>
    <xf numFmtId="0" fontId="37" fillId="7" borderId="1" xfId="0" applyFont="1" applyFill="1" applyBorder="1" applyAlignment="1">
      <alignment horizontal="center" vertical="center"/>
    </xf>
    <xf numFmtId="0" fontId="114" fillId="0" borderId="0" xfId="0" applyFont="1"/>
    <xf numFmtId="41" fontId="115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3" fontId="114" fillId="0" borderId="0" xfId="0" applyNumberFormat="1" applyFont="1"/>
    <xf numFmtId="49" fontId="114" fillId="6" borderId="1" xfId="0" applyNumberFormat="1" applyFont="1" applyFill="1" applyBorder="1"/>
    <xf numFmtId="0" fontId="114" fillId="6" borderId="1" xfId="0" applyFont="1" applyFill="1" applyBorder="1" applyAlignment="1">
      <alignment horizontal="center"/>
    </xf>
    <xf numFmtId="0" fontId="114" fillId="0" borderId="4" xfId="0" applyFont="1" applyBorder="1" applyAlignment="1">
      <alignment horizontal="center" vertical="center"/>
    </xf>
    <xf numFmtId="49" fontId="114" fillId="0" borderId="4" xfId="0" applyNumberFormat="1" applyFont="1" applyBorder="1" applyAlignment="1">
      <alignment horizontal="center" vertical="center"/>
    </xf>
    <xf numFmtId="0" fontId="116" fillId="7" borderId="1" xfId="0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3" fillId="14" borderId="2" xfId="0" applyFont="1" applyFill="1" applyBorder="1" applyAlignment="1">
      <alignment horizontal="center" vertical="center"/>
    </xf>
    <xf numFmtId="49" fontId="113" fillId="14" borderId="2" xfId="0" applyNumberFormat="1" applyFont="1" applyFill="1" applyBorder="1" applyAlignment="1">
      <alignment horizontal="center" vertical="center"/>
    </xf>
    <xf numFmtId="1" fontId="113" fillId="14" borderId="2" xfId="0" applyNumberFormat="1" applyFont="1" applyFill="1" applyBorder="1" applyAlignment="1">
      <alignment horizontal="center" vertical="center"/>
    </xf>
    <xf numFmtId="41" fontId="113" fillId="14" borderId="2" xfId="0" applyNumberFormat="1" applyFont="1" applyFill="1" applyBorder="1" applyAlignment="1">
      <alignment horizontal="center" vertical="center"/>
    </xf>
    <xf numFmtId="0" fontId="37" fillId="6" borderId="44" xfId="0" applyFont="1" applyFill="1" applyBorder="1" applyAlignment="1">
      <alignment horizontal="center" vertical="center"/>
    </xf>
    <xf numFmtId="0" fontId="114" fillId="6" borderId="45" xfId="0" applyFont="1" applyFill="1" applyBorder="1" applyAlignment="1">
      <alignment horizontal="center" vertical="center"/>
    </xf>
    <xf numFmtId="0" fontId="37" fillId="6" borderId="46" xfId="0" applyFont="1" applyFill="1" applyBorder="1" applyAlignment="1">
      <alignment horizontal="center" vertical="center"/>
    </xf>
    <xf numFmtId="0" fontId="114" fillId="6" borderId="1" xfId="0" applyFont="1" applyFill="1" applyBorder="1" applyAlignment="1">
      <alignment horizontal="center" vertical="center" wrapText="1"/>
    </xf>
    <xf numFmtId="0" fontId="37" fillId="6" borderId="47" xfId="0" applyFont="1" applyFill="1" applyBorder="1" applyAlignment="1">
      <alignment horizontal="center" vertical="center"/>
    </xf>
    <xf numFmtId="0" fontId="114" fillId="6" borderId="48" xfId="0" applyFont="1" applyFill="1" applyBorder="1" applyAlignment="1">
      <alignment horizontal="center" vertical="center"/>
    </xf>
    <xf numFmtId="49" fontId="114" fillId="6" borderId="48" xfId="0" applyNumberFormat="1" applyFont="1" applyFill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5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116" fillId="6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9" fillId="6" borderId="1" xfId="9" applyFont="1" applyFill="1" applyBorder="1" applyAlignment="1">
      <alignment horizontal="center" vertical="center"/>
    </xf>
    <xf numFmtId="0" fontId="118" fillId="7" borderId="1" xfId="9" applyFont="1" applyFill="1" applyBorder="1" applyAlignment="1">
      <alignment horizontal="center" vertical="center"/>
    </xf>
    <xf numFmtId="0" fontId="80" fillId="6" borderId="0" xfId="9" applyFont="1" applyFill="1"/>
    <xf numFmtId="3" fontId="59" fillId="6" borderId="2" xfId="0" applyNumberFormat="1" applyFont="1" applyFill="1" applyBorder="1" applyAlignment="1">
      <alignment horizontal="center" vertical="center"/>
    </xf>
    <xf numFmtId="0" fontId="55" fillId="0" borderId="1" xfId="9" applyFont="1" applyBorder="1" applyAlignment="1">
      <alignment horizontal="center" vertical="center"/>
    </xf>
    <xf numFmtId="0" fontId="79" fillId="0" borderId="1" xfId="9" applyFont="1" applyBorder="1" applyAlignment="1">
      <alignment horizontal="center" vertical="center"/>
    </xf>
    <xf numFmtId="0" fontId="55" fillId="0" borderId="1" xfId="9" quotePrefix="1" applyFont="1" applyBorder="1" applyAlignment="1">
      <alignment horizontal="center" vertical="center"/>
    </xf>
    <xf numFmtId="3" fontId="77" fillId="23" borderId="2" xfId="0" applyNumberFormat="1" applyFont="1" applyFill="1" applyBorder="1" applyAlignment="1">
      <alignment horizontal="center" vertical="center"/>
    </xf>
    <xf numFmtId="3" fontId="55" fillId="0" borderId="1" xfId="9" applyNumberFormat="1" applyFont="1" applyBorder="1" applyAlignment="1">
      <alignment horizontal="center" vertical="center"/>
    </xf>
    <xf numFmtId="3" fontId="77" fillId="0" borderId="2" xfId="0" applyNumberFormat="1" applyFont="1" applyBorder="1" applyAlignment="1">
      <alignment horizontal="center" vertical="center"/>
    </xf>
    <xf numFmtId="3" fontId="77" fillId="6" borderId="2" xfId="0" applyNumberFormat="1" applyFont="1" applyFill="1" applyBorder="1" applyAlignment="1">
      <alignment horizontal="center" vertical="center"/>
    </xf>
    <xf numFmtId="0" fontId="55" fillId="0" borderId="2" xfId="9" applyFont="1" applyBorder="1" applyAlignment="1">
      <alignment horizontal="center" vertical="center"/>
    </xf>
    <xf numFmtId="3" fontId="55" fillId="0" borderId="2" xfId="9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119" fillId="5" borderId="1" xfId="9" applyFont="1" applyFill="1" applyBorder="1" applyAlignment="1">
      <alignment horizontal="center" vertical="center"/>
    </xf>
    <xf numFmtId="0" fontId="119" fillId="5" borderId="1" xfId="9" applyFont="1" applyFill="1" applyBorder="1"/>
    <xf numFmtId="0" fontId="27" fillId="5" borderId="1" xfId="9" applyFont="1" applyFill="1" applyBorder="1" applyAlignment="1">
      <alignment horizontal="center" vertical="center"/>
    </xf>
    <xf numFmtId="3" fontId="119" fillId="5" borderId="1" xfId="9" applyNumberFormat="1" applyFont="1" applyFill="1" applyBorder="1" applyAlignment="1">
      <alignment horizontal="center" vertical="center"/>
    </xf>
    <xf numFmtId="3" fontId="119" fillId="5" borderId="0" xfId="9" applyNumberFormat="1" applyFont="1" applyFill="1" applyAlignment="1">
      <alignment horizontal="center" vertical="center"/>
    </xf>
    <xf numFmtId="0" fontId="119" fillId="5" borderId="0" xfId="9" applyFont="1" applyFill="1" applyAlignment="1">
      <alignment horizontal="center" vertical="center"/>
    </xf>
    <xf numFmtId="0" fontId="119" fillId="6" borderId="1" xfId="9" applyFont="1" applyFill="1" applyBorder="1" applyAlignment="1">
      <alignment horizontal="center" vertical="center"/>
    </xf>
    <xf numFmtId="0" fontId="119" fillId="6" borderId="1" xfId="9" applyFont="1" applyFill="1" applyBorder="1"/>
    <xf numFmtId="0" fontId="27" fillId="6" borderId="1" xfId="9" applyFont="1" applyFill="1" applyBorder="1" applyAlignment="1">
      <alignment horizontal="center" vertical="center"/>
    </xf>
    <xf numFmtId="3" fontId="119" fillId="6" borderId="1" xfId="9" applyNumberFormat="1" applyFont="1" applyFill="1" applyBorder="1" applyAlignment="1">
      <alignment horizontal="center" vertical="center"/>
    </xf>
    <xf numFmtId="3" fontId="119" fillId="6" borderId="0" xfId="9" applyNumberFormat="1" applyFont="1" applyFill="1" applyAlignment="1">
      <alignment horizontal="center" vertical="center"/>
    </xf>
    <xf numFmtId="0" fontId="119" fillId="6" borderId="0" xfId="9" applyFont="1" applyFill="1" applyAlignment="1">
      <alignment horizontal="center" vertical="center"/>
    </xf>
    <xf numFmtId="0" fontId="103" fillId="6" borderId="0" xfId="0" applyFont="1" applyFill="1"/>
    <xf numFmtId="0" fontId="119" fillId="6" borderId="0" xfId="9" applyFont="1" applyFill="1"/>
    <xf numFmtId="0" fontId="119" fillId="5" borderId="0" xfId="9" applyFont="1" applyFill="1"/>
    <xf numFmtId="0" fontId="103" fillId="6" borderId="0" xfId="0" applyFont="1" applyFill="1" applyAlignment="1">
      <alignment horizontal="center" vertical="center"/>
    </xf>
    <xf numFmtId="0" fontId="103" fillId="5" borderId="0" xfId="0" applyFont="1" applyFill="1" applyAlignment="1">
      <alignment horizontal="center" vertical="center"/>
    </xf>
    <xf numFmtId="3" fontId="120" fillId="6" borderId="0" xfId="9" applyNumberFormat="1" applyFont="1" applyFill="1" applyAlignment="1">
      <alignment horizontal="center" vertical="center"/>
    </xf>
    <xf numFmtId="0" fontId="27" fillId="6" borderId="0" xfId="9" applyFont="1" applyFill="1"/>
    <xf numFmtId="0" fontId="49" fillId="6" borderId="0" xfId="9" applyFont="1" applyFill="1" applyAlignment="1">
      <alignment horizontal="center" vertical="center"/>
    </xf>
    <xf numFmtId="0" fontId="119" fillId="6" borderId="1" xfId="9" applyFont="1" applyFill="1" applyBorder="1" applyAlignment="1">
      <alignment horizontal="center" vertical="center" wrapText="1"/>
    </xf>
    <xf numFmtId="0" fontId="55" fillId="6" borderId="0" xfId="9" applyFont="1" applyFill="1" applyAlignment="1">
      <alignment horizontal="center" vertical="center"/>
    </xf>
    <xf numFmtId="0" fontId="43" fillId="6" borderId="0" xfId="9" applyFont="1" applyFill="1" applyAlignment="1">
      <alignment horizontal="center" vertical="center"/>
    </xf>
    <xf numFmtId="0" fontId="55" fillId="6" borderId="0" xfId="9" applyFont="1" applyFill="1"/>
    <xf numFmtId="0" fontId="79" fillId="6" borderId="0" xfId="9" applyFont="1" applyFill="1" applyAlignment="1">
      <alignment horizontal="center" vertical="center"/>
    </xf>
    <xf numFmtId="0" fontId="43" fillId="14" borderId="7" xfId="0" applyFont="1" applyFill="1" applyBorder="1" applyAlignment="1">
      <alignment horizontal="center" vertical="center"/>
    </xf>
    <xf numFmtId="0" fontId="43" fillId="14" borderId="32" xfId="0" applyFont="1" applyFill="1" applyBorder="1" applyAlignment="1">
      <alignment horizontal="center" vertical="center"/>
    </xf>
    <xf numFmtId="0" fontId="43" fillId="14" borderId="26" xfId="0" applyFont="1" applyFill="1" applyBorder="1" applyAlignment="1">
      <alignment horizontal="center" vertical="center"/>
    </xf>
    <xf numFmtId="0" fontId="0" fillId="37" borderId="7" xfId="0" applyFont="1" applyFill="1" applyBorder="1" applyAlignment="1">
      <alignment horizontal="center" vertical="center"/>
    </xf>
    <xf numFmtId="3" fontId="0" fillId="37" borderId="2" xfId="0" applyNumberFormat="1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3" fontId="0" fillId="6" borderId="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1" fillId="6" borderId="1" xfId="0" applyFont="1" applyFill="1" applyBorder="1"/>
    <xf numFmtId="0" fontId="41" fillId="6" borderId="1" xfId="0" applyFont="1" applyFill="1" applyBorder="1" applyAlignment="1">
      <alignment horizontal="center"/>
    </xf>
    <xf numFmtId="3" fontId="47" fillId="6" borderId="1" xfId="9" applyNumberFormat="1" applyFont="1" applyFill="1" applyBorder="1" applyAlignment="1">
      <alignment horizontal="center" vertical="center" readingOrder="2"/>
    </xf>
    <xf numFmtId="0" fontId="49" fillId="14" borderId="1" xfId="9" applyFont="1" applyFill="1" applyBorder="1" applyAlignment="1">
      <alignment horizontal="center" vertical="center"/>
    </xf>
    <xf numFmtId="0" fontId="47" fillId="6" borderId="1" xfId="0" applyFont="1" applyFill="1" applyBorder="1" applyAlignment="1">
      <alignment horizontal="center" vertical="center"/>
    </xf>
    <xf numFmtId="0" fontId="121" fillId="6" borderId="1" xfId="9" applyFont="1" applyFill="1" applyBorder="1" applyAlignment="1">
      <alignment horizontal="center" vertical="center"/>
    </xf>
    <xf numFmtId="0" fontId="49" fillId="14" borderId="5" xfId="0" applyFont="1" applyFill="1" applyBorder="1" applyAlignment="1">
      <alignment horizontal="center" vertical="center"/>
    </xf>
    <xf numFmtId="49" fontId="0" fillId="6" borderId="5" xfId="0" applyNumberFormat="1" applyFont="1" applyFill="1" applyBorder="1" applyAlignment="1">
      <alignment horizontal="center" vertical="center"/>
    </xf>
    <xf numFmtId="49" fontId="122" fillId="6" borderId="5" xfId="0" applyNumberFormat="1" applyFont="1" applyFill="1" applyBorder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0" borderId="0" xfId="0" applyFont="1"/>
    <xf numFmtId="49" fontId="0" fillId="5" borderId="1" xfId="0" applyNumberFormat="1" applyFont="1" applyFill="1" applyBorder="1" applyAlignment="1">
      <alignment horizontal="center" vertical="center"/>
    </xf>
    <xf numFmtId="49" fontId="0" fillId="5" borderId="5" xfId="0" applyNumberFormat="1" applyFont="1" applyFill="1" applyBorder="1" applyAlignment="1">
      <alignment horizontal="center" vertical="center"/>
    </xf>
    <xf numFmtId="49" fontId="122" fillId="5" borderId="5" xfId="0" applyNumberFormat="1" applyFont="1" applyFill="1" applyBorder="1" applyAlignment="1">
      <alignment horizontal="center" vertical="center"/>
    </xf>
    <xf numFmtId="3" fontId="0" fillId="5" borderId="1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119" fillId="15" borderId="1" xfId="9" applyFont="1" applyFill="1" applyBorder="1" applyAlignment="1">
      <alignment horizontal="center" vertical="center"/>
    </xf>
    <xf numFmtId="49" fontId="0" fillId="15" borderId="5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119" fillId="7" borderId="1" xfId="9" applyFont="1" applyFill="1" applyBorder="1" applyAlignment="1">
      <alignment horizontal="center" vertical="center"/>
    </xf>
    <xf numFmtId="0" fontId="119" fillId="7" borderId="1" xfId="9" applyFont="1" applyFill="1" applyBorder="1"/>
    <xf numFmtId="0" fontId="27" fillId="7" borderId="1" xfId="9" applyFont="1" applyFill="1" applyBorder="1" applyAlignment="1">
      <alignment horizontal="center" vertical="center"/>
    </xf>
    <xf numFmtId="3" fontId="119" fillId="7" borderId="1" xfId="9" applyNumberFormat="1" applyFont="1" applyFill="1" applyBorder="1" applyAlignment="1">
      <alignment horizontal="center" vertical="center"/>
    </xf>
    <xf numFmtId="3" fontId="119" fillId="7" borderId="0" xfId="9" applyNumberFormat="1" applyFont="1" applyFill="1" applyAlignment="1">
      <alignment horizontal="center" vertical="center"/>
    </xf>
    <xf numFmtId="0" fontId="119" fillId="7" borderId="0" xfId="9" applyFont="1" applyFill="1"/>
    <xf numFmtId="0" fontId="103" fillId="7" borderId="0" xfId="0" applyFont="1" applyFill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79" fillId="5" borderId="1" xfId="0" applyFont="1" applyFill="1" applyBorder="1" applyAlignment="1">
      <alignment horizontal="center" vertical="center"/>
    </xf>
    <xf numFmtId="0" fontId="80" fillId="5" borderId="1" xfId="0" applyFont="1" applyFill="1" applyBorder="1" applyAlignment="1">
      <alignment horizontal="center" vertical="center"/>
    </xf>
    <xf numFmtId="0" fontId="80" fillId="5" borderId="1" xfId="0" applyFont="1" applyFill="1" applyBorder="1" applyAlignment="1">
      <alignment horizontal="center" vertical="center" shrinkToFit="1"/>
    </xf>
    <xf numFmtId="1" fontId="8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 shrinkToFit="1"/>
    </xf>
    <xf numFmtId="1" fontId="80" fillId="5" borderId="1" xfId="0" applyNumberFormat="1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49" fontId="4" fillId="6" borderId="4" xfId="0" applyNumberFormat="1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shrinkToFit="1"/>
    </xf>
    <xf numFmtId="49" fontId="6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25" borderId="3" xfId="0" applyFont="1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49" fontId="6" fillId="25" borderId="1" xfId="0" applyNumberFormat="1" applyFont="1" applyFill="1" applyBorder="1" applyAlignment="1">
      <alignment horizontal="center" vertical="center" shrinkToFit="1"/>
    </xf>
    <xf numFmtId="1" fontId="6" fillId="25" borderId="1" xfId="2" applyNumberFormat="1" applyFont="1" applyFill="1" applyBorder="1" applyAlignment="1">
      <alignment horizontal="center" vertical="center" shrinkToFit="1"/>
    </xf>
    <xf numFmtId="49" fontId="4" fillId="25" borderId="4" xfId="0" applyNumberFormat="1" applyFont="1" applyFill="1" applyBorder="1" applyAlignment="1">
      <alignment horizontal="center" vertical="center" shrinkToFit="1"/>
    </xf>
    <xf numFmtId="49" fontId="6" fillId="25" borderId="1" xfId="0" applyNumberFormat="1" applyFont="1" applyFill="1" applyBorder="1" applyAlignment="1">
      <alignment horizontal="center" vertical="center"/>
    </xf>
    <xf numFmtId="3" fontId="44" fillId="25" borderId="1" xfId="8" applyNumberFormat="1" applyFont="1" applyFill="1" applyBorder="1" applyAlignment="1">
      <alignment horizontal="center" vertical="center"/>
    </xf>
    <xf numFmtId="0" fontId="12" fillId="25" borderId="0" xfId="0" applyFont="1" applyFill="1" applyAlignment="1">
      <alignment horizontal="center" vertical="center"/>
    </xf>
    <xf numFmtId="0" fontId="6" fillId="25" borderId="1" xfId="0" applyFont="1" applyFill="1" applyBorder="1" applyAlignment="1">
      <alignment horizontal="center" vertical="center" readingOrder="1"/>
    </xf>
    <xf numFmtId="0" fontId="6" fillId="25" borderId="1" xfId="0" applyFont="1" applyFill="1" applyBorder="1" applyAlignment="1">
      <alignment horizontal="center" vertical="center" shrinkToFit="1"/>
    </xf>
    <xf numFmtId="49" fontId="4" fillId="25" borderId="1" xfId="0" applyNumberFormat="1" applyFont="1" applyFill="1" applyBorder="1" applyAlignment="1">
      <alignment horizontal="center" vertical="center" shrinkToFit="1"/>
    </xf>
    <xf numFmtId="0" fontId="6" fillId="25" borderId="1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164" fontId="6" fillId="25" borderId="1" xfId="0" applyNumberFormat="1" applyFont="1" applyFill="1" applyBorder="1" applyAlignment="1">
      <alignment horizontal="center" vertical="center" shrinkToFit="1"/>
    </xf>
    <xf numFmtId="49" fontId="4" fillId="25" borderId="3" xfId="0" applyNumberFormat="1" applyFont="1" applyFill="1" applyBorder="1" applyAlignment="1">
      <alignment horizontal="center" vertical="center" shrinkToFit="1"/>
    </xf>
    <xf numFmtId="0" fontId="6" fillId="25" borderId="2" xfId="0" applyFont="1" applyFill="1" applyBorder="1" applyAlignment="1">
      <alignment horizontal="center" vertical="center" readingOrder="1"/>
    </xf>
    <xf numFmtId="0" fontId="6" fillId="25" borderId="2" xfId="0" applyFont="1" applyFill="1" applyBorder="1" applyAlignment="1">
      <alignment horizontal="center" vertical="center"/>
    </xf>
    <xf numFmtId="1" fontId="6" fillId="25" borderId="2" xfId="2" applyNumberFormat="1" applyFont="1" applyFill="1" applyBorder="1" applyAlignment="1">
      <alignment horizontal="center" vertical="center" shrinkToFit="1"/>
    </xf>
    <xf numFmtId="49" fontId="6" fillId="25" borderId="2" xfId="0" applyNumberFormat="1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 shrinkToFit="1"/>
    </xf>
    <xf numFmtId="0" fontId="6" fillId="25" borderId="1" xfId="0" applyFont="1" applyFill="1" applyBorder="1" applyAlignment="1">
      <alignment horizontal="center" vertical="center"/>
    </xf>
    <xf numFmtId="0" fontId="0" fillId="25" borderId="1" xfId="0" applyFill="1" applyBorder="1"/>
    <xf numFmtId="1" fontId="6" fillId="25" borderId="1" xfId="0" applyNumberFormat="1" applyFont="1" applyFill="1" applyBorder="1" applyAlignment="1">
      <alignment horizontal="center" vertical="center"/>
    </xf>
    <xf numFmtId="0" fontId="44" fillId="25" borderId="1" xfId="8" applyFont="1" applyFill="1" applyBorder="1" applyAlignment="1">
      <alignment horizontal="center" vertical="center"/>
    </xf>
    <xf numFmtId="49" fontId="6" fillId="25" borderId="2" xfId="0" applyNumberFormat="1" applyFont="1" applyFill="1" applyBorder="1" applyAlignment="1">
      <alignment horizontal="center" vertical="center" shrinkToFit="1"/>
    </xf>
    <xf numFmtId="1" fontId="6" fillId="25" borderId="2" xfId="0" applyNumberFormat="1" applyFont="1" applyFill="1" applyBorder="1" applyAlignment="1">
      <alignment horizontal="center" vertical="center"/>
    </xf>
    <xf numFmtId="49" fontId="12" fillId="25" borderId="4" xfId="0" applyNumberFormat="1" applyFont="1" applyFill="1" applyBorder="1" applyAlignment="1">
      <alignment horizontal="center" vertical="center" shrinkToFit="1"/>
    </xf>
    <xf numFmtId="0" fontId="44" fillId="25" borderId="4" xfId="8" applyFont="1" applyFill="1" applyBorder="1" applyAlignment="1">
      <alignment horizontal="center" vertical="center"/>
    </xf>
    <xf numFmtId="0" fontId="12" fillId="25" borderId="4" xfId="0" applyFont="1" applyFill="1" applyBorder="1" applyAlignment="1">
      <alignment horizontal="center" vertical="center"/>
    </xf>
    <xf numFmtId="1" fontId="12" fillId="25" borderId="4" xfId="0" applyNumberFormat="1" applyFont="1" applyFill="1" applyBorder="1" applyAlignment="1">
      <alignment horizontal="center" vertical="center"/>
    </xf>
    <xf numFmtId="0" fontId="12" fillId="25" borderId="3" xfId="0" applyFont="1" applyFill="1" applyBorder="1" applyAlignment="1">
      <alignment horizontal="center" vertical="center"/>
    </xf>
    <xf numFmtId="0" fontId="9" fillId="25" borderId="0" xfId="0" applyFont="1" applyFill="1" applyAlignment="1">
      <alignment horizontal="center" vertical="center"/>
    </xf>
    <xf numFmtId="49" fontId="12" fillId="25" borderId="4" xfId="0" applyNumberFormat="1" applyFont="1" applyFill="1" applyBorder="1" applyAlignment="1">
      <alignment horizontal="center" vertical="center"/>
    </xf>
    <xf numFmtId="0" fontId="12" fillId="25" borderId="4" xfId="0" applyFont="1" applyFill="1" applyBorder="1" applyAlignment="1">
      <alignment horizontal="center" vertical="center"/>
    </xf>
    <xf numFmtId="49" fontId="12" fillId="25" borderId="1" xfId="0" applyNumberFormat="1" applyFont="1" applyFill="1" applyBorder="1" applyAlignment="1">
      <alignment horizontal="center" vertical="center" shrinkToFit="1"/>
    </xf>
    <xf numFmtId="1" fontId="12" fillId="25" borderId="1" xfId="0" applyNumberFormat="1" applyFont="1" applyFill="1" applyBorder="1" applyAlignment="1">
      <alignment horizontal="center" vertical="center"/>
    </xf>
    <xf numFmtId="1" fontId="12" fillId="25" borderId="4" xfId="0" applyNumberFormat="1" applyFont="1" applyFill="1" applyBorder="1" applyAlignment="1">
      <alignment horizontal="center" vertical="center"/>
    </xf>
    <xf numFmtId="49" fontId="12" fillId="25" borderId="1" xfId="0" applyNumberFormat="1" applyFont="1" applyFill="1" applyBorder="1" applyAlignment="1">
      <alignment horizontal="center" vertical="center"/>
    </xf>
    <xf numFmtId="49" fontId="4" fillId="25" borderId="4" xfId="0" applyNumberFormat="1" applyFont="1" applyFill="1" applyBorder="1" applyAlignment="1">
      <alignment horizontal="center" vertical="center" shrinkToFit="1"/>
    </xf>
    <xf numFmtId="0" fontId="4" fillId="25" borderId="1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 readingOrder="2"/>
    </xf>
    <xf numFmtId="3" fontId="46" fillId="25" borderId="1" xfId="8" applyNumberFormat="1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 shrinkToFit="1"/>
    </xf>
    <xf numFmtId="0" fontId="12" fillId="25" borderId="2" xfId="0" applyFont="1" applyFill="1" applyBorder="1" applyAlignment="1">
      <alignment horizontal="center" vertical="center"/>
    </xf>
    <xf numFmtId="1" fontId="12" fillId="25" borderId="2" xfId="0" applyNumberFormat="1" applyFont="1" applyFill="1" applyBorder="1" applyAlignment="1">
      <alignment horizontal="center" vertical="center"/>
    </xf>
    <xf numFmtId="0" fontId="12" fillId="25" borderId="7" xfId="0" applyFont="1" applyFill="1" applyBorder="1" applyAlignment="1">
      <alignment horizontal="center" vertical="center"/>
    </xf>
    <xf numFmtId="49" fontId="12" fillId="25" borderId="1" xfId="0" applyNumberFormat="1" applyFont="1" applyFill="1" applyBorder="1" applyAlignment="1">
      <alignment horizontal="center" vertical="center" wrapText="1" readingOrder="1"/>
    </xf>
    <xf numFmtId="0" fontId="12" fillId="25" borderId="9" xfId="0" applyFont="1" applyFill="1" applyBorder="1" applyAlignment="1">
      <alignment horizontal="center" vertical="center"/>
    </xf>
    <xf numFmtId="3" fontId="44" fillId="25" borderId="5" xfId="8" applyNumberFormat="1" applyFont="1" applyFill="1" applyBorder="1" applyAlignment="1">
      <alignment horizontal="center" vertical="center"/>
    </xf>
    <xf numFmtId="3" fontId="44" fillId="25" borderId="7" xfId="8" applyNumberFormat="1" applyFont="1" applyFill="1" applyBorder="1" applyAlignment="1">
      <alignment horizontal="center" vertical="center"/>
    </xf>
    <xf numFmtId="3" fontId="44" fillId="25" borderId="9" xfId="8" applyNumberFormat="1" applyFont="1" applyFill="1" applyBorder="1" applyAlignment="1">
      <alignment horizontal="center" vertical="center"/>
    </xf>
    <xf numFmtId="3" fontId="46" fillId="25" borderId="5" xfId="8" applyNumberFormat="1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3" fontId="50" fillId="25" borderId="1" xfId="8" applyNumberFormat="1" applyFont="1" applyFill="1" applyBorder="1" applyAlignment="1">
      <alignment horizontal="center" vertical="center"/>
    </xf>
    <xf numFmtId="1" fontId="12" fillId="25" borderId="1" xfId="0" applyNumberFormat="1" applyFont="1" applyFill="1" applyBorder="1" applyAlignment="1">
      <alignment horizontal="center" vertical="center"/>
    </xf>
    <xf numFmtId="49" fontId="12" fillId="25" borderId="1" xfId="0" applyNumberFormat="1" applyFont="1" applyFill="1" applyBorder="1" applyAlignment="1">
      <alignment horizontal="center" vertical="center"/>
    </xf>
    <xf numFmtId="3" fontId="48" fillId="25" borderId="1" xfId="8" applyNumberFormat="1" applyFont="1" applyFill="1" applyBorder="1" applyAlignment="1">
      <alignment horizontal="center" vertical="center"/>
    </xf>
    <xf numFmtId="49" fontId="6" fillId="25" borderId="4" xfId="0" applyNumberFormat="1" applyFont="1" applyFill="1" applyBorder="1" applyAlignment="1">
      <alignment horizontal="center" vertical="center" shrinkToFit="1"/>
    </xf>
    <xf numFmtId="0" fontId="6" fillId="25" borderId="4" xfId="0" applyFont="1" applyFill="1" applyBorder="1" applyAlignment="1">
      <alignment horizontal="center" vertical="center"/>
    </xf>
    <xf numFmtId="1" fontId="6" fillId="25" borderId="4" xfId="0" applyNumberFormat="1" applyFont="1" applyFill="1" applyBorder="1" applyAlignment="1">
      <alignment horizontal="center" vertical="center"/>
    </xf>
    <xf numFmtId="49" fontId="6" fillId="25" borderId="4" xfId="0" applyNumberFormat="1" applyFont="1" applyFill="1" applyBorder="1" applyAlignment="1">
      <alignment horizontal="center" vertical="center"/>
    </xf>
    <xf numFmtId="0" fontId="0" fillId="25" borderId="1" xfId="0" applyFill="1" applyBorder="1" applyAlignment="1">
      <alignment vertical="center"/>
    </xf>
    <xf numFmtId="0" fontId="0" fillId="25" borderId="5" xfId="0" applyFill="1" applyBorder="1" applyAlignment="1">
      <alignment vertical="center"/>
    </xf>
    <xf numFmtId="0" fontId="0" fillId="25" borderId="0" xfId="0" applyFill="1" applyAlignment="1">
      <alignment vertical="center"/>
    </xf>
    <xf numFmtId="0" fontId="5" fillId="25" borderId="1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49" fontId="5" fillId="25" borderId="2" xfId="0" applyNumberFormat="1" applyFont="1" applyFill="1" applyBorder="1" applyAlignment="1">
      <alignment horizontal="center" vertical="center"/>
    </xf>
    <xf numFmtId="0" fontId="83" fillId="25" borderId="2" xfId="0" applyFont="1" applyFill="1" applyBorder="1" applyAlignment="1">
      <alignment horizontal="center" vertical="center"/>
    </xf>
    <xf numFmtId="1" fontId="5" fillId="25" borderId="2" xfId="0" applyNumberFormat="1" applyFont="1" applyFill="1" applyBorder="1" applyAlignment="1">
      <alignment horizontal="center" vertical="center"/>
    </xf>
    <xf numFmtId="1" fontId="83" fillId="25" borderId="2" xfId="0" applyNumberFormat="1" applyFont="1" applyFill="1" applyBorder="1" applyAlignment="1">
      <alignment horizontal="center" vertical="center"/>
    </xf>
    <xf numFmtId="49" fontId="83" fillId="25" borderId="2" xfId="0" applyNumberFormat="1" applyFont="1" applyFill="1" applyBorder="1" applyAlignment="1">
      <alignment horizontal="center" vertical="center"/>
    </xf>
    <xf numFmtId="0" fontId="6" fillId="25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5" fillId="0" borderId="5" xfId="9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3" fontId="47" fillId="6" borderId="1" xfId="9" applyNumberFormat="1" applyFont="1" applyFill="1" applyBorder="1" applyAlignment="1">
      <alignment horizontal="center" vertical="center"/>
    </xf>
    <xf numFmtId="3" fontId="49" fillId="14" borderId="1" xfId="9" applyNumberFormat="1" applyFont="1" applyFill="1" applyBorder="1" applyAlignment="1">
      <alignment horizontal="center" vertical="center"/>
    </xf>
    <xf numFmtId="0" fontId="60" fillId="6" borderId="0" xfId="9" applyFont="1" applyFill="1" applyAlignment="1">
      <alignment horizontal="center" vertical="center"/>
    </xf>
    <xf numFmtId="43" fontId="0" fillId="0" borderId="0" xfId="15" applyFont="1"/>
    <xf numFmtId="0" fontId="24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4" fillId="0" borderId="1" xfId="9" applyFont="1" applyBorder="1" applyAlignment="1">
      <alignment horizontal="center" vertical="center"/>
    </xf>
    <xf numFmtId="0" fontId="55" fillId="6" borderId="0" xfId="9" applyFont="1" applyFill="1" applyBorder="1"/>
    <xf numFmtId="0" fontId="0" fillId="37" borderId="0" xfId="0" applyFont="1" applyFill="1" applyBorder="1" applyAlignment="1">
      <alignment horizontal="center" vertical="center"/>
    </xf>
    <xf numFmtId="3" fontId="0" fillId="37" borderId="0" xfId="0" applyNumberFormat="1" applyFont="1" applyFill="1" applyBorder="1" applyAlignment="1">
      <alignment horizontal="center" vertical="center"/>
    </xf>
    <xf numFmtId="0" fontId="55" fillId="6" borderId="0" xfId="9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3" fontId="0" fillId="6" borderId="0" xfId="0" applyNumberFormat="1" applyFont="1" applyFill="1" applyBorder="1" applyAlignment="1">
      <alignment horizontal="center" vertical="center"/>
    </xf>
    <xf numFmtId="0" fontId="55" fillId="6" borderId="0" xfId="9" applyFill="1" applyBorder="1" applyAlignment="1">
      <alignment horizontal="center" vertical="center"/>
    </xf>
    <xf numFmtId="0" fontId="55" fillId="6" borderId="0" xfId="9" applyFill="1" applyBorder="1"/>
    <xf numFmtId="0" fontId="58" fillId="6" borderId="0" xfId="9" applyFont="1" applyFill="1" applyBorder="1" applyAlignment="1">
      <alignment horizontal="center" vertical="center"/>
    </xf>
    <xf numFmtId="3" fontId="47" fillId="6" borderId="0" xfId="9" applyNumberFormat="1" applyFont="1" applyFill="1" applyBorder="1" applyAlignment="1">
      <alignment horizontal="center" vertical="center"/>
    </xf>
    <xf numFmtId="0" fontId="119" fillId="6" borderId="0" xfId="9" applyFont="1" applyFill="1" applyBorder="1" applyAlignment="1">
      <alignment horizontal="center" vertical="center"/>
    </xf>
    <xf numFmtId="0" fontId="41" fillId="6" borderId="0" xfId="0" applyFont="1" applyFill="1" applyBorder="1" applyAlignment="1">
      <alignment horizontal="center"/>
    </xf>
    <xf numFmtId="0" fontId="41" fillId="6" borderId="0" xfId="0" applyFont="1" applyFill="1" applyBorder="1"/>
    <xf numFmtId="3" fontId="47" fillId="6" borderId="0" xfId="9" applyNumberFormat="1" applyFont="1" applyFill="1" applyBorder="1" applyAlignment="1">
      <alignment horizontal="center" vertical="center" readingOrder="2"/>
    </xf>
    <xf numFmtId="0" fontId="119" fillId="6" borderId="0" xfId="9" applyFont="1" applyFill="1" applyBorder="1"/>
    <xf numFmtId="0" fontId="47" fillId="6" borderId="0" xfId="0" applyFont="1" applyFill="1" applyBorder="1" applyAlignment="1">
      <alignment horizontal="center" vertical="center"/>
    </xf>
    <xf numFmtId="0" fontId="47" fillId="6" borderId="0" xfId="9" applyFont="1" applyFill="1" applyBorder="1" applyAlignment="1">
      <alignment horizontal="center" vertical="center"/>
    </xf>
    <xf numFmtId="0" fontId="121" fillId="6" borderId="0" xfId="9" applyFont="1" applyFill="1" applyBorder="1" applyAlignment="1">
      <alignment horizontal="center" vertical="center"/>
    </xf>
    <xf numFmtId="0" fontId="103" fillId="6" borderId="0" xfId="0" applyFont="1" applyFill="1" applyBorder="1" applyAlignment="1">
      <alignment horizontal="center" vertical="center"/>
    </xf>
    <xf numFmtId="0" fontId="103" fillId="6" borderId="0" xfId="0" applyFont="1" applyFill="1" applyBorder="1"/>
    <xf numFmtId="0" fontId="43" fillId="6" borderId="0" xfId="0" applyFont="1" applyFill="1" applyBorder="1" applyAlignment="1">
      <alignment horizontal="center" vertical="center"/>
    </xf>
    <xf numFmtId="0" fontId="65" fillId="6" borderId="0" xfId="0" applyFont="1" applyFill="1" applyBorder="1" applyAlignment="1">
      <alignment horizontal="center"/>
    </xf>
    <xf numFmtId="3" fontId="49" fillId="6" borderId="0" xfId="9" applyNumberFormat="1" applyFont="1" applyFill="1" applyBorder="1" applyAlignment="1">
      <alignment horizontal="center" vertical="center"/>
    </xf>
    <xf numFmtId="0" fontId="49" fillId="6" borderId="0" xfId="9" applyFont="1" applyFill="1" applyBorder="1" applyAlignment="1">
      <alignment horizontal="center" vertical="center"/>
    </xf>
    <xf numFmtId="0" fontId="79" fillId="39" borderId="1" xfId="9" applyFont="1" applyFill="1" applyBorder="1" applyAlignment="1">
      <alignment horizontal="center" vertical="center"/>
    </xf>
    <xf numFmtId="0" fontId="79" fillId="40" borderId="1" xfId="9" applyFont="1" applyFill="1" applyBorder="1" applyAlignment="1">
      <alignment horizontal="center" vertical="center"/>
    </xf>
    <xf numFmtId="0" fontId="79" fillId="40" borderId="0" xfId="5" applyFont="1" applyFill="1" applyAlignment="1">
      <alignment horizontal="center"/>
    </xf>
    <xf numFmtId="0" fontId="42" fillId="40" borderId="1" xfId="0" applyFont="1" applyFill="1" applyBorder="1" applyAlignment="1">
      <alignment horizontal="center"/>
    </xf>
    <xf numFmtId="0" fontId="33" fillId="0" borderId="1" xfId="0" quotePrefix="1" applyFont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 vertical="center" readingOrder="1"/>
    </xf>
    <xf numFmtId="49" fontId="6" fillId="41" borderId="4" xfId="0" applyNumberFormat="1" applyFont="1" applyFill="1" applyBorder="1" applyAlignment="1">
      <alignment horizontal="center" vertical="center" shrinkToFit="1"/>
    </xf>
    <xf numFmtId="49" fontId="4" fillId="41" borderId="4" xfId="0" applyNumberFormat="1" applyFont="1" applyFill="1" applyBorder="1" applyAlignment="1">
      <alignment horizontal="center" vertical="center" shrinkToFit="1"/>
    </xf>
    <xf numFmtId="0" fontId="125" fillId="0" borderId="1" xfId="9" applyFont="1" applyBorder="1" applyAlignment="1">
      <alignment horizontal="center" vertical="center"/>
    </xf>
    <xf numFmtId="0" fontId="12" fillId="41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55" fillId="6" borderId="1" xfId="9" applyFont="1" applyFill="1" applyBorder="1" applyAlignment="1">
      <alignment horizontal="center" vertical="center"/>
    </xf>
    <xf numFmtId="0" fontId="105" fillId="0" borderId="1" xfId="9" quotePrefix="1" applyFont="1" applyBorder="1" applyAlignment="1">
      <alignment horizontal="center" vertical="center"/>
    </xf>
    <xf numFmtId="0" fontId="105" fillId="0" borderId="2" xfId="9" quotePrefix="1" applyFont="1" applyBorder="1" applyAlignment="1">
      <alignment horizontal="center" vertical="center"/>
    </xf>
    <xf numFmtId="0" fontId="60" fillId="6" borderId="1" xfId="9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 vertical="center" readingOrder="1"/>
    </xf>
    <xf numFmtId="0" fontId="12" fillId="6" borderId="1" xfId="0" applyFont="1" applyFill="1" applyBorder="1" applyAlignment="1">
      <alignment horizontal="center" vertical="center" readingOrder="1"/>
    </xf>
    <xf numFmtId="49" fontId="9" fillId="6" borderId="1" xfId="0" applyNumberFormat="1" applyFont="1" applyFill="1" applyBorder="1" applyAlignment="1">
      <alignment horizontal="center" vertical="center" shrinkToFit="1"/>
    </xf>
    <xf numFmtId="49" fontId="9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/>
    <xf numFmtId="1" fontId="12" fillId="6" borderId="1" xfId="2" applyNumberFormat="1" applyFont="1" applyFill="1" applyBorder="1" applyAlignment="1">
      <alignment horizontal="center" vertical="center" shrinkToFit="1"/>
    </xf>
    <xf numFmtId="164" fontId="12" fillId="6" borderId="1" xfId="0" applyNumberFormat="1" applyFont="1" applyFill="1" applyBorder="1" applyAlignment="1">
      <alignment horizontal="center" vertical="center" shrinkToFit="1"/>
    </xf>
    <xf numFmtId="49" fontId="12" fillId="6" borderId="1" xfId="0" applyNumberFormat="1" applyFont="1" applyFill="1" applyBorder="1" applyAlignment="1">
      <alignment horizontal="center" vertical="center" wrapText="1" shrinkToFit="1"/>
    </xf>
    <xf numFmtId="1" fontId="12" fillId="6" borderId="1" xfId="0" applyNumberFormat="1" applyFont="1" applyFill="1" applyBorder="1" applyAlignment="1">
      <alignment horizontal="center" vertical="center" shrinkToFit="1"/>
    </xf>
    <xf numFmtId="41" fontId="12" fillId="6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 wrapText="1" shrinkToFit="1"/>
    </xf>
    <xf numFmtId="49" fontId="25" fillId="6" borderId="1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49" fontId="44" fillId="6" borderId="1" xfId="0" applyNumberFormat="1" applyFont="1" applyFill="1" applyBorder="1" applyAlignment="1">
      <alignment horizontal="center" vertical="center"/>
    </xf>
    <xf numFmtId="3" fontId="25" fillId="6" borderId="1" xfId="0" applyNumberFormat="1" applyFont="1" applyFill="1" applyBorder="1" applyAlignment="1">
      <alignment horizontal="center" vertical="center"/>
    </xf>
    <xf numFmtId="49" fontId="128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 applyProtection="1">
      <alignment horizontal="center" vertical="center" shrinkToFit="1"/>
      <protection locked="0"/>
    </xf>
    <xf numFmtId="0" fontId="55" fillId="6" borderId="1" xfId="9" applyFont="1" applyFill="1" applyBorder="1"/>
    <xf numFmtId="0" fontId="12" fillId="25" borderId="2" xfId="0" applyFont="1" applyFill="1" applyBorder="1" applyAlignment="1">
      <alignment horizontal="center" vertical="center"/>
    </xf>
    <xf numFmtId="0" fontId="12" fillId="25" borderId="4" xfId="0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center" vertical="center"/>
    </xf>
    <xf numFmtId="0" fontId="9" fillId="25" borderId="3" xfId="0" applyFont="1" applyFill="1" applyBorder="1" applyAlignment="1">
      <alignment horizontal="center" vertical="center"/>
    </xf>
    <xf numFmtId="0" fontId="9" fillId="25" borderId="4" xfId="0" applyFont="1" applyFill="1" applyBorder="1" applyAlignment="1">
      <alignment horizontal="center" vertical="center"/>
    </xf>
    <xf numFmtId="0" fontId="12" fillId="25" borderId="3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6" fillId="25" borderId="2" xfId="0" applyFont="1" applyFill="1" applyBorder="1" applyAlignment="1">
      <alignment horizontal="center" vertical="center"/>
    </xf>
    <xf numFmtId="0" fontId="6" fillId="25" borderId="3" xfId="0" applyFont="1" applyFill="1" applyBorder="1" applyAlignment="1">
      <alignment horizontal="center" vertical="center"/>
    </xf>
    <xf numFmtId="0" fontId="6" fillId="25" borderId="4" xfId="0" applyFont="1" applyFill="1" applyBorder="1" applyAlignment="1">
      <alignment horizontal="center" vertical="center"/>
    </xf>
    <xf numFmtId="0" fontId="24" fillId="25" borderId="2" xfId="0" applyFont="1" applyFill="1" applyBorder="1" applyAlignment="1">
      <alignment horizontal="center" vertical="center"/>
    </xf>
    <xf numFmtId="0" fontId="24" fillId="25" borderId="4" xfId="0" applyFont="1" applyFill="1" applyBorder="1" applyAlignment="1">
      <alignment horizontal="center" vertical="center"/>
    </xf>
    <xf numFmtId="49" fontId="12" fillId="25" borderId="2" xfId="0" applyNumberFormat="1" applyFont="1" applyFill="1" applyBorder="1" applyAlignment="1">
      <alignment horizontal="center" vertical="center"/>
    </xf>
    <xf numFmtId="49" fontId="12" fillId="25" borderId="4" xfId="0" applyNumberFormat="1" applyFont="1" applyFill="1" applyBorder="1" applyAlignment="1">
      <alignment horizontal="center" vertical="center"/>
    </xf>
    <xf numFmtId="1" fontId="12" fillId="25" borderId="2" xfId="0" applyNumberFormat="1" applyFont="1" applyFill="1" applyBorder="1" applyAlignment="1">
      <alignment horizontal="center" vertical="center"/>
    </xf>
    <xf numFmtId="1" fontId="12" fillId="25" borderId="4" xfId="0" applyNumberFormat="1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12" fillId="25" borderId="10" xfId="0" applyFont="1" applyFill="1" applyBorder="1" applyAlignment="1">
      <alignment horizontal="center" vertical="center"/>
    </xf>
    <xf numFmtId="0" fontId="12" fillId="25" borderId="11" xfId="0" applyFont="1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49" fontId="12" fillId="25" borderId="3" xfId="0" applyNumberFormat="1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12" fillId="25" borderId="6" xfId="0" applyFont="1" applyFill="1" applyBorder="1" applyAlignment="1">
      <alignment horizontal="center" vertical="center"/>
    </xf>
    <xf numFmtId="1" fontId="12" fillId="25" borderId="3" xfId="0" applyNumberFormat="1" applyFont="1" applyFill="1" applyBorder="1" applyAlignment="1">
      <alignment horizontal="center" vertical="center"/>
    </xf>
    <xf numFmtId="49" fontId="12" fillId="25" borderId="1" xfId="0" applyNumberFormat="1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 wrapText="1"/>
    </xf>
    <xf numFmtId="1" fontId="12" fillId="25" borderId="1" xfId="0" applyNumberFormat="1" applyFont="1" applyFill="1" applyBorder="1" applyAlignment="1">
      <alignment horizontal="center" vertical="center"/>
    </xf>
    <xf numFmtId="0" fontId="7" fillId="25" borderId="2" xfId="0" applyFont="1" applyFill="1" applyBorder="1" applyAlignment="1">
      <alignment horizontal="center" vertical="center"/>
    </xf>
    <xf numFmtId="0" fontId="7" fillId="25" borderId="3" xfId="0" applyFont="1" applyFill="1" applyBorder="1" applyAlignment="1">
      <alignment horizontal="center" vertical="center"/>
    </xf>
    <xf numFmtId="0" fontId="7" fillId="25" borderId="4" xfId="0" applyFont="1" applyFill="1" applyBorder="1" applyAlignment="1">
      <alignment horizontal="center" vertical="center"/>
    </xf>
    <xf numFmtId="1" fontId="6" fillId="25" borderId="2" xfId="0" applyNumberFormat="1" applyFont="1" applyFill="1" applyBorder="1" applyAlignment="1">
      <alignment horizontal="center" vertical="center"/>
    </xf>
    <xf numFmtId="1" fontId="6" fillId="25" borderId="3" xfId="0" applyNumberFormat="1" applyFont="1" applyFill="1" applyBorder="1" applyAlignment="1">
      <alignment horizontal="center" vertical="center"/>
    </xf>
    <xf numFmtId="1" fontId="6" fillId="25" borderId="4" xfId="0" applyNumberFormat="1" applyFont="1" applyFill="1" applyBorder="1" applyAlignment="1">
      <alignment horizontal="center" vertical="center"/>
    </xf>
    <xf numFmtId="49" fontId="6" fillId="25" borderId="2" xfId="0" applyNumberFormat="1" applyFont="1" applyFill="1" applyBorder="1" applyAlignment="1">
      <alignment horizontal="center" vertical="center"/>
    </xf>
    <xf numFmtId="49" fontId="6" fillId="25" borderId="3" xfId="0" applyNumberFormat="1" applyFont="1" applyFill="1" applyBorder="1" applyAlignment="1">
      <alignment horizontal="center" vertical="center"/>
    </xf>
    <xf numFmtId="49" fontId="6" fillId="25" borderId="4" xfId="0" applyNumberFormat="1" applyFont="1" applyFill="1" applyBorder="1" applyAlignment="1">
      <alignment horizontal="center" vertical="center"/>
    </xf>
    <xf numFmtId="0" fontId="6" fillId="25" borderId="10" xfId="0" applyFont="1" applyFill="1" applyBorder="1" applyAlignment="1">
      <alignment horizontal="center" vertical="center"/>
    </xf>
    <xf numFmtId="0" fontId="6" fillId="25" borderId="1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5" borderId="7" xfId="0" applyFont="1" applyFill="1" applyBorder="1" applyAlignment="1">
      <alignment horizontal="center" vertical="center"/>
    </xf>
    <xf numFmtId="0" fontId="6" fillId="25" borderId="9" xfId="0" applyFont="1" applyFill="1" applyBorder="1" applyAlignment="1">
      <alignment horizontal="center" vertical="center"/>
    </xf>
    <xf numFmtId="0" fontId="24" fillId="25" borderId="2" xfId="0" applyFont="1" applyFill="1" applyBorder="1" applyAlignment="1">
      <alignment horizontal="center" vertical="center" shrinkToFit="1"/>
    </xf>
    <xf numFmtId="0" fontId="24" fillId="25" borderId="3" xfId="0" applyFont="1" applyFill="1" applyBorder="1" applyAlignment="1">
      <alignment horizontal="center" vertical="center" shrinkToFit="1"/>
    </xf>
    <xf numFmtId="0" fontId="12" fillId="25" borderId="2" xfId="0" applyFont="1" applyFill="1" applyBorder="1" applyAlignment="1">
      <alignment horizontal="center" vertical="center" shrinkToFit="1"/>
    </xf>
    <xf numFmtId="0" fontId="12" fillId="25" borderId="3" xfId="0" applyFont="1" applyFill="1" applyBorder="1" applyAlignment="1">
      <alignment horizontal="center" vertical="center" shrinkToFit="1"/>
    </xf>
    <xf numFmtId="0" fontId="6" fillId="25" borderId="2" xfId="0" applyFont="1" applyFill="1" applyBorder="1" applyAlignment="1">
      <alignment horizontal="center" vertical="center" shrinkToFit="1"/>
    </xf>
    <xf numFmtId="0" fontId="6" fillId="25" borderId="3" xfId="0" applyFont="1" applyFill="1" applyBorder="1" applyAlignment="1">
      <alignment horizontal="center" vertical="center" shrinkToFit="1"/>
    </xf>
    <xf numFmtId="0" fontId="6" fillId="25" borderId="4" xfId="0" applyFont="1" applyFill="1" applyBorder="1" applyAlignment="1">
      <alignment horizontal="center" vertical="center" shrinkToFit="1"/>
    </xf>
    <xf numFmtId="0" fontId="123" fillId="38" borderId="2" xfId="0" applyFont="1" applyFill="1" applyBorder="1" applyAlignment="1">
      <alignment horizontal="center" vertical="center" wrapText="1" readingOrder="2"/>
    </xf>
    <xf numFmtId="0" fontId="123" fillId="38" borderId="4" xfId="0" applyFont="1" applyFill="1" applyBorder="1" applyAlignment="1">
      <alignment horizontal="center" vertical="center" wrapText="1" readingOrder="2"/>
    </xf>
    <xf numFmtId="0" fontId="7" fillId="25" borderId="1" xfId="0" applyFont="1" applyFill="1" applyBorder="1" applyAlignment="1">
      <alignment horizontal="center" vertical="center" shrinkToFit="1"/>
    </xf>
    <xf numFmtId="0" fontId="6" fillId="25" borderId="1" xfId="2" applyFont="1" applyFill="1" applyBorder="1" applyAlignment="1">
      <alignment horizontal="center" vertical="center" shrinkToFit="1"/>
    </xf>
    <xf numFmtId="0" fontId="6" fillId="25" borderId="1" xfId="0" applyFont="1" applyFill="1" applyBorder="1" applyAlignment="1">
      <alignment horizontal="center" vertical="center" shrinkToFit="1"/>
    </xf>
    <xf numFmtId="0" fontId="6" fillId="25" borderId="1" xfId="3" applyFont="1" applyFill="1" applyBorder="1" applyAlignment="1">
      <alignment horizontal="center" vertical="center" shrinkToFit="1"/>
    </xf>
    <xf numFmtId="1" fontId="6" fillId="25" borderId="1" xfId="0" applyNumberFormat="1" applyFont="1" applyFill="1" applyBorder="1" applyAlignment="1">
      <alignment horizontal="center" vertical="center" shrinkToFit="1"/>
    </xf>
    <xf numFmtId="1" fontId="6" fillId="25" borderId="2" xfId="0" applyNumberFormat="1" applyFont="1" applyFill="1" applyBorder="1" applyAlignment="1">
      <alignment horizontal="center" vertical="center" shrinkToFit="1"/>
    </xf>
    <xf numFmtId="1" fontId="6" fillId="25" borderId="3" xfId="0" applyNumberFormat="1" applyFont="1" applyFill="1" applyBorder="1" applyAlignment="1">
      <alignment horizontal="center" vertical="center" shrinkToFit="1"/>
    </xf>
    <xf numFmtId="0" fontId="7" fillId="25" borderId="2" xfId="0" applyFont="1" applyFill="1" applyBorder="1" applyAlignment="1">
      <alignment horizontal="center" vertical="center" shrinkToFit="1"/>
    </xf>
    <xf numFmtId="0" fontId="7" fillId="25" borderId="3" xfId="0" applyFont="1" applyFill="1" applyBorder="1" applyAlignment="1">
      <alignment horizontal="center" vertical="center" shrinkToFit="1"/>
    </xf>
    <xf numFmtId="0" fontId="6" fillId="25" borderId="2" xfId="3" applyFont="1" applyFill="1" applyBorder="1" applyAlignment="1">
      <alignment horizontal="center" vertical="center" shrinkToFit="1"/>
    </xf>
    <xf numFmtId="0" fontId="6" fillId="25" borderId="3" xfId="3" applyFont="1" applyFill="1" applyBorder="1" applyAlignment="1">
      <alignment horizontal="center" vertical="center" shrinkToFit="1"/>
    </xf>
    <xf numFmtId="0" fontId="123" fillId="25" borderId="2" xfId="0" applyFont="1" applyFill="1" applyBorder="1" applyAlignment="1">
      <alignment horizontal="center" vertical="center" wrapText="1" readingOrder="2"/>
    </xf>
    <xf numFmtId="0" fontId="123" fillId="25" borderId="4" xfId="0" applyFont="1" applyFill="1" applyBorder="1" applyAlignment="1">
      <alignment horizontal="center" vertical="center" wrapText="1" readingOrder="2"/>
    </xf>
    <xf numFmtId="1" fontId="6" fillId="25" borderId="1" xfId="0" applyNumberFormat="1" applyFont="1" applyFill="1" applyBorder="1" applyAlignment="1">
      <alignment horizontal="center" vertical="center"/>
    </xf>
    <xf numFmtId="0" fontId="6" fillId="25" borderId="4" xfId="3" applyFont="1" applyFill="1" applyBorder="1" applyAlignment="1">
      <alignment horizontal="center" vertical="center" shrinkToFit="1"/>
    </xf>
    <xf numFmtId="0" fontId="6" fillId="25" borderId="2" xfId="4" applyFont="1" applyFill="1" applyBorder="1" applyAlignment="1">
      <alignment horizontal="center" vertical="center" shrinkToFit="1"/>
    </xf>
    <xf numFmtId="0" fontId="6" fillId="25" borderId="3" xfId="4" applyFont="1" applyFill="1" applyBorder="1" applyAlignment="1">
      <alignment horizontal="center" vertical="center" shrinkToFit="1"/>
    </xf>
    <xf numFmtId="0" fontId="6" fillId="25" borderId="1" xfId="0" applyFont="1" applyFill="1" applyBorder="1" applyAlignment="1">
      <alignment horizontal="center" vertical="center" wrapText="1"/>
    </xf>
    <xf numFmtId="49" fontId="4" fillId="25" borderId="2" xfId="0" applyNumberFormat="1" applyFont="1" applyFill="1" applyBorder="1" applyAlignment="1">
      <alignment horizontal="center" vertical="center" shrinkToFit="1"/>
    </xf>
    <xf numFmtId="49" fontId="4" fillId="25" borderId="4" xfId="0" applyNumberFormat="1" applyFont="1" applyFill="1" applyBorder="1" applyAlignment="1">
      <alignment horizontal="center" vertical="center" shrinkToFit="1"/>
    </xf>
    <xf numFmtId="49" fontId="4" fillId="25" borderId="2" xfId="0" applyNumberFormat="1" applyFont="1" applyFill="1" applyBorder="1" applyAlignment="1">
      <alignment horizontal="center" vertical="center"/>
    </xf>
    <xf numFmtId="49" fontId="4" fillId="25" borderId="4" xfId="0" applyNumberFormat="1" applyFont="1" applyFill="1" applyBorder="1" applyAlignment="1">
      <alignment horizontal="center" vertical="center"/>
    </xf>
    <xf numFmtId="49" fontId="4" fillId="25" borderId="7" xfId="0" applyNumberFormat="1" applyFont="1" applyFill="1" applyBorder="1" applyAlignment="1">
      <alignment horizontal="center" vertical="center"/>
    </xf>
    <xf numFmtId="49" fontId="4" fillId="25" borderId="9" xfId="0" applyNumberFormat="1" applyFont="1" applyFill="1" applyBorder="1" applyAlignment="1">
      <alignment horizontal="center" vertical="center"/>
    </xf>
    <xf numFmtId="0" fontId="24" fillId="25" borderId="3" xfId="0" applyFont="1" applyFill="1" applyBorder="1" applyAlignment="1">
      <alignment horizontal="center" vertical="center"/>
    </xf>
    <xf numFmtId="0" fontId="123" fillId="38" borderId="3" xfId="0" applyFont="1" applyFill="1" applyBorder="1" applyAlignment="1">
      <alignment horizontal="center" vertical="center" wrapText="1" readingOrder="2"/>
    </xf>
    <xf numFmtId="0" fontId="7" fillId="25" borderId="4" xfId="0" applyFont="1" applyFill="1" applyBorder="1" applyAlignment="1">
      <alignment horizontal="center" vertical="center" shrinkToFit="1"/>
    </xf>
    <xf numFmtId="0" fontId="6" fillId="25" borderId="2" xfId="2" applyFont="1" applyFill="1" applyBorder="1" applyAlignment="1">
      <alignment horizontal="center" vertical="center" shrinkToFit="1"/>
    </xf>
    <xf numFmtId="0" fontId="6" fillId="25" borderId="4" xfId="2" applyFont="1" applyFill="1" applyBorder="1" applyAlignment="1">
      <alignment horizontal="center" vertical="center" shrinkToFit="1"/>
    </xf>
    <xf numFmtId="1" fontId="6" fillId="25" borderId="4" xfId="0" applyNumberFormat="1" applyFont="1" applyFill="1" applyBorder="1" applyAlignment="1">
      <alignment horizontal="center" vertical="center" shrinkToFit="1"/>
    </xf>
    <xf numFmtId="0" fontId="6" fillId="25" borderId="4" xfId="4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4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1" fontId="6" fillId="6" borderId="2" xfId="0" applyNumberFormat="1" applyFont="1" applyFill="1" applyBorder="1" applyAlignment="1">
      <alignment horizontal="center" vertical="center" shrinkToFit="1"/>
    </xf>
    <xf numFmtId="1" fontId="6" fillId="6" borderId="3" xfId="0" applyNumberFormat="1" applyFont="1" applyFill="1" applyBorder="1" applyAlignment="1">
      <alignment horizontal="center" vertical="center" shrinkToFit="1"/>
    </xf>
    <xf numFmtId="1" fontId="6" fillId="6" borderId="4" xfId="0" applyNumberFormat="1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1" fontId="6" fillId="6" borderId="1" xfId="0" applyNumberFormat="1" applyFont="1" applyFill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6" fillId="0" borderId="2" xfId="2" applyFont="1" applyBorder="1" applyAlignment="1">
      <alignment horizontal="center" vertical="center" shrinkToFit="1"/>
    </xf>
    <xf numFmtId="0" fontId="6" fillId="0" borderId="3" xfId="2" applyFont="1" applyBorder="1" applyAlignment="1">
      <alignment horizontal="center" vertical="center" shrinkToFit="1"/>
    </xf>
    <xf numFmtId="0" fontId="6" fillId="0" borderId="2" xfId="3" applyFont="1" applyBorder="1" applyAlignment="1">
      <alignment horizontal="center" vertical="center" shrinkToFit="1"/>
    </xf>
    <xf numFmtId="0" fontId="6" fillId="0" borderId="3" xfId="3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shrinkToFit="1"/>
    </xf>
    <xf numFmtId="0" fontId="6" fillId="0" borderId="3" xfId="1" applyFont="1" applyBorder="1" applyAlignment="1">
      <alignment horizontal="center" vertical="center" shrinkToFit="1"/>
    </xf>
    <xf numFmtId="0" fontId="6" fillId="0" borderId="2" xfId="4" applyFont="1" applyBorder="1" applyAlignment="1">
      <alignment horizontal="center" vertical="center" shrinkToFit="1"/>
    </xf>
    <xf numFmtId="0" fontId="6" fillId="0" borderId="3" xfId="4" applyFont="1" applyBorder="1" applyAlignment="1">
      <alignment horizontal="center" vertical="center" shrinkToFit="1"/>
    </xf>
    <xf numFmtId="0" fontId="7" fillId="6" borderId="3" xfId="0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shrinkToFit="1"/>
    </xf>
    <xf numFmtId="0" fontId="6" fillId="6" borderId="3" xfId="2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7" fillId="0" borderId="2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/>
    </xf>
    <xf numFmtId="164" fontId="6" fillId="0" borderId="2" xfId="2" applyNumberFormat="1" applyFont="1" applyBorder="1" applyAlignment="1">
      <alignment horizontal="center" vertical="center" shrinkToFit="1"/>
    </xf>
    <xf numFmtId="164" fontId="6" fillId="0" borderId="3" xfId="2" applyNumberFormat="1" applyFont="1" applyBorder="1" applyAlignment="1">
      <alignment horizontal="center" vertical="center" shrinkToFit="1"/>
    </xf>
    <xf numFmtId="0" fontId="87" fillId="6" borderId="2" xfId="0" applyFont="1" applyFill="1" applyBorder="1" applyAlignment="1">
      <alignment horizontal="center" vertical="center"/>
    </xf>
    <xf numFmtId="0" fontId="87" fillId="6" borderId="3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shrinkToFit="1"/>
    </xf>
    <xf numFmtId="164" fontId="6" fillId="0" borderId="3" xfId="0" applyNumberFormat="1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 readingOrder="2"/>
    </xf>
    <xf numFmtId="0" fontId="7" fillId="3" borderId="3" xfId="0" applyFont="1" applyFill="1" applyBorder="1" applyAlignment="1">
      <alignment horizontal="center" vertical="center" shrinkToFit="1" readingOrder="2"/>
    </xf>
    <xf numFmtId="0" fontId="7" fillId="5" borderId="2" xfId="0" applyFont="1" applyFill="1" applyBorder="1" applyAlignment="1">
      <alignment horizontal="center" vertical="center" shrinkToFit="1"/>
    </xf>
    <xf numFmtId="0" fontId="7" fillId="5" borderId="3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 shrinkToFit="1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/>
    </xf>
    <xf numFmtId="0" fontId="6" fillId="0" borderId="4" xfId="2" applyFont="1" applyBorder="1" applyAlignment="1">
      <alignment horizontal="center" vertical="center" shrinkToFit="1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1" fontId="9" fillId="0" borderId="2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71" fillId="14" borderId="1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3" borderId="7" xfId="0" applyFont="1" applyFill="1" applyBorder="1" applyAlignment="1" applyProtection="1">
      <alignment horizontal="center" vertical="center" shrinkToFit="1"/>
      <protection locked="0"/>
    </xf>
    <xf numFmtId="0" fontId="9" fillId="3" borderId="10" xfId="0" applyFont="1" applyFill="1" applyBorder="1" applyAlignment="1" applyProtection="1">
      <alignment horizontal="center" vertical="center" shrinkToFit="1"/>
      <protection locked="0"/>
    </xf>
    <xf numFmtId="0" fontId="9" fillId="3" borderId="9" xfId="0" applyFont="1" applyFill="1" applyBorder="1" applyAlignment="1" applyProtection="1">
      <alignment horizontal="center" vertical="center" shrinkToFit="1"/>
      <protection locked="0"/>
    </xf>
    <xf numFmtId="0" fontId="9" fillId="3" borderId="11" xfId="0" applyFont="1" applyFill="1" applyBorder="1" applyAlignment="1" applyProtection="1">
      <alignment horizontal="center" vertical="center" shrinkToFit="1"/>
      <protection locked="0"/>
    </xf>
    <xf numFmtId="0" fontId="9" fillId="3" borderId="5" xfId="0" applyFont="1" applyFill="1" applyBorder="1" applyAlignment="1" applyProtection="1">
      <alignment horizontal="center" vertical="center" shrinkToFit="1"/>
      <protection locked="0"/>
    </xf>
    <xf numFmtId="0" fontId="9" fillId="3" borderId="6" xfId="0" applyFont="1" applyFill="1" applyBorder="1" applyAlignment="1" applyProtection="1">
      <alignment horizontal="center" vertical="center" shrinkToFit="1"/>
      <protection locked="0"/>
    </xf>
    <xf numFmtId="0" fontId="9" fillId="3" borderId="5" xfId="0" applyFont="1" applyFill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 applyProtection="1">
      <alignment horizontal="center" vertical="center" shrinkToFit="1"/>
      <protection locked="0"/>
    </xf>
    <xf numFmtId="0" fontId="4" fillId="3" borderId="10" xfId="0" applyFont="1" applyFill="1" applyBorder="1" applyAlignment="1" applyProtection="1">
      <alignment horizontal="center" vertical="center" shrinkToFit="1"/>
      <protection locked="0"/>
    </xf>
    <xf numFmtId="0" fontId="4" fillId="3" borderId="9" xfId="0" applyFont="1" applyFill="1" applyBorder="1" applyAlignment="1" applyProtection="1">
      <alignment horizontal="center" vertical="center" shrinkToFit="1"/>
      <protection locked="0"/>
    </xf>
    <xf numFmtId="0" fontId="4" fillId="3" borderId="11" xfId="0" applyFont="1" applyFill="1" applyBorder="1" applyAlignment="1" applyProtection="1">
      <alignment horizontal="center" vertical="center" shrinkToFit="1"/>
      <protection locked="0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 shrinkToFit="1"/>
    </xf>
    <xf numFmtId="49" fontId="4" fillId="5" borderId="3" xfId="0" applyNumberFormat="1" applyFont="1" applyFill="1" applyBorder="1" applyAlignment="1">
      <alignment horizontal="center" vertical="center" shrinkToFit="1"/>
    </xf>
    <xf numFmtId="49" fontId="4" fillId="5" borderId="4" xfId="0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 shrinkToFit="1"/>
    </xf>
    <xf numFmtId="49" fontId="4" fillId="6" borderId="3" xfId="0" applyNumberFormat="1" applyFont="1" applyFill="1" applyBorder="1" applyAlignment="1">
      <alignment horizontal="center" vertical="center" shrinkToFit="1"/>
    </xf>
    <xf numFmtId="49" fontId="4" fillId="6" borderId="4" xfId="0" applyNumberFormat="1" applyFont="1" applyFill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 applyProtection="1">
      <alignment horizontal="center" vertical="center" shrinkToFit="1"/>
      <protection locked="0"/>
    </xf>
    <xf numFmtId="0" fontId="12" fillId="0" borderId="4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shrinkToFit="1"/>
    </xf>
    <xf numFmtId="49" fontId="12" fillId="0" borderId="3" xfId="0" applyNumberFormat="1" applyFont="1" applyBorder="1" applyAlignment="1">
      <alignment horizontal="center" vertical="center" shrinkToFit="1"/>
    </xf>
    <xf numFmtId="49" fontId="12" fillId="0" borderId="4" xfId="0" applyNumberFormat="1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78" fillId="5" borderId="5" xfId="0" applyFont="1" applyFill="1" applyBorder="1" applyAlignment="1" applyProtection="1">
      <alignment horizontal="center" vertical="center" shrinkToFit="1"/>
      <protection locked="0"/>
    </xf>
    <xf numFmtId="0" fontId="78" fillId="5" borderId="6" xfId="0" applyFont="1" applyFill="1" applyBorder="1" applyAlignment="1" applyProtection="1">
      <alignment horizontal="center" vertical="center" shrinkToFit="1"/>
      <protection locked="0"/>
    </xf>
    <xf numFmtId="0" fontId="4" fillId="0" borderId="3" xfId="0" applyFont="1" applyBorder="1" applyAlignment="1">
      <alignment horizontal="center" vertical="center" shrinkToFit="1"/>
    </xf>
    <xf numFmtId="0" fontId="78" fillId="3" borderId="5" xfId="0" applyFont="1" applyFill="1" applyBorder="1" applyAlignment="1" applyProtection="1">
      <alignment horizontal="center" vertical="center" shrinkToFit="1"/>
      <protection locked="0"/>
    </xf>
    <xf numFmtId="0" fontId="78" fillId="3" borderId="6" xfId="0" applyFont="1" applyFill="1" applyBorder="1" applyAlignment="1" applyProtection="1">
      <alignment horizontal="center" vertical="center" shrinkToFit="1"/>
      <protection locked="0"/>
    </xf>
    <xf numFmtId="0" fontId="21" fillId="0" borderId="5" xfId="0" applyFont="1" applyBorder="1" applyAlignment="1" applyProtection="1">
      <alignment horizontal="center" vertical="center" shrinkToFit="1"/>
      <protection locked="0"/>
    </xf>
    <xf numFmtId="0" fontId="21" fillId="0" borderId="6" xfId="0" applyFont="1" applyBorder="1" applyAlignment="1" applyProtection="1">
      <alignment horizontal="center" vertical="center" shrinkToFit="1"/>
      <protection locked="0"/>
    </xf>
    <xf numFmtId="0" fontId="21" fillId="3" borderId="7" xfId="0" applyFont="1" applyFill="1" applyBorder="1" applyAlignment="1" applyProtection="1">
      <alignment horizontal="center" vertical="center" shrinkToFit="1"/>
      <protection locked="0"/>
    </xf>
    <xf numFmtId="0" fontId="21" fillId="3" borderId="10" xfId="0" applyFont="1" applyFill="1" applyBorder="1" applyAlignment="1" applyProtection="1">
      <alignment horizontal="center" vertical="center" shrinkToFit="1"/>
      <protection locked="0"/>
    </xf>
    <xf numFmtId="0" fontId="21" fillId="3" borderId="9" xfId="0" applyFont="1" applyFill="1" applyBorder="1" applyAlignment="1" applyProtection="1">
      <alignment horizontal="center" vertical="center" shrinkToFit="1"/>
      <protection locked="0"/>
    </xf>
    <xf numFmtId="0" fontId="21" fillId="3" borderId="11" xfId="0" applyFont="1" applyFill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/>
    </xf>
    <xf numFmtId="0" fontId="9" fillId="5" borderId="5" xfId="0" applyFont="1" applyFill="1" applyBorder="1" applyAlignment="1" applyProtection="1">
      <alignment horizontal="center" vertical="center" shrinkToFit="1"/>
      <protection locked="0"/>
    </xf>
    <xf numFmtId="0" fontId="9" fillId="5" borderId="6" xfId="0" applyFont="1" applyFill="1" applyBorder="1" applyAlignment="1" applyProtection="1">
      <alignment horizontal="center" vertical="center" shrinkToFit="1"/>
      <protection locked="0"/>
    </xf>
    <xf numFmtId="1" fontId="6" fillId="0" borderId="1" xfId="0" applyNumberFormat="1" applyFont="1" applyBorder="1" applyAlignment="1">
      <alignment horizontal="center" vertical="center" shrinkToFit="1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shrinkToFit="1"/>
    </xf>
    <xf numFmtId="0" fontId="16" fillId="6" borderId="2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 readingOrder="1"/>
    </xf>
    <xf numFmtId="0" fontId="6" fillId="0" borderId="1" xfId="5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shrinkToFit="1"/>
    </xf>
    <xf numFmtId="0" fontId="6" fillId="0" borderId="1" xfId="2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 shrinkToFit="1"/>
    </xf>
    <xf numFmtId="0" fontId="6" fillId="0" borderId="1" xfId="3" applyFont="1" applyBorder="1" applyAlignment="1">
      <alignment horizontal="center" vertical="center" shrinkToFit="1"/>
    </xf>
    <xf numFmtId="0" fontId="6" fillId="0" borderId="1" xfId="4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1" fontId="6" fillId="0" borderId="1" xfId="0" applyNumberFormat="1" applyFont="1" applyBorder="1" applyAlignment="1">
      <alignment horizontal="center" vertical="center" wrapText="1" shrinkToFit="1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shrinkToFit="1"/>
      <protection locked="0"/>
    </xf>
    <xf numFmtId="49" fontId="4" fillId="0" borderId="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center" shrinkToFit="1"/>
      <protection locked="0"/>
    </xf>
    <xf numFmtId="0" fontId="12" fillId="3" borderId="6" xfId="0" applyFont="1" applyFill="1" applyBorder="1" applyAlignment="1" applyProtection="1">
      <alignment horizontal="center" vertical="center" shrinkToFit="1"/>
      <protection locked="0"/>
    </xf>
    <xf numFmtId="0" fontId="6" fillId="6" borderId="4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49" fontId="6" fillId="6" borderId="2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shrinkToFit="1"/>
    </xf>
    <xf numFmtId="0" fontId="7" fillId="4" borderId="3" xfId="0" applyFont="1" applyFill="1" applyBorder="1" applyAlignment="1">
      <alignment horizontal="center" vertical="center" shrinkToFit="1"/>
    </xf>
    <xf numFmtId="0" fontId="7" fillId="4" borderId="4" xfId="0" applyFont="1" applyFill="1" applyBorder="1" applyAlignment="1">
      <alignment horizontal="center" vertical="center" shrinkToFit="1"/>
    </xf>
    <xf numFmtId="1" fontId="6" fillId="6" borderId="2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" fontId="6" fillId="6" borderId="4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shrinkToFit="1"/>
      <protection locked="0"/>
    </xf>
    <xf numFmtId="49" fontId="12" fillId="6" borderId="2" xfId="0" applyNumberFormat="1" applyFont="1" applyFill="1" applyBorder="1" applyAlignment="1">
      <alignment horizontal="center" vertical="center"/>
    </xf>
    <xf numFmtId="49" fontId="12" fillId="6" borderId="3" xfId="0" applyNumberFormat="1" applyFont="1" applyFill="1" applyBorder="1" applyAlignment="1">
      <alignment horizontal="center" vertical="center"/>
    </xf>
    <xf numFmtId="49" fontId="12" fillId="6" borderId="4" xfId="0" applyNumberFormat="1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1" fontId="12" fillId="6" borderId="2" xfId="0" applyNumberFormat="1" applyFont="1" applyFill="1" applyBorder="1" applyAlignment="1">
      <alignment horizontal="center" vertical="center"/>
    </xf>
    <xf numFmtId="1" fontId="12" fillId="6" borderId="4" xfId="0" applyNumberFormat="1" applyFont="1" applyFill="1" applyBorder="1" applyAlignment="1">
      <alignment horizontal="center" vertical="center"/>
    </xf>
    <xf numFmtId="1" fontId="12" fillId="6" borderId="3" xfId="0" applyNumberFormat="1" applyFont="1" applyFill="1" applyBorder="1" applyAlignment="1">
      <alignment horizontal="center" vertical="center"/>
    </xf>
    <xf numFmtId="1" fontId="12" fillId="6" borderId="2" xfId="0" applyNumberFormat="1" applyFont="1" applyFill="1" applyBorder="1" applyAlignment="1">
      <alignment horizontal="center" vertical="center" wrapText="1"/>
    </xf>
    <xf numFmtId="1" fontId="12" fillId="6" borderId="3" xfId="0" applyNumberFormat="1" applyFont="1" applyFill="1" applyBorder="1" applyAlignment="1">
      <alignment horizontal="center" vertical="center" wrapText="1"/>
    </xf>
    <xf numFmtId="1" fontId="12" fillId="6" borderId="4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4" xfId="0" applyFont="1" applyBorder="1" applyAlignment="1">
      <alignment horizontal="center" vertical="center" shrinkToFit="1"/>
    </xf>
    <xf numFmtId="0" fontId="12" fillId="0" borderId="2" xfId="1" applyFont="1" applyBorder="1" applyAlignment="1">
      <alignment horizontal="center" vertical="center" shrinkToFit="1"/>
    </xf>
    <xf numFmtId="0" fontId="12" fillId="0" borderId="3" xfId="1" applyFont="1" applyBorder="1" applyAlignment="1">
      <alignment horizontal="center" vertical="center" shrinkToFit="1"/>
    </xf>
    <xf numFmtId="1" fontId="12" fillId="0" borderId="2" xfId="0" applyNumberFormat="1" applyFont="1" applyBorder="1" applyAlignment="1">
      <alignment horizontal="center" vertical="top" wrapText="1"/>
    </xf>
    <xf numFmtId="1" fontId="12" fillId="0" borderId="3" xfId="0" applyNumberFormat="1" applyFont="1" applyBorder="1" applyAlignment="1">
      <alignment horizontal="center" vertical="top" wrapText="1"/>
    </xf>
    <xf numFmtId="1" fontId="12" fillId="0" borderId="4" xfId="0" applyNumberFormat="1" applyFont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1" fontId="6" fillId="6" borderId="2" xfId="0" applyNumberFormat="1" applyFont="1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shrinkToFit="1" readingOrder="2"/>
    </xf>
    <xf numFmtId="0" fontId="6" fillId="6" borderId="3" xfId="0" applyFont="1" applyFill="1" applyBorder="1" applyAlignment="1">
      <alignment horizontal="center" vertical="center" shrinkToFit="1" readingOrder="2"/>
    </xf>
    <xf numFmtId="0" fontId="6" fillId="6" borderId="4" xfId="0" applyFont="1" applyFill="1" applyBorder="1" applyAlignment="1">
      <alignment horizontal="center" vertical="center" shrinkToFit="1" readingOrder="2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49" fontId="12" fillId="6" borderId="5" xfId="0" applyNumberFormat="1" applyFont="1" applyFill="1" applyBorder="1" applyAlignment="1">
      <alignment horizontal="center" vertical="center"/>
    </xf>
    <xf numFmtId="49" fontId="12" fillId="6" borderId="12" xfId="0" applyNumberFormat="1" applyFont="1" applyFill="1" applyBorder="1" applyAlignment="1">
      <alignment horizontal="center" vertical="center"/>
    </xf>
    <xf numFmtId="49" fontId="12" fillId="6" borderId="6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0" borderId="2" xfId="4" applyFont="1" applyBorder="1" applyAlignment="1">
      <alignment horizontal="center" vertical="center" shrinkToFit="1"/>
    </xf>
    <xf numFmtId="0" fontId="12" fillId="0" borderId="4" xfId="4" applyFont="1" applyBorder="1" applyAlignment="1">
      <alignment horizontal="center" vertical="center" shrinkToFit="1"/>
    </xf>
    <xf numFmtId="0" fontId="12" fillId="0" borderId="2" xfId="5" applyFont="1" applyBorder="1" applyAlignment="1">
      <alignment horizontal="center" vertical="center" shrinkToFit="1"/>
    </xf>
    <xf numFmtId="0" fontId="12" fillId="0" borderId="4" xfId="5" applyFont="1" applyBorder="1" applyAlignment="1">
      <alignment horizontal="center" vertical="center" shrinkToFit="1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 applyProtection="1">
      <alignment horizontal="center" vertical="center" shrinkToFit="1"/>
      <protection locked="0"/>
    </xf>
    <xf numFmtId="0" fontId="12" fillId="5" borderId="6" xfId="0" applyFont="1" applyFill="1" applyBorder="1" applyAlignment="1" applyProtection="1">
      <alignment horizontal="center" vertical="center" shrinkToFit="1"/>
      <protection locked="0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180"/>
    </xf>
    <xf numFmtId="49" fontId="12" fillId="0" borderId="1" xfId="0" applyNumberFormat="1" applyFont="1" applyBorder="1" applyAlignment="1">
      <alignment horizontal="center" vertical="center" readingOrder="2"/>
    </xf>
    <xf numFmtId="49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0" fontId="12" fillId="4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horizontal="center" vertical="center" shrinkToFit="1"/>
    </xf>
    <xf numFmtId="0" fontId="49" fillId="21" borderId="5" xfId="0" applyFont="1" applyFill="1" applyBorder="1" applyAlignment="1">
      <alignment horizontal="center" vertical="center"/>
    </xf>
    <xf numFmtId="0" fontId="49" fillId="21" borderId="6" xfId="0" applyFont="1" applyFill="1" applyBorder="1" applyAlignment="1">
      <alignment horizontal="center" vertical="center"/>
    </xf>
    <xf numFmtId="0" fontId="49" fillId="21" borderId="5" xfId="0" applyFont="1" applyFill="1" applyBorder="1" applyAlignment="1">
      <alignment horizontal="center"/>
    </xf>
    <xf numFmtId="0" fontId="49" fillId="21" borderId="6" xfId="0" applyFont="1" applyFill="1" applyBorder="1" applyAlignment="1">
      <alignment horizontal="center"/>
    </xf>
    <xf numFmtId="0" fontId="0" fillId="6" borderId="2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41" fillId="3" borderId="8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9" fillId="21" borderId="8" xfId="9" applyFont="1" applyFill="1" applyBorder="1" applyAlignment="1">
      <alignment horizontal="center" vertical="center"/>
    </xf>
    <xf numFmtId="0" fontId="49" fillId="21" borderId="0" xfId="9" applyFont="1" applyFill="1" applyAlignment="1">
      <alignment horizontal="center" vertical="center"/>
    </xf>
    <xf numFmtId="3" fontId="47" fillId="6" borderId="5" xfId="9" applyNumberFormat="1" applyFont="1" applyFill="1" applyBorder="1" applyAlignment="1">
      <alignment horizontal="center" vertical="center"/>
    </xf>
    <xf numFmtId="3" fontId="47" fillId="6" borderId="6" xfId="9" applyNumberFormat="1" applyFont="1" applyFill="1" applyBorder="1" applyAlignment="1">
      <alignment horizontal="center" vertical="center"/>
    </xf>
    <xf numFmtId="3" fontId="47" fillId="4" borderId="5" xfId="9" applyNumberFormat="1" applyFont="1" applyFill="1" applyBorder="1" applyAlignment="1">
      <alignment horizontal="center" vertical="center"/>
    </xf>
    <xf numFmtId="3" fontId="47" fillId="4" borderId="6" xfId="9" applyNumberFormat="1" applyFont="1" applyFill="1" applyBorder="1" applyAlignment="1">
      <alignment horizontal="center" vertical="center"/>
    </xf>
    <xf numFmtId="0" fontId="49" fillId="21" borderId="5" xfId="9" applyFont="1" applyFill="1" applyBorder="1" applyAlignment="1">
      <alignment horizontal="center" vertical="center"/>
    </xf>
    <xf numFmtId="0" fontId="49" fillId="21" borderId="12" xfId="9" applyFont="1" applyFill="1" applyBorder="1" applyAlignment="1">
      <alignment horizontal="center" vertical="center"/>
    </xf>
    <xf numFmtId="0" fontId="49" fillId="21" borderId="6" xfId="9" applyFont="1" applyFill="1" applyBorder="1" applyAlignment="1">
      <alignment horizontal="center" vertical="center"/>
    </xf>
    <xf numFmtId="3" fontId="47" fillId="6" borderId="1" xfId="9" applyNumberFormat="1" applyFont="1" applyFill="1" applyBorder="1" applyAlignment="1">
      <alignment horizontal="center" vertical="center"/>
    </xf>
    <xf numFmtId="0" fontId="117" fillId="21" borderId="1" xfId="0" applyFont="1" applyFill="1" applyBorder="1" applyAlignment="1">
      <alignment horizontal="center" vertical="center"/>
    </xf>
    <xf numFmtId="0" fontId="114" fillId="0" borderId="2" xfId="0" applyFont="1" applyBorder="1" applyAlignment="1">
      <alignment horizontal="center" vertical="center"/>
    </xf>
    <xf numFmtId="0" fontId="114" fillId="0" borderId="3" xfId="0" applyFont="1" applyBorder="1" applyAlignment="1">
      <alignment horizontal="center" vertical="center"/>
    </xf>
    <xf numFmtId="0" fontId="37" fillId="10" borderId="1" xfId="0" applyFont="1" applyFill="1" applyBorder="1" applyAlignment="1">
      <alignment horizontal="right" vertical="center"/>
    </xf>
    <xf numFmtId="0" fontId="114" fillId="6" borderId="45" xfId="0" applyFont="1" applyFill="1" applyBorder="1" applyAlignment="1">
      <alignment horizontal="center" vertical="center"/>
    </xf>
    <xf numFmtId="0" fontId="114" fillId="6" borderId="1" xfId="0" applyFont="1" applyFill="1" applyBorder="1" applyAlignment="1">
      <alignment horizontal="center" vertical="center"/>
    </xf>
    <xf numFmtId="0" fontId="114" fillId="6" borderId="49" xfId="0" applyFont="1" applyFill="1" applyBorder="1" applyAlignment="1">
      <alignment horizontal="center" vertical="center"/>
    </xf>
    <xf numFmtId="0" fontId="114" fillId="6" borderId="3" xfId="0" applyFont="1" applyFill="1" applyBorder="1" applyAlignment="1">
      <alignment horizontal="center" vertical="center"/>
    </xf>
    <xf numFmtId="0" fontId="114" fillId="6" borderId="51" xfId="0" applyFont="1" applyFill="1" applyBorder="1" applyAlignment="1">
      <alignment horizontal="center" vertical="center"/>
    </xf>
    <xf numFmtId="0" fontId="114" fillId="6" borderId="4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right"/>
    </xf>
    <xf numFmtId="0" fontId="114" fillId="0" borderId="4" xfId="0" applyFont="1" applyBorder="1" applyAlignment="1">
      <alignment horizontal="center" vertical="center"/>
    </xf>
    <xf numFmtId="49" fontId="114" fillId="0" borderId="2" xfId="0" applyNumberFormat="1" applyFont="1" applyBorder="1" applyAlignment="1">
      <alignment horizontal="center" vertical="center"/>
    </xf>
    <xf numFmtId="49" fontId="114" fillId="0" borderId="3" xfId="0" applyNumberFormat="1" applyFont="1" applyBorder="1" applyAlignment="1">
      <alignment horizontal="center" vertical="center"/>
    </xf>
    <xf numFmtId="49" fontId="114" fillId="0" borderId="4" xfId="0" applyNumberFormat="1" applyFont="1" applyBorder="1" applyAlignment="1">
      <alignment horizontal="center" vertical="center"/>
    </xf>
    <xf numFmtId="0" fontId="68" fillId="3" borderId="8" xfId="0" applyFont="1" applyFill="1" applyBorder="1" applyAlignment="1">
      <alignment horizontal="center" vertical="center"/>
    </xf>
    <xf numFmtId="0" fontId="68" fillId="3" borderId="0" xfId="0" applyFont="1" applyFill="1" applyAlignment="1">
      <alignment horizontal="center" vertical="center"/>
    </xf>
    <xf numFmtId="0" fontId="71" fillId="21" borderId="8" xfId="9" applyFont="1" applyFill="1" applyBorder="1" applyAlignment="1">
      <alignment horizontal="center" vertical="center"/>
    </xf>
    <xf numFmtId="0" fontId="71" fillId="21" borderId="0" xfId="9" applyFont="1" applyFill="1" applyAlignment="1">
      <alignment horizontal="center" vertical="center"/>
    </xf>
    <xf numFmtId="0" fontId="71" fillId="21" borderId="1" xfId="9" applyFont="1" applyFill="1" applyBorder="1" applyAlignment="1">
      <alignment horizontal="center" vertical="center"/>
    </xf>
    <xf numFmtId="3" fontId="81" fillId="6" borderId="5" xfId="9" applyNumberFormat="1" applyFont="1" applyFill="1" applyBorder="1" applyAlignment="1">
      <alignment horizontal="center" vertical="center"/>
    </xf>
    <xf numFmtId="3" fontId="81" fillId="6" borderId="6" xfId="9" applyNumberFormat="1" applyFont="1" applyFill="1" applyBorder="1" applyAlignment="1">
      <alignment horizontal="center" vertical="center"/>
    </xf>
    <xf numFmtId="0" fontId="71" fillId="21" borderId="5" xfId="9" applyFont="1" applyFill="1" applyBorder="1" applyAlignment="1">
      <alignment horizontal="center" vertical="center"/>
    </xf>
    <xf numFmtId="0" fontId="71" fillId="21" borderId="12" xfId="9" applyFont="1" applyFill="1" applyBorder="1" applyAlignment="1">
      <alignment horizontal="center" vertical="center"/>
    </xf>
    <xf numFmtId="0" fontId="71" fillId="21" borderId="6" xfId="9" applyFont="1" applyFill="1" applyBorder="1" applyAlignment="1">
      <alignment horizontal="center" vertical="center"/>
    </xf>
    <xf numFmtId="3" fontId="47" fillId="4" borderId="7" xfId="9" applyNumberFormat="1" applyFont="1" applyFill="1" applyBorder="1" applyAlignment="1">
      <alignment horizontal="center" vertical="center"/>
    </xf>
    <xf numFmtId="3" fontId="47" fillId="4" borderId="10" xfId="9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textRotation="180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 wrapText="1" readingOrder="2"/>
    </xf>
    <xf numFmtId="0" fontId="5" fillId="16" borderId="12" xfId="0" applyFont="1" applyFill="1" applyBorder="1" applyAlignment="1">
      <alignment horizontal="center" vertical="center" wrapText="1" readingOrder="2"/>
    </xf>
    <xf numFmtId="0" fontId="5" fillId="16" borderId="6" xfId="0" applyFont="1" applyFill="1" applyBorder="1" applyAlignment="1">
      <alignment horizontal="center" vertical="center" wrapText="1" readingOrder="2"/>
    </xf>
    <xf numFmtId="0" fontId="4" fillId="16" borderId="5" xfId="0" applyFont="1" applyFill="1" applyBorder="1" applyAlignment="1">
      <alignment horizontal="center" vertical="center" readingOrder="2"/>
    </xf>
    <xf numFmtId="0" fontId="4" fillId="16" borderId="6" xfId="0" applyFont="1" applyFill="1" applyBorder="1" applyAlignment="1">
      <alignment horizontal="center" vertical="center" readingOrder="2"/>
    </xf>
    <xf numFmtId="0" fontId="32" fillId="5" borderId="0" xfId="0" applyFont="1" applyFill="1" applyAlignment="1">
      <alignment horizontal="center" vertical="center"/>
    </xf>
    <xf numFmtId="0" fontId="31" fillId="10" borderId="1" xfId="0" applyFont="1" applyFill="1" applyBorder="1" applyAlignment="1">
      <alignment horizontal="center" vertical="center" wrapText="1" readingOrder="2"/>
    </xf>
    <xf numFmtId="0" fontId="31" fillId="16" borderId="1" xfId="0" applyFont="1" applyFill="1" applyBorder="1" applyAlignment="1">
      <alignment horizontal="center" vertical="center" wrapText="1" readingOrder="2"/>
    </xf>
    <xf numFmtId="0" fontId="5" fillId="16" borderId="1" xfId="0" applyFont="1" applyFill="1" applyBorder="1" applyAlignment="1">
      <alignment horizontal="center" vertical="center" wrapText="1" readingOrder="2"/>
    </xf>
    <xf numFmtId="0" fontId="33" fillId="17" borderId="5" xfId="0" applyFont="1" applyFill="1" applyBorder="1" applyAlignment="1">
      <alignment horizontal="center" vertical="center" wrapText="1" readingOrder="2"/>
    </xf>
    <xf numFmtId="0" fontId="33" fillId="17" borderId="12" xfId="0" applyFont="1" applyFill="1" applyBorder="1" applyAlignment="1">
      <alignment horizontal="center" vertical="center" wrapText="1" readingOrder="2"/>
    </xf>
    <xf numFmtId="0" fontId="33" fillId="17" borderId="1" xfId="0" applyFont="1" applyFill="1" applyBorder="1" applyAlignment="1">
      <alignment horizontal="center" vertical="center" wrapText="1" readingOrder="2"/>
    </xf>
    <xf numFmtId="0" fontId="25" fillId="6" borderId="2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6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1" fillId="6" borderId="1" xfId="0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49" fontId="5" fillId="0" borderId="7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84" fillId="6" borderId="2" xfId="0" applyFont="1" applyFill="1" applyBorder="1" applyAlignment="1">
      <alignment horizontal="center" vertical="center"/>
    </xf>
    <xf numFmtId="0" fontId="84" fillId="6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 shrinkToFit="1"/>
    </xf>
    <xf numFmtId="0" fontId="7" fillId="0" borderId="6" xfId="0" applyFont="1" applyBorder="1" applyAlignment="1">
      <alignment horizontal="center" vertical="center" shrinkToFit="1"/>
    </xf>
    <xf numFmtId="0" fontId="7" fillId="6" borderId="6" xfId="0" applyFont="1" applyFill="1" applyBorder="1" applyAlignment="1">
      <alignment horizontal="center" vertical="center" shrinkToFit="1"/>
    </xf>
    <xf numFmtId="0" fontId="7" fillId="0" borderId="1" xfId="5" applyFont="1" applyBorder="1" applyAlignment="1">
      <alignment horizontal="center" vertical="center" shrinkToFit="1"/>
    </xf>
    <xf numFmtId="0" fontId="7" fillId="0" borderId="6" xfId="5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 shrinkToFit="1"/>
    </xf>
    <xf numFmtId="0" fontId="7" fillId="6" borderId="6" xfId="3" applyFont="1" applyFill="1" applyBorder="1" applyAlignment="1">
      <alignment horizontal="center" vertical="center" shrinkToFit="1"/>
    </xf>
    <xf numFmtId="0" fontId="84" fillId="0" borderId="1" xfId="0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 shrinkToFit="1"/>
    </xf>
    <xf numFmtId="0" fontId="24" fillId="4" borderId="5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 shrinkToFit="1"/>
    </xf>
    <xf numFmtId="0" fontId="24" fillId="0" borderId="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shrinkToFit="1"/>
    </xf>
    <xf numFmtId="49" fontId="24" fillId="0" borderId="3" xfId="0" applyNumberFormat="1" applyFont="1" applyBorder="1" applyAlignment="1">
      <alignment horizontal="center" vertical="center" shrinkToFit="1"/>
    </xf>
    <xf numFmtId="49" fontId="24" fillId="0" borderId="4" xfId="0" applyNumberFormat="1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 shrinkToFit="1"/>
      <protection locked="0"/>
    </xf>
    <xf numFmtId="0" fontId="7" fillId="0" borderId="4" xfId="0" applyFont="1" applyBorder="1" applyAlignment="1" applyProtection="1">
      <alignment horizontal="center" vertical="center" shrinkToFit="1"/>
      <protection locked="0"/>
    </xf>
    <xf numFmtId="0" fontId="7" fillId="0" borderId="2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 shrinkToFit="1"/>
    </xf>
    <xf numFmtId="0" fontId="7" fillId="0" borderId="2" xfId="4" applyFont="1" applyBorder="1" applyAlignment="1">
      <alignment horizontal="center" vertical="center" shrinkToFit="1"/>
    </xf>
    <xf numFmtId="0" fontId="7" fillId="0" borderId="3" xfId="4" applyFont="1" applyBorder="1" applyAlignment="1">
      <alignment horizontal="center" vertical="center" shrinkToFit="1"/>
    </xf>
    <xf numFmtId="0" fontId="7" fillId="0" borderId="4" xfId="4" applyFont="1" applyBorder="1" applyAlignment="1">
      <alignment horizontal="center" vertical="center" shrinkToFit="1"/>
    </xf>
    <xf numFmtId="0" fontId="7" fillId="0" borderId="2" xfId="3" applyFont="1" applyBorder="1" applyAlignment="1">
      <alignment horizontal="center" vertical="center" shrinkToFit="1"/>
    </xf>
    <xf numFmtId="0" fontId="7" fillId="0" borderId="3" xfId="3" applyFont="1" applyBorder="1" applyAlignment="1">
      <alignment horizontal="center" vertical="center" shrinkToFit="1"/>
    </xf>
    <xf numFmtId="0" fontId="7" fillId="0" borderId="4" xfId="3" applyFont="1" applyBorder="1" applyAlignment="1">
      <alignment horizontal="center" vertical="center" shrinkToFit="1"/>
    </xf>
    <xf numFmtId="0" fontId="7" fillId="5" borderId="3" xfId="0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 vertical="center" shrinkToFit="1"/>
    </xf>
    <xf numFmtId="0" fontId="7" fillId="0" borderId="3" xfId="2" applyFont="1" applyBorder="1" applyAlignment="1">
      <alignment horizontal="center" vertical="center" shrinkToFit="1"/>
    </xf>
    <xf numFmtId="0" fontId="7" fillId="0" borderId="4" xfId="2" applyFont="1" applyBorder="1" applyAlignment="1">
      <alignment horizontal="center" vertical="center" shrinkToFit="1"/>
    </xf>
    <xf numFmtId="0" fontId="83" fillId="0" borderId="2" xfId="0" applyFont="1" applyBorder="1" applyAlignment="1">
      <alignment horizontal="center" vertical="center"/>
    </xf>
    <xf numFmtId="0" fontId="83" fillId="0" borderId="3" xfId="0" applyFont="1" applyBorder="1" applyAlignment="1">
      <alignment horizontal="center" vertical="center"/>
    </xf>
    <xf numFmtId="0" fontId="83" fillId="0" borderId="4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shrinkToFit="1"/>
    </xf>
    <xf numFmtId="164" fontId="7" fillId="0" borderId="3" xfId="0" applyNumberFormat="1" applyFont="1" applyBorder="1" applyAlignment="1">
      <alignment horizontal="center" vertical="center" shrinkToFit="1"/>
    </xf>
    <xf numFmtId="164" fontId="7" fillId="0" borderId="4" xfId="0" applyNumberFormat="1" applyFont="1" applyBorder="1" applyAlignment="1">
      <alignment horizontal="center" vertical="center" shrinkToFit="1"/>
    </xf>
    <xf numFmtId="164" fontId="7" fillId="0" borderId="2" xfId="2" applyNumberFormat="1" applyFont="1" applyBorder="1" applyAlignment="1">
      <alignment horizontal="center" vertical="center" shrinkToFit="1"/>
    </xf>
    <xf numFmtId="164" fontId="7" fillId="0" borderId="3" xfId="2" applyNumberFormat="1" applyFont="1" applyBorder="1" applyAlignment="1">
      <alignment horizontal="center" vertical="center" shrinkToFit="1"/>
    </xf>
    <xf numFmtId="0" fontId="12" fillId="0" borderId="4" xfId="1" applyFont="1" applyBorder="1" applyAlignment="1">
      <alignment horizontal="center" vertical="center" shrinkToFit="1"/>
    </xf>
    <xf numFmtId="0" fontId="6" fillId="6" borderId="2" xfId="4" applyFont="1" applyFill="1" applyBorder="1" applyAlignment="1">
      <alignment horizontal="center" vertical="center" shrinkToFit="1"/>
    </xf>
    <xf numFmtId="0" fontId="6" fillId="6" borderId="3" xfId="4" applyFont="1" applyFill="1" applyBorder="1" applyAlignment="1">
      <alignment horizontal="center" vertical="center" shrinkToFit="1"/>
    </xf>
    <xf numFmtId="0" fontId="6" fillId="6" borderId="4" xfId="4" applyFont="1" applyFill="1" applyBorder="1" applyAlignment="1">
      <alignment horizontal="center" vertical="center" shrinkToFit="1"/>
    </xf>
    <xf numFmtId="0" fontId="0" fillId="6" borderId="3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6" fillId="6" borderId="3" xfId="0" applyFont="1" applyFill="1" applyBorder="1" applyAlignment="1">
      <alignment horizontal="center" vertical="center"/>
    </xf>
    <xf numFmtId="3" fontId="49" fillId="21" borderId="5" xfId="9" applyNumberFormat="1" applyFont="1" applyFill="1" applyBorder="1" applyAlignment="1">
      <alignment horizontal="center" vertical="center"/>
    </xf>
    <xf numFmtId="3" fontId="49" fillId="21" borderId="6" xfId="9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 applyProtection="1">
      <alignment horizontal="center" vertical="center" shrinkToFit="1"/>
      <protection locked="0"/>
    </xf>
    <xf numFmtId="0" fontId="25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shrinkToFit="1"/>
    </xf>
    <xf numFmtId="1" fontId="12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 applyProtection="1">
      <alignment horizontal="center" vertical="center" shrinkToFit="1"/>
      <protection locked="0"/>
    </xf>
    <xf numFmtId="0" fontId="12" fillId="6" borderId="1" xfId="0" applyFont="1" applyFill="1" applyBorder="1" applyAlignment="1">
      <alignment horizontal="center" vertical="center" wrapText="1" shrinkToFit="1"/>
    </xf>
    <xf numFmtId="49" fontId="12" fillId="6" borderId="1" xfId="0" applyNumberFormat="1" applyFont="1" applyFill="1" applyBorder="1" applyAlignment="1">
      <alignment horizontal="center" vertical="center" shrinkToFit="1"/>
    </xf>
    <xf numFmtId="0" fontId="99" fillId="0" borderId="42" xfId="11" applyFont="1" applyBorder="1" applyAlignment="1">
      <alignment horizontal="center" vertical="center" wrapText="1"/>
    </xf>
    <xf numFmtId="0" fontId="99" fillId="0" borderId="43" xfId="11" applyFont="1" applyBorder="1" applyAlignment="1">
      <alignment horizontal="center" vertical="center" wrapText="1"/>
    </xf>
    <xf numFmtId="0" fontId="99" fillId="0" borderId="42" xfId="11" applyFont="1" applyBorder="1" applyAlignment="1">
      <alignment horizontal="center" vertical="center"/>
    </xf>
    <xf numFmtId="0" fontId="99" fillId="0" borderId="43" xfId="11" applyFont="1" applyBorder="1" applyAlignment="1">
      <alignment horizontal="center" vertical="center"/>
    </xf>
    <xf numFmtId="0" fontId="99" fillId="0" borderId="42" xfId="11" applyFont="1" applyBorder="1" applyAlignment="1">
      <alignment vertical="center" wrapText="1" readingOrder="2"/>
    </xf>
    <xf numFmtId="0" fontId="99" fillId="0" borderId="43" xfId="11" applyFont="1" applyBorder="1" applyAlignment="1">
      <alignment vertical="center" wrapText="1" readingOrder="2"/>
    </xf>
    <xf numFmtId="0" fontId="95" fillId="0" borderId="42" xfId="11" applyFont="1" applyBorder="1" applyAlignment="1">
      <alignment horizontal="right" vertical="center"/>
    </xf>
    <xf numFmtId="0" fontId="95" fillId="0" borderId="43" xfId="11" applyFont="1" applyBorder="1" applyAlignment="1">
      <alignment horizontal="right" vertical="center"/>
    </xf>
    <xf numFmtId="0" fontId="94" fillId="0" borderId="42" xfId="11" applyFont="1" applyBorder="1" applyAlignment="1">
      <alignment horizontal="center" vertical="center"/>
    </xf>
    <xf numFmtId="0" fontId="94" fillId="0" borderId="43" xfId="11" applyFont="1" applyBorder="1" applyAlignment="1">
      <alignment horizontal="center" vertical="center"/>
    </xf>
    <xf numFmtId="3" fontId="96" fillId="33" borderId="42" xfId="11" applyNumberFormat="1" applyFont="1" applyFill="1" applyBorder="1" applyAlignment="1">
      <alignment horizontal="right" vertical="center"/>
    </xf>
    <xf numFmtId="3" fontId="96" fillId="33" borderId="43" xfId="11" applyNumberFormat="1" applyFont="1" applyFill="1" applyBorder="1" applyAlignment="1">
      <alignment horizontal="right" vertical="center"/>
    </xf>
    <xf numFmtId="3" fontId="94" fillId="0" borderId="42" xfId="11" applyNumberFormat="1" applyFont="1" applyBorder="1" applyAlignment="1">
      <alignment horizontal="right" vertical="center"/>
    </xf>
    <xf numFmtId="3" fontId="94" fillId="0" borderId="43" xfId="11" applyNumberFormat="1" applyFont="1" applyBorder="1" applyAlignment="1">
      <alignment horizontal="right" vertical="center"/>
    </xf>
    <xf numFmtId="3" fontId="96" fillId="0" borderId="42" xfId="11" applyNumberFormat="1" applyFont="1" applyBorder="1" applyAlignment="1">
      <alignment horizontal="right" vertical="center"/>
    </xf>
    <xf numFmtId="3" fontId="96" fillId="0" borderId="43" xfId="11" applyNumberFormat="1" applyFont="1" applyBorder="1" applyAlignment="1">
      <alignment horizontal="right" vertical="center"/>
    </xf>
    <xf numFmtId="0" fontId="94" fillId="0" borderId="42" xfId="11" applyFont="1" applyBorder="1" applyAlignment="1">
      <alignment horizontal="center" vertical="center" wrapText="1"/>
    </xf>
    <xf numFmtId="0" fontId="94" fillId="0" borderId="43" xfId="11" applyFont="1" applyBorder="1" applyAlignment="1">
      <alignment horizontal="center" vertical="center" wrapText="1"/>
    </xf>
    <xf numFmtId="0" fontId="96" fillId="0" borderId="42" xfId="11" applyFont="1" applyBorder="1" applyAlignment="1">
      <alignment vertical="center" wrapText="1" readingOrder="2"/>
    </xf>
    <xf numFmtId="0" fontId="96" fillId="0" borderId="43" xfId="11" applyFont="1" applyBorder="1" applyAlignment="1">
      <alignment vertical="center" wrapText="1" readingOrder="2"/>
    </xf>
    <xf numFmtId="0" fontId="94" fillId="0" borderId="42" xfId="11" applyFont="1" applyBorder="1" applyAlignment="1">
      <alignment vertical="center" wrapText="1" readingOrder="2"/>
    </xf>
    <xf numFmtId="0" fontId="94" fillId="0" borderId="43" xfId="11" applyFont="1" applyBorder="1" applyAlignment="1">
      <alignment vertical="center" wrapText="1" readingOrder="2"/>
    </xf>
    <xf numFmtId="0" fontId="99" fillId="0" borderId="42" xfId="11" applyFont="1" applyBorder="1" applyAlignment="1">
      <alignment horizontal="center" vertical="center" wrapText="1" readingOrder="2"/>
    </xf>
    <xf numFmtId="0" fontId="99" fillId="0" borderId="43" xfId="11" applyFont="1" applyBorder="1" applyAlignment="1">
      <alignment horizontal="center" vertical="center" wrapText="1" readingOrder="2"/>
    </xf>
    <xf numFmtId="0" fontId="96" fillId="0" borderId="42" xfId="11" applyFont="1" applyBorder="1" applyAlignment="1">
      <alignment horizontal="center" vertical="center"/>
    </xf>
    <xf numFmtId="0" fontId="96" fillId="0" borderId="43" xfId="11" applyFont="1" applyBorder="1" applyAlignment="1">
      <alignment horizontal="center" vertical="center"/>
    </xf>
    <xf numFmtId="0" fontId="98" fillId="0" borderId="42" xfId="11" applyFont="1" applyBorder="1" applyAlignment="1">
      <alignment horizontal="center" vertical="center"/>
    </xf>
    <xf numFmtId="0" fontId="98" fillId="0" borderId="43" xfId="11" applyFont="1" applyBorder="1" applyAlignment="1">
      <alignment horizontal="center" vertical="center"/>
    </xf>
    <xf numFmtId="0" fontId="96" fillId="0" borderId="42" xfId="11" applyFont="1" applyBorder="1" applyAlignment="1">
      <alignment horizontal="center" vertical="center" wrapText="1" readingOrder="2"/>
    </xf>
    <xf numFmtId="0" fontId="96" fillId="0" borderId="43" xfId="11" applyFont="1" applyBorder="1" applyAlignment="1">
      <alignment horizontal="center" vertical="center" wrapText="1" readingOrder="2"/>
    </xf>
    <xf numFmtId="0" fontId="92" fillId="0" borderId="36" xfId="11" applyFont="1" applyBorder="1" applyAlignment="1">
      <alignment vertical="center"/>
    </xf>
    <xf numFmtId="0" fontId="92" fillId="0" borderId="39" xfId="11" applyFont="1" applyBorder="1" applyAlignment="1">
      <alignment vertical="center"/>
    </xf>
    <xf numFmtId="0" fontId="93" fillId="31" borderId="37" xfId="11" applyFont="1" applyFill="1" applyBorder="1" applyAlignment="1">
      <alignment horizontal="center" vertical="center" wrapText="1" readingOrder="2"/>
    </xf>
    <xf numFmtId="0" fontId="93" fillId="31" borderId="38" xfId="11" applyFont="1" applyFill="1" applyBorder="1" applyAlignment="1">
      <alignment horizontal="center" vertical="center" wrapText="1" readingOrder="2"/>
    </xf>
    <xf numFmtId="0" fontId="94" fillId="31" borderId="40" xfId="11" applyFont="1" applyFill="1" applyBorder="1" applyAlignment="1">
      <alignment vertical="center" readingOrder="2"/>
    </xf>
    <xf numFmtId="0" fontId="94" fillId="31" borderId="41" xfId="11" applyFont="1" applyFill="1" applyBorder="1" applyAlignment="1">
      <alignment vertical="center" readingOrder="2"/>
    </xf>
    <xf numFmtId="0" fontId="89" fillId="27" borderId="2" xfId="0" applyFont="1" applyFill="1" applyBorder="1" applyAlignment="1">
      <alignment horizontal="center" vertical="center"/>
    </xf>
    <xf numFmtId="0" fontId="89" fillId="27" borderId="4" xfId="0" applyFont="1" applyFill="1" applyBorder="1" applyAlignment="1">
      <alignment horizontal="center" vertical="center"/>
    </xf>
    <xf numFmtId="0" fontId="89" fillId="30" borderId="2" xfId="0" applyFont="1" applyFill="1" applyBorder="1" applyAlignment="1">
      <alignment horizontal="center" vertical="center"/>
    </xf>
    <xf numFmtId="0" fontId="89" fillId="30" borderId="4" xfId="0" applyFont="1" applyFill="1" applyBorder="1" applyAlignment="1">
      <alignment horizontal="center" vertical="center"/>
    </xf>
    <xf numFmtId="0" fontId="89" fillId="27" borderId="3" xfId="0" applyFont="1" applyFill="1" applyBorder="1" applyAlignment="1">
      <alignment horizontal="center" vertical="center"/>
    </xf>
    <xf numFmtId="0" fontId="89" fillId="0" borderId="2" xfId="0" applyFont="1" applyBorder="1" applyAlignment="1">
      <alignment horizontal="center" vertical="center"/>
    </xf>
    <xf numFmtId="0" fontId="89" fillId="0" borderId="3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/>
    </xf>
    <xf numFmtId="0" fontId="89" fillId="6" borderId="2" xfId="0" applyFont="1" applyFill="1" applyBorder="1" applyAlignment="1">
      <alignment horizontal="center" vertical="center"/>
    </xf>
    <xf numFmtId="0" fontId="89" fillId="6" borderId="3" xfId="0" applyFont="1" applyFill="1" applyBorder="1" applyAlignment="1">
      <alignment horizontal="center" vertical="center"/>
    </xf>
    <xf numFmtId="0" fontId="89" fillId="6" borderId="4" xfId="0" applyFont="1" applyFill="1" applyBorder="1" applyAlignment="1">
      <alignment horizontal="center" vertical="center"/>
    </xf>
    <xf numFmtId="0" fontId="89" fillId="30" borderId="3" xfId="0" applyFont="1" applyFill="1" applyBorder="1" applyAlignment="1">
      <alignment horizontal="center" vertical="center"/>
    </xf>
    <xf numFmtId="14" fontId="89" fillId="6" borderId="2" xfId="0" applyNumberFormat="1" applyFont="1" applyFill="1" applyBorder="1" applyAlignment="1">
      <alignment horizontal="center" vertical="center"/>
    </xf>
    <xf numFmtId="14" fontId="89" fillId="6" borderId="3" xfId="0" applyNumberFormat="1" applyFont="1" applyFill="1" applyBorder="1" applyAlignment="1">
      <alignment horizontal="center" vertical="center"/>
    </xf>
    <xf numFmtId="14" fontId="89" fillId="6" borderId="4" xfId="0" applyNumberFormat="1" applyFont="1" applyFill="1" applyBorder="1" applyAlignment="1">
      <alignment horizontal="center" vertical="center"/>
    </xf>
    <xf numFmtId="14" fontId="89" fillId="27" borderId="2" xfId="0" applyNumberFormat="1" applyFont="1" applyFill="1" applyBorder="1" applyAlignment="1">
      <alignment horizontal="center" vertical="center"/>
    </xf>
    <xf numFmtId="14" fontId="89" fillId="27" borderId="4" xfId="0" applyNumberFormat="1" applyFont="1" applyFill="1" applyBorder="1" applyAlignment="1">
      <alignment horizontal="center" vertical="center"/>
    </xf>
    <xf numFmtId="0" fontId="127" fillId="6" borderId="1" xfId="10" applyFont="1" applyFill="1" applyBorder="1" applyAlignment="1">
      <alignment horizontal="center"/>
    </xf>
    <xf numFmtId="0" fontId="64" fillId="6" borderId="1" xfId="9" applyFont="1" applyFill="1" applyBorder="1" applyAlignment="1">
      <alignment horizontal="center" vertical="center"/>
    </xf>
    <xf numFmtId="0" fontId="61" fillId="14" borderId="5" xfId="9" applyFont="1" applyFill="1" applyBorder="1" applyAlignment="1">
      <alignment horizontal="center" vertical="center"/>
    </xf>
    <xf numFmtId="0" fontId="61" fillId="14" borderId="12" xfId="9" applyFont="1" applyFill="1" applyBorder="1" applyAlignment="1">
      <alignment horizontal="center" vertical="center"/>
    </xf>
    <xf numFmtId="0" fontId="61" fillId="14" borderId="6" xfId="9" applyFont="1" applyFill="1" applyBorder="1" applyAlignment="1">
      <alignment horizontal="center" vertical="center"/>
    </xf>
    <xf numFmtId="0" fontId="55" fillId="0" borderId="7" xfId="9" applyBorder="1" applyAlignment="1">
      <alignment horizontal="center"/>
    </xf>
    <xf numFmtId="0" fontId="55" fillId="0" borderId="33" xfId="9" applyBorder="1" applyAlignment="1">
      <alignment horizontal="center"/>
    </xf>
    <xf numFmtId="0" fontId="55" fillId="0" borderId="10" xfId="9" applyBorder="1" applyAlignment="1">
      <alignment horizontal="center"/>
    </xf>
    <xf numFmtId="3" fontId="47" fillId="6" borderId="0" xfId="9" applyNumberFormat="1" applyFont="1" applyFill="1" applyBorder="1" applyAlignment="1">
      <alignment horizontal="center" vertical="center"/>
    </xf>
    <xf numFmtId="0" fontId="55" fillId="0" borderId="5" xfId="9" applyBorder="1" applyAlignment="1">
      <alignment horizontal="center" vertical="center"/>
    </xf>
    <xf numFmtId="0" fontId="55" fillId="0" borderId="12" xfId="9" applyBorder="1" applyAlignment="1">
      <alignment horizontal="center" vertical="center"/>
    </xf>
    <xf numFmtId="0" fontId="55" fillId="0" borderId="6" xfId="9" applyBorder="1" applyAlignment="1">
      <alignment horizontal="center" vertical="center"/>
    </xf>
    <xf numFmtId="0" fontId="43" fillId="14" borderId="5" xfId="9" applyFont="1" applyFill="1" applyBorder="1" applyAlignment="1">
      <alignment horizontal="center" vertical="center"/>
    </xf>
    <xf numFmtId="0" fontId="43" fillId="14" borderId="12" xfId="9" applyFont="1" applyFill="1" applyBorder="1" applyAlignment="1">
      <alignment horizontal="center" vertical="center"/>
    </xf>
    <xf numFmtId="0" fontId="43" fillId="14" borderId="6" xfId="9" applyFont="1" applyFill="1" applyBorder="1" applyAlignment="1">
      <alignment horizontal="center" vertical="center"/>
    </xf>
    <xf numFmtId="0" fontId="49" fillId="6" borderId="0" xfId="9" applyFont="1" applyFill="1" applyBorder="1" applyAlignment="1">
      <alignment horizontal="center" vertical="center"/>
    </xf>
    <xf numFmtId="0" fontId="63" fillId="0" borderId="5" xfId="9" applyFont="1" applyBorder="1" applyAlignment="1">
      <alignment horizontal="center" vertical="center"/>
    </xf>
    <xf numFmtId="0" fontId="63" fillId="0" borderId="12" xfId="9" applyFont="1" applyBorder="1" applyAlignment="1">
      <alignment horizontal="center" vertical="center"/>
    </xf>
    <xf numFmtId="0" fontId="63" fillId="0" borderId="6" xfId="9" applyFont="1" applyBorder="1" applyAlignment="1">
      <alignment horizontal="center" vertical="center"/>
    </xf>
    <xf numFmtId="3" fontId="49" fillId="6" borderId="0" xfId="9" applyNumberFormat="1" applyFont="1" applyFill="1" applyBorder="1" applyAlignment="1">
      <alignment horizontal="center" vertical="center"/>
    </xf>
    <xf numFmtId="0" fontId="64" fillId="14" borderId="5" xfId="9" applyFont="1" applyFill="1" applyBorder="1" applyAlignment="1">
      <alignment horizontal="center" vertical="center"/>
    </xf>
    <xf numFmtId="0" fontId="64" fillId="14" borderId="12" xfId="9" applyFont="1" applyFill="1" applyBorder="1" applyAlignment="1">
      <alignment horizontal="center" vertical="center"/>
    </xf>
    <xf numFmtId="0" fontId="64" fillId="14" borderId="6" xfId="9" applyFont="1" applyFill="1" applyBorder="1" applyAlignment="1">
      <alignment horizontal="center" vertical="center"/>
    </xf>
    <xf numFmtId="0" fontId="126" fillId="0" borderId="2" xfId="9" applyFont="1" applyBorder="1" applyAlignment="1">
      <alignment horizontal="center" vertical="center"/>
    </xf>
    <xf numFmtId="0" fontId="126" fillId="0" borderId="4" xfId="9" applyFont="1" applyBorder="1" applyAlignment="1">
      <alignment horizontal="center" vertical="center"/>
    </xf>
    <xf numFmtId="0" fontId="41" fillId="7" borderId="5" xfId="0" applyFont="1" applyFill="1" applyBorder="1" applyAlignment="1">
      <alignment horizontal="center" vertical="center"/>
    </xf>
    <xf numFmtId="0" fontId="41" fillId="7" borderId="12" xfId="0" applyFont="1" applyFill="1" applyBorder="1" applyAlignment="1">
      <alignment horizontal="center" vertical="center"/>
    </xf>
    <xf numFmtId="0" fontId="41" fillId="7" borderId="6" xfId="0" applyFont="1" applyFill="1" applyBorder="1" applyAlignment="1">
      <alignment horizontal="center" vertical="center"/>
    </xf>
    <xf numFmtId="0" fontId="49" fillId="14" borderId="5" xfId="9" applyFont="1" applyFill="1" applyBorder="1" applyAlignment="1">
      <alignment horizontal="center" vertical="center"/>
    </xf>
    <xf numFmtId="0" fontId="49" fillId="14" borderId="12" xfId="9" applyFont="1" applyFill="1" applyBorder="1" applyAlignment="1">
      <alignment horizontal="center" vertical="center"/>
    </xf>
    <xf numFmtId="0" fontId="49" fillId="14" borderId="6" xfId="9" applyFont="1" applyFill="1" applyBorder="1" applyAlignment="1">
      <alignment horizontal="center" vertical="center"/>
    </xf>
    <xf numFmtId="3" fontId="49" fillId="14" borderId="1" xfId="9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61" fillId="20" borderId="5" xfId="9" applyFont="1" applyFill="1" applyBorder="1" applyAlignment="1">
      <alignment horizontal="center" vertical="center"/>
    </xf>
    <xf numFmtId="0" fontId="61" fillId="20" borderId="12" xfId="9" applyFont="1" applyFill="1" applyBorder="1" applyAlignment="1">
      <alignment horizontal="center" vertical="center"/>
    </xf>
    <xf numFmtId="0" fontId="61" fillId="20" borderId="6" xfId="9" applyFont="1" applyFill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readingOrder="2"/>
    </xf>
    <xf numFmtId="49" fontId="12" fillId="0" borderId="3" xfId="0" applyNumberFormat="1" applyFont="1" applyBorder="1" applyAlignment="1">
      <alignment horizontal="center" vertical="center" readingOrder="2"/>
    </xf>
    <xf numFmtId="49" fontId="12" fillId="0" borderId="4" xfId="0" applyNumberFormat="1" applyFont="1" applyBorder="1" applyAlignment="1">
      <alignment horizontal="center" vertical="center" readingOrder="2"/>
    </xf>
    <xf numFmtId="49" fontId="4" fillId="41" borderId="1" xfId="0" applyNumberFormat="1" applyFont="1" applyFill="1" applyBorder="1" applyAlignment="1">
      <alignment horizontal="center" vertical="center" shrinkToFit="1"/>
    </xf>
    <xf numFmtId="49" fontId="4" fillId="6" borderId="1" xfId="0" applyNumberFormat="1" applyFont="1" applyFill="1" applyBorder="1" applyAlignment="1">
      <alignment horizontal="center" vertical="center" shrinkToFit="1"/>
    </xf>
    <xf numFmtId="0" fontId="12" fillId="41" borderId="1" xfId="0" applyFont="1" applyFill="1" applyBorder="1" applyAlignment="1">
      <alignment horizontal="center" vertical="center"/>
    </xf>
  </cellXfs>
  <cellStyles count="16">
    <cellStyle name="Accent5" xfId="12" builtinId="45"/>
    <cellStyle name="Bad" xfId="10" builtinId="27"/>
    <cellStyle name="Comma" xfId="15" builtinId="3"/>
    <cellStyle name="Comma 2" xfId="13"/>
    <cellStyle name="Good 2" xfId="7"/>
    <cellStyle name="Neutral" xfId="6" builtinId="28"/>
    <cellStyle name="Normal" xfId="0" builtinId="0"/>
    <cellStyle name="Normal 2" xfId="5"/>
    <cellStyle name="Normal 2 2" xfId="14"/>
    <cellStyle name="Normal 3" xfId="9"/>
    <cellStyle name="Normal 4" xfId="2"/>
    <cellStyle name="Normal 5" xfId="3"/>
    <cellStyle name="Normal 6" xfId="4"/>
    <cellStyle name="Normal 7" xfId="1"/>
    <cellStyle name="Normal 8" xfId="11"/>
    <cellStyle name="Normal_Sheet1" xfId="8"/>
  </cellStyles>
  <dxfs count="26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2" name="Picture 1" descr="image00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6275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9"/>
  <sheetViews>
    <sheetView rightToLeft="1" workbookViewId="0">
      <selection activeCell="G20" sqref="A20:XFD20"/>
    </sheetView>
  </sheetViews>
  <sheetFormatPr defaultRowHeight="15"/>
  <cols>
    <col min="3" max="3" width="13.85546875" customWidth="1"/>
    <col min="4" max="4" width="16.28515625" customWidth="1"/>
    <col min="5" max="5" width="26.140625" customWidth="1"/>
    <col min="6" max="6" width="12.42578125" customWidth="1"/>
    <col min="14" max="14" width="9.140625" customWidth="1"/>
    <col min="19" max="19" width="16.28515625" customWidth="1"/>
    <col min="20" max="20" width="16.5703125" customWidth="1"/>
    <col min="27" max="27" width="9.5703125" customWidth="1"/>
    <col min="28" max="28" width="65.5703125" style="19" customWidth="1"/>
  </cols>
  <sheetData>
    <row r="1" spans="1:66" s="12" customFormat="1" ht="18">
      <c r="A1" s="1220" t="s">
        <v>0</v>
      </c>
      <c r="B1" s="1221" t="s">
        <v>1</v>
      </c>
      <c r="C1" s="1221" t="s">
        <v>2</v>
      </c>
      <c r="D1" s="1221" t="s">
        <v>3</v>
      </c>
      <c r="E1" s="1221" t="s">
        <v>4</v>
      </c>
      <c r="F1" s="1221" t="s">
        <v>5</v>
      </c>
      <c r="G1" s="1222" t="s">
        <v>6</v>
      </c>
      <c r="H1" s="1221" t="s">
        <v>7</v>
      </c>
      <c r="I1" s="1223" t="s">
        <v>8</v>
      </c>
      <c r="J1" s="1224" t="s">
        <v>233</v>
      </c>
      <c r="K1" s="1221" t="s">
        <v>9</v>
      </c>
      <c r="L1" s="1221" t="s">
        <v>10</v>
      </c>
      <c r="M1" s="1221" t="s">
        <v>11</v>
      </c>
      <c r="N1" s="1221" t="s">
        <v>12</v>
      </c>
      <c r="O1" s="1221" t="s">
        <v>13</v>
      </c>
      <c r="P1" s="1225" t="s">
        <v>14</v>
      </c>
      <c r="Q1" s="1222" t="s">
        <v>15</v>
      </c>
      <c r="R1" s="1222" t="s">
        <v>16</v>
      </c>
      <c r="S1" s="1222" t="s">
        <v>17</v>
      </c>
      <c r="T1" s="1221" t="s">
        <v>18</v>
      </c>
      <c r="U1" s="1221" t="s">
        <v>19</v>
      </c>
      <c r="V1" s="1221" t="s">
        <v>20</v>
      </c>
      <c r="W1" s="1222" t="s">
        <v>21</v>
      </c>
      <c r="X1" s="1223" t="s">
        <v>22</v>
      </c>
      <c r="Y1" s="1226" t="s">
        <v>23</v>
      </c>
      <c r="Z1" s="1226" t="s">
        <v>24</v>
      </c>
      <c r="AA1" s="1227" t="s">
        <v>9184</v>
      </c>
      <c r="AB1" s="1194" t="s">
        <v>4406</v>
      </c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1162" customFormat="1" ht="15.75" customHeight="1">
      <c r="A2" s="1345">
        <v>1</v>
      </c>
      <c r="B2" s="1357">
        <v>215</v>
      </c>
      <c r="C2" s="1311" t="s">
        <v>1595</v>
      </c>
      <c r="D2" s="1311" t="s">
        <v>1598</v>
      </c>
      <c r="E2" s="1358" t="s">
        <v>1736</v>
      </c>
      <c r="F2" s="1311" t="s">
        <v>16315</v>
      </c>
      <c r="G2" s="1157" t="s">
        <v>9212</v>
      </c>
      <c r="H2" s="1166" t="s">
        <v>335</v>
      </c>
      <c r="I2" s="1166" t="s">
        <v>60</v>
      </c>
      <c r="J2" s="1158" t="s">
        <v>9213</v>
      </c>
      <c r="K2" s="1359" t="s">
        <v>14260</v>
      </c>
      <c r="L2" s="1359" t="s">
        <v>14262</v>
      </c>
      <c r="M2" s="1164" t="s">
        <v>1738</v>
      </c>
      <c r="N2" s="1157" t="s">
        <v>1739</v>
      </c>
      <c r="O2" s="1165" t="s">
        <v>43</v>
      </c>
      <c r="P2" s="1361" t="s">
        <v>2837</v>
      </c>
      <c r="Q2" s="1165" t="s">
        <v>43</v>
      </c>
      <c r="R2" s="1160" t="s">
        <v>397</v>
      </c>
      <c r="S2" s="1165" t="s">
        <v>43</v>
      </c>
      <c r="T2" s="1165" t="s">
        <v>43</v>
      </c>
      <c r="U2" s="1165" t="s">
        <v>43</v>
      </c>
      <c r="V2" s="1165" t="s">
        <v>43</v>
      </c>
      <c r="W2" s="1165" t="s">
        <v>43</v>
      </c>
      <c r="X2" s="1166" t="s">
        <v>167</v>
      </c>
      <c r="Y2" s="1345" t="s">
        <v>202</v>
      </c>
      <c r="Z2" s="1345" t="s">
        <v>65</v>
      </c>
      <c r="AA2" s="1204">
        <v>8960000</v>
      </c>
      <c r="AB2" s="1305" t="s">
        <v>16316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1162" customFormat="1" ht="15.75" customHeight="1">
      <c r="A3" s="1345"/>
      <c r="B3" s="1357"/>
      <c r="C3" s="1311"/>
      <c r="D3" s="1311"/>
      <c r="E3" s="1358"/>
      <c r="F3" s="1311"/>
      <c r="G3" s="1157" t="s">
        <v>1740</v>
      </c>
      <c r="H3" s="1163" t="s">
        <v>195</v>
      </c>
      <c r="I3" s="1166" t="s">
        <v>168</v>
      </c>
      <c r="J3" s="1158" t="s">
        <v>199</v>
      </c>
      <c r="K3" s="1359"/>
      <c r="L3" s="1359"/>
      <c r="M3" s="1164" t="s">
        <v>1741</v>
      </c>
      <c r="N3" s="1164" t="s">
        <v>11875</v>
      </c>
      <c r="O3" s="1165" t="s">
        <v>43</v>
      </c>
      <c r="P3" s="1361"/>
      <c r="Q3" s="1165" t="s">
        <v>43</v>
      </c>
      <c r="R3" s="1160" t="s">
        <v>1742</v>
      </c>
      <c r="S3" s="1165" t="s">
        <v>43</v>
      </c>
      <c r="T3" s="1165" t="s">
        <v>43</v>
      </c>
      <c r="U3" s="1165" t="s">
        <v>43</v>
      </c>
      <c r="V3" s="1165" t="s">
        <v>43</v>
      </c>
      <c r="W3" s="1160" t="s">
        <v>432</v>
      </c>
      <c r="X3" s="1166" t="s">
        <v>170</v>
      </c>
      <c r="Y3" s="1345"/>
      <c r="Z3" s="1345"/>
      <c r="AA3" s="1204">
        <v>20800000</v>
      </c>
      <c r="AB3" s="1306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1162" customFormat="1" ht="15.75" customHeight="1">
      <c r="A4" s="1312">
        <v>2</v>
      </c>
      <c r="B4" s="1357">
        <v>232</v>
      </c>
      <c r="C4" s="1322" t="s">
        <v>7993</v>
      </c>
      <c r="D4" s="1311" t="s">
        <v>1598</v>
      </c>
      <c r="E4" s="1358" t="s">
        <v>1816</v>
      </c>
      <c r="F4" s="1311" t="s">
        <v>16318</v>
      </c>
      <c r="G4" s="1157">
        <v>9602025064</v>
      </c>
      <c r="H4" s="1166" t="s">
        <v>335</v>
      </c>
      <c r="I4" s="1166" t="s">
        <v>60</v>
      </c>
      <c r="J4" s="1158" t="s">
        <v>199</v>
      </c>
      <c r="K4" s="1359" t="s">
        <v>14325</v>
      </c>
      <c r="L4" s="1359" t="s">
        <v>14323</v>
      </c>
      <c r="M4" s="1164" t="s">
        <v>1817</v>
      </c>
      <c r="N4" s="1157" t="s">
        <v>1818</v>
      </c>
      <c r="O4" s="1165" t="s">
        <v>43</v>
      </c>
      <c r="P4" s="1361" t="s">
        <v>2852</v>
      </c>
      <c r="Q4" s="1165" t="s">
        <v>43</v>
      </c>
      <c r="R4" s="1160" t="s">
        <v>397</v>
      </c>
      <c r="S4" s="1165" t="s">
        <v>43</v>
      </c>
      <c r="T4" s="1165" t="s">
        <v>43</v>
      </c>
      <c r="U4" s="1165" t="s">
        <v>43</v>
      </c>
      <c r="V4" s="1165" t="s">
        <v>43</v>
      </c>
      <c r="W4" s="1165" t="s">
        <v>43</v>
      </c>
      <c r="X4" s="1166" t="s">
        <v>167</v>
      </c>
      <c r="Y4" s="1345" t="s">
        <v>202</v>
      </c>
      <c r="Z4" s="1345" t="s">
        <v>65</v>
      </c>
      <c r="AA4" s="1204">
        <v>8960000</v>
      </c>
      <c r="AB4" s="1305" t="s">
        <v>16316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s="1162" customFormat="1" ht="15.75" customHeight="1">
      <c r="A5" s="1313"/>
      <c r="B5" s="1357"/>
      <c r="C5" s="1323"/>
      <c r="D5" s="1311"/>
      <c r="E5" s="1358"/>
      <c r="F5" s="1311"/>
      <c r="G5" s="1157" t="s">
        <v>1819</v>
      </c>
      <c r="H5" s="1163" t="s">
        <v>195</v>
      </c>
      <c r="I5" s="1166" t="s">
        <v>168</v>
      </c>
      <c r="J5" s="1158" t="s">
        <v>199</v>
      </c>
      <c r="K5" s="1359"/>
      <c r="L5" s="1359"/>
      <c r="M5" s="1164" t="s">
        <v>1820</v>
      </c>
      <c r="N5" s="1168" t="s">
        <v>11892</v>
      </c>
      <c r="O5" s="1165" t="s">
        <v>43</v>
      </c>
      <c r="P5" s="1361"/>
      <c r="Q5" s="1165" t="s">
        <v>43</v>
      </c>
      <c r="R5" s="1160" t="s">
        <v>255</v>
      </c>
      <c r="S5" s="1165" t="s">
        <v>43</v>
      </c>
      <c r="T5" s="1165" t="s">
        <v>43</v>
      </c>
      <c r="U5" s="1165" t="s">
        <v>43</v>
      </c>
      <c r="V5" s="1165" t="s">
        <v>43</v>
      </c>
      <c r="W5" s="1160" t="s">
        <v>1759</v>
      </c>
      <c r="X5" s="1166" t="s">
        <v>170</v>
      </c>
      <c r="Y5" s="1345"/>
      <c r="Z5" s="1345"/>
      <c r="AA5" s="1204">
        <v>20800000</v>
      </c>
      <c r="AB5" s="1306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s="1162" customFormat="1" ht="15.75" customHeight="1">
      <c r="A6" s="1312">
        <v>3</v>
      </c>
      <c r="B6" s="1357">
        <v>278</v>
      </c>
      <c r="C6" s="1322" t="s">
        <v>7993</v>
      </c>
      <c r="D6" s="1359" t="s">
        <v>1772</v>
      </c>
      <c r="E6" s="1360" t="s">
        <v>1919</v>
      </c>
      <c r="F6" s="1311" t="s">
        <v>16319</v>
      </c>
      <c r="G6" s="1166">
        <v>657404</v>
      </c>
      <c r="H6" s="1166" t="s">
        <v>335</v>
      </c>
      <c r="I6" s="1166" t="s">
        <v>60</v>
      </c>
      <c r="J6" s="1158" t="s">
        <v>199</v>
      </c>
      <c r="K6" s="1359" t="s">
        <v>14461</v>
      </c>
      <c r="L6" s="1359" t="s">
        <v>14460</v>
      </c>
      <c r="M6" s="1164" t="s">
        <v>1920</v>
      </c>
      <c r="N6" s="1157" t="s">
        <v>1921</v>
      </c>
      <c r="O6" s="1165" t="s">
        <v>43</v>
      </c>
      <c r="P6" s="1361" t="s">
        <v>2871</v>
      </c>
      <c r="Q6" s="1165" t="s">
        <v>43</v>
      </c>
      <c r="R6" s="1160" t="s">
        <v>397</v>
      </c>
      <c r="S6" s="1165" t="s">
        <v>43</v>
      </c>
      <c r="T6" s="1165" t="s">
        <v>43</v>
      </c>
      <c r="U6" s="1165" t="s">
        <v>43</v>
      </c>
      <c r="V6" s="1165" t="s">
        <v>43</v>
      </c>
      <c r="W6" s="1165" t="s">
        <v>43</v>
      </c>
      <c r="X6" s="1166" t="s">
        <v>167</v>
      </c>
      <c r="Y6" s="1345" t="s">
        <v>202</v>
      </c>
      <c r="Z6" s="1345" t="s">
        <v>65</v>
      </c>
      <c r="AA6" s="1204">
        <v>22400000</v>
      </c>
      <c r="AB6" s="1305" t="s">
        <v>16316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66" s="1162" customFormat="1" ht="15.75" customHeight="1">
      <c r="A7" s="1313"/>
      <c r="B7" s="1357"/>
      <c r="C7" s="1323"/>
      <c r="D7" s="1359"/>
      <c r="E7" s="1360"/>
      <c r="F7" s="1311"/>
      <c r="G7" s="1166" t="s">
        <v>1922</v>
      </c>
      <c r="H7" s="1163" t="s">
        <v>195</v>
      </c>
      <c r="I7" s="1166" t="s">
        <v>168</v>
      </c>
      <c r="J7" s="1158" t="s">
        <v>199</v>
      </c>
      <c r="K7" s="1359"/>
      <c r="L7" s="1359"/>
      <c r="M7" s="1164" t="s">
        <v>1923</v>
      </c>
      <c r="N7" s="1168" t="s">
        <v>11952</v>
      </c>
      <c r="O7" s="1165" t="s">
        <v>43</v>
      </c>
      <c r="P7" s="1361"/>
      <c r="Q7" s="1165" t="s">
        <v>43</v>
      </c>
      <c r="R7" s="1160" t="s">
        <v>255</v>
      </c>
      <c r="S7" s="1165" t="s">
        <v>43</v>
      </c>
      <c r="T7" s="1165" t="s">
        <v>43</v>
      </c>
      <c r="U7" s="1165" t="s">
        <v>43</v>
      </c>
      <c r="V7" s="1165" t="s">
        <v>43</v>
      </c>
      <c r="W7" s="1160" t="s">
        <v>1759</v>
      </c>
      <c r="X7" s="1166" t="s">
        <v>170</v>
      </c>
      <c r="Y7" s="1345"/>
      <c r="Z7" s="1345"/>
      <c r="AA7" s="1204">
        <v>20800000</v>
      </c>
      <c r="AB7" s="1306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</row>
    <row r="8" spans="1:66" s="1162" customFormat="1" ht="15.75" customHeight="1">
      <c r="A8" s="1312">
        <v>4</v>
      </c>
      <c r="B8" s="1364">
        <v>277</v>
      </c>
      <c r="C8" s="1368" t="s">
        <v>7993</v>
      </c>
      <c r="D8" s="1352" t="s">
        <v>1917</v>
      </c>
      <c r="E8" s="1366" t="s">
        <v>1917</v>
      </c>
      <c r="F8" s="1311" t="s">
        <v>16320</v>
      </c>
      <c r="G8" s="1157" t="s">
        <v>9233</v>
      </c>
      <c r="H8" s="1166" t="s">
        <v>335</v>
      </c>
      <c r="I8" s="1166" t="s">
        <v>60</v>
      </c>
      <c r="J8" s="1158" t="s">
        <v>199</v>
      </c>
      <c r="K8" s="1352" t="s">
        <v>14409</v>
      </c>
      <c r="L8" s="1352" t="s">
        <v>14408</v>
      </c>
      <c r="M8" s="1164" t="s">
        <v>1918</v>
      </c>
      <c r="N8" s="1157" t="s">
        <v>11948</v>
      </c>
      <c r="O8" s="1159" t="s">
        <v>43</v>
      </c>
      <c r="P8" s="1362" t="s">
        <v>2870</v>
      </c>
      <c r="Q8" s="1159" t="s">
        <v>43</v>
      </c>
      <c r="R8" s="1160" t="s">
        <v>397</v>
      </c>
      <c r="S8" s="1159" t="s">
        <v>43</v>
      </c>
      <c r="T8" s="1159" t="s">
        <v>43</v>
      </c>
      <c r="U8" s="1159" t="s">
        <v>43</v>
      </c>
      <c r="V8" s="1159" t="s">
        <v>43</v>
      </c>
      <c r="W8" s="1159" t="s">
        <v>43</v>
      </c>
      <c r="X8" s="1166" t="s">
        <v>167</v>
      </c>
      <c r="Y8" s="1312" t="s">
        <v>202</v>
      </c>
      <c r="Z8" s="1312" t="s">
        <v>65</v>
      </c>
      <c r="AA8" s="1204">
        <v>12800000</v>
      </c>
      <c r="AB8" s="1305" t="s">
        <v>16316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spans="1:66" s="1162" customFormat="1" ht="15.75" customHeight="1">
      <c r="A9" s="1313"/>
      <c r="B9" s="1365"/>
      <c r="C9" s="1369"/>
      <c r="D9" s="1353"/>
      <c r="E9" s="1367"/>
      <c r="F9" s="1311"/>
      <c r="G9" s="1159" t="s">
        <v>43</v>
      </c>
      <c r="H9" s="1166" t="s">
        <v>44</v>
      </c>
      <c r="I9" s="1166" t="s">
        <v>45</v>
      </c>
      <c r="J9" s="1158" t="s">
        <v>199</v>
      </c>
      <c r="K9" s="1353"/>
      <c r="L9" s="1353"/>
      <c r="M9" s="1164" t="s">
        <v>11950</v>
      </c>
      <c r="N9" s="1164" t="s">
        <v>12009</v>
      </c>
      <c r="O9" s="1159" t="s">
        <v>43</v>
      </c>
      <c r="P9" s="1363"/>
      <c r="Q9" s="1159" t="s">
        <v>43</v>
      </c>
      <c r="R9" s="1160" t="s">
        <v>119</v>
      </c>
      <c r="S9" s="1159" t="s">
        <v>43</v>
      </c>
      <c r="T9" s="1159" t="s">
        <v>43</v>
      </c>
      <c r="U9" s="1159" t="s">
        <v>43</v>
      </c>
      <c r="V9" s="1159" t="s">
        <v>43</v>
      </c>
      <c r="W9" s="1160" t="s">
        <v>1876</v>
      </c>
      <c r="X9" s="1166" t="s">
        <v>50</v>
      </c>
      <c r="Y9" s="1313"/>
      <c r="Z9" s="1313"/>
      <c r="AA9" s="1204">
        <v>0</v>
      </c>
      <c r="AB9" s="1306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</row>
    <row r="10" spans="1:66" s="1162" customFormat="1" ht="15.75" customHeight="1">
      <c r="A10" s="1312">
        <v>5</v>
      </c>
      <c r="B10" s="1364">
        <v>263</v>
      </c>
      <c r="C10" s="1355" t="s">
        <v>7993</v>
      </c>
      <c r="D10" s="1352" t="s">
        <v>1597</v>
      </c>
      <c r="E10" s="1366" t="s">
        <v>1889</v>
      </c>
      <c r="F10" s="1311" t="s">
        <v>16321</v>
      </c>
      <c r="G10" s="1157" t="s">
        <v>9229</v>
      </c>
      <c r="H10" s="1166" t="s">
        <v>335</v>
      </c>
      <c r="I10" s="1166" t="s">
        <v>60</v>
      </c>
      <c r="J10" s="1158" t="s">
        <v>199</v>
      </c>
      <c r="K10" s="1359" t="s">
        <v>1890</v>
      </c>
      <c r="L10" s="1359" t="s">
        <v>14451</v>
      </c>
      <c r="M10" s="1164" t="s">
        <v>1891</v>
      </c>
      <c r="N10" s="1157" t="s">
        <v>1892</v>
      </c>
      <c r="O10" s="1165" t="s">
        <v>43</v>
      </c>
      <c r="P10" s="1361" t="s">
        <v>2866</v>
      </c>
      <c r="Q10" s="1165" t="s">
        <v>43</v>
      </c>
      <c r="R10" s="1160" t="s">
        <v>397</v>
      </c>
      <c r="S10" s="1159" t="s">
        <v>43</v>
      </c>
      <c r="T10" s="1159" t="s">
        <v>43</v>
      </c>
      <c r="U10" s="1159" t="s">
        <v>43</v>
      </c>
      <c r="V10" s="1159" t="s">
        <v>43</v>
      </c>
      <c r="W10" s="1159" t="s">
        <v>43</v>
      </c>
      <c r="X10" s="1166" t="s">
        <v>167</v>
      </c>
      <c r="Y10" s="1312" t="s">
        <v>202</v>
      </c>
      <c r="Z10" s="1312" t="s">
        <v>65</v>
      </c>
      <c r="AA10" s="1204">
        <v>22400000</v>
      </c>
      <c r="AB10" s="1305" t="s">
        <v>16316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</row>
    <row r="11" spans="1:66" s="1162" customFormat="1" ht="15.75" customHeight="1">
      <c r="A11" s="1313"/>
      <c r="B11" s="1365"/>
      <c r="C11" s="1356"/>
      <c r="D11" s="1354"/>
      <c r="E11" s="1371"/>
      <c r="F11" s="1311"/>
      <c r="G11" s="1169" t="s">
        <v>9230</v>
      </c>
      <c r="H11" s="1170" t="s">
        <v>195</v>
      </c>
      <c r="I11" s="1171" t="s">
        <v>168</v>
      </c>
      <c r="J11" s="1172" t="s">
        <v>199</v>
      </c>
      <c r="K11" s="1359"/>
      <c r="L11" s="1359"/>
      <c r="M11" s="1164" t="s">
        <v>1894</v>
      </c>
      <c r="N11" s="1168" t="s">
        <v>11933</v>
      </c>
      <c r="O11" s="1165" t="s">
        <v>43</v>
      </c>
      <c r="P11" s="1361"/>
      <c r="Q11" s="1165" t="s">
        <v>43</v>
      </c>
      <c r="R11" s="1173" t="s">
        <v>68</v>
      </c>
      <c r="S11" s="1169" t="s">
        <v>43</v>
      </c>
      <c r="T11" s="1169" t="s">
        <v>43</v>
      </c>
      <c r="U11" s="1169" t="s">
        <v>43</v>
      </c>
      <c r="V11" s="1169" t="s">
        <v>43</v>
      </c>
      <c r="W11" s="1169" t="s">
        <v>43</v>
      </c>
      <c r="X11" s="1171" t="s">
        <v>170</v>
      </c>
      <c r="Y11" s="1313"/>
      <c r="Z11" s="1313"/>
      <c r="AA11" s="1205">
        <v>20800000</v>
      </c>
      <c r="AB11" s="1306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</row>
    <row r="12" spans="1:66" s="1176" customFormat="1" ht="15.75" customHeight="1">
      <c r="A12" s="1322">
        <v>6</v>
      </c>
      <c r="B12" s="1322">
        <v>242</v>
      </c>
      <c r="C12" s="1355" t="s">
        <v>1604</v>
      </c>
      <c r="D12" s="1352" t="s">
        <v>1597</v>
      </c>
      <c r="E12" s="1322" t="s">
        <v>16463</v>
      </c>
      <c r="F12" s="1322" t="s">
        <v>16321</v>
      </c>
      <c r="G12" s="1217"/>
      <c r="H12" s="1217"/>
      <c r="I12" s="1217"/>
      <c r="J12" s="1217"/>
      <c r="K12" s="1217"/>
      <c r="L12" s="1217"/>
      <c r="M12" s="1217"/>
      <c r="N12" s="1217"/>
      <c r="O12" s="1217"/>
      <c r="P12" s="1217"/>
      <c r="Q12" s="1217"/>
      <c r="R12" s="1217"/>
      <c r="S12" s="1217"/>
      <c r="T12" s="1217"/>
      <c r="U12" s="1217"/>
      <c r="V12" s="1217"/>
      <c r="W12" s="1217"/>
      <c r="X12" s="1217"/>
      <c r="Y12" s="1217"/>
      <c r="Z12" s="1217"/>
      <c r="AA12" s="1218"/>
      <c r="AB12" s="1311" t="s">
        <v>16322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</row>
    <row r="13" spans="1:66" s="1176" customFormat="1" ht="15" customHeight="1">
      <c r="A13" s="1323"/>
      <c r="B13" s="1323"/>
      <c r="C13" s="1356"/>
      <c r="D13" s="1354"/>
      <c r="E13" s="1323"/>
      <c r="F13" s="1323"/>
      <c r="G13" s="1217"/>
      <c r="H13" s="1217"/>
      <c r="I13" s="1217"/>
      <c r="J13" s="1217"/>
      <c r="K13" s="1217"/>
      <c r="L13" s="1217"/>
      <c r="M13" s="1217"/>
      <c r="N13" s="1217"/>
      <c r="O13" s="1217"/>
      <c r="P13" s="1217"/>
      <c r="Q13" s="1217"/>
      <c r="R13" s="1217"/>
      <c r="S13" s="1217"/>
      <c r="T13" s="1217"/>
      <c r="U13" s="1217"/>
      <c r="V13" s="1217"/>
      <c r="W13" s="1217"/>
      <c r="X13" s="1217"/>
      <c r="Y13" s="1217"/>
      <c r="Z13" s="1217"/>
      <c r="AA13" s="1218"/>
      <c r="AB13" s="1311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</row>
    <row r="14" spans="1:66" s="1162" customFormat="1" ht="15.75" customHeight="1">
      <c r="A14" s="1312">
        <v>7</v>
      </c>
      <c r="B14" s="1334">
        <v>269</v>
      </c>
      <c r="C14" s="1355" t="s">
        <v>1604</v>
      </c>
      <c r="D14" s="1312" t="s">
        <v>1608</v>
      </c>
      <c r="E14" s="1312" t="s">
        <v>2277</v>
      </c>
      <c r="F14" s="1322" t="s">
        <v>16468</v>
      </c>
      <c r="G14" s="1157" t="s">
        <v>9174</v>
      </c>
      <c r="H14" s="1166" t="s">
        <v>59</v>
      </c>
      <c r="I14" s="1166" t="s">
        <v>260</v>
      </c>
      <c r="J14" s="1177" t="s">
        <v>199</v>
      </c>
      <c r="K14" s="1345" t="s">
        <v>14312</v>
      </c>
      <c r="L14" s="1374" t="s">
        <v>14481</v>
      </c>
      <c r="M14" s="1164" t="s">
        <v>14313</v>
      </c>
      <c r="N14" s="1166" t="s">
        <v>14238</v>
      </c>
      <c r="O14" s="1165" t="s">
        <v>43</v>
      </c>
      <c r="P14" s="1370" t="s">
        <v>2833</v>
      </c>
      <c r="Q14" s="1165" t="s">
        <v>43</v>
      </c>
      <c r="R14" s="1160" t="s">
        <v>166</v>
      </c>
      <c r="S14" s="1159" t="s">
        <v>43</v>
      </c>
      <c r="T14" s="1159" t="s">
        <v>43</v>
      </c>
      <c r="U14" s="1159" t="s">
        <v>43</v>
      </c>
      <c r="V14" s="1159" t="s">
        <v>43</v>
      </c>
      <c r="W14" s="1159" t="s">
        <v>43</v>
      </c>
      <c r="X14" s="1166" t="s">
        <v>167</v>
      </c>
      <c r="Y14" s="1312" t="s">
        <v>202</v>
      </c>
      <c r="Z14" s="1346" t="s">
        <v>65</v>
      </c>
      <c r="AA14" s="1204">
        <v>17920000</v>
      </c>
      <c r="AB14" s="1305" t="s">
        <v>16316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</row>
    <row r="15" spans="1:66" s="1162" customFormat="1" ht="15.75" customHeight="1">
      <c r="A15" s="1314"/>
      <c r="B15" s="1336"/>
      <c r="C15" s="1356"/>
      <c r="D15" s="1314"/>
      <c r="E15" s="1314"/>
      <c r="F15" s="1323"/>
      <c r="G15" s="1157" t="s">
        <v>2270</v>
      </c>
      <c r="H15" s="1163" t="s">
        <v>195</v>
      </c>
      <c r="I15" s="1166" t="s">
        <v>108</v>
      </c>
      <c r="J15" s="1177" t="s">
        <v>199</v>
      </c>
      <c r="K15" s="1345"/>
      <c r="L15" s="1374"/>
      <c r="M15" s="1164" t="s">
        <v>2271</v>
      </c>
      <c r="N15" s="1166" t="s">
        <v>11408</v>
      </c>
      <c r="O15" s="1165" t="s">
        <v>43</v>
      </c>
      <c r="P15" s="1370"/>
      <c r="Q15" s="1165" t="s">
        <v>43</v>
      </c>
      <c r="R15" s="1160" t="s">
        <v>2269</v>
      </c>
      <c r="S15" s="1159" t="s">
        <v>43</v>
      </c>
      <c r="T15" s="1159" t="s">
        <v>43</v>
      </c>
      <c r="U15" s="1159" t="s">
        <v>43</v>
      </c>
      <c r="V15" s="1159" t="s">
        <v>43</v>
      </c>
      <c r="W15" s="1159" t="s">
        <v>43</v>
      </c>
      <c r="X15" s="1166" t="s">
        <v>299</v>
      </c>
      <c r="Y15" s="1314"/>
      <c r="Z15" s="1347"/>
      <c r="AA15" s="1204">
        <v>36400000</v>
      </c>
      <c r="AB15" s="1306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</row>
    <row r="16" spans="1:66" s="1162" customFormat="1" ht="15.75" customHeight="1">
      <c r="A16" s="1312">
        <v>8</v>
      </c>
      <c r="B16" s="1364">
        <v>329</v>
      </c>
      <c r="C16" s="1355" t="s">
        <v>7993</v>
      </c>
      <c r="D16" s="1352" t="s">
        <v>1598</v>
      </c>
      <c r="E16" s="1372" t="s">
        <v>1958</v>
      </c>
      <c r="F16" s="1312" t="s">
        <v>16467</v>
      </c>
      <c r="G16" s="1157" t="s">
        <v>9237</v>
      </c>
      <c r="H16" s="1166" t="s">
        <v>335</v>
      </c>
      <c r="I16" s="1166" t="s">
        <v>108</v>
      </c>
      <c r="J16" s="1158" t="s">
        <v>199</v>
      </c>
      <c r="K16" s="1359" t="s">
        <v>15466</v>
      </c>
      <c r="L16" s="1359" t="s">
        <v>15471</v>
      </c>
      <c r="M16" s="1164" t="s">
        <v>1959</v>
      </c>
      <c r="N16" s="1164" t="s">
        <v>1960</v>
      </c>
      <c r="O16" s="1165" t="s">
        <v>43</v>
      </c>
      <c r="P16" s="1361" t="s">
        <v>2878</v>
      </c>
      <c r="Q16" s="1165" t="s">
        <v>43</v>
      </c>
      <c r="R16" s="1160" t="s">
        <v>397</v>
      </c>
      <c r="S16" s="1159" t="s">
        <v>43</v>
      </c>
      <c r="T16" s="1159" t="s">
        <v>43</v>
      </c>
      <c r="U16" s="1159" t="s">
        <v>43</v>
      </c>
      <c r="V16" s="1159" t="s">
        <v>43</v>
      </c>
      <c r="W16" s="1159" t="s">
        <v>43</v>
      </c>
      <c r="X16" s="1166" t="s">
        <v>167</v>
      </c>
      <c r="Y16" s="1312" t="s">
        <v>202</v>
      </c>
      <c r="Z16" s="1345" t="s">
        <v>65</v>
      </c>
      <c r="AA16" s="1161">
        <v>8960000</v>
      </c>
      <c r="AB16" s="1305" t="s">
        <v>16316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63" s="1162" customFormat="1" ht="15.75" customHeight="1">
      <c r="A17" s="1313"/>
      <c r="B17" s="1365"/>
      <c r="C17" s="1356"/>
      <c r="D17" s="1353"/>
      <c r="E17" s="1373"/>
      <c r="F17" s="1313"/>
      <c r="G17" s="1179" t="s">
        <v>1961</v>
      </c>
      <c r="H17" s="1170" t="s">
        <v>195</v>
      </c>
      <c r="I17" s="1171" t="s">
        <v>168</v>
      </c>
      <c r="J17" s="1172" t="s">
        <v>199</v>
      </c>
      <c r="K17" s="1359"/>
      <c r="L17" s="1359"/>
      <c r="M17" s="1164" t="s">
        <v>1962</v>
      </c>
      <c r="N17" s="1164" t="s">
        <v>11963</v>
      </c>
      <c r="O17" s="1165" t="s">
        <v>43</v>
      </c>
      <c r="P17" s="1361"/>
      <c r="Q17" s="1165" t="s">
        <v>43</v>
      </c>
      <c r="R17" s="1173" t="s">
        <v>255</v>
      </c>
      <c r="S17" s="1169" t="s">
        <v>43</v>
      </c>
      <c r="T17" s="1169" t="s">
        <v>43</v>
      </c>
      <c r="U17" s="1169" t="s">
        <v>43</v>
      </c>
      <c r="V17" s="1169" t="s">
        <v>43</v>
      </c>
      <c r="W17" s="1173" t="s">
        <v>1952</v>
      </c>
      <c r="X17" s="1171" t="s">
        <v>170</v>
      </c>
      <c r="Y17" s="1313"/>
      <c r="Z17" s="1345"/>
      <c r="AA17" s="1161">
        <v>20800000</v>
      </c>
      <c r="AB17" s="1306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</row>
    <row r="18" spans="1:63" s="1162" customFormat="1" ht="15.75" customHeight="1">
      <c r="A18" s="1312">
        <v>10</v>
      </c>
      <c r="B18" s="1334">
        <v>241</v>
      </c>
      <c r="C18" s="1355" t="s">
        <v>7954</v>
      </c>
      <c r="D18" s="1355" t="s">
        <v>7954</v>
      </c>
      <c r="E18" s="1312" t="s">
        <v>1626</v>
      </c>
      <c r="F18" s="1322" t="s">
        <v>16324</v>
      </c>
      <c r="G18" s="1213" t="s">
        <v>1627</v>
      </c>
      <c r="H18" s="1182" t="s">
        <v>7763</v>
      </c>
      <c r="I18" s="1214" t="s">
        <v>60</v>
      </c>
      <c r="J18" s="1215" t="s">
        <v>205</v>
      </c>
      <c r="K18" s="1345" t="s">
        <v>14218</v>
      </c>
      <c r="L18" s="1345" t="s">
        <v>14485</v>
      </c>
      <c r="M18" s="1164" t="s">
        <v>221</v>
      </c>
      <c r="N18" s="1166" t="s">
        <v>14214</v>
      </c>
      <c r="O18" s="1165" t="s">
        <v>43</v>
      </c>
      <c r="P18" s="1370" t="s">
        <v>2825</v>
      </c>
      <c r="Q18" s="1160" t="s">
        <v>172</v>
      </c>
      <c r="R18" s="1216" t="s">
        <v>166</v>
      </c>
      <c r="S18" s="1159" t="s">
        <v>43</v>
      </c>
      <c r="T18" s="1159" t="s">
        <v>43</v>
      </c>
      <c r="U18" s="1159" t="s">
        <v>43</v>
      </c>
      <c r="V18" s="1159" t="s">
        <v>43</v>
      </c>
      <c r="W18" s="1159" t="s">
        <v>43</v>
      </c>
      <c r="X18" s="1214" t="s">
        <v>167</v>
      </c>
      <c r="Y18" s="1341" t="s">
        <v>202</v>
      </c>
      <c r="Z18" s="1340" t="s">
        <v>65</v>
      </c>
      <c r="AA18" s="1204">
        <v>8960000</v>
      </c>
      <c r="AB18" s="1305" t="s">
        <v>16316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</row>
    <row r="19" spans="1:63" s="1162" customFormat="1" ht="15.75" customHeight="1">
      <c r="A19" s="1314"/>
      <c r="B19" s="1336"/>
      <c r="C19" s="1356"/>
      <c r="D19" s="1356"/>
      <c r="E19" s="1314"/>
      <c r="F19" s="1326"/>
      <c r="G19" s="1179" t="s">
        <v>9181</v>
      </c>
      <c r="H19" s="1170" t="s">
        <v>195</v>
      </c>
      <c r="I19" s="1171" t="s">
        <v>168</v>
      </c>
      <c r="J19" s="1180" t="s">
        <v>199</v>
      </c>
      <c r="K19" s="1345"/>
      <c r="L19" s="1345"/>
      <c r="M19" s="1166" t="s">
        <v>1628</v>
      </c>
      <c r="N19" s="1166" t="s">
        <v>1652</v>
      </c>
      <c r="O19" s="1165" t="s">
        <v>43</v>
      </c>
      <c r="P19" s="1370"/>
      <c r="Q19" s="1165" t="s">
        <v>43</v>
      </c>
      <c r="R19" s="1173" t="s">
        <v>68</v>
      </c>
      <c r="S19" s="1169" t="s">
        <v>43</v>
      </c>
      <c r="T19" s="1169" t="s">
        <v>43</v>
      </c>
      <c r="U19" s="1169" t="s">
        <v>43</v>
      </c>
      <c r="V19" s="1169" t="s">
        <v>43</v>
      </c>
      <c r="W19" s="1169" t="s">
        <v>43</v>
      </c>
      <c r="X19" s="1171" t="s">
        <v>170</v>
      </c>
      <c r="Y19" s="1342"/>
      <c r="Z19" s="1342"/>
      <c r="AA19" s="1205">
        <v>20800000</v>
      </c>
      <c r="AB19" s="1306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</row>
    <row r="20" spans="1:63" s="1186" customFormat="1" ht="15.75" customHeight="1">
      <c r="A20" s="1305">
        <v>12</v>
      </c>
      <c r="B20" s="1315">
        <v>251</v>
      </c>
      <c r="C20" s="1355" t="s">
        <v>933</v>
      </c>
      <c r="D20" s="1355" t="s">
        <v>933</v>
      </c>
      <c r="E20" s="1305" t="s">
        <v>3362</v>
      </c>
      <c r="F20" s="1322" t="s">
        <v>16464</v>
      </c>
      <c r="G20" s="1181" t="s">
        <v>3363</v>
      </c>
      <c r="H20" s="1182" t="s">
        <v>7763</v>
      </c>
      <c r="I20" s="1183" t="s">
        <v>60</v>
      </c>
      <c r="J20" s="1184" t="s">
        <v>199</v>
      </c>
      <c r="K20" s="1167" t="s">
        <v>15237</v>
      </c>
      <c r="L20" s="1167" t="s">
        <v>14488</v>
      </c>
      <c r="M20" s="1167" t="s">
        <v>3364</v>
      </c>
      <c r="N20" s="1167" t="s">
        <v>14239</v>
      </c>
      <c r="O20" s="1208"/>
      <c r="P20" s="1333" t="s">
        <v>3398</v>
      </c>
      <c r="Q20" s="1208"/>
      <c r="R20" s="1187" t="s">
        <v>166</v>
      </c>
      <c r="S20" s="1187" t="s">
        <v>166</v>
      </c>
      <c r="T20" s="1159" t="s">
        <v>43</v>
      </c>
      <c r="U20" s="1159" t="s">
        <v>43</v>
      </c>
      <c r="V20" s="1159" t="s">
        <v>43</v>
      </c>
      <c r="W20" s="1159" t="s">
        <v>43</v>
      </c>
      <c r="X20" s="1183" t="s">
        <v>167</v>
      </c>
      <c r="Y20" s="1185" t="s">
        <v>202</v>
      </c>
      <c r="Z20" s="1183" t="s">
        <v>65</v>
      </c>
      <c r="AA20" s="1206">
        <v>25600000</v>
      </c>
      <c r="AB20" s="1305" t="s">
        <v>16316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</row>
    <row r="21" spans="1:63" s="1186" customFormat="1" ht="15.75" customHeight="1">
      <c r="A21" s="1306"/>
      <c r="B21" s="1316"/>
      <c r="C21" s="1356"/>
      <c r="D21" s="1356"/>
      <c r="E21" s="1306"/>
      <c r="F21" s="1323"/>
      <c r="G21" s="1189" t="s">
        <v>9195</v>
      </c>
      <c r="H21" s="1163" t="s">
        <v>195</v>
      </c>
      <c r="I21" s="1167" t="s">
        <v>108</v>
      </c>
      <c r="J21" s="1190" t="s">
        <v>199</v>
      </c>
      <c r="K21" s="1167"/>
      <c r="L21" s="1167"/>
      <c r="M21" s="1167" t="s">
        <v>3365</v>
      </c>
      <c r="N21" s="1166" t="s">
        <v>3418</v>
      </c>
      <c r="O21" s="1208"/>
      <c r="P21" s="1333"/>
      <c r="Q21" s="1208"/>
      <c r="R21" s="1192" t="s">
        <v>297</v>
      </c>
      <c r="S21" s="1192" t="s">
        <v>297</v>
      </c>
      <c r="T21" s="1192" t="s">
        <v>298</v>
      </c>
      <c r="U21" s="1159" t="s">
        <v>43</v>
      </c>
      <c r="V21" s="1159" t="s">
        <v>43</v>
      </c>
      <c r="W21" s="1159" t="s">
        <v>43</v>
      </c>
      <c r="X21" s="1167" t="s">
        <v>299</v>
      </c>
      <c r="Y21" s="1183"/>
      <c r="Z21" s="1167"/>
      <c r="AA21" s="1204">
        <v>20800000</v>
      </c>
      <c r="AB21" s="1306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</row>
    <row r="22" spans="1:63" s="1162" customFormat="1" ht="15.75" customHeight="1">
      <c r="A22" s="1312">
        <v>13</v>
      </c>
      <c r="B22" s="1334">
        <v>492</v>
      </c>
      <c r="C22" s="1355" t="s">
        <v>4623</v>
      </c>
      <c r="D22" s="1345" t="s">
        <v>2555</v>
      </c>
      <c r="E22" s="1345" t="s">
        <v>2575</v>
      </c>
      <c r="F22" s="1322" t="s">
        <v>16465</v>
      </c>
      <c r="G22" s="1157" t="s">
        <v>9188</v>
      </c>
      <c r="H22" s="1166" t="s">
        <v>1659</v>
      </c>
      <c r="I22" s="1345" t="s">
        <v>29</v>
      </c>
      <c r="J22" s="1177" t="s">
        <v>199</v>
      </c>
      <c r="K22" s="1345" t="s">
        <v>15215</v>
      </c>
      <c r="L22" s="1345" t="s">
        <v>15216</v>
      </c>
      <c r="M22" s="1166" t="s">
        <v>15217</v>
      </c>
      <c r="N22" s="1166" t="s">
        <v>15218</v>
      </c>
      <c r="O22" s="1165" t="s">
        <v>43</v>
      </c>
      <c r="P22" s="1370" t="s">
        <v>2576</v>
      </c>
      <c r="Q22" s="1165" t="s">
        <v>43</v>
      </c>
      <c r="R22" s="1160" t="s">
        <v>2577</v>
      </c>
      <c r="S22" s="1159" t="s">
        <v>43</v>
      </c>
      <c r="T22" s="1375" t="s">
        <v>2951</v>
      </c>
      <c r="U22" s="1375" t="s">
        <v>43</v>
      </c>
      <c r="V22" s="1375" t="s">
        <v>43</v>
      </c>
      <c r="W22" s="1160" t="s">
        <v>2578</v>
      </c>
      <c r="X22" s="1312" t="s">
        <v>450</v>
      </c>
      <c r="Y22" s="1340" t="s">
        <v>202</v>
      </c>
      <c r="Z22" s="1312" t="s">
        <v>65</v>
      </c>
      <c r="AA22" s="1204">
        <v>8000000</v>
      </c>
      <c r="AB22" s="1305" t="s">
        <v>16316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 s="1162" customFormat="1" ht="15.75" customHeight="1">
      <c r="A23" s="1313"/>
      <c r="B23" s="1335"/>
      <c r="C23" s="1356"/>
      <c r="D23" s="1345"/>
      <c r="E23" s="1345"/>
      <c r="F23" s="1323"/>
      <c r="G23" s="1157" t="s">
        <v>9189</v>
      </c>
      <c r="H23" s="1163" t="s">
        <v>195</v>
      </c>
      <c r="I23" s="1345"/>
      <c r="J23" s="1177" t="s">
        <v>199</v>
      </c>
      <c r="K23" s="1345"/>
      <c r="L23" s="1345"/>
      <c r="M23" s="1166" t="s">
        <v>2579</v>
      </c>
      <c r="N23" s="1166" t="s">
        <v>2932</v>
      </c>
      <c r="O23" s="1165" t="s">
        <v>43</v>
      </c>
      <c r="P23" s="1370"/>
      <c r="Q23" s="1165" t="s">
        <v>43</v>
      </c>
      <c r="R23" s="1160" t="s">
        <v>2580</v>
      </c>
      <c r="S23" s="1159" t="s">
        <v>43</v>
      </c>
      <c r="T23" s="1376"/>
      <c r="U23" s="1376"/>
      <c r="V23" s="1376"/>
      <c r="W23" s="1160" t="s">
        <v>2581</v>
      </c>
      <c r="X23" s="1314"/>
      <c r="Y23" s="1341"/>
      <c r="Z23" s="1313"/>
      <c r="AA23" s="1204">
        <v>6512400</v>
      </c>
      <c r="AB23" s="1306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</row>
    <row r="24" spans="1:63" s="1162" customFormat="1" ht="15.75" customHeight="1">
      <c r="A24" s="1312">
        <v>14</v>
      </c>
      <c r="B24" s="1334">
        <v>395</v>
      </c>
      <c r="C24" s="1355" t="s">
        <v>7841</v>
      </c>
      <c r="D24" s="1352" t="s">
        <v>161</v>
      </c>
      <c r="E24" s="1352" t="s">
        <v>174</v>
      </c>
      <c r="F24" s="1322" t="s">
        <v>16466</v>
      </c>
      <c r="G24" s="1160" t="s">
        <v>175</v>
      </c>
      <c r="H24" s="1194" t="s">
        <v>59</v>
      </c>
      <c r="I24" s="1194" t="s">
        <v>60</v>
      </c>
      <c r="J24" s="1177" t="s">
        <v>199</v>
      </c>
      <c r="K24" s="1345" t="s">
        <v>14853</v>
      </c>
      <c r="L24" s="1359" t="s">
        <v>14859</v>
      </c>
      <c r="M24" s="1164" t="s">
        <v>164</v>
      </c>
      <c r="N24" s="1166" t="s">
        <v>14866</v>
      </c>
      <c r="O24" s="1165" t="s">
        <v>43</v>
      </c>
      <c r="P24" s="1370" t="s">
        <v>2807</v>
      </c>
      <c r="Q24" s="1160" t="s">
        <v>176</v>
      </c>
      <c r="R24" s="1160" t="s">
        <v>166</v>
      </c>
      <c r="S24" s="1165" t="s">
        <v>43</v>
      </c>
      <c r="T24" s="1165" t="s">
        <v>43</v>
      </c>
      <c r="U24" s="1165" t="s">
        <v>43</v>
      </c>
      <c r="V24" s="1165" t="s">
        <v>43</v>
      </c>
      <c r="W24" s="1165" t="s">
        <v>43</v>
      </c>
      <c r="X24" s="1166" t="s">
        <v>167</v>
      </c>
      <c r="Y24" s="1377" t="s">
        <v>202</v>
      </c>
      <c r="Z24" s="1379" t="s">
        <v>65</v>
      </c>
      <c r="AA24" s="1204">
        <v>17920000</v>
      </c>
      <c r="AB24" s="1305" t="s">
        <v>16473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3" s="1162" customFormat="1" ht="15.75" customHeight="1">
      <c r="A25" s="1314"/>
      <c r="B25" s="1336"/>
      <c r="C25" s="1356"/>
      <c r="D25" s="1354"/>
      <c r="E25" s="1354"/>
      <c r="F25" s="1323"/>
      <c r="G25" s="1160" t="s">
        <v>177</v>
      </c>
      <c r="H25" s="1163" t="s">
        <v>195</v>
      </c>
      <c r="I25" s="1166" t="s">
        <v>168</v>
      </c>
      <c r="J25" s="1177" t="s">
        <v>199</v>
      </c>
      <c r="K25" s="1345"/>
      <c r="L25" s="1359"/>
      <c r="M25" s="1164" t="s">
        <v>178</v>
      </c>
      <c r="N25" s="1166" t="s">
        <v>211</v>
      </c>
      <c r="O25" s="1165" t="s">
        <v>43</v>
      </c>
      <c r="P25" s="1370"/>
      <c r="Q25" s="1165" t="s">
        <v>43</v>
      </c>
      <c r="R25" s="1160" t="s">
        <v>68</v>
      </c>
      <c r="S25" s="1165" t="s">
        <v>43</v>
      </c>
      <c r="T25" s="1165" t="s">
        <v>43</v>
      </c>
      <c r="U25" s="1165" t="s">
        <v>43</v>
      </c>
      <c r="V25" s="1165" t="s">
        <v>43</v>
      </c>
      <c r="W25" s="1165" t="s">
        <v>43</v>
      </c>
      <c r="X25" s="1166" t="s">
        <v>170</v>
      </c>
      <c r="Y25" s="1378"/>
      <c r="Z25" s="1380"/>
      <c r="AA25" s="1204">
        <v>20800000</v>
      </c>
      <c r="AB25" s="1310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3" s="1186" customFormat="1" ht="15.75" customHeight="1">
      <c r="A26" s="1305">
        <v>15</v>
      </c>
      <c r="B26" s="1315" t="s">
        <v>3502</v>
      </c>
      <c r="C26" s="1355" t="s">
        <v>3467</v>
      </c>
      <c r="D26" s="1305" t="s">
        <v>3503</v>
      </c>
      <c r="E26" s="1305" t="s">
        <v>3503</v>
      </c>
      <c r="F26" s="1322" t="s">
        <v>16337</v>
      </c>
      <c r="G26" s="1192" t="s">
        <v>9323</v>
      </c>
      <c r="H26" s="1195" t="s">
        <v>3519</v>
      </c>
      <c r="I26" s="1167" t="s">
        <v>168</v>
      </c>
      <c r="J26" s="1190" t="s">
        <v>205</v>
      </c>
      <c r="K26" s="1321" t="s">
        <v>3504</v>
      </c>
      <c r="L26" s="1321" t="s">
        <v>3505</v>
      </c>
      <c r="M26" s="1167" t="s">
        <v>15160</v>
      </c>
      <c r="N26" s="1167" t="s">
        <v>15161</v>
      </c>
      <c r="O26" s="1165" t="s">
        <v>43</v>
      </c>
      <c r="P26" s="1333" t="s">
        <v>3527</v>
      </c>
      <c r="Q26" s="1165" t="s">
        <v>43</v>
      </c>
      <c r="R26" s="1192" t="s">
        <v>3506</v>
      </c>
      <c r="S26" s="1159" t="s">
        <v>43</v>
      </c>
      <c r="T26" s="1159" t="s">
        <v>43</v>
      </c>
      <c r="U26" s="1159" t="s">
        <v>43</v>
      </c>
      <c r="V26" s="1159" t="s">
        <v>43</v>
      </c>
      <c r="W26" s="1192" t="s">
        <v>3507</v>
      </c>
      <c r="X26" s="1167" t="s">
        <v>170</v>
      </c>
      <c r="Y26" s="1317" t="s">
        <v>202</v>
      </c>
      <c r="Z26" s="1317" t="s">
        <v>65</v>
      </c>
      <c r="AA26" s="1204">
        <v>6000000</v>
      </c>
      <c r="AB26" s="1305" t="s">
        <v>16472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</row>
    <row r="27" spans="1:63" s="1186" customFormat="1" ht="15.75" customHeight="1">
      <c r="A27" s="1310"/>
      <c r="B27" s="1381"/>
      <c r="C27" s="1356"/>
      <c r="D27" s="1310"/>
      <c r="E27" s="1310"/>
      <c r="F27" s="1326"/>
      <c r="G27" s="1192">
        <v>592065</v>
      </c>
      <c r="H27" s="1163" t="s">
        <v>195</v>
      </c>
      <c r="I27" s="1167" t="s">
        <v>168</v>
      </c>
      <c r="J27" s="1190" t="s">
        <v>205</v>
      </c>
      <c r="K27" s="1321"/>
      <c r="L27" s="1321"/>
      <c r="M27" s="1167" t="s">
        <v>3508</v>
      </c>
      <c r="N27" s="1166" t="s">
        <v>3535</v>
      </c>
      <c r="O27" s="1165" t="s">
        <v>43</v>
      </c>
      <c r="P27" s="1333"/>
      <c r="Q27" s="1165" t="s">
        <v>43</v>
      </c>
      <c r="R27" s="1192" t="s">
        <v>68</v>
      </c>
      <c r="S27" s="1159" t="s">
        <v>43</v>
      </c>
      <c r="T27" s="1159" t="s">
        <v>43</v>
      </c>
      <c r="U27" s="1159" t="s">
        <v>43</v>
      </c>
      <c r="V27" s="1159" t="s">
        <v>43</v>
      </c>
      <c r="W27" s="1159" t="s">
        <v>43</v>
      </c>
      <c r="X27" s="1167" t="s">
        <v>170</v>
      </c>
      <c r="Y27" s="1327"/>
      <c r="Z27" s="1327"/>
      <c r="AA27" s="1204">
        <v>12800000</v>
      </c>
      <c r="AB27" s="1306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</row>
    <row r="28" spans="1:63" s="1186" customFormat="1" ht="15.75" customHeight="1">
      <c r="A28" s="1305">
        <v>16</v>
      </c>
      <c r="B28" s="1315">
        <v>540</v>
      </c>
      <c r="C28" s="1355" t="s">
        <v>3467</v>
      </c>
      <c r="D28" s="1305" t="s">
        <v>3514</v>
      </c>
      <c r="E28" s="1305" t="s">
        <v>3514</v>
      </c>
      <c r="F28" s="1322" t="s">
        <v>16337</v>
      </c>
      <c r="G28" s="1192">
        <v>600010</v>
      </c>
      <c r="H28" s="1195" t="s">
        <v>3519</v>
      </c>
      <c r="I28" s="1167" t="s">
        <v>168</v>
      </c>
      <c r="J28" s="1190" t="s">
        <v>199</v>
      </c>
      <c r="K28" s="1305" t="s">
        <v>15145</v>
      </c>
      <c r="L28" s="1305" t="s">
        <v>15146</v>
      </c>
      <c r="M28" s="1167" t="s">
        <v>15144</v>
      </c>
      <c r="N28" s="1167" t="s">
        <v>15143</v>
      </c>
      <c r="O28" s="1159" t="s">
        <v>43</v>
      </c>
      <c r="P28" s="1319" t="s">
        <v>3529</v>
      </c>
      <c r="Q28" s="1159" t="s">
        <v>43</v>
      </c>
      <c r="R28" s="1192" t="s">
        <v>68</v>
      </c>
      <c r="S28" s="1159" t="s">
        <v>43</v>
      </c>
      <c r="T28" s="1159" t="s">
        <v>43</v>
      </c>
      <c r="U28" s="1159" t="s">
        <v>43</v>
      </c>
      <c r="V28" s="1159" t="s">
        <v>43</v>
      </c>
      <c r="W28" s="1159" t="s">
        <v>43</v>
      </c>
      <c r="X28" s="1167" t="s">
        <v>170</v>
      </c>
      <c r="Y28" s="1317" t="s">
        <v>202</v>
      </c>
      <c r="Z28" s="1317" t="s">
        <v>65</v>
      </c>
      <c r="AA28" s="1204">
        <v>12000000</v>
      </c>
      <c r="AB28" s="1307" t="s">
        <v>16316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</row>
    <row r="29" spans="1:63" s="1186" customFormat="1" ht="15.75" customHeight="1">
      <c r="A29" s="1310"/>
      <c r="B29" s="1381"/>
      <c r="C29" s="1382"/>
      <c r="D29" s="1310"/>
      <c r="E29" s="1310"/>
      <c r="F29" s="1326"/>
      <c r="G29" s="1192" t="s">
        <v>3515</v>
      </c>
      <c r="H29" s="1163" t="s">
        <v>195</v>
      </c>
      <c r="I29" s="1167" t="s">
        <v>168</v>
      </c>
      <c r="J29" s="1190" t="s">
        <v>205</v>
      </c>
      <c r="K29" s="1310"/>
      <c r="L29" s="1310"/>
      <c r="M29" s="1167" t="s">
        <v>3516</v>
      </c>
      <c r="N29" s="1166" t="s">
        <v>3537</v>
      </c>
      <c r="O29" s="1159" t="s">
        <v>43</v>
      </c>
      <c r="P29" s="1330"/>
      <c r="Q29" s="1159" t="s">
        <v>43</v>
      </c>
      <c r="R29" s="1192" t="s">
        <v>255</v>
      </c>
      <c r="S29" s="1159" t="s">
        <v>43</v>
      </c>
      <c r="T29" s="1159" t="s">
        <v>43</v>
      </c>
      <c r="U29" s="1159" t="s">
        <v>43</v>
      </c>
      <c r="V29" s="1159" t="s">
        <v>43</v>
      </c>
      <c r="W29" s="1192" t="s">
        <v>1510</v>
      </c>
      <c r="X29" s="1167" t="s">
        <v>170</v>
      </c>
      <c r="Y29" s="1327"/>
      <c r="Z29" s="1327"/>
      <c r="AA29" s="1204">
        <v>10400000</v>
      </c>
      <c r="AB29" s="1308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</row>
    <row r="30" spans="1:63" s="1186" customFormat="1" ht="15.75" customHeight="1">
      <c r="A30" s="1306"/>
      <c r="B30" s="1316"/>
      <c r="C30" s="1356"/>
      <c r="D30" s="1306"/>
      <c r="E30" s="1306"/>
      <c r="F30" s="1323"/>
      <c r="G30" s="1159" t="s">
        <v>43</v>
      </c>
      <c r="H30" s="1167" t="s">
        <v>44</v>
      </c>
      <c r="I30" s="1167" t="s">
        <v>45</v>
      </c>
      <c r="J30" s="1177" t="s">
        <v>201</v>
      </c>
      <c r="K30" s="1306"/>
      <c r="L30" s="1306"/>
      <c r="M30" s="1167" t="s">
        <v>3517</v>
      </c>
      <c r="N30" s="1167" t="s">
        <v>3518</v>
      </c>
      <c r="O30" s="1159" t="s">
        <v>43</v>
      </c>
      <c r="P30" s="1320"/>
      <c r="Q30" s="1159" t="s">
        <v>43</v>
      </c>
      <c r="R30" s="1192" t="s">
        <v>48</v>
      </c>
      <c r="S30" s="1159" t="s">
        <v>43</v>
      </c>
      <c r="T30" s="1159" t="s">
        <v>43</v>
      </c>
      <c r="U30" s="1159" t="s">
        <v>43</v>
      </c>
      <c r="V30" s="1159" t="s">
        <v>43</v>
      </c>
      <c r="W30" s="1192" t="s">
        <v>1876</v>
      </c>
      <c r="X30" s="1167" t="s">
        <v>50</v>
      </c>
      <c r="Y30" s="1318"/>
      <c r="Z30" s="1318"/>
      <c r="AA30" s="1207">
        <v>0</v>
      </c>
      <c r="AB30" s="1309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</row>
    <row r="31" spans="1:63" s="1162" customFormat="1" ht="15.75" customHeight="1">
      <c r="A31" s="1321">
        <v>17</v>
      </c>
      <c r="B31" s="1328">
        <v>442</v>
      </c>
      <c r="C31" s="1355" t="s">
        <v>16462</v>
      </c>
      <c r="D31" s="1355" t="s">
        <v>16462</v>
      </c>
      <c r="E31" s="1321" t="s">
        <v>1591</v>
      </c>
      <c r="F31" s="1322" t="s">
        <v>16326</v>
      </c>
      <c r="G31" s="1192" t="s">
        <v>4828</v>
      </c>
      <c r="H31" s="1178" t="s">
        <v>7763</v>
      </c>
      <c r="I31" s="1167" t="s">
        <v>60</v>
      </c>
      <c r="J31" s="1190" t="s">
        <v>205</v>
      </c>
      <c r="K31" s="1305" t="s">
        <v>15210</v>
      </c>
      <c r="L31" s="1305" t="s">
        <v>15211</v>
      </c>
      <c r="M31" s="1198" t="s">
        <v>221</v>
      </c>
      <c r="N31" s="1167" t="s">
        <v>15206</v>
      </c>
      <c r="O31" s="1159" t="s">
        <v>43</v>
      </c>
      <c r="P31" s="1319" t="s">
        <v>4857</v>
      </c>
      <c r="Q31" s="1192" t="s">
        <v>172</v>
      </c>
      <c r="R31" s="1192" t="s">
        <v>166</v>
      </c>
      <c r="S31" s="1159" t="s">
        <v>43</v>
      </c>
      <c r="T31" s="1159" t="s">
        <v>43</v>
      </c>
      <c r="U31" s="1159" t="s">
        <v>43</v>
      </c>
      <c r="V31" s="1159" t="s">
        <v>43</v>
      </c>
      <c r="W31" s="1159" t="s">
        <v>43</v>
      </c>
      <c r="X31" s="1167" t="s">
        <v>167</v>
      </c>
      <c r="Y31" s="1305" t="s">
        <v>202</v>
      </c>
      <c r="Z31" s="1317" t="s">
        <v>65</v>
      </c>
      <c r="AA31" s="1207">
        <v>8960000</v>
      </c>
      <c r="AB31" s="1305" t="s">
        <v>16470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</row>
    <row r="32" spans="1:63" s="1162" customFormat="1" ht="15.75" customHeight="1">
      <c r="A32" s="1321"/>
      <c r="B32" s="1328"/>
      <c r="C32" s="1356"/>
      <c r="D32" s="1356"/>
      <c r="E32" s="1321"/>
      <c r="F32" s="1326"/>
      <c r="G32" s="1192" t="s">
        <v>4829</v>
      </c>
      <c r="H32" s="1163" t="s">
        <v>195</v>
      </c>
      <c r="I32" s="1167" t="s">
        <v>108</v>
      </c>
      <c r="J32" s="1190" t="s">
        <v>199</v>
      </c>
      <c r="K32" s="1306"/>
      <c r="L32" s="1306"/>
      <c r="M32" s="1167" t="s">
        <v>4830</v>
      </c>
      <c r="N32" s="1166" t="s">
        <v>4867</v>
      </c>
      <c r="O32" s="1159" t="s">
        <v>43</v>
      </c>
      <c r="P32" s="1320"/>
      <c r="Q32" s="1159" t="s">
        <v>43</v>
      </c>
      <c r="R32" s="1192" t="s">
        <v>68</v>
      </c>
      <c r="S32" s="1159" t="s">
        <v>43</v>
      </c>
      <c r="T32" s="1159" t="s">
        <v>43</v>
      </c>
      <c r="U32" s="1159" t="s">
        <v>43</v>
      </c>
      <c r="V32" s="1159" t="s">
        <v>43</v>
      </c>
      <c r="W32" s="1159" t="s">
        <v>43</v>
      </c>
      <c r="X32" s="1167" t="s">
        <v>3236</v>
      </c>
      <c r="Y32" s="1306"/>
      <c r="Z32" s="1318"/>
      <c r="AA32" s="1204">
        <v>20800000</v>
      </c>
      <c r="AB32" s="1306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</row>
    <row r="33" spans="1:63" s="1186" customFormat="1" ht="15.75" customHeight="1">
      <c r="A33" s="1305">
        <v>18</v>
      </c>
      <c r="B33" s="1315">
        <v>267</v>
      </c>
      <c r="C33" s="1355" t="s">
        <v>933</v>
      </c>
      <c r="D33" s="1355" t="s">
        <v>933</v>
      </c>
      <c r="E33" s="1305" t="s">
        <v>16461</v>
      </c>
      <c r="F33" s="1322" t="s">
        <v>16334</v>
      </c>
      <c r="G33" s="1189">
        <v>548629</v>
      </c>
      <c r="H33" s="1167" t="s">
        <v>3367</v>
      </c>
      <c r="I33" s="1167" t="s">
        <v>60</v>
      </c>
      <c r="J33" s="1190" t="s">
        <v>199</v>
      </c>
      <c r="K33" s="1199" t="s">
        <v>16327</v>
      </c>
      <c r="L33" s="1199" t="s">
        <v>16328</v>
      </c>
      <c r="M33" s="1167" t="s">
        <v>16329</v>
      </c>
      <c r="N33" s="1167" t="s">
        <v>16330</v>
      </c>
      <c r="O33" s="1159" t="s">
        <v>43</v>
      </c>
      <c r="P33" s="1200" t="s">
        <v>16331</v>
      </c>
      <c r="Q33" s="1159" t="s">
        <v>43</v>
      </c>
      <c r="R33" s="1192" t="s">
        <v>397</v>
      </c>
      <c r="S33" s="1159" t="s">
        <v>43</v>
      </c>
      <c r="T33" s="1159" t="s">
        <v>43</v>
      </c>
      <c r="U33" s="1159" t="s">
        <v>43</v>
      </c>
      <c r="V33" s="1159" t="s">
        <v>43</v>
      </c>
      <c r="W33" s="1159" t="s">
        <v>43</v>
      </c>
      <c r="X33" s="1167" t="s">
        <v>167</v>
      </c>
      <c r="Y33" s="1201" t="s">
        <v>202</v>
      </c>
      <c r="Z33" s="1167" t="s">
        <v>65</v>
      </c>
      <c r="AA33" s="1204">
        <v>12000000</v>
      </c>
      <c r="AB33" s="1305" t="s">
        <v>16470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1:63" s="1186" customFormat="1" ht="15.75" customHeight="1">
      <c r="A34" s="1306"/>
      <c r="B34" s="1316"/>
      <c r="C34" s="1356"/>
      <c r="D34" s="1356"/>
      <c r="E34" s="1306"/>
      <c r="F34" s="1326"/>
      <c r="G34" s="1202">
        <v>611853</v>
      </c>
      <c r="H34" s="1163" t="s">
        <v>195</v>
      </c>
      <c r="I34" s="1167" t="s">
        <v>108</v>
      </c>
      <c r="J34" s="1190" t="s">
        <v>199</v>
      </c>
      <c r="K34" s="1183"/>
      <c r="L34" s="1183"/>
      <c r="M34" s="1167" t="s">
        <v>16332</v>
      </c>
      <c r="N34" s="1166" t="s">
        <v>16333</v>
      </c>
      <c r="O34" s="1159" t="s">
        <v>43</v>
      </c>
      <c r="P34" s="1184"/>
      <c r="Q34" s="1159" t="s">
        <v>43</v>
      </c>
      <c r="R34" s="1192" t="s">
        <v>2274</v>
      </c>
      <c r="S34" s="1192" t="s">
        <v>298</v>
      </c>
      <c r="T34" s="1159" t="s">
        <v>43</v>
      </c>
      <c r="U34" s="1159" t="s">
        <v>43</v>
      </c>
      <c r="V34" s="1159" t="s">
        <v>43</v>
      </c>
      <c r="W34" s="1159" t="s">
        <v>43</v>
      </c>
      <c r="X34" s="1167" t="s">
        <v>299</v>
      </c>
      <c r="Y34" s="1203"/>
      <c r="Z34" s="1167"/>
      <c r="AA34" s="1204">
        <v>20800000</v>
      </c>
      <c r="AB34" s="1306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1:63" s="1162" customFormat="1" ht="15.75" customHeight="1">
      <c r="A35" s="1312">
        <v>19</v>
      </c>
      <c r="B35" s="1334">
        <v>371</v>
      </c>
      <c r="C35" s="1355" t="s">
        <v>2592</v>
      </c>
      <c r="D35" s="1355" t="s">
        <v>2592</v>
      </c>
      <c r="E35" s="1312" t="s">
        <v>2605</v>
      </c>
      <c r="F35" s="1322" t="s">
        <v>16335</v>
      </c>
      <c r="G35" s="1160" t="s">
        <v>2600</v>
      </c>
      <c r="H35" s="1163" t="s">
        <v>2779</v>
      </c>
      <c r="I35" s="1166" t="s">
        <v>260</v>
      </c>
      <c r="J35" s="1177" t="s">
        <v>205</v>
      </c>
      <c r="K35" s="1312" t="s">
        <v>15070</v>
      </c>
      <c r="L35" s="1312" t="s">
        <v>15071</v>
      </c>
      <c r="M35" s="1166" t="s">
        <v>2606</v>
      </c>
      <c r="N35" s="1166" t="s">
        <v>15072</v>
      </c>
      <c r="O35" s="1159" t="s">
        <v>43</v>
      </c>
      <c r="P35" s="1337" t="s">
        <v>2775</v>
      </c>
      <c r="Q35" s="1159" t="s">
        <v>43</v>
      </c>
      <c r="R35" s="1160" t="s">
        <v>68</v>
      </c>
      <c r="S35" s="1159" t="s">
        <v>43</v>
      </c>
      <c r="T35" s="1159" t="s">
        <v>43</v>
      </c>
      <c r="U35" s="1159" t="s">
        <v>43</v>
      </c>
      <c r="V35" s="1159" t="s">
        <v>43</v>
      </c>
      <c r="W35" s="1159" t="s">
        <v>43</v>
      </c>
      <c r="X35" s="1166" t="s">
        <v>2595</v>
      </c>
      <c r="Y35" s="1312" t="s">
        <v>202</v>
      </c>
      <c r="Z35" s="1345" t="s">
        <v>65</v>
      </c>
      <c r="AA35" s="1204">
        <v>4480000</v>
      </c>
      <c r="AB35" s="1305" t="s">
        <v>16316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1:63" s="1162" customFormat="1" ht="15.75" customHeight="1">
      <c r="A36" s="1314"/>
      <c r="B36" s="1336"/>
      <c r="C36" s="1356"/>
      <c r="D36" s="1356"/>
      <c r="E36" s="1314"/>
      <c r="F36" s="1326"/>
      <c r="G36" s="1160" t="s">
        <v>2607</v>
      </c>
      <c r="H36" s="1163" t="s">
        <v>195</v>
      </c>
      <c r="I36" s="1166" t="s">
        <v>260</v>
      </c>
      <c r="J36" s="1177" t="s">
        <v>199</v>
      </c>
      <c r="K36" s="1314"/>
      <c r="L36" s="1314"/>
      <c r="M36" s="1166" t="s">
        <v>2608</v>
      </c>
      <c r="N36" s="1166" t="s">
        <v>2780</v>
      </c>
      <c r="O36" s="1159" t="s">
        <v>43</v>
      </c>
      <c r="P36" s="1339"/>
      <c r="Q36" s="1159" t="s">
        <v>43</v>
      </c>
      <c r="R36" s="1160" t="s">
        <v>255</v>
      </c>
      <c r="S36" s="1159" t="s">
        <v>43</v>
      </c>
      <c r="T36" s="1159" t="s">
        <v>43</v>
      </c>
      <c r="U36" s="1159" t="s">
        <v>43</v>
      </c>
      <c r="V36" s="1159" t="s">
        <v>43</v>
      </c>
      <c r="W36" s="1160" t="s">
        <v>1510</v>
      </c>
      <c r="X36" s="1166" t="s">
        <v>2595</v>
      </c>
      <c r="Y36" s="1314"/>
      <c r="Z36" s="1345"/>
      <c r="AA36" s="1204">
        <v>20800000</v>
      </c>
      <c r="AB36" s="130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1:63" s="1162" customFormat="1" ht="15.75" customHeight="1">
      <c r="A37" s="1312">
        <v>20</v>
      </c>
      <c r="B37" s="1334">
        <v>520</v>
      </c>
      <c r="C37" s="1355" t="s">
        <v>2592</v>
      </c>
      <c r="D37" s="1312" t="s">
        <v>2641</v>
      </c>
      <c r="E37" s="1312" t="s">
        <v>2641</v>
      </c>
      <c r="F37" s="1322" t="s">
        <v>16336</v>
      </c>
      <c r="G37" s="1160" t="s">
        <v>2642</v>
      </c>
      <c r="H37" s="1163" t="s">
        <v>2779</v>
      </c>
      <c r="I37" s="1166" t="s">
        <v>260</v>
      </c>
      <c r="J37" s="1177" t="s">
        <v>205</v>
      </c>
      <c r="K37" s="1312" t="s">
        <v>15092</v>
      </c>
      <c r="L37" s="1312" t="s">
        <v>15093</v>
      </c>
      <c r="M37" s="1166" t="s">
        <v>2643</v>
      </c>
      <c r="N37" s="1166" t="s">
        <v>15012</v>
      </c>
      <c r="O37" s="1159" t="s">
        <v>43</v>
      </c>
      <c r="P37" s="1337" t="s">
        <v>2912</v>
      </c>
      <c r="Q37" s="1159" t="s">
        <v>43</v>
      </c>
      <c r="R37" s="1160" t="s">
        <v>68</v>
      </c>
      <c r="S37" s="1159" t="s">
        <v>43</v>
      </c>
      <c r="T37" s="1159" t="s">
        <v>43</v>
      </c>
      <c r="U37" s="1159" t="s">
        <v>43</v>
      </c>
      <c r="V37" s="1159" t="s">
        <v>43</v>
      </c>
      <c r="W37" s="1159" t="s">
        <v>43</v>
      </c>
      <c r="X37" s="1166" t="s">
        <v>2595</v>
      </c>
      <c r="Y37" s="1312" t="s">
        <v>202</v>
      </c>
      <c r="Z37" s="1345" t="s">
        <v>65</v>
      </c>
      <c r="AA37" s="1204">
        <v>4480000</v>
      </c>
      <c r="AB37" s="1305" t="s">
        <v>16471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1:63" s="1162" customFormat="1" ht="15.75" customHeight="1">
      <c r="A38" s="1314"/>
      <c r="B38" s="1336"/>
      <c r="C38" s="1356"/>
      <c r="D38" s="1314"/>
      <c r="E38" s="1314"/>
      <c r="F38" s="1326"/>
      <c r="G38" s="1160" t="s">
        <v>9328</v>
      </c>
      <c r="H38" s="1163" t="s">
        <v>195</v>
      </c>
      <c r="I38" s="1166" t="s">
        <v>260</v>
      </c>
      <c r="J38" s="1177" t="s">
        <v>205</v>
      </c>
      <c r="K38" s="1314"/>
      <c r="L38" s="1314"/>
      <c r="M38" s="1166" t="s">
        <v>15011</v>
      </c>
      <c r="N38" s="1166" t="s">
        <v>2916</v>
      </c>
      <c r="O38" s="1159" t="s">
        <v>43</v>
      </c>
      <c r="P38" s="1339"/>
      <c r="Q38" s="1159" t="s">
        <v>43</v>
      </c>
      <c r="R38" s="1160" t="s">
        <v>255</v>
      </c>
      <c r="S38" s="1159" t="s">
        <v>43</v>
      </c>
      <c r="T38" s="1159" t="s">
        <v>43</v>
      </c>
      <c r="U38" s="1159" t="s">
        <v>43</v>
      </c>
      <c r="V38" s="1159" t="s">
        <v>43</v>
      </c>
      <c r="W38" s="1160" t="s">
        <v>432</v>
      </c>
      <c r="X38" s="1166" t="s">
        <v>2595</v>
      </c>
      <c r="Y38" s="1314"/>
      <c r="Z38" s="1345"/>
      <c r="AA38" s="1204">
        <v>10400000</v>
      </c>
      <c r="AB38" s="1306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1:63" s="102" customFormat="1" ht="15.75" customHeight="1">
      <c r="A39" s="1312">
        <v>21</v>
      </c>
      <c r="B39" s="1334">
        <v>358</v>
      </c>
      <c r="C39" s="1322" t="s">
        <v>12007</v>
      </c>
      <c r="D39" s="1322" t="s">
        <v>16460</v>
      </c>
      <c r="E39" s="1372" t="s">
        <v>3137</v>
      </c>
      <c r="F39" s="1322" t="s">
        <v>16349</v>
      </c>
      <c r="G39" s="1157" t="s">
        <v>16338</v>
      </c>
      <c r="H39" s="1166" t="s">
        <v>1514</v>
      </c>
      <c r="I39" s="1178" t="s">
        <v>7763</v>
      </c>
      <c r="J39" s="1177" t="s">
        <v>205</v>
      </c>
      <c r="K39" s="1312" t="s">
        <v>16339</v>
      </c>
      <c r="L39" s="1312" t="s">
        <v>16340</v>
      </c>
      <c r="M39" s="1164" t="s">
        <v>16341</v>
      </c>
      <c r="N39" s="1166" t="s">
        <v>16342</v>
      </c>
      <c r="O39" s="1159" t="s">
        <v>43</v>
      </c>
      <c r="P39" s="1337" t="s">
        <v>16343</v>
      </c>
      <c r="Q39" s="1157" t="s">
        <v>16344</v>
      </c>
      <c r="R39" s="1157" t="s">
        <v>166</v>
      </c>
      <c r="S39" s="1159" t="s">
        <v>43</v>
      </c>
      <c r="T39" s="1159" t="s">
        <v>43</v>
      </c>
      <c r="U39" s="1159" t="s">
        <v>43</v>
      </c>
      <c r="V39" s="1159" t="s">
        <v>43</v>
      </c>
      <c r="W39" s="1159" t="s">
        <v>43</v>
      </c>
      <c r="X39" s="1166" t="s">
        <v>167</v>
      </c>
      <c r="Y39" s="1312" t="s">
        <v>202</v>
      </c>
      <c r="Z39" s="1312" t="s">
        <v>65</v>
      </c>
      <c r="AA39" s="1196">
        <v>8960000</v>
      </c>
      <c r="AB39" s="1312" t="s">
        <v>16316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1:63" s="102" customFormat="1" ht="15.75" customHeight="1">
      <c r="A40" s="1313"/>
      <c r="B40" s="1335"/>
      <c r="C40" s="1326"/>
      <c r="D40" s="1326"/>
      <c r="E40" s="1373"/>
      <c r="F40" s="1326"/>
      <c r="G40" s="1157">
        <v>594740</v>
      </c>
      <c r="H40" s="1163" t="s">
        <v>195</v>
      </c>
      <c r="I40" s="1166" t="s">
        <v>108</v>
      </c>
      <c r="J40" s="1177" t="s">
        <v>205</v>
      </c>
      <c r="K40" s="1313"/>
      <c r="L40" s="1313"/>
      <c r="M40" s="1164" t="s">
        <v>16345</v>
      </c>
      <c r="N40" s="1164" t="s">
        <v>16346</v>
      </c>
      <c r="O40" s="1159" t="s">
        <v>43</v>
      </c>
      <c r="P40" s="1338"/>
      <c r="Q40" s="1159" t="s">
        <v>43</v>
      </c>
      <c r="R40" s="1160" t="s">
        <v>297</v>
      </c>
      <c r="S40" s="1160" t="s">
        <v>438</v>
      </c>
      <c r="T40" s="1159" t="s">
        <v>43</v>
      </c>
      <c r="U40" s="1159" t="s">
        <v>43</v>
      </c>
      <c r="V40" s="1159" t="s">
        <v>43</v>
      </c>
      <c r="W40" s="1159" t="s">
        <v>43</v>
      </c>
      <c r="X40" s="1166" t="s">
        <v>299</v>
      </c>
      <c r="Y40" s="1313"/>
      <c r="Z40" s="1313"/>
      <c r="AA40" s="1161">
        <v>10400000</v>
      </c>
      <c r="AB40" s="1313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</row>
    <row r="41" spans="1:63" s="102" customFormat="1" ht="19.5" customHeight="1">
      <c r="A41" s="1314"/>
      <c r="B41" s="1336"/>
      <c r="C41" s="1323"/>
      <c r="D41" s="1323"/>
      <c r="E41" s="1387"/>
      <c r="F41" s="1326"/>
      <c r="G41" s="1159" t="s">
        <v>43</v>
      </c>
      <c r="H41" s="1167" t="s">
        <v>84</v>
      </c>
      <c r="I41" s="1166" t="s">
        <v>45</v>
      </c>
      <c r="J41" s="1177" t="s">
        <v>201</v>
      </c>
      <c r="K41" s="1314"/>
      <c r="L41" s="1314"/>
      <c r="M41" s="1164" t="s">
        <v>16347</v>
      </c>
      <c r="N41" s="1166" t="s">
        <v>16348</v>
      </c>
      <c r="O41" s="1159" t="s">
        <v>43</v>
      </c>
      <c r="P41" s="1339"/>
      <c r="Q41" s="1159" t="s">
        <v>43</v>
      </c>
      <c r="R41" s="1157" t="s">
        <v>48</v>
      </c>
      <c r="S41" s="1159" t="s">
        <v>43</v>
      </c>
      <c r="T41" s="1159" t="s">
        <v>43</v>
      </c>
      <c r="U41" s="1159" t="s">
        <v>43</v>
      </c>
      <c r="V41" s="1159" t="s">
        <v>43</v>
      </c>
      <c r="W41" s="1160" t="s">
        <v>3138</v>
      </c>
      <c r="X41" s="1166" t="s">
        <v>50</v>
      </c>
      <c r="Y41" s="1314"/>
      <c r="Z41" s="1314"/>
      <c r="AA41" s="1196">
        <v>0</v>
      </c>
      <c r="AB41" s="1314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1:63" s="27" customFormat="1" ht="15.75" customHeight="1">
      <c r="A42" s="1312">
        <v>22</v>
      </c>
      <c r="B42" s="1334">
        <v>452</v>
      </c>
      <c r="C42" s="1322" t="s">
        <v>8594</v>
      </c>
      <c r="D42" s="1322" t="s">
        <v>8594</v>
      </c>
      <c r="E42" s="1312" t="s">
        <v>2729</v>
      </c>
      <c r="F42" s="1322" t="s">
        <v>16357</v>
      </c>
      <c r="G42" s="1157">
        <v>539985</v>
      </c>
      <c r="H42" s="1166" t="s">
        <v>1659</v>
      </c>
      <c r="I42" s="1166" t="s">
        <v>108</v>
      </c>
      <c r="J42" s="1177" t="s">
        <v>205</v>
      </c>
      <c r="K42" s="1312" t="s">
        <v>16350</v>
      </c>
      <c r="L42" s="1312" t="s">
        <v>16351</v>
      </c>
      <c r="M42" s="1166" t="s">
        <v>16352</v>
      </c>
      <c r="N42" s="1166" t="s">
        <v>16353</v>
      </c>
      <c r="O42" s="1159" t="s">
        <v>43</v>
      </c>
      <c r="P42" s="1337" t="s">
        <v>16354</v>
      </c>
      <c r="Q42" s="1159" t="s">
        <v>43</v>
      </c>
      <c r="R42" s="1160" t="s">
        <v>315</v>
      </c>
      <c r="S42" s="1219"/>
      <c r="T42" s="1159" t="s">
        <v>43</v>
      </c>
      <c r="U42" s="1159" t="s">
        <v>43</v>
      </c>
      <c r="V42" s="1159" t="s">
        <v>43</v>
      </c>
      <c r="W42" s="1159" t="s">
        <v>43</v>
      </c>
      <c r="X42" s="1166" t="s">
        <v>299</v>
      </c>
      <c r="Y42" s="1312" t="s">
        <v>202</v>
      </c>
      <c r="Z42" s="1345" t="s">
        <v>65</v>
      </c>
      <c r="AA42" s="1161">
        <v>4000000</v>
      </c>
      <c r="AB42" s="1305" t="s">
        <v>16316</v>
      </c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63" s="27" customFormat="1" ht="15.75" customHeight="1">
      <c r="A43" s="1314"/>
      <c r="B43" s="1336"/>
      <c r="C43" s="1323"/>
      <c r="D43" s="1323"/>
      <c r="E43" s="1314"/>
      <c r="F43" s="1326"/>
      <c r="G43" s="1157">
        <v>595218</v>
      </c>
      <c r="H43" s="1166" t="s">
        <v>107</v>
      </c>
      <c r="I43" s="1166" t="s">
        <v>108</v>
      </c>
      <c r="J43" s="1177" t="s">
        <v>199</v>
      </c>
      <c r="K43" s="1314"/>
      <c r="L43" s="1314"/>
      <c r="M43" s="1166" t="s">
        <v>16355</v>
      </c>
      <c r="N43" s="1166" t="s">
        <v>16356</v>
      </c>
      <c r="O43" s="1159" t="s">
        <v>43</v>
      </c>
      <c r="P43" s="1339"/>
      <c r="Q43" s="1159" t="s">
        <v>43</v>
      </c>
      <c r="R43" s="1160" t="s">
        <v>297</v>
      </c>
      <c r="S43" s="1219"/>
      <c r="T43" s="1159" t="s">
        <v>43</v>
      </c>
      <c r="U43" s="1159" t="s">
        <v>43</v>
      </c>
      <c r="V43" s="1159" t="s">
        <v>43</v>
      </c>
      <c r="W43" s="1159" t="s">
        <v>43</v>
      </c>
      <c r="X43" s="1166" t="s">
        <v>299</v>
      </c>
      <c r="Y43" s="1314"/>
      <c r="Z43" s="1345"/>
      <c r="AA43" s="1161">
        <v>20800000</v>
      </c>
      <c r="AB43" s="1306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4" spans="1:63" s="12" customFormat="1" ht="15.75" customHeight="1">
      <c r="A44" s="1312">
        <v>23</v>
      </c>
      <c r="B44" s="1334">
        <v>471</v>
      </c>
      <c r="C44" s="1322" t="s">
        <v>7828</v>
      </c>
      <c r="D44" s="1322" t="s">
        <v>7828</v>
      </c>
      <c r="E44" s="1352" t="s">
        <v>254</v>
      </c>
      <c r="F44" s="1322" t="s">
        <v>16379</v>
      </c>
      <c r="G44" s="1157" t="s">
        <v>16358</v>
      </c>
      <c r="H44" s="1166" t="s">
        <v>59</v>
      </c>
      <c r="I44" s="1166" t="s">
        <v>60</v>
      </c>
      <c r="J44" s="1177" t="s">
        <v>199</v>
      </c>
      <c r="K44" s="1352" t="s">
        <v>16359</v>
      </c>
      <c r="L44" s="1352" t="s">
        <v>16360</v>
      </c>
      <c r="M44" s="1164" t="s">
        <v>221</v>
      </c>
      <c r="N44" s="1166" t="s">
        <v>16361</v>
      </c>
      <c r="O44" s="1165" t="s">
        <v>43</v>
      </c>
      <c r="P44" s="1337" t="s">
        <v>16362</v>
      </c>
      <c r="Q44" s="1160" t="s">
        <v>172</v>
      </c>
      <c r="R44" s="1160" t="s">
        <v>166</v>
      </c>
      <c r="S44" s="1165" t="s">
        <v>43</v>
      </c>
      <c r="T44" s="1165" t="s">
        <v>43</v>
      </c>
      <c r="U44" s="1165" t="s">
        <v>43</v>
      </c>
      <c r="V44" s="1165" t="s">
        <v>43</v>
      </c>
      <c r="W44" s="1165" t="s">
        <v>43</v>
      </c>
      <c r="X44" s="1166" t="s">
        <v>151</v>
      </c>
      <c r="Y44" s="1340" t="s">
        <v>202</v>
      </c>
      <c r="Z44" s="1340" t="s">
        <v>242</v>
      </c>
      <c r="AA44" s="1161">
        <v>17920000</v>
      </c>
      <c r="AB44" s="1307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</row>
    <row r="45" spans="1:63" s="12" customFormat="1" ht="15.75" customHeight="1">
      <c r="A45" s="1313"/>
      <c r="B45" s="1335"/>
      <c r="C45" s="1326"/>
      <c r="D45" s="1326"/>
      <c r="E45" s="1353"/>
      <c r="F45" s="1326"/>
      <c r="G45" s="1157" t="s">
        <v>16363</v>
      </c>
      <c r="H45" s="1163" t="s">
        <v>195</v>
      </c>
      <c r="I45" s="1166" t="s">
        <v>168</v>
      </c>
      <c r="J45" s="1177" t="s">
        <v>199</v>
      </c>
      <c r="K45" s="1353"/>
      <c r="L45" s="1353"/>
      <c r="M45" s="1164" t="s">
        <v>16364</v>
      </c>
      <c r="N45" s="1166" t="s">
        <v>16365</v>
      </c>
      <c r="O45" s="1165" t="s">
        <v>43</v>
      </c>
      <c r="P45" s="1338"/>
      <c r="Q45" s="1165" t="s">
        <v>43</v>
      </c>
      <c r="R45" s="1160" t="s">
        <v>255</v>
      </c>
      <c r="S45" s="1165" t="s">
        <v>43</v>
      </c>
      <c r="T45" s="1165" t="s">
        <v>43</v>
      </c>
      <c r="U45" s="1165" t="s">
        <v>43</v>
      </c>
      <c r="V45" s="1165" t="s">
        <v>43</v>
      </c>
      <c r="W45" s="1160" t="s">
        <v>247</v>
      </c>
      <c r="X45" s="1166" t="s">
        <v>170</v>
      </c>
      <c r="Y45" s="1341"/>
      <c r="Z45" s="1341"/>
      <c r="AA45" s="1161">
        <v>20800000</v>
      </c>
      <c r="AB45" s="1308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</row>
    <row r="46" spans="1:63" s="27" customFormat="1" ht="19.5" customHeight="1">
      <c r="A46" s="1314"/>
      <c r="B46" s="1336"/>
      <c r="C46" s="1323"/>
      <c r="D46" s="1323"/>
      <c r="E46" s="1354"/>
      <c r="F46" s="1326"/>
      <c r="G46" s="1159" t="s">
        <v>43</v>
      </c>
      <c r="H46" s="1166" t="s">
        <v>44</v>
      </c>
      <c r="I46" s="1166" t="s">
        <v>45</v>
      </c>
      <c r="J46" s="1177" t="s">
        <v>201</v>
      </c>
      <c r="K46" s="1354"/>
      <c r="L46" s="1354"/>
      <c r="M46" s="1164" t="s">
        <v>16366</v>
      </c>
      <c r="N46" s="1164" t="s">
        <v>16367</v>
      </c>
      <c r="O46" s="1159" t="s">
        <v>43</v>
      </c>
      <c r="P46" s="1339"/>
      <c r="Q46" s="1159" t="s">
        <v>43</v>
      </c>
      <c r="R46" s="1160" t="s">
        <v>48</v>
      </c>
      <c r="S46" s="1159" t="s">
        <v>43</v>
      </c>
      <c r="T46" s="1159" t="s">
        <v>43</v>
      </c>
      <c r="U46" s="1159" t="s">
        <v>43</v>
      </c>
      <c r="V46" s="1165" t="s">
        <v>43</v>
      </c>
      <c r="W46" s="1160" t="s">
        <v>1876</v>
      </c>
      <c r="X46" s="1166" t="s">
        <v>50</v>
      </c>
      <c r="Y46" s="1342"/>
      <c r="Z46" s="1342"/>
      <c r="AA46" s="1209">
        <v>0</v>
      </c>
      <c r="AB46" s="1309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</row>
    <row r="47" spans="1:63" s="27" customFormat="1" ht="15.75" customHeight="1">
      <c r="A47" s="1305">
        <v>24</v>
      </c>
      <c r="B47" s="1348">
        <v>406</v>
      </c>
      <c r="C47" s="1322" t="s">
        <v>3742</v>
      </c>
      <c r="D47" s="1322" t="s">
        <v>3742</v>
      </c>
      <c r="E47" s="1350" t="s">
        <v>4774</v>
      </c>
      <c r="F47" s="1322" t="s">
        <v>16378</v>
      </c>
      <c r="G47" s="1189" t="s">
        <v>16368</v>
      </c>
      <c r="H47" s="1167" t="s">
        <v>1659</v>
      </c>
      <c r="I47" s="1167" t="s">
        <v>168</v>
      </c>
      <c r="J47" s="1190" t="s">
        <v>199</v>
      </c>
      <c r="K47" s="1305" t="s">
        <v>16369</v>
      </c>
      <c r="L47" s="1305" t="s">
        <v>16370</v>
      </c>
      <c r="M47" s="1167" t="s">
        <v>16371</v>
      </c>
      <c r="N47" s="1167" t="s">
        <v>16372</v>
      </c>
      <c r="O47" s="1159" t="s">
        <v>43</v>
      </c>
      <c r="P47" s="1319" t="s">
        <v>16373</v>
      </c>
      <c r="Q47" s="1159" t="s">
        <v>43</v>
      </c>
      <c r="R47" s="1192" t="s">
        <v>16374</v>
      </c>
      <c r="S47" s="1159" t="s">
        <v>43</v>
      </c>
      <c r="T47" s="1159" t="s">
        <v>43</v>
      </c>
      <c r="U47" s="1159" t="s">
        <v>43</v>
      </c>
      <c r="V47" s="1159" t="s">
        <v>43</v>
      </c>
      <c r="W47" s="1192" t="s">
        <v>16375</v>
      </c>
      <c r="X47" s="1167" t="s">
        <v>170</v>
      </c>
      <c r="Y47" s="1317" t="s">
        <v>202</v>
      </c>
      <c r="Z47" s="1317" t="s">
        <v>242</v>
      </c>
      <c r="AA47" s="1161">
        <v>8000000</v>
      </c>
      <c r="AB47" s="1305" t="s">
        <v>16471</v>
      </c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</row>
    <row r="48" spans="1:63" s="27" customFormat="1" ht="15.75" customHeight="1">
      <c r="A48" s="1310"/>
      <c r="B48" s="1349"/>
      <c r="C48" s="1323"/>
      <c r="D48" s="1323"/>
      <c r="E48" s="1351"/>
      <c r="F48" s="1326"/>
      <c r="G48" s="1189">
        <v>597162</v>
      </c>
      <c r="H48" s="1163" t="s">
        <v>195</v>
      </c>
      <c r="I48" s="1167" t="s">
        <v>168</v>
      </c>
      <c r="J48" s="1190" t="s">
        <v>199</v>
      </c>
      <c r="K48" s="1310"/>
      <c r="L48" s="1310"/>
      <c r="M48" s="1198" t="s">
        <v>16376</v>
      </c>
      <c r="N48" s="1166" t="s">
        <v>16377</v>
      </c>
      <c r="O48" s="1159" t="s">
        <v>43</v>
      </c>
      <c r="P48" s="1330"/>
      <c r="Q48" s="1159" t="s">
        <v>43</v>
      </c>
      <c r="R48" s="1192" t="s">
        <v>246</v>
      </c>
      <c r="S48" s="1159" t="s">
        <v>43</v>
      </c>
      <c r="T48" s="1159" t="s">
        <v>43</v>
      </c>
      <c r="U48" s="1159" t="s">
        <v>43</v>
      </c>
      <c r="V48" s="1159" t="s">
        <v>43</v>
      </c>
      <c r="W48" s="1192" t="s">
        <v>1517</v>
      </c>
      <c r="X48" s="1167" t="s">
        <v>170</v>
      </c>
      <c r="Y48" s="1327"/>
      <c r="Z48" s="1327"/>
      <c r="AA48" s="1196">
        <v>20800000</v>
      </c>
      <c r="AB48" s="1306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</row>
    <row r="49" spans="1:63" s="27" customFormat="1" ht="15.75" customHeight="1">
      <c r="A49" s="1312">
        <v>25</v>
      </c>
      <c r="B49" s="1334">
        <v>288</v>
      </c>
      <c r="C49" s="1322" t="s">
        <v>2476</v>
      </c>
      <c r="D49" s="1343" t="s">
        <v>2499</v>
      </c>
      <c r="E49" s="1312" t="s">
        <v>2509</v>
      </c>
      <c r="F49" s="1322" t="s">
        <v>16407</v>
      </c>
      <c r="G49" s="1157" t="s">
        <v>16380</v>
      </c>
      <c r="H49" s="1166" t="s">
        <v>1659</v>
      </c>
      <c r="I49" s="1166" t="s">
        <v>108</v>
      </c>
      <c r="J49" s="1177" t="s">
        <v>199</v>
      </c>
      <c r="K49" s="1346" t="s">
        <v>16381</v>
      </c>
      <c r="L49" s="1343" t="s">
        <v>16382</v>
      </c>
      <c r="M49" s="1166" t="s">
        <v>16383</v>
      </c>
      <c r="N49" s="1166" t="s">
        <v>16384</v>
      </c>
      <c r="O49" s="1159" t="s">
        <v>43</v>
      </c>
      <c r="P49" s="1337" t="s">
        <v>16385</v>
      </c>
      <c r="Q49" s="1159" t="s">
        <v>43</v>
      </c>
      <c r="R49" s="1160" t="s">
        <v>315</v>
      </c>
      <c r="S49" s="1160" t="s">
        <v>438</v>
      </c>
      <c r="T49" s="1159" t="s">
        <v>43</v>
      </c>
      <c r="U49" s="1159" t="s">
        <v>43</v>
      </c>
      <c r="V49" s="1159" t="s">
        <v>43</v>
      </c>
      <c r="W49" s="1159" t="s">
        <v>43</v>
      </c>
      <c r="X49" s="1166" t="s">
        <v>299</v>
      </c>
      <c r="Y49" s="1312" t="s">
        <v>202</v>
      </c>
      <c r="Z49" s="1345" t="s">
        <v>65</v>
      </c>
      <c r="AA49" s="1161">
        <v>12000000</v>
      </c>
      <c r="AB49" s="1305" t="s">
        <v>16471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</row>
    <row r="50" spans="1:63" s="27" customFormat="1" ht="15.75" customHeight="1">
      <c r="A50" s="1314"/>
      <c r="B50" s="1336"/>
      <c r="C50" s="1323"/>
      <c r="D50" s="1344"/>
      <c r="E50" s="1314"/>
      <c r="F50" s="1326"/>
      <c r="G50" s="1157">
        <v>587600</v>
      </c>
      <c r="H50" s="1163" t="s">
        <v>195</v>
      </c>
      <c r="I50" s="1166" t="s">
        <v>108</v>
      </c>
      <c r="J50" s="1177" t="s">
        <v>199</v>
      </c>
      <c r="K50" s="1347"/>
      <c r="L50" s="1344"/>
      <c r="M50" s="1166" t="s">
        <v>16386</v>
      </c>
      <c r="N50" s="1166" t="s">
        <v>16387</v>
      </c>
      <c r="O50" s="1159" t="s">
        <v>43</v>
      </c>
      <c r="P50" s="1339"/>
      <c r="Q50" s="1159" t="s">
        <v>43</v>
      </c>
      <c r="R50" s="1160" t="s">
        <v>297</v>
      </c>
      <c r="S50" s="1160" t="s">
        <v>438</v>
      </c>
      <c r="T50" s="1159" t="s">
        <v>43</v>
      </c>
      <c r="U50" s="1159" t="s">
        <v>43</v>
      </c>
      <c r="V50" s="1159" t="s">
        <v>43</v>
      </c>
      <c r="W50" s="1159" t="s">
        <v>43</v>
      </c>
      <c r="X50" s="1166" t="s">
        <v>299</v>
      </c>
      <c r="Y50" s="1314"/>
      <c r="Z50" s="1345"/>
      <c r="AA50" s="1161">
        <v>20800000</v>
      </c>
      <c r="AB50" s="1306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</row>
    <row r="51" spans="1:63" s="12" customFormat="1" ht="15.75" customHeight="1">
      <c r="A51" s="1312">
        <v>26</v>
      </c>
      <c r="B51" s="1334">
        <v>425</v>
      </c>
      <c r="C51" s="1322" t="s">
        <v>2449</v>
      </c>
      <c r="D51" s="1343" t="s">
        <v>2449</v>
      </c>
      <c r="E51" s="1312" t="s">
        <v>2470</v>
      </c>
      <c r="F51" s="1322" t="s">
        <v>16408</v>
      </c>
      <c r="G51" s="1157" t="s">
        <v>16388</v>
      </c>
      <c r="H51" s="1163" t="s">
        <v>195</v>
      </c>
      <c r="I51" s="1166" t="s">
        <v>108</v>
      </c>
      <c r="J51" s="1177" t="s">
        <v>199</v>
      </c>
      <c r="K51" s="1312" t="s">
        <v>16389</v>
      </c>
      <c r="L51" s="1312" t="s">
        <v>16390</v>
      </c>
      <c r="M51" s="1164" t="s">
        <v>16391</v>
      </c>
      <c r="N51" s="1166" t="s">
        <v>16392</v>
      </c>
      <c r="O51" s="1164" t="s">
        <v>16393</v>
      </c>
      <c r="P51" s="1337" t="s">
        <v>16394</v>
      </c>
      <c r="Q51" s="1159" t="s">
        <v>43</v>
      </c>
      <c r="R51" s="1160" t="s">
        <v>315</v>
      </c>
      <c r="S51" s="1160" t="s">
        <v>16393</v>
      </c>
      <c r="T51" s="1159" t="s">
        <v>43</v>
      </c>
      <c r="U51" s="1159" t="s">
        <v>43</v>
      </c>
      <c r="V51" s="1159" t="s">
        <v>43</v>
      </c>
      <c r="W51" s="1159" t="s">
        <v>43</v>
      </c>
      <c r="X51" s="1166" t="s">
        <v>299</v>
      </c>
      <c r="Y51" s="1312" t="s">
        <v>202</v>
      </c>
      <c r="Z51" s="1345" t="s">
        <v>65</v>
      </c>
      <c r="AA51" s="1161">
        <v>12800000</v>
      </c>
      <c r="AB51" s="1305" t="s">
        <v>16471</v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</row>
    <row r="52" spans="1:63" s="12" customFormat="1" ht="15.75" customHeight="1">
      <c r="A52" s="1314"/>
      <c r="B52" s="1336"/>
      <c r="C52" s="1323"/>
      <c r="D52" s="1344"/>
      <c r="E52" s="1314"/>
      <c r="F52" s="1326"/>
      <c r="G52" s="1159" t="s">
        <v>43</v>
      </c>
      <c r="H52" s="1166" t="s">
        <v>44</v>
      </c>
      <c r="I52" s="1166" t="s">
        <v>45</v>
      </c>
      <c r="J52" s="1177" t="s">
        <v>199</v>
      </c>
      <c r="K52" s="1314"/>
      <c r="L52" s="1314"/>
      <c r="M52" s="1168" t="s">
        <v>16395</v>
      </c>
      <c r="N52" s="1168" t="s">
        <v>16396</v>
      </c>
      <c r="O52" s="1159" t="s">
        <v>43</v>
      </c>
      <c r="P52" s="1339"/>
      <c r="Q52" s="1159" t="s">
        <v>43</v>
      </c>
      <c r="R52" s="1160" t="s">
        <v>68</v>
      </c>
      <c r="S52" s="1159" t="s">
        <v>43</v>
      </c>
      <c r="T52" s="1159" t="s">
        <v>43</v>
      </c>
      <c r="U52" s="1159" t="s">
        <v>43</v>
      </c>
      <c r="V52" s="1159" t="s">
        <v>43</v>
      </c>
      <c r="W52" s="1159" t="s">
        <v>43</v>
      </c>
      <c r="X52" s="1166" t="s">
        <v>50</v>
      </c>
      <c r="Y52" s="1314"/>
      <c r="Z52" s="1345"/>
      <c r="AA52" s="1209">
        <v>0</v>
      </c>
      <c r="AB52" s="1306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</row>
    <row r="53" spans="1:63" s="12" customFormat="1" ht="15.75" customHeight="1">
      <c r="A53" s="1312">
        <v>27</v>
      </c>
      <c r="B53" s="1334">
        <v>475</v>
      </c>
      <c r="C53" s="1322" t="s">
        <v>2449</v>
      </c>
      <c r="D53" s="1322" t="s">
        <v>2449</v>
      </c>
      <c r="E53" s="1312" t="s">
        <v>2471</v>
      </c>
      <c r="F53" s="1322" t="s">
        <v>16409</v>
      </c>
      <c r="G53" s="1157" t="s">
        <v>16397</v>
      </c>
      <c r="H53" s="1166" t="s">
        <v>59</v>
      </c>
      <c r="I53" s="1166" t="s">
        <v>60</v>
      </c>
      <c r="J53" s="1177" t="s">
        <v>205</v>
      </c>
      <c r="K53" s="1312" t="s">
        <v>16398</v>
      </c>
      <c r="L53" s="1312" t="s">
        <v>16399</v>
      </c>
      <c r="M53" s="1164" t="s">
        <v>221</v>
      </c>
      <c r="N53" s="1164" t="s">
        <v>16400</v>
      </c>
      <c r="O53" s="1159" t="s">
        <v>43</v>
      </c>
      <c r="P53" s="1337" t="s">
        <v>16401</v>
      </c>
      <c r="Q53" s="1160" t="s">
        <v>176</v>
      </c>
      <c r="R53" s="1160" t="s">
        <v>397</v>
      </c>
      <c r="S53" s="1159" t="s">
        <v>43</v>
      </c>
      <c r="T53" s="1159" t="s">
        <v>43</v>
      </c>
      <c r="U53" s="1159" t="s">
        <v>43</v>
      </c>
      <c r="V53" s="1159" t="s">
        <v>43</v>
      </c>
      <c r="W53" s="1159" t="s">
        <v>43</v>
      </c>
      <c r="X53" s="1166" t="s">
        <v>167</v>
      </c>
      <c r="Y53" s="1340" t="s">
        <v>202</v>
      </c>
      <c r="Z53" s="1340" t="s">
        <v>65</v>
      </c>
      <c r="AA53" s="1161">
        <v>12800000</v>
      </c>
      <c r="AB53" s="1305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</row>
    <row r="54" spans="1:63" s="12" customFormat="1" ht="15.75" customHeight="1">
      <c r="A54" s="1313"/>
      <c r="B54" s="1335"/>
      <c r="C54" s="1326"/>
      <c r="D54" s="1326"/>
      <c r="E54" s="1313"/>
      <c r="F54" s="1326"/>
      <c r="G54" s="1157">
        <v>591113</v>
      </c>
      <c r="H54" s="1163" t="s">
        <v>195</v>
      </c>
      <c r="I54" s="1166" t="s">
        <v>108</v>
      </c>
      <c r="J54" s="1177" t="s">
        <v>199</v>
      </c>
      <c r="K54" s="1313"/>
      <c r="L54" s="1313"/>
      <c r="M54" s="1166" t="s">
        <v>16402</v>
      </c>
      <c r="N54" s="1166" t="s">
        <v>16403</v>
      </c>
      <c r="O54" s="1157" t="s">
        <v>16404</v>
      </c>
      <c r="P54" s="1338"/>
      <c r="Q54" s="1159" t="s">
        <v>43</v>
      </c>
      <c r="R54" s="1160" t="s">
        <v>315</v>
      </c>
      <c r="S54" s="1159" t="s">
        <v>43</v>
      </c>
      <c r="T54" s="1159" t="s">
        <v>43</v>
      </c>
      <c r="U54" s="1159" t="s">
        <v>43</v>
      </c>
      <c r="V54" s="1159" t="s">
        <v>43</v>
      </c>
      <c r="W54" s="1159" t="s">
        <v>43</v>
      </c>
      <c r="X54" s="1166" t="s">
        <v>299</v>
      </c>
      <c r="Y54" s="1341"/>
      <c r="Z54" s="1341"/>
      <c r="AA54" s="1161">
        <v>20800000</v>
      </c>
      <c r="AB54" s="1306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</row>
    <row r="55" spans="1:63" s="12" customFormat="1" ht="15.75" customHeight="1">
      <c r="A55" s="1314"/>
      <c r="B55" s="1336"/>
      <c r="C55" s="1323"/>
      <c r="D55" s="1323"/>
      <c r="E55" s="1314"/>
      <c r="F55" s="1326"/>
      <c r="G55" s="1159" t="s">
        <v>43</v>
      </c>
      <c r="H55" s="1166" t="s">
        <v>44</v>
      </c>
      <c r="I55" s="1166" t="s">
        <v>45</v>
      </c>
      <c r="J55" s="1177" t="s">
        <v>201</v>
      </c>
      <c r="K55" s="1314"/>
      <c r="L55" s="1314"/>
      <c r="M55" s="1166" t="s">
        <v>16405</v>
      </c>
      <c r="N55" s="1166" t="s">
        <v>16406</v>
      </c>
      <c r="O55" s="1159" t="s">
        <v>43</v>
      </c>
      <c r="P55" s="1339"/>
      <c r="Q55" s="1159" t="s">
        <v>43</v>
      </c>
      <c r="R55" s="1160" t="s">
        <v>48</v>
      </c>
      <c r="S55" s="1159" t="s">
        <v>43</v>
      </c>
      <c r="T55" s="1159" t="s">
        <v>43</v>
      </c>
      <c r="U55" s="1159" t="s">
        <v>43</v>
      </c>
      <c r="V55" s="1159" t="s">
        <v>43</v>
      </c>
      <c r="W55" s="1159" t="s">
        <v>43</v>
      </c>
      <c r="X55" s="1166" t="s">
        <v>50</v>
      </c>
      <c r="Y55" s="1342"/>
      <c r="Z55" s="1342"/>
      <c r="AA55" s="1209">
        <v>0</v>
      </c>
      <c r="AB55" s="1305" t="s">
        <v>16470</v>
      </c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</row>
    <row r="56" spans="1:63" s="83" customFormat="1" ht="15.75" customHeight="1">
      <c r="A56" s="1305">
        <v>28</v>
      </c>
      <c r="B56" s="1315">
        <v>428</v>
      </c>
      <c r="C56" s="1322" t="s">
        <v>8796</v>
      </c>
      <c r="D56" s="1322" t="s">
        <v>8796</v>
      </c>
      <c r="E56" s="1332" t="s">
        <v>3285</v>
      </c>
      <c r="F56" s="1322" t="s">
        <v>16418</v>
      </c>
      <c r="G56" s="1189" t="s">
        <v>16410</v>
      </c>
      <c r="H56" s="1178" t="s">
        <v>7763</v>
      </c>
      <c r="I56" s="1167" t="s">
        <v>260</v>
      </c>
      <c r="J56" s="1190" t="s">
        <v>205</v>
      </c>
      <c r="K56" s="1321" t="s">
        <v>16411</v>
      </c>
      <c r="L56" s="1321" t="s">
        <v>16412</v>
      </c>
      <c r="M56" s="1198" t="s">
        <v>16413</v>
      </c>
      <c r="N56" s="1198" t="s">
        <v>16414</v>
      </c>
      <c r="O56" s="1159" t="s">
        <v>43</v>
      </c>
      <c r="P56" s="1333" t="s">
        <v>16415</v>
      </c>
      <c r="Q56" s="1192"/>
      <c r="R56" s="1192" t="s">
        <v>2367</v>
      </c>
      <c r="S56" s="1192"/>
      <c r="T56" s="1159" t="s">
        <v>43</v>
      </c>
      <c r="U56" s="1159" t="s">
        <v>43</v>
      </c>
      <c r="V56" s="1159" t="s">
        <v>43</v>
      </c>
      <c r="W56" s="1192" t="s">
        <v>2361</v>
      </c>
      <c r="X56" s="1167" t="s">
        <v>3326</v>
      </c>
      <c r="Y56" s="1331" t="s">
        <v>202</v>
      </c>
      <c r="Z56" s="1331" t="s">
        <v>65</v>
      </c>
      <c r="AA56" s="1212">
        <v>12800000</v>
      </c>
      <c r="AB56" s="130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</row>
    <row r="57" spans="1:63" s="83" customFormat="1" ht="15.75" customHeight="1">
      <c r="A57" s="1306"/>
      <c r="B57" s="1316"/>
      <c r="C57" s="1323"/>
      <c r="D57" s="1323"/>
      <c r="E57" s="1332"/>
      <c r="F57" s="1326"/>
      <c r="G57" s="1189">
        <v>609616</v>
      </c>
      <c r="H57" s="1163" t="s">
        <v>195</v>
      </c>
      <c r="I57" s="1167" t="s">
        <v>260</v>
      </c>
      <c r="J57" s="1190" t="s">
        <v>199</v>
      </c>
      <c r="K57" s="1321"/>
      <c r="L57" s="1321"/>
      <c r="M57" s="1198" t="s">
        <v>16416</v>
      </c>
      <c r="N57" s="1166" t="s">
        <v>16417</v>
      </c>
      <c r="O57" s="1159" t="s">
        <v>43</v>
      </c>
      <c r="P57" s="1333"/>
      <c r="Q57" s="1192"/>
      <c r="R57" s="1192" t="s">
        <v>255</v>
      </c>
      <c r="S57" s="1192"/>
      <c r="T57" s="1159" t="s">
        <v>43</v>
      </c>
      <c r="U57" s="1159" t="s">
        <v>43</v>
      </c>
      <c r="V57" s="1159" t="s">
        <v>43</v>
      </c>
      <c r="W57" s="1192" t="s">
        <v>1781</v>
      </c>
      <c r="X57" s="1167" t="s">
        <v>3326</v>
      </c>
      <c r="Y57" s="1331"/>
      <c r="Z57" s="1331"/>
      <c r="AA57" s="1212">
        <v>20800000</v>
      </c>
      <c r="AB57" s="1305" t="s">
        <v>16470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</row>
    <row r="58" spans="1:63" s="27" customFormat="1" ht="15.75" customHeight="1">
      <c r="A58" s="1305">
        <v>29</v>
      </c>
      <c r="B58" s="1315">
        <v>455</v>
      </c>
      <c r="C58" s="1322" t="s">
        <v>9043</v>
      </c>
      <c r="D58" s="1324" t="s">
        <v>3191</v>
      </c>
      <c r="E58" s="1305" t="s">
        <v>3199</v>
      </c>
      <c r="F58" s="1322" t="s">
        <v>16427</v>
      </c>
      <c r="G58" s="1192" t="s">
        <v>16419</v>
      </c>
      <c r="H58" s="1167" t="s">
        <v>7950</v>
      </c>
      <c r="I58" s="1167" t="s">
        <v>108</v>
      </c>
      <c r="J58" s="1190" t="s">
        <v>199</v>
      </c>
      <c r="K58" s="1305" t="s">
        <v>16420</v>
      </c>
      <c r="L58" s="1305" t="s">
        <v>16421</v>
      </c>
      <c r="M58" s="1167" t="s">
        <v>16422</v>
      </c>
      <c r="N58" s="1167" t="s">
        <v>16423</v>
      </c>
      <c r="O58" s="1159" t="s">
        <v>43</v>
      </c>
      <c r="P58" s="1319" t="s">
        <v>16424</v>
      </c>
      <c r="Q58" s="1159" t="s">
        <v>43</v>
      </c>
      <c r="R58" s="1192" t="s">
        <v>315</v>
      </c>
      <c r="S58" s="1192" t="s">
        <v>2706</v>
      </c>
      <c r="T58" s="1159" t="s">
        <v>43</v>
      </c>
      <c r="U58" s="1159" t="s">
        <v>43</v>
      </c>
      <c r="V58" s="1159" t="s">
        <v>43</v>
      </c>
      <c r="W58" s="1159" t="s">
        <v>43</v>
      </c>
      <c r="X58" s="1167" t="s">
        <v>299</v>
      </c>
      <c r="Y58" s="1305" t="s">
        <v>202</v>
      </c>
      <c r="Z58" s="1317" t="s">
        <v>65</v>
      </c>
      <c r="AA58" s="1161">
        <v>8960000</v>
      </c>
      <c r="AB58" s="1306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</row>
    <row r="59" spans="1:63" s="27" customFormat="1" ht="15.75" customHeight="1">
      <c r="A59" s="1306"/>
      <c r="B59" s="1316"/>
      <c r="C59" s="1323"/>
      <c r="D59" s="1325"/>
      <c r="E59" s="1306"/>
      <c r="F59" s="1326"/>
      <c r="G59" s="1192">
        <v>607947</v>
      </c>
      <c r="H59" s="1163" t="s">
        <v>195</v>
      </c>
      <c r="I59" s="1167" t="s">
        <v>108</v>
      </c>
      <c r="J59" s="1190" t="s">
        <v>199</v>
      </c>
      <c r="K59" s="1306"/>
      <c r="L59" s="1306"/>
      <c r="M59" s="1167" t="s">
        <v>16425</v>
      </c>
      <c r="N59" s="1166" t="s">
        <v>16426</v>
      </c>
      <c r="O59" s="1159" t="s">
        <v>43</v>
      </c>
      <c r="P59" s="1320"/>
      <c r="Q59" s="1159" t="s">
        <v>43</v>
      </c>
      <c r="R59" s="1192" t="s">
        <v>297</v>
      </c>
      <c r="S59" s="1192" t="s">
        <v>2706</v>
      </c>
      <c r="T59" s="1159" t="s">
        <v>43</v>
      </c>
      <c r="U59" s="1159" t="s">
        <v>43</v>
      </c>
      <c r="V59" s="1159" t="s">
        <v>43</v>
      </c>
      <c r="W59" s="1159" t="s">
        <v>43</v>
      </c>
      <c r="X59" s="1167" t="s">
        <v>299</v>
      </c>
      <c r="Y59" s="1306"/>
      <c r="Z59" s="1318"/>
      <c r="AA59" s="1161">
        <v>12800000</v>
      </c>
      <c r="AB59" s="1305" t="s">
        <v>16470</v>
      </c>
    </row>
    <row r="60" spans="1:63" s="83" customFormat="1" ht="15.75" customHeight="1">
      <c r="A60" s="1321">
        <v>30</v>
      </c>
      <c r="B60" s="1328">
        <v>560</v>
      </c>
      <c r="C60" s="1322" t="s">
        <v>3873</v>
      </c>
      <c r="D60" s="1329" t="s">
        <v>4994</v>
      </c>
      <c r="E60" s="1321" t="s">
        <v>4994</v>
      </c>
      <c r="F60" s="1322" t="s">
        <v>16439</v>
      </c>
      <c r="G60" s="1189" t="s">
        <v>16428</v>
      </c>
      <c r="H60" s="1167" t="s">
        <v>1659</v>
      </c>
      <c r="I60" s="1167" t="s">
        <v>108</v>
      </c>
      <c r="J60" s="1190" t="s">
        <v>205</v>
      </c>
      <c r="K60" s="1321" t="s">
        <v>16429</v>
      </c>
      <c r="L60" s="1321" t="s">
        <v>16430</v>
      </c>
      <c r="M60" s="1167" t="s">
        <v>16431</v>
      </c>
      <c r="N60" s="1167" t="s">
        <v>16432</v>
      </c>
      <c r="O60" s="1165" t="s">
        <v>43</v>
      </c>
      <c r="P60" s="1319" t="s">
        <v>16433</v>
      </c>
      <c r="Q60" s="1159" t="s">
        <v>43</v>
      </c>
      <c r="R60" s="1192" t="s">
        <v>417</v>
      </c>
      <c r="S60" s="1159" t="s">
        <v>43</v>
      </c>
      <c r="T60" s="1159" t="s">
        <v>43</v>
      </c>
      <c r="U60" s="1159" t="s">
        <v>43</v>
      </c>
      <c r="V60" s="1159" t="s">
        <v>43</v>
      </c>
      <c r="W60" s="1159" t="s">
        <v>43</v>
      </c>
      <c r="X60" s="1167" t="s">
        <v>3249</v>
      </c>
      <c r="Y60" s="1321" t="s">
        <v>985</v>
      </c>
      <c r="Z60" s="1331" t="s">
        <v>65</v>
      </c>
      <c r="AA60" s="1161">
        <v>4000000</v>
      </c>
      <c r="AB60" s="1306"/>
    </row>
    <row r="61" spans="1:63" s="83" customFormat="1" ht="15.75" customHeight="1">
      <c r="A61" s="1321"/>
      <c r="B61" s="1328"/>
      <c r="C61" s="1326"/>
      <c r="D61" s="1329"/>
      <c r="E61" s="1321"/>
      <c r="F61" s="1326"/>
      <c r="G61" s="1189" t="s">
        <v>16434</v>
      </c>
      <c r="H61" s="1163" t="s">
        <v>195</v>
      </c>
      <c r="I61" s="1167" t="s">
        <v>108</v>
      </c>
      <c r="J61" s="1190" t="s">
        <v>199</v>
      </c>
      <c r="K61" s="1321"/>
      <c r="L61" s="1321"/>
      <c r="M61" s="1167" t="s">
        <v>16435</v>
      </c>
      <c r="N61" s="1166" t="s">
        <v>16436</v>
      </c>
      <c r="O61" s="1165" t="s">
        <v>43</v>
      </c>
      <c r="P61" s="1330"/>
      <c r="Q61" s="1159" t="s">
        <v>43</v>
      </c>
      <c r="R61" s="1192" t="s">
        <v>984</v>
      </c>
      <c r="S61" s="1159" t="s">
        <v>43</v>
      </c>
      <c r="T61" s="1159" t="s">
        <v>43</v>
      </c>
      <c r="U61" s="1159" t="s">
        <v>43</v>
      </c>
      <c r="V61" s="1159" t="s">
        <v>43</v>
      </c>
      <c r="W61" s="1192" t="s">
        <v>247</v>
      </c>
      <c r="X61" s="1167" t="s">
        <v>3249</v>
      </c>
      <c r="Y61" s="1321"/>
      <c r="Z61" s="1331"/>
      <c r="AA61" s="1161">
        <v>20800000</v>
      </c>
      <c r="AB61" s="1305" t="s">
        <v>16470</v>
      </c>
    </row>
    <row r="62" spans="1:63" s="83" customFormat="1" ht="18">
      <c r="A62" s="1321"/>
      <c r="B62" s="1328"/>
      <c r="C62" s="1323"/>
      <c r="D62" s="1329"/>
      <c r="E62" s="1321"/>
      <c r="F62" s="1326"/>
      <c r="G62" s="1159" t="s">
        <v>43</v>
      </c>
      <c r="H62" s="1167" t="s">
        <v>44</v>
      </c>
      <c r="I62" s="1167" t="s">
        <v>45</v>
      </c>
      <c r="J62" s="1190" t="s">
        <v>201</v>
      </c>
      <c r="K62" s="1321"/>
      <c r="L62" s="1321"/>
      <c r="M62" s="1167" t="s">
        <v>16437</v>
      </c>
      <c r="N62" s="1167" t="s">
        <v>16438</v>
      </c>
      <c r="O62" s="1165" t="s">
        <v>43</v>
      </c>
      <c r="P62" s="1320"/>
      <c r="Q62" s="1159" t="s">
        <v>43</v>
      </c>
      <c r="R62" s="1192" t="s">
        <v>5022</v>
      </c>
      <c r="S62" s="1159" t="s">
        <v>43</v>
      </c>
      <c r="T62" s="1159" t="s">
        <v>43</v>
      </c>
      <c r="U62" s="1159" t="s">
        <v>43</v>
      </c>
      <c r="V62" s="1159" t="s">
        <v>43</v>
      </c>
      <c r="W62" s="1192" t="s">
        <v>49</v>
      </c>
      <c r="X62" s="1167" t="s">
        <v>50</v>
      </c>
      <c r="Y62" s="1321"/>
      <c r="Z62" s="1331"/>
      <c r="AA62" s="1209">
        <v>0</v>
      </c>
      <c r="AB62" s="1306"/>
    </row>
    <row r="63" spans="1:63" s="12" customFormat="1" ht="15.75" customHeight="1">
      <c r="A63" s="1305">
        <v>31</v>
      </c>
      <c r="B63" s="1315">
        <v>416</v>
      </c>
      <c r="C63" s="1322" t="s">
        <v>3467</v>
      </c>
      <c r="D63" s="1324" t="s">
        <v>3499</v>
      </c>
      <c r="E63" s="1305" t="s">
        <v>3499</v>
      </c>
      <c r="F63" s="1322" t="s">
        <v>16440</v>
      </c>
      <c r="G63" s="1192">
        <v>547458</v>
      </c>
      <c r="H63" s="1167" t="s">
        <v>1514</v>
      </c>
      <c r="I63" s="1167" t="s">
        <v>60</v>
      </c>
      <c r="J63" s="1190" t="s">
        <v>205</v>
      </c>
      <c r="K63" s="1305" t="s">
        <v>15157</v>
      </c>
      <c r="L63" s="1305" t="s">
        <v>15156</v>
      </c>
      <c r="M63" s="1198" t="s">
        <v>221</v>
      </c>
      <c r="N63" s="1167" t="s">
        <v>15158</v>
      </c>
      <c r="O63" s="1159" t="s">
        <v>43</v>
      </c>
      <c r="P63" s="1319" t="s">
        <v>3526</v>
      </c>
      <c r="Q63" s="1192" t="s">
        <v>3500</v>
      </c>
      <c r="R63" s="1192" t="s">
        <v>166</v>
      </c>
      <c r="S63" s="1159" t="s">
        <v>43</v>
      </c>
      <c r="T63" s="1159" t="s">
        <v>43</v>
      </c>
      <c r="U63" s="1159" t="s">
        <v>43</v>
      </c>
      <c r="V63" s="1159" t="s">
        <v>43</v>
      </c>
      <c r="W63" s="1159" t="s">
        <v>43</v>
      </c>
      <c r="X63" s="1167" t="s">
        <v>167</v>
      </c>
      <c r="Y63" s="1317" t="s">
        <v>202</v>
      </c>
      <c r="Z63" s="1317" t="s">
        <v>65</v>
      </c>
      <c r="AA63" s="1161">
        <v>12800000</v>
      </c>
      <c r="AB63" s="1305" t="s">
        <v>16469</v>
      </c>
    </row>
    <row r="64" spans="1:63" s="12" customFormat="1" ht="15.75" customHeight="1">
      <c r="A64" s="1306"/>
      <c r="B64" s="1316"/>
      <c r="C64" s="1323"/>
      <c r="D64" s="1325"/>
      <c r="E64" s="1306"/>
      <c r="F64" s="1326"/>
      <c r="G64" s="1192">
        <v>592063</v>
      </c>
      <c r="H64" s="1163" t="s">
        <v>195</v>
      </c>
      <c r="I64" s="1167" t="s">
        <v>168</v>
      </c>
      <c r="J64" s="1190" t="s">
        <v>205</v>
      </c>
      <c r="K64" s="1306"/>
      <c r="L64" s="1306"/>
      <c r="M64" s="1167" t="s">
        <v>3501</v>
      </c>
      <c r="N64" s="1166" t="s">
        <v>3534</v>
      </c>
      <c r="O64" s="1159" t="s">
        <v>43</v>
      </c>
      <c r="P64" s="1320"/>
      <c r="Q64" s="1159" t="s">
        <v>43</v>
      </c>
      <c r="R64" s="1192" t="s">
        <v>68</v>
      </c>
      <c r="S64" s="1159" t="s">
        <v>43</v>
      </c>
      <c r="T64" s="1159" t="s">
        <v>43</v>
      </c>
      <c r="U64" s="1159" t="s">
        <v>43</v>
      </c>
      <c r="V64" s="1159" t="s">
        <v>43</v>
      </c>
      <c r="W64" s="1159" t="s">
        <v>43</v>
      </c>
      <c r="X64" s="1167" t="s">
        <v>170</v>
      </c>
      <c r="Y64" s="1327"/>
      <c r="Z64" s="1318"/>
      <c r="AA64" s="1161">
        <v>10400000</v>
      </c>
      <c r="AB64" s="1306"/>
    </row>
    <row r="65" spans="1:29" s="27" customFormat="1" ht="15" customHeight="1">
      <c r="A65" s="1305">
        <v>32</v>
      </c>
      <c r="B65" s="1315">
        <v>380</v>
      </c>
      <c r="C65" s="1322" t="s">
        <v>3018</v>
      </c>
      <c r="D65" s="1324" t="s">
        <v>3018</v>
      </c>
      <c r="E65" s="1305" t="s">
        <v>3050</v>
      </c>
      <c r="F65" s="1322" t="s">
        <v>16450</v>
      </c>
      <c r="G65" s="1189" t="s">
        <v>16441</v>
      </c>
      <c r="H65" s="1167" t="s">
        <v>1514</v>
      </c>
      <c r="I65" s="1167" t="s">
        <v>60</v>
      </c>
      <c r="J65" s="1190" t="s">
        <v>205</v>
      </c>
      <c r="K65" s="1317" t="s">
        <v>16442</v>
      </c>
      <c r="L65" s="1317" t="s">
        <v>16443</v>
      </c>
      <c r="M65" s="1198" t="s">
        <v>221</v>
      </c>
      <c r="N65" s="1198" t="s">
        <v>16444</v>
      </c>
      <c r="O65" s="1159" t="s">
        <v>43</v>
      </c>
      <c r="P65" s="1319" t="s">
        <v>16445</v>
      </c>
      <c r="Q65" s="1189" t="s">
        <v>16446</v>
      </c>
      <c r="R65" s="1189" t="s">
        <v>166</v>
      </c>
      <c r="S65" s="1159" t="s">
        <v>43</v>
      </c>
      <c r="T65" s="1159" t="s">
        <v>43</v>
      </c>
      <c r="U65" s="1159" t="s">
        <v>43</v>
      </c>
      <c r="V65" s="1159" t="s">
        <v>43</v>
      </c>
      <c r="W65" s="1159" t="s">
        <v>43</v>
      </c>
      <c r="X65" s="1167" t="s">
        <v>167</v>
      </c>
      <c r="Y65" s="1305" t="s">
        <v>202</v>
      </c>
      <c r="Z65" s="1321" t="s">
        <v>65</v>
      </c>
      <c r="AA65" s="1161">
        <v>8960000</v>
      </c>
      <c r="AB65" s="1305" t="s">
        <v>16470</v>
      </c>
    </row>
    <row r="66" spans="1:29" s="27" customFormat="1" ht="15.75" customHeight="1">
      <c r="A66" s="1306"/>
      <c r="B66" s="1316"/>
      <c r="C66" s="1323"/>
      <c r="D66" s="1325"/>
      <c r="E66" s="1306"/>
      <c r="F66" s="1326"/>
      <c r="G66" s="1189" t="s">
        <v>16447</v>
      </c>
      <c r="H66" s="1163" t="s">
        <v>195</v>
      </c>
      <c r="I66" s="1167" t="s">
        <v>108</v>
      </c>
      <c r="J66" s="1190" t="s">
        <v>199</v>
      </c>
      <c r="K66" s="1318"/>
      <c r="L66" s="1318"/>
      <c r="M66" s="1198" t="s">
        <v>16448</v>
      </c>
      <c r="N66" s="1166" t="s">
        <v>16449</v>
      </c>
      <c r="O66" s="1159" t="s">
        <v>43</v>
      </c>
      <c r="P66" s="1320"/>
      <c r="Q66" s="1159" t="s">
        <v>43</v>
      </c>
      <c r="R66" s="1192" t="s">
        <v>2269</v>
      </c>
      <c r="S66" s="1189" t="s">
        <v>438</v>
      </c>
      <c r="T66" s="1159" t="s">
        <v>43</v>
      </c>
      <c r="U66" s="1159" t="s">
        <v>43</v>
      </c>
      <c r="V66" s="1159" t="s">
        <v>43</v>
      </c>
      <c r="W66" s="1159" t="s">
        <v>43</v>
      </c>
      <c r="X66" s="1167" t="s">
        <v>299</v>
      </c>
      <c r="Y66" s="1306"/>
      <c r="Z66" s="1321"/>
      <c r="AA66" s="1161">
        <v>20800000</v>
      </c>
      <c r="AB66" s="1306"/>
    </row>
    <row r="67" spans="1:29" s="27" customFormat="1" ht="16.5" customHeight="1">
      <c r="A67" s="1305">
        <v>33</v>
      </c>
      <c r="B67" s="1315">
        <v>383</v>
      </c>
      <c r="C67" s="1322" t="s">
        <v>3018</v>
      </c>
      <c r="D67" s="1322" t="s">
        <v>3018</v>
      </c>
      <c r="E67" s="1305" t="s">
        <v>3055</v>
      </c>
      <c r="F67" s="1322" t="s">
        <v>16450</v>
      </c>
      <c r="G67" s="1189" t="s">
        <v>16451</v>
      </c>
      <c r="H67" s="1167" t="s">
        <v>1514</v>
      </c>
      <c r="I67" s="1167" t="s">
        <v>60</v>
      </c>
      <c r="J67" s="1190" t="s">
        <v>205</v>
      </c>
      <c r="K67" s="1317" t="s">
        <v>16452</v>
      </c>
      <c r="L67" s="1317" t="s">
        <v>16453</v>
      </c>
      <c r="M67" s="1198" t="s">
        <v>221</v>
      </c>
      <c r="N67" s="1198" t="s">
        <v>16454</v>
      </c>
      <c r="O67" s="1159" t="s">
        <v>43</v>
      </c>
      <c r="P67" s="1319" t="s">
        <v>16455</v>
      </c>
      <c r="Q67" s="1189" t="s">
        <v>16456</v>
      </c>
      <c r="R67" s="1189" t="s">
        <v>397</v>
      </c>
      <c r="S67" s="1159" t="s">
        <v>43</v>
      </c>
      <c r="T67" s="1159" t="s">
        <v>43</v>
      </c>
      <c r="U67" s="1159" t="s">
        <v>43</v>
      </c>
      <c r="V67" s="1159" t="s">
        <v>43</v>
      </c>
      <c r="W67" s="1159" t="s">
        <v>43</v>
      </c>
      <c r="X67" s="1167" t="s">
        <v>167</v>
      </c>
      <c r="Y67" s="1305" t="s">
        <v>202</v>
      </c>
      <c r="Z67" s="1321" t="s">
        <v>65</v>
      </c>
      <c r="AA67" s="1161">
        <v>8960000</v>
      </c>
      <c r="AB67" s="1305" t="s">
        <v>16469</v>
      </c>
    </row>
    <row r="68" spans="1:29" s="27" customFormat="1" ht="15.75" customHeight="1">
      <c r="A68" s="1306"/>
      <c r="B68" s="1316"/>
      <c r="C68" s="1323"/>
      <c r="D68" s="1323"/>
      <c r="E68" s="1306"/>
      <c r="F68" s="1323"/>
      <c r="G68" s="1189" t="s">
        <v>16457</v>
      </c>
      <c r="H68" s="1163" t="s">
        <v>195</v>
      </c>
      <c r="I68" s="1167" t="s">
        <v>108</v>
      </c>
      <c r="J68" s="1190" t="s">
        <v>199</v>
      </c>
      <c r="K68" s="1318"/>
      <c r="L68" s="1318"/>
      <c r="M68" s="1198" t="s">
        <v>16458</v>
      </c>
      <c r="N68" s="1166" t="s">
        <v>16459</v>
      </c>
      <c r="O68" s="1159" t="s">
        <v>43</v>
      </c>
      <c r="P68" s="1320"/>
      <c r="Q68" s="1159" t="s">
        <v>43</v>
      </c>
      <c r="R68" s="1192" t="s">
        <v>2274</v>
      </c>
      <c r="S68" s="1189" t="s">
        <v>438</v>
      </c>
      <c r="T68" s="1159" t="s">
        <v>43</v>
      </c>
      <c r="U68" s="1159" t="s">
        <v>43</v>
      </c>
      <c r="V68" s="1159" t="s">
        <v>43</v>
      </c>
      <c r="W68" s="1159" t="s">
        <v>43</v>
      </c>
      <c r="X68" s="1167" t="s">
        <v>299</v>
      </c>
      <c r="Y68" s="1306"/>
      <c r="Z68" s="1321"/>
      <c r="AA68" s="1161">
        <v>20800000</v>
      </c>
      <c r="AB68" s="1306"/>
    </row>
    <row r="69" spans="1:29" s="27" customFormat="1" ht="15.75" customHeight="1">
      <c r="A69" s="1312">
        <v>29</v>
      </c>
      <c r="B69" s="1364">
        <v>240</v>
      </c>
      <c r="C69" s="1368" t="s">
        <v>7993</v>
      </c>
      <c r="D69" s="1368" t="s">
        <v>7993</v>
      </c>
      <c r="E69" s="1384" t="s">
        <v>1856</v>
      </c>
      <c r="F69" s="1322" t="s">
        <v>16323</v>
      </c>
      <c r="G69" s="1157">
        <v>9602023858</v>
      </c>
      <c r="H69" s="1175" t="s">
        <v>335</v>
      </c>
      <c r="I69" s="1175" t="s">
        <v>60</v>
      </c>
      <c r="J69" s="1158" t="s">
        <v>199</v>
      </c>
      <c r="K69" s="1352" t="s">
        <v>16479</v>
      </c>
      <c r="L69" s="1352" t="s">
        <v>16480</v>
      </c>
      <c r="M69" s="1174" t="s">
        <v>16474</v>
      </c>
      <c r="N69" s="1174" t="s">
        <v>16475</v>
      </c>
      <c r="O69" s="1193" t="s">
        <v>43</v>
      </c>
      <c r="P69" s="1362" t="s">
        <v>16481</v>
      </c>
      <c r="Q69" s="1193" t="s">
        <v>43</v>
      </c>
      <c r="R69" s="1160" t="s">
        <v>397</v>
      </c>
      <c r="S69" s="1193" t="s">
        <v>43</v>
      </c>
      <c r="T69" s="1193" t="s">
        <v>43</v>
      </c>
      <c r="U69" s="1193" t="s">
        <v>43</v>
      </c>
      <c r="V69" s="1193" t="s">
        <v>43</v>
      </c>
      <c r="W69" s="1193" t="s">
        <v>43</v>
      </c>
      <c r="X69" s="1175" t="s">
        <v>167</v>
      </c>
      <c r="Y69" s="1312" t="s">
        <v>202</v>
      </c>
      <c r="Z69" s="1312" t="s">
        <v>65</v>
      </c>
      <c r="AA69" s="1161">
        <v>8960000</v>
      </c>
      <c r="AB69" s="1305" t="s">
        <v>16316</v>
      </c>
    </row>
    <row r="70" spans="1:29" s="27" customFormat="1" ht="15.75" customHeight="1">
      <c r="A70" s="1313"/>
      <c r="B70" s="1383"/>
      <c r="C70" s="1369"/>
      <c r="D70" s="1369"/>
      <c r="E70" s="1385"/>
      <c r="F70" s="1323"/>
      <c r="G70" s="1157" t="s">
        <v>16476</v>
      </c>
      <c r="H70" s="1163" t="s">
        <v>195</v>
      </c>
      <c r="I70" s="1175" t="s">
        <v>168</v>
      </c>
      <c r="J70" s="1158" t="s">
        <v>199</v>
      </c>
      <c r="K70" s="1354"/>
      <c r="L70" s="1354"/>
      <c r="M70" s="1174" t="s">
        <v>16477</v>
      </c>
      <c r="N70" s="1174" t="s">
        <v>16478</v>
      </c>
      <c r="O70" s="1193" t="s">
        <v>43</v>
      </c>
      <c r="P70" s="1386"/>
      <c r="Q70" s="1193" t="s">
        <v>43</v>
      </c>
      <c r="R70" s="1160" t="s">
        <v>68</v>
      </c>
      <c r="S70" s="1193" t="s">
        <v>43</v>
      </c>
      <c r="T70" s="1193" t="s">
        <v>43</v>
      </c>
      <c r="U70" s="1193" t="s">
        <v>43</v>
      </c>
      <c r="V70" s="1193" t="s">
        <v>43</v>
      </c>
      <c r="W70" s="1193" t="s">
        <v>43</v>
      </c>
      <c r="X70" s="1175" t="s">
        <v>170</v>
      </c>
      <c r="Y70" s="1313"/>
      <c r="Z70" s="1313"/>
      <c r="AA70" s="1161">
        <v>20800000</v>
      </c>
      <c r="AB70" s="1306"/>
    </row>
    <row r="71" spans="1:29" s="109" customFormat="1" ht="15.75" customHeight="1">
      <c r="A71" s="1199">
        <v>8</v>
      </c>
      <c r="B71" s="1315">
        <v>325</v>
      </c>
      <c r="C71" s="1355" t="s">
        <v>933</v>
      </c>
      <c r="D71" s="1355" t="s">
        <v>933</v>
      </c>
      <c r="E71" s="1305" t="s">
        <v>16325</v>
      </c>
      <c r="F71" s="1305" t="s">
        <v>16464</v>
      </c>
      <c r="G71" s="1189">
        <v>541015</v>
      </c>
      <c r="H71" s="1197" t="s">
        <v>3367</v>
      </c>
      <c r="I71" s="1197" t="s">
        <v>60</v>
      </c>
      <c r="J71" s="1210" t="s">
        <v>199</v>
      </c>
      <c r="K71" s="1199" t="s">
        <v>16482</v>
      </c>
      <c r="L71" s="1199" t="s">
        <v>3377</v>
      </c>
      <c r="M71" s="1197" t="s">
        <v>3378</v>
      </c>
      <c r="N71" s="1197" t="s">
        <v>3379</v>
      </c>
      <c r="O71" s="1193" t="s">
        <v>43</v>
      </c>
      <c r="P71" s="1200" t="s">
        <v>3401</v>
      </c>
      <c r="Q71" s="1193" t="s">
        <v>43</v>
      </c>
      <c r="R71" s="1211" t="s">
        <v>166</v>
      </c>
      <c r="S71" s="1193" t="s">
        <v>43</v>
      </c>
      <c r="T71" s="1193" t="s">
        <v>43</v>
      </c>
      <c r="U71" s="1193" t="s">
        <v>43</v>
      </c>
      <c r="V71" s="1193" t="s">
        <v>43</v>
      </c>
      <c r="W71" s="1193" t="s">
        <v>43</v>
      </c>
      <c r="X71" s="1197" t="s">
        <v>167</v>
      </c>
      <c r="Y71" s="1201" t="s">
        <v>202</v>
      </c>
      <c r="Z71" s="1197" t="s">
        <v>65</v>
      </c>
      <c r="AA71" s="1161">
        <v>12000000</v>
      </c>
      <c r="AB71" s="1305" t="s">
        <v>16316</v>
      </c>
      <c r="AC71"/>
    </row>
    <row r="72" spans="1:29" s="109" customFormat="1" ht="14.25" customHeight="1">
      <c r="A72" s="1188"/>
      <c r="B72" s="1316"/>
      <c r="C72" s="1356"/>
      <c r="D72" s="1356"/>
      <c r="E72" s="1306"/>
      <c r="F72" s="1306"/>
      <c r="G72" s="1189">
        <v>608424</v>
      </c>
      <c r="H72" s="1163" t="s">
        <v>195</v>
      </c>
      <c r="I72" s="1197" t="s">
        <v>108</v>
      </c>
      <c r="J72" s="1210" t="s">
        <v>199</v>
      </c>
      <c r="K72" s="1188"/>
      <c r="L72" s="1188"/>
      <c r="M72" s="1197" t="s">
        <v>3380</v>
      </c>
      <c r="N72" s="1175" t="s">
        <v>3429</v>
      </c>
      <c r="O72" s="1193" t="s">
        <v>43</v>
      </c>
      <c r="P72" s="1191"/>
      <c r="Q72" s="1193" t="s">
        <v>43</v>
      </c>
      <c r="R72" s="1211" t="s">
        <v>2269</v>
      </c>
      <c r="S72" s="1211" t="s">
        <v>298</v>
      </c>
      <c r="T72" s="1193" t="s">
        <v>43</v>
      </c>
      <c r="U72" s="1193" t="s">
        <v>43</v>
      </c>
      <c r="V72" s="1193" t="s">
        <v>43</v>
      </c>
      <c r="W72" s="1211" t="s">
        <v>1510</v>
      </c>
      <c r="X72" s="1197" t="s">
        <v>170</v>
      </c>
      <c r="Y72" s="1203"/>
      <c r="Z72" s="1197"/>
      <c r="AA72" s="1161">
        <v>20800000</v>
      </c>
      <c r="AB72" s="1306"/>
      <c r="AC72" s="27"/>
    </row>
    <row r="73" spans="1:29">
      <c r="AB73"/>
    </row>
    <row r="74" spans="1:29">
      <c r="AB74"/>
    </row>
    <row r="75" spans="1:29">
      <c r="AB75"/>
    </row>
    <row r="76" spans="1:29">
      <c r="AB76"/>
    </row>
    <row r="77" spans="1:29">
      <c r="AB77"/>
    </row>
    <row r="78" spans="1:29">
      <c r="AB78"/>
    </row>
    <row r="79" spans="1:29">
      <c r="AB79"/>
    </row>
    <row r="80" spans="1:29">
      <c r="AB80"/>
    </row>
    <row r="81" spans="28:28">
      <c r="AB81"/>
    </row>
    <row r="82" spans="28:28">
      <c r="AB82"/>
    </row>
    <row r="83" spans="28:28">
      <c r="AB83"/>
    </row>
    <row r="84" spans="28:28">
      <c r="AB84"/>
    </row>
    <row r="85" spans="28:28">
      <c r="AB85"/>
    </row>
    <row r="86" spans="28:28">
      <c r="AB86"/>
    </row>
    <row r="87" spans="28:28">
      <c r="AB87"/>
    </row>
    <row r="88" spans="28:28">
      <c r="AB88"/>
    </row>
    <row r="89" spans="28:28">
      <c r="AB89"/>
    </row>
    <row r="90" spans="28:28">
      <c r="AB90"/>
    </row>
    <row r="91" spans="28:28">
      <c r="AB91"/>
    </row>
    <row r="92" spans="28:28">
      <c r="AB92"/>
    </row>
    <row r="93" spans="28:28">
      <c r="AB93"/>
    </row>
    <row r="94" spans="28:28">
      <c r="AB94"/>
    </row>
    <row r="95" spans="28:28">
      <c r="AB95"/>
    </row>
    <row r="96" spans="28:28">
      <c r="AB96"/>
    </row>
    <row r="97" spans="28:28">
      <c r="AB97"/>
    </row>
    <row r="98" spans="28:28">
      <c r="AB98"/>
    </row>
    <row r="99" spans="28:28">
      <c r="AB99"/>
    </row>
    <row r="100" spans="28:28">
      <c r="AB100"/>
    </row>
    <row r="101" spans="28:28">
      <c r="AB101"/>
    </row>
    <row r="102" spans="28:28">
      <c r="AB102"/>
    </row>
    <row r="103" spans="28:28">
      <c r="AB103"/>
    </row>
    <row r="104" spans="28:28">
      <c r="AB104"/>
    </row>
    <row r="105" spans="28:28">
      <c r="AB105"/>
    </row>
    <row r="106" spans="28:28">
      <c r="AB106"/>
    </row>
    <row r="107" spans="28:28">
      <c r="AB107"/>
    </row>
    <row r="108" spans="28:28">
      <c r="AB108"/>
    </row>
    <row r="109" spans="28:28">
      <c r="AB109"/>
    </row>
    <row r="110" spans="28:28">
      <c r="AB110"/>
    </row>
    <row r="111" spans="28:28">
      <c r="AB111"/>
    </row>
    <row r="112" spans="28:28">
      <c r="AB112"/>
    </row>
    <row r="113" spans="28:28">
      <c r="AB113"/>
    </row>
    <row r="114" spans="28:28">
      <c r="AB114"/>
    </row>
    <row r="115" spans="28:28">
      <c r="AB115"/>
    </row>
    <row r="116" spans="28:28">
      <c r="AB116"/>
    </row>
    <row r="117" spans="28:28">
      <c r="AB117"/>
    </row>
    <row r="118" spans="28:28">
      <c r="AB118"/>
    </row>
    <row r="119" spans="28:28">
      <c r="AB119"/>
    </row>
    <row r="120" spans="28:28">
      <c r="AB120"/>
    </row>
    <row r="121" spans="28:28">
      <c r="AB121"/>
    </row>
    <row r="122" spans="28:28">
      <c r="AB122"/>
    </row>
    <row r="123" spans="28:28">
      <c r="AB123"/>
    </row>
    <row r="124" spans="28:28">
      <c r="AB124"/>
    </row>
    <row r="125" spans="28:28">
      <c r="AB125"/>
    </row>
    <row r="126" spans="28:28">
      <c r="AB126"/>
    </row>
    <row r="127" spans="28:28">
      <c r="AB127"/>
    </row>
    <row r="128" spans="28:28">
      <c r="AB128"/>
    </row>
    <row r="129" spans="28:28">
      <c r="AB129"/>
    </row>
  </sheetData>
  <mergeCells count="382">
    <mergeCell ref="B71:B72"/>
    <mergeCell ref="Z69:Z70"/>
    <mergeCell ref="D69:D70"/>
    <mergeCell ref="C69:C70"/>
    <mergeCell ref="F69:F70"/>
    <mergeCell ref="AB69:AB70"/>
    <mergeCell ref="C71:C72"/>
    <mergeCell ref="D71:D72"/>
    <mergeCell ref="F71:F72"/>
    <mergeCell ref="E71:E72"/>
    <mergeCell ref="AB71:AB72"/>
    <mergeCell ref="B26:B27"/>
    <mergeCell ref="D26:D27"/>
    <mergeCell ref="A69:A70"/>
    <mergeCell ref="B69:B70"/>
    <mergeCell ref="E69:E70"/>
    <mergeCell ref="K69:K70"/>
    <mergeCell ref="L69:L70"/>
    <mergeCell ref="P69:P70"/>
    <mergeCell ref="Y69:Y70"/>
    <mergeCell ref="E26:E27"/>
    <mergeCell ref="K26:K27"/>
    <mergeCell ref="P31:P32"/>
    <mergeCell ref="Y31:Y32"/>
    <mergeCell ref="L35:L36"/>
    <mergeCell ref="P35:P36"/>
    <mergeCell ref="Y35:Y36"/>
    <mergeCell ref="A39:A41"/>
    <mergeCell ref="B39:B41"/>
    <mergeCell ref="E39:E41"/>
    <mergeCell ref="K39:K41"/>
    <mergeCell ref="D33:D34"/>
    <mergeCell ref="C31:C32"/>
    <mergeCell ref="D31:D32"/>
    <mergeCell ref="C33:C34"/>
    <mergeCell ref="Z31:Z32"/>
    <mergeCell ref="A31:A32"/>
    <mergeCell ref="B31:B32"/>
    <mergeCell ref="E31:E32"/>
    <mergeCell ref="K31:K32"/>
    <mergeCell ref="L31:L32"/>
    <mergeCell ref="L26:L27"/>
    <mergeCell ref="P26:P27"/>
    <mergeCell ref="Y26:Y27"/>
    <mergeCell ref="Z26:Z27"/>
    <mergeCell ref="A28:A30"/>
    <mergeCell ref="B28:B30"/>
    <mergeCell ref="D28:D30"/>
    <mergeCell ref="E28:E30"/>
    <mergeCell ref="K28:K30"/>
    <mergeCell ref="L28:L30"/>
    <mergeCell ref="P28:P30"/>
    <mergeCell ref="Y28:Y30"/>
    <mergeCell ref="Z28:Z30"/>
    <mergeCell ref="A26:A27"/>
    <mergeCell ref="F28:F30"/>
    <mergeCell ref="F26:F27"/>
    <mergeCell ref="C28:C30"/>
    <mergeCell ref="C26:C27"/>
    <mergeCell ref="Z22:Z23"/>
    <mergeCell ref="A24:A25"/>
    <mergeCell ref="B24:B25"/>
    <mergeCell ref="K24:K25"/>
    <mergeCell ref="L24:L25"/>
    <mergeCell ref="P24:P25"/>
    <mergeCell ref="Y24:Y25"/>
    <mergeCell ref="Z24:Z25"/>
    <mergeCell ref="K22:K23"/>
    <mergeCell ref="L22:L23"/>
    <mergeCell ref="P22:P23"/>
    <mergeCell ref="T22:T23"/>
    <mergeCell ref="U22:U23"/>
    <mergeCell ref="A22:A23"/>
    <mergeCell ref="B22:B23"/>
    <mergeCell ref="D22:D23"/>
    <mergeCell ref="E22:E23"/>
    <mergeCell ref="I22:I23"/>
    <mergeCell ref="E24:E25"/>
    <mergeCell ref="D24:D25"/>
    <mergeCell ref="C24:C25"/>
    <mergeCell ref="F24:F25"/>
    <mergeCell ref="P20:P21"/>
    <mergeCell ref="A20:A21"/>
    <mergeCell ref="B20:B21"/>
    <mergeCell ref="E20:E21"/>
    <mergeCell ref="F20:F21"/>
    <mergeCell ref="C20:C21"/>
    <mergeCell ref="V22:V23"/>
    <mergeCell ref="X22:X23"/>
    <mergeCell ref="Y22:Y23"/>
    <mergeCell ref="C22:C23"/>
    <mergeCell ref="D20:D21"/>
    <mergeCell ref="F22:F23"/>
    <mergeCell ref="L18:L19"/>
    <mergeCell ref="P18:P19"/>
    <mergeCell ref="Y18:Y19"/>
    <mergeCell ref="Z18:Z19"/>
    <mergeCell ref="E12:E13"/>
    <mergeCell ref="C14:C15"/>
    <mergeCell ref="C16:C17"/>
    <mergeCell ref="A18:A19"/>
    <mergeCell ref="B18:B19"/>
    <mergeCell ref="E18:E19"/>
    <mergeCell ref="F18:F19"/>
    <mergeCell ref="K16:K17"/>
    <mergeCell ref="L16:L17"/>
    <mergeCell ref="P16:P17"/>
    <mergeCell ref="Y16:Y17"/>
    <mergeCell ref="Z16:Z17"/>
    <mergeCell ref="A16:A17"/>
    <mergeCell ref="B16:B17"/>
    <mergeCell ref="D16:D17"/>
    <mergeCell ref="E16:E17"/>
    <mergeCell ref="F16:F17"/>
    <mergeCell ref="C18:C19"/>
    <mergeCell ref="D18:D19"/>
    <mergeCell ref="L14:L15"/>
    <mergeCell ref="P14:P15"/>
    <mergeCell ref="Y14:Y15"/>
    <mergeCell ref="A12:A13"/>
    <mergeCell ref="F14:F15"/>
    <mergeCell ref="Z14:Z15"/>
    <mergeCell ref="C12:C13"/>
    <mergeCell ref="F12:F13"/>
    <mergeCell ref="D12:D13"/>
    <mergeCell ref="L10:L11"/>
    <mergeCell ref="P10:P11"/>
    <mergeCell ref="Y10:Y11"/>
    <mergeCell ref="Z10:Z11"/>
    <mergeCell ref="A10:A11"/>
    <mergeCell ref="B10:B11"/>
    <mergeCell ref="D10:D11"/>
    <mergeCell ref="E10:E11"/>
    <mergeCell ref="F10:F11"/>
    <mergeCell ref="C10:C11"/>
    <mergeCell ref="L8:L9"/>
    <mergeCell ref="P8:P9"/>
    <mergeCell ref="Y8:Y9"/>
    <mergeCell ref="Z8:Z9"/>
    <mergeCell ref="F8:F9"/>
    <mergeCell ref="A8:A9"/>
    <mergeCell ref="B8:B9"/>
    <mergeCell ref="D8:D9"/>
    <mergeCell ref="E8:E9"/>
    <mergeCell ref="K8:K9"/>
    <mergeCell ref="C8:C9"/>
    <mergeCell ref="L6:L7"/>
    <mergeCell ref="P6:P7"/>
    <mergeCell ref="Y6:Y7"/>
    <mergeCell ref="Z6:Z7"/>
    <mergeCell ref="C6:C7"/>
    <mergeCell ref="F6:F7"/>
    <mergeCell ref="C4:C5"/>
    <mergeCell ref="A4:A5"/>
    <mergeCell ref="B4:B5"/>
    <mergeCell ref="E4:E5"/>
    <mergeCell ref="F4:F5"/>
    <mergeCell ref="K4:K5"/>
    <mergeCell ref="D4:D5"/>
    <mergeCell ref="L2:L3"/>
    <mergeCell ref="Y2:Y3"/>
    <mergeCell ref="Z2:Z3"/>
    <mergeCell ref="C2:C3"/>
    <mergeCell ref="D2:D3"/>
    <mergeCell ref="F2:F3"/>
    <mergeCell ref="P2:P3"/>
    <mergeCell ref="L4:L5"/>
    <mergeCell ref="P4:P5"/>
    <mergeCell ref="Y4:Y5"/>
    <mergeCell ref="Z4:Z5"/>
    <mergeCell ref="C37:C38"/>
    <mergeCell ref="C35:C36"/>
    <mergeCell ref="D35:D36"/>
    <mergeCell ref="A35:A36"/>
    <mergeCell ref="B35:B36"/>
    <mergeCell ref="E35:E36"/>
    <mergeCell ref="K35:K36"/>
    <mergeCell ref="A2:A3"/>
    <mergeCell ref="B2:B3"/>
    <mergeCell ref="E2:E3"/>
    <mergeCell ref="K2:K3"/>
    <mergeCell ref="A6:A7"/>
    <mergeCell ref="B6:B7"/>
    <mergeCell ref="D6:D7"/>
    <mergeCell ref="E6:E7"/>
    <mergeCell ref="K6:K7"/>
    <mergeCell ref="K10:K11"/>
    <mergeCell ref="B12:B13"/>
    <mergeCell ref="A14:A15"/>
    <mergeCell ref="B14:B15"/>
    <mergeCell ref="D14:D15"/>
    <mergeCell ref="E14:E15"/>
    <mergeCell ref="K14:K15"/>
    <mergeCell ref="K18:K19"/>
    <mergeCell ref="F31:F32"/>
    <mergeCell ref="A33:A34"/>
    <mergeCell ref="B33:B34"/>
    <mergeCell ref="E33:E34"/>
    <mergeCell ref="F33:F34"/>
    <mergeCell ref="P39:P41"/>
    <mergeCell ref="Y39:Y41"/>
    <mergeCell ref="Z39:Z41"/>
    <mergeCell ref="F39:F41"/>
    <mergeCell ref="D39:D41"/>
    <mergeCell ref="C39:C41"/>
    <mergeCell ref="L39:L41"/>
    <mergeCell ref="Z35:Z36"/>
    <mergeCell ref="F35:F36"/>
    <mergeCell ref="A37:A38"/>
    <mergeCell ref="B37:B38"/>
    <mergeCell ref="D37:D38"/>
    <mergeCell ref="E37:E38"/>
    <mergeCell ref="K37:K38"/>
    <mergeCell ref="L37:L38"/>
    <mergeCell ref="P37:P38"/>
    <mergeCell ref="Y37:Y38"/>
    <mergeCell ref="Z37:Z38"/>
    <mergeCell ref="F37:F38"/>
    <mergeCell ref="A42:A43"/>
    <mergeCell ref="B42:B43"/>
    <mergeCell ref="D42:D43"/>
    <mergeCell ref="E42:E43"/>
    <mergeCell ref="K42:K43"/>
    <mergeCell ref="L42:L43"/>
    <mergeCell ref="P42:P43"/>
    <mergeCell ref="Y42:Y43"/>
    <mergeCell ref="Z42:Z43"/>
    <mergeCell ref="F42:F43"/>
    <mergeCell ref="C42:C43"/>
    <mergeCell ref="A44:A46"/>
    <mergeCell ref="B44:B46"/>
    <mergeCell ref="K44:K46"/>
    <mergeCell ref="L44:L46"/>
    <mergeCell ref="P44:P46"/>
    <mergeCell ref="Y44:Y46"/>
    <mergeCell ref="Z44:Z46"/>
    <mergeCell ref="F44:F46"/>
    <mergeCell ref="E44:E46"/>
    <mergeCell ref="D44:D46"/>
    <mergeCell ref="C44:C46"/>
    <mergeCell ref="A47:A48"/>
    <mergeCell ref="B47:B48"/>
    <mergeCell ref="E47:E48"/>
    <mergeCell ref="K47:K48"/>
    <mergeCell ref="L47:L48"/>
    <mergeCell ref="P47:P48"/>
    <mergeCell ref="Y47:Y48"/>
    <mergeCell ref="Z47:Z48"/>
    <mergeCell ref="F47:F48"/>
    <mergeCell ref="D47:D48"/>
    <mergeCell ref="C47:C48"/>
    <mergeCell ref="A49:A50"/>
    <mergeCell ref="B49:B50"/>
    <mergeCell ref="D49:D50"/>
    <mergeCell ref="E49:E50"/>
    <mergeCell ref="K49:K50"/>
    <mergeCell ref="L49:L50"/>
    <mergeCell ref="P49:P50"/>
    <mergeCell ref="Y49:Y50"/>
    <mergeCell ref="Z49:Z50"/>
    <mergeCell ref="F49:F50"/>
    <mergeCell ref="C49:C50"/>
    <mergeCell ref="A51:A52"/>
    <mergeCell ref="B51:B52"/>
    <mergeCell ref="D51:D52"/>
    <mergeCell ref="E51:E52"/>
    <mergeCell ref="K51:K52"/>
    <mergeCell ref="L51:L52"/>
    <mergeCell ref="P51:P52"/>
    <mergeCell ref="Y51:Y52"/>
    <mergeCell ref="Z51:Z52"/>
    <mergeCell ref="F51:F52"/>
    <mergeCell ref="C51:C52"/>
    <mergeCell ref="A53:A55"/>
    <mergeCell ref="B53:B55"/>
    <mergeCell ref="D53:D55"/>
    <mergeCell ref="E53:E55"/>
    <mergeCell ref="K53:K55"/>
    <mergeCell ref="L53:L55"/>
    <mergeCell ref="P53:P55"/>
    <mergeCell ref="Y53:Y55"/>
    <mergeCell ref="Z53:Z55"/>
    <mergeCell ref="F53:F55"/>
    <mergeCell ref="C53:C55"/>
    <mergeCell ref="A56:A57"/>
    <mergeCell ref="B56:B57"/>
    <mergeCell ref="D56:D57"/>
    <mergeCell ref="E56:E57"/>
    <mergeCell ref="K56:K57"/>
    <mergeCell ref="L56:L57"/>
    <mergeCell ref="P56:P57"/>
    <mergeCell ref="Y56:Y57"/>
    <mergeCell ref="Z56:Z57"/>
    <mergeCell ref="F56:F57"/>
    <mergeCell ref="C56:C57"/>
    <mergeCell ref="A58:A59"/>
    <mergeCell ref="B58:B59"/>
    <mergeCell ref="E58:E59"/>
    <mergeCell ref="K58:K59"/>
    <mergeCell ref="L58:L59"/>
    <mergeCell ref="P58:P59"/>
    <mergeCell ref="Y58:Y59"/>
    <mergeCell ref="Z58:Z59"/>
    <mergeCell ref="F58:F59"/>
    <mergeCell ref="D58:D59"/>
    <mergeCell ref="C58:C59"/>
    <mergeCell ref="A60:A62"/>
    <mergeCell ref="B60:B62"/>
    <mergeCell ref="D60:D62"/>
    <mergeCell ref="E60:E62"/>
    <mergeCell ref="K60:K62"/>
    <mergeCell ref="L60:L62"/>
    <mergeCell ref="P60:P62"/>
    <mergeCell ref="Y60:Y62"/>
    <mergeCell ref="Z60:Z62"/>
    <mergeCell ref="F60:F62"/>
    <mergeCell ref="C60:C62"/>
    <mergeCell ref="A63:A64"/>
    <mergeCell ref="B63:B64"/>
    <mergeCell ref="D63:D64"/>
    <mergeCell ref="E63:E64"/>
    <mergeCell ref="K63:K64"/>
    <mergeCell ref="L63:L64"/>
    <mergeCell ref="P63:P64"/>
    <mergeCell ref="Y63:Y64"/>
    <mergeCell ref="Z63:Z64"/>
    <mergeCell ref="F63:F64"/>
    <mergeCell ref="C63:C64"/>
    <mergeCell ref="A65:A66"/>
    <mergeCell ref="B65:B66"/>
    <mergeCell ref="D65:D66"/>
    <mergeCell ref="E65:E66"/>
    <mergeCell ref="K65:K66"/>
    <mergeCell ref="L65:L66"/>
    <mergeCell ref="P65:P66"/>
    <mergeCell ref="Y65:Y66"/>
    <mergeCell ref="Z65:Z66"/>
    <mergeCell ref="F65:F66"/>
    <mergeCell ref="C65:C66"/>
    <mergeCell ref="A67:A68"/>
    <mergeCell ref="B67:B68"/>
    <mergeCell ref="E67:E68"/>
    <mergeCell ref="K67:K68"/>
    <mergeCell ref="L67:L68"/>
    <mergeCell ref="P67:P68"/>
    <mergeCell ref="Y67:Y68"/>
    <mergeCell ref="Z67:Z68"/>
    <mergeCell ref="F67:F68"/>
    <mergeCell ref="D67:D68"/>
    <mergeCell ref="C67:C68"/>
    <mergeCell ref="AB67:AB68"/>
    <mergeCell ref="AB65:AB66"/>
    <mergeCell ref="AB63:AB64"/>
    <mergeCell ref="AB61:AB62"/>
    <mergeCell ref="AB59:AB60"/>
    <mergeCell ref="AB57:AB58"/>
    <mergeCell ref="AB55:AB56"/>
    <mergeCell ref="AB53:AB54"/>
    <mergeCell ref="AB51:AB52"/>
    <mergeCell ref="AB49:AB50"/>
    <mergeCell ref="AB47:AB48"/>
    <mergeCell ref="AB44:AB46"/>
    <mergeCell ref="AB42:AB43"/>
    <mergeCell ref="AB39:AB41"/>
    <mergeCell ref="AB37:AB38"/>
    <mergeCell ref="AB35:AB36"/>
    <mergeCell ref="AB33:AB34"/>
    <mergeCell ref="AB31:AB32"/>
    <mergeCell ref="AB16:AB17"/>
    <mergeCell ref="AB14:AB15"/>
    <mergeCell ref="AB10:AB11"/>
    <mergeCell ref="AB8:AB9"/>
    <mergeCell ref="AB6:AB7"/>
    <mergeCell ref="AB4:AB5"/>
    <mergeCell ref="AB2:AB3"/>
    <mergeCell ref="AB28:AB30"/>
    <mergeCell ref="AB26:AB27"/>
    <mergeCell ref="AB24:AB25"/>
    <mergeCell ref="AB22:AB23"/>
    <mergeCell ref="AB20:AB21"/>
    <mergeCell ref="AB18:AB19"/>
    <mergeCell ref="AB12:AB13"/>
  </mergeCells>
  <conditionalFormatting sqref="M1">
    <cfRule type="duplicateValues" dxfId="2657" priority="143"/>
  </conditionalFormatting>
  <conditionalFormatting sqref="M1">
    <cfRule type="duplicateValues" dxfId="2656" priority="144"/>
  </conditionalFormatting>
  <conditionalFormatting sqref="N1">
    <cfRule type="duplicateValues" dxfId="2655" priority="145"/>
  </conditionalFormatting>
  <conditionalFormatting sqref="M4">
    <cfRule type="duplicateValues" dxfId="2654" priority="142"/>
  </conditionalFormatting>
  <conditionalFormatting sqref="M7">
    <cfRule type="duplicateValues" dxfId="2653" priority="139"/>
  </conditionalFormatting>
  <conditionalFormatting sqref="M6">
    <cfRule type="duplicateValues" dxfId="2652" priority="140"/>
  </conditionalFormatting>
  <conditionalFormatting sqref="M6">
    <cfRule type="duplicateValues" dxfId="2651" priority="141"/>
  </conditionalFormatting>
  <conditionalFormatting sqref="N9">
    <cfRule type="duplicateValues" dxfId="2650" priority="138"/>
  </conditionalFormatting>
  <conditionalFormatting sqref="M10:M11">
    <cfRule type="duplicateValues" dxfId="2649" priority="136"/>
  </conditionalFormatting>
  <conditionalFormatting sqref="M10:M11">
    <cfRule type="duplicateValues" dxfId="2648" priority="137"/>
  </conditionalFormatting>
  <conditionalFormatting sqref="M15">
    <cfRule type="duplicateValues" dxfId="2647" priority="132"/>
  </conditionalFormatting>
  <conditionalFormatting sqref="N14">
    <cfRule type="duplicateValues" dxfId="2646" priority="131"/>
  </conditionalFormatting>
  <conditionalFormatting sqref="N15">
    <cfRule type="duplicateValues" dxfId="2645" priority="130"/>
  </conditionalFormatting>
  <conditionalFormatting sqref="M16">
    <cfRule type="duplicateValues" dxfId="2644" priority="127"/>
  </conditionalFormatting>
  <conditionalFormatting sqref="M17">
    <cfRule type="duplicateValues" dxfId="2643" priority="128"/>
  </conditionalFormatting>
  <conditionalFormatting sqref="N16">
    <cfRule type="duplicateValues" dxfId="2642" priority="126"/>
  </conditionalFormatting>
  <conditionalFormatting sqref="N16:N17">
    <cfRule type="duplicateValues" dxfId="2641" priority="129"/>
  </conditionalFormatting>
  <conditionalFormatting sqref="N19">
    <cfRule type="duplicateValues" dxfId="2640" priority="125"/>
  </conditionalFormatting>
  <conditionalFormatting sqref="M20">
    <cfRule type="duplicateValues" dxfId="2639" priority="121"/>
  </conditionalFormatting>
  <conditionalFormatting sqref="M21">
    <cfRule type="duplicateValues" dxfId="2638" priority="123"/>
    <cfRule type="duplicateValues" dxfId="2637" priority="124"/>
  </conditionalFormatting>
  <conditionalFormatting sqref="N20">
    <cfRule type="duplicateValues" dxfId="2636" priority="122"/>
  </conditionalFormatting>
  <conditionalFormatting sqref="N21">
    <cfRule type="duplicateValues" dxfId="2635" priority="120"/>
  </conditionalFormatting>
  <conditionalFormatting sqref="M22">
    <cfRule type="duplicateValues" dxfId="2634" priority="116"/>
  </conditionalFormatting>
  <conditionalFormatting sqref="N22">
    <cfRule type="duplicateValues" dxfId="2633" priority="117"/>
  </conditionalFormatting>
  <conditionalFormatting sqref="N23">
    <cfRule type="duplicateValues" dxfId="2632" priority="115"/>
  </conditionalFormatting>
  <conditionalFormatting sqref="M23">
    <cfRule type="duplicateValues" dxfId="2631" priority="118"/>
    <cfRule type="duplicateValues" dxfId="2630" priority="119"/>
  </conditionalFormatting>
  <conditionalFormatting sqref="M25">
    <cfRule type="duplicateValues" dxfId="2629" priority="112"/>
    <cfRule type="duplicateValues" dxfId="2628" priority="114"/>
  </conditionalFormatting>
  <conditionalFormatting sqref="M24">
    <cfRule type="duplicateValues" dxfId="2627" priority="110"/>
  </conditionalFormatting>
  <conditionalFormatting sqref="N25">
    <cfRule type="duplicateValues" dxfId="2626" priority="113"/>
  </conditionalFormatting>
  <conditionalFormatting sqref="N24">
    <cfRule type="duplicateValues" dxfId="2625" priority="111"/>
  </conditionalFormatting>
  <conditionalFormatting sqref="M27">
    <cfRule type="duplicateValues" dxfId="2624" priority="99"/>
    <cfRule type="duplicateValues" dxfId="2623" priority="100"/>
  </conditionalFormatting>
  <conditionalFormatting sqref="M26">
    <cfRule type="duplicateValues" dxfId="2622" priority="97"/>
  </conditionalFormatting>
  <conditionalFormatting sqref="N26">
    <cfRule type="duplicateValues" dxfId="2621" priority="98"/>
  </conditionalFormatting>
  <conditionalFormatting sqref="N27">
    <cfRule type="duplicateValues" dxfId="2620" priority="96"/>
  </conditionalFormatting>
  <conditionalFormatting sqref="M29:M30">
    <cfRule type="duplicateValues" dxfId="2619" priority="93"/>
    <cfRule type="duplicateValues" dxfId="2618" priority="95"/>
  </conditionalFormatting>
  <conditionalFormatting sqref="M28">
    <cfRule type="duplicateValues" dxfId="2617" priority="91"/>
  </conditionalFormatting>
  <conditionalFormatting sqref="N28">
    <cfRule type="duplicateValues" dxfId="2616" priority="92"/>
  </conditionalFormatting>
  <conditionalFormatting sqref="N29">
    <cfRule type="duplicateValues" dxfId="2615" priority="90"/>
  </conditionalFormatting>
  <conditionalFormatting sqref="N30">
    <cfRule type="duplicateValues" dxfId="2614" priority="94"/>
  </conditionalFormatting>
  <conditionalFormatting sqref="M32">
    <cfRule type="duplicateValues" dxfId="2613" priority="89"/>
  </conditionalFormatting>
  <conditionalFormatting sqref="N31">
    <cfRule type="duplicateValues" dxfId="2612" priority="88"/>
  </conditionalFormatting>
  <conditionalFormatting sqref="N32">
    <cfRule type="duplicateValues" dxfId="2611" priority="87"/>
  </conditionalFormatting>
  <conditionalFormatting sqref="M33">
    <cfRule type="duplicateValues" dxfId="2610" priority="83"/>
  </conditionalFormatting>
  <conditionalFormatting sqref="M34">
    <cfRule type="duplicateValues" dxfId="2609" priority="85"/>
    <cfRule type="duplicateValues" dxfId="2608" priority="86"/>
  </conditionalFormatting>
  <conditionalFormatting sqref="N33">
    <cfRule type="duplicateValues" dxfId="2607" priority="84"/>
  </conditionalFormatting>
  <conditionalFormatting sqref="N34">
    <cfRule type="duplicateValues" dxfId="2606" priority="82"/>
  </conditionalFormatting>
  <conditionalFormatting sqref="M35">
    <cfRule type="duplicateValues" dxfId="2605" priority="79"/>
  </conditionalFormatting>
  <conditionalFormatting sqref="M36">
    <cfRule type="duplicateValues" dxfId="2604" priority="81"/>
  </conditionalFormatting>
  <conditionalFormatting sqref="N35">
    <cfRule type="duplicateValues" dxfId="2603" priority="80"/>
  </conditionalFormatting>
  <conditionalFormatting sqref="N36">
    <cfRule type="duplicateValues" dxfId="2602" priority="78"/>
  </conditionalFormatting>
  <conditionalFormatting sqref="M37">
    <cfRule type="duplicateValues" dxfId="2601" priority="74"/>
  </conditionalFormatting>
  <conditionalFormatting sqref="M38">
    <cfRule type="duplicateValues" dxfId="2600" priority="76"/>
  </conditionalFormatting>
  <conditionalFormatting sqref="M38">
    <cfRule type="duplicateValues" dxfId="2599" priority="77"/>
  </conditionalFormatting>
  <conditionalFormatting sqref="N37">
    <cfRule type="duplicateValues" dxfId="2598" priority="75"/>
  </conditionalFormatting>
  <conditionalFormatting sqref="N38">
    <cfRule type="duplicateValues" dxfId="2597" priority="73"/>
  </conditionalFormatting>
  <conditionalFormatting sqref="M39">
    <cfRule type="duplicateValues" dxfId="2596" priority="70"/>
  </conditionalFormatting>
  <conditionalFormatting sqref="M40:M41">
    <cfRule type="duplicateValues" dxfId="2595" priority="72"/>
  </conditionalFormatting>
  <conditionalFormatting sqref="M40:M41">
    <cfRule type="duplicateValues" dxfId="2594" priority="71"/>
  </conditionalFormatting>
  <conditionalFormatting sqref="N40:N41">
    <cfRule type="duplicateValues" dxfId="2593" priority="69"/>
  </conditionalFormatting>
  <conditionalFormatting sqref="N39">
    <cfRule type="duplicateValues" dxfId="2592" priority="68"/>
  </conditionalFormatting>
  <conditionalFormatting sqref="M43">
    <cfRule type="duplicateValues" dxfId="2591" priority="66"/>
    <cfRule type="duplicateValues" dxfId="2590" priority="67"/>
  </conditionalFormatting>
  <conditionalFormatting sqref="M42">
    <cfRule type="duplicateValues" dxfId="2589" priority="64"/>
  </conditionalFormatting>
  <conditionalFormatting sqref="N42">
    <cfRule type="duplicateValues" dxfId="2588" priority="65"/>
  </conditionalFormatting>
  <conditionalFormatting sqref="N43">
    <cfRule type="duplicateValues" dxfId="2587" priority="63"/>
  </conditionalFormatting>
  <conditionalFormatting sqref="N44">
    <cfRule type="duplicateValues" dxfId="2586" priority="60"/>
  </conditionalFormatting>
  <conditionalFormatting sqref="N45">
    <cfRule type="duplicateValues" dxfId="2585" priority="59"/>
  </conditionalFormatting>
  <conditionalFormatting sqref="M44:M45">
    <cfRule type="duplicateValues" dxfId="2584" priority="61"/>
    <cfRule type="duplicateValues" dxfId="2583" priority="62"/>
  </conditionalFormatting>
  <conditionalFormatting sqref="M46">
    <cfRule type="duplicateValues" dxfId="2582" priority="57"/>
  </conditionalFormatting>
  <conditionalFormatting sqref="N46">
    <cfRule type="duplicateValues" dxfId="2581" priority="58"/>
  </conditionalFormatting>
  <conditionalFormatting sqref="M47">
    <cfRule type="duplicateValues" dxfId="2580" priority="53"/>
  </conditionalFormatting>
  <conditionalFormatting sqref="N47">
    <cfRule type="duplicateValues" dxfId="2579" priority="54"/>
  </conditionalFormatting>
  <conditionalFormatting sqref="N48">
    <cfRule type="duplicateValues" dxfId="2578" priority="52"/>
  </conditionalFormatting>
  <conditionalFormatting sqref="M48">
    <cfRule type="duplicateValues" dxfId="2577" priority="55"/>
    <cfRule type="duplicateValues" dxfId="2576" priority="56"/>
  </conditionalFormatting>
  <conditionalFormatting sqref="M49">
    <cfRule type="duplicateValues" dxfId="2575" priority="49"/>
  </conditionalFormatting>
  <conditionalFormatting sqref="M50">
    <cfRule type="duplicateValues" dxfId="2574" priority="51"/>
  </conditionalFormatting>
  <conditionalFormatting sqref="N49">
    <cfRule type="duplicateValues" dxfId="2573" priority="50"/>
  </conditionalFormatting>
  <conditionalFormatting sqref="N50">
    <cfRule type="duplicateValues" dxfId="2572" priority="48"/>
  </conditionalFormatting>
  <conditionalFormatting sqref="M52">
    <cfRule type="duplicateValues" dxfId="2571" priority="45"/>
    <cfRule type="duplicateValues" dxfId="2570" priority="47"/>
  </conditionalFormatting>
  <conditionalFormatting sqref="M51">
    <cfRule type="duplicateValues" dxfId="2569" priority="44"/>
  </conditionalFormatting>
  <conditionalFormatting sqref="N51">
    <cfRule type="duplicateValues" dxfId="2568" priority="43"/>
  </conditionalFormatting>
  <conditionalFormatting sqref="N52">
    <cfRule type="duplicateValues" dxfId="2567" priority="46"/>
  </conditionalFormatting>
  <conditionalFormatting sqref="M54">
    <cfRule type="duplicateValues" dxfId="2566" priority="41"/>
    <cfRule type="duplicateValues" dxfId="2565" priority="42"/>
  </conditionalFormatting>
  <conditionalFormatting sqref="M53">
    <cfRule type="duplicateValues" dxfId="2564" priority="37"/>
  </conditionalFormatting>
  <conditionalFormatting sqref="M55">
    <cfRule type="duplicateValues" dxfId="2563" priority="39"/>
  </conditionalFormatting>
  <conditionalFormatting sqref="N53">
    <cfRule type="duplicateValues" dxfId="2562" priority="38"/>
  </conditionalFormatting>
  <conditionalFormatting sqref="N54">
    <cfRule type="duplicateValues" dxfId="2561" priority="36"/>
  </conditionalFormatting>
  <conditionalFormatting sqref="N55">
    <cfRule type="duplicateValues" dxfId="2560" priority="40"/>
  </conditionalFormatting>
  <conditionalFormatting sqref="M57">
    <cfRule type="duplicateValues" dxfId="2559" priority="35"/>
  </conditionalFormatting>
  <conditionalFormatting sqref="M56">
    <cfRule type="duplicateValues" dxfId="2558" priority="33"/>
  </conditionalFormatting>
  <conditionalFormatting sqref="N56">
    <cfRule type="duplicateValues" dxfId="2557" priority="34"/>
  </conditionalFormatting>
  <conditionalFormatting sqref="N57">
    <cfRule type="duplicateValues" dxfId="2556" priority="32"/>
  </conditionalFormatting>
  <conditionalFormatting sqref="M59">
    <cfRule type="duplicateValues" dxfId="2555" priority="30"/>
    <cfRule type="duplicateValues" dxfId="2554" priority="31"/>
  </conditionalFormatting>
  <conditionalFormatting sqref="M58">
    <cfRule type="duplicateValues" dxfId="2553" priority="28"/>
  </conditionalFormatting>
  <conditionalFormatting sqref="N58">
    <cfRule type="duplicateValues" dxfId="2552" priority="29"/>
  </conditionalFormatting>
  <conditionalFormatting sqref="N59">
    <cfRule type="duplicateValues" dxfId="2551" priority="27"/>
  </conditionalFormatting>
  <conditionalFormatting sqref="M61">
    <cfRule type="duplicateValues" dxfId="2550" priority="26"/>
  </conditionalFormatting>
  <conditionalFormatting sqref="M60">
    <cfRule type="duplicateValues" dxfId="2549" priority="24"/>
  </conditionalFormatting>
  <conditionalFormatting sqref="N60">
    <cfRule type="duplicateValues" dxfId="2548" priority="25"/>
  </conditionalFormatting>
  <conditionalFormatting sqref="N61">
    <cfRule type="duplicateValues" dxfId="2547" priority="23"/>
  </conditionalFormatting>
  <conditionalFormatting sqref="N62">
    <cfRule type="duplicateValues" dxfId="2546" priority="22"/>
  </conditionalFormatting>
  <conditionalFormatting sqref="M64">
    <cfRule type="duplicateValues" dxfId="2545" priority="20"/>
    <cfRule type="duplicateValues" dxfId="2544" priority="21"/>
  </conditionalFormatting>
  <conditionalFormatting sqref="N63">
    <cfRule type="duplicateValues" dxfId="2543" priority="19"/>
  </conditionalFormatting>
  <conditionalFormatting sqref="N64">
    <cfRule type="duplicateValues" dxfId="2542" priority="18"/>
  </conditionalFormatting>
  <conditionalFormatting sqref="M65">
    <cfRule type="duplicateValues" dxfId="2541" priority="14"/>
  </conditionalFormatting>
  <conditionalFormatting sqref="M66">
    <cfRule type="duplicateValues" dxfId="2540" priority="16"/>
    <cfRule type="duplicateValues" dxfId="2539" priority="17"/>
  </conditionalFormatting>
  <conditionalFormatting sqref="N65">
    <cfRule type="duplicateValues" dxfId="2538" priority="15"/>
  </conditionalFormatting>
  <conditionalFormatting sqref="N66">
    <cfRule type="duplicateValues" dxfId="2537" priority="13"/>
  </conditionalFormatting>
  <conditionalFormatting sqref="M67">
    <cfRule type="duplicateValues" dxfId="2536" priority="9"/>
  </conditionalFormatting>
  <conditionalFormatting sqref="M68">
    <cfRule type="duplicateValues" dxfId="2535" priority="11"/>
    <cfRule type="duplicateValues" dxfId="2534" priority="12"/>
  </conditionalFormatting>
  <conditionalFormatting sqref="N67">
    <cfRule type="duplicateValues" dxfId="2533" priority="10"/>
  </conditionalFormatting>
  <conditionalFormatting sqref="N68">
    <cfRule type="duplicateValues" dxfId="2532" priority="8"/>
  </conditionalFormatting>
  <conditionalFormatting sqref="M69">
    <cfRule type="duplicateValues" dxfId="2531" priority="6"/>
  </conditionalFormatting>
  <conditionalFormatting sqref="M69">
    <cfRule type="duplicateValues" dxfId="2530" priority="7"/>
  </conditionalFormatting>
  <conditionalFormatting sqref="N70">
    <cfRule type="duplicateValues" dxfId="2529" priority="5"/>
  </conditionalFormatting>
  <conditionalFormatting sqref="M71">
    <cfRule type="duplicateValues" dxfId="2528" priority="2"/>
  </conditionalFormatting>
  <conditionalFormatting sqref="M72">
    <cfRule type="duplicateValues" dxfId="2527" priority="4"/>
  </conditionalFormatting>
  <conditionalFormatting sqref="N71">
    <cfRule type="duplicateValues" dxfId="2526" priority="3"/>
  </conditionalFormatting>
  <conditionalFormatting sqref="N72">
    <cfRule type="duplicateValues" dxfId="2525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1"/>
  <sheetViews>
    <sheetView rightToLeft="1" topLeftCell="A55" workbookViewId="0">
      <selection activeCell="G69" sqref="G69"/>
    </sheetView>
  </sheetViews>
  <sheetFormatPr defaultRowHeight="15"/>
  <cols>
    <col min="2" max="2" width="16" customWidth="1"/>
    <col min="3" max="3" width="25.28515625" customWidth="1"/>
  </cols>
  <sheetData>
    <row r="2" spans="1:3" ht="18.75">
      <c r="A2" s="866" t="s">
        <v>11182</v>
      </c>
      <c r="B2" s="866" t="s">
        <v>15531</v>
      </c>
      <c r="C2" s="866" t="s">
        <v>4406</v>
      </c>
    </row>
    <row r="3" spans="1:3">
      <c r="A3" s="867">
        <v>214</v>
      </c>
      <c r="B3" s="867">
        <v>2</v>
      </c>
      <c r="C3" s="867" t="s">
        <v>15532</v>
      </c>
    </row>
    <row r="4" spans="1:3">
      <c r="A4" s="868">
        <v>215</v>
      </c>
      <c r="B4" s="868">
        <v>2</v>
      </c>
      <c r="C4" s="868" t="s">
        <v>15533</v>
      </c>
    </row>
    <row r="5" spans="1:3">
      <c r="A5" s="1154">
        <v>216</v>
      </c>
      <c r="B5" s="1154">
        <v>2</v>
      </c>
      <c r="C5" s="1154" t="s">
        <v>15534</v>
      </c>
    </row>
    <row r="6" spans="1:3">
      <c r="A6" s="867">
        <v>217</v>
      </c>
      <c r="B6" s="867">
        <v>2</v>
      </c>
      <c r="C6" s="867" t="s">
        <v>15532</v>
      </c>
    </row>
    <row r="7" spans="1:3">
      <c r="A7" s="867">
        <v>218</v>
      </c>
      <c r="B7" s="867">
        <v>2</v>
      </c>
      <c r="C7" s="867" t="s">
        <v>15532</v>
      </c>
    </row>
    <row r="8" spans="1:3">
      <c r="A8" s="867">
        <v>219</v>
      </c>
      <c r="B8" s="867">
        <v>2</v>
      </c>
      <c r="C8" s="867" t="s">
        <v>15532</v>
      </c>
    </row>
    <row r="9" spans="1:3">
      <c r="A9" s="867">
        <v>220</v>
      </c>
      <c r="B9" s="867">
        <v>2</v>
      </c>
      <c r="C9" s="867" t="s">
        <v>15532</v>
      </c>
    </row>
    <row r="10" spans="1:3">
      <c r="A10" s="867">
        <v>221</v>
      </c>
      <c r="B10" s="867">
        <v>2</v>
      </c>
      <c r="C10" s="867" t="s">
        <v>15532</v>
      </c>
    </row>
    <row r="11" spans="1:3">
      <c r="A11" s="867">
        <v>222</v>
      </c>
      <c r="B11" s="867">
        <v>2</v>
      </c>
      <c r="C11" s="867" t="s">
        <v>15532</v>
      </c>
    </row>
    <row r="12" spans="1:3">
      <c r="A12" s="867">
        <v>223</v>
      </c>
      <c r="B12" s="867">
        <v>2</v>
      </c>
      <c r="C12" s="867" t="s">
        <v>15532</v>
      </c>
    </row>
    <row r="13" spans="1:3">
      <c r="A13" s="868">
        <v>225</v>
      </c>
      <c r="B13" s="868">
        <v>2</v>
      </c>
      <c r="C13" s="868" t="s">
        <v>15533</v>
      </c>
    </row>
    <row r="14" spans="1:3">
      <c r="A14" s="868">
        <v>226</v>
      </c>
      <c r="B14" s="868">
        <v>2</v>
      </c>
      <c r="C14" s="868" t="s">
        <v>15533</v>
      </c>
    </row>
    <row r="15" spans="1:3">
      <c r="A15" s="867">
        <v>227</v>
      </c>
      <c r="B15" s="867">
        <v>2</v>
      </c>
      <c r="C15" s="867" t="s">
        <v>15532</v>
      </c>
    </row>
    <row r="16" spans="1:3">
      <c r="A16" s="867">
        <v>228</v>
      </c>
      <c r="B16" s="867">
        <v>2</v>
      </c>
      <c r="C16" s="867" t="s">
        <v>15532</v>
      </c>
    </row>
    <row r="17" spans="1:3">
      <c r="A17" s="867">
        <v>229</v>
      </c>
      <c r="B17" s="867">
        <v>2</v>
      </c>
      <c r="C17" s="867" t="s">
        <v>15532</v>
      </c>
    </row>
    <row r="18" spans="1:3">
      <c r="A18" s="867">
        <v>230</v>
      </c>
      <c r="B18" s="867">
        <v>2</v>
      </c>
      <c r="C18" s="867" t="s">
        <v>15532</v>
      </c>
    </row>
    <row r="19" spans="1:3">
      <c r="A19" s="867">
        <v>231</v>
      </c>
      <c r="B19" s="867">
        <v>2</v>
      </c>
      <c r="C19" s="867" t="s">
        <v>15532</v>
      </c>
    </row>
    <row r="20" spans="1:3">
      <c r="A20" s="867">
        <v>232</v>
      </c>
      <c r="B20" s="867">
        <v>2</v>
      </c>
      <c r="C20" s="867" t="s">
        <v>15532</v>
      </c>
    </row>
    <row r="21" spans="1:3">
      <c r="A21" s="868">
        <v>234</v>
      </c>
      <c r="B21" s="868">
        <v>2</v>
      </c>
      <c r="C21" s="868" t="s">
        <v>15533</v>
      </c>
    </row>
    <row r="22" spans="1:3">
      <c r="A22" s="867">
        <v>236</v>
      </c>
      <c r="B22" s="867">
        <v>2</v>
      </c>
      <c r="C22" s="867" t="s">
        <v>15532</v>
      </c>
    </row>
    <row r="23" spans="1:3">
      <c r="A23" s="868">
        <v>237</v>
      </c>
      <c r="B23" s="868">
        <v>2</v>
      </c>
      <c r="C23" s="868" t="s">
        <v>15533</v>
      </c>
    </row>
    <row r="24" spans="1:3">
      <c r="A24" s="867">
        <v>238</v>
      </c>
      <c r="B24" s="867">
        <v>2</v>
      </c>
      <c r="C24" s="867" t="s">
        <v>15532</v>
      </c>
    </row>
    <row r="25" spans="1:3">
      <c r="A25" s="867">
        <v>239</v>
      </c>
      <c r="B25" s="867">
        <v>2</v>
      </c>
      <c r="C25" s="867" t="s">
        <v>15532</v>
      </c>
    </row>
    <row r="26" spans="1:3">
      <c r="A26" s="869">
        <v>241</v>
      </c>
      <c r="B26" s="867">
        <v>2</v>
      </c>
      <c r="C26" s="867" t="s">
        <v>15532</v>
      </c>
    </row>
    <row r="27" spans="1:3">
      <c r="A27" s="867">
        <v>240</v>
      </c>
      <c r="B27" s="867">
        <v>2</v>
      </c>
      <c r="C27" s="867" t="s">
        <v>15532</v>
      </c>
    </row>
    <row r="28" spans="1:3">
      <c r="A28" s="867">
        <v>243</v>
      </c>
      <c r="B28" s="867">
        <v>2</v>
      </c>
      <c r="C28" s="867" t="s">
        <v>15532</v>
      </c>
    </row>
    <row r="29" spans="1:3">
      <c r="A29" s="868">
        <v>244</v>
      </c>
      <c r="B29" s="868">
        <v>2</v>
      </c>
      <c r="C29" s="868" t="s">
        <v>15533</v>
      </c>
    </row>
    <row r="30" spans="1:3">
      <c r="A30" s="867">
        <v>245</v>
      </c>
      <c r="B30" s="867">
        <v>2</v>
      </c>
      <c r="C30" s="867" t="s">
        <v>15532</v>
      </c>
    </row>
    <row r="31" spans="1:3">
      <c r="A31" s="867">
        <v>246</v>
      </c>
      <c r="B31" s="867">
        <v>2</v>
      </c>
      <c r="C31" s="867" t="s">
        <v>15532</v>
      </c>
    </row>
    <row r="32" spans="1:3">
      <c r="A32" s="867">
        <v>247</v>
      </c>
      <c r="B32" s="867">
        <v>2</v>
      </c>
      <c r="C32" s="867" t="s">
        <v>15532</v>
      </c>
    </row>
    <row r="33" spans="1:3">
      <c r="A33" s="867">
        <v>248</v>
      </c>
      <c r="B33" s="867">
        <v>2</v>
      </c>
      <c r="C33" s="867" t="s">
        <v>15532</v>
      </c>
    </row>
    <row r="34" spans="1:3">
      <c r="A34" s="868">
        <v>249</v>
      </c>
      <c r="B34" s="868">
        <v>2</v>
      </c>
      <c r="C34" s="868" t="s">
        <v>15533</v>
      </c>
    </row>
    <row r="35" spans="1:3">
      <c r="A35" s="867">
        <v>250</v>
      </c>
      <c r="B35" s="867">
        <v>2</v>
      </c>
      <c r="C35" s="867" t="s">
        <v>15532</v>
      </c>
    </row>
    <row r="36" spans="1:3">
      <c r="A36" s="867">
        <v>251</v>
      </c>
      <c r="B36" s="867">
        <v>2</v>
      </c>
      <c r="C36" s="867" t="s">
        <v>15532</v>
      </c>
    </row>
    <row r="37" spans="1:3">
      <c r="A37" s="1154">
        <v>252</v>
      </c>
      <c r="B37" s="1154">
        <v>2</v>
      </c>
      <c r="C37" s="1154" t="s">
        <v>15534</v>
      </c>
    </row>
    <row r="38" spans="1:3">
      <c r="A38" s="868">
        <v>253</v>
      </c>
      <c r="B38" s="868">
        <v>2</v>
      </c>
      <c r="C38" s="868" t="s">
        <v>15533</v>
      </c>
    </row>
    <row r="39" spans="1:3">
      <c r="A39" s="867">
        <v>254</v>
      </c>
      <c r="B39" s="867">
        <v>2</v>
      </c>
      <c r="C39" s="867" t="s">
        <v>15532</v>
      </c>
    </row>
    <row r="40" spans="1:3">
      <c r="A40" s="867">
        <v>255</v>
      </c>
      <c r="B40" s="867">
        <v>2</v>
      </c>
      <c r="C40" s="867" t="s">
        <v>15532</v>
      </c>
    </row>
    <row r="41" spans="1:3">
      <c r="A41" s="868">
        <v>256</v>
      </c>
      <c r="B41" s="868">
        <v>2</v>
      </c>
      <c r="C41" s="868" t="s">
        <v>15533</v>
      </c>
    </row>
    <row r="42" spans="1:3">
      <c r="A42" s="867">
        <v>257</v>
      </c>
      <c r="B42" s="867">
        <v>2</v>
      </c>
      <c r="C42" s="867" t="s">
        <v>15532</v>
      </c>
    </row>
    <row r="43" spans="1:3">
      <c r="A43" s="868">
        <v>258</v>
      </c>
      <c r="B43" s="868">
        <v>2</v>
      </c>
      <c r="C43" s="868" t="s">
        <v>15533</v>
      </c>
    </row>
    <row r="44" spans="1:3">
      <c r="A44" s="868">
        <v>259</v>
      </c>
      <c r="B44" s="868">
        <v>2</v>
      </c>
      <c r="C44" s="868" t="s">
        <v>15533</v>
      </c>
    </row>
    <row r="45" spans="1:3">
      <c r="A45" s="867">
        <v>260</v>
      </c>
      <c r="B45" s="867">
        <v>2</v>
      </c>
      <c r="C45" s="867" t="s">
        <v>15532</v>
      </c>
    </row>
    <row r="46" spans="1:3">
      <c r="A46" s="868">
        <v>263</v>
      </c>
      <c r="B46" s="868">
        <v>2</v>
      </c>
      <c r="C46" s="868" t="s">
        <v>15533</v>
      </c>
    </row>
    <row r="47" spans="1:3">
      <c r="A47" s="867">
        <v>264</v>
      </c>
      <c r="B47" s="867">
        <v>2</v>
      </c>
      <c r="C47" s="867" t="s">
        <v>15532</v>
      </c>
    </row>
    <row r="48" spans="1:3">
      <c r="A48" s="868">
        <v>268</v>
      </c>
      <c r="B48" s="868">
        <v>2</v>
      </c>
      <c r="C48" s="868" t="s">
        <v>15533</v>
      </c>
    </row>
    <row r="49" spans="1:3">
      <c r="A49" s="867">
        <v>271</v>
      </c>
      <c r="B49" s="867">
        <v>2</v>
      </c>
      <c r="C49" s="867" t="s">
        <v>15532</v>
      </c>
    </row>
    <row r="50" spans="1:3">
      <c r="A50" s="867">
        <v>274</v>
      </c>
      <c r="B50" s="867">
        <v>2</v>
      </c>
      <c r="C50" s="867" t="s">
        <v>15532</v>
      </c>
    </row>
    <row r="51" spans="1:3">
      <c r="A51" s="867">
        <v>277</v>
      </c>
      <c r="B51" s="867">
        <v>2</v>
      </c>
      <c r="C51" s="867" t="s">
        <v>15532</v>
      </c>
    </row>
    <row r="52" spans="1:3">
      <c r="A52" s="868">
        <v>278</v>
      </c>
      <c r="B52" s="868">
        <v>2</v>
      </c>
      <c r="C52" s="868" t="s">
        <v>15533</v>
      </c>
    </row>
    <row r="53" spans="1:3">
      <c r="A53" s="867">
        <v>280</v>
      </c>
      <c r="B53" s="867">
        <v>2</v>
      </c>
      <c r="C53" s="867" t="s">
        <v>15532</v>
      </c>
    </row>
    <row r="54" spans="1:3">
      <c r="A54" s="867">
        <v>289</v>
      </c>
      <c r="B54" s="867">
        <v>2</v>
      </c>
      <c r="C54" s="867" t="s">
        <v>15532</v>
      </c>
    </row>
    <row r="55" spans="1:3">
      <c r="A55" s="867">
        <v>292</v>
      </c>
      <c r="B55" s="867">
        <v>2</v>
      </c>
      <c r="C55" s="867" t="s">
        <v>15532</v>
      </c>
    </row>
    <row r="56" spans="1:3">
      <c r="A56" s="868">
        <v>301</v>
      </c>
      <c r="B56" s="868">
        <v>2</v>
      </c>
      <c r="C56" s="868" t="s">
        <v>15533</v>
      </c>
    </row>
    <row r="57" spans="1:3">
      <c r="A57" s="868">
        <v>312</v>
      </c>
      <c r="B57" s="868">
        <v>2</v>
      </c>
      <c r="C57" s="868" t="s">
        <v>15533</v>
      </c>
    </row>
    <row r="58" spans="1:3">
      <c r="A58" s="868">
        <v>318</v>
      </c>
      <c r="B58" s="868">
        <v>2</v>
      </c>
      <c r="C58" s="868" t="s">
        <v>15533</v>
      </c>
    </row>
    <row r="59" spans="1:3">
      <c r="A59" s="867">
        <v>329</v>
      </c>
      <c r="B59" s="867">
        <v>2</v>
      </c>
      <c r="C59" s="867" t="s">
        <v>15532</v>
      </c>
    </row>
    <row r="60" spans="1:3">
      <c r="A60" s="868">
        <v>339</v>
      </c>
      <c r="B60" s="868">
        <v>2</v>
      </c>
      <c r="C60" s="868" t="s">
        <v>15533</v>
      </c>
    </row>
    <row r="61" spans="1:3">
      <c r="A61" s="868">
        <v>392</v>
      </c>
      <c r="B61" s="868">
        <v>2</v>
      </c>
      <c r="C61" s="868" t="s">
        <v>15533</v>
      </c>
    </row>
    <row r="62" spans="1:3">
      <c r="A62" s="868">
        <v>477</v>
      </c>
      <c r="B62" s="868">
        <v>2</v>
      </c>
      <c r="C62" s="868" t="s">
        <v>15533</v>
      </c>
    </row>
    <row r="63" spans="1:3">
      <c r="A63" s="868">
        <v>509</v>
      </c>
      <c r="B63" s="868">
        <v>2</v>
      </c>
      <c r="C63" s="868" t="s">
        <v>15533</v>
      </c>
    </row>
    <row r="64" spans="1:3">
      <c r="A64" s="867">
        <v>512</v>
      </c>
      <c r="B64" s="867">
        <v>2</v>
      </c>
      <c r="C64" s="867" t="s">
        <v>15532</v>
      </c>
    </row>
    <row r="65" spans="1:3">
      <c r="A65" s="868">
        <v>513</v>
      </c>
      <c r="B65" s="868">
        <v>2</v>
      </c>
      <c r="C65" s="868" t="s">
        <v>15533</v>
      </c>
    </row>
    <row r="66" spans="1:3">
      <c r="A66" s="868">
        <v>514</v>
      </c>
      <c r="B66" s="868">
        <v>2</v>
      </c>
      <c r="C66" s="868" t="s">
        <v>15533</v>
      </c>
    </row>
    <row r="67" spans="1:3">
      <c r="A67" s="1154">
        <v>516</v>
      </c>
      <c r="B67" s="1154">
        <v>2</v>
      </c>
      <c r="C67" s="1154" t="s">
        <v>15534</v>
      </c>
    </row>
    <row r="68" spans="1:3">
      <c r="A68" s="868">
        <v>517</v>
      </c>
      <c r="B68" s="868">
        <v>2</v>
      </c>
      <c r="C68" s="868" t="s">
        <v>15533</v>
      </c>
    </row>
    <row r="69" spans="1:3">
      <c r="A69" s="868">
        <v>518</v>
      </c>
      <c r="B69" s="868">
        <v>2</v>
      </c>
      <c r="C69" s="868" t="s">
        <v>15533</v>
      </c>
    </row>
    <row r="70" spans="1:3">
      <c r="A70" s="867">
        <v>519</v>
      </c>
      <c r="B70" s="867">
        <v>2</v>
      </c>
      <c r="C70" s="867" t="s">
        <v>15532</v>
      </c>
    </row>
    <row r="71" spans="1:3">
      <c r="A71" s="868">
        <v>520</v>
      </c>
      <c r="B71" s="868">
        <v>2</v>
      </c>
      <c r="C71" s="868" t="s">
        <v>15533</v>
      </c>
    </row>
    <row r="72" spans="1:3">
      <c r="A72" s="867">
        <v>521</v>
      </c>
      <c r="B72" s="867">
        <v>2</v>
      </c>
      <c r="C72" s="867" t="s">
        <v>15532</v>
      </c>
    </row>
    <row r="73" spans="1:3">
      <c r="A73" s="867">
        <v>522</v>
      </c>
      <c r="B73" s="867">
        <v>2</v>
      </c>
      <c r="C73" s="867" t="s">
        <v>15532</v>
      </c>
    </row>
    <row r="74" spans="1:3">
      <c r="A74" s="867">
        <v>523</v>
      </c>
      <c r="B74" s="867">
        <v>2</v>
      </c>
      <c r="C74" s="867" t="s">
        <v>15532</v>
      </c>
    </row>
    <row r="75" spans="1:3">
      <c r="A75" s="868">
        <v>524</v>
      </c>
      <c r="B75" s="868">
        <v>2</v>
      </c>
      <c r="C75" s="868" t="s">
        <v>15533</v>
      </c>
    </row>
    <row r="76" spans="1:3">
      <c r="A76" s="867">
        <v>525</v>
      </c>
      <c r="B76" s="867">
        <v>2</v>
      </c>
      <c r="C76" s="867" t="s">
        <v>15532</v>
      </c>
    </row>
    <row r="77" spans="1:3">
      <c r="A77" s="867">
        <v>526</v>
      </c>
      <c r="B77" s="867">
        <v>2</v>
      </c>
      <c r="C77" s="867" t="s">
        <v>15532</v>
      </c>
    </row>
    <row r="78" spans="1:3">
      <c r="A78" s="868">
        <v>527</v>
      </c>
      <c r="B78" s="868">
        <v>2</v>
      </c>
      <c r="C78" s="868" t="s">
        <v>15533</v>
      </c>
    </row>
    <row r="79" spans="1:3">
      <c r="A79" s="1154">
        <v>528</v>
      </c>
      <c r="B79" s="1154">
        <v>2</v>
      </c>
      <c r="C79" s="1154" t="s">
        <v>15534</v>
      </c>
    </row>
    <row r="80" spans="1:3">
      <c r="A80" s="868">
        <v>529</v>
      </c>
      <c r="B80" s="868">
        <v>2</v>
      </c>
      <c r="C80" s="868" t="s">
        <v>15533</v>
      </c>
    </row>
    <row r="81" spans="1:3">
      <c r="A81" s="1155">
        <v>530</v>
      </c>
      <c r="B81" s="1155">
        <v>2</v>
      </c>
      <c r="C81" s="1155" t="s">
        <v>15532</v>
      </c>
    </row>
    <row r="82" spans="1:3">
      <c r="A82" s="1154">
        <v>531</v>
      </c>
      <c r="B82" s="1154">
        <v>2</v>
      </c>
      <c r="C82" s="1154" t="s">
        <v>15534</v>
      </c>
    </row>
    <row r="83" spans="1:3">
      <c r="A83" s="868">
        <v>532</v>
      </c>
      <c r="B83" s="868">
        <v>2</v>
      </c>
      <c r="C83" s="1156" t="s">
        <v>15533</v>
      </c>
    </row>
    <row r="84" spans="1:3">
      <c r="A84" s="868">
        <v>533</v>
      </c>
      <c r="B84" s="868">
        <v>2</v>
      </c>
      <c r="C84" s="868" t="s">
        <v>15533</v>
      </c>
    </row>
    <row r="85" spans="1:3">
      <c r="A85" s="870"/>
      <c r="B85" s="870"/>
      <c r="C85" s="870"/>
    </row>
    <row r="86" spans="1:3">
      <c r="A86" s="870"/>
      <c r="B86" s="870"/>
      <c r="C86" s="870"/>
    </row>
    <row r="87" spans="1:3">
      <c r="A87" s="870"/>
      <c r="B87" s="870"/>
      <c r="C87" s="870"/>
    </row>
    <row r="88" spans="1:3">
      <c r="A88" s="870"/>
      <c r="B88" s="870"/>
      <c r="C88" s="870"/>
    </row>
    <row r="89" spans="1:3">
      <c r="A89" s="870"/>
      <c r="B89" s="870"/>
      <c r="C89" s="870"/>
    </row>
    <row r="90" spans="1:3">
      <c r="A90" s="870"/>
      <c r="B90" s="870"/>
      <c r="C90" s="870"/>
    </row>
    <row r="91" spans="1:3">
      <c r="A91" s="870"/>
      <c r="B91" s="870"/>
      <c r="C91" s="870"/>
    </row>
    <row r="92" spans="1:3">
      <c r="A92" s="870"/>
      <c r="B92" s="870"/>
      <c r="C92" s="870"/>
    </row>
    <row r="93" spans="1:3">
      <c r="A93" s="870"/>
      <c r="B93" s="870"/>
      <c r="C93" s="870"/>
    </row>
    <row r="94" spans="1:3">
      <c r="A94" s="870"/>
      <c r="B94" s="870"/>
      <c r="C94" s="870"/>
    </row>
    <row r="95" spans="1:3">
      <c r="A95" s="870"/>
      <c r="B95" s="870"/>
      <c r="C95" s="870"/>
    </row>
    <row r="96" spans="1:3">
      <c r="A96" s="870"/>
      <c r="B96" s="870"/>
      <c r="C96" s="870"/>
    </row>
    <row r="97" spans="1:3">
      <c r="A97" s="870"/>
      <c r="B97" s="870"/>
      <c r="C97" s="870"/>
    </row>
    <row r="98" spans="1:3">
      <c r="A98" s="870"/>
      <c r="B98" s="870"/>
      <c r="C98" s="870"/>
    </row>
    <row r="99" spans="1:3">
      <c r="A99" s="870"/>
      <c r="B99" s="870"/>
      <c r="C99" s="870"/>
    </row>
    <row r="100" spans="1:3">
      <c r="A100" s="870"/>
      <c r="B100" s="870"/>
      <c r="C100" s="870"/>
    </row>
    <row r="101" spans="1:3">
      <c r="A101" s="870"/>
      <c r="B101" s="870"/>
      <c r="C101" s="870"/>
    </row>
    <row r="102" spans="1:3">
      <c r="A102" s="870"/>
      <c r="B102" s="870"/>
      <c r="C102" s="870"/>
    </row>
    <row r="103" spans="1:3">
      <c r="A103" s="870"/>
      <c r="B103" s="870"/>
      <c r="C103" s="870"/>
    </row>
    <row r="104" spans="1:3">
      <c r="A104" s="870"/>
      <c r="B104" s="870"/>
      <c r="C104" s="870"/>
    </row>
    <row r="105" spans="1:3">
      <c r="A105" s="870"/>
      <c r="B105" s="870"/>
      <c r="C105" s="870"/>
    </row>
    <row r="106" spans="1:3">
      <c r="A106" s="870"/>
      <c r="B106" s="870"/>
      <c r="C106" s="870"/>
    </row>
    <row r="107" spans="1:3">
      <c r="A107" s="870"/>
      <c r="B107" s="870"/>
      <c r="C107" s="870"/>
    </row>
    <row r="108" spans="1:3">
      <c r="A108" s="870"/>
      <c r="B108" s="870"/>
      <c r="C108" s="870"/>
    </row>
    <row r="109" spans="1:3">
      <c r="A109" s="870"/>
      <c r="B109" s="870"/>
      <c r="C109" s="870"/>
    </row>
    <row r="110" spans="1:3">
      <c r="A110" s="870"/>
      <c r="B110" s="870"/>
      <c r="C110" s="870"/>
    </row>
    <row r="111" spans="1:3">
      <c r="A111" s="870"/>
      <c r="B111" s="870"/>
      <c r="C111" s="870"/>
    </row>
    <row r="112" spans="1:3">
      <c r="A112" s="870"/>
      <c r="B112" s="870"/>
      <c r="C112" s="870"/>
    </row>
    <row r="113" spans="1:3">
      <c r="A113" s="870"/>
      <c r="B113" s="870"/>
      <c r="C113" s="870"/>
    </row>
    <row r="114" spans="1:3">
      <c r="A114" s="870"/>
      <c r="B114" s="870"/>
      <c r="C114" s="870"/>
    </row>
    <row r="115" spans="1:3">
      <c r="A115" s="870"/>
      <c r="B115" s="870"/>
      <c r="C115" s="870"/>
    </row>
    <row r="116" spans="1:3">
      <c r="A116" s="870"/>
      <c r="B116" s="870"/>
      <c r="C116" s="870"/>
    </row>
    <row r="117" spans="1:3">
      <c r="A117" s="870"/>
      <c r="B117" s="870"/>
      <c r="C117" s="870"/>
    </row>
    <row r="118" spans="1:3">
      <c r="A118" s="870"/>
      <c r="B118" s="870"/>
      <c r="C118" s="870"/>
    </row>
    <row r="119" spans="1:3">
      <c r="A119" s="870"/>
      <c r="B119" s="870"/>
      <c r="C119" s="870"/>
    </row>
    <row r="120" spans="1:3">
      <c r="A120" s="870"/>
      <c r="B120" s="870"/>
      <c r="C120" s="870"/>
    </row>
    <row r="121" spans="1:3">
      <c r="A121" s="870"/>
      <c r="B121" s="870"/>
      <c r="C121" s="870"/>
    </row>
    <row r="122" spans="1:3">
      <c r="A122" s="870"/>
      <c r="B122" s="870"/>
      <c r="C122" s="870"/>
    </row>
    <row r="123" spans="1:3">
      <c r="A123" s="870"/>
      <c r="B123" s="870"/>
      <c r="C123" s="870"/>
    </row>
    <row r="124" spans="1:3">
      <c r="A124" s="870"/>
      <c r="B124" s="870"/>
      <c r="C124" s="870"/>
    </row>
    <row r="125" spans="1:3">
      <c r="A125" s="870"/>
      <c r="B125" s="870"/>
      <c r="C125" s="870"/>
    </row>
    <row r="126" spans="1:3">
      <c r="A126" s="870"/>
      <c r="B126" s="870"/>
      <c r="C126" s="870"/>
    </row>
    <row r="127" spans="1:3">
      <c r="A127" s="870"/>
      <c r="B127" s="870"/>
      <c r="C127" s="870"/>
    </row>
    <row r="128" spans="1:3">
      <c r="A128" s="870"/>
      <c r="B128" s="870"/>
      <c r="C128" s="870"/>
    </row>
    <row r="129" spans="1:3">
      <c r="A129" s="870"/>
      <c r="B129" s="870"/>
      <c r="C129" s="870"/>
    </row>
    <row r="130" spans="1:3">
      <c r="A130" s="870"/>
      <c r="B130" s="870"/>
      <c r="C130" s="870"/>
    </row>
    <row r="131" spans="1:3">
      <c r="A131" s="870"/>
      <c r="B131" s="870"/>
      <c r="C131" s="870"/>
    </row>
    <row r="132" spans="1:3">
      <c r="A132" s="870"/>
      <c r="B132" s="870"/>
      <c r="C132" s="870"/>
    </row>
    <row r="133" spans="1:3">
      <c r="A133" s="870"/>
      <c r="B133" s="870"/>
      <c r="C133" s="870"/>
    </row>
    <row r="134" spans="1:3">
      <c r="A134" s="870"/>
      <c r="B134" s="870"/>
      <c r="C134" s="870"/>
    </row>
    <row r="135" spans="1:3">
      <c r="A135" s="870"/>
      <c r="B135" s="870"/>
      <c r="C135" s="870"/>
    </row>
    <row r="136" spans="1:3">
      <c r="A136" s="870"/>
      <c r="B136" s="870"/>
      <c r="C136" s="870"/>
    </row>
    <row r="137" spans="1:3">
      <c r="A137" s="870"/>
      <c r="B137" s="870"/>
      <c r="C137" s="870"/>
    </row>
    <row r="138" spans="1:3">
      <c r="A138" s="870"/>
      <c r="B138" s="870"/>
      <c r="C138" s="870"/>
    </row>
    <row r="139" spans="1:3">
      <c r="A139" s="870"/>
      <c r="B139" s="870"/>
      <c r="C139" s="870"/>
    </row>
    <row r="140" spans="1:3">
      <c r="A140" s="870"/>
      <c r="B140" s="870"/>
      <c r="C140" s="870"/>
    </row>
    <row r="141" spans="1:3">
      <c r="A141" s="870"/>
      <c r="B141" s="870"/>
      <c r="C141" s="870"/>
    </row>
    <row r="142" spans="1:3">
      <c r="A142" s="870"/>
      <c r="B142" s="870"/>
      <c r="C142" s="870"/>
    </row>
    <row r="143" spans="1:3">
      <c r="A143" s="870"/>
      <c r="B143" s="870"/>
      <c r="C143" s="870"/>
    </row>
    <row r="144" spans="1:3">
      <c r="A144" s="870"/>
      <c r="B144" s="870"/>
      <c r="C144" s="870"/>
    </row>
    <row r="145" spans="1:3">
      <c r="A145" s="870"/>
      <c r="B145" s="870"/>
      <c r="C145" s="870"/>
    </row>
    <row r="146" spans="1:3">
      <c r="A146" s="870"/>
      <c r="B146" s="870"/>
      <c r="C146" s="870"/>
    </row>
    <row r="147" spans="1:3">
      <c r="A147" s="870"/>
      <c r="B147" s="870"/>
      <c r="C147" s="870"/>
    </row>
    <row r="148" spans="1:3">
      <c r="A148" s="870"/>
      <c r="B148" s="870"/>
      <c r="C148" s="870"/>
    </row>
    <row r="149" spans="1:3">
      <c r="A149" s="870"/>
      <c r="B149" s="870"/>
      <c r="C149" s="870"/>
    </row>
    <row r="150" spans="1:3">
      <c r="A150" s="870"/>
      <c r="B150" s="870"/>
      <c r="C150" s="870"/>
    </row>
    <row r="151" spans="1:3">
      <c r="A151" s="870"/>
      <c r="B151" s="870"/>
      <c r="C151" s="870"/>
    </row>
    <row r="152" spans="1:3">
      <c r="A152" s="870"/>
      <c r="B152" s="870"/>
      <c r="C152" s="870"/>
    </row>
    <row r="153" spans="1:3">
      <c r="A153" s="870"/>
      <c r="B153" s="870"/>
      <c r="C153" s="870"/>
    </row>
    <row r="154" spans="1:3">
      <c r="A154" s="870"/>
      <c r="B154" s="870"/>
      <c r="C154" s="870"/>
    </row>
    <row r="155" spans="1:3">
      <c r="A155" s="870"/>
      <c r="B155" s="870"/>
      <c r="C155" s="870"/>
    </row>
    <row r="156" spans="1:3">
      <c r="A156" s="870"/>
      <c r="B156" s="870"/>
      <c r="C156" s="870"/>
    </row>
    <row r="157" spans="1:3">
      <c r="A157" s="870"/>
      <c r="B157" s="870"/>
      <c r="C157" s="870"/>
    </row>
    <row r="158" spans="1:3">
      <c r="A158" s="870"/>
      <c r="B158" s="870"/>
      <c r="C158" s="870"/>
    </row>
    <row r="159" spans="1:3">
      <c r="A159" s="870"/>
      <c r="B159" s="870"/>
      <c r="C159" s="870"/>
    </row>
    <row r="160" spans="1:3">
      <c r="A160" s="870"/>
      <c r="B160" s="870"/>
      <c r="C160" s="870"/>
    </row>
    <row r="161" spans="1:3">
      <c r="A161" s="870"/>
      <c r="B161" s="870"/>
      <c r="C161" s="87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53"/>
  <sheetViews>
    <sheetView rightToLeft="1" topLeftCell="A10" workbookViewId="0">
      <pane xSplit="10" topLeftCell="Q1" activePane="topRight" state="frozen"/>
      <selection pane="topRight" activeCell="A87" sqref="A87:A88"/>
    </sheetView>
  </sheetViews>
  <sheetFormatPr defaultRowHeight="15"/>
  <cols>
    <col min="2" max="2" width="14.42578125" customWidth="1"/>
    <col min="3" max="3" width="13.140625" customWidth="1"/>
    <col min="5" max="5" width="18.42578125" customWidth="1"/>
    <col min="6" max="6" width="21.5703125" customWidth="1"/>
    <col min="7" max="7" width="22.7109375" customWidth="1"/>
    <col min="8" max="8" width="20" customWidth="1"/>
    <col min="9" max="9" width="30.5703125" customWidth="1"/>
    <col min="10" max="10" width="27.5703125" customWidth="1"/>
    <col min="11" max="11" width="81.140625" customWidth="1"/>
    <col min="12" max="12" width="51" customWidth="1"/>
    <col min="13" max="13" width="27.28515625" customWidth="1"/>
    <col min="14" max="14" width="57.140625" customWidth="1"/>
    <col min="16" max="16" width="38.42578125" customWidth="1"/>
    <col min="17" max="17" width="14" customWidth="1"/>
    <col min="18" max="18" width="38.85546875" customWidth="1"/>
    <col min="20" max="20" width="28" customWidth="1"/>
    <col min="21" max="21" width="53.7109375" customWidth="1"/>
    <col min="22" max="22" width="26.28515625" customWidth="1"/>
    <col min="23" max="23" width="36.5703125" customWidth="1"/>
    <col min="24" max="24" width="61.5703125" customWidth="1"/>
    <col min="25" max="25" width="37" customWidth="1"/>
    <col min="26" max="26" width="101.42578125" customWidth="1"/>
    <col min="27" max="27" width="36.7109375" customWidth="1"/>
    <col min="28" max="28" width="69" customWidth="1"/>
    <col min="29" max="29" width="78.85546875" customWidth="1"/>
  </cols>
  <sheetData>
    <row r="1" spans="1:28" s="12" customForma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7" t="s">
        <v>8</v>
      </c>
      <c r="J1" s="3" t="s">
        <v>233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8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37" t="s">
        <v>22</v>
      </c>
      <c r="Y1" s="39" t="s">
        <v>23</v>
      </c>
      <c r="Z1" s="39" t="s">
        <v>24</v>
      </c>
      <c r="AA1" s="49" t="s">
        <v>9184</v>
      </c>
    </row>
    <row r="2" spans="1:28" s="27" customFormat="1" ht="18">
      <c r="A2" s="1390">
        <v>1</v>
      </c>
      <c r="B2" s="1388">
        <v>100</v>
      </c>
      <c r="C2" s="1430" t="s">
        <v>1595</v>
      </c>
      <c r="D2" s="1430" t="s">
        <v>1598</v>
      </c>
      <c r="E2" s="1426" t="s">
        <v>1598</v>
      </c>
      <c r="F2" s="1390" t="s">
        <v>1700</v>
      </c>
      <c r="G2" s="26">
        <v>405571</v>
      </c>
      <c r="H2" s="30" t="s">
        <v>9209</v>
      </c>
      <c r="I2" s="1390" t="s">
        <v>270</v>
      </c>
      <c r="J2" s="353" t="s">
        <v>4738</v>
      </c>
      <c r="K2" s="46" t="s">
        <v>43</v>
      </c>
      <c r="L2" s="68" t="s">
        <v>1701</v>
      </c>
      <c r="M2" s="68" t="s">
        <v>1702</v>
      </c>
      <c r="N2" s="68" t="s">
        <v>11414</v>
      </c>
      <c r="O2" s="46" t="s">
        <v>43</v>
      </c>
      <c r="P2" s="1396" t="s">
        <v>1703</v>
      </c>
      <c r="Q2" s="46" t="s">
        <v>43</v>
      </c>
      <c r="R2" s="46" t="s">
        <v>43</v>
      </c>
      <c r="S2" s="46" t="s">
        <v>43</v>
      </c>
      <c r="T2" s="56" t="s">
        <v>4612</v>
      </c>
      <c r="U2" s="46" t="s">
        <v>43</v>
      </c>
      <c r="V2" s="46" t="s">
        <v>43</v>
      </c>
      <c r="W2" s="46" t="s">
        <v>43</v>
      </c>
      <c r="X2" s="21" t="s">
        <v>278</v>
      </c>
      <c r="Y2" s="1447" t="s">
        <v>1704</v>
      </c>
      <c r="Z2" s="1412" t="s">
        <v>1998</v>
      </c>
      <c r="AA2" s="230">
        <v>155606060.60609999</v>
      </c>
      <c r="AB2" s="288" t="s">
        <v>11881</v>
      </c>
    </row>
    <row r="3" spans="1:28" s="27" customFormat="1" ht="15.75" customHeight="1">
      <c r="A3" s="1391"/>
      <c r="B3" s="1389"/>
      <c r="C3" s="1431"/>
      <c r="D3" s="1431"/>
      <c r="E3" s="1427"/>
      <c r="F3" s="1391"/>
      <c r="G3" s="23" t="s">
        <v>1705</v>
      </c>
      <c r="H3" s="30" t="s">
        <v>9208</v>
      </c>
      <c r="I3" s="1391"/>
      <c r="J3" s="623" t="s">
        <v>14161</v>
      </c>
      <c r="K3" s="46" t="s">
        <v>43</v>
      </c>
      <c r="L3" s="46" t="s">
        <v>43</v>
      </c>
      <c r="M3" s="68" t="s">
        <v>1706</v>
      </c>
      <c r="N3" s="68" t="s">
        <v>1707</v>
      </c>
      <c r="O3" s="46" t="s">
        <v>43</v>
      </c>
      <c r="P3" s="1398"/>
      <c r="Q3" s="46" t="s">
        <v>43</v>
      </c>
      <c r="R3" s="46" t="s">
        <v>43</v>
      </c>
      <c r="S3" s="46" t="s">
        <v>43</v>
      </c>
      <c r="T3" s="46" t="s">
        <v>43</v>
      </c>
      <c r="U3" s="46" t="s">
        <v>43</v>
      </c>
      <c r="V3" s="46" t="s">
        <v>43</v>
      </c>
      <c r="W3" s="46" t="s">
        <v>43</v>
      </c>
      <c r="X3" s="21" t="s">
        <v>278</v>
      </c>
      <c r="Y3" s="1448"/>
      <c r="Z3" s="1413"/>
      <c r="AA3" s="219">
        <v>63636363.636399999</v>
      </c>
    </row>
    <row r="4" spans="1:28" s="27" customFormat="1" ht="15.75" customHeight="1">
      <c r="A4" s="1391"/>
      <c r="B4" s="1389"/>
      <c r="C4" s="1431"/>
      <c r="D4" s="1431"/>
      <c r="E4" s="1427"/>
      <c r="F4" s="1391"/>
      <c r="G4" s="26" t="s">
        <v>1708</v>
      </c>
      <c r="H4" s="30" t="s">
        <v>12038</v>
      </c>
      <c r="I4" s="1391"/>
      <c r="J4" s="623" t="s">
        <v>204</v>
      </c>
      <c r="K4" s="46" t="s">
        <v>43</v>
      </c>
      <c r="L4" s="46" t="s">
        <v>43</v>
      </c>
      <c r="M4" s="21" t="s">
        <v>11412</v>
      </c>
      <c r="N4" s="46" t="s">
        <v>15541</v>
      </c>
      <c r="O4" s="46" t="s">
        <v>43</v>
      </c>
      <c r="P4" s="1398"/>
      <c r="Q4" s="46" t="s">
        <v>43</v>
      </c>
      <c r="R4" s="46" t="s">
        <v>43</v>
      </c>
      <c r="S4" s="46" t="s">
        <v>43</v>
      </c>
      <c r="T4" s="46" t="s">
        <v>43</v>
      </c>
      <c r="U4" s="46" t="s">
        <v>43</v>
      </c>
      <c r="V4" s="46" t="s">
        <v>43</v>
      </c>
      <c r="W4" s="46" t="s">
        <v>43</v>
      </c>
      <c r="X4" s="21" t="s">
        <v>278</v>
      </c>
      <c r="Y4" s="1448"/>
      <c r="Z4" s="1413"/>
      <c r="AA4" s="219">
        <v>25200000</v>
      </c>
    </row>
    <row r="5" spans="1:28" s="27" customFormat="1" ht="15.75" customHeight="1">
      <c r="A5" s="1391"/>
      <c r="B5" s="1389"/>
      <c r="C5" s="1431"/>
      <c r="D5" s="1431"/>
      <c r="E5" s="1427"/>
      <c r="F5" s="1391"/>
      <c r="G5" s="26" t="s">
        <v>1709</v>
      </c>
      <c r="H5" s="30" t="s">
        <v>195</v>
      </c>
      <c r="I5" s="1395"/>
      <c r="J5" s="45" t="s">
        <v>1996</v>
      </c>
      <c r="K5" s="46" t="s">
        <v>43</v>
      </c>
      <c r="L5" s="46" t="s">
        <v>43</v>
      </c>
      <c r="M5" s="21" t="s">
        <v>11413</v>
      </c>
      <c r="N5" s="46" t="s">
        <v>11415</v>
      </c>
      <c r="O5" s="46" t="s">
        <v>43</v>
      </c>
      <c r="P5" s="1398"/>
      <c r="Q5" s="46" t="s">
        <v>43</v>
      </c>
      <c r="R5" s="46" t="s">
        <v>43</v>
      </c>
      <c r="S5" s="46" t="s">
        <v>43</v>
      </c>
      <c r="T5" s="46" t="s">
        <v>43</v>
      </c>
      <c r="U5" s="46" t="s">
        <v>43</v>
      </c>
      <c r="V5" s="46" t="s">
        <v>43</v>
      </c>
      <c r="W5" s="46" t="s">
        <v>43</v>
      </c>
      <c r="X5" s="21" t="s">
        <v>278</v>
      </c>
      <c r="Y5" s="1448"/>
      <c r="Z5" s="1413"/>
      <c r="AA5" s="219">
        <v>78000000</v>
      </c>
    </row>
    <row r="6" spans="1:28" s="27" customFormat="1" ht="15.75" customHeight="1">
      <c r="A6" s="1391"/>
      <c r="B6" s="1389"/>
      <c r="C6" s="1431"/>
      <c r="D6" s="1431"/>
      <c r="E6" s="1427"/>
      <c r="F6" s="1391"/>
      <c r="G6" s="46" t="s">
        <v>43</v>
      </c>
      <c r="H6" s="21" t="s">
        <v>44</v>
      </c>
      <c r="I6" s="1145" t="s">
        <v>45</v>
      </c>
      <c r="J6" s="96" t="s">
        <v>201</v>
      </c>
      <c r="K6" s="46" t="s">
        <v>43</v>
      </c>
      <c r="L6" s="46" t="s">
        <v>43</v>
      </c>
      <c r="M6" s="68" t="s">
        <v>1710</v>
      </c>
      <c r="N6" s="68" t="s">
        <v>1711</v>
      </c>
      <c r="O6" s="46" t="s">
        <v>43</v>
      </c>
      <c r="P6" s="1398"/>
      <c r="Q6" s="46" t="s">
        <v>43</v>
      </c>
      <c r="R6" s="46" t="s">
        <v>43</v>
      </c>
      <c r="S6" s="46" t="s">
        <v>43</v>
      </c>
      <c r="T6" s="46" t="s">
        <v>43</v>
      </c>
      <c r="U6" s="46" t="s">
        <v>43</v>
      </c>
      <c r="V6" s="46" t="s">
        <v>43</v>
      </c>
      <c r="W6" s="46" t="s">
        <v>43</v>
      </c>
      <c r="X6" s="21" t="s">
        <v>50</v>
      </c>
      <c r="Y6" s="1448"/>
      <c r="Z6" s="1413"/>
      <c r="AA6" s="219">
        <v>0</v>
      </c>
    </row>
    <row r="7" spans="1:28" s="83" customFormat="1" ht="15.75" customHeight="1">
      <c r="A7" s="1391"/>
      <c r="B7" s="1389"/>
      <c r="C7" s="1431"/>
      <c r="D7" s="1431"/>
      <c r="E7" s="1427"/>
      <c r="F7" s="1391"/>
      <c r="G7" s="95" t="s">
        <v>1718</v>
      </c>
      <c r="H7" s="579" t="s">
        <v>249</v>
      </c>
      <c r="I7" s="580"/>
      <c r="J7" s="353" t="s">
        <v>204</v>
      </c>
      <c r="K7" s="578"/>
      <c r="L7" s="624" t="s">
        <v>1719</v>
      </c>
      <c r="M7" s="624" t="s">
        <v>1714</v>
      </c>
      <c r="N7" s="624" t="s">
        <v>1715</v>
      </c>
      <c r="O7" s="578" t="s">
        <v>43</v>
      </c>
      <c r="P7" s="1398"/>
      <c r="Q7" s="578" t="s">
        <v>43</v>
      </c>
      <c r="R7" s="578" t="s">
        <v>43</v>
      </c>
      <c r="S7" s="578" t="s">
        <v>43</v>
      </c>
      <c r="T7" s="578" t="s">
        <v>43</v>
      </c>
      <c r="U7" s="578" t="s">
        <v>43</v>
      </c>
      <c r="V7" s="578" t="s">
        <v>43</v>
      </c>
      <c r="W7" s="578" t="s">
        <v>43</v>
      </c>
      <c r="X7" s="579" t="s">
        <v>278</v>
      </c>
      <c r="Y7" s="1448"/>
      <c r="Z7" s="1413"/>
      <c r="AA7" s="219">
        <v>37632000</v>
      </c>
    </row>
    <row r="8" spans="1:28" s="27" customFormat="1" ht="15.75" customHeight="1">
      <c r="A8" s="21">
        <v>2</v>
      </c>
      <c r="B8" s="660">
        <v>211</v>
      </c>
      <c r="C8" s="1431"/>
      <c r="D8" s="1431"/>
      <c r="E8" s="70" t="s">
        <v>1720</v>
      </c>
      <c r="F8" s="1395"/>
      <c r="G8" s="46" t="s">
        <v>43</v>
      </c>
      <c r="H8" s="21" t="s">
        <v>783</v>
      </c>
      <c r="I8" s="21" t="s">
        <v>260</v>
      </c>
      <c r="J8" s="46" t="s">
        <v>43</v>
      </c>
      <c r="K8" s="46" t="s">
        <v>43</v>
      </c>
      <c r="L8" s="68" t="s">
        <v>1721</v>
      </c>
      <c r="M8" s="46" t="s">
        <v>43</v>
      </c>
      <c r="N8" s="46" t="s">
        <v>43</v>
      </c>
      <c r="O8" s="46" t="s">
        <v>43</v>
      </c>
      <c r="P8" s="1397"/>
      <c r="Q8" s="46" t="s">
        <v>43</v>
      </c>
      <c r="R8" s="46" t="s">
        <v>43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21" t="s">
        <v>278</v>
      </c>
      <c r="Y8" s="1449"/>
      <c r="Z8" s="1414"/>
      <c r="AA8" s="219">
        <v>0</v>
      </c>
    </row>
    <row r="9" spans="1:28" s="83" customFormat="1" ht="15.75" customHeight="1">
      <c r="A9" s="1428">
        <v>3</v>
      </c>
      <c r="B9" s="1388" t="s">
        <v>14200</v>
      </c>
      <c r="C9" s="1431"/>
      <c r="D9" s="1431"/>
      <c r="E9" s="1420" t="s">
        <v>1729</v>
      </c>
      <c r="F9" s="1419" t="s">
        <v>14198</v>
      </c>
      <c r="G9" s="95" t="s">
        <v>9210</v>
      </c>
      <c r="H9" s="653" t="s">
        <v>335</v>
      </c>
      <c r="I9" s="653" t="s">
        <v>60</v>
      </c>
      <c r="J9" s="353" t="s">
        <v>199</v>
      </c>
      <c r="K9" s="1392" t="s">
        <v>14261</v>
      </c>
      <c r="L9" s="1404" t="s">
        <v>14259</v>
      </c>
      <c r="M9" s="94" t="s">
        <v>1730</v>
      </c>
      <c r="N9" s="95" t="s">
        <v>1731</v>
      </c>
      <c r="O9" s="650" t="s">
        <v>43</v>
      </c>
      <c r="P9" s="1406" t="s">
        <v>2836</v>
      </c>
      <c r="Q9" s="98" t="s">
        <v>397</v>
      </c>
      <c r="R9" s="650" t="s">
        <v>43</v>
      </c>
      <c r="S9" s="650" t="s">
        <v>43</v>
      </c>
      <c r="T9" s="650" t="s">
        <v>43</v>
      </c>
      <c r="U9" s="650" t="s">
        <v>43</v>
      </c>
      <c r="V9" s="650" t="s">
        <v>43</v>
      </c>
      <c r="W9" s="653" t="s">
        <v>1726</v>
      </c>
      <c r="X9" s="653" t="s">
        <v>167</v>
      </c>
      <c r="Y9" s="1450" t="s">
        <v>202</v>
      </c>
      <c r="Z9" s="651" t="s">
        <v>65</v>
      </c>
      <c r="AA9" s="219">
        <v>8960000</v>
      </c>
    </row>
    <row r="10" spans="1:28" s="83" customFormat="1" ht="18">
      <c r="A10" s="1429"/>
      <c r="B10" s="1389"/>
      <c r="C10" s="1431"/>
      <c r="D10" s="1431"/>
      <c r="E10" s="1421"/>
      <c r="F10" s="1419"/>
      <c r="G10" s="1152" t="s">
        <v>1732</v>
      </c>
      <c r="H10" s="513" t="s">
        <v>195</v>
      </c>
      <c r="I10" s="1148" t="s">
        <v>168</v>
      </c>
      <c r="J10" s="353" t="s">
        <v>199</v>
      </c>
      <c r="K10" s="1394"/>
      <c r="L10" s="1407"/>
      <c r="M10" s="1149" t="s">
        <v>1733</v>
      </c>
      <c r="N10" s="1149" t="s">
        <v>11447</v>
      </c>
      <c r="O10" s="1147" t="s">
        <v>43</v>
      </c>
      <c r="P10" s="1406"/>
      <c r="Q10" s="1153" t="s">
        <v>1734</v>
      </c>
      <c r="R10" s="1147" t="s">
        <v>43</v>
      </c>
      <c r="S10" s="1147" t="s">
        <v>43</v>
      </c>
      <c r="T10" s="1147" t="s">
        <v>43</v>
      </c>
      <c r="U10" s="1147" t="s">
        <v>43</v>
      </c>
      <c r="V10" s="1153" t="s">
        <v>432</v>
      </c>
      <c r="W10" s="1148" t="s">
        <v>170</v>
      </c>
      <c r="X10" s="1148" t="s">
        <v>170</v>
      </c>
      <c r="Y10" s="1451"/>
      <c r="Z10" s="1144"/>
      <c r="AA10" s="219">
        <v>20800000</v>
      </c>
    </row>
    <row r="11" spans="1:28" s="83" customFormat="1" ht="18">
      <c r="A11" s="1429"/>
      <c r="B11" s="1389"/>
      <c r="C11" s="1431"/>
      <c r="D11" s="1431"/>
      <c r="E11" s="1421"/>
      <c r="F11" s="1419"/>
      <c r="G11" s="1146" t="s">
        <v>43</v>
      </c>
      <c r="H11" s="1151" t="s">
        <v>44</v>
      </c>
      <c r="I11" s="1145" t="s">
        <v>45</v>
      </c>
      <c r="J11" s="353" t="s">
        <v>204</v>
      </c>
      <c r="K11" s="1394"/>
      <c r="L11" s="1405"/>
      <c r="M11" s="94" t="s">
        <v>16149</v>
      </c>
      <c r="N11" s="94" t="s">
        <v>16149</v>
      </c>
      <c r="O11" s="650" t="s">
        <v>43</v>
      </c>
      <c r="P11" s="1406"/>
      <c r="Q11" s="98" t="s">
        <v>16149</v>
      </c>
      <c r="R11" s="650" t="s">
        <v>43</v>
      </c>
      <c r="S11" s="650" t="s">
        <v>43</v>
      </c>
      <c r="T11" s="650" t="s">
        <v>43</v>
      </c>
      <c r="U11" s="650" t="s">
        <v>43</v>
      </c>
      <c r="V11" s="98" t="s">
        <v>16149</v>
      </c>
      <c r="W11" s="1146" t="s">
        <v>43</v>
      </c>
      <c r="X11" s="1145" t="s">
        <v>50</v>
      </c>
      <c r="Y11" s="1451"/>
      <c r="Z11" s="652"/>
      <c r="AA11" s="219">
        <v>20800000</v>
      </c>
    </row>
    <row r="12" spans="1:28" s="27" customFormat="1" ht="15.75" customHeight="1">
      <c r="A12" s="1390">
        <v>5</v>
      </c>
      <c r="B12" s="1388">
        <v>217</v>
      </c>
      <c r="C12" s="1431"/>
      <c r="D12" s="1392" t="s">
        <v>1744</v>
      </c>
      <c r="E12" s="1408" t="s">
        <v>1744</v>
      </c>
      <c r="F12" s="1391"/>
      <c r="G12" s="28" t="s">
        <v>1745</v>
      </c>
      <c r="H12" s="21" t="s">
        <v>335</v>
      </c>
      <c r="I12" s="21" t="s">
        <v>60</v>
      </c>
      <c r="J12" s="51" t="s">
        <v>199</v>
      </c>
      <c r="K12" s="1402" t="s">
        <v>14264</v>
      </c>
      <c r="L12" s="1404" t="s">
        <v>14263</v>
      </c>
      <c r="M12" s="22" t="s">
        <v>1746</v>
      </c>
      <c r="N12" s="22" t="s">
        <v>11869</v>
      </c>
      <c r="O12" s="46" t="s">
        <v>43</v>
      </c>
      <c r="P12" s="1396" t="s">
        <v>2838</v>
      </c>
      <c r="Q12" s="46" t="s">
        <v>43</v>
      </c>
      <c r="R12" s="26" t="s">
        <v>297</v>
      </c>
      <c r="S12" s="46" t="s">
        <v>43</v>
      </c>
      <c r="T12" s="46" t="s">
        <v>43</v>
      </c>
      <c r="U12" s="46" t="s">
        <v>43</v>
      </c>
      <c r="V12" s="46" t="s">
        <v>43</v>
      </c>
      <c r="W12" s="46" t="s">
        <v>43</v>
      </c>
      <c r="X12" s="21" t="s">
        <v>299</v>
      </c>
      <c r="Y12" s="1436" t="s">
        <v>202</v>
      </c>
      <c r="Z12" s="1390" t="s">
        <v>65</v>
      </c>
      <c r="AA12" s="219">
        <v>12800000</v>
      </c>
    </row>
    <row r="13" spans="1:28" s="27" customFormat="1" ht="15.75" customHeight="1">
      <c r="A13" s="1391"/>
      <c r="B13" s="1389"/>
      <c r="C13" s="1431"/>
      <c r="D13" s="1394"/>
      <c r="E13" s="1409"/>
      <c r="F13" s="1391"/>
      <c r="G13" s="28" t="s">
        <v>9211</v>
      </c>
      <c r="H13" s="30" t="s">
        <v>195</v>
      </c>
      <c r="I13" s="21" t="s">
        <v>168</v>
      </c>
      <c r="J13" s="51" t="s">
        <v>199</v>
      </c>
      <c r="K13" s="1403"/>
      <c r="L13" s="1405"/>
      <c r="M13" s="22" t="s">
        <v>1747</v>
      </c>
      <c r="N13" s="512" t="s">
        <v>11876</v>
      </c>
      <c r="O13" s="46" t="s">
        <v>43</v>
      </c>
      <c r="P13" s="1397"/>
      <c r="Q13" s="46" t="s">
        <v>43</v>
      </c>
      <c r="R13" s="26" t="s">
        <v>68</v>
      </c>
      <c r="S13" s="46" t="s">
        <v>43</v>
      </c>
      <c r="T13" s="46" t="s">
        <v>43</v>
      </c>
      <c r="U13" s="46" t="s">
        <v>43</v>
      </c>
      <c r="V13" s="46" t="s">
        <v>43</v>
      </c>
      <c r="W13" s="46" t="s">
        <v>43</v>
      </c>
      <c r="X13" s="21" t="s">
        <v>170</v>
      </c>
      <c r="Y13" s="1437"/>
      <c r="Z13" s="1391"/>
      <c r="AA13" s="219">
        <v>20800000</v>
      </c>
    </row>
    <row r="14" spans="1:28" s="27" customFormat="1" ht="15.75" customHeight="1">
      <c r="A14" s="1390">
        <v>6</v>
      </c>
      <c r="B14" s="1388">
        <v>218</v>
      </c>
      <c r="C14" s="1431"/>
      <c r="D14" s="1392" t="s">
        <v>1598</v>
      </c>
      <c r="E14" s="1408" t="s">
        <v>1748</v>
      </c>
      <c r="F14" s="1391"/>
      <c r="G14" s="28" t="s">
        <v>9214</v>
      </c>
      <c r="H14" s="21" t="s">
        <v>335</v>
      </c>
      <c r="I14" s="21" t="s">
        <v>60</v>
      </c>
      <c r="J14" s="51" t="s">
        <v>9213</v>
      </c>
      <c r="K14" s="1392" t="s">
        <v>14265</v>
      </c>
      <c r="L14" s="1392" t="s">
        <v>14276</v>
      </c>
      <c r="M14" s="22" t="s">
        <v>1749</v>
      </c>
      <c r="N14" s="28" t="s">
        <v>1750</v>
      </c>
      <c r="O14" s="46" t="s">
        <v>43</v>
      </c>
      <c r="P14" s="1396" t="s">
        <v>2839</v>
      </c>
      <c r="Q14" s="46" t="s">
        <v>43</v>
      </c>
      <c r="R14" s="26" t="s">
        <v>1751</v>
      </c>
      <c r="S14" s="46" t="s">
        <v>43</v>
      </c>
      <c r="T14" s="46" t="s">
        <v>43</v>
      </c>
      <c r="U14" s="46" t="s">
        <v>43</v>
      </c>
      <c r="V14" s="46" t="s">
        <v>43</v>
      </c>
      <c r="W14" s="46" t="s">
        <v>43</v>
      </c>
      <c r="X14" s="21" t="s">
        <v>167</v>
      </c>
      <c r="Y14" s="1440" t="s">
        <v>980</v>
      </c>
      <c r="Z14" s="1390" t="s">
        <v>65</v>
      </c>
      <c r="AA14" s="219">
        <v>8960000</v>
      </c>
    </row>
    <row r="15" spans="1:28" s="27" customFormat="1" ht="15.75" customHeight="1">
      <c r="A15" s="1391"/>
      <c r="B15" s="1389"/>
      <c r="C15" s="1431"/>
      <c r="D15" s="1394"/>
      <c r="E15" s="1409"/>
      <c r="F15" s="1391"/>
      <c r="G15" s="28" t="s">
        <v>1752</v>
      </c>
      <c r="H15" s="30" t="s">
        <v>195</v>
      </c>
      <c r="I15" s="1145" t="s">
        <v>168</v>
      </c>
      <c r="J15" s="51" t="s">
        <v>199</v>
      </c>
      <c r="K15" s="1394"/>
      <c r="L15" s="1394"/>
      <c r="M15" s="1145" t="s">
        <v>1753</v>
      </c>
      <c r="N15" s="1145" t="s">
        <v>11877</v>
      </c>
      <c r="O15" s="1146" t="s">
        <v>43</v>
      </c>
      <c r="P15" s="1398"/>
      <c r="Q15" s="1146" t="s">
        <v>43</v>
      </c>
      <c r="R15" s="1150" t="s">
        <v>246</v>
      </c>
      <c r="S15" s="1146" t="s">
        <v>43</v>
      </c>
      <c r="T15" s="1146" t="s">
        <v>43</v>
      </c>
      <c r="U15" s="1146" t="s">
        <v>43</v>
      </c>
      <c r="V15" s="1146" t="s">
        <v>43</v>
      </c>
      <c r="W15" s="1150" t="s">
        <v>432</v>
      </c>
      <c r="X15" s="1145" t="s">
        <v>170</v>
      </c>
      <c r="Y15" s="1441"/>
      <c r="Z15" s="1391"/>
      <c r="AA15" s="219">
        <v>20800000</v>
      </c>
    </row>
    <row r="16" spans="1:28" s="27" customFormat="1" ht="15.75" customHeight="1">
      <c r="A16" s="1391"/>
      <c r="B16" s="1389"/>
      <c r="C16" s="1431"/>
      <c r="D16" s="1394"/>
      <c r="E16" s="1409"/>
      <c r="F16" s="1391"/>
      <c r="G16" s="1146" t="s">
        <v>43</v>
      </c>
      <c r="H16" s="1151" t="s">
        <v>44</v>
      </c>
      <c r="I16" s="1145" t="s">
        <v>45</v>
      </c>
      <c r="J16" s="353" t="s">
        <v>199</v>
      </c>
      <c r="K16" s="1394"/>
      <c r="L16" s="1394"/>
      <c r="M16" s="21" t="s">
        <v>16317</v>
      </c>
      <c r="N16" s="511" t="s">
        <v>16149</v>
      </c>
      <c r="O16" s="46" t="s">
        <v>43</v>
      </c>
      <c r="P16" s="1398"/>
      <c r="Q16" s="46" t="s">
        <v>43</v>
      </c>
      <c r="R16" s="26" t="s">
        <v>16149</v>
      </c>
      <c r="S16" s="46" t="s">
        <v>43</v>
      </c>
      <c r="T16" s="46" t="s">
        <v>43</v>
      </c>
      <c r="U16" s="46" t="s">
        <v>43</v>
      </c>
      <c r="V16" s="46" t="s">
        <v>43</v>
      </c>
      <c r="W16" s="26" t="s">
        <v>432</v>
      </c>
      <c r="X16" s="21" t="s">
        <v>170</v>
      </c>
      <c r="Y16" s="1441"/>
      <c r="Z16" s="1391"/>
      <c r="AA16" s="219">
        <v>20800000</v>
      </c>
    </row>
    <row r="17" spans="1:29" s="27" customFormat="1" ht="15.75" customHeight="1">
      <c r="A17" s="1390">
        <v>7</v>
      </c>
      <c r="B17" s="1388">
        <v>219</v>
      </c>
      <c r="C17" s="1431"/>
      <c r="D17" s="1394"/>
      <c r="E17" s="1408" t="s">
        <v>1754</v>
      </c>
      <c r="F17" s="1390" t="s">
        <v>1700</v>
      </c>
      <c r="G17" s="28" t="s">
        <v>9215</v>
      </c>
      <c r="H17" s="21" t="s">
        <v>335</v>
      </c>
      <c r="I17" s="21" t="s">
        <v>60</v>
      </c>
      <c r="J17" s="51" t="s">
        <v>199</v>
      </c>
      <c r="K17" s="1392" t="s">
        <v>14266</v>
      </c>
      <c r="L17" s="1392" t="s">
        <v>14277</v>
      </c>
      <c r="M17" s="22" t="s">
        <v>1755</v>
      </c>
      <c r="N17" s="28" t="s">
        <v>1756</v>
      </c>
      <c r="O17" s="46" t="s">
        <v>43</v>
      </c>
      <c r="P17" s="1396" t="s">
        <v>2840</v>
      </c>
      <c r="Q17" s="46" t="s">
        <v>43</v>
      </c>
      <c r="R17" s="26" t="s">
        <v>397</v>
      </c>
      <c r="S17" s="46" t="s">
        <v>43</v>
      </c>
      <c r="T17" s="46" t="s">
        <v>43</v>
      </c>
      <c r="U17" s="46" t="s">
        <v>43</v>
      </c>
      <c r="V17" s="46" t="s">
        <v>43</v>
      </c>
      <c r="W17" s="46" t="s">
        <v>43</v>
      </c>
      <c r="X17" s="21" t="s">
        <v>167</v>
      </c>
      <c r="Y17" s="1436" t="s">
        <v>202</v>
      </c>
      <c r="Z17" s="1390" t="s">
        <v>65</v>
      </c>
      <c r="AA17" s="219">
        <v>8960000</v>
      </c>
    </row>
    <row r="18" spans="1:29" s="27" customFormat="1" ht="15.75" customHeight="1">
      <c r="A18" s="1391"/>
      <c r="B18" s="1389"/>
      <c r="C18" s="1431"/>
      <c r="D18" s="1394"/>
      <c r="E18" s="1409"/>
      <c r="F18" s="1391"/>
      <c r="G18" s="28" t="s">
        <v>1757</v>
      </c>
      <c r="H18" s="30" t="s">
        <v>195</v>
      </c>
      <c r="I18" s="21" t="s">
        <v>168</v>
      </c>
      <c r="J18" s="51" t="s">
        <v>199</v>
      </c>
      <c r="K18" s="1394"/>
      <c r="L18" s="1394"/>
      <c r="M18" s="22" t="s">
        <v>1758</v>
      </c>
      <c r="N18" s="512" t="s">
        <v>11878</v>
      </c>
      <c r="O18" s="46" t="s">
        <v>43</v>
      </c>
      <c r="P18" s="1398"/>
      <c r="Q18" s="46" t="s">
        <v>43</v>
      </c>
      <c r="R18" s="26" t="s">
        <v>246</v>
      </c>
      <c r="S18" s="46" t="s">
        <v>43</v>
      </c>
      <c r="T18" s="46" t="s">
        <v>43</v>
      </c>
      <c r="U18" s="46" t="s">
        <v>43</v>
      </c>
      <c r="V18" s="46" t="s">
        <v>43</v>
      </c>
      <c r="W18" s="26" t="s">
        <v>1759</v>
      </c>
      <c r="X18" s="21" t="s">
        <v>170</v>
      </c>
      <c r="Y18" s="1437"/>
      <c r="Z18" s="1391"/>
      <c r="AA18" s="219">
        <v>20800000</v>
      </c>
    </row>
    <row r="19" spans="1:29" s="27" customFormat="1" ht="15.75" customHeight="1">
      <c r="A19" s="1390">
        <v>8</v>
      </c>
      <c r="B19" s="1388">
        <v>220</v>
      </c>
      <c r="C19" s="1431"/>
      <c r="D19" s="1394"/>
      <c r="E19" s="1408" t="s">
        <v>1760</v>
      </c>
      <c r="F19" s="1390" t="s">
        <v>1737</v>
      </c>
      <c r="G19" s="28" t="s">
        <v>9216</v>
      </c>
      <c r="H19" s="21" t="s">
        <v>335</v>
      </c>
      <c r="I19" s="21" t="s">
        <v>60</v>
      </c>
      <c r="J19" s="51" t="s">
        <v>204</v>
      </c>
      <c r="K19" s="1392" t="s">
        <v>14279</v>
      </c>
      <c r="L19" s="1392" t="s">
        <v>14278</v>
      </c>
      <c r="M19" s="22" t="s">
        <v>1761</v>
      </c>
      <c r="N19" s="28" t="s">
        <v>1762</v>
      </c>
      <c r="O19" s="46" t="s">
        <v>43</v>
      </c>
      <c r="P19" s="1396" t="s">
        <v>2841</v>
      </c>
      <c r="Q19" s="46" t="s">
        <v>43</v>
      </c>
      <c r="R19" s="26" t="s">
        <v>1765</v>
      </c>
      <c r="S19" s="46" t="s">
        <v>43</v>
      </c>
      <c r="T19" s="46" t="s">
        <v>43</v>
      </c>
      <c r="U19" s="46" t="s">
        <v>43</v>
      </c>
      <c r="V19" s="46" t="s">
        <v>43</v>
      </c>
      <c r="W19" s="46" t="s">
        <v>43</v>
      </c>
      <c r="X19" s="21" t="s">
        <v>167</v>
      </c>
      <c r="Y19" s="1440" t="s">
        <v>980</v>
      </c>
      <c r="Z19" s="1390" t="s">
        <v>11871</v>
      </c>
      <c r="AA19" s="219">
        <v>15680000</v>
      </c>
    </row>
    <row r="20" spans="1:29" s="27" customFormat="1" ht="15.75" customHeight="1">
      <c r="A20" s="1391"/>
      <c r="B20" s="1389"/>
      <c r="C20" s="1431"/>
      <c r="D20" s="1394"/>
      <c r="E20" s="1409"/>
      <c r="F20" s="1391"/>
      <c r="G20" s="28" t="s">
        <v>1763</v>
      </c>
      <c r="H20" s="30" t="s">
        <v>195</v>
      </c>
      <c r="I20" s="21" t="s">
        <v>168</v>
      </c>
      <c r="J20" s="51" t="s">
        <v>204</v>
      </c>
      <c r="K20" s="1394"/>
      <c r="L20" s="1394"/>
      <c r="M20" s="21" t="s">
        <v>1764</v>
      </c>
      <c r="N20" s="511" t="s">
        <v>11874</v>
      </c>
      <c r="O20" s="46" t="s">
        <v>43</v>
      </c>
      <c r="P20" s="1398"/>
      <c r="Q20" s="46" t="s">
        <v>43</v>
      </c>
      <c r="R20" s="26" t="s">
        <v>255</v>
      </c>
      <c r="S20" s="46" t="s">
        <v>43</v>
      </c>
      <c r="T20" s="46" t="s">
        <v>43</v>
      </c>
      <c r="U20" s="46" t="s">
        <v>43</v>
      </c>
      <c r="V20" s="46" t="s">
        <v>43</v>
      </c>
      <c r="W20" s="26" t="s">
        <v>1510</v>
      </c>
      <c r="X20" s="21" t="s">
        <v>170</v>
      </c>
      <c r="Y20" s="1441"/>
      <c r="Z20" s="1391"/>
      <c r="AA20" s="219">
        <v>36400000</v>
      </c>
    </row>
    <row r="21" spans="1:29" s="27" customFormat="1" ht="15.75" customHeight="1">
      <c r="A21" s="1390">
        <v>9</v>
      </c>
      <c r="B21" s="1388">
        <v>221</v>
      </c>
      <c r="C21" s="1431"/>
      <c r="D21" s="1394"/>
      <c r="E21" s="1408" t="s">
        <v>1766</v>
      </c>
      <c r="F21" s="1391"/>
      <c r="G21" s="28" t="s">
        <v>9217</v>
      </c>
      <c r="H21" s="21" t="s">
        <v>335</v>
      </c>
      <c r="I21" s="21" t="s">
        <v>60</v>
      </c>
      <c r="J21" s="51" t="s">
        <v>199</v>
      </c>
      <c r="K21" s="1392" t="s">
        <v>14267</v>
      </c>
      <c r="L21" s="1392" t="s">
        <v>14280</v>
      </c>
      <c r="M21" s="22" t="s">
        <v>1767</v>
      </c>
      <c r="N21" s="28" t="s">
        <v>1768</v>
      </c>
      <c r="O21" s="46" t="s">
        <v>43</v>
      </c>
      <c r="P21" s="1396" t="s">
        <v>2842</v>
      </c>
      <c r="Q21" s="46" t="s">
        <v>43</v>
      </c>
      <c r="R21" s="26" t="s">
        <v>397</v>
      </c>
      <c r="S21" s="46" t="s">
        <v>43</v>
      </c>
      <c r="T21" s="46" t="s">
        <v>43</v>
      </c>
      <c r="U21" s="46" t="s">
        <v>43</v>
      </c>
      <c r="V21" s="46" t="s">
        <v>43</v>
      </c>
      <c r="W21" s="46" t="s">
        <v>43</v>
      </c>
      <c r="X21" s="21" t="s">
        <v>167</v>
      </c>
      <c r="Y21" s="1436" t="s">
        <v>202</v>
      </c>
      <c r="Z21" s="1390" t="s">
        <v>65</v>
      </c>
      <c r="AA21" s="219">
        <v>15680000</v>
      </c>
      <c r="AB21" s="288" t="s">
        <v>9218</v>
      </c>
      <c r="AC21" s="306" t="s">
        <v>11870</v>
      </c>
    </row>
    <row r="22" spans="1:29" s="27" customFormat="1" ht="15.75" customHeight="1">
      <c r="A22" s="1391"/>
      <c r="B22" s="1389"/>
      <c r="C22" s="1431"/>
      <c r="D22" s="1394"/>
      <c r="E22" s="1409"/>
      <c r="F22" s="1391"/>
      <c r="G22" s="28" t="s">
        <v>1769</v>
      </c>
      <c r="H22" s="30" t="s">
        <v>195</v>
      </c>
      <c r="I22" s="21" t="s">
        <v>168</v>
      </c>
      <c r="J22" s="51" t="s">
        <v>199</v>
      </c>
      <c r="K22" s="1393"/>
      <c r="L22" s="1393"/>
      <c r="M22" s="22" t="s">
        <v>1770</v>
      </c>
      <c r="N22" s="512" t="s">
        <v>11872</v>
      </c>
      <c r="O22" s="46" t="s">
        <v>43</v>
      </c>
      <c r="P22" s="1397"/>
      <c r="Q22" s="46" t="s">
        <v>43</v>
      </c>
      <c r="R22" s="26" t="s">
        <v>246</v>
      </c>
      <c r="S22" s="46" t="s">
        <v>43</v>
      </c>
      <c r="T22" s="46" t="s">
        <v>43</v>
      </c>
      <c r="U22" s="46" t="s">
        <v>43</v>
      </c>
      <c r="V22" s="46" t="s">
        <v>43</v>
      </c>
      <c r="W22" s="26" t="s">
        <v>1510</v>
      </c>
      <c r="X22" s="21" t="s">
        <v>170</v>
      </c>
      <c r="Y22" s="1437"/>
      <c r="Z22" s="1391"/>
      <c r="AA22" s="219">
        <v>20800000</v>
      </c>
    </row>
    <row r="23" spans="1:29" s="27" customFormat="1" ht="15.75" customHeight="1">
      <c r="A23" s="1390">
        <v>11</v>
      </c>
      <c r="B23" s="1388">
        <v>223</v>
      </c>
      <c r="C23" s="1431"/>
      <c r="D23" s="1392" t="s">
        <v>1772</v>
      </c>
      <c r="E23" s="1408" t="s">
        <v>1596</v>
      </c>
      <c r="F23" s="1390" t="s">
        <v>1700</v>
      </c>
      <c r="G23" s="28" t="s">
        <v>9219</v>
      </c>
      <c r="H23" s="21" t="s">
        <v>335</v>
      </c>
      <c r="I23" s="21" t="s">
        <v>60</v>
      </c>
      <c r="J23" s="51" t="s">
        <v>199</v>
      </c>
      <c r="K23" s="1392" t="s">
        <v>14268</v>
      </c>
      <c r="L23" s="1392" t="s">
        <v>14281</v>
      </c>
      <c r="M23" s="22" t="s">
        <v>1773</v>
      </c>
      <c r="N23" s="28" t="s">
        <v>1774</v>
      </c>
      <c r="O23" s="46" t="s">
        <v>43</v>
      </c>
      <c r="P23" s="1396" t="s">
        <v>2843</v>
      </c>
      <c r="Q23" s="46" t="s">
        <v>43</v>
      </c>
      <c r="R23" s="26" t="s">
        <v>166</v>
      </c>
      <c r="S23" s="46" t="s">
        <v>43</v>
      </c>
      <c r="T23" s="46" t="s">
        <v>43</v>
      </c>
      <c r="U23" s="46" t="s">
        <v>43</v>
      </c>
      <c r="V23" s="46" t="s">
        <v>43</v>
      </c>
      <c r="W23" s="46" t="s">
        <v>43</v>
      </c>
      <c r="X23" s="21" t="s">
        <v>167</v>
      </c>
      <c r="Y23" s="1436" t="s">
        <v>202</v>
      </c>
      <c r="Z23" s="1390" t="s">
        <v>65</v>
      </c>
      <c r="AA23" s="219">
        <v>22400000</v>
      </c>
      <c r="AB23" s="288" t="s">
        <v>9218</v>
      </c>
      <c r="AC23" s="306" t="s">
        <v>11880</v>
      </c>
    </row>
    <row r="24" spans="1:29" s="27" customFormat="1" ht="15.75" customHeight="1">
      <c r="A24" s="1391"/>
      <c r="B24" s="1389"/>
      <c r="C24" s="1431"/>
      <c r="D24" s="1394"/>
      <c r="E24" s="1409"/>
      <c r="F24" s="1391"/>
      <c r="G24" s="68">
        <v>9902216039</v>
      </c>
      <c r="H24" s="30" t="s">
        <v>195</v>
      </c>
      <c r="I24" s="21" t="s">
        <v>168</v>
      </c>
      <c r="J24" s="51" t="s">
        <v>199</v>
      </c>
      <c r="K24" s="1394"/>
      <c r="L24" s="1394"/>
      <c r="M24" s="68" t="s">
        <v>1775</v>
      </c>
      <c r="N24" s="68" t="s">
        <v>11873</v>
      </c>
      <c r="O24" s="46" t="s">
        <v>43</v>
      </c>
      <c r="P24" s="1398"/>
      <c r="Q24" s="46" t="s">
        <v>43</v>
      </c>
      <c r="R24" s="68" t="s">
        <v>246</v>
      </c>
      <c r="S24" s="46" t="s">
        <v>43</v>
      </c>
      <c r="T24" s="46" t="s">
        <v>43</v>
      </c>
      <c r="U24" s="46" t="s">
        <v>43</v>
      </c>
      <c r="V24" s="46" t="s">
        <v>43</v>
      </c>
      <c r="W24" s="26" t="s">
        <v>1759</v>
      </c>
      <c r="X24" s="21" t="s">
        <v>170</v>
      </c>
      <c r="Y24" s="1437"/>
      <c r="Z24" s="1391"/>
      <c r="AA24" s="219">
        <v>20800000</v>
      </c>
    </row>
    <row r="25" spans="1:29" s="27" customFormat="1" ht="15.75" customHeight="1">
      <c r="A25" s="1424">
        <v>12</v>
      </c>
      <c r="B25" s="1388" t="s">
        <v>14201</v>
      </c>
      <c r="C25" s="1431"/>
      <c r="D25" s="1392" t="s">
        <v>1598</v>
      </c>
      <c r="E25" s="1408" t="s">
        <v>1776</v>
      </c>
      <c r="F25" s="1390" t="s">
        <v>1722</v>
      </c>
      <c r="G25" s="28">
        <v>9602025061</v>
      </c>
      <c r="H25" s="21" t="s">
        <v>335</v>
      </c>
      <c r="I25" s="21" t="s">
        <v>60</v>
      </c>
      <c r="J25" s="51" t="s">
        <v>199</v>
      </c>
      <c r="K25" s="1392" t="s">
        <v>14269</v>
      </c>
      <c r="L25" s="1392" t="s">
        <v>14282</v>
      </c>
      <c r="M25" s="22" t="s">
        <v>1777</v>
      </c>
      <c r="N25" s="28" t="s">
        <v>1778</v>
      </c>
      <c r="O25" s="46" t="s">
        <v>43</v>
      </c>
      <c r="P25" s="1396" t="s">
        <v>2844</v>
      </c>
      <c r="Q25" s="46" t="s">
        <v>43</v>
      </c>
      <c r="R25" s="26" t="s">
        <v>397</v>
      </c>
      <c r="S25" s="46" t="s">
        <v>43</v>
      </c>
      <c r="T25" s="46" t="s">
        <v>43</v>
      </c>
      <c r="U25" s="46" t="s">
        <v>43</v>
      </c>
      <c r="V25" s="46" t="s">
        <v>43</v>
      </c>
      <c r="W25" s="46" t="s">
        <v>43</v>
      </c>
      <c r="X25" s="21" t="s">
        <v>167</v>
      </c>
      <c r="Y25" s="1453" t="s">
        <v>202</v>
      </c>
      <c r="Z25" s="1390" t="s">
        <v>65</v>
      </c>
      <c r="AA25" s="219">
        <v>8960000</v>
      </c>
    </row>
    <row r="26" spans="1:29" s="27" customFormat="1" ht="18" customHeight="1">
      <c r="A26" s="1425"/>
      <c r="B26" s="1389"/>
      <c r="C26" s="1431"/>
      <c r="D26" s="1394"/>
      <c r="E26" s="1409"/>
      <c r="F26" s="1391"/>
      <c r="G26" s="28" t="s">
        <v>1779</v>
      </c>
      <c r="H26" s="30" t="s">
        <v>195</v>
      </c>
      <c r="I26" s="21" t="s">
        <v>168</v>
      </c>
      <c r="J26" s="51" t="s">
        <v>199</v>
      </c>
      <c r="K26" s="1394"/>
      <c r="L26" s="1394"/>
      <c r="M26" s="22" t="s">
        <v>1780</v>
      </c>
      <c r="N26" s="68" t="s">
        <v>11879</v>
      </c>
      <c r="O26" s="46" t="s">
        <v>43</v>
      </c>
      <c r="P26" s="1398"/>
      <c r="Q26" s="46" t="s">
        <v>43</v>
      </c>
      <c r="R26" s="26" t="s">
        <v>246</v>
      </c>
      <c r="S26" s="46" t="s">
        <v>43</v>
      </c>
      <c r="T26" s="46" t="s">
        <v>43</v>
      </c>
      <c r="U26" s="46" t="s">
        <v>43</v>
      </c>
      <c r="V26" s="46" t="s">
        <v>43</v>
      </c>
      <c r="W26" s="26" t="s">
        <v>1781</v>
      </c>
      <c r="X26" s="21" t="s">
        <v>170</v>
      </c>
      <c r="Y26" s="1454"/>
      <c r="Z26" s="1391"/>
      <c r="AA26" s="219">
        <v>20800000</v>
      </c>
    </row>
    <row r="27" spans="1:29" s="27" customFormat="1" ht="15.75" customHeight="1">
      <c r="A27" s="1390">
        <v>13</v>
      </c>
      <c r="B27" s="1388">
        <v>225</v>
      </c>
      <c r="C27" s="1431"/>
      <c r="D27" s="1394"/>
      <c r="E27" s="1408" t="s">
        <v>1782</v>
      </c>
      <c r="F27" s="1390" t="s">
        <v>1737</v>
      </c>
      <c r="G27" s="28">
        <v>9602023862</v>
      </c>
      <c r="H27" s="21" t="s">
        <v>335</v>
      </c>
      <c r="I27" s="21" t="s">
        <v>60</v>
      </c>
      <c r="J27" s="51" t="s">
        <v>199</v>
      </c>
      <c r="K27" s="1392" t="s">
        <v>14270</v>
      </c>
      <c r="L27" s="1392" t="s">
        <v>14283</v>
      </c>
      <c r="M27" s="22" t="s">
        <v>1783</v>
      </c>
      <c r="N27" s="28" t="s">
        <v>11882</v>
      </c>
      <c r="O27" s="46" t="s">
        <v>43</v>
      </c>
      <c r="P27" s="1396" t="s">
        <v>2845</v>
      </c>
      <c r="Q27" s="46" t="s">
        <v>43</v>
      </c>
      <c r="R27" s="26" t="s">
        <v>397</v>
      </c>
      <c r="S27" s="46" t="s">
        <v>43</v>
      </c>
      <c r="T27" s="46" t="s">
        <v>43</v>
      </c>
      <c r="U27" s="46" t="s">
        <v>43</v>
      </c>
      <c r="V27" s="46" t="s">
        <v>43</v>
      </c>
      <c r="W27" s="46" t="s">
        <v>43</v>
      </c>
      <c r="X27" s="21" t="s">
        <v>167</v>
      </c>
      <c r="Y27" s="1436" t="s">
        <v>202</v>
      </c>
      <c r="Z27" s="1390" t="s">
        <v>65</v>
      </c>
      <c r="AA27" s="219">
        <v>8960000</v>
      </c>
    </row>
    <row r="28" spans="1:29" s="27" customFormat="1" ht="15.75" customHeight="1">
      <c r="A28" s="1391"/>
      <c r="B28" s="1389"/>
      <c r="C28" s="1431"/>
      <c r="D28" s="1394"/>
      <c r="E28" s="1409"/>
      <c r="F28" s="1391"/>
      <c r="G28" s="28" t="s">
        <v>1784</v>
      </c>
      <c r="H28" s="30" t="s">
        <v>195</v>
      </c>
      <c r="I28" s="21" t="s">
        <v>168</v>
      </c>
      <c r="J28" s="51" t="s">
        <v>199</v>
      </c>
      <c r="K28" s="1394"/>
      <c r="L28" s="1394"/>
      <c r="M28" s="21" t="s">
        <v>1785</v>
      </c>
      <c r="N28" s="68" t="s">
        <v>11883</v>
      </c>
      <c r="O28" s="46" t="s">
        <v>43</v>
      </c>
      <c r="P28" s="1398"/>
      <c r="Q28" s="46" t="s">
        <v>43</v>
      </c>
      <c r="R28" s="26" t="s">
        <v>246</v>
      </c>
      <c r="S28" s="46" t="s">
        <v>43</v>
      </c>
      <c r="T28" s="46" t="s">
        <v>43</v>
      </c>
      <c r="U28" s="46" t="s">
        <v>43</v>
      </c>
      <c r="V28" s="46" t="s">
        <v>43</v>
      </c>
      <c r="W28" s="26" t="s">
        <v>1759</v>
      </c>
      <c r="X28" s="21" t="s">
        <v>170</v>
      </c>
      <c r="Y28" s="1437"/>
      <c r="Z28" s="1391"/>
      <c r="AA28" s="219">
        <v>20800000</v>
      </c>
    </row>
    <row r="29" spans="1:29" s="27" customFormat="1" ht="15.75" customHeight="1">
      <c r="A29" s="1390">
        <v>14</v>
      </c>
      <c r="B29" s="1388">
        <v>226</v>
      </c>
      <c r="C29" s="1431"/>
      <c r="D29" s="1394"/>
      <c r="E29" s="1408" t="s">
        <v>1786</v>
      </c>
      <c r="F29" s="1390" t="s">
        <v>1722</v>
      </c>
      <c r="G29" s="28" t="s">
        <v>9220</v>
      </c>
      <c r="H29" s="21" t="s">
        <v>335</v>
      </c>
      <c r="I29" s="21" t="s">
        <v>60</v>
      </c>
      <c r="J29" s="51" t="s">
        <v>199</v>
      </c>
      <c r="K29" s="1392" t="s">
        <v>14271</v>
      </c>
      <c r="L29" s="1392" t="s">
        <v>14284</v>
      </c>
      <c r="M29" s="22" t="s">
        <v>1787</v>
      </c>
      <c r="N29" s="28" t="s">
        <v>1788</v>
      </c>
      <c r="O29" s="46" t="s">
        <v>43</v>
      </c>
      <c r="P29" s="1396" t="s">
        <v>2846</v>
      </c>
      <c r="Q29" s="46" t="s">
        <v>43</v>
      </c>
      <c r="R29" s="26" t="s">
        <v>1765</v>
      </c>
      <c r="S29" s="46" t="s">
        <v>43</v>
      </c>
      <c r="T29" s="46" t="s">
        <v>43</v>
      </c>
      <c r="U29" s="46" t="s">
        <v>43</v>
      </c>
      <c r="V29" s="46" t="s">
        <v>43</v>
      </c>
      <c r="W29" s="46" t="s">
        <v>43</v>
      </c>
      <c r="X29" s="21" t="s">
        <v>1726</v>
      </c>
      <c r="Y29" s="1440" t="s">
        <v>980</v>
      </c>
      <c r="Z29" s="1390" t="s">
        <v>65</v>
      </c>
      <c r="AA29" s="219">
        <v>8960000</v>
      </c>
    </row>
    <row r="30" spans="1:29" s="27" customFormat="1" ht="15.75" customHeight="1">
      <c r="A30" s="1391"/>
      <c r="B30" s="1389"/>
      <c r="C30" s="1431"/>
      <c r="D30" s="1394"/>
      <c r="E30" s="1409"/>
      <c r="F30" s="1391"/>
      <c r="G30" s="28" t="s">
        <v>1789</v>
      </c>
      <c r="H30" s="30" t="s">
        <v>195</v>
      </c>
      <c r="I30" s="21" t="s">
        <v>168</v>
      </c>
      <c r="J30" s="51" t="s">
        <v>199</v>
      </c>
      <c r="K30" s="1393"/>
      <c r="L30" s="1393"/>
      <c r="M30" s="22" t="s">
        <v>1790</v>
      </c>
      <c r="N30" s="68" t="s">
        <v>11884</v>
      </c>
      <c r="O30" s="46" t="s">
        <v>43</v>
      </c>
      <c r="P30" s="1397"/>
      <c r="Q30" s="46" t="s">
        <v>43</v>
      </c>
      <c r="R30" s="26" t="s">
        <v>246</v>
      </c>
      <c r="S30" s="46" t="s">
        <v>43</v>
      </c>
      <c r="T30" s="46" t="s">
        <v>43</v>
      </c>
      <c r="U30" s="46" t="s">
        <v>43</v>
      </c>
      <c r="V30" s="46" t="s">
        <v>43</v>
      </c>
      <c r="W30" s="26" t="s">
        <v>1510</v>
      </c>
      <c r="X30" s="21" t="s">
        <v>170</v>
      </c>
      <c r="Y30" s="1441"/>
      <c r="Z30" s="1391"/>
      <c r="AA30" s="219">
        <v>20800000</v>
      </c>
    </row>
    <row r="31" spans="1:29" s="27" customFormat="1" ht="15.75" customHeight="1">
      <c r="A31" s="1390">
        <v>15</v>
      </c>
      <c r="B31" s="1388">
        <v>227</v>
      </c>
      <c r="C31" s="1431"/>
      <c r="D31" s="1394"/>
      <c r="E31" s="1408" t="s">
        <v>1791</v>
      </c>
      <c r="F31" s="1390" t="s">
        <v>1722</v>
      </c>
      <c r="G31" s="28">
        <v>9602031009</v>
      </c>
      <c r="H31" s="21" t="s">
        <v>335</v>
      </c>
      <c r="I31" s="21" t="s">
        <v>60</v>
      </c>
      <c r="J31" s="51" t="s">
        <v>199</v>
      </c>
      <c r="K31" s="1392" t="s">
        <v>14272</v>
      </c>
      <c r="L31" s="1392" t="s">
        <v>14285</v>
      </c>
      <c r="M31" s="22" t="s">
        <v>1792</v>
      </c>
      <c r="N31" s="28" t="s">
        <v>1793</v>
      </c>
      <c r="O31" s="46" t="s">
        <v>43</v>
      </c>
      <c r="P31" s="1396" t="s">
        <v>2847</v>
      </c>
      <c r="Q31" s="46" t="s">
        <v>43</v>
      </c>
      <c r="R31" s="26" t="s">
        <v>397</v>
      </c>
      <c r="S31" s="46" t="s">
        <v>43</v>
      </c>
      <c r="T31" s="46" t="s">
        <v>43</v>
      </c>
      <c r="U31" s="46" t="s">
        <v>43</v>
      </c>
      <c r="V31" s="46" t="s">
        <v>43</v>
      </c>
      <c r="W31" s="46" t="s">
        <v>43</v>
      </c>
      <c r="X31" s="21" t="s">
        <v>167</v>
      </c>
      <c r="Y31" s="1436" t="s">
        <v>202</v>
      </c>
      <c r="Z31" s="1390" t="s">
        <v>65</v>
      </c>
      <c r="AA31" s="219">
        <v>8960000</v>
      </c>
    </row>
    <row r="32" spans="1:29" s="27" customFormat="1" ht="15.75" customHeight="1">
      <c r="A32" s="1391"/>
      <c r="B32" s="1389"/>
      <c r="C32" s="1431"/>
      <c r="D32" s="1394"/>
      <c r="E32" s="1409"/>
      <c r="F32" s="1391"/>
      <c r="G32" s="28" t="s">
        <v>1794</v>
      </c>
      <c r="H32" s="30" t="s">
        <v>195</v>
      </c>
      <c r="I32" s="21" t="s">
        <v>168</v>
      </c>
      <c r="J32" s="51" t="s">
        <v>199</v>
      </c>
      <c r="K32" s="1394"/>
      <c r="L32" s="1394"/>
      <c r="M32" s="21" t="s">
        <v>1795</v>
      </c>
      <c r="N32" s="68" t="s">
        <v>11885</v>
      </c>
      <c r="O32" s="46" t="s">
        <v>43</v>
      </c>
      <c r="P32" s="1398"/>
      <c r="Q32" s="46" t="s">
        <v>43</v>
      </c>
      <c r="R32" s="26" t="s">
        <v>255</v>
      </c>
      <c r="S32" s="46" t="s">
        <v>43</v>
      </c>
      <c r="T32" s="46" t="s">
        <v>43</v>
      </c>
      <c r="U32" s="46" t="s">
        <v>43</v>
      </c>
      <c r="V32" s="46" t="s">
        <v>43</v>
      </c>
      <c r="W32" s="26" t="s">
        <v>1759</v>
      </c>
      <c r="X32" s="21" t="s">
        <v>170</v>
      </c>
      <c r="Y32" s="1437"/>
      <c r="Z32" s="1391"/>
      <c r="AA32" s="219">
        <v>20800000</v>
      </c>
    </row>
    <row r="33" spans="1:29" s="27" customFormat="1" ht="15.75" customHeight="1">
      <c r="A33" s="1390">
        <v>16</v>
      </c>
      <c r="B33" s="1388">
        <v>228</v>
      </c>
      <c r="C33" s="1431"/>
      <c r="D33" s="1392" t="s">
        <v>1602</v>
      </c>
      <c r="E33" s="1408" t="s">
        <v>1602</v>
      </c>
      <c r="F33" s="1390" t="s">
        <v>1796</v>
      </c>
      <c r="G33" s="28" t="s">
        <v>1797</v>
      </c>
      <c r="H33" s="21" t="s">
        <v>335</v>
      </c>
      <c r="I33" s="21" t="s">
        <v>60</v>
      </c>
      <c r="J33" s="51" t="s">
        <v>199</v>
      </c>
      <c r="K33" s="1392" t="s">
        <v>14273</v>
      </c>
      <c r="L33" s="1392" t="s">
        <v>14286</v>
      </c>
      <c r="M33" s="22" t="s">
        <v>1798</v>
      </c>
      <c r="N33" s="28" t="s">
        <v>1799</v>
      </c>
      <c r="O33" s="46" t="s">
        <v>43</v>
      </c>
      <c r="P33" s="1396" t="s">
        <v>2848</v>
      </c>
      <c r="Q33" s="46" t="s">
        <v>43</v>
      </c>
      <c r="R33" s="26" t="s">
        <v>315</v>
      </c>
      <c r="S33" s="46" t="s">
        <v>43</v>
      </c>
      <c r="T33" s="46" t="s">
        <v>43</v>
      </c>
      <c r="U33" s="46" t="s">
        <v>43</v>
      </c>
      <c r="V33" s="46" t="s">
        <v>43</v>
      </c>
      <c r="W33" s="46" t="s">
        <v>43</v>
      </c>
      <c r="X33" s="21" t="s">
        <v>299</v>
      </c>
      <c r="Y33" s="1436" t="s">
        <v>202</v>
      </c>
      <c r="Z33" s="1390" t="s">
        <v>65</v>
      </c>
      <c r="AA33" s="219">
        <v>22400000</v>
      </c>
      <c r="AB33" s="288" t="s">
        <v>9218</v>
      </c>
      <c r="AC33" s="288" t="s">
        <v>11870</v>
      </c>
    </row>
    <row r="34" spans="1:29" s="27" customFormat="1" ht="15.75" customHeight="1">
      <c r="A34" s="1391"/>
      <c r="B34" s="1389"/>
      <c r="C34" s="1431"/>
      <c r="D34" s="1394"/>
      <c r="E34" s="1409"/>
      <c r="F34" s="1391"/>
      <c r="G34" s="28" t="s">
        <v>1800</v>
      </c>
      <c r="H34" s="30" t="s">
        <v>195</v>
      </c>
      <c r="I34" s="21" t="s">
        <v>168</v>
      </c>
      <c r="J34" s="51" t="s">
        <v>199</v>
      </c>
      <c r="K34" s="1393"/>
      <c r="L34" s="1393"/>
      <c r="M34" s="22" t="s">
        <v>1801</v>
      </c>
      <c r="N34" s="68" t="s">
        <v>11887</v>
      </c>
      <c r="O34" s="46" t="s">
        <v>43</v>
      </c>
      <c r="P34" s="1397"/>
      <c r="Q34" s="46" t="s">
        <v>43</v>
      </c>
      <c r="R34" s="26" t="s">
        <v>68</v>
      </c>
      <c r="S34" s="46" t="s">
        <v>43</v>
      </c>
      <c r="T34" s="46" t="s">
        <v>43</v>
      </c>
      <c r="U34" s="46" t="s">
        <v>43</v>
      </c>
      <c r="V34" s="46" t="s">
        <v>43</v>
      </c>
      <c r="W34" s="46" t="s">
        <v>43</v>
      </c>
      <c r="X34" s="21" t="s">
        <v>170</v>
      </c>
      <c r="Y34" s="1437"/>
      <c r="Z34" s="1391"/>
      <c r="AA34" s="219">
        <v>20800000</v>
      </c>
    </row>
    <row r="35" spans="1:29" s="27" customFormat="1" ht="15.75" customHeight="1">
      <c r="A35" s="1390">
        <v>17</v>
      </c>
      <c r="B35" s="1388">
        <v>229</v>
      </c>
      <c r="C35" s="1431"/>
      <c r="D35" s="1392" t="s">
        <v>1598</v>
      </c>
      <c r="E35" s="1408" t="s">
        <v>1802</v>
      </c>
      <c r="F35" s="1390" t="s">
        <v>1700</v>
      </c>
      <c r="G35" s="28">
        <v>9602023876</v>
      </c>
      <c r="H35" s="21" t="s">
        <v>335</v>
      </c>
      <c r="I35" s="21" t="s">
        <v>60</v>
      </c>
      <c r="J35" s="51" t="s">
        <v>199</v>
      </c>
      <c r="K35" s="1392" t="s">
        <v>14274</v>
      </c>
      <c r="L35" s="1392" t="s">
        <v>14287</v>
      </c>
      <c r="M35" s="22" t="s">
        <v>1803</v>
      </c>
      <c r="N35" s="28" t="s">
        <v>1804</v>
      </c>
      <c r="O35" s="46" t="s">
        <v>43</v>
      </c>
      <c r="P35" s="1396" t="s">
        <v>2849</v>
      </c>
      <c r="Q35" s="46" t="s">
        <v>43</v>
      </c>
      <c r="R35" s="26" t="s">
        <v>166</v>
      </c>
      <c r="S35" s="46" t="s">
        <v>43</v>
      </c>
      <c r="T35" s="46" t="s">
        <v>43</v>
      </c>
      <c r="U35" s="46" t="s">
        <v>43</v>
      </c>
      <c r="V35" s="46" t="s">
        <v>43</v>
      </c>
      <c r="W35" s="46" t="s">
        <v>43</v>
      </c>
      <c r="X35" s="21" t="s">
        <v>167</v>
      </c>
      <c r="Y35" s="1436" t="s">
        <v>202</v>
      </c>
      <c r="Z35" s="1390" t="s">
        <v>65</v>
      </c>
      <c r="AA35" s="219">
        <v>8960000</v>
      </c>
    </row>
    <row r="36" spans="1:29" s="27" customFormat="1" ht="15.75" customHeight="1">
      <c r="A36" s="1391"/>
      <c r="B36" s="1389"/>
      <c r="C36" s="1431"/>
      <c r="D36" s="1394"/>
      <c r="E36" s="1409"/>
      <c r="F36" s="1391"/>
      <c r="G36" s="28" t="s">
        <v>1789</v>
      </c>
      <c r="H36" s="30" t="s">
        <v>195</v>
      </c>
      <c r="I36" s="21" t="s">
        <v>168</v>
      </c>
      <c r="J36" s="51" t="s">
        <v>199</v>
      </c>
      <c r="K36" s="1394"/>
      <c r="L36" s="1394"/>
      <c r="M36" s="21" t="s">
        <v>1805</v>
      </c>
      <c r="N36" s="68" t="s">
        <v>11888</v>
      </c>
      <c r="O36" s="46" t="s">
        <v>43</v>
      </c>
      <c r="P36" s="1398"/>
      <c r="Q36" s="46" t="s">
        <v>43</v>
      </c>
      <c r="R36" s="26" t="s">
        <v>246</v>
      </c>
      <c r="S36" s="46" t="s">
        <v>43</v>
      </c>
      <c r="T36" s="46" t="s">
        <v>43</v>
      </c>
      <c r="U36" s="46" t="s">
        <v>43</v>
      </c>
      <c r="V36" s="46" t="s">
        <v>43</v>
      </c>
      <c r="W36" s="26" t="s">
        <v>1759</v>
      </c>
      <c r="X36" s="21" t="s">
        <v>170</v>
      </c>
      <c r="Y36" s="1437"/>
      <c r="Z36" s="1391"/>
      <c r="AA36" s="219">
        <v>20800000</v>
      </c>
    </row>
    <row r="37" spans="1:29" s="27" customFormat="1" ht="15.75" customHeight="1">
      <c r="A37" s="1390">
        <v>18</v>
      </c>
      <c r="B37" s="1388">
        <v>230</v>
      </c>
      <c r="C37" s="1431"/>
      <c r="D37" s="1394"/>
      <c r="E37" s="1408" t="s">
        <v>1806</v>
      </c>
      <c r="F37" s="1390" t="s">
        <v>1722</v>
      </c>
      <c r="G37" s="28" t="s">
        <v>11890</v>
      </c>
      <c r="H37" s="21" t="s">
        <v>335</v>
      </c>
      <c r="I37" s="21" t="s">
        <v>60</v>
      </c>
      <c r="J37" s="51" t="s">
        <v>199</v>
      </c>
      <c r="K37" s="1392" t="s">
        <v>14275</v>
      </c>
      <c r="L37" s="1392" t="s">
        <v>14288</v>
      </c>
      <c r="M37" s="22" t="s">
        <v>1807</v>
      </c>
      <c r="N37" s="28" t="s">
        <v>1808</v>
      </c>
      <c r="O37" s="46" t="s">
        <v>43</v>
      </c>
      <c r="P37" s="1396" t="s">
        <v>2850</v>
      </c>
      <c r="Q37" s="46" t="s">
        <v>43</v>
      </c>
      <c r="R37" s="26" t="s">
        <v>397</v>
      </c>
      <c r="S37" s="46" t="s">
        <v>43</v>
      </c>
      <c r="T37" s="46" t="s">
        <v>43</v>
      </c>
      <c r="U37" s="46" t="s">
        <v>43</v>
      </c>
      <c r="V37" s="46" t="s">
        <v>43</v>
      </c>
      <c r="W37" s="46" t="s">
        <v>43</v>
      </c>
      <c r="X37" s="21" t="s">
        <v>167</v>
      </c>
      <c r="Y37" s="1436" t="s">
        <v>202</v>
      </c>
      <c r="Z37" s="1390" t="s">
        <v>65</v>
      </c>
      <c r="AA37" s="219">
        <v>8960000</v>
      </c>
    </row>
    <row r="38" spans="1:29" s="27" customFormat="1" ht="15.75" customHeight="1">
      <c r="A38" s="1391"/>
      <c r="B38" s="1389"/>
      <c r="C38" s="1431"/>
      <c r="D38" s="1394"/>
      <c r="E38" s="1409"/>
      <c r="F38" s="1391"/>
      <c r="G38" s="28" t="s">
        <v>1809</v>
      </c>
      <c r="H38" s="30" t="s">
        <v>195</v>
      </c>
      <c r="I38" s="662" t="s">
        <v>168</v>
      </c>
      <c r="J38" s="51" t="s">
        <v>199</v>
      </c>
      <c r="K38" s="1394"/>
      <c r="L38" s="1394"/>
      <c r="M38" s="668" t="s">
        <v>1810</v>
      </c>
      <c r="N38" s="68" t="s">
        <v>11889</v>
      </c>
      <c r="O38" s="666" t="s">
        <v>43</v>
      </c>
      <c r="P38" s="1398"/>
      <c r="Q38" s="666" t="s">
        <v>43</v>
      </c>
      <c r="R38" s="672" t="s">
        <v>68</v>
      </c>
      <c r="S38" s="666" t="s">
        <v>43</v>
      </c>
      <c r="T38" s="666" t="s">
        <v>43</v>
      </c>
      <c r="U38" s="666" t="s">
        <v>43</v>
      </c>
      <c r="V38" s="666" t="s">
        <v>43</v>
      </c>
      <c r="W38" s="666" t="s">
        <v>43</v>
      </c>
      <c r="X38" s="662" t="s">
        <v>170</v>
      </c>
      <c r="Y38" s="1437"/>
      <c r="Z38" s="1391"/>
      <c r="AA38" s="219">
        <v>20800000</v>
      </c>
    </row>
    <row r="39" spans="1:29" s="27" customFormat="1" ht="15.75" customHeight="1">
      <c r="A39" s="1391"/>
      <c r="B39" s="1389"/>
      <c r="C39" s="1431"/>
      <c r="D39" s="1394"/>
      <c r="E39" s="1409"/>
      <c r="F39" s="1391"/>
      <c r="G39" s="666" t="s">
        <v>43</v>
      </c>
      <c r="H39" s="662" t="s">
        <v>44</v>
      </c>
      <c r="I39" s="662" t="s">
        <v>45</v>
      </c>
      <c r="J39" s="51" t="s">
        <v>199</v>
      </c>
      <c r="K39" s="1393"/>
      <c r="L39" s="1393"/>
      <c r="M39" s="22" t="s">
        <v>14289</v>
      </c>
      <c r="N39" s="68" t="s">
        <v>14290</v>
      </c>
      <c r="O39" s="46" t="s">
        <v>43</v>
      </c>
      <c r="P39" s="1397"/>
      <c r="Q39" s="46" t="s">
        <v>43</v>
      </c>
      <c r="R39" s="672" t="s">
        <v>48</v>
      </c>
      <c r="S39" s="46" t="s">
        <v>43</v>
      </c>
      <c r="T39" s="46" t="s">
        <v>43</v>
      </c>
      <c r="U39" s="46" t="s">
        <v>43</v>
      </c>
      <c r="V39" s="46" t="s">
        <v>43</v>
      </c>
      <c r="W39" s="672" t="s">
        <v>1876</v>
      </c>
      <c r="X39" s="662" t="s">
        <v>50</v>
      </c>
      <c r="Y39" s="1437"/>
      <c r="Z39" s="1391"/>
      <c r="AA39" s="219">
        <v>20800000</v>
      </c>
      <c r="AB39" s="27" t="s">
        <v>14291</v>
      </c>
    </row>
    <row r="40" spans="1:29" s="27" customFormat="1" ht="15.75" customHeight="1">
      <c r="A40" s="1390">
        <v>19</v>
      </c>
      <c r="B40" s="1388">
        <v>231</v>
      </c>
      <c r="C40" s="1431"/>
      <c r="D40" s="1394"/>
      <c r="E40" s="1408" t="s">
        <v>1811</v>
      </c>
      <c r="F40" s="1390" t="s">
        <v>1737</v>
      </c>
      <c r="G40" s="28">
        <v>9602023853</v>
      </c>
      <c r="H40" s="21" t="s">
        <v>335</v>
      </c>
      <c r="I40" s="21" t="s">
        <v>60</v>
      </c>
      <c r="J40" s="51" t="s">
        <v>199</v>
      </c>
      <c r="K40" s="1392" t="s">
        <v>14321</v>
      </c>
      <c r="L40" s="1392" t="s">
        <v>14322</v>
      </c>
      <c r="M40" s="22" t="s">
        <v>1812</v>
      </c>
      <c r="N40" s="28" t="s">
        <v>1813</v>
      </c>
      <c r="O40" s="46" t="s">
        <v>43</v>
      </c>
      <c r="P40" s="1396" t="s">
        <v>2851</v>
      </c>
      <c r="Q40" s="46" t="s">
        <v>43</v>
      </c>
      <c r="R40" s="26" t="s">
        <v>397</v>
      </c>
      <c r="S40" s="46" t="s">
        <v>43</v>
      </c>
      <c r="T40" s="46" t="s">
        <v>43</v>
      </c>
      <c r="U40" s="46" t="s">
        <v>43</v>
      </c>
      <c r="V40" s="46" t="s">
        <v>43</v>
      </c>
      <c r="W40" s="46" t="s">
        <v>43</v>
      </c>
      <c r="X40" s="21" t="s">
        <v>167</v>
      </c>
      <c r="Y40" s="1436" t="s">
        <v>202</v>
      </c>
      <c r="Z40" s="1390" t="s">
        <v>65</v>
      </c>
      <c r="AA40" s="219">
        <v>8960000</v>
      </c>
    </row>
    <row r="41" spans="1:29" s="27" customFormat="1" ht="15.75" customHeight="1">
      <c r="A41" s="1391"/>
      <c r="B41" s="1389"/>
      <c r="C41" s="1431"/>
      <c r="D41" s="1394"/>
      <c r="E41" s="1409"/>
      <c r="F41" s="1391"/>
      <c r="G41" s="28" t="s">
        <v>1814</v>
      </c>
      <c r="H41" s="30" t="s">
        <v>195</v>
      </c>
      <c r="I41" s="21" t="s">
        <v>168</v>
      </c>
      <c r="J41" s="51" t="s">
        <v>199</v>
      </c>
      <c r="K41" s="1394"/>
      <c r="L41" s="1394"/>
      <c r="M41" s="22" t="s">
        <v>1815</v>
      </c>
      <c r="N41" s="68" t="s">
        <v>11891</v>
      </c>
      <c r="O41" s="46" t="s">
        <v>43</v>
      </c>
      <c r="P41" s="1398"/>
      <c r="Q41" s="46" t="s">
        <v>43</v>
      </c>
      <c r="R41" s="26" t="s">
        <v>68</v>
      </c>
      <c r="S41" s="46" t="s">
        <v>43</v>
      </c>
      <c r="T41" s="46" t="s">
        <v>43</v>
      </c>
      <c r="U41" s="46" t="s">
        <v>43</v>
      </c>
      <c r="V41" s="46" t="s">
        <v>43</v>
      </c>
      <c r="W41" s="46" t="s">
        <v>43</v>
      </c>
      <c r="X41" s="21" t="s">
        <v>170</v>
      </c>
      <c r="Y41" s="1437"/>
      <c r="Z41" s="1391"/>
      <c r="AA41" s="219">
        <v>20800000</v>
      </c>
    </row>
    <row r="42" spans="1:29" s="27" customFormat="1" ht="15.75" customHeight="1">
      <c r="A42" s="1390">
        <v>21</v>
      </c>
      <c r="B42" s="1388">
        <v>233</v>
      </c>
      <c r="C42" s="1431"/>
      <c r="D42" s="1394"/>
      <c r="E42" s="1408" t="s">
        <v>1823</v>
      </c>
      <c r="F42" s="1390" t="s">
        <v>1700</v>
      </c>
      <c r="G42" s="28" t="s">
        <v>11919</v>
      </c>
      <c r="H42" s="21" t="s">
        <v>335</v>
      </c>
      <c r="I42" s="21" t="s">
        <v>60</v>
      </c>
      <c r="J42" s="51" t="s">
        <v>9213</v>
      </c>
      <c r="K42" s="1392" t="s">
        <v>14326</v>
      </c>
      <c r="L42" s="1392" t="s">
        <v>14324</v>
      </c>
      <c r="M42" s="22" t="s">
        <v>1824</v>
      </c>
      <c r="N42" s="28" t="s">
        <v>1825</v>
      </c>
      <c r="O42" s="46" t="s">
        <v>43</v>
      </c>
      <c r="P42" s="1396" t="s">
        <v>2853</v>
      </c>
      <c r="Q42" s="46" t="s">
        <v>43</v>
      </c>
      <c r="R42" s="26" t="s">
        <v>166</v>
      </c>
      <c r="S42" s="46" t="s">
        <v>43</v>
      </c>
      <c r="T42" s="46" t="s">
        <v>43</v>
      </c>
      <c r="U42" s="46" t="s">
        <v>43</v>
      </c>
      <c r="V42" s="46" t="s">
        <v>43</v>
      </c>
      <c r="W42" s="46" t="s">
        <v>43</v>
      </c>
      <c r="X42" s="21" t="s">
        <v>167</v>
      </c>
      <c r="Y42" s="1436" t="s">
        <v>202</v>
      </c>
      <c r="Z42" s="1390" t="s">
        <v>65</v>
      </c>
      <c r="AA42" s="219">
        <v>8960000</v>
      </c>
    </row>
    <row r="43" spans="1:29" s="27" customFormat="1" ht="15.75" customHeight="1">
      <c r="A43" s="1391"/>
      <c r="B43" s="1389"/>
      <c r="C43" s="1431"/>
      <c r="D43" s="1394"/>
      <c r="E43" s="1409"/>
      <c r="F43" s="1391"/>
      <c r="G43" s="28" t="s">
        <v>1826</v>
      </c>
      <c r="H43" s="30" t="s">
        <v>195</v>
      </c>
      <c r="I43" s="21" t="s">
        <v>168</v>
      </c>
      <c r="J43" s="51" t="s">
        <v>199</v>
      </c>
      <c r="K43" s="1394"/>
      <c r="L43" s="1394"/>
      <c r="M43" s="22" t="s">
        <v>1827</v>
      </c>
      <c r="N43" s="68" t="s">
        <v>11898</v>
      </c>
      <c r="O43" s="46" t="s">
        <v>43</v>
      </c>
      <c r="P43" s="1398"/>
      <c r="Q43" s="46" t="s">
        <v>43</v>
      </c>
      <c r="R43" s="26" t="s">
        <v>246</v>
      </c>
      <c r="S43" s="46" t="s">
        <v>43</v>
      </c>
      <c r="T43" s="46" t="s">
        <v>43</v>
      </c>
      <c r="U43" s="46" t="s">
        <v>43</v>
      </c>
      <c r="V43" s="46" t="s">
        <v>43</v>
      </c>
      <c r="W43" s="26" t="s">
        <v>1510</v>
      </c>
      <c r="X43" s="21" t="s">
        <v>170</v>
      </c>
      <c r="Y43" s="1437"/>
      <c r="Z43" s="1391"/>
      <c r="AA43" s="219">
        <v>20800000</v>
      </c>
    </row>
    <row r="44" spans="1:29" s="27" customFormat="1" ht="18">
      <c r="A44" s="1390">
        <v>22</v>
      </c>
      <c r="B44" s="1388">
        <v>234</v>
      </c>
      <c r="C44" s="1431"/>
      <c r="D44" s="1392" t="s">
        <v>1829</v>
      </c>
      <c r="E44" s="1408" t="s">
        <v>1830</v>
      </c>
      <c r="F44" s="1390" t="s">
        <v>1737</v>
      </c>
      <c r="G44" s="28" t="s">
        <v>1831</v>
      </c>
      <c r="H44" s="21" t="s">
        <v>335</v>
      </c>
      <c r="I44" s="21" t="s">
        <v>60</v>
      </c>
      <c r="J44" s="51" t="s">
        <v>199</v>
      </c>
      <c r="K44" s="1392" t="s">
        <v>14327</v>
      </c>
      <c r="L44" s="1392" t="s">
        <v>14328</v>
      </c>
      <c r="M44" s="22" t="s">
        <v>1832</v>
      </c>
      <c r="N44" s="28" t="s">
        <v>11899</v>
      </c>
      <c r="O44" s="46" t="s">
        <v>43</v>
      </c>
      <c r="P44" s="1396" t="s">
        <v>2854</v>
      </c>
      <c r="Q44" s="46" t="s">
        <v>43</v>
      </c>
      <c r="R44" s="26" t="s">
        <v>397</v>
      </c>
      <c r="S44" s="46" t="s">
        <v>43</v>
      </c>
      <c r="T44" s="46" t="s">
        <v>43</v>
      </c>
      <c r="U44" s="46" t="s">
        <v>43</v>
      </c>
      <c r="V44" s="46" t="s">
        <v>43</v>
      </c>
      <c r="W44" s="46" t="s">
        <v>43</v>
      </c>
      <c r="X44" s="21" t="s">
        <v>167</v>
      </c>
      <c r="Y44" s="1436" t="s">
        <v>202</v>
      </c>
      <c r="Z44" s="1390" t="s">
        <v>65</v>
      </c>
      <c r="AA44" s="219">
        <v>12800000</v>
      </c>
    </row>
    <row r="45" spans="1:29" s="27" customFormat="1" ht="15.75" customHeight="1">
      <c r="A45" s="1391"/>
      <c r="B45" s="1389"/>
      <c r="C45" s="1431"/>
      <c r="D45" s="1394"/>
      <c r="E45" s="1409"/>
      <c r="F45" s="1391"/>
      <c r="G45" s="28" t="s">
        <v>1833</v>
      </c>
      <c r="H45" s="30" t="s">
        <v>195</v>
      </c>
      <c r="I45" s="21" t="s">
        <v>168</v>
      </c>
      <c r="J45" s="51" t="s">
        <v>199</v>
      </c>
      <c r="K45" s="1394"/>
      <c r="L45" s="1394"/>
      <c r="M45" s="22" t="s">
        <v>1834</v>
      </c>
      <c r="N45" s="68" t="s">
        <v>11900</v>
      </c>
      <c r="O45" s="46" t="s">
        <v>43</v>
      </c>
      <c r="P45" s="1398"/>
      <c r="Q45" s="46" t="s">
        <v>43</v>
      </c>
      <c r="R45" s="26" t="s">
        <v>246</v>
      </c>
      <c r="S45" s="46" t="s">
        <v>43</v>
      </c>
      <c r="T45" s="46" t="s">
        <v>43</v>
      </c>
      <c r="U45" s="46" t="s">
        <v>43</v>
      </c>
      <c r="V45" s="46" t="s">
        <v>43</v>
      </c>
      <c r="W45" s="26" t="s">
        <v>1759</v>
      </c>
      <c r="X45" s="21" t="s">
        <v>170</v>
      </c>
      <c r="Y45" s="1437"/>
      <c r="Z45" s="1391"/>
      <c r="AA45" s="219">
        <v>20800000</v>
      </c>
    </row>
    <row r="46" spans="1:29" s="27" customFormat="1" ht="15.75" customHeight="1">
      <c r="A46" s="1424">
        <v>23</v>
      </c>
      <c r="B46" s="1432" t="s">
        <v>14202</v>
      </c>
      <c r="C46" s="1431"/>
      <c r="D46" s="1392" t="s">
        <v>1598</v>
      </c>
      <c r="E46" s="1408" t="s">
        <v>1835</v>
      </c>
      <c r="F46" s="1390" t="s">
        <v>1700</v>
      </c>
      <c r="G46" s="28" t="s">
        <v>9221</v>
      </c>
      <c r="H46" s="21" t="s">
        <v>335</v>
      </c>
      <c r="I46" s="21" t="s">
        <v>60</v>
      </c>
      <c r="J46" s="51" t="s">
        <v>199</v>
      </c>
      <c r="K46" s="1392" t="s">
        <v>14330</v>
      </c>
      <c r="L46" s="1392" t="s">
        <v>14329</v>
      </c>
      <c r="M46" s="22" t="s">
        <v>1836</v>
      </c>
      <c r="N46" s="28" t="s">
        <v>11905</v>
      </c>
      <c r="O46" s="46" t="s">
        <v>43</v>
      </c>
      <c r="P46" s="1396" t="s">
        <v>2855</v>
      </c>
      <c r="Q46" s="46" t="s">
        <v>43</v>
      </c>
      <c r="R46" s="26" t="s">
        <v>166</v>
      </c>
      <c r="S46" s="46" t="s">
        <v>43</v>
      </c>
      <c r="T46" s="46" t="s">
        <v>43</v>
      </c>
      <c r="U46" s="46" t="s">
        <v>43</v>
      </c>
      <c r="V46" s="46" t="s">
        <v>43</v>
      </c>
      <c r="W46" s="46" t="s">
        <v>43</v>
      </c>
      <c r="X46" s="21" t="s">
        <v>1726</v>
      </c>
      <c r="Y46" s="1440" t="s">
        <v>980</v>
      </c>
      <c r="Z46" s="1390" t="s">
        <v>65</v>
      </c>
      <c r="AA46" s="219">
        <v>15680000</v>
      </c>
      <c r="AB46" s="288" t="s">
        <v>9218</v>
      </c>
      <c r="AC46" s="288" t="s">
        <v>11901</v>
      </c>
    </row>
    <row r="47" spans="1:29" s="27" customFormat="1" ht="15.75" customHeight="1">
      <c r="A47" s="1425"/>
      <c r="B47" s="1433"/>
      <c r="C47" s="1431"/>
      <c r="D47" s="1394"/>
      <c r="E47" s="1409"/>
      <c r="F47" s="1391"/>
      <c r="G47" s="28" t="s">
        <v>1837</v>
      </c>
      <c r="H47" s="30" t="s">
        <v>195</v>
      </c>
      <c r="I47" s="21" t="s">
        <v>108</v>
      </c>
      <c r="J47" s="51" t="s">
        <v>199</v>
      </c>
      <c r="K47" s="1393"/>
      <c r="L47" s="1393"/>
      <c r="M47" s="22" t="s">
        <v>1838</v>
      </c>
      <c r="N47" s="68" t="s">
        <v>11906</v>
      </c>
      <c r="O47" s="46" t="s">
        <v>43</v>
      </c>
      <c r="P47" s="1397"/>
      <c r="Q47" s="46" t="s">
        <v>43</v>
      </c>
      <c r="R47" s="26" t="s">
        <v>1839</v>
      </c>
      <c r="S47" s="46" t="s">
        <v>43</v>
      </c>
      <c r="T47" s="46" t="s">
        <v>43</v>
      </c>
      <c r="U47" s="46" t="s">
        <v>43</v>
      </c>
      <c r="V47" s="46" t="s">
        <v>43</v>
      </c>
      <c r="W47" s="46" t="s">
        <v>43</v>
      </c>
      <c r="X47" s="21" t="s">
        <v>299</v>
      </c>
      <c r="Y47" s="1441"/>
      <c r="Z47" s="1391"/>
      <c r="AA47" s="219">
        <v>52000000</v>
      </c>
      <c r="AB47" s="288" t="s">
        <v>9222</v>
      </c>
      <c r="AC47" s="288" t="s">
        <v>11901</v>
      </c>
    </row>
    <row r="48" spans="1:29" s="27" customFormat="1" ht="15.75" customHeight="1">
      <c r="A48" s="1390">
        <v>24</v>
      </c>
      <c r="B48" s="1388">
        <v>236</v>
      </c>
      <c r="C48" s="1431"/>
      <c r="D48" s="1394"/>
      <c r="E48" s="1408" t="s">
        <v>1840</v>
      </c>
      <c r="F48" s="1390" t="s">
        <v>1737</v>
      </c>
      <c r="G48" s="28" t="s">
        <v>9223</v>
      </c>
      <c r="H48" s="21" t="s">
        <v>335</v>
      </c>
      <c r="I48" s="21" t="s">
        <v>60</v>
      </c>
      <c r="J48" s="51" t="s">
        <v>199</v>
      </c>
      <c r="K48" s="1392" t="s">
        <v>14332</v>
      </c>
      <c r="L48" s="1392" t="s">
        <v>14347</v>
      </c>
      <c r="M48" s="22" t="s">
        <v>1841</v>
      </c>
      <c r="N48" s="28" t="s">
        <v>11907</v>
      </c>
      <c r="O48" s="46" t="s">
        <v>43</v>
      </c>
      <c r="P48" s="1396" t="s">
        <v>2856</v>
      </c>
      <c r="Q48" s="46" t="s">
        <v>43</v>
      </c>
      <c r="R48" s="26" t="s">
        <v>397</v>
      </c>
      <c r="S48" s="46" t="s">
        <v>43</v>
      </c>
      <c r="T48" s="46" t="s">
        <v>43</v>
      </c>
      <c r="U48" s="46" t="s">
        <v>43</v>
      </c>
      <c r="V48" s="46" t="s">
        <v>43</v>
      </c>
      <c r="W48" s="46" t="s">
        <v>43</v>
      </c>
      <c r="X48" s="21" t="s">
        <v>167</v>
      </c>
      <c r="Y48" s="1436" t="s">
        <v>202</v>
      </c>
      <c r="Z48" s="1390" t="s">
        <v>65</v>
      </c>
      <c r="AA48" s="219">
        <v>8960000</v>
      </c>
    </row>
    <row r="49" spans="1:29" s="27" customFormat="1" ht="15.75" customHeight="1">
      <c r="A49" s="1391"/>
      <c r="B49" s="1389"/>
      <c r="C49" s="1431"/>
      <c r="D49" s="1394"/>
      <c r="E49" s="1409"/>
      <c r="F49" s="1391"/>
      <c r="G49" s="28" t="s">
        <v>1842</v>
      </c>
      <c r="H49" s="30" t="s">
        <v>195</v>
      </c>
      <c r="I49" s="21" t="s">
        <v>168</v>
      </c>
      <c r="J49" s="51" t="s">
        <v>199</v>
      </c>
      <c r="K49" s="1393"/>
      <c r="L49" s="1393"/>
      <c r="M49" s="22" t="s">
        <v>1843</v>
      </c>
      <c r="N49" s="68" t="s">
        <v>11908</v>
      </c>
      <c r="O49" s="46" t="s">
        <v>43</v>
      </c>
      <c r="P49" s="1397"/>
      <c r="Q49" s="46" t="s">
        <v>43</v>
      </c>
      <c r="R49" s="26" t="s">
        <v>255</v>
      </c>
      <c r="S49" s="46" t="s">
        <v>43</v>
      </c>
      <c r="T49" s="46" t="s">
        <v>43</v>
      </c>
      <c r="U49" s="46" t="s">
        <v>43</v>
      </c>
      <c r="V49" s="46" t="s">
        <v>43</v>
      </c>
      <c r="W49" s="26" t="s">
        <v>1517</v>
      </c>
      <c r="X49" s="21" t="s">
        <v>170</v>
      </c>
      <c r="Y49" s="1437"/>
      <c r="Z49" s="1391"/>
      <c r="AA49" s="219">
        <v>20800000</v>
      </c>
    </row>
    <row r="50" spans="1:29" s="27" customFormat="1" ht="15.75" customHeight="1">
      <c r="A50" s="1390">
        <v>25</v>
      </c>
      <c r="B50" s="1388">
        <v>237</v>
      </c>
      <c r="C50" s="1431"/>
      <c r="D50" s="1394"/>
      <c r="E50" s="1408" t="s">
        <v>1844</v>
      </c>
      <c r="F50" s="1391"/>
      <c r="G50" s="28" t="s">
        <v>11911</v>
      </c>
      <c r="H50" s="21" t="s">
        <v>335</v>
      </c>
      <c r="I50" s="21" t="s">
        <v>60</v>
      </c>
      <c r="J50" s="51" t="s">
        <v>199</v>
      </c>
      <c r="K50" s="1392" t="s">
        <v>14333</v>
      </c>
      <c r="L50" s="1392" t="s">
        <v>14346</v>
      </c>
      <c r="M50" s="22" t="s">
        <v>1845</v>
      </c>
      <c r="N50" s="28" t="s">
        <v>11909</v>
      </c>
      <c r="O50" s="46" t="s">
        <v>43</v>
      </c>
      <c r="P50" s="1396" t="s">
        <v>2857</v>
      </c>
      <c r="Q50" s="46" t="s">
        <v>43</v>
      </c>
      <c r="R50" s="26" t="s">
        <v>397</v>
      </c>
      <c r="S50" s="46" t="s">
        <v>43</v>
      </c>
      <c r="T50" s="46" t="s">
        <v>43</v>
      </c>
      <c r="U50" s="46" t="s">
        <v>43</v>
      </c>
      <c r="V50" s="46" t="s">
        <v>43</v>
      </c>
      <c r="W50" s="46" t="s">
        <v>43</v>
      </c>
      <c r="X50" s="21" t="s">
        <v>1846</v>
      </c>
      <c r="Y50" s="1436" t="s">
        <v>202</v>
      </c>
      <c r="Z50" s="1390" t="s">
        <v>65</v>
      </c>
      <c r="AA50" s="219">
        <v>8960000</v>
      </c>
    </row>
    <row r="51" spans="1:29" s="27" customFormat="1" ht="15.75" customHeight="1">
      <c r="A51" s="1391"/>
      <c r="B51" s="1389"/>
      <c r="C51" s="1431"/>
      <c r="D51" s="1394"/>
      <c r="E51" s="1409"/>
      <c r="F51" s="1391"/>
      <c r="G51" s="28" t="s">
        <v>1847</v>
      </c>
      <c r="H51" s="30" t="s">
        <v>195</v>
      </c>
      <c r="I51" s="21" t="s">
        <v>168</v>
      </c>
      <c r="J51" s="51" t="s">
        <v>199</v>
      </c>
      <c r="K51" s="1394"/>
      <c r="L51" s="1394"/>
      <c r="M51" s="22" t="s">
        <v>1848</v>
      </c>
      <c r="N51" s="68" t="s">
        <v>11910</v>
      </c>
      <c r="O51" s="46" t="s">
        <v>43</v>
      </c>
      <c r="P51" s="1398"/>
      <c r="Q51" s="46" t="s">
        <v>43</v>
      </c>
      <c r="R51" s="26" t="s">
        <v>255</v>
      </c>
      <c r="S51" s="46" t="s">
        <v>43</v>
      </c>
      <c r="T51" s="46" t="s">
        <v>43</v>
      </c>
      <c r="U51" s="46" t="s">
        <v>43</v>
      </c>
      <c r="V51" s="46" t="s">
        <v>43</v>
      </c>
      <c r="W51" s="26" t="s">
        <v>1517</v>
      </c>
      <c r="X51" s="21" t="s">
        <v>170</v>
      </c>
      <c r="Y51" s="1437"/>
      <c r="Z51" s="1391"/>
      <c r="AA51" s="219">
        <v>20800000</v>
      </c>
    </row>
    <row r="52" spans="1:29" s="27" customFormat="1" ht="15.75" customHeight="1">
      <c r="A52" s="1390">
        <v>26</v>
      </c>
      <c r="B52" s="1388">
        <v>238</v>
      </c>
      <c r="C52" s="1431"/>
      <c r="D52" s="1394"/>
      <c r="E52" s="1408" t="s">
        <v>1849</v>
      </c>
      <c r="F52" s="1390" t="s">
        <v>1722</v>
      </c>
      <c r="G52" s="28" t="s">
        <v>9224</v>
      </c>
      <c r="H52" s="21" t="s">
        <v>335</v>
      </c>
      <c r="I52" s="21" t="s">
        <v>60</v>
      </c>
      <c r="J52" s="51" t="s">
        <v>199</v>
      </c>
      <c r="K52" s="1392" t="s">
        <v>14334</v>
      </c>
      <c r="L52" s="1392" t="s">
        <v>14345</v>
      </c>
      <c r="M52" s="22" t="s">
        <v>1850</v>
      </c>
      <c r="N52" s="28" t="s">
        <v>11912</v>
      </c>
      <c r="O52" s="46" t="s">
        <v>43</v>
      </c>
      <c r="P52" s="1396" t="s">
        <v>2858</v>
      </c>
      <c r="Q52" s="46" t="s">
        <v>43</v>
      </c>
      <c r="R52" s="26" t="s">
        <v>166</v>
      </c>
      <c r="S52" s="46" t="s">
        <v>43</v>
      </c>
      <c r="T52" s="46" t="s">
        <v>43</v>
      </c>
      <c r="U52" s="46" t="s">
        <v>43</v>
      </c>
      <c r="V52" s="46" t="s">
        <v>43</v>
      </c>
      <c r="W52" s="46" t="s">
        <v>43</v>
      </c>
      <c r="X52" s="21" t="s">
        <v>167</v>
      </c>
      <c r="Y52" s="1436" t="s">
        <v>202</v>
      </c>
      <c r="Z52" s="1390" t="s">
        <v>65</v>
      </c>
      <c r="AA52" s="219">
        <v>8960000</v>
      </c>
      <c r="AB52" s="306" t="s">
        <v>11915</v>
      </c>
    </row>
    <row r="53" spans="1:29" s="27" customFormat="1" ht="15.75" customHeight="1">
      <c r="A53" s="1391"/>
      <c r="B53" s="1389"/>
      <c r="C53" s="1431"/>
      <c r="D53" s="1394"/>
      <c r="E53" s="1409"/>
      <c r="F53" s="1391"/>
      <c r="G53" s="28" t="s">
        <v>1851</v>
      </c>
      <c r="H53" s="30" t="s">
        <v>195</v>
      </c>
      <c r="I53" s="21" t="s">
        <v>168</v>
      </c>
      <c r="J53" s="51" t="s">
        <v>199</v>
      </c>
      <c r="K53" s="1394"/>
      <c r="L53" s="1394"/>
      <c r="M53" s="22" t="s">
        <v>1852</v>
      </c>
      <c r="N53" s="68" t="s">
        <v>11913</v>
      </c>
      <c r="O53" s="46" t="s">
        <v>43</v>
      </c>
      <c r="P53" s="1398"/>
      <c r="Q53" s="46" t="s">
        <v>43</v>
      </c>
      <c r="R53" s="26" t="s">
        <v>255</v>
      </c>
      <c r="S53" s="46" t="s">
        <v>43</v>
      </c>
      <c r="T53" s="46" t="s">
        <v>43</v>
      </c>
      <c r="U53" s="46" t="s">
        <v>43</v>
      </c>
      <c r="V53" s="46" t="s">
        <v>43</v>
      </c>
      <c r="W53" s="26" t="s">
        <v>1781</v>
      </c>
      <c r="X53" s="21" t="s">
        <v>170</v>
      </c>
      <c r="Y53" s="1437"/>
      <c r="Z53" s="1391"/>
      <c r="AA53" s="219">
        <v>20800000</v>
      </c>
    </row>
    <row r="54" spans="1:29" s="27" customFormat="1" ht="15.75" customHeight="1">
      <c r="A54" s="1390">
        <v>27</v>
      </c>
      <c r="B54" s="1388">
        <v>239</v>
      </c>
      <c r="C54" s="1431"/>
      <c r="D54" s="1394"/>
      <c r="E54" s="1408" t="s">
        <v>1853</v>
      </c>
      <c r="F54" s="1390" t="s">
        <v>1700</v>
      </c>
      <c r="G54" s="28">
        <v>9602051405</v>
      </c>
      <c r="H54" s="21" t="s">
        <v>335</v>
      </c>
      <c r="I54" s="21" t="s">
        <v>60</v>
      </c>
      <c r="J54" s="51" t="s">
        <v>204</v>
      </c>
      <c r="K54" s="1392" t="s">
        <v>14335</v>
      </c>
      <c r="L54" s="1392" t="s">
        <v>14344</v>
      </c>
      <c r="M54" s="22" t="s">
        <v>1854</v>
      </c>
      <c r="N54" s="28" t="s">
        <v>11916</v>
      </c>
      <c r="O54" s="46" t="s">
        <v>43</v>
      </c>
      <c r="P54" s="1396" t="s">
        <v>2859</v>
      </c>
      <c r="Q54" s="46" t="s">
        <v>43</v>
      </c>
      <c r="R54" s="26" t="s">
        <v>397</v>
      </c>
      <c r="S54" s="46" t="s">
        <v>43</v>
      </c>
      <c r="T54" s="46" t="s">
        <v>43</v>
      </c>
      <c r="U54" s="46" t="s">
        <v>43</v>
      </c>
      <c r="V54" s="46" t="s">
        <v>43</v>
      </c>
      <c r="W54" s="46" t="s">
        <v>43</v>
      </c>
      <c r="X54" s="21" t="s">
        <v>167</v>
      </c>
      <c r="Y54" s="1436" t="s">
        <v>202</v>
      </c>
      <c r="Z54" s="1390" t="s">
        <v>65</v>
      </c>
      <c r="AA54" s="219">
        <v>8960000</v>
      </c>
      <c r="AB54" s="306" t="s">
        <v>11914</v>
      </c>
    </row>
    <row r="55" spans="1:29" s="27" customFormat="1" ht="15.75" customHeight="1">
      <c r="A55" s="1391"/>
      <c r="B55" s="1389"/>
      <c r="C55" s="1431"/>
      <c r="D55" s="1394"/>
      <c r="E55" s="1409"/>
      <c r="F55" s="1391"/>
      <c r="G55" s="108"/>
      <c r="H55" s="30" t="s">
        <v>195</v>
      </c>
      <c r="I55" s="514" t="s">
        <v>168</v>
      </c>
      <c r="J55" s="51" t="s">
        <v>205</v>
      </c>
      <c r="K55" s="1394"/>
      <c r="L55" s="1394"/>
      <c r="M55" s="516" t="s">
        <v>11918</v>
      </c>
      <c r="N55" s="68" t="s">
        <v>11917</v>
      </c>
      <c r="O55" s="515"/>
      <c r="P55" s="1398"/>
      <c r="Q55" s="515" t="s">
        <v>43</v>
      </c>
      <c r="R55" s="517" t="s">
        <v>246</v>
      </c>
      <c r="S55" s="53" t="s">
        <v>43</v>
      </c>
      <c r="T55" s="53" t="s">
        <v>43</v>
      </c>
      <c r="U55" s="53" t="s">
        <v>43</v>
      </c>
      <c r="V55" s="53" t="s">
        <v>43</v>
      </c>
      <c r="W55" s="517" t="s">
        <v>1759</v>
      </c>
      <c r="X55" s="514" t="s">
        <v>170</v>
      </c>
      <c r="Y55" s="1437"/>
      <c r="Z55" s="1391"/>
      <c r="AA55" s="219"/>
    </row>
    <row r="56" spans="1:29" s="27" customFormat="1" ht="15.75" customHeight="1">
      <c r="A56" s="1391"/>
      <c r="B56" s="1389"/>
      <c r="C56" s="1431"/>
      <c r="D56" s="1394"/>
      <c r="E56" s="1409"/>
      <c r="F56" s="1391"/>
      <c r="G56" s="46" t="s">
        <v>43</v>
      </c>
      <c r="H56" s="21" t="s">
        <v>44</v>
      </c>
      <c r="I56" s="21" t="s">
        <v>45</v>
      </c>
      <c r="J56" s="51" t="s">
        <v>205</v>
      </c>
      <c r="K56" s="1393"/>
      <c r="L56" s="1393"/>
      <c r="M56" s="22" t="s">
        <v>1855</v>
      </c>
      <c r="N56" s="514" t="s">
        <v>14331</v>
      </c>
      <c r="O56" s="46" t="s">
        <v>43</v>
      </c>
      <c r="P56" s="1397"/>
      <c r="Q56" s="46" t="s">
        <v>43</v>
      </c>
      <c r="R56" s="26" t="s">
        <v>119</v>
      </c>
      <c r="S56" s="46" t="s">
        <v>43</v>
      </c>
      <c r="T56" s="46" t="s">
        <v>43</v>
      </c>
      <c r="U56" s="46" t="s">
        <v>43</v>
      </c>
      <c r="V56" s="46" t="s">
        <v>43</v>
      </c>
      <c r="W56" s="26" t="s">
        <v>1822</v>
      </c>
      <c r="X56" s="21" t="s">
        <v>50</v>
      </c>
      <c r="Y56" s="1437"/>
      <c r="Z56" s="1391"/>
      <c r="AA56" s="219">
        <v>0</v>
      </c>
    </row>
    <row r="57" spans="1:29" s="27" customFormat="1" ht="15.75" customHeight="1">
      <c r="A57" s="1390">
        <v>29</v>
      </c>
      <c r="B57" s="1388">
        <v>243</v>
      </c>
      <c r="C57" s="1431"/>
      <c r="D57" s="1392" t="s">
        <v>1858</v>
      </c>
      <c r="E57" s="1408" t="s">
        <v>1829</v>
      </c>
      <c r="F57" s="1391"/>
      <c r="G57" s="28" t="s">
        <v>9225</v>
      </c>
      <c r="H57" s="21" t="s">
        <v>335</v>
      </c>
      <c r="I57" s="21" t="s">
        <v>60</v>
      </c>
      <c r="J57" s="51" t="s">
        <v>199</v>
      </c>
      <c r="K57" s="1392" t="s">
        <v>14336</v>
      </c>
      <c r="L57" s="1392" t="s">
        <v>14343</v>
      </c>
      <c r="M57" s="22" t="s">
        <v>1859</v>
      </c>
      <c r="N57" s="28" t="s">
        <v>11920</v>
      </c>
      <c r="O57" s="46" t="s">
        <v>43</v>
      </c>
      <c r="P57" s="1396" t="s">
        <v>2860</v>
      </c>
      <c r="Q57" s="46" t="s">
        <v>43</v>
      </c>
      <c r="R57" s="26" t="s">
        <v>397</v>
      </c>
      <c r="S57" s="46" t="s">
        <v>43</v>
      </c>
      <c r="T57" s="46" t="s">
        <v>43</v>
      </c>
      <c r="U57" s="46" t="s">
        <v>43</v>
      </c>
      <c r="V57" s="46" t="s">
        <v>43</v>
      </c>
      <c r="W57" s="46" t="s">
        <v>43</v>
      </c>
      <c r="X57" s="21" t="s">
        <v>167</v>
      </c>
      <c r="Y57" s="1436" t="s">
        <v>202</v>
      </c>
      <c r="Z57" s="1390" t="s">
        <v>65</v>
      </c>
      <c r="AA57" s="219">
        <v>12800000</v>
      </c>
    </row>
    <row r="58" spans="1:29" s="27" customFormat="1" ht="15.75" customHeight="1">
      <c r="A58" s="1391"/>
      <c r="B58" s="1389"/>
      <c r="C58" s="1431"/>
      <c r="D58" s="1394"/>
      <c r="E58" s="1409"/>
      <c r="F58" s="1391"/>
      <c r="G58" s="28" t="s">
        <v>1860</v>
      </c>
      <c r="H58" s="30" t="s">
        <v>195</v>
      </c>
      <c r="I58" s="21" t="s">
        <v>168</v>
      </c>
      <c r="J58" s="51" t="s">
        <v>199</v>
      </c>
      <c r="K58" s="1394"/>
      <c r="L58" s="1394"/>
      <c r="M58" s="22" t="s">
        <v>1861</v>
      </c>
      <c r="N58" s="68" t="s">
        <v>11921</v>
      </c>
      <c r="O58" s="46" t="s">
        <v>43</v>
      </c>
      <c r="P58" s="1398"/>
      <c r="Q58" s="46" t="s">
        <v>43</v>
      </c>
      <c r="R58" s="26" t="s">
        <v>246</v>
      </c>
      <c r="S58" s="46" t="s">
        <v>43</v>
      </c>
      <c r="T58" s="46" t="s">
        <v>43</v>
      </c>
      <c r="U58" s="46" t="s">
        <v>43</v>
      </c>
      <c r="V58" s="46" t="s">
        <v>43</v>
      </c>
      <c r="W58" s="26" t="s">
        <v>1759</v>
      </c>
      <c r="X58" s="21" t="s">
        <v>170</v>
      </c>
      <c r="Y58" s="1437"/>
      <c r="Z58" s="1391"/>
      <c r="AA58" s="219">
        <v>20800000</v>
      </c>
    </row>
    <row r="59" spans="1:29" s="27" customFormat="1" ht="15.75" customHeight="1">
      <c r="A59" s="1390">
        <v>30</v>
      </c>
      <c r="B59" s="1388">
        <v>244</v>
      </c>
      <c r="C59" s="1431"/>
      <c r="D59" s="1392" t="s">
        <v>1598</v>
      </c>
      <c r="E59" s="1408" t="s">
        <v>1862</v>
      </c>
      <c r="F59" s="1390" t="s">
        <v>1722</v>
      </c>
      <c r="G59" s="28" t="s">
        <v>9226</v>
      </c>
      <c r="H59" s="21" t="s">
        <v>335</v>
      </c>
      <c r="I59" s="21" t="s">
        <v>60</v>
      </c>
      <c r="J59" s="51" t="s">
        <v>199</v>
      </c>
      <c r="K59" s="1392" t="s">
        <v>14337</v>
      </c>
      <c r="L59" s="1392" t="s">
        <v>14342</v>
      </c>
      <c r="M59" s="22" t="s">
        <v>1863</v>
      </c>
      <c r="N59" s="28" t="s">
        <v>1864</v>
      </c>
      <c r="O59" s="46" t="s">
        <v>43</v>
      </c>
      <c r="P59" s="1396" t="s">
        <v>2861</v>
      </c>
      <c r="Q59" s="46" t="s">
        <v>43</v>
      </c>
      <c r="R59" s="26" t="s">
        <v>166</v>
      </c>
      <c r="S59" s="46" t="s">
        <v>43</v>
      </c>
      <c r="T59" s="46" t="s">
        <v>43</v>
      </c>
      <c r="U59" s="46" t="s">
        <v>43</v>
      </c>
      <c r="V59" s="46" t="s">
        <v>43</v>
      </c>
      <c r="W59" s="46" t="s">
        <v>43</v>
      </c>
      <c r="X59" s="21" t="s">
        <v>167</v>
      </c>
      <c r="Y59" s="1443" t="s">
        <v>202</v>
      </c>
      <c r="Z59" s="1452" t="s">
        <v>65</v>
      </c>
      <c r="AA59" s="219">
        <v>8960000</v>
      </c>
    </row>
    <row r="60" spans="1:29" s="27" customFormat="1" ht="15.75" customHeight="1">
      <c r="A60" s="1391"/>
      <c r="B60" s="1389"/>
      <c r="C60" s="1431"/>
      <c r="D60" s="1394"/>
      <c r="E60" s="1409"/>
      <c r="F60" s="1391"/>
      <c r="G60" s="28" t="s">
        <v>9227</v>
      </c>
      <c r="H60" s="30" t="s">
        <v>195</v>
      </c>
      <c r="I60" s="21" t="s">
        <v>168</v>
      </c>
      <c r="J60" s="51" t="s">
        <v>205</v>
      </c>
      <c r="K60" s="1394"/>
      <c r="L60" s="1394"/>
      <c r="M60" s="22" t="s">
        <v>1865</v>
      </c>
      <c r="N60" s="68" t="s">
        <v>11923</v>
      </c>
      <c r="O60" s="46" t="s">
        <v>43</v>
      </c>
      <c r="P60" s="1398"/>
      <c r="Q60" s="46" t="s">
        <v>43</v>
      </c>
      <c r="R60" s="26" t="s">
        <v>397</v>
      </c>
      <c r="S60" s="46" t="s">
        <v>43</v>
      </c>
      <c r="T60" s="46" t="s">
        <v>43</v>
      </c>
      <c r="U60" s="46" t="s">
        <v>43</v>
      </c>
      <c r="V60" s="46" t="s">
        <v>43</v>
      </c>
      <c r="W60" s="46" t="s">
        <v>43</v>
      </c>
      <c r="X60" s="21" t="s">
        <v>167</v>
      </c>
      <c r="Y60" s="1443"/>
      <c r="Z60" s="1452"/>
      <c r="AA60" s="219">
        <v>10400000</v>
      </c>
    </row>
    <row r="61" spans="1:29" s="27" customFormat="1" ht="15.75" customHeight="1">
      <c r="A61" s="1395"/>
      <c r="B61" s="1442"/>
      <c r="C61" s="1431"/>
      <c r="D61" s="1394"/>
      <c r="E61" s="1444"/>
      <c r="F61" s="1395"/>
      <c r="G61" s="46" t="s">
        <v>43</v>
      </c>
      <c r="H61" s="518" t="s">
        <v>44</v>
      </c>
      <c r="I61" s="21" t="s">
        <v>45</v>
      </c>
      <c r="J61" s="24" t="s">
        <v>205</v>
      </c>
      <c r="K61" s="1393"/>
      <c r="L61" s="1393"/>
      <c r="M61" s="22" t="s">
        <v>11924</v>
      </c>
      <c r="N61" s="21" t="s">
        <v>11922</v>
      </c>
      <c r="O61" s="46" t="s">
        <v>43</v>
      </c>
      <c r="P61" s="1397"/>
      <c r="Q61" s="46" t="s">
        <v>43</v>
      </c>
      <c r="R61" s="26" t="s">
        <v>48</v>
      </c>
      <c r="S61" s="46" t="s">
        <v>43</v>
      </c>
      <c r="T61" s="46" t="s">
        <v>43</v>
      </c>
      <c r="U61" s="46" t="s">
        <v>43</v>
      </c>
      <c r="V61" s="46" t="s">
        <v>43</v>
      </c>
      <c r="W61" s="26" t="s">
        <v>1876</v>
      </c>
      <c r="X61" s="518" t="s">
        <v>50</v>
      </c>
      <c r="Y61" s="1443"/>
      <c r="Z61" s="1452"/>
      <c r="AA61" s="219">
        <v>0</v>
      </c>
      <c r="AB61" s="532" t="s">
        <v>11925</v>
      </c>
    </row>
    <row r="62" spans="1:29" s="27" customFormat="1" ht="15.75" customHeight="1">
      <c r="A62" s="822">
        <v>31</v>
      </c>
      <c r="B62" s="824">
        <v>245</v>
      </c>
      <c r="C62" s="1431"/>
      <c r="D62" s="1394"/>
      <c r="E62" s="825" t="s">
        <v>1993</v>
      </c>
      <c r="F62" s="1391" t="s">
        <v>1700</v>
      </c>
      <c r="G62" s="46" t="s">
        <v>43</v>
      </c>
      <c r="H62" s="21" t="s">
        <v>44</v>
      </c>
      <c r="I62" s="21" t="s">
        <v>45</v>
      </c>
      <c r="J62" s="28" t="s">
        <v>204</v>
      </c>
      <c r="K62" s="826" t="s">
        <v>14338</v>
      </c>
      <c r="L62" s="826" t="s">
        <v>14341</v>
      </c>
      <c r="M62" s="21" t="s">
        <v>1867</v>
      </c>
      <c r="N62" s="22" t="s">
        <v>11926</v>
      </c>
      <c r="O62" s="46" t="s">
        <v>43</v>
      </c>
      <c r="P62" s="827" t="s">
        <v>2862</v>
      </c>
      <c r="Q62" s="46" t="s">
        <v>43</v>
      </c>
      <c r="R62" s="26" t="s">
        <v>68</v>
      </c>
      <c r="S62" s="46" t="s">
        <v>43</v>
      </c>
      <c r="T62" s="46" t="s">
        <v>43</v>
      </c>
      <c r="U62" s="46" t="s">
        <v>43</v>
      </c>
      <c r="V62" s="46" t="s">
        <v>43</v>
      </c>
      <c r="W62" s="46" t="s">
        <v>43</v>
      </c>
      <c r="X62" s="21" t="s">
        <v>50</v>
      </c>
      <c r="Y62" s="823" t="s">
        <v>980</v>
      </c>
      <c r="Z62" s="820" t="s">
        <v>65</v>
      </c>
      <c r="AA62" s="219">
        <v>0</v>
      </c>
    </row>
    <row r="63" spans="1:29" s="27" customFormat="1" ht="15.75" customHeight="1">
      <c r="A63" s="1390">
        <v>32</v>
      </c>
      <c r="B63" s="1434" t="s">
        <v>11928</v>
      </c>
      <c r="C63" s="1431"/>
      <c r="D63" s="1394"/>
      <c r="E63" s="1408" t="s">
        <v>1869</v>
      </c>
      <c r="F63" s="1391"/>
      <c r="G63" s="28" t="s">
        <v>9228</v>
      </c>
      <c r="H63" s="21" t="s">
        <v>335</v>
      </c>
      <c r="I63" s="21" t="s">
        <v>60</v>
      </c>
      <c r="J63" s="51" t="s">
        <v>199</v>
      </c>
      <c r="K63" s="1392" t="s">
        <v>14339</v>
      </c>
      <c r="L63" s="1392" t="s">
        <v>14340</v>
      </c>
      <c r="M63" s="22" t="s">
        <v>1870</v>
      </c>
      <c r="N63" s="28" t="s">
        <v>1871</v>
      </c>
      <c r="O63" s="46" t="s">
        <v>43</v>
      </c>
      <c r="P63" s="1396" t="s">
        <v>2863</v>
      </c>
      <c r="Q63" s="46" t="s">
        <v>43</v>
      </c>
      <c r="R63" s="26" t="s">
        <v>397</v>
      </c>
      <c r="S63" s="46" t="s">
        <v>43</v>
      </c>
      <c r="T63" s="46" t="s">
        <v>43</v>
      </c>
      <c r="U63" s="46" t="s">
        <v>43</v>
      </c>
      <c r="V63" s="46" t="s">
        <v>43</v>
      </c>
      <c r="W63" s="46" t="s">
        <v>43</v>
      </c>
      <c r="X63" s="21" t="s">
        <v>167</v>
      </c>
      <c r="Y63" s="1436" t="s">
        <v>202</v>
      </c>
      <c r="Z63" s="1390" t="s">
        <v>65</v>
      </c>
      <c r="AA63" s="219">
        <v>15680000</v>
      </c>
      <c r="AB63" s="288" t="s">
        <v>11929</v>
      </c>
      <c r="AC63" s="27" t="s">
        <v>9248</v>
      </c>
    </row>
    <row r="64" spans="1:29" s="27" customFormat="1" ht="15.75" customHeight="1">
      <c r="A64" s="1391"/>
      <c r="B64" s="1435"/>
      <c r="C64" s="1431"/>
      <c r="D64" s="1394"/>
      <c r="E64" s="1409"/>
      <c r="F64" s="1391"/>
      <c r="G64" s="28" t="s">
        <v>1872</v>
      </c>
      <c r="H64" s="30" t="s">
        <v>195</v>
      </c>
      <c r="I64" s="21" t="s">
        <v>168</v>
      </c>
      <c r="J64" s="51" t="s">
        <v>199</v>
      </c>
      <c r="K64" s="1394"/>
      <c r="L64" s="1394"/>
      <c r="M64" s="22" t="s">
        <v>1873</v>
      </c>
      <c r="N64" s="68" t="s">
        <v>11927</v>
      </c>
      <c r="O64" s="46" t="s">
        <v>43</v>
      </c>
      <c r="P64" s="1398"/>
      <c r="Q64" s="46" t="s">
        <v>43</v>
      </c>
      <c r="R64" s="26" t="s">
        <v>255</v>
      </c>
      <c r="S64" s="46" t="s">
        <v>43</v>
      </c>
      <c r="T64" s="46" t="s">
        <v>43</v>
      </c>
      <c r="U64" s="46" t="s">
        <v>43</v>
      </c>
      <c r="V64" s="46" t="s">
        <v>43</v>
      </c>
      <c r="W64" s="26" t="s">
        <v>1517</v>
      </c>
      <c r="X64" s="21" t="s">
        <v>170</v>
      </c>
      <c r="Y64" s="1437"/>
      <c r="Z64" s="1391"/>
      <c r="AA64" s="219">
        <v>20800000</v>
      </c>
    </row>
    <row r="65" spans="1:28" s="27" customFormat="1" ht="15.75" customHeight="1">
      <c r="A65" s="1391"/>
      <c r="B65" s="1435"/>
      <c r="C65" s="1431"/>
      <c r="D65" s="1394"/>
      <c r="E65" s="1409"/>
      <c r="F65" s="1391"/>
      <c r="G65" s="46" t="s">
        <v>43</v>
      </c>
      <c r="H65" s="21" t="s">
        <v>44</v>
      </c>
      <c r="I65" s="21" t="s">
        <v>45</v>
      </c>
      <c r="J65" s="45" t="s">
        <v>201</v>
      </c>
      <c r="K65" s="1393"/>
      <c r="L65" s="1393"/>
      <c r="M65" s="22" t="s">
        <v>1874</v>
      </c>
      <c r="N65" s="526" t="s">
        <v>1875</v>
      </c>
      <c r="O65" s="46" t="s">
        <v>43</v>
      </c>
      <c r="P65" s="1397"/>
      <c r="Q65" s="46" t="s">
        <v>43</v>
      </c>
      <c r="R65" s="26" t="s">
        <v>48</v>
      </c>
      <c r="S65" s="46" t="s">
        <v>43</v>
      </c>
      <c r="T65" s="46" t="s">
        <v>43</v>
      </c>
      <c r="U65" s="46" t="s">
        <v>43</v>
      </c>
      <c r="V65" s="46" t="s">
        <v>43</v>
      </c>
      <c r="W65" s="26" t="s">
        <v>1876</v>
      </c>
      <c r="X65" s="21" t="s">
        <v>50</v>
      </c>
      <c r="Y65" s="1437"/>
      <c r="Z65" s="1391"/>
      <c r="AA65" s="219">
        <v>0</v>
      </c>
    </row>
    <row r="66" spans="1:28" s="27" customFormat="1" ht="15.75" customHeight="1">
      <c r="A66" s="1390">
        <v>33</v>
      </c>
      <c r="B66" s="1388">
        <v>255</v>
      </c>
      <c r="C66" s="1431"/>
      <c r="D66" s="1392" t="s">
        <v>1603</v>
      </c>
      <c r="E66" s="1408" t="s">
        <v>1603</v>
      </c>
      <c r="F66" s="1390" t="s">
        <v>1796</v>
      </c>
      <c r="G66" s="28" t="s">
        <v>1877</v>
      </c>
      <c r="H66" s="21" t="s">
        <v>335</v>
      </c>
      <c r="I66" s="21" t="s">
        <v>108</v>
      </c>
      <c r="J66" s="51" t="s">
        <v>199</v>
      </c>
      <c r="K66" s="1392" t="s">
        <v>1878</v>
      </c>
      <c r="L66" s="1392" t="s">
        <v>14449</v>
      </c>
      <c r="M66" s="22" t="s">
        <v>1879</v>
      </c>
      <c r="N66" s="28" t="s">
        <v>1880</v>
      </c>
      <c r="O66" s="46" t="s">
        <v>43</v>
      </c>
      <c r="P66" s="1396" t="s">
        <v>2864</v>
      </c>
      <c r="Q66" s="46" t="s">
        <v>43</v>
      </c>
      <c r="R66" s="26" t="s">
        <v>297</v>
      </c>
      <c r="S66" s="46" t="s">
        <v>43</v>
      </c>
      <c r="T66" s="46" t="s">
        <v>43</v>
      </c>
      <c r="U66" s="46" t="s">
        <v>43</v>
      </c>
      <c r="V66" s="46" t="s">
        <v>43</v>
      </c>
      <c r="W66" s="46" t="s">
        <v>43</v>
      </c>
      <c r="X66" s="21" t="s">
        <v>299</v>
      </c>
      <c r="Y66" s="1436" t="s">
        <v>202</v>
      </c>
      <c r="Z66" s="1390" t="s">
        <v>65</v>
      </c>
      <c r="AA66" s="219">
        <v>12800000</v>
      </c>
    </row>
    <row r="67" spans="1:28" s="27" customFormat="1" ht="15.75" customHeight="1">
      <c r="A67" s="1391"/>
      <c r="B67" s="1389"/>
      <c r="C67" s="1431"/>
      <c r="D67" s="1394"/>
      <c r="E67" s="1409"/>
      <c r="F67" s="1391"/>
      <c r="G67" s="28" t="s">
        <v>1881</v>
      </c>
      <c r="H67" s="30" t="s">
        <v>195</v>
      </c>
      <c r="I67" s="21" t="s">
        <v>168</v>
      </c>
      <c r="J67" s="51" t="s">
        <v>199</v>
      </c>
      <c r="K67" s="1394"/>
      <c r="L67" s="1394"/>
      <c r="M67" s="22" t="s">
        <v>1882</v>
      </c>
      <c r="N67" s="68" t="s">
        <v>11930</v>
      </c>
      <c r="O67" s="46" t="s">
        <v>43</v>
      </c>
      <c r="P67" s="1398"/>
      <c r="Q67" s="46" t="s">
        <v>43</v>
      </c>
      <c r="R67" s="26" t="s">
        <v>246</v>
      </c>
      <c r="S67" s="46" t="s">
        <v>43</v>
      </c>
      <c r="T67" s="46" t="s">
        <v>43</v>
      </c>
      <c r="U67" s="46" t="s">
        <v>43</v>
      </c>
      <c r="V67" s="46" t="s">
        <v>43</v>
      </c>
      <c r="W67" s="26" t="s">
        <v>1781</v>
      </c>
      <c r="X67" s="21" t="s">
        <v>170</v>
      </c>
      <c r="Y67" s="1437"/>
      <c r="Z67" s="1391"/>
      <c r="AA67" s="219">
        <v>20800000</v>
      </c>
    </row>
    <row r="68" spans="1:28" s="27" customFormat="1" ht="15.75" customHeight="1">
      <c r="A68" s="1390">
        <v>34</v>
      </c>
      <c r="B68" s="1388">
        <v>259</v>
      </c>
      <c r="C68" s="1431"/>
      <c r="D68" s="1392" t="s">
        <v>1598</v>
      </c>
      <c r="E68" s="1408" t="s">
        <v>1883</v>
      </c>
      <c r="F68" s="1390" t="s">
        <v>1700</v>
      </c>
      <c r="G68" s="28" t="s">
        <v>11932</v>
      </c>
      <c r="H68" s="21" t="s">
        <v>335</v>
      </c>
      <c r="I68" s="21" t="s">
        <v>60</v>
      </c>
      <c r="J68" s="51" t="s">
        <v>199</v>
      </c>
      <c r="K68" s="1392" t="s">
        <v>1884</v>
      </c>
      <c r="L68" s="1392" t="s">
        <v>14450</v>
      </c>
      <c r="M68" s="22" t="s">
        <v>1885</v>
      </c>
      <c r="N68" s="28" t="s">
        <v>1886</v>
      </c>
      <c r="O68" s="46" t="s">
        <v>43</v>
      </c>
      <c r="P68" s="1396" t="s">
        <v>2865</v>
      </c>
      <c r="Q68" s="46" t="s">
        <v>43</v>
      </c>
      <c r="R68" s="26" t="s">
        <v>1751</v>
      </c>
      <c r="S68" s="46" t="s">
        <v>43</v>
      </c>
      <c r="T68" s="46" t="s">
        <v>43</v>
      </c>
      <c r="U68" s="46" t="s">
        <v>43</v>
      </c>
      <c r="V68" s="46" t="s">
        <v>43</v>
      </c>
      <c r="W68" s="46" t="s">
        <v>43</v>
      </c>
      <c r="X68" s="21" t="s">
        <v>167</v>
      </c>
      <c r="Y68" s="1436" t="s">
        <v>980</v>
      </c>
      <c r="Z68" s="1390" t="s">
        <v>65</v>
      </c>
      <c r="AA68" s="219">
        <v>8960000</v>
      </c>
    </row>
    <row r="69" spans="1:28" s="27" customFormat="1" ht="15.75" customHeight="1">
      <c r="A69" s="1391"/>
      <c r="B69" s="1389"/>
      <c r="C69" s="1431"/>
      <c r="D69" s="1394"/>
      <c r="E69" s="1409"/>
      <c r="F69" s="1391"/>
      <c r="G69" s="28" t="s">
        <v>1887</v>
      </c>
      <c r="H69" s="30" t="s">
        <v>195</v>
      </c>
      <c r="I69" s="21" t="s">
        <v>168</v>
      </c>
      <c r="J69" s="51" t="s">
        <v>199</v>
      </c>
      <c r="K69" s="1394"/>
      <c r="L69" s="1394"/>
      <c r="M69" s="22" t="s">
        <v>1888</v>
      </c>
      <c r="N69" s="68" t="s">
        <v>11931</v>
      </c>
      <c r="O69" s="46" t="s">
        <v>43</v>
      </c>
      <c r="P69" s="1398"/>
      <c r="Q69" s="46" t="s">
        <v>43</v>
      </c>
      <c r="R69" s="26" t="s">
        <v>246</v>
      </c>
      <c r="S69" s="46" t="s">
        <v>43</v>
      </c>
      <c r="T69" s="46" t="s">
        <v>43</v>
      </c>
      <c r="U69" s="46" t="s">
        <v>43</v>
      </c>
      <c r="V69" s="46" t="s">
        <v>43</v>
      </c>
      <c r="W69" s="26" t="s">
        <v>1510</v>
      </c>
      <c r="X69" s="21" t="s">
        <v>170</v>
      </c>
      <c r="Y69" s="1437"/>
      <c r="Z69" s="1391"/>
      <c r="AA69" s="219">
        <v>20800000</v>
      </c>
    </row>
    <row r="70" spans="1:28" s="27" customFormat="1" ht="15.75" customHeight="1">
      <c r="A70" s="1424">
        <v>36</v>
      </c>
      <c r="B70" s="1388" t="s">
        <v>11936</v>
      </c>
      <c r="C70" s="1431"/>
      <c r="D70" s="1392" t="s">
        <v>1598</v>
      </c>
      <c r="E70" s="1410" t="s">
        <v>1895</v>
      </c>
      <c r="F70" s="1390" t="s">
        <v>1722</v>
      </c>
      <c r="G70" s="28" t="s">
        <v>11935</v>
      </c>
      <c r="H70" s="21" t="s">
        <v>335</v>
      </c>
      <c r="I70" s="21" t="s">
        <v>60</v>
      </c>
      <c r="J70" s="51" t="s">
        <v>199</v>
      </c>
      <c r="K70" s="1392" t="s">
        <v>1896</v>
      </c>
      <c r="L70" s="1392" t="s">
        <v>14452</v>
      </c>
      <c r="M70" s="22" t="s">
        <v>1897</v>
      </c>
      <c r="N70" s="28" t="s">
        <v>1892</v>
      </c>
      <c r="O70" s="46" t="s">
        <v>43</v>
      </c>
      <c r="P70" s="1396" t="s">
        <v>2867</v>
      </c>
      <c r="Q70" s="46" t="s">
        <v>43</v>
      </c>
      <c r="R70" s="26" t="s">
        <v>1751</v>
      </c>
      <c r="S70" s="46" t="s">
        <v>43</v>
      </c>
      <c r="T70" s="46" t="s">
        <v>43</v>
      </c>
      <c r="U70" s="46" t="s">
        <v>43</v>
      </c>
      <c r="V70" s="46" t="s">
        <v>43</v>
      </c>
      <c r="W70" s="46" t="s">
        <v>43</v>
      </c>
      <c r="X70" s="21" t="s">
        <v>167</v>
      </c>
      <c r="Y70" s="1440" t="s">
        <v>980</v>
      </c>
      <c r="Z70" s="1390" t="s">
        <v>65</v>
      </c>
      <c r="AA70" s="219">
        <v>8960000</v>
      </c>
    </row>
    <row r="71" spans="1:28" s="27" customFormat="1" ht="15.75" customHeight="1">
      <c r="A71" s="1425"/>
      <c r="B71" s="1389"/>
      <c r="C71" s="1431"/>
      <c r="D71" s="1394"/>
      <c r="E71" s="1411"/>
      <c r="F71" s="1391"/>
      <c r="G71" s="28" t="s">
        <v>1898</v>
      </c>
      <c r="H71" s="30" t="s">
        <v>195</v>
      </c>
      <c r="I71" s="21" t="s">
        <v>168</v>
      </c>
      <c r="J71" s="51" t="s">
        <v>199</v>
      </c>
      <c r="K71" s="1394"/>
      <c r="L71" s="1394"/>
      <c r="M71" s="22" t="s">
        <v>1899</v>
      </c>
      <c r="N71" s="68" t="s">
        <v>11937</v>
      </c>
      <c r="O71" s="46" t="s">
        <v>43</v>
      </c>
      <c r="P71" s="1398"/>
      <c r="Q71" s="46" t="s">
        <v>43</v>
      </c>
      <c r="R71" s="26" t="s">
        <v>246</v>
      </c>
      <c r="S71" s="46" t="s">
        <v>43</v>
      </c>
      <c r="T71" s="46" t="s">
        <v>43</v>
      </c>
      <c r="U71" s="46" t="s">
        <v>43</v>
      </c>
      <c r="V71" s="46" t="s">
        <v>43</v>
      </c>
      <c r="W71" s="26" t="s">
        <v>1510</v>
      </c>
      <c r="X71" s="21" t="s">
        <v>170</v>
      </c>
      <c r="Y71" s="1441"/>
      <c r="Z71" s="1391"/>
      <c r="AA71" s="219">
        <v>20800000</v>
      </c>
    </row>
    <row r="72" spans="1:28" s="27" customFormat="1" ht="15.75" customHeight="1">
      <c r="A72" s="1390">
        <v>37</v>
      </c>
      <c r="B72" s="1388">
        <v>268</v>
      </c>
      <c r="C72" s="1431"/>
      <c r="D72" s="1392" t="s">
        <v>1600</v>
      </c>
      <c r="E72" s="1410" t="s">
        <v>1600</v>
      </c>
      <c r="F72" s="1390" t="s">
        <v>1893</v>
      </c>
      <c r="G72" s="28" t="s">
        <v>1901</v>
      </c>
      <c r="H72" s="21" t="s">
        <v>335</v>
      </c>
      <c r="I72" s="21" t="s">
        <v>60</v>
      </c>
      <c r="J72" s="51" t="s">
        <v>199</v>
      </c>
      <c r="K72" s="1392" t="s">
        <v>1902</v>
      </c>
      <c r="L72" s="1392" t="s">
        <v>14453</v>
      </c>
      <c r="M72" s="22" t="s">
        <v>1903</v>
      </c>
      <c r="N72" s="28" t="s">
        <v>1904</v>
      </c>
      <c r="O72" s="46" t="s">
        <v>43</v>
      </c>
      <c r="P72" s="1396" t="s">
        <v>2868</v>
      </c>
      <c r="Q72" s="46" t="s">
        <v>43</v>
      </c>
      <c r="R72" s="26" t="s">
        <v>1905</v>
      </c>
      <c r="S72" s="46" t="s">
        <v>43</v>
      </c>
      <c r="T72" s="46" t="s">
        <v>43</v>
      </c>
      <c r="U72" s="46" t="s">
        <v>43</v>
      </c>
      <c r="V72" s="46" t="s">
        <v>43</v>
      </c>
      <c r="W72" s="26" t="s">
        <v>1906</v>
      </c>
      <c r="X72" s="21"/>
      <c r="Y72" s="1436" t="s">
        <v>202</v>
      </c>
      <c r="Z72" s="1390" t="s">
        <v>65</v>
      </c>
      <c r="AA72" s="219">
        <v>12800000</v>
      </c>
    </row>
    <row r="73" spans="1:28" s="27" customFormat="1" ht="15.75" customHeight="1">
      <c r="A73" s="1391"/>
      <c r="B73" s="1389"/>
      <c r="C73" s="1431"/>
      <c r="D73" s="1394"/>
      <c r="E73" s="1411"/>
      <c r="F73" s="1391"/>
      <c r="G73" s="28" t="s">
        <v>1907</v>
      </c>
      <c r="H73" s="30" t="s">
        <v>195</v>
      </c>
      <c r="I73" s="21" t="s">
        <v>168</v>
      </c>
      <c r="J73" s="51" t="s">
        <v>199</v>
      </c>
      <c r="K73" s="1394"/>
      <c r="L73" s="1394"/>
      <c r="M73" s="22" t="s">
        <v>1908</v>
      </c>
      <c r="N73" s="68" t="s">
        <v>11938</v>
      </c>
      <c r="O73" s="46" t="s">
        <v>43</v>
      </c>
      <c r="P73" s="1398"/>
      <c r="Q73" s="46" t="s">
        <v>43</v>
      </c>
      <c r="R73" s="26" t="s">
        <v>246</v>
      </c>
      <c r="S73" s="46" t="s">
        <v>43</v>
      </c>
      <c r="T73" s="46" t="s">
        <v>43</v>
      </c>
      <c r="U73" s="46" t="s">
        <v>43</v>
      </c>
      <c r="V73" s="46" t="s">
        <v>43</v>
      </c>
      <c r="W73" s="26" t="s">
        <v>1510</v>
      </c>
      <c r="X73" s="21" t="s">
        <v>170</v>
      </c>
      <c r="Y73" s="1437"/>
      <c r="Z73" s="1391"/>
      <c r="AA73" s="219">
        <v>20800000</v>
      </c>
    </row>
    <row r="74" spans="1:28" s="27" customFormat="1" ht="15.75" customHeight="1">
      <c r="A74" s="1390">
        <v>38</v>
      </c>
      <c r="B74" s="1388">
        <v>271</v>
      </c>
      <c r="C74" s="1431"/>
      <c r="D74" s="1392" t="s">
        <v>1598</v>
      </c>
      <c r="E74" s="1410" t="s">
        <v>1909</v>
      </c>
      <c r="F74" s="1390" t="s">
        <v>1700</v>
      </c>
      <c r="G74" s="95" t="s">
        <v>1723</v>
      </c>
      <c r="H74" s="21" t="s">
        <v>335</v>
      </c>
      <c r="I74" s="1390" t="s">
        <v>270</v>
      </c>
      <c r="J74" s="28" t="s">
        <v>204</v>
      </c>
      <c r="K74" s="1392" t="s">
        <v>1910</v>
      </c>
      <c r="L74" s="1392" t="s">
        <v>14385</v>
      </c>
      <c r="M74" s="22" t="s">
        <v>1724</v>
      </c>
      <c r="N74" s="28" t="s">
        <v>1725</v>
      </c>
      <c r="O74" s="46" t="s">
        <v>43</v>
      </c>
      <c r="P74" s="1399" t="s">
        <v>3466</v>
      </c>
      <c r="Q74" s="46" t="s">
        <v>43</v>
      </c>
      <c r="R74" s="531" t="s">
        <v>3023</v>
      </c>
      <c r="S74" s="46" t="s">
        <v>43</v>
      </c>
      <c r="T74" s="46" t="s">
        <v>43</v>
      </c>
      <c r="U74" s="46" t="s">
        <v>43</v>
      </c>
      <c r="V74" s="46" t="s">
        <v>43</v>
      </c>
      <c r="W74" s="46" t="s">
        <v>43</v>
      </c>
      <c r="X74" s="1390" t="s">
        <v>2947</v>
      </c>
      <c r="Y74" s="1440" t="s">
        <v>980</v>
      </c>
      <c r="Z74" s="1390" t="s">
        <v>1911</v>
      </c>
      <c r="AA74" s="219">
        <v>15680000</v>
      </c>
      <c r="AB74" s="306" t="s">
        <v>11943</v>
      </c>
    </row>
    <row r="75" spans="1:28" s="27" customFormat="1" ht="15.75" customHeight="1">
      <c r="A75" s="1391"/>
      <c r="B75" s="1389"/>
      <c r="C75" s="1431"/>
      <c r="D75" s="1394"/>
      <c r="E75" s="1411"/>
      <c r="F75" s="1391"/>
      <c r="G75" s="95" t="s">
        <v>1727</v>
      </c>
      <c r="H75" s="30" t="s">
        <v>195</v>
      </c>
      <c r="I75" s="1395"/>
      <c r="J75" s="28" t="s">
        <v>197</v>
      </c>
      <c r="K75" s="1394"/>
      <c r="L75" s="1394"/>
      <c r="M75" s="529" t="s">
        <v>1728</v>
      </c>
      <c r="N75" s="68" t="s">
        <v>11957</v>
      </c>
      <c r="O75" s="528" t="s">
        <v>43</v>
      </c>
      <c r="P75" s="1400"/>
      <c r="Q75" s="528" t="s">
        <v>43</v>
      </c>
      <c r="R75" s="531" t="s">
        <v>3031</v>
      </c>
      <c r="S75" s="528" t="s">
        <v>43</v>
      </c>
      <c r="T75" s="528" t="s">
        <v>43</v>
      </c>
      <c r="U75" s="528" t="s">
        <v>43</v>
      </c>
      <c r="V75" s="528" t="s">
        <v>43</v>
      </c>
      <c r="W75" s="528" t="s">
        <v>43</v>
      </c>
      <c r="X75" s="1395"/>
      <c r="Y75" s="1441"/>
      <c r="Z75" s="1391"/>
      <c r="AA75" s="219">
        <v>36400000</v>
      </c>
    </row>
    <row r="76" spans="1:28" s="27" customFormat="1" ht="15.75" customHeight="1">
      <c r="A76" s="1391"/>
      <c r="B76" s="1389"/>
      <c r="C76" s="1431"/>
      <c r="D76" s="1394"/>
      <c r="E76" s="1411"/>
      <c r="F76" s="1391"/>
      <c r="G76" s="528" t="s">
        <v>43</v>
      </c>
      <c r="H76" s="526" t="s">
        <v>44</v>
      </c>
      <c r="I76" s="526" t="s">
        <v>45</v>
      </c>
      <c r="J76" s="530" t="s">
        <v>201</v>
      </c>
      <c r="K76" s="1393"/>
      <c r="L76" s="1393"/>
      <c r="M76" s="22" t="s">
        <v>11939</v>
      </c>
      <c r="N76" s="22" t="s">
        <v>11941</v>
      </c>
      <c r="O76" s="46" t="s">
        <v>43</v>
      </c>
      <c r="P76" s="1401"/>
      <c r="Q76" s="46" t="s">
        <v>43</v>
      </c>
      <c r="R76" s="531" t="s">
        <v>48</v>
      </c>
      <c r="S76" s="46" t="s">
        <v>43</v>
      </c>
      <c r="T76" s="46" t="s">
        <v>43</v>
      </c>
      <c r="U76" s="46" t="s">
        <v>43</v>
      </c>
      <c r="V76" s="46" t="s">
        <v>43</v>
      </c>
      <c r="W76" s="46" t="s">
        <v>43</v>
      </c>
      <c r="X76" s="526" t="s">
        <v>50</v>
      </c>
      <c r="Y76" s="1441"/>
      <c r="Z76" s="1391"/>
      <c r="AA76" s="219">
        <v>36400000</v>
      </c>
    </row>
    <row r="77" spans="1:28" s="27" customFormat="1" ht="15.75" customHeight="1">
      <c r="A77" s="1424">
        <v>39</v>
      </c>
      <c r="B77" s="1388" t="s">
        <v>11944</v>
      </c>
      <c r="C77" s="1431"/>
      <c r="D77" s="1394"/>
      <c r="E77" s="1410" t="s">
        <v>1913</v>
      </c>
      <c r="F77" s="1390" t="s">
        <v>1722</v>
      </c>
      <c r="G77" s="105" t="s">
        <v>9232</v>
      </c>
      <c r="H77" s="21" t="s">
        <v>335</v>
      </c>
      <c r="I77" s="21" t="s">
        <v>108</v>
      </c>
      <c r="J77" s="28" t="s">
        <v>205</v>
      </c>
      <c r="K77" s="1392" t="s">
        <v>1914</v>
      </c>
      <c r="L77" s="1392" t="s">
        <v>14454</v>
      </c>
      <c r="M77" s="21" t="s">
        <v>1915</v>
      </c>
      <c r="N77" s="28" t="s">
        <v>11945</v>
      </c>
      <c r="O77" s="46" t="s">
        <v>43</v>
      </c>
      <c r="P77" s="1396" t="s">
        <v>2869</v>
      </c>
      <c r="Q77" s="46" t="s">
        <v>43</v>
      </c>
      <c r="R77" s="26" t="s">
        <v>315</v>
      </c>
      <c r="S77" s="46" t="s">
        <v>43</v>
      </c>
      <c r="T77" s="46" t="s">
        <v>43</v>
      </c>
      <c r="U77" s="46" t="s">
        <v>43</v>
      </c>
      <c r="V77" s="46" t="s">
        <v>43</v>
      </c>
      <c r="W77" s="46" t="s">
        <v>43</v>
      </c>
      <c r="X77" s="21" t="s">
        <v>299</v>
      </c>
      <c r="Y77" s="1436" t="s">
        <v>202</v>
      </c>
      <c r="Z77" s="1390" t="s">
        <v>65</v>
      </c>
      <c r="AA77" s="219">
        <v>8960000</v>
      </c>
    </row>
    <row r="78" spans="1:28" s="27" customFormat="1" ht="15.75" customHeight="1">
      <c r="A78" s="1425"/>
      <c r="B78" s="1389"/>
      <c r="C78" s="1431"/>
      <c r="D78" s="1394"/>
      <c r="E78" s="1411"/>
      <c r="F78" s="1391"/>
      <c r="G78" s="527" t="s">
        <v>11947</v>
      </c>
      <c r="H78" s="30" t="s">
        <v>195</v>
      </c>
      <c r="I78" s="21" t="s">
        <v>108</v>
      </c>
      <c r="J78" s="51" t="s">
        <v>199</v>
      </c>
      <c r="K78" s="1393"/>
      <c r="L78" s="1393"/>
      <c r="M78" s="21" t="s">
        <v>1916</v>
      </c>
      <c r="N78" s="68" t="s">
        <v>11946</v>
      </c>
      <c r="O78" s="46" t="s">
        <v>43</v>
      </c>
      <c r="P78" s="1397"/>
      <c r="Q78" s="46" t="s">
        <v>43</v>
      </c>
      <c r="R78" s="26" t="s">
        <v>297</v>
      </c>
      <c r="S78" s="46" t="s">
        <v>43</v>
      </c>
      <c r="T78" s="46" t="s">
        <v>43</v>
      </c>
      <c r="U78" s="46" t="s">
        <v>43</v>
      </c>
      <c r="V78" s="46" t="s">
        <v>43</v>
      </c>
      <c r="W78" s="46" t="s">
        <v>43</v>
      </c>
      <c r="X78" s="21" t="s">
        <v>299</v>
      </c>
      <c r="Y78" s="1437"/>
      <c r="Z78" s="1391"/>
      <c r="AA78" s="219">
        <v>36400000</v>
      </c>
      <c r="AB78" s="288" t="s">
        <v>11929</v>
      </c>
    </row>
    <row r="79" spans="1:28" s="27" customFormat="1" ht="15.75" customHeight="1">
      <c r="A79" s="1390">
        <v>42</v>
      </c>
      <c r="B79" s="1388">
        <v>280</v>
      </c>
      <c r="C79" s="1431"/>
      <c r="D79" s="1392" t="s">
        <v>1598</v>
      </c>
      <c r="E79" s="1410" t="s">
        <v>1591</v>
      </c>
      <c r="F79" s="1391"/>
      <c r="G79" s="21">
        <v>9602023873</v>
      </c>
      <c r="H79" s="21" t="s">
        <v>335</v>
      </c>
      <c r="I79" s="21" t="s">
        <v>60</v>
      </c>
      <c r="J79" s="51" t="s">
        <v>199</v>
      </c>
      <c r="K79" s="1392" t="s">
        <v>14462</v>
      </c>
      <c r="L79" s="1392" t="s">
        <v>14459</v>
      </c>
      <c r="M79" s="22" t="s">
        <v>1924</v>
      </c>
      <c r="N79" s="28" t="s">
        <v>1925</v>
      </c>
      <c r="O79" s="46" t="s">
        <v>43</v>
      </c>
      <c r="P79" s="1396" t="s">
        <v>2872</v>
      </c>
      <c r="Q79" s="46" t="s">
        <v>43</v>
      </c>
      <c r="R79" s="26" t="s">
        <v>397</v>
      </c>
      <c r="S79" s="46" t="s">
        <v>43</v>
      </c>
      <c r="T79" s="46" t="s">
        <v>43</v>
      </c>
      <c r="U79" s="46" t="s">
        <v>43</v>
      </c>
      <c r="V79" s="46" t="s">
        <v>43</v>
      </c>
      <c r="W79" s="46" t="s">
        <v>43</v>
      </c>
      <c r="X79" s="21" t="s">
        <v>167</v>
      </c>
      <c r="Y79" s="1436" t="s">
        <v>202</v>
      </c>
      <c r="Z79" s="1390" t="s">
        <v>65</v>
      </c>
      <c r="AA79" s="219">
        <v>8960000</v>
      </c>
    </row>
    <row r="80" spans="1:28" s="27" customFormat="1" ht="15.75" customHeight="1">
      <c r="A80" s="1391"/>
      <c r="B80" s="1389"/>
      <c r="C80" s="1431"/>
      <c r="D80" s="1394"/>
      <c r="E80" s="1411"/>
      <c r="F80" s="1391"/>
      <c r="G80" s="28" t="s">
        <v>1926</v>
      </c>
      <c r="H80" s="30" t="s">
        <v>195</v>
      </c>
      <c r="I80" s="21" t="s">
        <v>168</v>
      </c>
      <c r="J80" s="51" t="s">
        <v>199</v>
      </c>
      <c r="K80" s="1393"/>
      <c r="L80" s="1393"/>
      <c r="M80" s="22" t="s">
        <v>1927</v>
      </c>
      <c r="N80" s="68" t="s">
        <v>11955</v>
      </c>
      <c r="O80" s="46" t="s">
        <v>43</v>
      </c>
      <c r="P80" s="1397"/>
      <c r="Q80" s="46" t="s">
        <v>43</v>
      </c>
      <c r="R80" s="26" t="s">
        <v>68</v>
      </c>
      <c r="S80" s="46" t="s">
        <v>43</v>
      </c>
      <c r="T80" s="46" t="s">
        <v>43</v>
      </c>
      <c r="U80" s="46" t="s">
        <v>43</v>
      </c>
      <c r="V80" s="46" t="s">
        <v>43</v>
      </c>
      <c r="W80" s="46" t="s">
        <v>43</v>
      </c>
      <c r="X80" s="21" t="s">
        <v>170</v>
      </c>
      <c r="Y80" s="1437"/>
      <c r="Z80" s="1391"/>
      <c r="AA80" s="219">
        <v>20800000</v>
      </c>
    </row>
    <row r="81" spans="1:29" s="27" customFormat="1" ht="15.75" customHeight="1">
      <c r="A81" s="1390">
        <v>43</v>
      </c>
      <c r="B81" s="1388">
        <v>289</v>
      </c>
      <c r="C81" s="1431"/>
      <c r="D81" s="1392" t="s">
        <v>1597</v>
      </c>
      <c r="E81" s="1410" t="s">
        <v>1928</v>
      </c>
      <c r="F81" s="1390" t="s">
        <v>1796</v>
      </c>
      <c r="G81" s="28" t="s">
        <v>9235</v>
      </c>
      <c r="H81" s="21" t="s">
        <v>335</v>
      </c>
      <c r="I81" s="21" t="s">
        <v>60</v>
      </c>
      <c r="J81" s="51" t="s">
        <v>199</v>
      </c>
      <c r="K81" s="1392" t="s">
        <v>14463</v>
      </c>
      <c r="L81" s="1392" t="s">
        <v>14458</v>
      </c>
      <c r="M81" s="22" t="s">
        <v>1929</v>
      </c>
      <c r="N81" s="28" t="s">
        <v>11953</v>
      </c>
      <c r="O81" s="46" t="s">
        <v>43</v>
      </c>
      <c r="P81" s="1396" t="s">
        <v>2873</v>
      </c>
      <c r="Q81" s="46" t="s">
        <v>43</v>
      </c>
      <c r="R81" s="26" t="s">
        <v>166</v>
      </c>
      <c r="S81" s="46" t="s">
        <v>43</v>
      </c>
      <c r="T81" s="46" t="s">
        <v>43</v>
      </c>
      <c r="U81" s="46" t="s">
        <v>43</v>
      </c>
      <c r="V81" s="46" t="s">
        <v>43</v>
      </c>
      <c r="W81" s="46" t="s">
        <v>43</v>
      </c>
      <c r="X81" s="21" t="s">
        <v>167</v>
      </c>
      <c r="Y81" s="1436" t="s">
        <v>202</v>
      </c>
      <c r="Z81" s="1390" t="s">
        <v>65</v>
      </c>
      <c r="AA81" s="300">
        <v>8400000</v>
      </c>
    </row>
    <row r="82" spans="1:29" s="27" customFormat="1" ht="15.75" customHeight="1">
      <c r="A82" s="1391"/>
      <c r="B82" s="1389"/>
      <c r="C82" s="1431"/>
      <c r="D82" s="1394"/>
      <c r="E82" s="1411"/>
      <c r="F82" s="1391"/>
      <c r="G82" s="28" t="s">
        <v>1930</v>
      </c>
      <c r="H82" s="30" t="s">
        <v>195</v>
      </c>
      <c r="I82" s="21" t="s">
        <v>168</v>
      </c>
      <c r="J82" s="51" t="s">
        <v>199</v>
      </c>
      <c r="K82" s="1393"/>
      <c r="L82" s="1393"/>
      <c r="M82" s="22" t="s">
        <v>1931</v>
      </c>
      <c r="N82" s="68" t="s">
        <v>11954</v>
      </c>
      <c r="O82" s="46" t="s">
        <v>43</v>
      </c>
      <c r="P82" s="1397"/>
      <c r="Q82" s="46" t="s">
        <v>43</v>
      </c>
      <c r="R82" s="26" t="s">
        <v>255</v>
      </c>
      <c r="S82" s="46" t="s">
        <v>43</v>
      </c>
      <c r="T82" s="46" t="s">
        <v>43</v>
      </c>
      <c r="U82" s="46" t="s">
        <v>43</v>
      </c>
      <c r="V82" s="46" t="s">
        <v>43</v>
      </c>
      <c r="W82" s="26" t="s">
        <v>1759</v>
      </c>
      <c r="X82" s="21" t="s">
        <v>170</v>
      </c>
      <c r="Y82" s="1437"/>
      <c r="Z82" s="1391"/>
      <c r="AA82" s="219">
        <v>20800000</v>
      </c>
    </row>
    <row r="83" spans="1:29" s="27" customFormat="1" ht="15.75" customHeight="1">
      <c r="A83" s="1422">
        <v>44</v>
      </c>
      <c r="B83" s="1388">
        <v>292</v>
      </c>
      <c r="C83" s="1431"/>
      <c r="D83" s="1392" t="s">
        <v>1598</v>
      </c>
      <c r="E83" s="1410" t="s">
        <v>1932</v>
      </c>
      <c r="F83" s="1390" t="s">
        <v>1737</v>
      </c>
      <c r="G83" s="28">
        <v>9602023883</v>
      </c>
      <c r="H83" s="21" t="s">
        <v>335</v>
      </c>
      <c r="I83" s="21" t="s">
        <v>60</v>
      </c>
      <c r="J83" s="51" t="s">
        <v>199</v>
      </c>
      <c r="K83" s="1392" t="s">
        <v>14456</v>
      </c>
      <c r="L83" s="1392" t="s">
        <v>14457</v>
      </c>
      <c r="M83" s="22" t="s">
        <v>1933</v>
      </c>
      <c r="N83" s="28" t="s">
        <v>1934</v>
      </c>
      <c r="O83" s="46" t="s">
        <v>43</v>
      </c>
      <c r="P83" s="1396" t="s">
        <v>2874</v>
      </c>
      <c r="Q83" s="46" t="s">
        <v>43</v>
      </c>
      <c r="R83" s="26" t="s">
        <v>397</v>
      </c>
      <c r="S83" s="46" t="s">
        <v>43</v>
      </c>
      <c r="T83" s="46" t="s">
        <v>43</v>
      </c>
      <c r="U83" s="46" t="s">
        <v>43</v>
      </c>
      <c r="V83" s="46" t="s">
        <v>43</v>
      </c>
      <c r="W83" s="46" t="s">
        <v>43</v>
      </c>
      <c r="X83" s="21" t="s">
        <v>167</v>
      </c>
      <c r="Y83" s="1436" t="s">
        <v>202</v>
      </c>
      <c r="Z83" s="1390" t="s">
        <v>65</v>
      </c>
      <c r="AA83" s="219">
        <v>8960000</v>
      </c>
    </row>
    <row r="84" spans="1:29" s="27" customFormat="1" ht="15.75" customHeight="1">
      <c r="A84" s="1423"/>
      <c r="B84" s="1389"/>
      <c r="C84" s="1431"/>
      <c r="D84" s="1394"/>
      <c r="E84" s="1411"/>
      <c r="F84" s="1391"/>
      <c r="G84" s="28" t="s">
        <v>1935</v>
      </c>
      <c r="H84" s="30" t="s">
        <v>195</v>
      </c>
      <c r="I84" s="21" t="s">
        <v>168</v>
      </c>
      <c r="J84" s="51" t="s">
        <v>199</v>
      </c>
      <c r="K84" s="1394"/>
      <c r="L84" s="1394"/>
      <c r="M84" s="22" t="s">
        <v>1936</v>
      </c>
      <c r="N84" s="68" t="s">
        <v>11956</v>
      </c>
      <c r="O84" s="46" t="s">
        <v>43</v>
      </c>
      <c r="P84" s="1398"/>
      <c r="Q84" s="46" t="s">
        <v>43</v>
      </c>
      <c r="R84" s="26" t="s">
        <v>246</v>
      </c>
      <c r="S84" s="46" t="s">
        <v>43</v>
      </c>
      <c r="T84" s="46" t="s">
        <v>43</v>
      </c>
      <c r="U84" s="46" t="s">
        <v>43</v>
      </c>
      <c r="V84" s="46" t="s">
        <v>43</v>
      </c>
      <c r="W84" s="26" t="s">
        <v>1759</v>
      </c>
      <c r="X84" s="21" t="s">
        <v>170</v>
      </c>
      <c r="Y84" s="1437"/>
      <c r="Z84" s="1391"/>
      <c r="AA84" s="219">
        <v>20800000</v>
      </c>
    </row>
    <row r="85" spans="1:29" s="27" customFormat="1" ht="15.75" customHeight="1">
      <c r="A85" s="1390">
        <v>45</v>
      </c>
      <c r="B85" s="1388">
        <v>301</v>
      </c>
      <c r="C85" s="1431"/>
      <c r="D85" s="1392" t="s">
        <v>1938</v>
      </c>
      <c r="E85" s="1410" t="s">
        <v>1939</v>
      </c>
      <c r="F85" s="1390" t="s">
        <v>1893</v>
      </c>
      <c r="G85" s="28" t="s">
        <v>1940</v>
      </c>
      <c r="H85" s="21" t="s">
        <v>335</v>
      </c>
      <c r="I85" s="21" t="s">
        <v>108</v>
      </c>
      <c r="J85" s="51" t="s">
        <v>199</v>
      </c>
      <c r="K85" s="1392" t="s">
        <v>1941</v>
      </c>
      <c r="L85" s="1392" t="s">
        <v>1942</v>
      </c>
      <c r="M85" s="22" t="s">
        <v>1943</v>
      </c>
      <c r="N85" s="28" t="s">
        <v>1944</v>
      </c>
      <c r="O85" s="46" t="s">
        <v>43</v>
      </c>
      <c r="P85" s="1396" t="s">
        <v>2875</v>
      </c>
      <c r="Q85" s="46" t="s">
        <v>43</v>
      </c>
      <c r="R85" s="26" t="s">
        <v>297</v>
      </c>
      <c r="S85" s="46" t="s">
        <v>43</v>
      </c>
      <c r="T85" s="46" t="s">
        <v>43</v>
      </c>
      <c r="U85" s="46" t="s">
        <v>43</v>
      </c>
      <c r="V85" s="46" t="s">
        <v>43</v>
      </c>
      <c r="W85" s="46" t="s">
        <v>43</v>
      </c>
      <c r="X85" s="21" t="s">
        <v>299</v>
      </c>
      <c r="Y85" s="1436" t="s">
        <v>202</v>
      </c>
      <c r="Z85" s="1390" t="s">
        <v>65</v>
      </c>
      <c r="AA85" s="219">
        <v>12800000</v>
      </c>
    </row>
    <row r="86" spans="1:29" s="27" customFormat="1" ht="15.75" customHeight="1">
      <c r="A86" s="1391"/>
      <c r="B86" s="1389"/>
      <c r="C86" s="1431"/>
      <c r="D86" s="1394"/>
      <c r="E86" s="1411"/>
      <c r="F86" s="1391"/>
      <c r="G86" s="28" t="s">
        <v>11960</v>
      </c>
      <c r="H86" s="30" t="s">
        <v>195</v>
      </c>
      <c r="I86" s="21" t="s">
        <v>168</v>
      </c>
      <c r="J86" s="51" t="s">
        <v>199</v>
      </c>
      <c r="K86" s="1393"/>
      <c r="L86" s="1393"/>
      <c r="M86" s="22" t="s">
        <v>1945</v>
      </c>
      <c r="N86" s="68" t="s">
        <v>11959</v>
      </c>
      <c r="O86" s="46" t="s">
        <v>43</v>
      </c>
      <c r="P86" s="1397"/>
      <c r="Q86" s="46" t="s">
        <v>43</v>
      </c>
      <c r="R86" s="26" t="s">
        <v>68</v>
      </c>
      <c r="S86" s="46" t="s">
        <v>43</v>
      </c>
      <c r="T86" s="46" t="s">
        <v>43</v>
      </c>
      <c r="U86" s="46" t="s">
        <v>43</v>
      </c>
      <c r="V86" s="46" t="s">
        <v>43</v>
      </c>
      <c r="W86" s="46" t="s">
        <v>43</v>
      </c>
      <c r="X86" s="21" t="s">
        <v>170</v>
      </c>
      <c r="Y86" s="1437"/>
      <c r="Z86" s="1391"/>
      <c r="AA86" s="219">
        <v>20800000</v>
      </c>
    </row>
    <row r="87" spans="1:29" s="27" customFormat="1" ht="15.75" customHeight="1">
      <c r="A87" s="1390">
        <v>46</v>
      </c>
      <c r="B87" s="1388">
        <v>312</v>
      </c>
      <c r="C87" s="1431"/>
      <c r="D87" s="1392" t="s">
        <v>1598</v>
      </c>
      <c r="E87" s="1417" t="s">
        <v>1946</v>
      </c>
      <c r="F87" s="1390" t="s">
        <v>1722</v>
      </c>
      <c r="G87" s="28" t="s">
        <v>9236</v>
      </c>
      <c r="H87" s="21" t="s">
        <v>335</v>
      </c>
      <c r="I87" s="21" t="s">
        <v>60</v>
      </c>
      <c r="J87" s="51" t="s">
        <v>199</v>
      </c>
      <c r="K87" s="1392" t="s">
        <v>15468</v>
      </c>
      <c r="L87" s="1438" t="s">
        <v>15469</v>
      </c>
      <c r="M87" s="22" t="s">
        <v>1947</v>
      </c>
      <c r="N87" s="28" t="s">
        <v>1948</v>
      </c>
      <c r="O87" s="46" t="s">
        <v>43</v>
      </c>
      <c r="P87" s="1396" t="s">
        <v>2876</v>
      </c>
      <c r="Q87" s="46" t="s">
        <v>43</v>
      </c>
      <c r="R87" s="26" t="s">
        <v>397</v>
      </c>
      <c r="S87" s="46" t="s">
        <v>43</v>
      </c>
      <c r="T87" s="46" t="s">
        <v>43</v>
      </c>
      <c r="U87" s="46" t="s">
        <v>43</v>
      </c>
      <c r="V87" s="46" t="s">
        <v>43</v>
      </c>
      <c r="W87" s="46" t="s">
        <v>43</v>
      </c>
      <c r="X87" s="21" t="s">
        <v>1949</v>
      </c>
      <c r="Y87" s="1436" t="s">
        <v>202</v>
      </c>
      <c r="Z87" s="1390" t="s">
        <v>65</v>
      </c>
      <c r="AA87" s="219">
        <v>8960000</v>
      </c>
    </row>
    <row r="88" spans="1:29" s="27" customFormat="1" ht="15.75" customHeight="1">
      <c r="A88" s="1391"/>
      <c r="B88" s="1389"/>
      <c r="C88" s="1431"/>
      <c r="D88" s="1394"/>
      <c r="E88" s="1418"/>
      <c r="F88" s="1391"/>
      <c r="G88" s="28" t="s">
        <v>1950</v>
      </c>
      <c r="H88" s="30" t="s">
        <v>195</v>
      </c>
      <c r="I88" s="21" t="s">
        <v>168</v>
      </c>
      <c r="J88" s="51" t="s">
        <v>199</v>
      </c>
      <c r="K88" s="1394"/>
      <c r="L88" s="1439"/>
      <c r="M88" s="22" t="s">
        <v>1951</v>
      </c>
      <c r="N88" s="68" t="s">
        <v>11961</v>
      </c>
      <c r="O88" s="46" t="s">
        <v>43</v>
      </c>
      <c r="P88" s="1398"/>
      <c r="Q88" s="46" t="s">
        <v>43</v>
      </c>
      <c r="R88" s="26" t="s">
        <v>255</v>
      </c>
      <c r="S88" s="46" t="s">
        <v>43</v>
      </c>
      <c r="T88" s="46" t="s">
        <v>43</v>
      </c>
      <c r="U88" s="46" t="s">
        <v>43</v>
      </c>
      <c r="V88" s="46" t="s">
        <v>43</v>
      </c>
      <c r="W88" s="26" t="s">
        <v>1952</v>
      </c>
      <c r="X88" s="21" t="s">
        <v>170</v>
      </c>
      <c r="Y88" s="1437"/>
      <c r="Z88" s="1391"/>
      <c r="AA88" s="219">
        <v>20800000</v>
      </c>
    </row>
    <row r="89" spans="1:29" s="27" customFormat="1" ht="15.75" customHeight="1">
      <c r="A89" s="1390">
        <v>47</v>
      </c>
      <c r="B89" s="1388">
        <v>318</v>
      </c>
      <c r="C89" s="1431"/>
      <c r="D89" s="1392" t="s">
        <v>1954</v>
      </c>
      <c r="E89" s="1417" t="s">
        <v>1599</v>
      </c>
      <c r="F89" s="1390" t="s">
        <v>1893</v>
      </c>
      <c r="G89" s="28" t="s">
        <v>1955</v>
      </c>
      <c r="H89" s="21" t="s">
        <v>335</v>
      </c>
      <c r="I89" s="21" t="s">
        <v>108</v>
      </c>
      <c r="J89" s="51" t="s">
        <v>199</v>
      </c>
      <c r="K89" s="1392" t="s">
        <v>15467</v>
      </c>
      <c r="L89" s="1392" t="s">
        <v>15470</v>
      </c>
      <c r="M89" s="22" t="s">
        <v>1956</v>
      </c>
      <c r="N89" s="22" t="s">
        <v>11965</v>
      </c>
      <c r="O89" s="46" t="s">
        <v>43</v>
      </c>
      <c r="P89" s="1396" t="s">
        <v>2877</v>
      </c>
      <c r="Q89" s="46" t="s">
        <v>43</v>
      </c>
      <c r="R89" s="26" t="s">
        <v>297</v>
      </c>
      <c r="S89" s="46" t="s">
        <v>43</v>
      </c>
      <c r="T89" s="46" t="s">
        <v>43</v>
      </c>
      <c r="U89" s="46" t="s">
        <v>43</v>
      </c>
      <c r="V89" s="46" t="s">
        <v>43</v>
      </c>
      <c r="W89" s="46" t="s">
        <v>43</v>
      </c>
      <c r="X89" s="21" t="s">
        <v>299</v>
      </c>
      <c r="Y89" s="1436" t="s">
        <v>202</v>
      </c>
      <c r="Z89" s="1390" t="s">
        <v>65</v>
      </c>
      <c r="AA89" s="219">
        <v>12800000</v>
      </c>
      <c r="AB89" s="288" t="s">
        <v>11929</v>
      </c>
      <c r="AC89" s="27" t="s">
        <v>9248</v>
      </c>
    </row>
    <row r="90" spans="1:29" s="27" customFormat="1" ht="15.75" customHeight="1">
      <c r="A90" s="1391"/>
      <c r="B90" s="1389"/>
      <c r="C90" s="1431"/>
      <c r="D90" s="1394"/>
      <c r="E90" s="1418"/>
      <c r="F90" s="1391"/>
      <c r="G90" s="291" t="s">
        <v>11962</v>
      </c>
      <c r="H90" s="508" t="s">
        <v>195</v>
      </c>
      <c r="I90" s="721" t="s">
        <v>168</v>
      </c>
      <c r="J90" s="534" t="s">
        <v>199</v>
      </c>
      <c r="K90" s="1394"/>
      <c r="L90" s="1394"/>
      <c r="M90" s="719" t="s">
        <v>11966</v>
      </c>
      <c r="N90" s="68" t="s">
        <v>11964</v>
      </c>
      <c r="O90" s="718" t="s">
        <v>43</v>
      </c>
      <c r="P90" s="1398"/>
      <c r="Q90" s="718" t="s">
        <v>43</v>
      </c>
      <c r="R90" s="720" t="s">
        <v>246</v>
      </c>
      <c r="S90" s="718" t="s">
        <v>43</v>
      </c>
      <c r="T90" s="718" t="s">
        <v>43</v>
      </c>
      <c r="U90" s="718" t="s">
        <v>43</v>
      </c>
      <c r="V90" s="718" t="s">
        <v>43</v>
      </c>
      <c r="W90" s="305" t="s">
        <v>1957</v>
      </c>
      <c r="X90" s="717" t="s">
        <v>170</v>
      </c>
      <c r="Y90" s="1437"/>
      <c r="Z90" s="1391"/>
      <c r="AA90" s="219">
        <v>20800000</v>
      </c>
    </row>
    <row r="91" spans="1:29" s="27" customFormat="1" ht="15.75" customHeight="1">
      <c r="A91" s="1391"/>
      <c r="B91" s="1389"/>
      <c r="C91" s="1431"/>
      <c r="D91" s="1394"/>
      <c r="E91" s="1418"/>
      <c r="F91" s="1391"/>
      <c r="G91" s="718" t="s">
        <v>43</v>
      </c>
      <c r="H91" s="717" t="s">
        <v>44</v>
      </c>
      <c r="I91" s="717" t="s">
        <v>45</v>
      </c>
      <c r="J91" s="51" t="s">
        <v>199</v>
      </c>
      <c r="K91" s="1394"/>
      <c r="L91" s="1394"/>
      <c r="M91" s="533" t="s">
        <v>14884</v>
      </c>
      <c r="N91" s="68" t="s">
        <v>14885</v>
      </c>
      <c r="O91" s="46" t="s">
        <v>43</v>
      </c>
      <c r="P91" s="1398"/>
      <c r="Q91" s="46" t="s">
        <v>43</v>
      </c>
      <c r="R91" s="720" t="s">
        <v>119</v>
      </c>
      <c r="S91" s="46" t="s">
        <v>43</v>
      </c>
      <c r="T91" s="46" t="s">
        <v>43</v>
      </c>
      <c r="U91" s="46" t="s">
        <v>43</v>
      </c>
      <c r="V91" s="46" t="s">
        <v>43</v>
      </c>
      <c r="W91" s="26" t="s">
        <v>4787</v>
      </c>
      <c r="X91" s="21" t="s">
        <v>170</v>
      </c>
      <c r="Y91" s="1437"/>
      <c r="Z91" s="1391"/>
      <c r="AA91" s="219">
        <v>20800000</v>
      </c>
    </row>
    <row r="92" spans="1:29" s="27" customFormat="1" ht="15.75" customHeight="1">
      <c r="A92" s="1390">
        <v>49</v>
      </c>
      <c r="B92" s="1434" t="s">
        <v>11968</v>
      </c>
      <c r="C92" s="1431"/>
      <c r="D92" s="1392" t="s">
        <v>1597</v>
      </c>
      <c r="E92" s="1417" t="s">
        <v>1963</v>
      </c>
      <c r="F92" s="1390" t="s">
        <v>1796</v>
      </c>
      <c r="G92" s="28" t="s">
        <v>9238</v>
      </c>
      <c r="H92" s="21" t="s">
        <v>335</v>
      </c>
      <c r="I92" s="21" t="s">
        <v>60</v>
      </c>
      <c r="J92" s="51" t="s">
        <v>199</v>
      </c>
      <c r="K92" s="1392" t="s">
        <v>15465</v>
      </c>
      <c r="L92" s="1392" t="s">
        <v>15472</v>
      </c>
      <c r="M92" s="22" t="s">
        <v>1964</v>
      </c>
      <c r="N92" s="533" t="s">
        <v>1965</v>
      </c>
      <c r="O92" s="46" t="s">
        <v>43</v>
      </c>
      <c r="P92" s="1396" t="s">
        <v>2879</v>
      </c>
      <c r="Q92" s="46" t="s">
        <v>43</v>
      </c>
      <c r="R92" s="26" t="s">
        <v>397</v>
      </c>
      <c r="S92" s="46" t="s">
        <v>43</v>
      </c>
      <c r="T92" s="46" t="s">
        <v>43</v>
      </c>
      <c r="U92" s="46" t="s">
        <v>43</v>
      </c>
      <c r="V92" s="46" t="s">
        <v>43</v>
      </c>
      <c r="W92" s="46" t="s">
        <v>43</v>
      </c>
      <c r="X92" s="21" t="s">
        <v>167</v>
      </c>
      <c r="Y92" s="1436" t="s">
        <v>202</v>
      </c>
      <c r="Z92" s="1390" t="s">
        <v>65</v>
      </c>
      <c r="AA92" s="219">
        <v>22400000</v>
      </c>
      <c r="AB92" s="288" t="s">
        <v>11929</v>
      </c>
      <c r="AC92" s="27" t="s">
        <v>9248</v>
      </c>
    </row>
    <row r="93" spans="1:29" s="27" customFormat="1" ht="15.75" customHeight="1">
      <c r="A93" s="1391"/>
      <c r="B93" s="1435"/>
      <c r="C93" s="1431"/>
      <c r="D93" s="1394"/>
      <c r="E93" s="1418"/>
      <c r="F93" s="1391"/>
      <c r="G93" s="28" t="s">
        <v>1966</v>
      </c>
      <c r="H93" s="30" t="s">
        <v>195</v>
      </c>
      <c r="I93" s="21" t="s">
        <v>168</v>
      </c>
      <c r="J93" s="51" t="s">
        <v>199</v>
      </c>
      <c r="K93" s="1393"/>
      <c r="L93" s="1393"/>
      <c r="M93" s="22" t="s">
        <v>1967</v>
      </c>
      <c r="N93" s="533" t="s">
        <v>11967</v>
      </c>
      <c r="O93" s="46" t="s">
        <v>43</v>
      </c>
      <c r="P93" s="1397"/>
      <c r="Q93" s="46" t="s">
        <v>43</v>
      </c>
      <c r="R93" s="26" t="s">
        <v>255</v>
      </c>
      <c r="S93" s="46" t="s">
        <v>43</v>
      </c>
      <c r="T93" s="46" t="s">
        <v>43</v>
      </c>
      <c r="U93" s="46" t="s">
        <v>43</v>
      </c>
      <c r="V93" s="46" t="s">
        <v>43</v>
      </c>
      <c r="W93" s="26" t="s">
        <v>343</v>
      </c>
      <c r="X93" s="21" t="s">
        <v>170</v>
      </c>
      <c r="Y93" s="1437"/>
      <c r="Z93" s="1391"/>
      <c r="AA93" s="219">
        <v>20800000</v>
      </c>
    </row>
    <row r="94" spans="1:29" s="27" customFormat="1" ht="18">
      <c r="A94" s="1390">
        <v>50</v>
      </c>
      <c r="B94" s="1388">
        <v>392</v>
      </c>
      <c r="C94" s="1431"/>
      <c r="D94" s="1392" t="s">
        <v>1598</v>
      </c>
      <c r="E94" s="1415" t="s">
        <v>9239</v>
      </c>
      <c r="F94" s="1390" t="s">
        <v>1722</v>
      </c>
      <c r="G94" s="28" t="s">
        <v>1971</v>
      </c>
      <c r="H94" s="21" t="s">
        <v>335</v>
      </c>
      <c r="I94" s="21" t="s">
        <v>60</v>
      </c>
      <c r="J94" s="51" t="s">
        <v>205</v>
      </c>
      <c r="K94" s="1392" t="s">
        <v>15464</v>
      </c>
      <c r="L94" s="1392" t="s">
        <v>15473</v>
      </c>
      <c r="M94" s="22" t="s">
        <v>1968</v>
      </c>
      <c r="N94" s="533" t="s">
        <v>11970</v>
      </c>
      <c r="O94" s="46" t="s">
        <v>43</v>
      </c>
      <c r="P94" s="1396" t="s">
        <v>2880</v>
      </c>
      <c r="Q94" s="46" t="s">
        <v>43</v>
      </c>
      <c r="R94" s="26" t="s">
        <v>1969</v>
      </c>
      <c r="S94" s="46" t="s">
        <v>43</v>
      </c>
      <c r="T94" s="46" t="s">
        <v>43</v>
      </c>
      <c r="U94" s="46" t="s">
        <v>43</v>
      </c>
      <c r="V94" s="46" t="s">
        <v>43</v>
      </c>
      <c r="W94" s="26" t="s">
        <v>1970</v>
      </c>
      <c r="X94" s="21" t="s">
        <v>170</v>
      </c>
      <c r="Y94" s="1436" t="s">
        <v>202</v>
      </c>
      <c r="Z94" s="1390" t="s">
        <v>65</v>
      </c>
      <c r="AA94" s="219">
        <v>4480000</v>
      </c>
    </row>
    <row r="95" spans="1:29" s="27" customFormat="1" ht="15.75" customHeight="1">
      <c r="A95" s="1391"/>
      <c r="B95" s="1389"/>
      <c r="C95" s="1431"/>
      <c r="D95" s="1394"/>
      <c r="E95" s="1416"/>
      <c r="F95" s="1391"/>
      <c r="G95" s="28" t="s">
        <v>9240</v>
      </c>
      <c r="H95" s="30" t="s">
        <v>195</v>
      </c>
      <c r="I95" s="21" t="s">
        <v>168</v>
      </c>
      <c r="J95" s="51" t="s">
        <v>199</v>
      </c>
      <c r="K95" s="1394"/>
      <c r="L95" s="1394"/>
      <c r="M95" s="22" t="s">
        <v>1972</v>
      </c>
      <c r="N95" s="533" t="s">
        <v>11969</v>
      </c>
      <c r="O95" s="46" t="s">
        <v>43</v>
      </c>
      <c r="P95" s="1398"/>
      <c r="Q95" s="46" t="s">
        <v>43</v>
      </c>
      <c r="R95" s="26" t="s">
        <v>117</v>
      </c>
      <c r="S95" s="46" t="s">
        <v>43</v>
      </c>
      <c r="T95" s="46" t="s">
        <v>43</v>
      </c>
      <c r="U95" s="46" t="s">
        <v>43</v>
      </c>
      <c r="V95" s="46" t="s">
        <v>43</v>
      </c>
      <c r="W95" s="46" t="s">
        <v>43</v>
      </c>
      <c r="X95" s="21" t="s">
        <v>170</v>
      </c>
      <c r="Y95" s="1437"/>
      <c r="Z95" s="1391"/>
      <c r="AA95" s="219">
        <v>20800000</v>
      </c>
    </row>
    <row r="96" spans="1:29" s="27" customFormat="1" ht="15.75" customHeight="1">
      <c r="A96" s="1390">
        <v>51</v>
      </c>
      <c r="B96" s="1388">
        <v>477</v>
      </c>
      <c r="C96" s="1431"/>
      <c r="D96" s="1394"/>
      <c r="E96" s="1392" t="s">
        <v>1974</v>
      </c>
      <c r="F96" s="1390" t="s">
        <v>1700</v>
      </c>
      <c r="G96" s="28" t="s">
        <v>11974</v>
      </c>
      <c r="H96" s="21" t="s">
        <v>335</v>
      </c>
      <c r="I96" s="21" t="s">
        <v>60</v>
      </c>
      <c r="J96" s="51" t="s">
        <v>199</v>
      </c>
      <c r="K96" s="1392" t="s">
        <v>15458</v>
      </c>
      <c r="L96" s="1392" t="s">
        <v>15459</v>
      </c>
      <c r="M96" s="21" t="s">
        <v>1975</v>
      </c>
      <c r="N96" s="533" t="s">
        <v>11972</v>
      </c>
      <c r="O96" s="46" t="s">
        <v>43</v>
      </c>
      <c r="P96" s="1396" t="s">
        <v>2881</v>
      </c>
      <c r="Q96" s="46" t="s">
        <v>43</v>
      </c>
      <c r="R96" s="26" t="s">
        <v>397</v>
      </c>
      <c r="S96" s="46" t="s">
        <v>43</v>
      </c>
      <c r="T96" s="46" t="s">
        <v>43</v>
      </c>
      <c r="U96" s="46" t="s">
        <v>43</v>
      </c>
      <c r="V96" s="46" t="s">
        <v>43</v>
      </c>
      <c r="W96" s="46" t="s">
        <v>43</v>
      </c>
      <c r="X96" s="21" t="s">
        <v>167</v>
      </c>
      <c r="Y96" s="1436" t="s">
        <v>202</v>
      </c>
      <c r="Z96" s="1390" t="s">
        <v>65</v>
      </c>
      <c r="AA96" s="219">
        <v>8960000</v>
      </c>
    </row>
    <row r="97" spans="1:28" s="27" customFormat="1" ht="15.75" customHeight="1">
      <c r="A97" s="1391"/>
      <c r="B97" s="1389"/>
      <c r="C97" s="1431"/>
      <c r="D97" s="1394"/>
      <c r="E97" s="1394"/>
      <c r="F97" s="1391"/>
      <c r="G97" s="291"/>
      <c r="H97" s="30" t="s">
        <v>195</v>
      </c>
      <c r="I97" s="21" t="s">
        <v>168</v>
      </c>
      <c r="J97" s="51" t="s">
        <v>199</v>
      </c>
      <c r="K97" s="1394"/>
      <c r="L97" s="1394"/>
      <c r="M97" s="22" t="s">
        <v>1976</v>
      </c>
      <c r="N97" s="68" t="s">
        <v>11973</v>
      </c>
      <c r="O97" s="46" t="s">
        <v>43</v>
      </c>
      <c r="P97" s="1398"/>
      <c r="Q97" s="46" t="s">
        <v>43</v>
      </c>
      <c r="R97" s="26" t="s">
        <v>246</v>
      </c>
      <c r="S97" s="46" t="s">
        <v>43</v>
      </c>
      <c r="T97" s="46" t="s">
        <v>43</v>
      </c>
      <c r="U97" s="46" t="s">
        <v>43</v>
      </c>
      <c r="V97" s="46" t="s">
        <v>43</v>
      </c>
      <c r="W97" s="26" t="s">
        <v>247</v>
      </c>
      <c r="X97" s="21" t="s">
        <v>170</v>
      </c>
      <c r="Y97" s="1437"/>
      <c r="Z97" s="1391"/>
      <c r="AA97" s="219">
        <v>20800000</v>
      </c>
    </row>
    <row r="98" spans="1:28" s="27" customFormat="1" ht="15.75" customHeight="1">
      <c r="A98" s="1390">
        <v>52</v>
      </c>
      <c r="B98" s="1388">
        <v>509</v>
      </c>
      <c r="C98" s="1431"/>
      <c r="D98" s="1394"/>
      <c r="E98" s="1392" t="s">
        <v>1977</v>
      </c>
      <c r="F98" s="1390" t="s">
        <v>1971</v>
      </c>
      <c r="G98" s="28" t="s">
        <v>11976</v>
      </c>
      <c r="H98" s="21" t="s">
        <v>335</v>
      </c>
      <c r="I98" s="21" t="s">
        <v>60</v>
      </c>
      <c r="J98" s="51" t="s">
        <v>1997</v>
      </c>
      <c r="K98" s="1392" t="s">
        <v>15463</v>
      </c>
      <c r="L98" s="1392" t="s">
        <v>15460</v>
      </c>
      <c r="M98" s="22" t="s">
        <v>1978</v>
      </c>
      <c r="N98" s="533" t="s">
        <v>1979</v>
      </c>
      <c r="O98" s="46" t="s">
        <v>43</v>
      </c>
      <c r="P98" s="1396" t="s">
        <v>2882</v>
      </c>
      <c r="Q98" s="46" t="s">
        <v>43</v>
      </c>
      <c r="R98" s="26" t="s">
        <v>397</v>
      </c>
      <c r="S98" s="46" t="s">
        <v>43</v>
      </c>
      <c r="T98" s="46" t="s">
        <v>43</v>
      </c>
      <c r="U98" s="46" t="s">
        <v>43</v>
      </c>
      <c r="V98" s="46" t="s">
        <v>43</v>
      </c>
      <c r="W98" s="46" t="s">
        <v>43</v>
      </c>
      <c r="X98" s="21" t="s">
        <v>167</v>
      </c>
      <c r="Y98" s="1436" t="s">
        <v>202</v>
      </c>
      <c r="Z98" s="1390" t="s">
        <v>65</v>
      </c>
      <c r="AA98" s="219">
        <v>8960000</v>
      </c>
    </row>
    <row r="99" spans="1:28" s="27" customFormat="1" ht="15.75" customHeight="1">
      <c r="A99" s="1391"/>
      <c r="B99" s="1389"/>
      <c r="C99" s="1431"/>
      <c r="D99" s="1394"/>
      <c r="E99" s="1394"/>
      <c r="F99" s="1391"/>
      <c r="G99" s="28" t="s">
        <v>1980</v>
      </c>
      <c r="H99" s="30" t="s">
        <v>195</v>
      </c>
      <c r="I99" s="21" t="s">
        <v>60</v>
      </c>
      <c r="J99" s="51" t="s">
        <v>199</v>
      </c>
      <c r="K99" s="1393"/>
      <c r="L99" s="1393"/>
      <c r="M99" s="22" t="s">
        <v>1981</v>
      </c>
      <c r="N99" s="68" t="s">
        <v>11975</v>
      </c>
      <c r="O99" s="46" t="s">
        <v>43</v>
      </c>
      <c r="P99" s="1397"/>
      <c r="Q99" s="46" t="s">
        <v>43</v>
      </c>
      <c r="R99" s="26" t="s">
        <v>166</v>
      </c>
      <c r="S99" s="46" t="s">
        <v>43</v>
      </c>
      <c r="T99" s="46" t="s">
        <v>43</v>
      </c>
      <c r="U99" s="46" t="s">
        <v>43</v>
      </c>
      <c r="V99" s="46" t="s">
        <v>43</v>
      </c>
      <c r="W99" s="46" t="s">
        <v>43</v>
      </c>
      <c r="X99" s="25" t="s">
        <v>1953</v>
      </c>
      <c r="Y99" s="1437"/>
      <c r="Z99" s="1391"/>
      <c r="AA99" s="219">
        <v>20800000</v>
      </c>
    </row>
    <row r="100" spans="1:28" s="27" customFormat="1" ht="15.75" customHeight="1">
      <c r="A100" s="1390">
        <v>53</v>
      </c>
      <c r="B100" s="1388">
        <v>512</v>
      </c>
      <c r="C100" s="1431"/>
      <c r="D100" s="1394"/>
      <c r="E100" s="1392" t="s">
        <v>1982</v>
      </c>
      <c r="F100" s="1390" t="s">
        <v>1700</v>
      </c>
      <c r="G100" s="28" t="s">
        <v>1983</v>
      </c>
      <c r="H100" s="21" t="s">
        <v>335</v>
      </c>
      <c r="I100" s="21" t="s">
        <v>60</v>
      </c>
      <c r="J100" s="51" t="s">
        <v>199</v>
      </c>
      <c r="K100" s="1392" t="s">
        <v>15462</v>
      </c>
      <c r="L100" s="1392" t="s">
        <v>15461</v>
      </c>
      <c r="M100" s="22" t="s">
        <v>1984</v>
      </c>
      <c r="N100" s="533" t="s">
        <v>1985</v>
      </c>
      <c r="O100" s="46" t="s">
        <v>43</v>
      </c>
      <c r="P100" s="1396" t="s">
        <v>2883</v>
      </c>
      <c r="Q100" s="46" t="s">
        <v>43</v>
      </c>
      <c r="R100" s="26" t="s">
        <v>397</v>
      </c>
      <c r="S100" s="46" t="s">
        <v>43</v>
      </c>
      <c r="T100" s="46" t="s">
        <v>43</v>
      </c>
      <c r="U100" s="46" t="s">
        <v>43</v>
      </c>
      <c r="V100" s="46" t="s">
        <v>43</v>
      </c>
      <c r="W100" s="46" t="s">
        <v>43</v>
      </c>
      <c r="X100" s="21" t="s">
        <v>167</v>
      </c>
      <c r="Y100" s="1436" t="s">
        <v>202</v>
      </c>
      <c r="Z100" s="1390" t="s">
        <v>65</v>
      </c>
      <c r="AA100" s="219">
        <v>8960000</v>
      </c>
      <c r="AB100" s="288" t="s">
        <v>11929</v>
      </c>
    </row>
    <row r="101" spans="1:28" s="27" customFormat="1" ht="15.75" customHeight="1">
      <c r="A101" s="1391"/>
      <c r="B101" s="1389"/>
      <c r="C101" s="1431"/>
      <c r="D101" s="1394"/>
      <c r="E101" s="1394"/>
      <c r="F101" s="1391"/>
      <c r="G101" s="28" t="s">
        <v>1986</v>
      </c>
      <c r="H101" s="30" t="s">
        <v>195</v>
      </c>
      <c r="I101" s="21" t="s">
        <v>60</v>
      </c>
      <c r="J101" s="51" t="s">
        <v>199</v>
      </c>
      <c r="K101" s="1393"/>
      <c r="L101" s="1393"/>
      <c r="M101" s="22" t="s">
        <v>1987</v>
      </c>
      <c r="N101" s="68" t="s">
        <v>11977</v>
      </c>
      <c r="O101" s="46" t="s">
        <v>43</v>
      </c>
      <c r="P101" s="1397"/>
      <c r="Q101" s="46" t="s">
        <v>43</v>
      </c>
      <c r="R101" s="26" t="s">
        <v>255</v>
      </c>
      <c r="S101" s="46" t="s">
        <v>43</v>
      </c>
      <c r="T101" s="46" t="s">
        <v>43</v>
      </c>
      <c r="U101" s="46" t="s">
        <v>43</v>
      </c>
      <c r="V101" s="46" t="s">
        <v>43</v>
      </c>
      <c r="W101" s="26" t="s">
        <v>1988</v>
      </c>
      <c r="X101" s="21" t="s">
        <v>170</v>
      </c>
      <c r="Y101" s="1437"/>
      <c r="Z101" s="1391"/>
      <c r="AA101" s="219">
        <v>20800000</v>
      </c>
    </row>
    <row r="102" spans="1:28" s="27" customFormat="1" ht="15.75" customHeight="1">
      <c r="A102" s="820">
        <v>54</v>
      </c>
      <c r="B102" s="829" t="s">
        <v>43</v>
      </c>
      <c r="C102" s="1431"/>
      <c r="D102" s="1394"/>
      <c r="E102" s="826" t="s">
        <v>1989</v>
      </c>
      <c r="F102" s="820" t="s">
        <v>1700</v>
      </c>
      <c r="G102" s="46" t="s">
        <v>43</v>
      </c>
      <c r="H102" s="21" t="s">
        <v>44</v>
      </c>
      <c r="I102" s="21" t="s">
        <v>45</v>
      </c>
      <c r="J102" s="51" t="s">
        <v>199</v>
      </c>
      <c r="K102" s="826" t="s">
        <v>1990</v>
      </c>
      <c r="L102" s="826" t="s">
        <v>1991</v>
      </c>
      <c r="M102" s="21" t="s">
        <v>1992</v>
      </c>
      <c r="N102" s="22" t="s">
        <v>11978</v>
      </c>
      <c r="O102" s="46" t="s">
        <v>43</v>
      </c>
      <c r="P102" s="828" t="s">
        <v>43</v>
      </c>
      <c r="Q102" s="46" t="s">
        <v>43</v>
      </c>
      <c r="R102" s="26" t="s">
        <v>119</v>
      </c>
      <c r="S102" s="46" t="s">
        <v>43</v>
      </c>
      <c r="T102" s="46" t="s">
        <v>43</v>
      </c>
      <c r="U102" s="46" t="s">
        <v>43</v>
      </c>
      <c r="V102" s="46" t="s">
        <v>43</v>
      </c>
      <c r="W102" s="26" t="s">
        <v>49</v>
      </c>
      <c r="X102" s="21" t="s">
        <v>50</v>
      </c>
      <c r="Y102" s="821" t="s">
        <v>202</v>
      </c>
      <c r="Z102" s="820" t="s">
        <v>65</v>
      </c>
      <c r="AA102" s="219">
        <v>0</v>
      </c>
    </row>
    <row r="103" spans="1:28">
      <c r="Z103" s="214"/>
      <c r="AA103" s="350">
        <f>SUM(AA2:AA102)</f>
        <v>1872154424.2425001</v>
      </c>
    </row>
    <row r="110" spans="1:28" ht="22.5">
      <c r="A110" s="1459" t="s">
        <v>11979</v>
      </c>
      <c r="B110" s="1459"/>
      <c r="C110" s="1459"/>
      <c r="D110" s="1459"/>
      <c r="E110" s="1459"/>
      <c r="F110" s="1459"/>
      <c r="G110" s="1459"/>
    </row>
    <row r="111" spans="1:28" s="12" customFormat="1" ht="19.5">
      <c r="A111" s="34" t="s">
        <v>0</v>
      </c>
      <c r="B111" s="34" t="s">
        <v>5</v>
      </c>
      <c r="C111" s="34" t="s">
        <v>2</v>
      </c>
      <c r="D111" s="34" t="s">
        <v>3</v>
      </c>
      <c r="E111" s="1445" t="s">
        <v>88</v>
      </c>
      <c r="F111" s="1446"/>
      <c r="G111" s="34" t="s">
        <v>6</v>
      </c>
      <c r="H111" s="34" t="s">
        <v>7</v>
      </c>
      <c r="I111" s="34" t="s">
        <v>8</v>
      </c>
      <c r="J111" s="34" t="s">
        <v>196</v>
      </c>
      <c r="K111" s="34" t="s">
        <v>9</v>
      </c>
      <c r="L111" s="34" t="s">
        <v>11</v>
      </c>
      <c r="M111" s="34" t="s">
        <v>12</v>
      </c>
      <c r="N111" s="34" t="s">
        <v>216</v>
      </c>
      <c r="O111" s="34" t="s">
        <v>13</v>
      </c>
      <c r="P111" s="35" t="s">
        <v>14</v>
      </c>
      <c r="Q111" s="35" t="s">
        <v>217</v>
      </c>
      <c r="R111" s="35" t="s">
        <v>16</v>
      </c>
      <c r="S111" s="34" t="s">
        <v>17</v>
      </c>
      <c r="T111" s="34" t="s">
        <v>218</v>
      </c>
      <c r="U111" s="34" t="s">
        <v>22</v>
      </c>
      <c r="V111" s="36" t="s">
        <v>23</v>
      </c>
      <c r="W111" s="34" t="s">
        <v>24</v>
      </c>
      <c r="X111" s="58" t="s">
        <v>257</v>
      </c>
      <c r="Z111" s="358" t="s">
        <v>9683</v>
      </c>
      <c r="AA111"/>
    </row>
    <row r="112" spans="1:28" s="12" customFormat="1" ht="18.75" customHeight="1">
      <c r="A112" s="1460">
        <v>1</v>
      </c>
      <c r="B112" s="1460" t="s">
        <v>1722</v>
      </c>
      <c r="C112" s="1470" t="s">
        <v>1595</v>
      </c>
      <c r="D112" s="1471" t="s">
        <v>1598</v>
      </c>
      <c r="E112" s="1462" t="s">
        <v>2014</v>
      </c>
      <c r="F112" s="1463"/>
      <c r="G112" s="536" t="s">
        <v>2009</v>
      </c>
      <c r="H112" s="557" t="s">
        <v>1514</v>
      </c>
      <c r="I112" s="538" t="s">
        <v>60</v>
      </c>
      <c r="J112" s="538" t="s">
        <v>205</v>
      </c>
      <c r="K112" s="1455" t="s">
        <v>2010</v>
      </c>
      <c r="L112" s="14" t="s">
        <v>2011</v>
      </c>
      <c r="M112" s="863" t="s">
        <v>15516</v>
      </c>
      <c r="N112" s="535" t="s">
        <v>43</v>
      </c>
      <c r="O112" s="535" t="s">
        <v>43</v>
      </c>
      <c r="P112" s="535" t="s">
        <v>43</v>
      </c>
      <c r="Q112" s="537" t="s">
        <v>2012</v>
      </c>
      <c r="R112" s="537" t="s">
        <v>2013</v>
      </c>
      <c r="S112" s="535" t="s">
        <v>43</v>
      </c>
      <c r="T112" s="71" t="s">
        <v>166</v>
      </c>
      <c r="U112" s="538" t="s">
        <v>167</v>
      </c>
      <c r="V112" s="1457" t="s">
        <v>202</v>
      </c>
      <c r="W112" s="535" t="s">
        <v>43</v>
      </c>
      <c r="X112" s="219">
        <v>8960000</v>
      </c>
      <c r="Z112" s="219">
        <v>8960000</v>
      </c>
      <c r="AA112"/>
    </row>
    <row r="113" spans="1:27" s="12" customFormat="1" ht="19.5" customHeight="1">
      <c r="A113" s="1461"/>
      <c r="B113" s="1461"/>
      <c r="C113" s="1470"/>
      <c r="D113" s="1419"/>
      <c r="E113" s="1464"/>
      <c r="F113" s="1465"/>
      <c r="G113" s="535" t="s">
        <v>43</v>
      </c>
      <c r="H113" s="538" t="s">
        <v>84</v>
      </c>
      <c r="I113" s="538" t="s">
        <v>45</v>
      </c>
      <c r="J113" s="538" t="s">
        <v>201</v>
      </c>
      <c r="K113" s="1456"/>
      <c r="L113" s="14" t="s">
        <v>2015</v>
      </c>
      <c r="M113" s="863" t="s">
        <v>2016</v>
      </c>
      <c r="N113" s="535" t="s">
        <v>43</v>
      </c>
      <c r="O113" s="535" t="s">
        <v>43</v>
      </c>
      <c r="P113" s="535" t="s">
        <v>43</v>
      </c>
      <c r="Q113" s="535" t="s">
        <v>43</v>
      </c>
      <c r="R113" s="535" t="s">
        <v>43</v>
      </c>
      <c r="S113" s="535" t="s">
        <v>43</v>
      </c>
      <c r="T113" s="33" t="s">
        <v>68</v>
      </c>
      <c r="U113" s="538" t="s">
        <v>50</v>
      </c>
      <c r="V113" s="1458"/>
      <c r="W113" s="535" t="s">
        <v>43</v>
      </c>
      <c r="X113" s="219">
        <v>0</v>
      </c>
      <c r="Z113" s="538"/>
      <c r="AA113"/>
    </row>
    <row r="114" spans="1:27" s="12" customFormat="1" ht="19.5" customHeight="1">
      <c r="A114" s="538">
        <v>2</v>
      </c>
      <c r="B114" s="538" t="s">
        <v>1700</v>
      </c>
      <c r="C114" s="1470"/>
      <c r="D114" s="1419"/>
      <c r="E114" s="1466" t="s">
        <v>2019</v>
      </c>
      <c r="F114" s="1467"/>
      <c r="G114" s="536" t="s">
        <v>11121</v>
      </c>
      <c r="H114" s="557" t="s">
        <v>335</v>
      </c>
      <c r="I114" s="538" t="s">
        <v>168</v>
      </c>
      <c r="J114" s="538" t="s">
        <v>205</v>
      </c>
      <c r="K114" s="14" t="s">
        <v>2020</v>
      </c>
      <c r="L114" s="14" t="s">
        <v>2021</v>
      </c>
      <c r="M114" s="863" t="s">
        <v>15511</v>
      </c>
      <c r="N114" s="535" t="s">
        <v>43</v>
      </c>
      <c r="O114" s="535" t="s">
        <v>43</v>
      </c>
      <c r="P114" s="535" t="s">
        <v>43</v>
      </c>
      <c r="Q114" s="535" t="s">
        <v>43</v>
      </c>
      <c r="R114" s="535" t="s">
        <v>43</v>
      </c>
      <c r="S114" s="535" t="s">
        <v>43</v>
      </c>
      <c r="T114" s="33" t="s">
        <v>68</v>
      </c>
      <c r="U114" s="538" t="s">
        <v>1504</v>
      </c>
      <c r="V114" s="15" t="s">
        <v>202</v>
      </c>
      <c r="W114" s="535" t="s">
        <v>43</v>
      </c>
      <c r="X114" s="219">
        <v>4480000</v>
      </c>
      <c r="AA114"/>
    </row>
    <row r="115" spans="1:27" s="12" customFormat="1" ht="19.5" customHeight="1">
      <c r="A115" s="538">
        <v>3</v>
      </c>
      <c r="B115" s="538" t="s">
        <v>1700</v>
      </c>
      <c r="C115" s="1470"/>
      <c r="D115" s="1419"/>
      <c r="E115" s="1466" t="s">
        <v>2028</v>
      </c>
      <c r="F115" s="1467"/>
      <c r="G115" s="537" t="s">
        <v>2246</v>
      </c>
      <c r="H115" s="557" t="s">
        <v>335</v>
      </c>
      <c r="I115" s="538" t="s">
        <v>168</v>
      </c>
      <c r="J115" s="538" t="s">
        <v>205</v>
      </c>
      <c r="K115" s="14" t="s">
        <v>2029</v>
      </c>
      <c r="L115" s="538" t="s">
        <v>2030</v>
      </c>
      <c r="M115" s="864" t="s">
        <v>15510</v>
      </c>
      <c r="N115" s="535" t="s">
        <v>43</v>
      </c>
      <c r="O115" s="535" t="s">
        <v>43</v>
      </c>
      <c r="P115" s="535" t="s">
        <v>43</v>
      </c>
      <c r="Q115" s="535" t="s">
        <v>43</v>
      </c>
      <c r="R115" s="535" t="s">
        <v>43</v>
      </c>
      <c r="S115" s="535" t="s">
        <v>43</v>
      </c>
      <c r="T115" s="33" t="s">
        <v>68</v>
      </c>
      <c r="U115" s="538" t="s">
        <v>1504</v>
      </c>
      <c r="V115" s="15" t="s">
        <v>202</v>
      </c>
      <c r="W115" s="535" t="s">
        <v>43</v>
      </c>
      <c r="X115" s="219">
        <v>4480000</v>
      </c>
      <c r="AA115"/>
    </row>
    <row r="116" spans="1:27" s="12" customFormat="1" ht="15.75" customHeight="1">
      <c r="A116" s="1460">
        <v>4</v>
      </c>
      <c r="B116" s="1460" t="s">
        <v>1722</v>
      </c>
      <c r="C116" s="1470"/>
      <c r="D116" s="1419"/>
      <c r="E116" s="1462" t="s">
        <v>2061</v>
      </c>
      <c r="F116" s="1463"/>
      <c r="G116" s="550" t="s">
        <v>2062</v>
      </c>
      <c r="H116" s="557" t="s">
        <v>1514</v>
      </c>
      <c r="I116" s="552" t="s">
        <v>60</v>
      </c>
      <c r="J116" s="14" t="s">
        <v>205</v>
      </c>
      <c r="K116" s="1455" t="s">
        <v>2063</v>
      </c>
      <c r="L116" s="14" t="s">
        <v>2055</v>
      </c>
      <c r="M116" s="863" t="s">
        <v>15517</v>
      </c>
      <c r="N116" s="549" t="s">
        <v>43</v>
      </c>
      <c r="O116" s="549" t="s">
        <v>43</v>
      </c>
      <c r="P116" s="549" t="s">
        <v>43</v>
      </c>
      <c r="Q116" s="551" t="s">
        <v>2064</v>
      </c>
      <c r="R116" s="551" t="s">
        <v>2013</v>
      </c>
      <c r="S116" s="549" t="s">
        <v>43</v>
      </c>
      <c r="T116" s="552" t="s">
        <v>166</v>
      </c>
      <c r="U116" s="552" t="s">
        <v>1726</v>
      </c>
      <c r="V116" s="1457" t="s">
        <v>202</v>
      </c>
      <c r="W116" s="549" t="s">
        <v>43</v>
      </c>
      <c r="X116" s="219">
        <v>8960000</v>
      </c>
      <c r="Z116" s="219">
        <v>8960000</v>
      </c>
      <c r="AA116"/>
    </row>
    <row r="117" spans="1:27" s="12" customFormat="1" ht="15.75" customHeight="1">
      <c r="A117" s="1461"/>
      <c r="B117" s="1461"/>
      <c r="C117" s="1470"/>
      <c r="D117" s="1419"/>
      <c r="E117" s="1464"/>
      <c r="F117" s="1465"/>
      <c r="G117" s="550" t="s">
        <v>43</v>
      </c>
      <c r="H117" s="552" t="s">
        <v>84</v>
      </c>
      <c r="I117" s="552" t="s">
        <v>45</v>
      </c>
      <c r="J117" s="552" t="s">
        <v>201</v>
      </c>
      <c r="K117" s="1456"/>
      <c r="L117" s="14" t="s">
        <v>2065</v>
      </c>
      <c r="M117" s="14" t="s">
        <v>2066</v>
      </c>
      <c r="N117" s="549" t="s">
        <v>43</v>
      </c>
      <c r="O117" s="549" t="s">
        <v>43</v>
      </c>
      <c r="P117" s="549" t="s">
        <v>43</v>
      </c>
      <c r="Q117" s="549" t="s">
        <v>43</v>
      </c>
      <c r="R117" s="549" t="s">
        <v>43</v>
      </c>
      <c r="S117" s="549" t="s">
        <v>43</v>
      </c>
      <c r="T117" s="33" t="s">
        <v>68</v>
      </c>
      <c r="U117" s="552" t="s">
        <v>50</v>
      </c>
      <c r="V117" s="1458"/>
      <c r="W117" s="549" t="s">
        <v>43</v>
      </c>
      <c r="X117" s="219">
        <v>0</v>
      </c>
      <c r="Z117" s="552"/>
      <c r="AA117"/>
    </row>
    <row r="118" spans="1:27" s="12" customFormat="1" ht="15.75" customHeight="1">
      <c r="A118" s="1460">
        <v>5</v>
      </c>
      <c r="B118" s="1460" t="s">
        <v>1722</v>
      </c>
      <c r="C118" s="1470"/>
      <c r="D118" s="1419"/>
      <c r="E118" s="1462" t="s">
        <v>2079</v>
      </c>
      <c r="F118" s="1463"/>
      <c r="G118" s="550" t="s">
        <v>2080</v>
      </c>
      <c r="H118" s="557" t="s">
        <v>1514</v>
      </c>
      <c r="I118" s="552" t="s">
        <v>60</v>
      </c>
      <c r="J118" s="14" t="s">
        <v>205</v>
      </c>
      <c r="K118" s="1455" t="s">
        <v>2081</v>
      </c>
      <c r="L118" s="14" t="s">
        <v>2055</v>
      </c>
      <c r="M118" s="14" t="s">
        <v>15518</v>
      </c>
      <c r="N118" s="549" t="s">
        <v>43</v>
      </c>
      <c r="O118" s="549" t="s">
        <v>43</v>
      </c>
      <c r="P118" s="549" t="s">
        <v>43</v>
      </c>
      <c r="Q118" s="551" t="s">
        <v>2082</v>
      </c>
      <c r="R118" s="551" t="s">
        <v>2083</v>
      </c>
      <c r="S118" s="549" t="s">
        <v>43</v>
      </c>
      <c r="T118" s="552" t="s">
        <v>166</v>
      </c>
      <c r="U118" s="552" t="s">
        <v>167</v>
      </c>
      <c r="V118" s="1457" t="s">
        <v>202</v>
      </c>
      <c r="W118" s="549" t="s">
        <v>43</v>
      </c>
      <c r="X118" s="219">
        <v>8960000</v>
      </c>
      <c r="Z118" s="219">
        <v>8960000</v>
      </c>
      <c r="AA118"/>
    </row>
    <row r="119" spans="1:27" s="12" customFormat="1" ht="15.75" customHeight="1">
      <c r="A119" s="1461"/>
      <c r="B119" s="1461"/>
      <c r="C119" s="1470"/>
      <c r="D119" s="1419"/>
      <c r="E119" s="1464"/>
      <c r="F119" s="1465"/>
      <c r="G119" s="550" t="s">
        <v>43</v>
      </c>
      <c r="H119" s="552" t="s">
        <v>84</v>
      </c>
      <c r="I119" s="552" t="s">
        <v>45</v>
      </c>
      <c r="J119" s="552" t="s">
        <v>201</v>
      </c>
      <c r="K119" s="1456"/>
      <c r="L119" s="14" t="s">
        <v>2084</v>
      </c>
      <c r="M119" s="14" t="s">
        <v>2085</v>
      </c>
      <c r="N119" s="549" t="s">
        <v>43</v>
      </c>
      <c r="O119" s="549" t="s">
        <v>43</v>
      </c>
      <c r="P119" s="549" t="s">
        <v>43</v>
      </c>
      <c r="Q119" s="549" t="s">
        <v>43</v>
      </c>
      <c r="R119" s="549" t="s">
        <v>43</v>
      </c>
      <c r="S119" s="549" t="s">
        <v>43</v>
      </c>
      <c r="T119" s="33" t="s">
        <v>68</v>
      </c>
      <c r="U119" s="552" t="s">
        <v>50</v>
      </c>
      <c r="V119" s="1458"/>
      <c r="W119" s="549" t="s">
        <v>43</v>
      </c>
      <c r="X119" s="219">
        <v>0</v>
      </c>
      <c r="Z119" s="552"/>
      <c r="AA119"/>
    </row>
    <row r="120" spans="1:27" s="12" customFormat="1" ht="15.75" customHeight="1">
      <c r="A120" s="1460">
        <v>6</v>
      </c>
      <c r="B120" s="1460" t="s">
        <v>1722</v>
      </c>
      <c r="C120" s="1470"/>
      <c r="D120" s="1419"/>
      <c r="E120" s="1462" t="s">
        <v>2099</v>
      </c>
      <c r="F120" s="1463"/>
      <c r="G120" s="550" t="s">
        <v>2100</v>
      </c>
      <c r="H120" s="557" t="s">
        <v>1514</v>
      </c>
      <c r="I120" s="552" t="s">
        <v>60</v>
      </c>
      <c r="J120" s="14" t="s">
        <v>205</v>
      </c>
      <c r="K120" s="1455" t="s">
        <v>2101</v>
      </c>
      <c r="L120" s="14" t="s">
        <v>2055</v>
      </c>
      <c r="M120" s="14" t="s">
        <v>15519</v>
      </c>
      <c r="N120" s="549" t="s">
        <v>43</v>
      </c>
      <c r="O120" s="549" t="s">
        <v>43</v>
      </c>
      <c r="P120" s="549" t="s">
        <v>43</v>
      </c>
      <c r="Q120" s="551" t="s">
        <v>2102</v>
      </c>
      <c r="R120" s="551" t="s">
        <v>2005</v>
      </c>
      <c r="S120" s="549" t="s">
        <v>43</v>
      </c>
      <c r="T120" s="552" t="s">
        <v>166</v>
      </c>
      <c r="U120" s="552" t="s">
        <v>167</v>
      </c>
      <c r="V120" s="1457" t="s">
        <v>202</v>
      </c>
      <c r="W120" s="558" t="s">
        <v>43</v>
      </c>
      <c r="X120" s="219">
        <v>8960000</v>
      </c>
      <c r="Z120" s="219">
        <v>8960000</v>
      </c>
      <c r="AA120"/>
    </row>
    <row r="121" spans="1:27" s="12" customFormat="1" ht="15.75" customHeight="1">
      <c r="A121" s="1461"/>
      <c r="B121" s="1461"/>
      <c r="C121" s="1470"/>
      <c r="D121" s="1419"/>
      <c r="E121" s="1464"/>
      <c r="F121" s="1465"/>
      <c r="G121" s="550" t="s">
        <v>43</v>
      </c>
      <c r="H121" s="552" t="s">
        <v>84</v>
      </c>
      <c r="I121" s="552" t="s">
        <v>45</v>
      </c>
      <c r="J121" s="552" t="s">
        <v>201</v>
      </c>
      <c r="K121" s="1456"/>
      <c r="L121" s="14" t="s">
        <v>2103</v>
      </c>
      <c r="M121" s="14" t="s">
        <v>2104</v>
      </c>
      <c r="N121" s="549" t="s">
        <v>43</v>
      </c>
      <c r="O121" s="549" t="s">
        <v>43</v>
      </c>
      <c r="P121" s="549" t="s">
        <v>43</v>
      </c>
      <c r="Q121" s="549" t="s">
        <v>43</v>
      </c>
      <c r="R121" s="549" t="s">
        <v>43</v>
      </c>
      <c r="S121" s="549" t="s">
        <v>43</v>
      </c>
      <c r="T121" s="33" t="s">
        <v>68</v>
      </c>
      <c r="U121" s="552" t="s">
        <v>50</v>
      </c>
      <c r="V121" s="1458"/>
      <c r="W121" s="558" t="s">
        <v>43</v>
      </c>
      <c r="X121" s="219">
        <v>0</v>
      </c>
      <c r="Z121" s="552"/>
      <c r="AA121"/>
    </row>
    <row r="122" spans="1:27" s="12" customFormat="1" ht="15.75" customHeight="1">
      <c r="A122" s="1460">
        <v>7</v>
      </c>
      <c r="B122" s="1460" t="s">
        <v>1722</v>
      </c>
      <c r="C122" s="1470"/>
      <c r="D122" s="1419"/>
      <c r="E122" s="1473" t="s">
        <v>2144</v>
      </c>
      <c r="F122" s="1474"/>
      <c r="G122" s="559" t="s">
        <v>2145</v>
      </c>
      <c r="H122" s="557" t="s">
        <v>1514</v>
      </c>
      <c r="I122" s="561" t="s">
        <v>60</v>
      </c>
      <c r="J122" s="14" t="s">
        <v>205</v>
      </c>
      <c r="K122" s="1455" t="s">
        <v>2146</v>
      </c>
      <c r="L122" s="14" t="s">
        <v>2055</v>
      </c>
      <c r="M122" s="14" t="s">
        <v>15528</v>
      </c>
      <c r="N122" s="558" t="s">
        <v>43</v>
      </c>
      <c r="O122" s="558" t="s">
        <v>43</v>
      </c>
      <c r="P122" s="558" t="s">
        <v>43</v>
      </c>
      <c r="Q122" s="560" t="s">
        <v>172</v>
      </c>
      <c r="R122" s="560" t="s">
        <v>2083</v>
      </c>
      <c r="S122" s="558" t="s">
        <v>43</v>
      </c>
      <c r="T122" s="561" t="s">
        <v>166</v>
      </c>
      <c r="U122" s="561" t="s">
        <v>167</v>
      </c>
      <c r="V122" s="1457" t="s">
        <v>202</v>
      </c>
      <c r="W122" s="558" t="s">
        <v>43</v>
      </c>
      <c r="X122" s="219">
        <v>8960000</v>
      </c>
      <c r="Z122" s="219">
        <v>8960000</v>
      </c>
      <c r="AA122"/>
    </row>
    <row r="123" spans="1:27" s="12" customFormat="1" ht="15.75" customHeight="1">
      <c r="A123" s="1461"/>
      <c r="B123" s="1461"/>
      <c r="C123" s="1470"/>
      <c r="D123" s="1419"/>
      <c r="E123" s="1475"/>
      <c r="F123" s="1476"/>
      <c r="G123" s="559" t="s">
        <v>43</v>
      </c>
      <c r="H123" s="561" t="s">
        <v>84</v>
      </c>
      <c r="I123" s="561" t="s">
        <v>45</v>
      </c>
      <c r="J123" s="561" t="s">
        <v>201</v>
      </c>
      <c r="K123" s="1456"/>
      <c r="L123" s="14" t="s">
        <v>2147</v>
      </c>
      <c r="M123" s="14" t="s">
        <v>2148</v>
      </c>
      <c r="N123" s="558" t="s">
        <v>43</v>
      </c>
      <c r="O123" s="558" t="s">
        <v>43</v>
      </c>
      <c r="P123" s="558" t="s">
        <v>43</v>
      </c>
      <c r="Q123" s="558" t="s">
        <v>43</v>
      </c>
      <c r="R123" s="558" t="s">
        <v>43</v>
      </c>
      <c r="S123" s="558" t="s">
        <v>43</v>
      </c>
      <c r="T123" s="33" t="s">
        <v>68</v>
      </c>
      <c r="U123" s="561" t="s">
        <v>50</v>
      </c>
      <c r="V123" s="1458"/>
      <c r="W123" s="558" t="s">
        <v>43</v>
      </c>
      <c r="X123" s="219">
        <v>0</v>
      </c>
      <c r="Z123" s="561"/>
      <c r="AA123"/>
    </row>
    <row r="124" spans="1:27" s="12" customFormat="1" ht="15.75" customHeight="1">
      <c r="A124" s="561">
        <v>8</v>
      </c>
      <c r="B124" s="561" t="s">
        <v>1737</v>
      </c>
      <c r="C124" s="1470"/>
      <c r="D124" s="1419"/>
      <c r="E124" s="1466" t="s">
        <v>2153</v>
      </c>
      <c r="F124" s="1467"/>
      <c r="G124" s="558" t="s">
        <v>43</v>
      </c>
      <c r="H124" s="557" t="s">
        <v>335</v>
      </c>
      <c r="I124" s="561" t="s">
        <v>168</v>
      </c>
      <c r="J124" s="14" t="s">
        <v>205</v>
      </c>
      <c r="K124" s="14" t="s">
        <v>2154</v>
      </c>
      <c r="L124" s="14" t="s">
        <v>2155</v>
      </c>
      <c r="M124" s="863" t="s">
        <v>15529</v>
      </c>
      <c r="N124" s="558" t="s">
        <v>43</v>
      </c>
      <c r="O124" s="558" t="s">
        <v>43</v>
      </c>
      <c r="P124" s="558" t="s">
        <v>43</v>
      </c>
      <c r="Q124" s="558" t="s">
        <v>43</v>
      </c>
      <c r="R124" s="558" t="s">
        <v>43</v>
      </c>
      <c r="S124" s="558" t="s">
        <v>43</v>
      </c>
      <c r="T124" s="33" t="s">
        <v>68</v>
      </c>
      <c r="U124" s="561" t="s">
        <v>1504</v>
      </c>
      <c r="V124" s="15" t="s">
        <v>202</v>
      </c>
      <c r="W124" s="558" t="s">
        <v>43</v>
      </c>
      <c r="X124" s="219">
        <v>4480000</v>
      </c>
      <c r="Z124" s="219">
        <v>4480000</v>
      </c>
      <c r="AA124"/>
    </row>
    <row r="125" spans="1:27" s="12" customFormat="1" ht="19.5" customHeight="1">
      <c r="A125" s="561">
        <v>9</v>
      </c>
      <c r="B125" s="561" t="s">
        <v>1737</v>
      </c>
      <c r="C125" s="1470"/>
      <c r="D125" s="1472"/>
      <c r="E125" s="1468" t="s">
        <v>2172</v>
      </c>
      <c r="F125" s="1469"/>
      <c r="G125" s="559" t="s">
        <v>2325</v>
      </c>
      <c r="H125" s="557" t="s">
        <v>335</v>
      </c>
      <c r="I125" s="561" t="s">
        <v>168</v>
      </c>
      <c r="J125" s="14" t="s">
        <v>205</v>
      </c>
      <c r="K125" s="14" t="s">
        <v>2173</v>
      </c>
      <c r="L125" s="5" t="s">
        <v>2243</v>
      </c>
      <c r="M125" s="863" t="s">
        <v>15540</v>
      </c>
      <c r="N125" s="558" t="s">
        <v>43</v>
      </c>
      <c r="O125" s="558" t="s">
        <v>43</v>
      </c>
      <c r="P125" s="558" t="s">
        <v>43</v>
      </c>
      <c r="Q125" s="558" t="s">
        <v>43</v>
      </c>
      <c r="R125" s="558" t="s">
        <v>43</v>
      </c>
      <c r="S125" s="558" t="s">
        <v>43</v>
      </c>
      <c r="T125" s="33" t="s">
        <v>68</v>
      </c>
      <c r="U125" s="561" t="s">
        <v>1504</v>
      </c>
      <c r="V125" s="15" t="s">
        <v>202</v>
      </c>
      <c r="W125" s="558" t="s">
        <v>43</v>
      </c>
      <c r="X125" s="219">
        <v>4480000</v>
      </c>
      <c r="Z125" s="219">
        <v>4480000</v>
      </c>
      <c r="AA125"/>
    </row>
    <row r="126" spans="1:27" s="12" customFormat="1" ht="15.75" customHeight="1">
      <c r="A126" s="561">
        <v>10</v>
      </c>
      <c r="B126" s="561" t="s">
        <v>1700</v>
      </c>
      <c r="C126" s="1470"/>
      <c r="D126" s="14" t="s">
        <v>1596</v>
      </c>
      <c r="E126" s="1468" t="s">
        <v>2190</v>
      </c>
      <c r="F126" s="1469"/>
      <c r="G126" s="559" t="s">
        <v>2191</v>
      </c>
      <c r="H126" s="557" t="s">
        <v>335</v>
      </c>
      <c r="I126" s="561" t="s">
        <v>168</v>
      </c>
      <c r="J126" s="14" t="s">
        <v>205</v>
      </c>
      <c r="K126" s="14" t="s">
        <v>2192</v>
      </c>
      <c r="L126" s="14" t="s">
        <v>2193</v>
      </c>
      <c r="M126" s="863" t="s">
        <v>15539</v>
      </c>
      <c r="N126" s="558" t="s">
        <v>43</v>
      </c>
      <c r="O126" s="558" t="s">
        <v>43</v>
      </c>
      <c r="P126" s="558" t="s">
        <v>43</v>
      </c>
      <c r="Q126" s="558" t="s">
        <v>43</v>
      </c>
      <c r="R126" s="558" t="s">
        <v>43</v>
      </c>
      <c r="S126" s="558" t="s">
        <v>43</v>
      </c>
      <c r="T126" s="33" t="s">
        <v>68</v>
      </c>
      <c r="U126" s="561" t="s">
        <v>1504</v>
      </c>
      <c r="V126" s="15" t="s">
        <v>202</v>
      </c>
      <c r="W126" s="558" t="s">
        <v>43</v>
      </c>
      <c r="X126" s="219">
        <v>4480000</v>
      </c>
      <c r="Z126" s="219">
        <v>4480000</v>
      </c>
      <c r="AA126"/>
    </row>
    <row r="127" spans="1:27" s="61" customFormat="1">
      <c r="X127" s="567">
        <v>58240000</v>
      </c>
      <c r="AA127"/>
    </row>
    <row r="128" spans="1:27" s="61" customFormat="1">
      <c r="AA128"/>
    </row>
    <row r="129" spans="1:27" s="61" customFormat="1">
      <c r="AA129"/>
    </row>
    <row r="130" spans="1:27" s="61" customFormat="1">
      <c r="AA130"/>
    </row>
    <row r="131" spans="1:27" s="61" customFormat="1">
      <c r="AA131"/>
    </row>
    <row r="132" spans="1:27" s="61" customFormat="1">
      <c r="AA132"/>
    </row>
    <row r="133" spans="1:27" s="61" customFormat="1">
      <c r="AA133"/>
    </row>
    <row r="134" spans="1:27" s="61" customFormat="1" ht="19.5">
      <c r="A134" s="564"/>
      <c r="E134" s="562" t="s">
        <v>12013</v>
      </c>
      <c r="F134" s="562" t="s">
        <v>12013</v>
      </c>
      <c r="G134" s="562" t="s">
        <v>12013</v>
      </c>
      <c r="H134" s="966" t="s">
        <v>12013</v>
      </c>
      <c r="I134" s="973"/>
      <c r="AA134"/>
    </row>
    <row r="135" spans="1:27" s="61" customFormat="1" ht="19.5">
      <c r="A135" s="565"/>
      <c r="E135" s="853" t="s">
        <v>15505</v>
      </c>
      <c r="F135" s="853" t="s">
        <v>2056</v>
      </c>
      <c r="G135" s="854" t="s">
        <v>2241</v>
      </c>
      <c r="H135" s="967" t="s">
        <v>15806</v>
      </c>
      <c r="I135" s="973"/>
      <c r="AA135"/>
    </row>
    <row r="136" spans="1:27" s="61" customFormat="1" ht="19.5">
      <c r="A136" s="565"/>
      <c r="E136" s="853" t="s">
        <v>2006</v>
      </c>
      <c r="F136" s="853" t="s">
        <v>2058</v>
      </c>
      <c r="G136" s="854" t="s">
        <v>12041</v>
      </c>
      <c r="H136" s="967" t="s">
        <v>15807</v>
      </c>
      <c r="I136" s="973"/>
      <c r="AA136"/>
    </row>
    <row r="137" spans="1:27" s="61" customFormat="1" ht="19.5">
      <c r="A137" s="565"/>
      <c r="E137" s="853" t="s">
        <v>2007</v>
      </c>
      <c r="F137" s="853" t="s">
        <v>12028</v>
      </c>
      <c r="G137" s="854" t="s">
        <v>2167</v>
      </c>
      <c r="H137" s="967" t="s">
        <v>15810</v>
      </c>
      <c r="I137" s="973"/>
      <c r="AA137"/>
    </row>
    <row r="138" spans="1:27" s="61" customFormat="1" ht="19.5">
      <c r="A138" s="565"/>
      <c r="E138" s="853" t="s">
        <v>15513</v>
      </c>
      <c r="F138" s="853" t="s">
        <v>12029</v>
      </c>
      <c r="G138" s="854" t="s">
        <v>2245</v>
      </c>
      <c r="H138" s="967" t="s">
        <v>15811</v>
      </c>
      <c r="I138" s="973"/>
      <c r="AA138"/>
    </row>
    <row r="139" spans="1:27" s="61" customFormat="1" ht="19.5">
      <c r="A139" s="565"/>
      <c r="E139" s="853" t="s">
        <v>15798</v>
      </c>
      <c r="F139" s="853" t="s">
        <v>15802</v>
      </c>
      <c r="G139" s="854" t="s">
        <v>2189</v>
      </c>
      <c r="H139" s="967" t="s">
        <v>15813</v>
      </c>
      <c r="I139" s="973"/>
      <c r="AA139"/>
    </row>
    <row r="140" spans="1:27" s="61" customFormat="1" ht="19.5">
      <c r="A140" s="565"/>
      <c r="E140" s="853" t="s">
        <v>15799</v>
      </c>
      <c r="F140" s="853"/>
      <c r="G140" s="854" t="s">
        <v>2194</v>
      </c>
      <c r="H140" s="967" t="s">
        <v>15814</v>
      </c>
      <c r="I140" s="973"/>
      <c r="AA140"/>
    </row>
    <row r="141" spans="1:27" s="61" customFormat="1" ht="19.5">
      <c r="A141" s="565"/>
      <c r="E141" s="853" t="s">
        <v>15512</v>
      </c>
      <c r="F141" s="853" t="s">
        <v>2092</v>
      </c>
      <c r="G141" s="854" t="s">
        <v>2197</v>
      </c>
      <c r="H141" s="971"/>
      <c r="I141" s="973"/>
      <c r="AA141"/>
    </row>
    <row r="142" spans="1:27" s="61" customFormat="1" ht="19.5">
      <c r="A142" s="565"/>
      <c r="E142" s="853" t="s">
        <v>2041</v>
      </c>
      <c r="F142" s="853" t="s">
        <v>2242</v>
      </c>
      <c r="G142" s="854" t="s">
        <v>2202</v>
      </c>
      <c r="H142" s="971"/>
      <c r="I142" s="973"/>
      <c r="AA142"/>
    </row>
    <row r="143" spans="1:27" s="61" customFormat="1" ht="19.5">
      <c r="A143" s="565"/>
      <c r="E143" s="853" t="s">
        <v>12027</v>
      </c>
      <c r="F143" s="853" t="s">
        <v>2098</v>
      </c>
      <c r="G143" s="854" t="s">
        <v>2213</v>
      </c>
      <c r="H143" s="971"/>
      <c r="I143" s="973"/>
      <c r="AA143"/>
    </row>
    <row r="144" spans="1:27" s="61" customFormat="1" ht="19.5">
      <c r="A144" s="565"/>
      <c r="E144" s="853" t="s">
        <v>15514</v>
      </c>
      <c r="F144" s="853" t="s">
        <v>2107</v>
      </c>
      <c r="G144" s="854" t="s">
        <v>15530</v>
      </c>
      <c r="H144" s="971"/>
      <c r="I144" s="973"/>
      <c r="AA144"/>
    </row>
    <row r="145" spans="1:27" s="61" customFormat="1" ht="19.5">
      <c r="A145" s="565"/>
      <c r="E145" s="853" t="s">
        <v>15515</v>
      </c>
      <c r="F145" s="854" t="s">
        <v>2112</v>
      </c>
      <c r="G145" s="854" t="s">
        <v>15535</v>
      </c>
      <c r="H145" s="971"/>
      <c r="I145" s="973"/>
      <c r="AA145"/>
    </row>
    <row r="146" spans="1:27" s="61" customFormat="1" ht="17.25">
      <c r="E146" s="968" t="s">
        <v>15796</v>
      </c>
      <c r="F146" s="854" t="s">
        <v>2121</v>
      </c>
      <c r="G146" s="854" t="s">
        <v>15542</v>
      </c>
      <c r="H146" s="971"/>
      <c r="I146" s="973"/>
      <c r="AA146"/>
    </row>
    <row r="147" spans="1:27" s="61" customFormat="1" ht="17.25">
      <c r="E147" s="968" t="s">
        <v>15797</v>
      </c>
      <c r="F147" s="854" t="s">
        <v>12036</v>
      </c>
      <c r="G147" s="854" t="s">
        <v>15543</v>
      </c>
      <c r="H147" s="971"/>
      <c r="I147" s="973"/>
      <c r="AA147"/>
    </row>
    <row r="148" spans="1:27" s="61" customFormat="1" ht="17.25">
      <c r="E148" s="968" t="s">
        <v>15800</v>
      </c>
      <c r="F148" s="854" t="s">
        <v>2134</v>
      </c>
      <c r="G148" s="968" t="s">
        <v>15803</v>
      </c>
      <c r="H148" s="971"/>
      <c r="I148" s="973"/>
      <c r="AA148"/>
    </row>
    <row r="149" spans="1:27" s="61" customFormat="1" ht="17.25">
      <c r="E149" s="968" t="s">
        <v>15801</v>
      </c>
      <c r="F149" s="854" t="s">
        <v>15520</v>
      </c>
      <c r="G149" s="968" t="s">
        <v>15530</v>
      </c>
      <c r="H149" s="971"/>
      <c r="I149" s="973"/>
      <c r="N149"/>
      <c r="AA149"/>
    </row>
    <row r="150" spans="1:27" ht="19.5">
      <c r="E150" s="969"/>
      <c r="F150" s="563"/>
      <c r="G150" s="970" t="s">
        <v>15804</v>
      </c>
      <c r="H150" s="969"/>
      <c r="I150" s="972"/>
    </row>
    <row r="151" spans="1:27" ht="19.5">
      <c r="E151" s="969"/>
      <c r="F151" s="969"/>
      <c r="G151" s="970" t="s">
        <v>15805</v>
      </c>
      <c r="H151" s="969"/>
      <c r="I151" s="972"/>
    </row>
    <row r="152" spans="1:27" ht="19.5">
      <c r="E152" s="969"/>
      <c r="F152" s="969"/>
      <c r="G152" s="970"/>
      <c r="H152" s="969"/>
      <c r="I152" s="972"/>
    </row>
    <row r="153" spans="1:27" ht="19.5">
      <c r="E153" s="969"/>
      <c r="F153" s="969"/>
      <c r="G153" s="969"/>
      <c r="H153" s="969"/>
      <c r="I153" s="972"/>
    </row>
  </sheetData>
  <mergeCells count="443">
    <mergeCell ref="E124:F124"/>
    <mergeCell ref="E125:F125"/>
    <mergeCell ref="E126:F126"/>
    <mergeCell ref="C112:C126"/>
    <mergeCell ref="D112:D125"/>
    <mergeCell ref="E115:F115"/>
    <mergeCell ref="A112:A113"/>
    <mergeCell ref="B112:B113"/>
    <mergeCell ref="E112:F113"/>
    <mergeCell ref="A122:A123"/>
    <mergeCell ref="B122:B123"/>
    <mergeCell ref="E122:F123"/>
    <mergeCell ref="K122:K123"/>
    <mergeCell ref="V122:V123"/>
    <mergeCell ref="A110:G110"/>
    <mergeCell ref="A120:A121"/>
    <mergeCell ref="B120:B121"/>
    <mergeCell ref="E120:F121"/>
    <mergeCell ref="K120:K121"/>
    <mergeCell ref="V120:V121"/>
    <mergeCell ref="A118:A119"/>
    <mergeCell ref="B118:B119"/>
    <mergeCell ref="E118:F119"/>
    <mergeCell ref="V118:V119"/>
    <mergeCell ref="K118:K119"/>
    <mergeCell ref="A116:A117"/>
    <mergeCell ref="B116:B117"/>
    <mergeCell ref="E116:F117"/>
    <mergeCell ref="V116:V117"/>
    <mergeCell ref="K116:K117"/>
    <mergeCell ref="K112:K113"/>
    <mergeCell ref="V112:V113"/>
    <mergeCell ref="E114:F114"/>
    <mergeCell ref="X74:X75"/>
    <mergeCell ref="E111:F111"/>
    <mergeCell ref="Y2:Y8"/>
    <mergeCell ref="Y9:Y11"/>
    <mergeCell ref="Y19:Y20"/>
    <mergeCell ref="Z19:Z20"/>
    <mergeCell ref="Y21:Y22"/>
    <mergeCell ref="Z21:Z22"/>
    <mergeCell ref="Y12:Y13"/>
    <mergeCell ref="Z12:Z13"/>
    <mergeCell ref="Y14:Y16"/>
    <mergeCell ref="Z14:Z16"/>
    <mergeCell ref="Y17:Y18"/>
    <mergeCell ref="Z17:Z18"/>
    <mergeCell ref="Y29:Y30"/>
    <mergeCell ref="Z29:Z30"/>
    <mergeCell ref="Z59:Z61"/>
    <mergeCell ref="Y25:Y26"/>
    <mergeCell ref="Z25:Z26"/>
    <mergeCell ref="Y27:Y28"/>
    <mergeCell ref="Z27:Z28"/>
    <mergeCell ref="Y46:Y47"/>
    <mergeCell ref="Z46:Z47"/>
    <mergeCell ref="Y57:Y58"/>
    <mergeCell ref="Z57:Z58"/>
    <mergeCell ref="Y59:Y61"/>
    <mergeCell ref="D57:D58"/>
    <mergeCell ref="D59:D65"/>
    <mergeCell ref="Y23:Y24"/>
    <mergeCell ref="Z23:Z24"/>
    <mergeCell ref="Y63:Y65"/>
    <mergeCell ref="Z63:Z65"/>
    <mergeCell ref="F23:F24"/>
    <mergeCell ref="Y48:Y49"/>
    <mergeCell ref="Z48:Z49"/>
    <mergeCell ref="Y31:Y32"/>
    <mergeCell ref="Z31:Z32"/>
    <mergeCell ref="Y35:Y36"/>
    <mergeCell ref="Z35:Z36"/>
    <mergeCell ref="Y37:Y39"/>
    <mergeCell ref="Z37:Z39"/>
    <mergeCell ref="Y40:Y41"/>
    <mergeCell ref="Z40:Z41"/>
    <mergeCell ref="Y33:Y34"/>
    <mergeCell ref="Z33:Z34"/>
    <mergeCell ref="E59:E61"/>
    <mergeCell ref="F40:F41"/>
    <mergeCell ref="E40:E41"/>
    <mergeCell ref="E21:E22"/>
    <mergeCell ref="E29:E30"/>
    <mergeCell ref="Y52:Y53"/>
    <mergeCell ref="Z52:Z53"/>
    <mergeCell ref="Y54:Y56"/>
    <mergeCell ref="Z54:Z56"/>
    <mergeCell ref="Y50:Y51"/>
    <mergeCell ref="Z50:Z51"/>
    <mergeCell ref="Y42:Y43"/>
    <mergeCell ref="Z42:Z43"/>
    <mergeCell ref="Y44:Y45"/>
    <mergeCell ref="Z44:Z45"/>
    <mergeCell ref="E25:E26"/>
    <mergeCell ref="F25:F26"/>
    <mergeCell ref="E27:E28"/>
    <mergeCell ref="F27:F28"/>
    <mergeCell ref="E31:E32"/>
    <mergeCell ref="F42:F43"/>
    <mergeCell ref="F44:F45"/>
    <mergeCell ref="E44:E45"/>
    <mergeCell ref="E35:E36"/>
    <mergeCell ref="F35:F36"/>
    <mergeCell ref="E37:E39"/>
    <mergeCell ref="F37:F39"/>
    <mergeCell ref="B2:B7"/>
    <mergeCell ref="B9:B11"/>
    <mergeCell ref="B12:B13"/>
    <mergeCell ref="B14:B16"/>
    <mergeCell ref="B17:B18"/>
    <mergeCell ref="B19:B20"/>
    <mergeCell ref="B21:B22"/>
    <mergeCell ref="B23:B24"/>
    <mergeCell ref="D66:D67"/>
    <mergeCell ref="B63:B65"/>
    <mergeCell ref="B66:B67"/>
    <mergeCell ref="B57:B58"/>
    <mergeCell ref="B59:B61"/>
    <mergeCell ref="D68:D69"/>
    <mergeCell ref="D70:D71"/>
    <mergeCell ref="B72:B73"/>
    <mergeCell ref="Y94:Y95"/>
    <mergeCell ref="Z94:Z95"/>
    <mergeCell ref="Y89:Y91"/>
    <mergeCell ref="Z89:Z91"/>
    <mergeCell ref="Y92:Y93"/>
    <mergeCell ref="Z92:Z93"/>
    <mergeCell ref="Y72:Y73"/>
    <mergeCell ref="Z72:Z73"/>
    <mergeCell ref="D72:D73"/>
    <mergeCell ref="D74:D78"/>
    <mergeCell ref="D79:D80"/>
    <mergeCell ref="D81:D82"/>
    <mergeCell ref="F72:F73"/>
    <mergeCell ref="E74:E76"/>
    <mergeCell ref="F74:F76"/>
    <mergeCell ref="B68:B69"/>
    <mergeCell ref="B70:B71"/>
    <mergeCell ref="B74:B76"/>
    <mergeCell ref="B77:B78"/>
    <mergeCell ref="B79:B80"/>
    <mergeCell ref="E77:E78"/>
    <mergeCell ref="Y66:Y67"/>
    <mergeCell ref="Z66:Z67"/>
    <mergeCell ref="Y68:Y69"/>
    <mergeCell ref="Z68:Z69"/>
    <mergeCell ref="Y70:Y71"/>
    <mergeCell ref="Y74:Y76"/>
    <mergeCell ref="Z74:Z76"/>
    <mergeCell ref="Y77:Y78"/>
    <mergeCell ref="Z77:Z78"/>
    <mergeCell ref="Z70:Z71"/>
    <mergeCell ref="L87:L88"/>
    <mergeCell ref="L89:L91"/>
    <mergeCell ref="D85:D86"/>
    <mergeCell ref="D83:D84"/>
    <mergeCell ref="D87:D88"/>
    <mergeCell ref="F87:F88"/>
    <mergeCell ref="Y79:Y80"/>
    <mergeCell ref="Z79:Z80"/>
    <mergeCell ref="Y81:Y82"/>
    <mergeCell ref="Z81:Z82"/>
    <mergeCell ref="Y83:Y84"/>
    <mergeCell ref="Z83:Z84"/>
    <mergeCell ref="Y85:Y86"/>
    <mergeCell ref="Z85:Z86"/>
    <mergeCell ref="Y87:Y88"/>
    <mergeCell ref="Z87:Z88"/>
    <mergeCell ref="Y100:Y101"/>
    <mergeCell ref="Z100:Z101"/>
    <mergeCell ref="Y98:Y99"/>
    <mergeCell ref="Z98:Z99"/>
    <mergeCell ref="Y96:Y97"/>
    <mergeCell ref="Z96:Z97"/>
    <mergeCell ref="L92:L93"/>
    <mergeCell ref="D89:D91"/>
    <mergeCell ref="D92:D93"/>
    <mergeCell ref="K92:K93"/>
    <mergeCell ref="K89:K91"/>
    <mergeCell ref="A40:A41"/>
    <mergeCell ref="D25:D32"/>
    <mergeCell ref="D33:D34"/>
    <mergeCell ref="D35:D43"/>
    <mergeCell ref="D44:D45"/>
    <mergeCell ref="D46:D56"/>
    <mergeCell ref="B50:B51"/>
    <mergeCell ref="B52:B53"/>
    <mergeCell ref="B54:B56"/>
    <mergeCell ref="B40:B41"/>
    <mergeCell ref="B42:B43"/>
    <mergeCell ref="B44:B45"/>
    <mergeCell ref="B46:B47"/>
    <mergeCell ref="B48:B49"/>
    <mergeCell ref="B29:B30"/>
    <mergeCell ref="B31:B32"/>
    <mergeCell ref="B33:B34"/>
    <mergeCell ref="B35:B36"/>
    <mergeCell ref="B37:B39"/>
    <mergeCell ref="B27:B28"/>
    <mergeCell ref="A50:A51"/>
    <mergeCell ref="B25:B26"/>
    <mergeCell ref="A42:A43"/>
    <mergeCell ref="A44:A45"/>
    <mergeCell ref="A2:A7"/>
    <mergeCell ref="E2:E7"/>
    <mergeCell ref="A92:A93"/>
    <mergeCell ref="A9:A11"/>
    <mergeCell ref="A12:A13"/>
    <mergeCell ref="A14:A16"/>
    <mergeCell ref="A17:A18"/>
    <mergeCell ref="A19:A20"/>
    <mergeCell ref="A21:A22"/>
    <mergeCell ref="D14:D22"/>
    <mergeCell ref="D23:D24"/>
    <mergeCell ref="C2:C102"/>
    <mergeCell ref="D2:D11"/>
    <mergeCell ref="D12:D13"/>
    <mergeCell ref="A23:A24"/>
    <mergeCell ref="A25:A26"/>
    <mergeCell ref="A27:A28"/>
    <mergeCell ref="A29:A30"/>
    <mergeCell ref="A94:A95"/>
    <mergeCell ref="A31:A32"/>
    <mergeCell ref="A33:A34"/>
    <mergeCell ref="A35:A36"/>
    <mergeCell ref="A37:A39"/>
    <mergeCell ref="A54:A56"/>
    <mergeCell ref="A72:A73"/>
    <mergeCell ref="A74:A76"/>
    <mergeCell ref="A77:A78"/>
    <mergeCell ref="A57:A58"/>
    <mergeCell ref="A59:A61"/>
    <mergeCell ref="A63:A65"/>
    <mergeCell ref="A66:A67"/>
    <mergeCell ref="A46:A47"/>
    <mergeCell ref="A48:A49"/>
    <mergeCell ref="F2:F8"/>
    <mergeCell ref="F9:F11"/>
    <mergeCell ref="E9:E11"/>
    <mergeCell ref="F12:F16"/>
    <mergeCell ref="A87:A88"/>
    <mergeCell ref="A89:A91"/>
    <mergeCell ref="A79:A80"/>
    <mergeCell ref="A81:A82"/>
    <mergeCell ref="A83:A84"/>
    <mergeCell ref="A85:A86"/>
    <mergeCell ref="A68:A69"/>
    <mergeCell ref="A70:A71"/>
    <mergeCell ref="E12:E13"/>
    <mergeCell ref="E14:E16"/>
    <mergeCell ref="E17:E18"/>
    <mergeCell ref="F17:F18"/>
    <mergeCell ref="E19:E20"/>
    <mergeCell ref="F19:F22"/>
    <mergeCell ref="F29:F30"/>
    <mergeCell ref="A52:A53"/>
    <mergeCell ref="F31:F32"/>
    <mergeCell ref="E33:E34"/>
    <mergeCell ref="F33:F34"/>
    <mergeCell ref="E23:E24"/>
    <mergeCell ref="E42:E43"/>
    <mergeCell ref="F48:F51"/>
    <mergeCell ref="F52:F53"/>
    <mergeCell ref="F54:F56"/>
    <mergeCell ref="F57:F58"/>
    <mergeCell ref="E57:E58"/>
    <mergeCell ref="E46:E47"/>
    <mergeCell ref="E48:E49"/>
    <mergeCell ref="E50:E51"/>
    <mergeCell ref="E52:E53"/>
    <mergeCell ref="E54:E56"/>
    <mergeCell ref="Z2:Z8"/>
    <mergeCell ref="K100:K101"/>
    <mergeCell ref="E94:E95"/>
    <mergeCell ref="F94:F95"/>
    <mergeCell ref="F96:F97"/>
    <mergeCell ref="E96:E97"/>
    <mergeCell ref="E98:E99"/>
    <mergeCell ref="E100:E101"/>
    <mergeCell ref="E89:E91"/>
    <mergeCell ref="F89:F91"/>
    <mergeCell ref="E92:E93"/>
    <mergeCell ref="F92:F93"/>
    <mergeCell ref="E83:E84"/>
    <mergeCell ref="F83:F84"/>
    <mergeCell ref="E85:E86"/>
    <mergeCell ref="K66:K67"/>
    <mergeCell ref="F85:F86"/>
    <mergeCell ref="E87:E88"/>
    <mergeCell ref="F59:F61"/>
    <mergeCell ref="F62:F65"/>
    <mergeCell ref="E63:E65"/>
    <mergeCell ref="E66:E67"/>
    <mergeCell ref="F66:F67"/>
    <mergeCell ref="F46:F47"/>
    <mergeCell ref="K77:K78"/>
    <mergeCell ref="L77:L78"/>
    <mergeCell ref="L83:L84"/>
    <mergeCell ref="F77:F78"/>
    <mergeCell ref="E68:E69"/>
    <mergeCell ref="F68:F69"/>
    <mergeCell ref="E70:E71"/>
    <mergeCell ref="F70:F71"/>
    <mergeCell ref="E72:E73"/>
    <mergeCell ref="I74:I75"/>
    <mergeCell ref="K68:K69"/>
    <mergeCell ref="F79:F80"/>
    <mergeCell ref="E79:E80"/>
    <mergeCell ref="E81:E82"/>
    <mergeCell ref="F81:F82"/>
    <mergeCell ref="L79:L80"/>
    <mergeCell ref="L81:L82"/>
    <mergeCell ref="K63:K65"/>
    <mergeCell ref="L63:L65"/>
    <mergeCell ref="L66:L67"/>
    <mergeCell ref="L68:L69"/>
    <mergeCell ref="K72:K73"/>
    <mergeCell ref="K70:K71"/>
    <mergeCell ref="L70:L71"/>
    <mergeCell ref="L72:L73"/>
    <mergeCell ref="L54:L56"/>
    <mergeCell ref="L52:L53"/>
    <mergeCell ref="K54:K56"/>
    <mergeCell ref="K52:K53"/>
    <mergeCell ref="K50:K51"/>
    <mergeCell ref="K48:K49"/>
    <mergeCell ref="L48:L49"/>
    <mergeCell ref="L50:L51"/>
    <mergeCell ref="K59:K61"/>
    <mergeCell ref="L59:L61"/>
    <mergeCell ref="K57:K58"/>
    <mergeCell ref="L57:L58"/>
    <mergeCell ref="K40:K41"/>
    <mergeCell ref="K37:K39"/>
    <mergeCell ref="L37:L39"/>
    <mergeCell ref="L40:L41"/>
    <mergeCell ref="K46:K47"/>
    <mergeCell ref="K44:K45"/>
    <mergeCell ref="K42:K43"/>
    <mergeCell ref="L42:L43"/>
    <mergeCell ref="L44:L45"/>
    <mergeCell ref="L46:L47"/>
    <mergeCell ref="K35:K36"/>
    <mergeCell ref="K33:K34"/>
    <mergeCell ref="K31:K32"/>
    <mergeCell ref="K29:K30"/>
    <mergeCell ref="K27:K28"/>
    <mergeCell ref="L27:L28"/>
    <mergeCell ref="L29:L30"/>
    <mergeCell ref="L31:L32"/>
    <mergeCell ref="L33:L34"/>
    <mergeCell ref="L35:L36"/>
    <mergeCell ref="P23:P24"/>
    <mergeCell ref="K19:K20"/>
    <mergeCell ref="L19:L20"/>
    <mergeCell ref="K17:K18"/>
    <mergeCell ref="K14:K16"/>
    <mergeCell ref="L14:L16"/>
    <mergeCell ref="L17:L18"/>
    <mergeCell ref="K25:K26"/>
    <mergeCell ref="K23:K24"/>
    <mergeCell ref="K21:K22"/>
    <mergeCell ref="L21:L22"/>
    <mergeCell ref="L23:L24"/>
    <mergeCell ref="L25:L26"/>
    <mergeCell ref="P12:P13"/>
    <mergeCell ref="P14:P16"/>
    <mergeCell ref="P17:P18"/>
    <mergeCell ref="P19:P20"/>
    <mergeCell ref="P21:P22"/>
    <mergeCell ref="P2:P8"/>
    <mergeCell ref="K12:K13"/>
    <mergeCell ref="L12:L13"/>
    <mergeCell ref="K9:K11"/>
    <mergeCell ref="P9:P11"/>
    <mergeCell ref="L9:L11"/>
    <mergeCell ref="P35:P36"/>
    <mergeCell ref="P37:P39"/>
    <mergeCell ref="P40:P41"/>
    <mergeCell ref="P42:P43"/>
    <mergeCell ref="P44:P45"/>
    <mergeCell ref="P25:P26"/>
    <mergeCell ref="P27:P28"/>
    <mergeCell ref="P29:P30"/>
    <mergeCell ref="P31:P32"/>
    <mergeCell ref="P33:P34"/>
    <mergeCell ref="P63:P65"/>
    <mergeCell ref="P66:P67"/>
    <mergeCell ref="P74:P76"/>
    <mergeCell ref="P77:P78"/>
    <mergeCell ref="P46:P47"/>
    <mergeCell ref="P48:P49"/>
    <mergeCell ref="P50:P51"/>
    <mergeCell ref="P52:P53"/>
    <mergeCell ref="P54:P56"/>
    <mergeCell ref="I2:I5"/>
    <mergeCell ref="P92:P93"/>
    <mergeCell ref="P94:P95"/>
    <mergeCell ref="P96:P97"/>
    <mergeCell ref="P98:P99"/>
    <mergeCell ref="P100:P101"/>
    <mergeCell ref="P79:P80"/>
    <mergeCell ref="P81:P82"/>
    <mergeCell ref="P83:P84"/>
    <mergeCell ref="P85:P86"/>
    <mergeCell ref="P87:P88"/>
    <mergeCell ref="P89:P91"/>
    <mergeCell ref="P68:P69"/>
    <mergeCell ref="P70:P71"/>
    <mergeCell ref="P72:P73"/>
    <mergeCell ref="L85:L86"/>
    <mergeCell ref="P57:P58"/>
    <mergeCell ref="L74:L76"/>
    <mergeCell ref="P59:P61"/>
    <mergeCell ref="K74:K76"/>
    <mergeCell ref="K85:K86"/>
    <mergeCell ref="K83:K84"/>
    <mergeCell ref="K81:K82"/>
    <mergeCell ref="K79:K80"/>
    <mergeCell ref="B81:B82"/>
    <mergeCell ref="B83:B84"/>
    <mergeCell ref="B85:B86"/>
    <mergeCell ref="B87:B88"/>
    <mergeCell ref="B89:B91"/>
    <mergeCell ref="A96:A97"/>
    <mergeCell ref="A100:A101"/>
    <mergeCell ref="K98:K99"/>
    <mergeCell ref="L98:L99"/>
    <mergeCell ref="K96:K97"/>
    <mergeCell ref="L96:L97"/>
    <mergeCell ref="K94:K95"/>
    <mergeCell ref="F98:F99"/>
    <mergeCell ref="F100:F101"/>
    <mergeCell ref="D94:D102"/>
    <mergeCell ref="A98:A99"/>
    <mergeCell ref="B96:B97"/>
    <mergeCell ref="B98:B99"/>
    <mergeCell ref="B100:B101"/>
    <mergeCell ref="L100:L101"/>
    <mergeCell ref="L94:L95"/>
    <mergeCell ref="B92:B93"/>
    <mergeCell ref="B94:B95"/>
    <mergeCell ref="K87:K88"/>
  </mergeCells>
  <conditionalFormatting sqref="M21">
    <cfRule type="duplicateValues" dxfId="2524" priority="1191"/>
  </conditionalFormatting>
  <conditionalFormatting sqref="M27">
    <cfRule type="duplicateValues" dxfId="2523" priority="1189"/>
  </conditionalFormatting>
  <conditionalFormatting sqref="M34">
    <cfRule type="duplicateValues" dxfId="2522" priority="1188"/>
  </conditionalFormatting>
  <conditionalFormatting sqref="M37">
    <cfRule type="duplicateValues" dxfId="2521" priority="1183"/>
  </conditionalFormatting>
  <conditionalFormatting sqref="M58">
    <cfRule type="duplicateValues" dxfId="2520" priority="1169"/>
  </conditionalFormatting>
  <conditionalFormatting sqref="M69">
    <cfRule type="duplicateValues" dxfId="2519" priority="1165"/>
  </conditionalFormatting>
  <conditionalFormatting sqref="M70:M71">
    <cfRule type="duplicateValues" dxfId="2518" priority="1178"/>
  </conditionalFormatting>
  <conditionalFormatting sqref="M73">
    <cfRule type="duplicateValues" dxfId="2517" priority="1163"/>
  </conditionalFormatting>
  <conditionalFormatting sqref="M76">
    <cfRule type="duplicateValues" dxfId="2516" priority="1161"/>
  </conditionalFormatting>
  <conditionalFormatting sqref="M80">
    <cfRule type="duplicateValues" dxfId="2515" priority="1155"/>
  </conditionalFormatting>
  <conditionalFormatting sqref="M82">
    <cfRule type="duplicateValues" dxfId="2514" priority="1171"/>
  </conditionalFormatting>
  <conditionalFormatting sqref="M84">
    <cfRule type="duplicateValues" dxfId="2513" priority="1153"/>
  </conditionalFormatting>
  <conditionalFormatting sqref="M85">
    <cfRule type="duplicateValues" dxfId="2512" priority="1194"/>
    <cfRule type="duplicateValues" dxfId="2511" priority="1196"/>
  </conditionalFormatting>
  <conditionalFormatting sqref="M88">
    <cfRule type="duplicateValues" dxfId="2510" priority="1151"/>
  </conditionalFormatting>
  <conditionalFormatting sqref="M89">
    <cfRule type="duplicateValues" dxfId="2509" priority="1149"/>
  </conditionalFormatting>
  <conditionalFormatting sqref="M93">
    <cfRule type="duplicateValues" dxfId="2508" priority="1185"/>
  </conditionalFormatting>
  <conditionalFormatting sqref="M97">
    <cfRule type="duplicateValues" dxfId="2507" priority="1147"/>
  </conditionalFormatting>
  <conditionalFormatting sqref="M101 M72 M81 M77 M74 M98:M99 M92 M83 M54:M57 M59 M61:M66 M68 M79 M86:M87 M94:M96 M1">
    <cfRule type="duplicateValues" dxfId="2506" priority="2744"/>
  </conditionalFormatting>
  <conditionalFormatting sqref="M101">
    <cfRule type="duplicateValues" dxfId="2505" priority="2790"/>
  </conditionalFormatting>
  <conditionalFormatting sqref="M102">
    <cfRule type="duplicateValues" dxfId="2504" priority="1145"/>
  </conditionalFormatting>
  <conditionalFormatting sqref="N56">
    <cfRule type="duplicateValues" dxfId="2503" priority="189"/>
  </conditionalFormatting>
  <conditionalFormatting sqref="N65">
    <cfRule type="duplicateValues" dxfId="2502" priority="186"/>
  </conditionalFormatting>
  <conditionalFormatting sqref="M75">
    <cfRule type="duplicateValues" dxfId="2501" priority="181"/>
  </conditionalFormatting>
  <conditionalFormatting sqref="N92:N93">
    <cfRule type="duplicateValues" dxfId="2500" priority="174"/>
  </conditionalFormatting>
  <conditionalFormatting sqref="N92">
    <cfRule type="duplicateValues" dxfId="2499" priority="173"/>
  </conditionalFormatting>
  <conditionalFormatting sqref="N94">
    <cfRule type="duplicateValues" dxfId="2498" priority="172"/>
  </conditionalFormatting>
  <conditionalFormatting sqref="N96">
    <cfRule type="duplicateValues" dxfId="2497" priority="171"/>
  </conditionalFormatting>
  <conditionalFormatting sqref="N98">
    <cfRule type="duplicateValues" dxfId="2496" priority="169"/>
  </conditionalFormatting>
  <conditionalFormatting sqref="N100">
    <cfRule type="duplicateValues" dxfId="2495" priority="168"/>
  </conditionalFormatting>
  <conditionalFormatting sqref="E112">
    <cfRule type="duplicateValues" dxfId="2494" priority="154"/>
  </conditionalFormatting>
  <conditionalFormatting sqref="K112">
    <cfRule type="duplicateValues" dxfId="2493" priority="166"/>
  </conditionalFormatting>
  <conditionalFormatting sqref="K112">
    <cfRule type="duplicateValues" dxfId="2492" priority="160"/>
  </conditionalFormatting>
  <conditionalFormatting sqref="L113">
    <cfRule type="duplicateValues" dxfId="2491" priority="155"/>
  </conditionalFormatting>
  <conditionalFormatting sqref="L112">
    <cfRule type="duplicateValues" dxfId="2490" priority="161"/>
  </conditionalFormatting>
  <conditionalFormatting sqref="M113">
    <cfRule type="duplicateValues" dxfId="2489" priority="156"/>
    <cfRule type="duplicateValues" dxfId="2488" priority="157"/>
    <cfRule type="duplicateValues" dxfId="2487" priority="158"/>
    <cfRule type="duplicateValues" dxfId="2486" priority="159"/>
  </conditionalFormatting>
  <conditionalFormatting sqref="M112">
    <cfRule type="duplicateValues" dxfId="2485" priority="162"/>
    <cfRule type="duplicateValues" dxfId="2484" priority="163"/>
    <cfRule type="duplicateValues" dxfId="2483" priority="164"/>
    <cfRule type="duplicateValues" dxfId="2482" priority="165"/>
  </conditionalFormatting>
  <conditionalFormatting sqref="E114">
    <cfRule type="duplicateValues" dxfId="2481" priority="147"/>
  </conditionalFormatting>
  <conditionalFormatting sqref="K114">
    <cfRule type="duplicateValues" dxfId="2480" priority="146"/>
  </conditionalFormatting>
  <conditionalFormatting sqref="K114">
    <cfRule type="duplicateValues" dxfId="2479" priority="153"/>
  </conditionalFormatting>
  <conditionalFormatting sqref="L114">
    <cfRule type="duplicateValues" dxfId="2478" priority="148"/>
  </conditionalFormatting>
  <conditionalFormatting sqref="M114">
    <cfRule type="duplicateValues" dxfId="2477" priority="149"/>
    <cfRule type="duplicateValues" dxfId="2476" priority="150"/>
    <cfRule type="duplicateValues" dxfId="2475" priority="151"/>
    <cfRule type="duplicateValues" dxfId="2474" priority="152"/>
  </conditionalFormatting>
  <conditionalFormatting sqref="E115">
    <cfRule type="duplicateValues" dxfId="2473" priority="139"/>
  </conditionalFormatting>
  <conditionalFormatting sqref="K115">
    <cfRule type="duplicateValues" dxfId="2472" priority="138"/>
  </conditionalFormatting>
  <conditionalFormatting sqref="K115">
    <cfRule type="duplicateValues" dxfId="2471" priority="145"/>
  </conditionalFormatting>
  <conditionalFormatting sqref="L115">
    <cfRule type="duplicateValues" dxfId="2470" priority="140"/>
  </conditionalFormatting>
  <conditionalFormatting sqref="M115">
    <cfRule type="duplicateValues" dxfId="2469" priority="141"/>
    <cfRule type="duplicateValues" dxfId="2468" priority="142"/>
    <cfRule type="duplicateValues" dxfId="2467" priority="143"/>
    <cfRule type="duplicateValues" dxfId="2466" priority="144"/>
  </conditionalFormatting>
  <conditionalFormatting sqref="E116">
    <cfRule type="duplicateValues" dxfId="2465" priority="131"/>
  </conditionalFormatting>
  <conditionalFormatting sqref="K116">
    <cfRule type="duplicateValues" dxfId="2464" priority="137"/>
  </conditionalFormatting>
  <conditionalFormatting sqref="K116">
    <cfRule type="duplicateValues" dxfId="2463" priority="132"/>
  </conditionalFormatting>
  <conditionalFormatting sqref="L116">
    <cfRule type="duplicateValues" dxfId="2462" priority="124"/>
  </conditionalFormatting>
  <conditionalFormatting sqref="L117">
    <cfRule type="duplicateValues" dxfId="2461" priority="126"/>
  </conditionalFormatting>
  <conditionalFormatting sqref="M117">
    <cfRule type="duplicateValues" dxfId="2460" priority="127"/>
    <cfRule type="duplicateValues" dxfId="2459" priority="128"/>
    <cfRule type="duplicateValues" dxfId="2458" priority="129"/>
    <cfRule type="duplicateValues" dxfId="2457" priority="130"/>
  </conditionalFormatting>
  <conditionalFormatting sqref="M116">
    <cfRule type="duplicateValues" dxfId="2456" priority="133"/>
    <cfRule type="duplicateValues" dxfId="2455" priority="134"/>
    <cfRule type="duplicateValues" dxfId="2454" priority="135"/>
    <cfRule type="duplicateValues" dxfId="2453" priority="136"/>
  </conditionalFormatting>
  <conditionalFormatting sqref="E118">
    <cfRule type="duplicateValues" dxfId="2452" priority="117"/>
  </conditionalFormatting>
  <conditionalFormatting sqref="K118">
    <cfRule type="duplicateValues" dxfId="2451" priority="123"/>
  </conditionalFormatting>
  <conditionalFormatting sqref="K118">
    <cfRule type="duplicateValues" dxfId="2450" priority="118"/>
  </conditionalFormatting>
  <conditionalFormatting sqref="L118">
    <cfRule type="duplicateValues" dxfId="2449" priority="116"/>
  </conditionalFormatting>
  <conditionalFormatting sqref="L119">
    <cfRule type="duplicateValues" dxfId="2448" priority="111"/>
  </conditionalFormatting>
  <conditionalFormatting sqref="M119">
    <cfRule type="duplicateValues" dxfId="2447" priority="112"/>
    <cfRule type="duplicateValues" dxfId="2446" priority="113"/>
    <cfRule type="duplicateValues" dxfId="2445" priority="114"/>
    <cfRule type="duplicateValues" dxfId="2444" priority="115"/>
  </conditionalFormatting>
  <conditionalFormatting sqref="M118">
    <cfRule type="duplicateValues" dxfId="2443" priority="119"/>
    <cfRule type="duplicateValues" dxfId="2442" priority="120"/>
    <cfRule type="duplicateValues" dxfId="2441" priority="121"/>
    <cfRule type="duplicateValues" dxfId="2440" priority="122"/>
  </conditionalFormatting>
  <conditionalFormatting sqref="E120">
    <cfRule type="duplicateValues" dxfId="2439" priority="107"/>
  </conditionalFormatting>
  <conditionalFormatting sqref="K120">
    <cfRule type="duplicateValues" dxfId="2438" priority="109"/>
  </conditionalFormatting>
  <conditionalFormatting sqref="K120">
    <cfRule type="duplicateValues" dxfId="2437" priority="108"/>
  </conditionalFormatting>
  <conditionalFormatting sqref="L120">
    <cfRule type="duplicateValues" dxfId="2436" priority="104"/>
  </conditionalFormatting>
  <conditionalFormatting sqref="M120">
    <cfRule type="duplicateValues" dxfId="2435" priority="106"/>
  </conditionalFormatting>
  <conditionalFormatting sqref="M121">
    <cfRule type="duplicateValues" dxfId="2434" priority="105"/>
  </conditionalFormatting>
  <conditionalFormatting sqref="F145 F147">
    <cfRule type="duplicateValues" dxfId="2433" priority="99"/>
  </conditionalFormatting>
  <conditionalFormatting sqref="F146">
    <cfRule type="duplicateValues" dxfId="2432" priority="98"/>
  </conditionalFormatting>
  <conditionalFormatting sqref="F148">
    <cfRule type="duplicateValues" dxfId="2431" priority="97"/>
  </conditionalFormatting>
  <conditionalFormatting sqref="F149:F150">
    <cfRule type="duplicateValues" dxfId="2430" priority="96"/>
  </conditionalFormatting>
  <conditionalFormatting sqref="E122">
    <cfRule type="duplicateValues" dxfId="2429" priority="85"/>
  </conditionalFormatting>
  <conditionalFormatting sqref="K122">
    <cfRule type="duplicateValues" dxfId="2428" priority="84"/>
  </conditionalFormatting>
  <conditionalFormatting sqref="K122">
    <cfRule type="duplicateValues" dxfId="2427" priority="95"/>
  </conditionalFormatting>
  <conditionalFormatting sqref="L122">
    <cfRule type="duplicateValues" dxfId="2426" priority="83"/>
  </conditionalFormatting>
  <conditionalFormatting sqref="L123">
    <cfRule type="duplicateValues" dxfId="2425" priority="90"/>
  </conditionalFormatting>
  <conditionalFormatting sqref="M122">
    <cfRule type="duplicateValues" dxfId="2424" priority="86"/>
    <cfRule type="duplicateValues" dxfId="2423" priority="87"/>
    <cfRule type="duplicateValues" dxfId="2422" priority="88"/>
    <cfRule type="duplicateValues" dxfId="2421" priority="89"/>
  </conditionalFormatting>
  <conditionalFormatting sqref="M123">
    <cfRule type="duplicateValues" dxfId="2420" priority="91"/>
    <cfRule type="duplicateValues" dxfId="2419" priority="92"/>
    <cfRule type="duplicateValues" dxfId="2418" priority="93"/>
    <cfRule type="duplicateValues" dxfId="2417" priority="94"/>
  </conditionalFormatting>
  <conditionalFormatting sqref="E124">
    <cfRule type="duplicateValues" dxfId="2416" priority="76"/>
  </conditionalFormatting>
  <conditionalFormatting sqref="K124">
    <cfRule type="duplicateValues" dxfId="2415" priority="75"/>
  </conditionalFormatting>
  <conditionalFormatting sqref="K124">
    <cfRule type="duplicateValues" dxfId="2414" priority="82"/>
  </conditionalFormatting>
  <conditionalFormatting sqref="L124">
    <cfRule type="duplicateValues" dxfId="2413" priority="77"/>
  </conditionalFormatting>
  <conditionalFormatting sqref="M124">
    <cfRule type="duplicateValues" dxfId="2412" priority="78"/>
    <cfRule type="duplicateValues" dxfId="2411" priority="79"/>
    <cfRule type="duplicateValues" dxfId="2410" priority="80"/>
    <cfRule type="duplicateValues" dxfId="2409" priority="81"/>
  </conditionalFormatting>
  <conditionalFormatting sqref="E125">
    <cfRule type="duplicateValues" dxfId="2408" priority="53"/>
  </conditionalFormatting>
  <conditionalFormatting sqref="K125">
    <cfRule type="duplicateValues" dxfId="2407" priority="60"/>
  </conditionalFormatting>
  <conditionalFormatting sqref="K125">
    <cfRule type="duplicateValues" dxfId="2406" priority="54"/>
  </conditionalFormatting>
  <conditionalFormatting sqref="L125">
    <cfRule type="duplicateValues" dxfId="2405" priority="55"/>
  </conditionalFormatting>
  <conditionalFormatting sqref="M125">
    <cfRule type="duplicateValues" dxfId="2404" priority="56"/>
    <cfRule type="duplicateValues" dxfId="2403" priority="57"/>
    <cfRule type="duplicateValues" dxfId="2402" priority="58"/>
    <cfRule type="duplicateValues" dxfId="2401" priority="59"/>
  </conditionalFormatting>
  <conditionalFormatting sqref="N111">
    <cfRule type="duplicateValues" dxfId="2400" priority="2805"/>
    <cfRule type="duplicateValues" dxfId="2399" priority="2806"/>
    <cfRule type="duplicateValues" dxfId="2398" priority="2807"/>
    <cfRule type="duplicateValues" dxfId="2397" priority="2808"/>
  </conditionalFormatting>
  <conditionalFormatting sqref="G136 G138">
    <cfRule type="duplicateValues" dxfId="2396" priority="13"/>
  </conditionalFormatting>
  <conditionalFormatting sqref="G141">
    <cfRule type="duplicateValues" dxfId="2395" priority="12"/>
  </conditionalFormatting>
  <conditionalFormatting sqref="G135">
    <cfRule type="duplicateValues" dxfId="2394" priority="11"/>
  </conditionalFormatting>
  <conditionalFormatting sqref="G137">
    <cfRule type="duplicateValues" dxfId="2393" priority="10"/>
  </conditionalFormatting>
  <conditionalFormatting sqref="G139">
    <cfRule type="duplicateValues" dxfId="2392" priority="9"/>
  </conditionalFormatting>
  <conditionalFormatting sqref="G140">
    <cfRule type="duplicateValues" dxfId="2391" priority="8"/>
  </conditionalFormatting>
  <conditionalFormatting sqref="G142">
    <cfRule type="duplicateValues" dxfId="2390" priority="7"/>
  </conditionalFormatting>
  <conditionalFormatting sqref="G143">
    <cfRule type="duplicateValues" dxfId="2389" priority="6"/>
  </conditionalFormatting>
  <conditionalFormatting sqref="E126">
    <cfRule type="duplicateValues" dxfId="2388" priority="2823"/>
  </conditionalFormatting>
  <conditionalFormatting sqref="K126">
    <cfRule type="duplicateValues" dxfId="2387" priority="2824"/>
  </conditionalFormatting>
  <conditionalFormatting sqref="L126">
    <cfRule type="duplicateValues" dxfId="2386" priority="2826"/>
  </conditionalFormatting>
  <conditionalFormatting sqref="M126">
    <cfRule type="duplicateValues" dxfId="2385" priority="2827"/>
    <cfRule type="duplicateValues" dxfId="2384" priority="2828"/>
    <cfRule type="duplicateValues" dxfId="2383" priority="2829"/>
    <cfRule type="duplicateValues" dxfId="2382" priority="2830"/>
  </conditionalFormatting>
  <conditionalFormatting sqref="E111">
    <cfRule type="duplicateValues" dxfId="2381" priority="2832"/>
  </conditionalFormatting>
  <conditionalFormatting sqref="K111">
    <cfRule type="duplicateValues" dxfId="2380" priority="2833"/>
  </conditionalFormatting>
  <conditionalFormatting sqref="L111">
    <cfRule type="duplicateValues" dxfId="2379" priority="2834"/>
  </conditionalFormatting>
  <conditionalFormatting sqref="M111">
    <cfRule type="duplicateValues" dxfId="2378" priority="2835"/>
    <cfRule type="duplicateValues" dxfId="2377" priority="2836"/>
    <cfRule type="duplicateValues" dxfId="2376" priority="2837"/>
    <cfRule type="duplicateValues" dxfId="2375" priority="2838"/>
  </conditionalFormatting>
  <conditionalFormatting sqref="N94:N95 N89 N76 N61:N62 N1">
    <cfRule type="duplicateValues" dxfId="2374" priority="4183"/>
  </conditionalFormatting>
  <conditionalFormatting sqref="G144">
    <cfRule type="duplicateValues" dxfId="2373" priority="5"/>
  </conditionalFormatting>
  <conditionalFormatting sqref="G145">
    <cfRule type="duplicateValues" dxfId="2372" priority="3"/>
  </conditionalFormatting>
  <conditionalFormatting sqref="G146">
    <cfRule type="duplicateValues" dxfId="2371" priority="2"/>
  </conditionalFormatting>
  <conditionalFormatting sqref="G147">
    <cfRule type="duplicateValues" dxfId="237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9"/>
  <sheetViews>
    <sheetView rightToLeft="1" workbookViewId="0">
      <pane xSplit="10" topLeftCell="L1" activePane="topRight" state="frozen"/>
      <selection pane="topRight" activeCell="C23" sqref="C23"/>
    </sheetView>
  </sheetViews>
  <sheetFormatPr defaultRowHeight="15"/>
  <cols>
    <col min="3" max="3" width="14.5703125" customWidth="1"/>
    <col min="5" max="5" width="21" customWidth="1"/>
    <col min="6" max="6" width="30.5703125" customWidth="1"/>
    <col min="8" max="8" width="19.140625" customWidth="1"/>
    <col min="9" max="9" width="18.140625" customWidth="1"/>
    <col min="11" max="11" width="47.7109375" customWidth="1"/>
    <col min="12" max="12" width="42.5703125" customWidth="1"/>
    <col min="13" max="13" width="37.140625" customWidth="1"/>
    <col min="14" max="14" width="112.5703125" customWidth="1"/>
    <col min="15" max="15" width="7" customWidth="1"/>
    <col min="16" max="16" width="30.85546875" customWidth="1"/>
    <col min="17" max="17" width="18.85546875" customWidth="1"/>
    <col min="18" max="18" width="34.42578125" customWidth="1"/>
    <col min="19" max="19" width="15.85546875" customWidth="1"/>
    <col min="20" max="20" width="17.5703125" customWidth="1"/>
    <col min="21" max="21" width="60.5703125" customWidth="1"/>
    <col min="22" max="22" width="16.85546875" customWidth="1"/>
    <col min="23" max="23" width="35" customWidth="1"/>
    <col min="24" max="24" width="56.7109375" customWidth="1"/>
    <col min="25" max="25" width="23.28515625" customWidth="1"/>
    <col min="26" max="26" width="46.5703125" customWidth="1"/>
    <col min="27" max="27" width="19.28515625" customWidth="1"/>
    <col min="28" max="28" width="58.140625" customWidth="1"/>
    <col min="29" max="29" width="14.42578125" bestFit="1" customWidth="1"/>
  </cols>
  <sheetData>
    <row r="1" spans="1:27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72" t="s">
        <v>24</v>
      </c>
      <c r="AA1" s="49" t="s">
        <v>9184</v>
      </c>
    </row>
    <row r="2" spans="1:27" s="27" customFormat="1" ht="15.75" customHeight="1">
      <c r="A2" s="1390">
        <v>1</v>
      </c>
      <c r="B2" s="1492">
        <v>275</v>
      </c>
      <c r="C2" s="1390" t="s">
        <v>1604</v>
      </c>
      <c r="D2" s="1390" t="s">
        <v>1608</v>
      </c>
      <c r="E2" s="1390" t="s">
        <v>2247</v>
      </c>
      <c r="F2" s="1390" t="s">
        <v>1796</v>
      </c>
      <c r="G2" s="28" t="s">
        <v>9143</v>
      </c>
      <c r="H2" s="662" t="s">
        <v>28</v>
      </c>
      <c r="I2" s="1390" t="s">
        <v>2286</v>
      </c>
      <c r="J2" s="69" t="s">
        <v>197</v>
      </c>
      <c r="K2" s="1488" t="s">
        <v>2248</v>
      </c>
      <c r="L2" s="1390" t="s">
        <v>2249</v>
      </c>
      <c r="M2" s="668" t="s">
        <v>2250</v>
      </c>
      <c r="N2" s="668" t="s">
        <v>2284</v>
      </c>
      <c r="O2" s="666" t="s">
        <v>43</v>
      </c>
      <c r="P2" s="1482" t="s">
        <v>2251</v>
      </c>
      <c r="Q2" s="666" t="s">
        <v>43</v>
      </c>
      <c r="R2" s="672" t="s">
        <v>2252</v>
      </c>
      <c r="S2" s="666" t="s">
        <v>43</v>
      </c>
      <c r="T2" s="1485"/>
      <c r="U2" s="1485"/>
      <c r="V2" s="1485"/>
      <c r="W2" s="672" t="s">
        <v>2287</v>
      </c>
      <c r="X2" s="1390" t="s">
        <v>2291</v>
      </c>
      <c r="Y2" s="1390" t="s">
        <v>2279</v>
      </c>
      <c r="Z2" s="1477" t="s">
        <v>2297</v>
      </c>
      <c r="AA2" s="230">
        <v>50440000</v>
      </c>
    </row>
    <row r="3" spans="1:27" s="27" customFormat="1" ht="15.75" customHeight="1">
      <c r="A3" s="1391"/>
      <c r="B3" s="1493"/>
      <c r="C3" s="1391"/>
      <c r="D3" s="1391"/>
      <c r="E3" s="1391"/>
      <c r="F3" s="1391"/>
      <c r="G3" s="28" t="s">
        <v>11861</v>
      </c>
      <c r="H3" s="30" t="s">
        <v>195</v>
      </c>
      <c r="I3" s="1391"/>
      <c r="J3" s="572" t="s">
        <v>204</v>
      </c>
      <c r="K3" s="1489"/>
      <c r="L3" s="1391"/>
      <c r="M3" s="668" t="s">
        <v>2253</v>
      </c>
      <c r="N3" s="662" t="s">
        <v>2283</v>
      </c>
      <c r="O3" s="666" t="s">
        <v>43</v>
      </c>
      <c r="P3" s="1483"/>
      <c r="Q3" s="666" t="s">
        <v>43</v>
      </c>
      <c r="R3" s="672" t="s">
        <v>2254</v>
      </c>
      <c r="S3" s="666" t="s">
        <v>43</v>
      </c>
      <c r="T3" s="1486"/>
      <c r="U3" s="1486"/>
      <c r="V3" s="1486"/>
      <c r="W3" s="672" t="s">
        <v>2288</v>
      </c>
      <c r="X3" s="1391"/>
      <c r="Y3" s="1391"/>
      <c r="Z3" s="1478"/>
      <c r="AA3" s="219">
        <v>36400000</v>
      </c>
    </row>
    <row r="4" spans="1:27" s="27" customFormat="1" ht="15.75" customHeight="1">
      <c r="A4" s="1391"/>
      <c r="B4" s="1493"/>
      <c r="C4" s="1391"/>
      <c r="D4" s="1391"/>
      <c r="E4" s="1391"/>
      <c r="F4" s="1391"/>
      <c r="G4" s="28" t="s">
        <v>9168</v>
      </c>
      <c r="H4" s="662" t="s">
        <v>249</v>
      </c>
      <c r="I4" s="1391"/>
      <c r="J4" s="572" t="s">
        <v>9170</v>
      </c>
      <c r="K4" s="1489"/>
      <c r="L4" s="1391"/>
      <c r="M4" s="1392" t="s">
        <v>2282</v>
      </c>
      <c r="N4" s="662" t="s">
        <v>14306</v>
      </c>
      <c r="O4" s="666" t="s">
        <v>43</v>
      </c>
      <c r="P4" s="1483"/>
      <c r="Q4" s="666" t="s">
        <v>43</v>
      </c>
      <c r="R4" s="1495" t="s">
        <v>2301</v>
      </c>
      <c r="S4" s="666" t="s">
        <v>43</v>
      </c>
      <c r="T4" s="1486"/>
      <c r="U4" s="1486"/>
      <c r="V4" s="1486"/>
      <c r="W4" s="672" t="s">
        <v>2289</v>
      </c>
      <c r="X4" s="1391"/>
      <c r="Y4" s="1391"/>
      <c r="Z4" s="1478"/>
      <c r="AA4" s="219">
        <v>50800000</v>
      </c>
    </row>
    <row r="5" spans="1:27" s="288" customFormat="1" ht="15.75" customHeight="1">
      <c r="A5" s="1391"/>
      <c r="B5" s="1493"/>
      <c r="C5" s="1391"/>
      <c r="D5" s="1391"/>
      <c r="E5" s="1391"/>
      <c r="F5" s="1391"/>
      <c r="G5" s="95" t="s">
        <v>9169</v>
      </c>
      <c r="H5" s="671" t="s">
        <v>7763</v>
      </c>
      <c r="I5" s="1391"/>
      <c r="J5" s="287" t="s">
        <v>205</v>
      </c>
      <c r="K5" s="1489"/>
      <c r="L5" s="1391"/>
      <c r="M5" s="1393"/>
      <c r="N5" s="671" t="s">
        <v>2281</v>
      </c>
      <c r="O5" s="664" t="s">
        <v>43</v>
      </c>
      <c r="P5" s="1483"/>
      <c r="Q5" s="664" t="s">
        <v>43</v>
      </c>
      <c r="R5" s="1496"/>
      <c r="S5" s="664" t="s">
        <v>43</v>
      </c>
      <c r="T5" s="1486"/>
      <c r="U5" s="1486"/>
      <c r="V5" s="1486"/>
      <c r="W5" s="305"/>
      <c r="X5" s="1391"/>
      <c r="Y5" s="1391"/>
      <c r="Z5" s="1478"/>
      <c r="AA5" s="348">
        <v>12800000</v>
      </c>
    </row>
    <row r="6" spans="1:27" s="27" customFormat="1" ht="15.75" customHeight="1">
      <c r="A6" s="1391"/>
      <c r="B6" s="1493"/>
      <c r="C6" s="1391"/>
      <c r="D6" s="1391"/>
      <c r="E6" s="1391"/>
      <c r="F6" s="1391"/>
      <c r="G6" s="95" t="s">
        <v>2255</v>
      </c>
      <c r="H6" s="670" t="s">
        <v>7763</v>
      </c>
      <c r="I6" s="1395"/>
      <c r="J6" s="572" t="s">
        <v>204</v>
      </c>
      <c r="K6" s="1489"/>
      <c r="L6" s="1391"/>
      <c r="M6" s="662" t="s">
        <v>2256</v>
      </c>
      <c r="N6" s="25" t="s">
        <v>2296</v>
      </c>
      <c r="O6" s="666" t="s">
        <v>43</v>
      </c>
      <c r="P6" s="1483"/>
      <c r="Q6" s="666" t="s">
        <v>43</v>
      </c>
      <c r="R6" s="672" t="s">
        <v>2300</v>
      </c>
      <c r="S6" s="666" t="s">
        <v>43</v>
      </c>
      <c r="T6" s="1486"/>
      <c r="U6" s="1486"/>
      <c r="V6" s="1486"/>
      <c r="W6" s="672" t="s">
        <v>2290</v>
      </c>
      <c r="X6" s="1395"/>
      <c r="Y6" s="1391"/>
      <c r="Z6" s="1478"/>
      <c r="AA6" s="219">
        <v>0</v>
      </c>
    </row>
    <row r="7" spans="1:27" s="27" customFormat="1" ht="15.75" customHeight="1">
      <c r="A7" s="1395"/>
      <c r="B7" s="1494"/>
      <c r="C7" s="1391"/>
      <c r="D7" s="1395"/>
      <c r="E7" s="1395"/>
      <c r="F7" s="1391"/>
      <c r="G7" s="667" t="s">
        <v>43</v>
      </c>
      <c r="H7" s="671" t="s">
        <v>14199</v>
      </c>
      <c r="I7" s="662" t="s">
        <v>45</v>
      </c>
      <c r="J7" s="572" t="s">
        <v>11886</v>
      </c>
      <c r="K7" s="1490"/>
      <c r="L7" s="1395"/>
      <c r="M7" s="668" t="s">
        <v>2257</v>
      </c>
      <c r="N7" s="662" t="s">
        <v>2285</v>
      </c>
      <c r="O7" s="666" t="s">
        <v>43</v>
      </c>
      <c r="P7" s="1484"/>
      <c r="Q7" s="666" t="s">
        <v>43</v>
      </c>
      <c r="R7" s="672" t="s">
        <v>2258</v>
      </c>
      <c r="S7" s="666" t="s">
        <v>43</v>
      </c>
      <c r="T7" s="1487"/>
      <c r="U7" s="1487"/>
      <c r="V7" s="1487"/>
      <c r="W7" s="672" t="s">
        <v>1512</v>
      </c>
      <c r="X7" s="662" t="s">
        <v>56</v>
      </c>
      <c r="Y7" s="1395"/>
      <c r="Z7" s="1479"/>
      <c r="AA7" s="219">
        <v>0</v>
      </c>
    </row>
    <row r="8" spans="1:27" s="27" customFormat="1" ht="15.75" customHeight="1">
      <c r="A8" s="687">
        <v>2</v>
      </c>
      <c r="B8" s="689">
        <v>216</v>
      </c>
      <c r="C8" s="1391"/>
      <c r="D8" s="687" t="s">
        <v>1605</v>
      </c>
      <c r="E8" s="687" t="s">
        <v>2259</v>
      </c>
      <c r="F8" s="1391"/>
      <c r="G8" s="95" t="s">
        <v>2260</v>
      </c>
      <c r="H8" s="662" t="s">
        <v>7763</v>
      </c>
      <c r="I8" s="662" t="s">
        <v>108</v>
      </c>
      <c r="J8" s="572" t="s">
        <v>2278</v>
      </c>
      <c r="K8" s="687" t="s">
        <v>2261</v>
      </c>
      <c r="L8" s="687" t="s">
        <v>14484</v>
      </c>
      <c r="M8" s="662" t="s">
        <v>14307</v>
      </c>
      <c r="N8" s="668" t="s">
        <v>2262</v>
      </c>
      <c r="O8" s="666" t="s">
        <v>43</v>
      </c>
      <c r="P8" s="690" t="s">
        <v>2830</v>
      </c>
      <c r="Q8" s="666" t="s">
        <v>43</v>
      </c>
      <c r="R8" s="672" t="s">
        <v>68</v>
      </c>
      <c r="S8" s="666" t="s">
        <v>43</v>
      </c>
      <c r="T8" s="666" t="s">
        <v>43</v>
      </c>
      <c r="U8" s="666" t="s">
        <v>43</v>
      </c>
      <c r="V8" s="666" t="s">
        <v>43</v>
      </c>
      <c r="W8" s="666" t="s">
        <v>43</v>
      </c>
      <c r="X8" s="662" t="s">
        <v>2263</v>
      </c>
      <c r="Y8" s="687" t="s">
        <v>202</v>
      </c>
      <c r="Z8" s="688" t="s">
        <v>65</v>
      </c>
      <c r="AA8" s="219">
        <v>15937500</v>
      </c>
    </row>
    <row r="9" spans="1:27" s="27" customFormat="1" ht="15.75" customHeight="1">
      <c r="A9" s="1390">
        <v>3</v>
      </c>
      <c r="B9" s="1480">
        <v>258</v>
      </c>
      <c r="C9" s="1391"/>
      <c r="D9" s="1390" t="s">
        <v>1608</v>
      </c>
      <c r="E9" s="1390" t="s">
        <v>2264</v>
      </c>
      <c r="F9" s="1391"/>
      <c r="G9" s="95" t="s">
        <v>11862</v>
      </c>
      <c r="H9" s="662" t="s">
        <v>7763</v>
      </c>
      <c r="I9" s="662" t="s">
        <v>108</v>
      </c>
      <c r="J9" s="572" t="s">
        <v>1997</v>
      </c>
      <c r="K9" s="1392" t="s">
        <v>14308</v>
      </c>
      <c r="L9" s="1392" t="s">
        <v>14483</v>
      </c>
      <c r="M9" s="668" t="s">
        <v>14309</v>
      </c>
      <c r="N9" s="662" t="s">
        <v>2265</v>
      </c>
      <c r="O9" s="666" t="s">
        <v>43</v>
      </c>
      <c r="P9" s="1482" t="s">
        <v>2831</v>
      </c>
      <c r="Q9" s="666" t="s">
        <v>43</v>
      </c>
      <c r="R9" s="672" t="s">
        <v>68</v>
      </c>
      <c r="S9" s="666" t="s">
        <v>43</v>
      </c>
      <c r="T9" s="666" t="s">
        <v>43</v>
      </c>
      <c r="U9" s="666" t="s">
        <v>43</v>
      </c>
      <c r="V9" s="666" t="s">
        <v>43</v>
      </c>
      <c r="W9" s="666" t="s">
        <v>43</v>
      </c>
      <c r="X9" s="662" t="s">
        <v>2266</v>
      </c>
      <c r="Y9" s="1390" t="s">
        <v>202</v>
      </c>
      <c r="Z9" s="1477" t="s">
        <v>65</v>
      </c>
      <c r="AA9" s="219">
        <v>8000000</v>
      </c>
    </row>
    <row r="10" spans="1:27" s="27" customFormat="1" ht="15.75" customHeight="1">
      <c r="A10" s="1395"/>
      <c r="B10" s="1491"/>
      <c r="C10" s="1391"/>
      <c r="D10" s="1395"/>
      <c r="E10" s="1395"/>
      <c r="F10" s="1391"/>
      <c r="G10" s="95" t="s">
        <v>9171</v>
      </c>
      <c r="H10" s="30" t="s">
        <v>195</v>
      </c>
      <c r="I10" s="662" t="s">
        <v>108</v>
      </c>
      <c r="J10" s="572" t="s">
        <v>199</v>
      </c>
      <c r="K10" s="1393"/>
      <c r="L10" s="1393"/>
      <c r="M10" s="668" t="s">
        <v>2267</v>
      </c>
      <c r="N10" s="662" t="s">
        <v>2299</v>
      </c>
      <c r="O10" s="666" t="s">
        <v>43</v>
      </c>
      <c r="P10" s="1484"/>
      <c r="Q10" s="666" t="s">
        <v>43</v>
      </c>
      <c r="R10" s="672" t="s">
        <v>297</v>
      </c>
      <c r="S10" s="666" t="s">
        <v>43</v>
      </c>
      <c r="T10" s="666" t="s">
        <v>43</v>
      </c>
      <c r="U10" s="666" t="s">
        <v>43</v>
      </c>
      <c r="V10" s="666" t="s">
        <v>43</v>
      </c>
      <c r="W10" s="666" t="s">
        <v>43</v>
      </c>
      <c r="X10" s="662" t="s">
        <v>299</v>
      </c>
      <c r="Y10" s="1391"/>
      <c r="Z10" s="1478"/>
      <c r="AA10" s="219">
        <v>20800000</v>
      </c>
    </row>
    <row r="11" spans="1:27" s="27" customFormat="1" ht="15.75" customHeight="1">
      <c r="A11" s="1390">
        <v>4</v>
      </c>
      <c r="B11" s="1480">
        <v>260</v>
      </c>
      <c r="C11" s="1391"/>
      <c r="D11" s="1390" t="s">
        <v>1606</v>
      </c>
      <c r="E11" s="1390" t="s">
        <v>1606</v>
      </c>
      <c r="F11" s="1391"/>
      <c r="G11" s="28" t="s">
        <v>9173</v>
      </c>
      <c r="H11" s="662" t="s">
        <v>59</v>
      </c>
      <c r="I11" s="662" t="s">
        <v>108</v>
      </c>
      <c r="J11" s="572" t="s">
        <v>205</v>
      </c>
      <c r="K11" s="1392" t="s">
        <v>14310</v>
      </c>
      <c r="L11" s="1390" t="s">
        <v>14482</v>
      </c>
      <c r="M11" s="668" t="s">
        <v>14311</v>
      </c>
      <c r="N11" s="662" t="s">
        <v>14237</v>
      </c>
      <c r="O11" s="666" t="s">
        <v>43</v>
      </c>
      <c r="P11" s="1482" t="s">
        <v>2832</v>
      </c>
      <c r="Q11" s="666" t="s">
        <v>43</v>
      </c>
      <c r="R11" s="672" t="s">
        <v>166</v>
      </c>
      <c r="S11" s="666" t="s">
        <v>43</v>
      </c>
      <c r="T11" s="666" t="s">
        <v>43</v>
      </c>
      <c r="U11" s="666" t="s">
        <v>43</v>
      </c>
      <c r="V11" s="666" t="s">
        <v>43</v>
      </c>
      <c r="W11" s="666" t="s">
        <v>43</v>
      </c>
      <c r="X11" s="662" t="s">
        <v>167</v>
      </c>
      <c r="Y11" s="1395"/>
      <c r="Z11" s="1479"/>
      <c r="AA11" s="219">
        <v>12800000</v>
      </c>
    </row>
    <row r="12" spans="1:27" s="27" customFormat="1" ht="15.75" customHeight="1">
      <c r="A12" s="1391"/>
      <c r="B12" s="1481"/>
      <c r="C12" s="1391"/>
      <c r="D12" s="1391"/>
      <c r="E12" s="1391"/>
      <c r="F12" s="1391"/>
      <c r="G12" s="28" t="s">
        <v>12047</v>
      </c>
      <c r="H12" s="30" t="s">
        <v>195</v>
      </c>
      <c r="I12" s="662" t="s">
        <v>108</v>
      </c>
      <c r="J12" s="572" t="s">
        <v>199</v>
      </c>
      <c r="K12" s="1394"/>
      <c r="L12" s="1391"/>
      <c r="M12" s="668" t="s">
        <v>2268</v>
      </c>
      <c r="N12" s="662" t="s">
        <v>11407</v>
      </c>
      <c r="O12" s="666" t="s">
        <v>43</v>
      </c>
      <c r="P12" s="1483"/>
      <c r="Q12" s="666" t="s">
        <v>43</v>
      </c>
      <c r="R12" s="672" t="s">
        <v>2269</v>
      </c>
      <c r="S12" s="666" t="s">
        <v>43</v>
      </c>
      <c r="T12" s="666" t="s">
        <v>43</v>
      </c>
      <c r="U12" s="666" t="s">
        <v>43</v>
      </c>
      <c r="V12" s="666" t="s">
        <v>43</v>
      </c>
      <c r="W12" s="666" t="s">
        <v>43</v>
      </c>
      <c r="X12" s="662" t="s">
        <v>299</v>
      </c>
      <c r="Y12" s="663" t="s">
        <v>202</v>
      </c>
      <c r="Z12" s="665" t="s">
        <v>65</v>
      </c>
      <c r="AA12" s="219">
        <v>20800000</v>
      </c>
    </row>
    <row r="13" spans="1:27" s="27" customFormat="1" ht="15.75" customHeight="1">
      <c r="A13" s="1390">
        <v>6</v>
      </c>
      <c r="B13" s="1480">
        <v>281</v>
      </c>
      <c r="C13" s="1391"/>
      <c r="D13" s="1390" t="s">
        <v>1605</v>
      </c>
      <c r="E13" s="1390" t="s">
        <v>1605</v>
      </c>
      <c r="F13" s="1391"/>
      <c r="G13" s="28" t="s">
        <v>2272</v>
      </c>
      <c r="H13" s="662" t="s">
        <v>59</v>
      </c>
      <c r="I13" s="662" t="s">
        <v>260</v>
      </c>
      <c r="J13" s="572" t="s">
        <v>205</v>
      </c>
      <c r="K13" s="1390" t="s">
        <v>14314</v>
      </c>
      <c r="L13" s="1390" t="s">
        <v>14480</v>
      </c>
      <c r="M13" s="668" t="s">
        <v>14315</v>
      </c>
      <c r="N13" s="668" t="s">
        <v>14316</v>
      </c>
      <c r="O13" s="666" t="s">
        <v>43</v>
      </c>
      <c r="P13" s="1482" t="s">
        <v>2834</v>
      </c>
      <c r="Q13" s="666" t="s">
        <v>43</v>
      </c>
      <c r="R13" s="672" t="s">
        <v>397</v>
      </c>
      <c r="S13" s="666" t="s">
        <v>43</v>
      </c>
      <c r="T13" s="666" t="s">
        <v>43</v>
      </c>
      <c r="U13" s="666" t="s">
        <v>43</v>
      </c>
      <c r="V13" s="666" t="s">
        <v>43</v>
      </c>
      <c r="W13" s="666" t="s">
        <v>43</v>
      </c>
      <c r="X13" s="662" t="s">
        <v>167</v>
      </c>
      <c r="Y13" s="1390" t="s">
        <v>202</v>
      </c>
      <c r="Z13" s="1477" t="s">
        <v>65</v>
      </c>
      <c r="AA13" s="219">
        <v>12800000</v>
      </c>
    </row>
    <row r="14" spans="1:27" s="27" customFormat="1" ht="15.75" customHeight="1">
      <c r="A14" s="1395"/>
      <c r="B14" s="1491"/>
      <c r="C14" s="1391"/>
      <c r="D14" s="1395"/>
      <c r="E14" s="1395"/>
      <c r="F14" s="1391"/>
      <c r="G14" s="28" t="s">
        <v>9175</v>
      </c>
      <c r="H14" s="30" t="s">
        <v>195</v>
      </c>
      <c r="I14" s="662" t="s">
        <v>108</v>
      </c>
      <c r="J14" s="572" t="s">
        <v>199</v>
      </c>
      <c r="K14" s="1395"/>
      <c r="L14" s="1395"/>
      <c r="M14" s="668" t="s">
        <v>2273</v>
      </c>
      <c r="N14" s="662" t="s">
        <v>11409</v>
      </c>
      <c r="O14" s="666" t="s">
        <v>43</v>
      </c>
      <c r="P14" s="1484"/>
      <c r="Q14" s="666" t="s">
        <v>43</v>
      </c>
      <c r="R14" s="672" t="s">
        <v>2274</v>
      </c>
      <c r="S14" s="666" t="s">
        <v>43</v>
      </c>
      <c r="T14" s="666" t="s">
        <v>43</v>
      </c>
      <c r="U14" s="666" t="s">
        <v>43</v>
      </c>
      <c r="V14" s="666" t="s">
        <v>43</v>
      </c>
      <c r="W14" s="666" t="s">
        <v>43</v>
      </c>
      <c r="X14" s="662" t="s">
        <v>299</v>
      </c>
      <c r="Y14" s="1395"/>
      <c r="Z14" s="1479"/>
      <c r="AA14" s="219">
        <v>20800000</v>
      </c>
    </row>
    <row r="15" spans="1:27" s="27" customFormat="1" ht="15.75" customHeight="1">
      <c r="A15" s="1390">
        <v>7</v>
      </c>
      <c r="B15" s="1480">
        <v>299</v>
      </c>
      <c r="C15" s="1391"/>
      <c r="D15" s="1390" t="s">
        <v>1607</v>
      </c>
      <c r="E15" s="1390" t="s">
        <v>1607</v>
      </c>
      <c r="F15" s="1391"/>
      <c r="G15" s="28" t="s">
        <v>2275</v>
      </c>
      <c r="H15" s="662" t="s">
        <v>59</v>
      </c>
      <c r="I15" s="662" t="s">
        <v>260</v>
      </c>
      <c r="J15" s="572" t="s">
        <v>205</v>
      </c>
      <c r="K15" s="1390" t="s">
        <v>14317</v>
      </c>
      <c r="L15" s="1390" t="s">
        <v>14479</v>
      </c>
      <c r="M15" s="668" t="s">
        <v>14318</v>
      </c>
      <c r="N15" s="668" t="s">
        <v>14319</v>
      </c>
      <c r="O15" s="666" t="s">
        <v>43</v>
      </c>
      <c r="P15" s="1482" t="s">
        <v>2835</v>
      </c>
      <c r="Q15" s="666" t="s">
        <v>43</v>
      </c>
      <c r="R15" s="672" t="s">
        <v>166</v>
      </c>
      <c r="S15" s="666" t="s">
        <v>43</v>
      </c>
      <c r="T15" s="666" t="s">
        <v>43</v>
      </c>
      <c r="U15" s="666" t="s">
        <v>43</v>
      </c>
      <c r="V15" s="666" t="s">
        <v>43</v>
      </c>
      <c r="W15" s="666" t="s">
        <v>43</v>
      </c>
      <c r="X15" s="662" t="s">
        <v>167</v>
      </c>
      <c r="Y15" s="1390" t="s">
        <v>202</v>
      </c>
      <c r="Z15" s="1477" t="s">
        <v>65</v>
      </c>
      <c r="AA15" s="219">
        <v>12800000</v>
      </c>
    </row>
    <row r="16" spans="1:27" s="27" customFormat="1" ht="16.5" customHeight="1">
      <c r="A16" s="1395"/>
      <c r="B16" s="1491"/>
      <c r="C16" s="1395"/>
      <c r="D16" s="1395"/>
      <c r="E16" s="1395"/>
      <c r="F16" s="1395"/>
      <c r="G16" s="28" t="s">
        <v>9176</v>
      </c>
      <c r="H16" s="30" t="s">
        <v>195</v>
      </c>
      <c r="I16" s="662" t="s">
        <v>108</v>
      </c>
      <c r="J16" s="572" t="s">
        <v>199</v>
      </c>
      <c r="K16" s="1395"/>
      <c r="L16" s="1395"/>
      <c r="M16" s="668" t="s">
        <v>2276</v>
      </c>
      <c r="N16" s="662" t="s">
        <v>11410</v>
      </c>
      <c r="O16" s="666" t="s">
        <v>43</v>
      </c>
      <c r="P16" s="1484"/>
      <c r="Q16" s="666" t="s">
        <v>43</v>
      </c>
      <c r="R16" s="672" t="s">
        <v>2269</v>
      </c>
      <c r="S16" s="666" t="s">
        <v>43</v>
      </c>
      <c r="T16" s="666" t="s">
        <v>43</v>
      </c>
      <c r="U16" s="666" t="s">
        <v>43</v>
      </c>
      <c r="V16" s="666" t="s">
        <v>43</v>
      </c>
      <c r="W16" s="666" t="s">
        <v>43</v>
      </c>
      <c r="X16" s="662" t="s">
        <v>299</v>
      </c>
      <c r="Y16" s="1395"/>
      <c r="Z16" s="1479"/>
      <c r="AA16" s="219">
        <v>20800000</v>
      </c>
    </row>
    <row r="17" spans="1:27" ht="19.5">
      <c r="Z17" s="289" t="s">
        <v>2280</v>
      </c>
      <c r="AA17" s="290">
        <f>SUM(AA2:AA16)</f>
        <v>295977500</v>
      </c>
    </row>
    <row r="19" spans="1:27">
      <c r="E19" s="113" t="s">
        <v>2292</v>
      </c>
    </row>
    <row r="20" spans="1:27">
      <c r="E20" s="113" t="s">
        <v>2293</v>
      </c>
    </row>
    <row r="21" spans="1:27">
      <c r="E21" s="113" t="s">
        <v>2294</v>
      </c>
    </row>
    <row r="22" spans="1:27">
      <c r="E22" s="113" t="s">
        <v>2295</v>
      </c>
    </row>
    <row r="23" spans="1:27">
      <c r="E23" s="113" t="s">
        <v>2298</v>
      </c>
    </row>
    <row r="24" spans="1:27">
      <c r="E24" s="113" t="s">
        <v>4813</v>
      </c>
    </row>
    <row r="26" spans="1:27" ht="22.5">
      <c r="A26" s="1459" t="s">
        <v>12067</v>
      </c>
      <c r="B26" s="1459"/>
      <c r="C26" s="1459"/>
      <c r="D26" s="1459"/>
      <c r="E26" s="1459"/>
      <c r="F26" s="1459"/>
      <c r="G26" s="1459"/>
    </row>
    <row r="27" spans="1:27" s="12" customFormat="1" ht="19.5">
      <c r="A27" s="34" t="s">
        <v>0</v>
      </c>
      <c r="B27" s="34" t="s">
        <v>5</v>
      </c>
      <c r="C27" s="34" t="s">
        <v>2</v>
      </c>
      <c r="D27" s="34" t="s">
        <v>3</v>
      </c>
      <c r="E27" s="1445" t="s">
        <v>88</v>
      </c>
      <c r="F27" s="1446"/>
      <c r="G27" s="34" t="s">
        <v>6</v>
      </c>
      <c r="H27" s="34" t="s">
        <v>7</v>
      </c>
      <c r="I27" s="34" t="s">
        <v>8</v>
      </c>
      <c r="J27" s="34" t="s">
        <v>196</v>
      </c>
      <c r="K27" s="34" t="s">
        <v>9</v>
      </c>
      <c r="L27" s="34" t="s">
        <v>11</v>
      </c>
      <c r="M27" s="34" t="s">
        <v>12</v>
      </c>
      <c r="N27" s="34" t="s">
        <v>216</v>
      </c>
      <c r="O27" s="34" t="s">
        <v>13</v>
      </c>
      <c r="P27" s="35" t="s">
        <v>14</v>
      </c>
      <c r="Q27" s="35" t="s">
        <v>217</v>
      </c>
      <c r="R27" s="35" t="s">
        <v>16</v>
      </c>
      <c r="S27" s="34" t="s">
        <v>17</v>
      </c>
      <c r="T27" s="34" t="s">
        <v>218</v>
      </c>
      <c r="U27" s="34" t="s">
        <v>22</v>
      </c>
      <c r="V27" s="36" t="s">
        <v>23</v>
      </c>
      <c r="W27" s="34" t="s">
        <v>24</v>
      </c>
      <c r="X27" s="58" t="s">
        <v>257</v>
      </c>
      <c r="Z27" s="358" t="s">
        <v>9683</v>
      </c>
      <c r="AA27"/>
    </row>
    <row r="32" spans="1:27" s="27" customFormat="1" ht="19.5">
      <c r="A32" s="34" t="s">
        <v>0</v>
      </c>
      <c r="B32" s="34" t="s">
        <v>5</v>
      </c>
      <c r="C32" s="34" t="s">
        <v>2</v>
      </c>
      <c r="D32" s="34" t="s">
        <v>3</v>
      </c>
      <c r="E32" s="34" t="s">
        <v>4</v>
      </c>
      <c r="F32" s="34" t="s">
        <v>256</v>
      </c>
      <c r="G32" s="34" t="s">
        <v>6</v>
      </c>
      <c r="H32" s="34" t="s">
        <v>7</v>
      </c>
      <c r="I32" s="34" t="s">
        <v>8</v>
      </c>
      <c r="J32" s="34" t="s">
        <v>233</v>
      </c>
      <c r="K32" s="34" t="s">
        <v>9</v>
      </c>
      <c r="L32" s="34" t="s">
        <v>11</v>
      </c>
      <c r="M32" s="34" t="s">
        <v>12</v>
      </c>
      <c r="N32" s="34" t="s">
        <v>216</v>
      </c>
      <c r="O32" s="34" t="s">
        <v>13</v>
      </c>
      <c r="P32" s="35" t="s">
        <v>14</v>
      </c>
      <c r="Q32" s="35" t="s">
        <v>217</v>
      </c>
      <c r="R32" s="35" t="s">
        <v>16</v>
      </c>
      <c r="S32" s="34" t="s">
        <v>17</v>
      </c>
      <c r="T32" s="34" t="s">
        <v>218</v>
      </c>
      <c r="U32" s="34" t="s">
        <v>22</v>
      </c>
      <c r="V32" s="36" t="s">
        <v>23</v>
      </c>
      <c r="W32" s="34" t="s">
        <v>24</v>
      </c>
      <c r="X32" s="58" t="s">
        <v>257</v>
      </c>
    </row>
    <row r="35" spans="6:7" ht="19.5">
      <c r="F35" s="669" t="s">
        <v>12048</v>
      </c>
      <c r="G35" s="972"/>
    </row>
    <row r="36" spans="6:7" ht="19.5">
      <c r="F36" s="897" t="s">
        <v>2302</v>
      </c>
      <c r="G36" s="972"/>
    </row>
    <row r="37" spans="6:7" ht="19.5">
      <c r="F37" s="858" t="s">
        <v>15815</v>
      </c>
      <c r="G37" s="972"/>
    </row>
    <row r="38" spans="6:7" ht="19.5">
      <c r="F38" s="897" t="s">
        <v>12058</v>
      </c>
      <c r="G38" s="972"/>
    </row>
    <row r="39" spans="6:7" ht="19.5">
      <c r="F39" s="858" t="s">
        <v>2322</v>
      </c>
      <c r="G39" s="972"/>
    </row>
  </sheetData>
  <mergeCells count="54">
    <mergeCell ref="Z15:Z16"/>
    <mergeCell ref="B13:B14"/>
    <mergeCell ref="E15:E16"/>
    <mergeCell ref="F2:F16"/>
    <mergeCell ref="L2:L7"/>
    <mergeCell ref="K9:K10"/>
    <mergeCell ref="L9:L10"/>
    <mergeCell ref="R4:R5"/>
    <mergeCell ref="L15:L16"/>
    <mergeCell ref="P13:P14"/>
    <mergeCell ref="P15:P16"/>
    <mergeCell ref="M4:M5"/>
    <mergeCell ref="K13:K14"/>
    <mergeCell ref="B9:B10"/>
    <mergeCell ref="D9:D10"/>
    <mergeCell ref="E9:E10"/>
    <mergeCell ref="A26:G26"/>
    <mergeCell ref="E27:F27"/>
    <mergeCell ref="Y13:Y14"/>
    <mergeCell ref="Z13:Z14"/>
    <mergeCell ref="L13:L14"/>
    <mergeCell ref="A15:A16"/>
    <mergeCell ref="C2:C16"/>
    <mergeCell ref="D13:D14"/>
    <mergeCell ref="D15:D16"/>
    <mergeCell ref="B15:B16"/>
    <mergeCell ref="A13:A14"/>
    <mergeCell ref="A2:A7"/>
    <mergeCell ref="B2:B7"/>
    <mergeCell ref="D2:D7"/>
    <mergeCell ref="E2:E7"/>
    <mergeCell ref="A9:A10"/>
    <mergeCell ref="E13:E14"/>
    <mergeCell ref="K15:K16"/>
    <mergeCell ref="I2:I6"/>
    <mergeCell ref="K2:K7"/>
    <mergeCell ref="Y2:Y7"/>
    <mergeCell ref="P9:P10"/>
    <mergeCell ref="Y9:Y11"/>
    <mergeCell ref="Y15:Y16"/>
    <mergeCell ref="Z2:Z7"/>
    <mergeCell ref="P2:P7"/>
    <mergeCell ref="T2:T7"/>
    <mergeCell ref="U2:U7"/>
    <mergeCell ref="V2:V7"/>
    <mergeCell ref="X2:X6"/>
    <mergeCell ref="Z9:Z11"/>
    <mergeCell ref="A11:A12"/>
    <mergeCell ref="B11:B12"/>
    <mergeCell ref="D11:D12"/>
    <mergeCell ref="E11:E12"/>
    <mergeCell ref="K11:K12"/>
    <mergeCell ref="L11:L12"/>
    <mergeCell ref="P11:P12"/>
  </mergeCells>
  <conditionalFormatting sqref="M16 M7:M8 M12 M1:M2 M4">
    <cfRule type="duplicateValues" dxfId="2369" priority="40"/>
  </conditionalFormatting>
  <conditionalFormatting sqref="M14">
    <cfRule type="duplicateValues" dxfId="2368" priority="39"/>
  </conditionalFormatting>
  <conditionalFormatting sqref="N3">
    <cfRule type="duplicateValues" dxfId="2367" priority="33"/>
  </conditionalFormatting>
  <conditionalFormatting sqref="N7">
    <cfRule type="duplicateValues" dxfId="2366" priority="32"/>
  </conditionalFormatting>
  <conditionalFormatting sqref="N8 N1:N2 N4:N5">
    <cfRule type="duplicateValues" dxfId="2365" priority="41"/>
  </conditionalFormatting>
  <conditionalFormatting sqref="N9">
    <cfRule type="duplicateValues" dxfId="2364" priority="37"/>
  </conditionalFormatting>
  <conditionalFormatting sqref="N10">
    <cfRule type="duplicateValues" dxfId="2363" priority="30"/>
  </conditionalFormatting>
  <conditionalFormatting sqref="N11">
    <cfRule type="duplicateValues" dxfId="2362" priority="36"/>
  </conditionalFormatting>
  <conditionalFormatting sqref="N12">
    <cfRule type="duplicateValues" dxfId="2361" priority="29"/>
  </conditionalFormatting>
  <conditionalFormatting sqref="N14">
    <cfRule type="duplicateValues" dxfId="2360" priority="27"/>
  </conditionalFormatting>
  <conditionalFormatting sqref="N15">
    <cfRule type="duplicateValues" dxfId="2359" priority="34"/>
  </conditionalFormatting>
  <conditionalFormatting sqref="N16">
    <cfRule type="duplicateValues" dxfId="2358" priority="26"/>
  </conditionalFormatting>
  <conditionalFormatting sqref="F37">
    <cfRule type="duplicateValues" dxfId="2357" priority="25"/>
  </conditionalFormatting>
  <conditionalFormatting sqref="F39">
    <cfRule type="duplicateValues" dxfId="2356" priority="24"/>
  </conditionalFormatting>
  <conditionalFormatting sqref="E32">
    <cfRule type="duplicateValues" dxfId="2355" priority="17"/>
  </conditionalFormatting>
  <conditionalFormatting sqref="K32">
    <cfRule type="duplicateValues" dxfId="2354" priority="18"/>
  </conditionalFormatting>
  <conditionalFormatting sqref="L32">
    <cfRule type="duplicateValues" dxfId="2353" priority="19"/>
  </conditionalFormatting>
  <conditionalFormatting sqref="M32:N32">
    <cfRule type="duplicateValues" dxfId="2352" priority="20"/>
    <cfRule type="duplicateValues" dxfId="2351" priority="21"/>
    <cfRule type="duplicateValues" dxfId="2350" priority="22"/>
    <cfRule type="duplicateValues" dxfId="2349" priority="23"/>
  </conditionalFormatting>
  <conditionalFormatting sqref="N27">
    <cfRule type="duplicateValues" dxfId="2348" priority="2"/>
    <cfRule type="duplicateValues" dxfId="2347" priority="3"/>
    <cfRule type="duplicateValues" dxfId="2346" priority="4"/>
    <cfRule type="duplicateValues" dxfId="2345" priority="5"/>
  </conditionalFormatting>
  <conditionalFormatting sqref="E27">
    <cfRule type="duplicateValues" dxfId="2344" priority="6"/>
  </conditionalFormatting>
  <conditionalFormatting sqref="K27">
    <cfRule type="duplicateValues" dxfId="2343" priority="7"/>
  </conditionalFormatting>
  <conditionalFormatting sqref="L27">
    <cfRule type="duplicateValues" dxfId="2342" priority="8"/>
  </conditionalFormatting>
  <conditionalFormatting sqref="M27">
    <cfRule type="duplicateValues" dxfId="2341" priority="9"/>
    <cfRule type="duplicateValues" dxfId="2340" priority="10"/>
    <cfRule type="duplicateValues" dxfId="2339" priority="11"/>
    <cfRule type="duplicateValues" dxfId="2338" priority="12"/>
  </conditionalFormatting>
  <conditionalFormatting sqref="N13">
    <cfRule type="duplicateValues" dxfId="2337" priority="1"/>
  </conditionalFormatting>
  <conditionalFormatting sqref="M7:M8">
    <cfRule type="duplicateValues" dxfId="2336" priority="418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3"/>
  <sheetViews>
    <sheetView rightToLeft="1" workbookViewId="0">
      <pane xSplit="10" topLeftCell="O1" activePane="topRight" state="frozen"/>
      <selection pane="topRight" activeCell="B27" sqref="B27"/>
    </sheetView>
  </sheetViews>
  <sheetFormatPr defaultRowHeight="15"/>
  <cols>
    <col min="2" max="2" width="12" customWidth="1"/>
    <col min="3" max="3" width="12.5703125" customWidth="1"/>
    <col min="5" max="5" width="12.7109375" customWidth="1"/>
    <col min="6" max="6" width="18.42578125" customWidth="1"/>
    <col min="7" max="7" width="14" customWidth="1"/>
    <col min="8" max="8" width="18.28515625" customWidth="1"/>
    <col min="9" max="9" width="17.7109375" customWidth="1"/>
    <col min="11" max="11" width="45.42578125" customWidth="1"/>
    <col min="12" max="12" width="32.42578125" customWidth="1"/>
    <col min="13" max="13" width="29.5703125" customWidth="1"/>
    <col min="14" max="14" width="66.85546875" customWidth="1"/>
    <col min="16" max="16" width="33.42578125" customWidth="1"/>
    <col min="17" max="17" width="19.85546875" customWidth="1"/>
    <col min="18" max="18" width="28.85546875" customWidth="1"/>
    <col min="19" max="19" width="18.85546875" customWidth="1"/>
    <col min="20" max="21" width="20" customWidth="1"/>
    <col min="22" max="22" width="20.42578125" customWidth="1"/>
    <col min="23" max="23" width="25.7109375" customWidth="1"/>
    <col min="24" max="24" width="57" customWidth="1"/>
    <col min="25" max="25" width="23" customWidth="1"/>
    <col min="26" max="26" width="28.85546875" customWidth="1"/>
    <col min="27" max="27" width="19.28515625" customWidth="1"/>
    <col min="28" max="28" width="79" customWidth="1"/>
    <col min="29" max="29" width="32" bestFit="1" customWidth="1"/>
  </cols>
  <sheetData>
    <row r="1" spans="1:29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233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9" s="27" customFormat="1" ht="15.75" customHeight="1">
      <c r="A2" s="1390">
        <v>1</v>
      </c>
      <c r="B2" s="1492">
        <v>246</v>
      </c>
      <c r="C2" s="1390" t="s">
        <v>1592</v>
      </c>
      <c r="D2" s="1390" t="s">
        <v>1594</v>
      </c>
      <c r="E2" s="1390" t="s">
        <v>1611</v>
      </c>
      <c r="F2" s="1390" t="s">
        <v>1592</v>
      </c>
      <c r="G2" s="95" t="s">
        <v>9144</v>
      </c>
      <c r="H2" s="653" t="s">
        <v>28</v>
      </c>
      <c r="I2" s="653" t="s">
        <v>29</v>
      </c>
      <c r="J2" s="96" t="s">
        <v>197</v>
      </c>
      <c r="K2" s="1488" t="s">
        <v>14209</v>
      </c>
      <c r="L2" s="1390" t="s">
        <v>14210</v>
      </c>
      <c r="M2" s="21" t="s">
        <v>1612</v>
      </c>
      <c r="N2" s="21" t="s">
        <v>1650</v>
      </c>
      <c r="O2" s="46" t="s">
        <v>43</v>
      </c>
      <c r="P2" s="1482" t="s">
        <v>2824</v>
      </c>
      <c r="Q2" s="46" t="s">
        <v>43</v>
      </c>
      <c r="R2" s="26" t="s">
        <v>1613</v>
      </c>
      <c r="S2" s="46" t="s">
        <v>43</v>
      </c>
      <c r="T2" s="57"/>
      <c r="U2" s="46" t="s">
        <v>43</v>
      </c>
      <c r="V2" s="46" t="s">
        <v>43</v>
      </c>
      <c r="W2" s="26" t="s">
        <v>1614</v>
      </c>
      <c r="X2" s="21" t="s">
        <v>37</v>
      </c>
      <c r="Y2" s="1390" t="s">
        <v>93</v>
      </c>
      <c r="Z2" s="1495" t="s">
        <v>484</v>
      </c>
      <c r="AA2" s="230">
        <v>50440000</v>
      </c>
    </row>
    <row r="3" spans="1:29" s="27" customFormat="1" ht="15.75" customHeight="1">
      <c r="A3" s="1391"/>
      <c r="B3" s="1493"/>
      <c r="C3" s="1391"/>
      <c r="D3" s="1391"/>
      <c r="E3" s="1391"/>
      <c r="F3" s="1391"/>
      <c r="G3" s="95" t="s">
        <v>9178</v>
      </c>
      <c r="H3" s="513" t="s">
        <v>195</v>
      </c>
      <c r="I3" s="653" t="s">
        <v>29</v>
      </c>
      <c r="J3" s="96" t="s">
        <v>204</v>
      </c>
      <c r="K3" s="1489"/>
      <c r="L3" s="1391"/>
      <c r="M3" s="21" t="s">
        <v>1615</v>
      </c>
      <c r="N3" s="21" t="s">
        <v>1651</v>
      </c>
      <c r="O3" s="46" t="s">
        <v>43</v>
      </c>
      <c r="P3" s="1483"/>
      <c r="Q3" s="46" t="s">
        <v>43</v>
      </c>
      <c r="R3" s="26" t="s">
        <v>1616</v>
      </c>
      <c r="S3" s="46" t="s">
        <v>43</v>
      </c>
      <c r="T3" s="46" t="s">
        <v>43</v>
      </c>
      <c r="U3" s="46" t="s">
        <v>43</v>
      </c>
      <c r="V3" s="46" t="s">
        <v>43</v>
      </c>
      <c r="W3" s="26" t="s">
        <v>1617</v>
      </c>
      <c r="X3" s="21" t="s">
        <v>37</v>
      </c>
      <c r="Y3" s="1391"/>
      <c r="Z3" s="1497"/>
      <c r="AA3" s="219">
        <v>36400000</v>
      </c>
    </row>
    <row r="4" spans="1:29" s="27" customFormat="1" ht="15.75" customHeight="1">
      <c r="A4" s="1391"/>
      <c r="B4" s="1493"/>
      <c r="C4" s="1391"/>
      <c r="D4" s="1391"/>
      <c r="E4" s="1391"/>
      <c r="F4" s="1391"/>
      <c r="G4" s="95" t="s">
        <v>1618</v>
      </c>
      <c r="H4" s="653" t="s">
        <v>9179</v>
      </c>
      <c r="I4" s="653" t="s">
        <v>168</v>
      </c>
      <c r="J4" s="96" t="s">
        <v>204</v>
      </c>
      <c r="K4" s="1489"/>
      <c r="L4" s="1391"/>
      <c r="M4" s="21" t="s">
        <v>14211</v>
      </c>
      <c r="N4" s="21" t="s">
        <v>14212</v>
      </c>
      <c r="O4" s="46" t="s">
        <v>43</v>
      </c>
      <c r="P4" s="1483"/>
      <c r="Q4" s="46" t="s">
        <v>43</v>
      </c>
      <c r="R4" s="28" t="s">
        <v>1619</v>
      </c>
      <c r="S4" s="46" t="s">
        <v>43</v>
      </c>
      <c r="T4" s="46" t="s">
        <v>43</v>
      </c>
      <c r="U4" s="46" t="s">
        <v>43</v>
      </c>
      <c r="V4" s="46" t="s">
        <v>43</v>
      </c>
      <c r="W4" s="46" t="s">
        <v>43</v>
      </c>
      <c r="X4" s="21" t="s">
        <v>170</v>
      </c>
      <c r="Y4" s="1391"/>
      <c r="Z4" s="1497"/>
      <c r="AA4" s="219">
        <v>15680000</v>
      </c>
    </row>
    <row r="5" spans="1:29" s="27" customFormat="1" ht="15.75" customHeight="1">
      <c r="A5" s="1391"/>
      <c r="B5" s="1493"/>
      <c r="C5" s="1391"/>
      <c r="D5" s="1391"/>
      <c r="E5" s="1391"/>
      <c r="F5" s="1391"/>
      <c r="G5" s="95" t="s">
        <v>1620</v>
      </c>
      <c r="H5" s="218" t="s">
        <v>7763</v>
      </c>
      <c r="I5" s="653" t="s">
        <v>260</v>
      </c>
      <c r="J5" s="96" t="s">
        <v>9170</v>
      </c>
      <c r="K5" s="1489"/>
      <c r="L5" s="1391"/>
      <c r="M5" s="1390" t="s">
        <v>1621</v>
      </c>
      <c r="N5" s="1390" t="s">
        <v>14208</v>
      </c>
      <c r="O5" s="46" t="s">
        <v>43</v>
      </c>
      <c r="P5" s="1483"/>
      <c r="Q5" s="26" t="s">
        <v>1622</v>
      </c>
      <c r="R5" s="26" t="s">
        <v>156</v>
      </c>
      <c r="S5" s="46" t="s">
        <v>43</v>
      </c>
      <c r="T5" s="46" t="s">
        <v>43</v>
      </c>
      <c r="U5" s="46" t="s">
        <v>43</v>
      </c>
      <c r="V5" s="46" t="s">
        <v>43</v>
      </c>
      <c r="W5" s="46" t="s">
        <v>43</v>
      </c>
      <c r="X5" s="21" t="s">
        <v>151</v>
      </c>
      <c r="Y5" s="1391"/>
      <c r="Z5" s="1497"/>
      <c r="AA5" s="219">
        <v>49600000</v>
      </c>
      <c r="AB5" s="288" t="s">
        <v>9180</v>
      </c>
      <c r="AC5" s="27" t="s">
        <v>9255</v>
      </c>
    </row>
    <row r="6" spans="1:29" s="27" customFormat="1" ht="15.75" customHeight="1">
      <c r="A6" s="1391"/>
      <c r="B6" s="1493"/>
      <c r="C6" s="1391"/>
      <c r="D6" s="1391"/>
      <c r="E6" s="1391"/>
      <c r="F6" s="1391"/>
      <c r="G6" s="95" t="s">
        <v>1623</v>
      </c>
      <c r="H6" s="653" t="s">
        <v>249</v>
      </c>
      <c r="I6" s="653" t="s">
        <v>60</v>
      </c>
      <c r="J6" s="96" t="s">
        <v>204</v>
      </c>
      <c r="K6" s="1489"/>
      <c r="L6" s="1391"/>
      <c r="M6" s="1395"/>
      <c r="N6" s="1395"/>
      <c r="O6" s="46" t="s">
        <v>43</v>
      </c>
      <c r="P6" s="1483"/>
      <c r="Q6" s="26" t="s">
        <v>1624</v>
      </c>
      <c r="R6" s="26" t="s">
        <v>1625</v>
      </c>
      <c r="S6" s="28" t="s">
        <v>438</v>
      </c>
      <c r="T6" s="46" t="s">
        <v>43</v>
      </c>
      <c r="U6" s="46" t="s">
        <v>43</v>
      </c>
      <c r="V6" s="46" t="s">
        <v>43</v>
      </c>
      <c r="W6" s="46" t="s">
        <v>43</v>
      </c>
      <c r="X6" s="21" t="s">
        <v>151</v>
      </c>
      <c r="Y6" s="1391"/>
      <c r="Z6" s="1497"/>
      <c r="AA6" s="219">
        <v>0</v>
      </c>
      <c r="AB6" s="288" t="s">
        <v>9172</v>
      </c>
      <c r="AC6" s="27" t="s">
        <v>9249</v>
      </c>
    </row>
    <row r="7" spans="1:29" s="27" customFormat="1" ht="15.75" customHeight="1">
      <c r="A7" s="1390">
        <v>3</v>
      </c>
      <c r="B7" s="1480">
        <v>293</v>
      </c>
      <c r="C7" s="1391"/>
      <c r="D7" s="1392" t="s">
        <v>1593</v>
      </c>
      <c r="E7" s="1390" t="s">
        <v>1593</v>
      </c>
      <c r="F7" s="1391"/>
      <c r="G7" s="28" t="s">
        <v>1629</v>
      </c>
      <c r="H7" s="218" t="s">
        <v>7763</v>
      </c>
      <c r="I7" s="21" t="s">
        <v>60</v>
      </c>
      <c r="J7" s="572" t="s">
        <v>199</v>
      </c>
      <c r="K7" s="1390" t="s">
        <v>14219</v>
      </c>
      <c r="L7" s="1390" t="s">
        <v>14486</v>
      </c>
      <c r="M7" s="22" t="s">
        <v>221</v>
      </c>
      <c r="N7" s="21" t="s">
        <v>14215</v>
      </c>
      <c r="O7" s="46" t="s">
        <v>43</v>
      </c>
      <c r="P7" s="1482" t="s">
        <v>2826</v>
      </c>
      <c r="Q7" s="26" t="s">
        <v>1630</v>
      </c>
      <c r="R7" s="26" t="s">
        <v>166</v>
      </c>
      <c r="S7" s="46" t="s">
        <v>43</v>
      </c>
      <c r="T7" s="46" t="s">
        <v>43</v>
      </c>
      <c r="U7" s="46" t="s">
        <v>43</v>
      </c>
      <c r="V7" s="46" t="s">
        <v>43</v>
      </c>
      <c r="W7" s="46" t="s">
        <v>43</v>
      </c>
      <c r="X7" s="21" t="s">
        <v>167</v>
      </c>
      <c r="Y7" s="1495" t="s">
        <v>202</v>
      </c>
      <c r="Z7" s="1495" t="s">
        <v>65</v>
      </c>
      <c r="AA7" s="219">
        <v>25600000</v>
      </c>
    </row>
    <row r="8" spans="1:29" s="27" customFormat="1" ht="15" customHeight="1">
      <c r="A8" s="1395"/>
      <c r="B8" s="1491"/>
      <c r="C8" s="1391"/>
      <c r="D8" s="1393"/>
      <c r="E8" s="1395"/>
      <c r="F8" s="1391"/>
      <c r="G8" s="28" t="s">
        <v>12064</v>
      </c>
      <c r="H8" s="30" t="s">
        <v>195</v>
      </c>
      <c r="I8" s="21" t="s">
        <v>168</v>
      </c>
      <c r="J8" s="572" t="s">
        <v>199</v>
      </c>
      <c r="K8" s="1395"/>
      <c r="L8" s="1395"/>
      <c r="M8" s="21" t="s">
        <v>1631</v>
      </c>
      <c r="N8" s="21" t="s">
        <v>1653</v>
      </c>
      <c r="O8" s="46" t="s">
        <v>43</v>
      </c>
      <c r="P8" s="1484"/>
      <c r="Q8" s="46" t="s">
        <v>43</v>
      </c>
      <c r="R8" s="26" t="s">
        <v>68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21" t="s">
        <v>170</v>
      </c>
      <c r="Y8" s="1496"/>
      <c r="Z8" s="1496"/>
      <c r="AA8" s="219">
        <v>20800000</v>
      </c>
      <c r="AB8" s="83"/>
    </row>
    <row r="9" spans="1:29" s="27" customFormat="1" ht="15.75" customHeight="1">
      <c r="A9" s="1390">
        <v>4</v>
      </c>
      <c r="B9" s="1480">
        <v>343</v>
      </c>
      <c r="C9" s="1391"/>
      <c r="D9" s="1390" t="s">
        <v>1594</v>
      </c>
      <c r="E9" s="1390" t="s">
        <v>1632</v>
      </c>
      <c r="F9" s="1391"/>
      <c r="G9" s="28" t="s">
        <v>9182</v>
      </c>
      <c r="H9" s="21" t="s">
        <v>9183</v>
      </c>
      <c r="I9" s="21" t="s">
        <v>168</v>
      </c>
      <c r="J9" s="572" t="s">
        <v>199</v>
      </c>
      <c r="K9" s="1390" t="s">
        <v>14220</v>
      </c>
      <c r="L9" s="1390" t="s">
        <v>14303</v>
      </c>
      <c r="M9" s="21" t="s">
        <v>14213</v>
      </c>
      <c r="N9" s="21" t="s">
        <v>1634</v>
      </c>
      <c r="O9" s="46" t="s">
        <v>43</v>
      </c>
      <c r="P9" s="1482" t="s">
        <v>2827</v>
      </c>
      <c r="Q9" s="46" t="s">
        <v>43</v>
      </c>
      <c r="R9" s="26" t="s">
        <v>255</v>
      </c>
      <c r="S9" s="46" t="s">
        <v>43</v>
      </c>
      <c r="T9" s="46" t="s">
        <v>43</v>
      </c>
      <c r="U9" s="46" t="s">
        <v>43</v>
      </c>
      <c r="V9" s="46" t="s">
        <v>43</v>
      </c>
      <c r="W9" s="26" t="s">
        <v>1635</v>
      </c>
      <c r="X9" s="21" t="s">
        <v>170</v>
      </c>
      <c r="Y9" s="1495" t="s">
        <v>202</v>
      </c>
      <c r="Z9" s="1495" t="s">
        <v>242</v>
      </c>
      <c r="AA9" s="219">
        <v>8960000</v>
      </c>
    </row>
    <row r="10" spans="1:29" s="27" customFormat="1" ht="15.75" customHeight="1">
      <c r="A10" s="1391"/>
      <c r="B10" s="1481"/>
      <c r="C10" s="1391"/>
      <c r="D10" s="1391"/>
      <c r="E10" s="1391"/>
      <c r="F10" s="1391"/>
      <c r="G10" s="28" t="s">
        <v>1636</v>
      </c>
      <c r="H10" s="30" t="s">
        <v>195</v>
      </c>
      <c r="I10" s="937" t="s">
        <v>168</v>
      </c>
      <c r="J10" s="572" t="s">
        <v>199</v>
      </c>
      <c r="K10" s="1391"/>
      <c r="L10" s="1391"/>
      <c r="M10" s="937" t="s">
        <v>1637</v>
      </c>
      <c r="N10" s="937" t="s">
        <v>1654</v>
      </c>
      <c r="O10" s="938" t="s">
        <v>43</v>
      </c>
      <c r="P10" s="1483"/>
      <c r="Q10" s="938" t="s">
        <v>43</v>
      </c>
      <c r="R10" s="940" t="s">
        <v>68</v>
      </c>
      <c r="S10" s="938" t="s">
        <v>43</v>
      </c>
      <c r="T10" s="938" t="s">
        <v>43</v>
      </c>
      <c r="U10" s="938" t="s">
        <v>43</v>
      </c>
      <c r="V10" s="938" t="s">
        <v>43</v>
      </c>
      <c r="W10" s="938" t="s">
        <v>43</v>
      </c>
      <c r="X10" s="937" t="s">
        <v>170</v>
      </c>
      <c r="Y10" s="1497"/>
      <c r="Z10" s="1497"/>
      <c r="AA10" s="219">
        <v>20800000</v>
      </c>
    </row>
    <row r="11" spans="1:29" s="27" customFormat="1" ht="19.5" customHeight="1">
      <c r="A11" s="1391"/>
      <c r="B11" s="1481"/>
      <c r="C11" s="1391"/>
      <c r="D11" s="1391"/>
      <c r="E11" s="1391"/>
      <c r="F11" s="1391"/>
      <c r="G11" s="835" t="s">
        <v>43</v>
      </c>
      <c r="H11" s="939" t="s">
        <v>84</v>
      </c>
      <c r="I11" s="937" t="s">
        <v>45</v>
      </c>
      <c r="J11" s="572" t="s">
        <v>201</v>
      </c>
      <c r="K11" s="1391"/>
      <c r="L11" s="1391"/>
      <c r="M11" s="937" t="s">
        <v>15741</v>
      </c>
      <c r="N11" s="937" t="s">
        <v>15740</v>
      </c>
      <c r="O11" s="938" t="s">
        <v>43</v>
      </c>
      <c r="P11" s="1483"/>
      <c r="Q11" s="938" t="s">
        <v>43</v>
      </c>
      <c r="R11" s="940" t="s">
        <v>48</v>
      </c>
      <c r="S11" s="938" t="s">
        <v>43</v>
      </c>
      <c r="T11" s="938" t="s">
        <v>43</v>
      </c>
      <c r="U11" s="938" t="s">
        <v>43</v>
      </c>
      <c r="V11" s="938" t="s">
        <v>43</v>
      </c>
      <c r="W11" s="940" t="s">
        <v>1822</v>
      </c>
      <c r="X11" s="937" t="s">
        <v>50</v>
      </c>
      <c r="Y11" s="1497"/>
      <c r="Z11" s="1497"/>
      <c r="AA11" s="219">
        <v>0</v>
      </c>
    </row>
    <row r="12" spans="1:29" s="27" customFormat="1" ht="15.75" customHeight="1">
      <c r="A12" s="1390">
        <v>5</v>
      </c>
      <c r="B12" s="1480">
        <v>350</v>
      </c>
      <c r="C12" s="1391"/>
      <c r="D12" s="1390" t="s">
        <v>1641</v>
      </c>
      <c r="E12" s="1390" t="s">
        <v>1641</v>
      </c>
      <c r="F12" s="1391"/>
      <c r="G12" s="28" t="s">
        <v>1642</v>
      </c>
      <c r="H12" s="218" t="s">
        <v>7763</v>
      </c>
      <c r="I12" s="21" t="s">
        <v>60</v>
      </c>
      <c r="J12" s="572" t="s">
        <v>205</v>
      </c>
      <c r="K12" s="1390" t="s">
        <v>14221</v>
      </c>
      <c r="L12" s="1390" t="s">
        <v>14304</v>
      </c>
      <c r="M12" s="22" t="s">
        <v>221</v>
      </c>
      <c r="N12" s="21" t="s">
        <v>14216</v>
      </c>
      <c r="O12" s="46" t="s">
        <v>43</v>
      </c>
      <c r="P12" s="1482" t="s">
        <v>2828</v>
      </c>
      <c r="Q12" s="26" t="s">
        <v>176</v>
      </c>
      <c r="R12" s="26" t="s">
        <v>397</v>
      </c>
      <c r="S12" s="46" t="s">
        <v>43</v>
      </c>
      <c r="T12" s="46" t="s">
        <v>43</v>
      </c>
      <c r="U12" s="46" t="s">
        <v>43</v>
      </c>
      <c r="V12" s="46" t="s">
        <v>43</v>
      </c>
      <c r="W12" s="46" t="s">
        <v>43</v>
      </c>
      <c r="X12" s="21" t="s">
        <v>167</v>
      </c>
      <c r="Y12" s="1495" t="s">
        <v>202</v>
      </c>
      <c r="Z12" s="1495" t="s">
        <v>65</v>
      </c>
      <c r="AA12" s="219">
        <v>12800000</v>
      </c>
      <c r="AB12" s="83"/>
    </row>
    <row r="13" spans="1:29" s="27" customFormat="1" ht="15.75" customHeight="1">
      <c r="A13" s="1395"/>
      <c r="B13" s="1491"/>
      <c r="C13" s="1391"/>
      <c r="D13" s="1395"/>
      <c r="E13" s="1395"/>
      <c r="F13" s="1391"/>
      <c r="G13" s="28" t="s">
        <v>1643</v>
      </c>
      <c r="H13" s="30" t="s">
        <v>195</v>
      </c>
      <c r="I13" s="21" t="s">
        <v>168</v>
      </c>
      <c r="J13" s="572" t="s">
        <v>199</v>
      </c>
      <c r="K13" s="1395"/>
      <c r="L13" s="1395"/>
      <c r="M13" s="21" t="s">
        <v>1644</v>
      </c>
      <c r="N13" s="21" t="s">
        <v>1655</v>
      </c>
      <c r="O13" s="46" t="s">
        <v>43</v>
      </c>
      <c r="P13" s="1484"/>
      <c r="Q13" s="46" t="s">
        <v>43</v>
      </c>
      <c r="R13" s="26" t="s">
        <v>68</v>
      </c>
      <c r="S13" s="46" t="s">
        <v>43</v>
      </c>
      <c r="T13" s="46" t="s">
        <v>43</v>
      </c>
      <c r="U13" s="46" t="s">
        <v>43</v>
      </c>
      <c r="V13" s="46" t="s">
        <v>43</v>
      </c>
      <c r="W13" s="46" t="s">
        <v>43</v>
      </c>
      <c r="X13" s="21" t="s">
        <v>170</v>
      </c>
      <c r="Y13" s="1496"/>
      <c r="Z13" s="1496"/>
      <c r="AA13" s="219">
        <v>20800000</v>
      </c>
    </row>
    <row r="14" spans="1:29" s="27" customFormat="1" ht="15.75" customHeight="1">
      <c r="A14" s="1390">
        <v>6</v>
      </c>
      <c r="B14" s="1480">
        <v>466</v>
      </c>
      <c r="C14" s="1391"/>
      <c r="D14" s="1390" t="s">
        <v>1645</v>
      </c>
      <c r="E14" s="1390" t="s">
        <v>1645</v>
      </c>
      <c r="F14" s="1391"/>
      <c r="G14" s="28" t="s">
        <v>1646</v>
      </c>
      <c r="H14" s="218" t="s">
        <v>7763</v>
      </c>
      <c r="I14" s="21" t="s">
        <v>60</v>
      </c>
      <c r="J14" s="572" t="s">
        <v>1649</v>
      </c>
      <c r="K14" s="1390" t="s">
        <v>14222</v>
      </c>
      <c r="L14" s="1390" t="s">
        <v>14305</v>
      </c>
      <c r="M14" s="22" t="s">
        <v>221</v>
      </c>
      <c r="N14" s="21" t="s">
        <v>14217</v>
      </c>
      <c r="O14" s="46" t="s">
        <v>43</v>
      </c>
      <c r="P14" s="1482" t="s">
        <v>2829</v>
      </c>
      <c r="Q14" s="26" t="s">
        <v>1647</v>
      </c>
      <c r="R14" s="26" t="s">
        <v>166</v>
      </c>
      <c r="S14" s="46" t="s">
        <v>43</v>
      </c>
      <c r="T14" s="46" t="s">
        <v>43</v>
      </c>
      <c r="U14" s="46" t="s">
        <v>43</v>
      </c>
      <c r="V14" s="46" t="s">
        <v>43</v>
      </c>
      <c r="W14" s="46" t="s">
        <v>43</v>
      </c>
      <c r="X14" s="21" t="s">
        <v>167</v>
      </c>
      <c r="Y14" s="1495" t="s">
        <v>202</v>
      </c>
      <c r="Z14" s="1495" t="s">
        <v>65</v>
      </c>
      <c r="AA14" s="219">
        <v>12800000</v>
      </c>
    </row>
    <row r="15" spans="1:29" s="27" customFormat="1" ht="15.75" customHeight="1">
      <c r="A15" s="1395"/>
      <c r="B15" s="1491"/>
      <c r="C15" s="1395"/>
      <c r="D15" s="1395"/>
      <c r="E15" s="1395"/>
      <c r="F15" s="1395"/>
      <c r="G15" s="28">
        <v>596861</v>
      </c>
      <c r="H15" s="30" t="s">
        <v>195</v>
      </c>
      <c r="I15" s="21" t="s">
        <v>168</v>
      </c>
      <c r="J15" s="572" t="s">
        <v>199</v>
      </c>
      <c r="K15" s="1395"/>
      <c r="L15" s="1395"/>
      <c r="M15" s="21" t="s">
        <v>1648</v>
      </c>
      <c r="N15" s="21" t="s">
        <v>1656</v>
      </c>
      <c r="O15" s="46" t="s">
        <v>43</v>
      </c>
      <c r="P15" s="1484"/>
      <c r="Q15" s="46" t="s">
        <v>43</v>
      </c>
      <c r="R15" s="26" t="s">
        <v>68</v>
      </c>
      <c r="S15" s="46" t="s">
        <v>43</v>
      </c>
      <c r="T15" s="46" t="s">
        <v>43</v>
      </c>
      <c r="U15" s="46" t="s">
        <v>43</v>
      </c>
      <c r="V15" s="46" t="s">
        <v>43</v>
      </c>
      <c r="W15" s="46" t="s">
        <v>43</v>
      </c>
      <c r="X15" s="21" t="s">
        <v>170</v>
      </c>
      <c r="Y15" s="1496"/>
      <c r="Z15" s="1496"/>
      <c r="AA15" s="219">
        <v>20800000</v>
      </c>
    </row>
    <row r="16" spans="1:29" ht="19.5">
      <c r="Z16" s="289" t="s">
        <v>2280</v>
      </c>
      <c r="AA16" s="290">
        <f>SUM(AA2:AA15)</f>
        <v>295480000</v>
      </c>
      <c r="AB16" s="27"/>
    </row>
    <row r="21" spans="1:28" ht="22.5">
      <c r="A21" s="1459" t="s">
        <v>12066</v>
      </c>
      <c r="B21" s="1459"/>
      <c r="C21" s="1459"/>
      <c r="D21" s="1459"/>
      <c r="E21" s="1459"/>
      <c r="F21" s="1459"/>
      <c r="G21" s="1459"/>
    </row>
    <row r="22" spans="1:28" s="12" customFormat="1" ht="19.5">
      <c r="A22" s="34" t="s">
        <v>0</v>
      </c>
      <c r="B22" s="34" t="s">
        <v>5</v>
      </c>
      <c r="C22" s="34" t="s">
        <v>2</v>
      </c>
      <c r="D22" s="34" t="s">
        <v>3</v>
      </c>
      <c r="E22" s="1445" t="s">
        <v>88</v>
      </c>
      <c r="F22" s="1446"/>
      <c r="G22" s="34" t="s">
        <v>6</v>
      </c>
      <c r="H22" s="34" t="s">
        <v>7</v>
      </c>
      <c r="I22" s="34" t="s">
        <v>8</v>
      </c>
      <c r="J22" s="34" t="s">
        <v>196</v>
      </c>
      <c r="K22" s="34" t="s">
        <v>9</v>
      </c>
      <c r="L22" s="34" t="s">
        <v>11</v>
      </c>
      <c r="M22" s="34" t="s">
        <v>12</v>
      </c>
      <c r="N22" s="34" t="s">
        <v>216</v>
      </c>
      <c r="O22" s="34" t="s">
        <v>13</v>
      </c>
      <c r="P22" s="35" t="s">
        <v>14</v>
      </c>
      <c r="Q22" s="35" t="s">
        <v>217</v>
      </c>
      <c r="R22" s="35" t="s">
        <v>16</v>
      </c>
      <c r="S22" s="34" t="s">
        <v>17</v>
      </c>
      <c r="T22" s="34" t="s">
        <v>218</v>
      </c>
      <c r="U22" s="34" t="s">
        <v>22</v>
      </c>
      <c r="V22" s="36" t="s">
        <v>23</v>
      </c>
      <c r="W22" s="34" t="s">
        <v>24</v>
      </c>
      <c r="X22" s="58" t="s">
        <v>257</v>
      </c>
      <c r="Z22" s="358" t="s">
        <v>9683</v>
      </c>
      <c r="AA22"/>
    </row>
    <row r="24" spans="1:28" ht="19.5">
      <c r="K24" s="568" t="s">
        <v>12013</v>
      </c>
      <c r="W24" s="289" t="s">
        <v>2280</v>
      </c>
      <c r="X24" s="290">
        <v>14624000</v>
      </c>
      <c r="AA24" s="27"/>
      <c r="AB24" s="27"/>
    </row>
    <row r="25" spans="1:28" ht="19.5">
      <c r="K25" s="571" t="s">
        <v>1657</v>
      </c>
      <c r="AA25" s="27"/>
      <c r="AB25" s="27"/>
    </row>
    <row r="26" spans="1:28" ht="19.5">
      <c r="K26" s="571" t="s">
        <v>1665</v>
      </c>
      <c r="M26" s="881" t="s">
        <v>12013</v>
      </c>
      <c r="AA26" s="27"/>
      <c r="AB26" s="27"/>
    </row>
    <row r="27" spans="1:28" ht="19.5">
      <c r="K27" s="571" t="s">
        <v>1668</v>
      </c>
      <c r="M27" s="896" t="s">
        <v>15561</v>
      </c>
      <c r="AA27" s="27"/>
      <c r="AB27" s="27"/>
    </row>
    <row r="28" spans="1:28" ht="18">
      <c r="M28" s="896" t="s">
        <v>15562</v>
      </c>
      <c r="AA28" s="27"/>
      <c r="AB28" s="27"/>
    </row>
    <row r="29" spans="1:28" ht="18">
      <c r="M29" s="896" t="s">
        <v>1668</v>
      </c>
      <c r="AA29" s="27"/>
      <c r="AB29" s="27"/>
    </row>
    <row r="30" spans="1:28" ht="18">
      <c r="M30" s="19"/>
      <c r="AA30" s="27"/>
      <c r="AB30" s="27"/>
    </row>
    <row r="31" spans="1:28" ht="18">
      <c r="M31" s="19"/>
      <c r="AA31" s="27"/>
      <c r="AB31" s="27"/>
    </row>
    <row r="32" spans="1:28" ht="18">
      <c r="M32" s="19"/>
      <c r="AA32" s="27"/>
      <c r="AB32" s="27"/>
    </row>
    <row r="33" spans="27:28" ht="18">
      <c r="AA33" s="27"/>
      <c r="AB33" s="27"/>
    </row>
  </sheetData>
  <mergeCells count="51">
    <mergeCell ref="A21:G21"/>
    <mergeCell ref="E22:F22"/>
    <mergeCell ref="A14:A15"/>
    <mergeCell ref="A2:A6"/>
    <mergeCell ref="A7:A8"/>
    <mergeCell ref="A9:A11"/>
    <mergeCell ref="A12:A13"/>
    <mergeCell ref="B14:B15"/>
    <mergeCell ref="E14:E15"/>
    <mergeCell ref="C2:C15"/>
    <mergeCell ref="D2:D6"/>
    <mergeCell ref="D7:D8"/>
    <mergeCell ref="D9:D11"/>
    <mergeCell ref="D12:D13"/>
    <mergeCell ref="D14:D15"/>
    <mergeCell ref="E7:E8"/>
    <mergeCell ref="Y2:Y6"/>
    <mergeCell ref="Z2:Z6"/>
    <mergeCell ref="Y7:Y8"/>
    <mergeCell ref="Z7:Z8"/>
    <mergeCell ref="Y9:Y11"/>
    <mergeCell ref="Z9:Z11"/>
    <mergeCell ref="Y12:Y13"/>
    <mergeCell ref="Z12:Z13"/>
    <mergeCell ref="Y14:Y15"/>
    <mergeCell ref="Z14:Z15"/>
    <mergeCell ref="B2:B6"/>
    <mergeCell ref="B7:B8"/>
    <mergeCell ref="P7:P8"/>
    <mergeCell ref="E2:E6"/>
    <mergeCell ref="B9:B11"/>
    <mergeCell ref="B12:B13"/>
    <mergeCell ref="K14:K15"/>
    <mergeCell ref="L14:L15"/>
    <mergeCell ref="K7:K8"/>
    <mergeCell ref="L7:L8"/>
    <mergeCell ref="K9:K11"/>
    <mergeCell ref="L9:L11"/>
    <mergeCell ref="E9:E11"/>
    <mergeCell ref="E12:E13"/>
    <mergeCell ref="P9:P11"/>
    <mergeCell ref="P12:P13"/>
    <mergeCell ref="L12:L13"/>
    <mergeCell ref="P14:P15"/>
    <mergeCell ref="F2:F15"/>
    <mergeCell ref="M5:M6"/>
    <mergeCell ref="N5:N6"/>
    <mergeCell ref="K2:K6"/>
    <mergeCell ref="L2:L6"/>
    <mergeCell ref="P2:P6"/>
    <mergeCell ref="K12:K13"/>
  </mergeCells>
  <conditionalFormatting sqref="N3">
    <cfRule type="duplicateValues" dxfId="2335" priority="96"/>
  </conditionalFormatting>
  <conditionalFormatting sqref="N8">
    <cfRule type="duplicateValues" dxfId="2334" priority="93"/>
  </conditionalFormatting>
  <conditionalFormatting sqref="N13">
    <cfRule type="duplicateValues" dxfId="2333" priority="91"/>
  </conditionalFormatting>
  <conditionalFormatting sqref="N15">
    <cfRule type="duplicateValues" dxfId="2332" priority="90"/>
  </conditionalFormatting>
  <conditionalFormatting sqref="K25">
    <cfRule type="duplicateValues" dxfId="2331" priority="18"/>
  </conditionalFormatting>
  <conditionalFormatting sqref="K26">
    <cfRule type="duplicateValues" dxfId="2330" priority="17"/>
  </conditionalFormatting>
  <conditionalFormatting sqref="K27">
    <cfRule type="duplicateValues" dxfId="2329" priority="16"/>
  </conditionalFormatting>
  <conditionalFormatting sqref="N22">
    <cfRule type="duplicateValues" dxfId="2328" priority="5"/>
    <cfRule type="duplicateValues" dxfId="2327" priority="6"/>
    <cfRule type="duplicateValues" dxfId="2326" priority="7"/>
    <cfRule type="duplicateValues" dxfId="2325" priority="8"/>
  </conditionalFormatting>
  <conditionalFormatting sqref="E22">
    <cfRule type="duplicateValues" dxfId="2324" priority="9"/>
  </conditionalFormatting>
  <conditionalFormatting sqref="K22">
    <cfRule type="duplicateValues" dxfId="2323" priority="10"/>
  </conditionalFormatting>
  <conditionalFormatting sqref="L22">
    <cfRule type="duplicateValues" dxfId="2322" priority="11"/>
  </conditionalFormatting>
  <conditionalFormatting sqref="M22">
    <cfRule type="duplicateValues" dxfId="2321" priority="12"/>
    <cfRule type="duplicateValues" dxfId="2320" priority="13"/>
    <cfRule type="duplicateValues" dxfId="2319" priority="14"/>
    <cfRule type="duplicateValues" dxfId="2318" priority="15"/>
  </conditionalFormatting>
  <conditionalFormatting sqref="M1">
    <cfRule type="duplicateValues" dxfId="2317" priority="4139"/>
    <cfRule type="duplicateValues" dxfId="2316" priority="4140"/>
  </conditionalFormatting>
  <conditionalFormatting sqref="N1">
    <cfRule type="duplicateValues" dxfId="2315" priority="4141"/>
  </conditionalFormatting>
  <conditionalFormatting sqref="N10">
    <cfRule type="duplicateValues" dxfId="2314" priority="4"/>
  </conditionalFormatting>
  <conditionalFormatting sqref="N11">
    <cfRule type="duplicateValues" dxfId="2313" priority="1"/>
  </conditionalFormatting>
  <conditionalFormatting sqref="M11">
    <cfRule type="duplicateValues" dxfId="2312" priority="2"/>
    <cfRule type="duplicateValues" dxfId="2311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3"/>
  <sheetViews>
    <sheetView rightToLeft="1" workbookViewId="0">
      <selection activeCell="C24" sqref="C24"/>
    </sheetView>
  </sheetViews>
  <sheetFormatPr defaultRowHeight="15"/>
  <cols>
    <col min="2" max="2" width="14.28515625" customWidth="1"/>
    <col min="3" max="3" width="26" customWidth="1"/>
    <col min="5" max="5" width="22.28515625" customWidth="1"/>
    <col min="6" max="6" width="18.85546875" customWidth="1"/>
    <col min="7" max="7" width="13.28515625" customWidth="1"/>
    <col min="8" max="8" width="17.5703125" customWidth="1"/>
    <col min="9" max="9" width="17.85546875" customWidth="1"/>
    <col min="11" max="11" width="34.7109375" customWidth="1"/>
    <col min="12" max="12" width="27.85546875" customWidth="1"/>
    <col min="13" max="13" width="20.85546875" customWidth="1"/>
    <col min="14" max="14" width="47.5703125" customWidth="1"/>
    <col min="16" max="16" width="33.42578125" customWidth="1"/>
    <col min="17" max="17" width="21.42578125" customWidth="1"/>
    <col min="18" max="18" width="23" customWidth="1"/>
    <col min="20" max="20" width="23.5703125" customWidth="1"/>
    <col min="21" max="21" width="33.5703125" customWidth="1"/>
    <col min="22" max="22" width="19.140625" customWidth="1"/>
    <col min="23" max="23" width="32" customWidth="1"/>
    <col min="24" max="24" width="41.28515625" customWidth="1"/>
    <col min="25" max="25" width="27.140625" customWidth="1"/>
    <col min="26" max="26" width="30.7109375" customWidth="1"/>
    <col min="27" max="27" width="19.28515625" customWidth="1"/>
    <col min="28" max="28" width="25.140625" customWidth="1"/>
  </cols>
  <sheetData>
    <row r="1" spans="1:27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27" customFormat="1" ht="15.75" customHeight="1">
      <c r="A2" s="1390">
        <v>1</v>
      </c>
      <c r="B2" s="1492">
        <v>384</v>
      </c>
      <c r="C2" s="1452" t="s">
        <v>2554</v>
      </c>
      <c r="D2" s="1452" t="s">
        <v>2555</v>
      </c>
      <c r="E2" s="1452" t="s">
        <v>2555</v>
      </c>
      <c r="F2" s="1452" t="s">
        <v>1592</v>
      </c>
      <c r="G2" s="28" t="s">
        <v>2556</v>
      </c>
      <c r="H2" s="802" t="s">
        <v>28</v>
      </c>
      <c r="I2" s="1452" t="s">
        <v>29</v>
      </c>
      <c r="J2" s="572" t="s">
        <v>204</v>
      </c>
      <c r="K2" s="1504" t="s">
        <v>2557</v>
      </c>
      <c r="L2" s="1452" t="s">
        <v>15228</v>
      </c>
      <c r="M2" s="21" t="s">
        <v>2558</v>
      </c>
      <c r="N2" s="21" t="s">
        <v>2927</v>
      </c>
      <c r="O2" s="46" t="s">
        <v>43</v>
      </c>
      <c r="P2" s="1482" t="s">
        <v>2559</v>
      </c>
      <c r="Q2" s="46" t="s">
        <v>43</v>
      </c>
      <c r="R2" s="26" t="s">
        <v>240</v>
      </c>
      <c r="S2" s="46" t="s">
        <v>43</v>
      </c>
      <c r="T2" s="1498" t="s">
        <v>2950</v>
      </c>
      <c r="U2" s="1501" t="s">
        <v>43</v>
      </c>
      <c r="V2" s="1501" t="s">
        <v>43</v>
      </c>
      <c r="W2" s="26" t="s">
        <v>2560</v>
      </c>
      <c r="X2" s="1390" t="s">
        <v>450</v>
      </c>
      <c r="Y2" s="1390" t="s">
        <v>93</v>
      </c>
      <c r="Z2" s="1495" t="s">
        <v>65</v>
      </c>
      <c r="AA2" s="230">
        <v>36400000</v>
      </c>
    </row>
    <row r="3" spans="1:27" s="27" customFormat="1" ht="15.75" customHeight="1">
      <c r="A3" s="1391"/>
      <c r="B3" s="1493"/>
      <c r="C3" s="1452"/>
      <c r="D3" s="1452"/>
      <c r="E3" s="1452"/>
      <c r="F3" s="1452"/>
      <c r="G3" s="804" t="s">
        <v>11859</v>
      </c>
      <c r="H3" s="30" t="s">
        <v>195</v>
      </c>
      <c r="I3" s="1452"/>
      <c r="J3" s="572" t="s">
        <v>204</v>
      </c>
      <c r="K3" s="1504"/>
      <c r="L3" s="1452"/>
      <c r="M3" s="21" t="s">
        <v>2561</v>
      </c>
      <c r="N3" s="21" t="s">
        <v>2928</v>
      </c>
      <c r="O3" s="46" t="s">
        <v>43</v>
      </c>
      <c r="P3" s="1483"/>
      <c r="Q3" s="46" t="s">
        <v>43</v>
      </c>
      <c r="R3" s="26" t="s">
        <v>246</v>
      </c>
      <c r="S3" s="46" t="s">
        <v>43</v>
      </c>
      <c r="T3" s="1499"/>
      <c r="U3" s="1502"/>
      <c r="V3" s="1502"/>
      <c r="W3" s="26" t="s">
        <v>1781</v>
      </c>
      <c r="X3" s="1391"/>
      <c r="Y3" s="1391"/>
      <c r="Z3" s="1497"/>
      <c r="AA3" s="219">
        <v>36400000</v>
      </c>
    </row>
    <row r="4" spans="1:27" s="27" customFormat="1" ht="15.75" customHeight="1">
      <c r="A4" s="1391"/>
      <c r="B4" s="1493"/>
      <c r="C4" s="1452"/>
      <c r="D4" s="1452"/>
      <c r="E4" s="1452"/>
      <c r="F4" s="1452"/>
      <c r="G4" s="28" t="s">
        <v>9185</v>
      </c>
      <c r="H4" s="802" t="s">
        <v>40</v>
      </c>
      <c r="I4" s="1452"/>
      <c r="J4" s="572" t="s">
        <v>204</v>
      </c>
      <c r="K4" s="1504"/>
      <c r="L4" s="1452"/>
      <c r="M4" s="21" t="s">
        <v>15229</v>
      </c>
      <c r="N4" s="21" t="s">
        <v>15230</v>
      </c>
      <c r="O4" s="46" t="s">
        <v>43</v>
      </c>
      <c r="P4" s="1483"/>
      <c r="Q4" s="46" t="s">
        <v>43</v>
      </c>
      <c r="R4" s="26" t="s">
        <v>1616</v>
      </c>
      <c r="S4" s="46" t="s">
        <v>43</v>
      </c>
      <c r="T4" s="1500"/>
      <c r="U4" s="1503"/>
      <c r="V4" s="1503"/>
      <c r="W4" s="26" t="s">
        <v>2562</v>
      </c>
      <c r="X4" s="1395"/>
      <c r="Y4" s="1391"/>
      <c r="Z4" s="1497"/>
      <c r="AA4" s="219">
        <v>0</v>
      </c>
    </row>
    <row r="5" spans="1:27" s="27" customFormat="1" ht="19.5" customHeight="1">
      <c r="A5" s="1391"/>
      <c r="B5" s="1493"/>
      <c r="C5" s="1452"/>
      <c r="D5" s="1452"/>
      <c r="E5" s="1452"/>
      <c r="F5" s="1452"/>
      <c r="G5" s="804" t="s">
        <v>43</v>
      </c>
      <c r="H5" s="803" t="s">
        <v>84</v>
      </c>
      <c r="I5" s="802" t="s">
        <v>45</v>
      </c>
      <c r="J5" s="572" t="s">
        <v>201</v>
      </c>
      <c r="K5" s="1504"/>
      <c r="L5" s="1452"/>
      <c r="M5" s="21" t="s">
        <v>2563</v>
      </c>
      <c r="N5" s="21" t="s">
        <v>2564</v>
      </c>
      <c r="O5" s="46" t="s">
        <v>43</v>
      </c>
      <c r="P5" s="1483"/>
      <c r="Q5" s="46" t="s">
        <v>43</v>
      </c>
      <c r="R5" s="26" t="s">
        <v>48</v>
      </c>
      <c r="S5" s="46" t="s">
        <v>43</v>
      </c>
      <c r="T5" s="46" t="s">
        <v>43</v>
      </c>
      <c r="U5" s="46" t="s">
        <v>43</v>
      </c>
      <c r="V5" s="46" t="s">
        <v>43</v>
      </c>
      <c r="W5" s="26" t="s">
        <v>1822</v>
      </c>
      <c r="X5" s="21" t="s">
        <v>50</v>
      </c>
      <c r="Y5" s="1391"/>
      <c r="Z5" s="1497"/>
      <c r="AA5" s="219">
        <v>0</v>
      </c>
    </row>
    <row r="6" spans="1:27" s="27" customFormat="1" ht="15.75" customHeight="1">
      <c r="A6" s="1395"/>
      <c r="B6" s="1494"/>
      <c r="C6" s="1452"/>
      <c r="D6" s="1452"/>
      <c r="E6" s="1452"/>
      <c r="F6" s="1452"/>
      <c r="G6" s="804" t="s">
        <v>43</v>
      </c>
      <c r="H6" s="805" t="s">
        <v>15212</v>
      </c>
      <c r="I6" s="802" t="s">
        <v>45</v>
      </c>
      <c r="J6" s="572" t="s">
        <v>11886</v>
      </c>
      <c r="K6" s="1504"/>
      <c r="L6" s="1452"/>
      <c r="M6" s="21" t="s">
        <v>2565</v>
      </c>
      <c r="N6" s="21" t="s">
        <v>2929</v>
      </c>
      <c r="O6" s="46" t="s">
        <v>43</v>
      </c>
      <c r="P6" s="1484"/>
      <c r="Q6" s="46" t="s">
        <v>43</v>
      </c>
      <c r="R6" s="26" t="s">
        <v>54</v>
      </c>
      <c r="S6" s="46" t="s">
        <v>43</v>
      </c>
      <c r="T6" s="46" t="s">
        <v>43</v>
      </c>
      <c r="U6" s="46" t="s">
        <v>43</v>
      </c>
      <c r="V6" s="46" t="s">
        <v>43</v>
      </c>
      <c r="W6" s="26" t="s">
        <v>1512</v>
      </c>
      <c r="X6" s="21" t="s">
        <v>56</v>
      </c>
      <c r="Y6" s="1395"/>
      <c r="Z6" s="1496"/>
      <c r="AA6" s="219">
        <v>0</v>
      </c>
    </row>
    <row r="7" spans="1:27" s="27" customFormat="1" ht="15.75" customHeight="1">
      <c r="A7" s="1390">
        <v>2</v>
      </c>
      <c r="B7" s="1480">
        <v>403</v>
      </c>
      <c r="C7" s="1452"/>
      <c r="D7" s="1452"/>
      <c r="E7" s="1452" t="s">
        <v>2566</v>
      </c>
      <c r="F7" s="1452"/>
      <c r="G7" s="28" t="s">
        <v>9186</v>
      </c>
      <c r="H7" s="802" t="s">
        <v>1659</v>
      </c>
      <c r="I7" s="802" t="s">
        <v>108</v>
      </c>
      <c r="J7" s="572" t="s">
        <v>205</v>
      </c>
      <c r="K7" s="1452" t="s">
        <v>15223</v>
      </c>
      <c r="L7" s="1452" t="s">
        <v>15224</v>
      </c>
      <c r="M7" s="21" t="s">
        <v>15225</v>
      </c>
      <c r="N7" s="21" t="s">
        <v>15226</v>
      </c>
      <c r="O7" s="46" t="s">
        <v>43</v>
      </c>
      <c r="P7" s="1482" t="s">
        <v>2567</v>
      </c>
      <c r="Q7" s="46" t="s">
        <v>43</v>
      </c>
      <c r="R7" s="26" t="s">
        <v>2274</v>
      </c>
      <c r="S7" s="26" t="s">
        <v>438</v>
      </c>
      <c r="T7" s="46" t="s">
        <v>43</v>
      </c>
      <c r="U7" s="46" t="s">
        <v>43</v>
      </c>
      <c r="V7" s="46" t="s">
        <v>43</v>
      </c>
      <c r="W7" s="46" t="s">
        <v>43</v>
      </c>
      <c r="X7" s="21" t="s">
        <v>299</v>
      </c>
      <c r="Y7" s="1495" t="s">
        <v>202</v>
      </c>
      <c r="Z7" s="1495" t="s">
        <v>65</v>
      </c>
      <c r="AA7" s="219">
        <v>4000000</v>
      </c>
    </row>
    <row r="8" spans="1:27" s="27" customFormat="1" ht="15.75" customHeight="1">
      <c r="A8" s="1391"/>
      <c r="B8" s="1481"/>
      <c r="C8" s="1452"/>
      <c r="D8" s="1452"/>
      <c r="E8" s="1452"/>
      <c r="F8" s="1452"/>
      <c r="G8" s="28" t="s">
        <v>9187</v>
      </c>
      <c r="H8" s="30" t="s">
        <v>195</v>
      </c>
      <c r="I8" s="802" t="s">
        <v>108</v>
      </c>
      <c r="J8" s="572" t="s">
        <v>199</v>
      </c>
      <c r="K8" s="1452"/>
      <c r="L8" s="1452"/>
      <c r="M8" s="21" t="s">
        <v>2568</v>
      </c>
      <c r="N8" s="21" t="s">
        <v>2930</v>
      </c>
      <c r="O8" s="46" t="s">
        <v>43</v>
      </c>
      <c r="P8" s="1483"/>
      <c r="Q8" s="46" t="s">
        <v>43</v>
      </c>
      <c r="R8" s="26" t="s">
        <v>2269</v>
      </c>
      <c r="S8" s="26" t="s">
        <v>2569</v>
      </c>
      <c r="T8" s="46" t="s">
        <v>43</v>
      </c>
      <c r="U8" s="46" t="s">
        <v>43</v>
      </c>
      <c r="V8" s="46" t="s">
        <v>43</v>
      </c>
      <c r="W8" s="46" t="s">
        <v>43</v>
      </c>
      <c r="X8" s="21" t="s">
        <v>299</v>
      </c>
      <c r="Y8" s="1497"/>
      <c r="Z8" s="1497"/>
      <c r="AA8" s="219">
        <v>20800000</v>
      </c>
    </row>
    <row r="9" spans="1:27" s="27" customFormat="1" ht="15.75" customHeight="1">
      <c r="A9" s="1390">
        <v>3</v>
      </c>
      <c r="B9" s="1480">
        <v>417</v>
      </c>
      <c r="C9" s="1452"/>
      <c r="D9" s="1452" t="s">
        <v>2570</v>
      </c>
      <c r="E9" s="1452" t="s">
        <v>2571</v>
      </c>
      <c r="F9" s="1452"/>
      <c r="G9" s="28" t="s">
        <v>2572</v>
      </c>
      <c r="H9" s="802" t="s">
        <v>1659</v>
      </c>
      <c r="I9" s="802" t="s">
        <v>108</v>
      </c>
      <c r="J9" s="572" t="s">
        <v>199</v>
      </c>
      <c r="K9" s="1452" t="s">
        <v>15219</v>
      </c>
      <c r="L9" s="1452" t="s">
        <v>15220</v>
      </c>
      <c r="M9" s="21" t="s">
        <v>15221</v>
      </c>
      <c r="N9" s="21" t="s">
        <v>15222</v>
      </c>
      <c r="O9" s="46" t="s">
        <v>43</v>
      </c>
      <c r="P9" s="1482" t="s">
        <v>2573</v>
      </c>
      <c r="Q9" s="46" t="s">
        <v>43</v>
      </c>
      <c r="R9" s="26" t="s">
        <v>2274</v>
      </c>
      <c r="S9" s="26" t="s">
        <v>438</v>
      </c>
      <c r="T9" s="46" t="s">
        <v>43</v>
      </c>
      <c r="U9" s="46" t="s">
        <v>43</v>
      </c>
      <c r="V9" s="46" t="s">
        <v>43</v>
      </c>
      <c r="W9" s="46" t="s">
        <v>43</v>
      </c>
      <c r="X9" s="21" t="s">
        <v>299</v>
      </c>
      <c r="Y9" s="1495" t="s">
        <v>202</v>
      </c>
      <c r="Z9" s="1495" t="s">
        <v>65</v>
      </c>
      <c r="AA9" s="219">
        <v>12000000</v>
      </c>
    </row>
    <row r="10" spans="1:27" s="27" customFormat="1" ht="15.75" customHeight="1">
      <c r="A10" s="1391"/>
      <c r="B10" s="1481"/>
      <c r="C10" s="1452"/>
      <c r="D10" s="1452"/>
      <c r="E10" s="1452"/>
      <c r="F10" s="1452"/>
      <c r="G10" s="804" t="s">
        <v>11860</v>
      </c>
      <c r="H10" s="30" t="s">
        <v>195</v>
      </c>
      <c r="I10" s="802" t="s">
        <v>108</v>
      </c>
      <c r="J10" s="572" t="s">
        <v>199</v>
      </c>
      <c r="K10" s="1452"/>
      <c r="L10" s="1452"/>
      <c r="M10" s="21" t="s">
        <v>2574</v>
      </c>
      <c r="N10" s="21" t="s">
        <v>2931</v>
      </c>
      <c r="O10" s="46" t="s">
        <v>43</v>
      </c>
      <c r="P10" s="1483"/>
      <c r="Q10" s="46" t="s">
        <v>43</v>
      </c>
      <c r="R10" s="26" t="s">
        <v>2269</v>
      </c>
      <c r="S10" s="26" t="s">
        <v>2569</v>
      </c>
      <c r="T10" s="46" t="s">
        <v>43</v>
      </c>
      <c r="U10" s="46" t="s">
        <v>43</v>
      </c>
      <c r="V10" s="46" t="s">
        <v>43</v>
      </c>
      <c r="W10" s="46" t="s">
        <v>43</v>
      </c>
      <c r="X10" s="21" t="s">
        <v>299</v>
      </c>
      <c r="Y10" s="1497"/>
      <c r="Z10" s="1497"/>
      <c r="AA10" s="219">
        <v>20800000</v>
      </c>
    </row>
    <row r="11" spans="1:27" ht="19.5">
      <c r="Z11" s="289" t="s">
        <v>2280</v>
      </c>
      <c r="AA11" s="290">
        <f>SUM(AA2:AA10)</f>
        <v>130400000</v>
      </c>
    </row>
    <row r="15" spans="1:27" ht="22.5">
      <c r="A15" s="1459" t="s">
        <v>12066</v>
      </c>
      <c r="B15" s="1459"/>
      <c r="C15" s="1459"/>
      <c r="D15" s="1459"/>
      <c r="E15" s="1459"/>
      <c r="F15" s="1459"/>
      <c r="G15" s="1459"/>
    </row>
    <row r="16" spans="1:27" s="12" customFormat="1" ht="19.5">
      <c r="A16" s="34" t="s">
        <v>0</v>
      </c>
      <c r="B16" s="34" t="s">
        <v>5</v>
      </c>
      <c r="C16" s="34" t="s">
        <v>2</v>
      </c>
      <c r="D16" s="34" t="s">
        <v>3</v>
      </c>
      <c r="E16" s="1445" t="s">
        <v>88</v>
      </c>
      <c r="F16" s="1446"/>
      <c r="G16" s="34" t="s">
        <v>6</v>
      </c>
      <c r="H16" s="34" t="s">
        <v>7</v>
      </c>
      <c r="I16" s="34" t="s">
        <v>8</v>
      </c>
      <c r="J16" s="34" t="s">
        <v>196</v>
      </c>
      <c r="K16" s="34" t="s">
        <v>9</v>
      </c>
      <c r="L16" s="34" t="s">
        <v>11</v>
      </c>
      <c r="M16" s="34" t="s">
        <v>12</v>
      </c>
      <c r="N16" s="34" t="s">
        <v>216</v>
      </c>
      <c r="O16" s="34" t="s">
        <v>13</v>
      </c>
      <c r="P16" s="35" t="s">
        <v>14</v>
      </c>
      <c r="Q16" s="35" t="s">
        <v>217</v>
      </c>
      <c r="R16" s="35" t="s">
        <v>16</v>
      </c>
      <c r="S16" s="34" t="s">
        <v>17</v>
      </c>
      <c r="T16" s="34" t="s">
        <v>218</v>
      </c>
      <c r="U16" s="34" t="s">
        <v>22</v>
      </c>
      <c r="V16" s="36" t="s">
        <v>23</v>
      </c>
      <c r="W16" s="34" t="s">
        <v>24</v>
      </c>
      <c r="X16" s="58" t="s">
        <v>257</v>
      </c>
      <c r="Z16" s="358" t="s">
        <v>9683</v>
      </c>
      <c r="AA16"/>
    </row>
    <row r="17" spans="11:27" ht="19.5">
      <c r="W17" s="289" t="s">
        <v>2280</v>
      </c>
      <c r="X17" s="290">
        <v>14624000</v>
      </c>
      <c r="AA17" s="27"/>
    </row>
    <row r="18" spans="11:27" ht="19.5">
      <c r="K18" s="568" t="s">
        <v>12013</v>
      </c>
      <c r="AA18" s="27"/>
    </row>
    <row r="19" spans="11:27" ht="19.5">
      <c r="K19" s="858" t="s">
        <v>15546</v>
      </c>
      <c r="AA19" s="27"/>
    </row>
    <row r="20" spans="11:27" ht="19.5">
      <c r="K20" s="858" t="s">
        <v>15817</v>
      </c>
      <c r="AA20" s="27"/>
    </row>
    <row r="21" spans="11:27" ht="19.5">
      <c r="K21" s="974" t="s">
        <v>15816</v>
      </c>
      <c r="AA21" s="27"/>
    </row>
    <row r="22" spans="11:27" ht="18">
      <c r="AA22" s="27"/>
    </row>
    <row r="23" spans="11:27" ht="18">
      <c r="AA23" s="27"/>
    </row>
  </sheetData>
  <mergeCells count="35">
    <mergeCell ref="P2:P6"/>
    <mergeCell ref="P7:P8"/>
    <mergeCell ref="K2:K6"/>
    <mergeCell ref="K7:K8"/>
    <mergeCell ref="K9:K10"/>
    <mergeCell ref="B2:B6"/>
    <mergeCell ref="B7:B8"/>
    <mergeCell ref="B9:B10"/>
    <mergeCell ref="C2:C10"/>
    <mergeCell ref="L2:L6"/>
    <mergeCell ref="L7:L8"/>
    <mergeCell ref="L9:L10"/>
    <mergeCell ref="I2:I4"/>
    <mergeCell ref="Z2:Z6"/>
    <mergeCell ref="Y7:Y8"/>
    <mergeCell ref="Z7:Z8"/>
    <mergeCell ref="Y9:Y10"/>
    <mergeCell ref="Z9:Z10"/>
    <mergeCell ref="Y2:Y6"/>
    <mergeCell ref="X2:X4"/>
    <mergeCell ref="P9:P10"/>
    <mergeCell ref="T2:T4"/>
    <mergeCell ref="E16:F16"/>
    <mergeCell ref="D2:D8"/>
    <mergeCell ref="D9:D10"/>
    <mergeCell ref="A15:G15"/>
    <mergeCell ref="A2:A6"/>
    <mergeCell ref="A7:A8"/>
    <mergeCell ref="A9:A10"/>
    <mergeCell ref="E2:E6"/>
    <mergeCell ref="E7:E8"/>
    <mergeCell ref="E9:E10"/>
    <mergeCell ref="F2:F10"/>
    <mergeCell ref="U2:U4"/>
    <mergeCell ref="V2:V4"/>
  </mergeCells>
  <conditionalFormatting sqref="M3">
    <cfRule type="duplicateValues" dxfId="2310" priority="104"/>
  </conditionalFormatting>
  <conditionalFormatting sqref="M7">
    <cfRule type="duplicateValues" dxfId="2309" priority="102"/>
  </conditionalFormatting>
  <conditionalFormatting sqref="N3">
    <cfRule type="duplicateValues" dxfId="2308" priority="35"/>
  </conditionalFormatting>
  <conditionalFormatting sqref="N9 N4:N5 N1:N2">
    <cfRule type="duplicateValues" dxfId="2307" priority="107"/>
  </conditionalFormatting>
  <conditionalFormatting sqref="N6">
    <cfRule type="duplicateValues" dxfId="2306" priority="34"/>
  </conditionalFormatting>
  <conditionalFormatting sqref="N7">
    <cfRule type="duplicateValues" dxfId="2305" priority="103"/>
  </conditionalFormatting>
  <conditionalFormatting sqref="N8">
    <cfRule type="duplicateValues" dxfId="2304" priority="32"/>
  </conditionalFormatting>
  <conditionalFormatting sqref="N10">
    <cfRule type="duplicateValues" dxfId="2303" priority="31"/>
  </conditionalFormatting>
  <conditionalFormatting sqref="N16">
    <cfRule type="duplicateValues" dxfId="2302" priority="5"/>
    <cfRule type="duplicateValues" dxfId="2301" priority="6"/>
    <cfRule type="duplicateValues" dxfId="2300" priority="7"/>
    <cfRule type="duplicateValues" dxfId="2299" priority="8"/>
  </conditionalFormatting>
  <conditionalFormatting sqref="E16">
    <cfRule type="duplicateValues" dxfId="2298" priority="9"/>
  </conditionalFormatting>
  <conditionalFormatting sqref="K16">
    <cfRule type="duplicateValues" dxfId="2297" priority="10"/>
  </conditionalFormatting>
  <conditionalFormatting sqref="L16">
    <cfRule type="duplicateValues" dxfId="2296" priority="11"/>
  </conditionalFormatting>
  <conditionalFormatting sqref="M16">
    <cfRule type="duplicateValues" dxfId="2295" priority="12"/>
    <cfRule type="duplicateValues" dxfId="2294" priority="13"/>
    <cfRule type="duplicateValues" dxfId="2293" priority="14"/>
    <cfRule type="duplicateValues" dxfId="2292" priority="15"/>
  </conditionalFormatting>
  <conditionalFormatting sqref="K19">
    <cfRule type="duplicateValues" dxfId="2291" priority="2"/>
  </conditionalFormatting>
  <conditionalFormatting sqref="K20">
    <cfRule type="duplicateValues" dxfId="2290" priority="1"/>
  </conditionalFormatting>
  <conditionalFormatting sqref="M4:M6 M8:M10 M1:M2">
    <cfRule type="duplicateValues" dxfId="2289" priority="4445"/>
    <cfRule type="duplicateValues" dxfId="2288" priority="444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42"/>
  <sheetViews>
    <sheetView rightToLeft="1" topLeftCell="B4" workbookViewId="0">
      <pane xSplit="10" topLeftCell="M1" activePane="topRight" state="frozen"/>
      <selection activeCell="B1" sqref="B1"/>
      <selection pane="topRight" activeCell="E29" sqref="E29"/>
    </sheetView>
  </sheetViews>
  <sheetFormatPr defaultRowHeight="15"/>
  <cols>
    <col min="5" max="5" width="12.5703125" customWidth="1"/>
    <col min="6" max="6" width="14.28515625" customWidth="1"/>
    <col min="7" max="7" width="9.140625" customWidth="1"/>
    <col min="8" max="8" width="15.28515625" customWidth="1"/>
    <col min="9" max="9" width="17.7109375" customWidth="1"/>
    <col min="10" max="10" width="20.140625" customWidth="1"/>
    <col min="11" max="11" width="25.7109375" customWidth="1"/>
    <col min="12" max="13" width="69" customWidth="1"/>
    <col min="14" max="14" width="45.42578125" customWidth="1"/>
    <col min="15" max="15" width="72" customWidth="1"/>
    <col min="16" max="16" width="11.140625" customWidth="1"/>
    <col min="17" max="17" width="36.85546875" customWidth="1"/>
    <col min="18" max="18" width="20.5703125" customWidth="1"/>
    <col min="19" max="19" width="28.5703125" customWidth="1"/>
    <col min="20" max="20" width="18" customWidth="1"/>
    <col min="21" max="21" width="25.140625" customWidth="1"/>
    <col min="22" max="22" width="22" customWidth="1"/>
    <col min="23" max="23" width="29.5703125" customWidth="1"/>
    <col min="24" max="24" width="27" customWidth="1"/>
    <col min="25" max="25" width="58.28515625" customWidth="1"/>
    <col min="26" max="26" width="36.42578125" customWidth="1"/>
    <col min="27" max="27" width="27.7109375" customWidth="1"/>
    <col min="28" max="28" width="19.28515625" customWidth="1"/>
    <col min="29" max="29" width="30.28515625" bestFit="1" customWidth="1"/>
    <col min="30" max="30" width="18.42578125" bestFit="1" customWidth="1"/>
    <col min="31" max="31" width="26.140625" customWidth="1"/>
  </cols>
  <sheetData>
    <row r="1" spans="1:30" s="12" customFormat="1" ht="19.5">
      <c r="A1" s="34" t="s">
        <v>0</v>
      </c>
      <c r="B1" s="34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5" t="s">
        <v>6</v>
      </c>
      <c r="I1" s="34" t="s">
        <v>7</v>
      </c>
      <c r="J1" s="34" t="s">
        <v>8</v>
      </c>
      <c r="K1" s="36" t="s">
        <v>196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6" t="s">
        <v>14</v>
      </c>
      <c r="R1" s="35" t="s">
        <v>15</v>
      </c>
      <c r="S1" s="35" t="s">
        <v>16</v>
      </c>
      <c r="T1" s="35" t="s">
        <v>17</v>
      </c>
      <c r="U1" s="34" t="s">
        <v>18</v>
      </c>
      <c r="V1" s="34" t="s">
        <v>19</v>
      </c>
      <c r="W1" s="34" t="s">
        <v>20</v>
      </c>
      <c r="X1" s="35" t="s">
        <v>21</v>
      </c>
      <c r="Y1" s="34" t="s">
        <v>22</v>
      </c>
      <c r="Z1" s="35" t="s">
        <v>23</v>
      </c>
      <c r="AA1" s="35" t="s">
        <v>24</v>
      </c>
      <c r="AB1" s="49" t="s">
        <v>9184</v>
      </c>
      <c r="AC1" s="27"/>
    </row>
    <row r="2" spans="1:30" s="12" customFormat="1" ht="15.75" customHeight="1">
      <c r="A2" s="1422">
        <v>1</v>
      </c>
      <c r="B2" s="1422">
        <v>1</v>
      </c>
      <c r="C2" s="1523">
        <v>253</v>
      </c>
      <c r="D2" s="1422" t="s">
        <v>933</v>
      </c>
      <c r="E2" s="1422" t="s">
        <v>3328</v>
      </c>
      <c r="F2" s="1422" t="s">
        <v>3329</v>
      </c>
      <c r="G2" s="1422" t="s">
        <v>933</v>
      </c>
      <c r="H2" s="64" t="s">
        <v>3330</v>
      </c>
      <c r="I2" s="21" t="s">
        <v>28</v>
      </c>
      <c r="J2" s="1509" t="s">
        <v>2329</v>
      </c>
      <c r="K2" s="106" t="s">
        <v>203</v>
      </c>
      <c r="L2" s="1422" t="s">
        <v>3331</v>
      </c>
      <c r="M2" s="1517" t="s">
        <v>3394</v>
      </c>
      <c r="N2" s="32" t="s">
        <v>3332</v>
      </c>
      <c r="O2" s="32" t="s">
        <v>3395</v>
      </c>
      <c r="P2" s="46" t="s">
        <v>43</v>
      </c>
      <c r="Q2" s="1520" t="s">
        <v>3333</v>
      </c>
      <c r="R2" s="46" t="s">
        <v>43</v>
      </c>
      <c r="S2" s="63" t="s">
        <v>3334</v>
      </c>
      <c r="T2" s="46" t="s">
        <v>43</v>
      </c>
      <c r="U2" s="1422" t="s">
        <v>3335</v>
      </c>
      <c r="V2" s="1517" t="s">
        <v>3336</v>
      </c>
      <c r="W2" s="1529" t="s">
        <v>1534</v>
      </c>
      <c r="X2" s="63" t="s">
        <v>3337</v>
      </c>
      <c r="Y2" s="1517" t="s">
        <v>3336</v>
      </c>
      <c r="Z2" s="1529" t="s">
        <v>3396</v>
      </c>
      <c r="AA2" s="1529" t="s">
        <v>3338</v>
      </c>
      <c r="AB2" s="230">
        <v>56550000</v>
      </c>
      <c r="AC2" s="27"/>
    </row>
    <row r="3" spans="1:30" s="12" customFormat="1" ht="15.75" customHeight="1">
      <c r="A3" s="1423"/>
      <c r="B3" s="1423"/>
      <c r="C3" s="1524"/>
      <c r="D3" s="1423"/>
      <c r="E3" s="1423"/>
      <c r="F3" s="1423"/>
      <c r="G3" s="1423"/>
      <c r="H3" s="64" t="s">
        <v>3339</v>
      </c>
      <c r="I3" s="30" t="s">
        <v>195</v>
      </c>
      <c r="J3" s="1510"/>
      <c r="K3" s="573" t="s">
        <v>204</v>
      </c>
      <c r="L3" s="1423"/>
      <c r="M3" s="1518"/>
      <c r="N3" s="32" t="s">
        <v>3340</v>
      </c>
      <c r="O3" s="21" t="s">
        <v>3409</v>
      </c>
      <c r="P3" s="46" t="s">
        <v>43</v>
      </c>
      <c r="Q3" s="1521"/>
      <c r="R3" s="46" t="s">
        <v>43</v>
      </c>
      <c r="S3" s="63" t="s">
        <v>3341</v>
      </c>
      <c r="T3" s="46" t="s">
        <v>43</v>
      </c>
      <c r="U3" s="1423"/>
      <c r="V3" s="1518"/>
      <c r="W3" s="1530"/>
      <c r="X3" s="63" t="s">
        <v>3342</v>
      </c>
      <c r="Y3" s="1518"/>
      <c r="Z3" s="1530"/>
      <c r="AA3" s="1530"/>
      <c r="AB3" s="219">
        <v>20800000</v>
      </c>
      <c r="AC3" s="27"/>
    </row>
    <row r="4" spans="1:30" s="12" customFormat="1" ht="15.75" customHeight="1">
      <c r="A4" s="1423"/>
      <c r="B4" s="1423"/>
      <c r="C4" s="1524"/>
      <c r="D4" s="1423"/>
      <c r="E4" s="1423"/>
      <c r="F4" s="1423"/>
      <c r="G4" s="1423"/>
      <c r="H4" s="64" t="s">
        <v>3343</v>
      </c>
      <c r="I4" s="32" t="s">
        <v>2968</v>
      </c>
      <c r="J4" s="1510"/>
      <c r="K4" s="573" t="s">
        <v>204</v>
      </c>
      <c r="L4" s="1423"/>
      <c r="M4" s="1518"/>
      <c r="N4" s="32" t="s">
        <v>15526</v>
      </c>
      <c r="O4" s="32" t="s">
        <v>15527</v>
      </c>
      <c r="P4" s="46" t="s">
        <v>43</v>
      </c>
      <c r="Q4" s="1521"/>
      <c r="R4" s="46" t="s">
        <v>43</v>
      </c>
      <c r="S4" s="63" t="s">
        <v>3347</v>
      </c>
      <c r="T4" s="46" t="s">
        <v>43</v>
      </c>
      <c r="U4" s="1423"/>
      <c r="V4" s="1518"/>
      <c r="W4" s="1530"/>
      <c r="X4" s="63" t="s">
        <v>3345</v>
      </c>
      <c r="Y4" s="1518"/>
      <c r="Z4" s="1530"/>
      <c r="AA4" s="1530"/>
      <c r="AB4" s="219">
        <v>0</v>
      </c>
      <c r="AC4" s="27"/>
    </row>
    <row r="5" spans="1:30" s="12" customFormat="1" ht="15.75" customHeight="1">
      <c r="A5" s="1423"/>
      <c r="B5" s="1423"/>
      <c r="C5" s="1524"/>
      <c r="D5" s="1423"/>
      <c r="E5" s="1423"/>
      <c r="F5" s="1423"/>
      <c r="G5" s="1423"/>
      <c r="H5" s="110" t="s">
        <v>3346</v>
      </c>
      <c r="I5" s="32" t="s">
        <v>2968</v>
      </c>
      <c r="J5" s="1511"/>
      <c r="K5" s="573" t="s">
        <v>204</v>
      </c>
      <c r="L5" s="1423"/>
      <c r="M5" s="1518"/>
      <c r="N5" s="32" t="s">
        <v>15525</v>
      </c>
      <c r="O5" s="32" t="s">
        <v>15522</v>
      </c>
      <c r="P5" s="46" t="s">
        <v>43</v>
      </c>
      <c r="Q5" s="1521"/>
      <c r="R5" s="46" t="s">
        <v>43</v>
      </c>
      <c r="S5" s="63" t="s">
        <v>3344</v>
      </c>
      <c r="T5" s="46" t="s">
        <v>43</v>
      </c>
      <c r="U5" s="1508"/>
      <c r="V5" s="1519"/>
      <c r="W5" s="1531"/>
      <c r="X5" s="63" t="s">
        <v>3348</v>
      </c>
      <c r="Y5" s="1518"/>
      <c r="Z5" s="1530"/>
      <c r="AA5" s="1530"/>
      <c r="AB5" s="219">
        <v>0</v>
      </c>
      <c r="AC5" s="27"/>
    </row>
    <row r="6" spans="1:30" s="109" customFormat="1" ht="15.75" customHeight="1">
      <c r="A6" s="1423"/>
      <c r="B6" s="1423"/>
      <c r="C6" s="1524"/>
      <c r="D6" s="1423"/>
      <c r="E6" s="1423"/>
      <c r="F6" s="1423"/>
      <c r="G6" s="1423"/>
      <c r="H6" s="87" t="s">
        <v>3355</v>
      </c>
      <c r="I6" s="569" t="s">
        <v>2968</v>
      </c>
      <c r="J6" s="569" t="s">
        <v>60</v>
      </c>
      <c r="K6" s="573" t="s">
        <v>204</v>
      </c>
      <c r="L6" s="1423"/>
      <c r="M6" s="1518"/>
      <c r="N6" s="32" t="s">
        <v>15523</v>
      </c>
      <c r="O6" s="32" t="s">
        <v>15524</v>
      </c>
      <c r="P6" s="46" t="s">
        <v>43</v>
      </c>
      <c r="Q6" s="1521"/>
      <c r="R6" s="46" t="s">
        <v>43</v>
      </c>
      <c r="S6" s="63" t="s">
        <v>3353</v>
      </c>
      <c r="T6" s="46" t="s">
        <v>43</v>
      </c>
      <c r="U6" s="46" t="s">
        <v>43</v>
      </c>
      <c r="V6" s="46" t="s">
        <v>43</v>
      </c>
      <c r="W6" s="46" t="s">
        <v>43</v>
      </c>
      <c r="X6" s="63" t="s">
        <v>3232</v>
      </c>
      <c r="Y6" s="1519"/>
      <c r="Z6" s="1530"/>
      <c r="AA6" s="1530"/>
      <c r="AB6" s="219">
        <v>0</v>
      </c>
      <c r="AC6" s="27" t="s">
        <v>9192</v>
      </c>
      <c r="AD6" s="12" t="s">
        <v>9251</v>
      </c>
    </row>
    <row r="7" spans="1:30" s="109" customFormat="1" ht="15.75" customHeight="1">
      <c r="A7" s="1508"/>
      <c r="B7" s="1508"/>
      <c r="C7" s="1525"/>
      <c r="D7" s="1423"/>
      <c r="E7" s="1423"/>
      <c r="F7" s="1508"/>
      <c r="G7" s="1423"/>
      <c r="H7" s="46" t="s">
        <v>43</v>
      </c>
      <c r="I7" s="32" t="s">
        <v>51</v>
      </c>
      <c r="J7" s="32" t="s">
        <v>45</v>
      </c>
      <c r="K7" s="573" t="s">
        <v>11886</v>
      </c>
      <c r="L7" s="1508"/>
      <c r="M7" s="1519"/>
      <c r="N7" s="32" t="s">
        <v>3356</v>
      </c>
      <c r="O7" s="21" t="s">
        <v>3408</v>
      </c>
      <c r="P7" s="46" t="s">
        <v>43</v>
      </c>
      <c r="Q7" s="1522"/>
      <c r="R7" s="46" t="s">
        <v>43</v>
      </c>
      <c r="S7" s="63" t="s">
        <v>3357</v>
      </c>
      <c r="T7" s="46" t="s">
        <v>43</v>
      </c>
      <c r="U7" s="46" t="s">
        <v>43</v>
      </c>
      <c r="V7" s="46" t="s">
        <v>43</v>
      </c>
      <c r="W7" s="46" t="s">
        <v>43</v>
      </c>
      <c r="X7" s="46" t="s">
        <v>43</v>
      </c>
      <c r="Y7" s="32" t="s">
        <v>56</v>
      </c>
      <c r="Z7" s="1531"/>
      <c r="AA7" s="1531"/>
      <c r="AB7" s="219">
        <v>0</v>
      </c>
      <c r="AC7" s="27"/>
    </row>
    <row r="8" spans="1:30" s="109" customFormat="1" ht="15.75" customHeight="1">
      <c r="A8" s="1422">
        <v>2</v>
      </c>
      <c r="B8" s="1422">
        <v>2</v>
      </c>
      <c r="C8" s="1512">
        <v>250</v>
      </c>
      <c r="D8" s="1423"/>
      <c r="E8" s="1423"/>
      <c r="F8" s="1422" t="s">
        <v>3358</v>
      </c>
      <c r="G8" s="1423"/>
      <c r="H8" s="64" t="s">
        <v>9193</v>
      </c>
      <c r="I8" s="32" t="s">
        <v>249</v>
      </c>
      <c r="J8" s="1422" t="s">
        <v>29</v>
      </c>
      <c r="K8" s="106" t="s">
        <v>11850</v>
      </c>
      <c r="L8" s="1422" t="s">
        <v>14236</v>
      </c>
      <c r="M8" s="1422" t="s">
        <v>14487</v>
      </c>
      <c r="N8" s="32" t="s">
        <v>3359</v>
      </c>
      <c r="O8" s="32" t="s">
        <v>14240</v>
      </c>
      <c r="P8" s="46" t="s">
        <v>43</v>
      </c>
      <c r="Q8" s="1520" t="s">
        <v>3397</v>
      </c>
      <c r="R8" s="46" t="s">
        <v>43</v>
      </c>
      <c r="S8" s="63" t="s">
        <v>3412</v>
      </c>
      <c r="T8" s="46" t="s">
        <v>43</v>
      </c>
      <c r="U8" s="112" t="s">
        <v>3426</v>
      </c>
      <c r="V8" s="1498" t="s">
        <v>43</v>
      </c>
      <c r="W8" s="1498" t="s">
        <v>43</v>
      </c>
      <c r="X8" s="63" t="s">
        <v>3414</v>
      </c>
      <c r="Y8" s="1533" t="s">
        <v>3425</v>
      </c>
      <c r="Z8" s="1422" t="s">
        <v>202</v>
      </c>
      <c r="AA8" s="1422" t="s">
        <v>65</v>
      </c>
      <c r="AB8" s="219">
        <v>37632000</v>
      </c>
      <c r="AC8" s="83"/>
    </row>
    <row r="9" spans="1:30" s="12" customFormat="1" ht="15.75" customHeight="1">
      <c r="A9" s="1508"/>
      <c r="B9" s="1508"/>
      <c r="C9" s="1513"/>
      <c r="D9" s="1423"/>
      <c r="E9" s="1508"/>
      <c r="F9" s="1508"/>
      <c r="G9" s="1423"/>
      <c r="H9" s="64" t="s">
        <v>3360</v>
      </c>
      <c r="I9" s="30" t="s">
        <v>195</v>
      </c>
      <c r="J9" s="1508"/>
      <c r="K9" s="573" t="s">
        <v>199</v>
      </c>
      <c r="L9" s="1508"/>
      <c r="M9" s="1508"/>
      <c r="N9" s="32" t="s">
        <v>3361</v>
      </c>
      <c r="O9" s="21" t="s">
        <v>3417</v>
      </c>
      <c r="P9" s="46" t="s">
        <v>43</v>
      </c>
      <c r="Q9" s="1522"/>
      <c r="R9" s="46" t="s">
        <v>43</v>
      </c>
      <c r="S9" s="63" t="s">
        <v>3413</v>
      </c>
      <c r="T9" s="46" t="s">
        <v>43</v>
      </c>
      <c r="U9" s="112" t="s">
        <v>3427</v>
      </c>
      <c r="V9" s="1500"/>
      <c r="W9" s="1500"/>
      <c r="X9" s="63" t="s">
        <v>3415</v>
      </c>
      <c r="Y9" s="1534"/>
      <c r="Z9" s="1508"/>
      <c r="AA9" s="1508"/>
      <c r="AB9" s="219">
        <v>20800000</v>
      </c>
      <c r="AC9" s="288" t="s">
        <v>9194</v>
      </c>
      <c r="AD9" s="12" t="s">
        <v>9250</v>
      </c>
    </row>
    <row r="10" spans="1:30" s="12" customFormat="1" ht="15.75" customHeight="1">
      <c r="A10" s="1422">
        <v>4</v>
      </c>
      <c r="B10" s="1422">
        <v>4</v>
      </c>
      <c r="C10" s="1512">
        <v>261</v>
      </c>
      <c r="D10" s="1423"/>
      <c r="E10" s="1422" t="s">
        <v>3366</v>
      </c>
      <c r="F10" s="1422" t="s">
        <v>3366</v>
      </c>
      <c r="G10" s="1423"/>
      <c r="H10" s="64" t="s">
        <v>9196</v>
      </c>
      <c r="I10" s="32" t="s">
        <v>3367</v>
      </c>
      <c r="J10" s="1422" t="s">
        <v>29</v>
      </c>
      <c r="K10" s="573" t="s">
        <v>199</v>
      </c>
      <c r="L10" s="1422" t="s">
        <v>15236</v>
      </c>
      <c r="M10" s="1422" t="s">
        <v>14489</v>
      </c>
      <c r="N10" s="655" t="s">
        <v>14237</v>
      </c>
      <c r="O10" s="32" t="s">
        <v>3368</v>
      </c>
      <c r="P10" s="46" t="s">
        <v>43</v>
      </c>
      <c r="Q10" s="1520" t="s">
        <v>3399</v>
      </c>
      <c r="R10" s="46" t="s">
        <v>43</v>
      </c>
      <c r="S10" s="63" t="s">
        <v>3422</v>
      </c>
      <c r="T10" s="46" t="s">
        <v>43</v>
      </c>
      <c r="U10" s="46" t="s">
        <v>3460</v>
      </c>
      <c r="V10" s="105" t="s">
        <v>43</v>
      </c>
      <c r="W10" s="105" t="s">
        <v>43</v>
      </c>
      <c r="X10" s="63" t="s">
        <v>3424</v>
      </c>
      <c r="Y10" s="1533" t="s">
        <v>3425</v>
      </c>
      <c r="Z10" s="1422" t="s">
        <v>202</v>
      </c>
      <c r="AA10" s="1422" t="s">
        <v>65</v>
      </c>
      <c r="AB10" s="219">
        <v>12000000</v>
      </c>
      <c r="AC10" s="27"/>
    </row>
    <row r="11" spans="1:30" s="12" customFormat="1" ht="15.75" customHeight="1">
      <c r="A11" s="1508"/>
      <c r="B11" s="1508"/>
      <c r="C11" s="1513"/>
      <c r="D11" s="1423"/>
      <c r="E11" s="1508"/>
      <c r="F11" s="1508"/>
      <c r="G11" s="1423"/>
      <c r="H11" s="64" t="s">
        <v>9197</v>
      </c>
      <c r="I11" s="30" t="s">
        <v>195</v>
      </c>
      <c r="J11" s="1508"/>
      <c r="K11" s="573" t="s">
        <v>199</v>
      </c>
      <c r="L11" s="1508"/>
      <c r="M11" s="1508"/>
      <c r="N11" s="32" t="s">
        <v>3369</v>
      </c>
      <c r="O11" s="21" t="s">
        <v>3419</v>
      </c>
      <c r="P11" s="46" t="s">
        <v>43</v>
      </c>
      <c r="Q11" s="1522"/>
      <c r="R11" s="46" t="s">
        <v>43</v>
      </c>
      <c r="S11" s="63" t="s">
        <v>3421</v>
      </c>
      <c r="T11" s="46" t="s">
        <v>43</v>
      </c>
      <c r="U11" s="46" t="s">
        <v>3461</v>
      </c>
      <c r="V11" s="105" t="s">
        <v>43</v>
      </c>
      <c r="W11" s="105" t="s">
        <v>43</v>
      </c>
      <c r="X11" s="63" t="s">
        <v>3423</v>
      </c>
      <c r="Y11" s="1534"/>
      <c r="Z11" s="1508"/>
      <c r="AA11" s="1508"/>
      <c r="AB11" s="219">
        <v>20800000</v>
      </c>
      <c r="AC11" s="27"/>
    </row>
    <row r="12" spans="1:30" s="12" customFormat="1" ht="15.75" customHeight="1">
      <c r="A12" s="1422">
        <v>5</v>
      </c>
      <c r="B12" s="1422">
        <v>5</v>
      </c>
      <c r="C12" s="1512">
        <v>265</v>
      </c>
      <c r="D12" s="1423"/>
      <c r="E12" s="1422" t="s">
        <v>3362</v>
      </c>
      <c r="F12" s="1422" t="s">
        <v>3393</v>
      </c>
      <c r="G12" s="1423"/>
      <c r="H12" s="64" t="s">
        <v>9198</v>
      </c>
      <c r="I12" s="32" t="s">
        <v>3367</v>
      </c>
      <c r="J12" s="32" t="s">
        <v>108</v>
      </c>
      <c r="K12" s="573" t="s">
        <v>199</v>
      </c>
      <c r="L12" s="1422" t="s">
        <v>15235</v>
      </c>
      <c r="M12" s="1422" t="s">
        <v>14490</v>
      </c>
      <c r="N12" s="32" t="s">
        <v>14238</v>
      </c>
      <c r="O12" s="32" t="s">
        <v>3370</v>
      </c>
      <c r="P12" s="46" t="s">
        <v>43</v>
      </c>
      <c r="Q12" s="1520" t="s">
        <v>3400</v>
      </c>
      <c r="R12" s="46" t="s">
        <v>43</v>
      </c>
      <c r="S12" s="63" t="s">
        <v>2274</v>
      </c>
      <c r="T12" s="46" t="s">
        <v>43</v>
      </c>
      <c r="U12" s="46" t="s">
        <v>43</v>
      </c>
      <c r="V12" s="105" t="s">
        <v>43</v>
      </c>
      <c r="W12" s="105" t="s">
        <v>43</v>
      </c>
      <c r="X12" s="63" t="s">
        <v>3424</v>
      </c>
      <c r="Y12" s="1533" t="s">
        <v>3425</v>
      </c>
      <c r="Z12" s="1526" t="s">
        <v>202</v>
      </c>
      <c r="AA12" s="1528" t="s">
        <v>65</v>
      </c>
      <c r="AB12" s="219">
        <v>12000000</v>
      </c>
      <c r="AC12"/>
    </row>
    <row r="13" spans="1:30" s="12" customFormat="1" ht="15.75" customHeight="1">
      <c r="A13" s="1508"/>
      <c r="B13" s="1508"/>
      <c r="C13" s="1513"/>
      <c r="D13" s="1423"/>
      <c r="E13" s="1508"/>
      <c r="F13" s="1508"/>
      <c r="G13" s="1423"/>
      <c r="H13" s="64">
        <v>608426</v>
      </c>
      <c r="I13" s="30" t="s">
        <v>195</v>
      </c>
      <c r="J13" s="32" t="s">
        <v>108</v>
      </c>
      <c r="K13" s="573" t="s">
        <v>199</v>
      </c>
      <c r="L13" s="1508"/>
      <c r="M13" s="1508"/>
      <c r="N13" s="32" t="s">
        <v>3371</v>
      </c>
      <c r="O13" s="21" t="s">
        <v>3420</v>
      </c>
      <c r="P13" s="46" t="s">
        <v>43</v>
      </c>
      <c r="Q13" s="1522"/>
      <c r="R13" s="46" t="s">
        <v>43</v>
      </c>
      <c r="S13" s="63" t="s">
        <v>2269</v>
      </c>
      <c r="T13" s="46" t="s">
        <v>43</v>
      </c>
      <c r="U13" s="46" t="s">
        <v>43</v>
      </c>
      <c r="V13" s="105" t="s">
        <v>43</v>
      </c>
      <c r="W13" s="105" t="s">
        <v>43</v>
      </c>
      <c r="X13" s="63" t="s">
        <v>3423</v>
      </c>
      <c r="Y13" s="1534"/>
      <c r="Z13" s="1527"/>
      <c r="AA13" s="1528"/>
      <c r="AB13" s="219">
        <v>20800000</v>
      </c>
      <c r="AC13"/>
    </row>
    <row r="14" spans="1:30" s="12" customFormat="1" ht="15.75" customHeight="1">
      <c r="A14" s="1422">
        <v>7</v>
      </c>
      <c r="B14" s="1422">
        <v>7</v>
      </c>
      <c r="C14" s="1512">
        <v>323</v>
      </c>
      <c r="D14" s="1423"/>
      <c r="E14" s="1422" t="s">
        <v>3373</v>
      </c>
      <c r="F14" s="1422" t="s">
        <v>3373</v>
      </c>
      <c r="G14" s="1423"/>
      <c r="H14" s="64">
        <v>548498</v>
      </c>
      <c r="I14" s="32" t="s">
        <v>3367</v>
      </c>
      <c r="J14" s="32" t="s">
        <v>60</v>
      </c>
      <c r="K14" s="573" t="s">
        <v>199</v>
      </c>
      <c r="L14" s="1422" t="s">
        <v>14241</v>
      </c>
      <c r="M14" s="1422" t="s">
        <v>14242</v>
      </c>
      <c r="N14" s="32" t="s">
        <v>3374</v>
      </c>
      <c r="O14" s="32" t="s">
        <v>14243</v>
      </c>
      <c r="P14" s="46" t="s">
        <v>43</v>
      </c>
      <c r="Q14" s="1520" t="s">
        <v>14244</v>
      </c>
      <c r="R14" s="46" t="s">
        <v>43</v>
      </c>
      <c r="S14" s="63" t="s">
        <v>166</v>
      </c>
      <c r="T14" s="46" t="s">
        <v>43</v>
      </c>
      <c r="U14" s="46" t="s">
        <v>43</v>
      </c>
      <c r="V14" s="46" t="s">
        <v>43</v>
      </c>
      <c r="W14" s="46" t="s">
        <v>43</v>
      </c>
      <c r="X14" s="46" t="s">
        <v>43</v>
      </c>
      <c r="Y14" s="32" t="s">
        <v>167</v>
      </c>
      <c r="Z14" s="1526" t="s">
        <v>202</v>
      </c>
      <c r="AA14" s="1528" t="s">
        <v>65</v>
      </c>
      <c r="AB14" s="219">
        <v>12000000</v>
      </c>
      <c r="AC14"/>
    </row>
    <row r="15" spans="1:30" s="12" customFormat="1" ht="15.75" customHeight="1">
      <c r="A15" s="1508"/>
      <c r="B15" s="1508"/>
      <c r="C15" s="1513"/>
      <c r="D15" s="1423"/>
      <c r="E15" s="1508"/>
      <c r="F15" s="1508"/>
      <c r="G15" s="1423"/>
      <c r="H15" s="64">
        <v>608429</v>
      </c>
      <c r="I15" s="30" t="s">
        <v>195</v>
      </c>
      <c r="J15" s="32" t="s">
        <v>108</v>
      </c>
      <c r="K15" s="573" t="s">
        <v>199</v>
      </c>
      <c r="L15" s="1508"/>
      <c r="M15" s="1508"/>
      <c r="N15" s="32" t="s">
        <v>3375</v>
      </c>
      <c r="O15" s="21" t="s">
        <v>3428</v>
      </c>
      <c r="P15" s="46" t="s">
        <v>43</v>
      </c>
      <c r="Q15" s="1522"/>
      <c r="R15" s="46" t="s">
        <v>43</v>
      </c>
      <c r="S15" s="63" t="s">
        <v>2269</v>
      </c>
      <c r="T15" s="63" t="s">
        <v>298</v>
      </c>
      <c r="U15" s="46" t="s">
        <v>43</v>
      </c>
      <c r="V15" s="46" t="s">
        <v>43</v>
      </c>
      <c r="W15" s="46" t="s">
        <v>43</v>
      </c>
      <c r="X15" s="46" t="s">
        <v>43</v>
      </c>
      <c r="Y15" s="32" t="s">
        <v>299</v>
      </c>
      <c r="Z15" s="1527"/>
      <c r="AA15" s="1528"/>
      <c r="AB15" s="219">
        <v>20800000</v>
      </c>
      <c r="AC15"/>
    </row>
    <row r="16" spans="1:30" s="109" customFormat="1" ht="15.75" customHeight="1">
      <c r="A16" s="1422">
        <v>9</v>
      </c>
      <c r="B16" s="1422">
        <v>9</v>
      </c>
      <c r="C16" s="1512">
        <v>356</v>
      </c>
      <c r="D16" s="1423"/>
      <c r="E16" s="1509" t="s">
        <v>3381</v>
      </c>
      <c r="F16" s="1509" t="s">
        <v>3381</v>
      </c>
      <c r="G16" s="1423"/>
      <c r="H16" s="64" t="s">
        <v>9199</v>
      </c>
      <c r="I16" s="32" t="s">
        <v>3367</v>
      </c>
      <c r="J16" s="32" t="s">
        <v>60</v>
      </c>
      <c r="K16" s="573" t="s">
        <v>199</v>
      </c>
      <c r="L16" s="1422" t="s">
        <v>14246</v>
      </c>
      <c r="M16" s="1422" t="s">
        <v>14247</v>
      </c>
      <c r="N16" s="32" t="s">
        <v>3382</v>
      </c>
      <c r="O16" s="32" t="s">
        <v>14248</v>
      </c>
      <c r="P16" s="46" t="s">
        <v>43</v>
      </c>
      <c r="Q16" s="1520" t="s">
        <v>3402</v>
      </c>
      <c r="R16" s="46" t="s">
        <v>43</v>
      </c>
      <c r="S16" s="63" t="s">
        <v>166</v>
      </c>
      <c r="T16" s="46" t="s">
        <v>43</v>
      </c>
      <c r="U16" s="46" t="s">
        <v>43</v>
      </c>
      <c r="V16" s="46" t="s">
        <v>43</v>
      </c>
      <c r="W16" s="46" t="s">
        <v>43</v>
      </c>
      <c r="X16" s="46" t="s">
        <v>43</v>
      </c>
      <c r="Y16" s="32" t="s">
        <v>167</v>
      </c>
      <c r="Z16" s="1526" t="s">
        <v>202</v>
      </c>
      <c r="AA16" s="1528" t="s">
        <v>65</v>
      </c>
      <c r="AB16" s="219">
        <v>17920000</v>
      </c>
      <c r="AC16" s="27"/>
    </row>
    <row r="17" spans="1:29" s="109" customFormat="1" ht="15.75" customHeight="1">
      <c r="A17" s="1508"/>
      <c r="B17" s="1508"/>
      <c r="C17" s="1513"/>
      <c r="D17" s="1423"/>
      <c r="E17" s="1511"/>
      <c r="F17" s="1511"/>
      <c r="G17" s="1423"/>
      <c r="H17" s="64">
        <v>608432</v>
      </c>
      <c r="I17" s="30" t="s">
        <v>195</v>
      </c>
      <c r="J17" s="32" t="s">
        <v>108</v>
      </c>
      <c r="K17" s="573" t="s">
        <v>199</v>
      </c>
      <c r="L17" s="1508"/>
      <c r="M17" s="1508"/>
      <c r="N17" s="32" t="s">
        <v>3383</v>
      </c>
      <c r="O17" s="21" t="s">
        <v>3430</v>
      </c>
      <c r="P17" s="46" t="s">
        <v>43</v>
      </c>
      <c r="Q17" s="1522"/>
      <c r="R17" s="46" t="s">
        <v>43</v>
      </c>
      <c r="S17" s="63" t="s">
        <v>2269</v>
      </c>
      <c r="T17" s="63" t="s">
        <v>298</v>
      </c>
      <c r="U17" s="46" t="s">
        <v>43</v>
      </c>
      <c r="V17" s="46" t="s">
        <v>43</v>
      </c>
      <c r="W17" s="46" t="s">
        <v>43</v>
      </c>
      <c r="X17" s="46" t="s">
        <v>43</v>
      </c>
      <c r="Y17" s="32" t="s">
        <v>299</v>
      </c>
      <c r="Z17" s="1527"/>
      <c r="AA17" s="1528"/>
      <c r="AB17" s="219">
        <v>20800000</v>
      </c>
      <c r="AC17" s="27"/>
    </row>
    <row r="18" spans="1:29" s="12" customFormat="1" ht="15.75" customHeight="1">
      <c r="A18" s="1422">
        <v>10</v>
      </c>
      <c r="B18" s="1422">
        <v>10</v>
      </c>
      <c r="C18" s="1514">
        <v>387</v>
      </c>
      <c r="D18" s="1423"/>
      <c r="E18" s="1422" t="s">
        <v>3328</v>
      </c>
      <c r="F18" s="1422" t="s">
        <v>3384</v>
      </c>
      <c r="G18" s="1423"/>
      <c r="H18" s="64" t="s">
        <v>9203</v>
      </c>
      <c r="I18" s="32" t="s">
        <v>1514</v>
      </c>
      <c r="J18" s="32" t="s">
        <v>60</v>
      </c>
      <c r="K18" s="573" t="s">
        <v>199</v>
      </c>
      <c r="L18" s="1422" t="s">
        <v>15709</v>
      </c>
      <c r="M18" s="1422" t="s">
        <v>15710</v>
      </c>
      <c r="N18" s="32" t="s">
        <v>3385</v>
      </c>
      <c r="O18" s="32" t="s">
        <v>14249</v>
      </c>
      <c r="P18" s="46" t="s">
        <v>43</v>
      </c>
      <c r="Q18" s="1520" t="s">
        <v>3403</v>
      </c>
      <c r="R18" s="46" t="s">
        <v>43</v>
      </c>
      <c r="S18" s="63" t="s">
        <v>166</v>
      </c>
      <c r="T18" s="46" t="s">
        <v>43</v>
      </c>
      <c r="U18" s="46" t="s">
        <v>43</v>
      </c>
      <c r="V18" s="46" t="s">
        <v>43</v>
      </c>
      <c r="W18" s="46" t="s">
        <v>43</v>
      </c>
      <c r="X18" s="46" t="s">
        <v>43</v>
      </c>
      <c r="Y18" s="32" t="s">
        <v>167</v>
      </c>
      <c r="Z18" s="1526" t="s">
        <v>202</v>
      </c>
      <c r="AA18" s="1528" t="s">
        <v>65</v>
      </c>
      <c r="AB18" s="219">
        <v>17920000</v>
      </c>
      <c r="AC18" s="27"/>
    </row>
    <row r="19" spans="1:29" s="12" customFormat="1" ht="15.75" customHeight="1">
      <c r="A19" s="1508"/>
      <c r="B19" s="1508"/>
      <c r="C19" s="1515"/>
      <c r="D19" s="1423"/>
      <c r="E19" s="1508"/>
      <c r="F19" s="1508"/>
      <c r="G19" s="1423"/>
      <c r="H19" s="64">
        <v>608121</v>
      </c>
      <c r="I19" s="30" t="s">
        <v>195</v>
      </c>
      <c r="J19" s="32" t="s">
        <v>108</v>
      </c>
      <c r="K19" s="573" t="s">
        <v>199</v>
      </c>
      <c r="L19" s="1508"/>
      <c r="M19" s="1508"/>
      <c r="N19" s="32" t="s">
        <v>3386</v>
      </c>
      <c r="O19" s="21" t="s">
        <v>3431</v>
      </c>
      <c r="P19" s="46" t="s">
        <v>43</v>
      </c>
      <c r="Q19" s="1522"/>
      <c r="R19" s="46" t="s">
        <v>43</v>
      </c>
      <c r="S19" s="63" t="s">
        <v>2269</v>
      </c>
      <c r="T19" s="63" t="s">
        <v>298</v>
      </c>
      <c r="U19" s="46" t="s">
        <v>43</v>
      </c>
      <c r="V19" s="46" t="s">
        <v>43</v>
      </c>
      <c r="W19" s="46" t="s">
        <v>43</v>
      </c>
      <c r="X19" s="46" t="s">
        <v>43</v>
      </c>
      <c r="Y19" s="32" t="s">
        <v>299</v>
      </c>
      <c r="Z19" s="1527"/>
      <c r="AA19" s="1528"/>
      <c r="AB19" s="219">
        <v>20800000</v>
      </c>
      <c r="AC19" s="27"/>
    </row>
    <row r="20" spans="1:29" s="109" customFormat="1" ht="19.5" customHeight="1">
      <c r="A20" s="1422">
        <v>11</v>
      </c>
      <c r="B20" s="1422">
        <v>11</v>
      </c>
      <c r="C20" s="1514">
        <v>388</v>
      </c>
      <c r="D20" s="1423"/>
      <c r="E20" s="1509" t="s">
        <v>3387</v>
      </c>
      <c r="F20" s="1509" t="s">
        <v>3387</v>
      </c>
      <c r="G20" s="1423"/>
      <c r="H20" s="64" t="s">
        <v>9200</v>
      </c>
      <c r="I20" s="32" t="s">
        <v>3367</v>
      </c>
      <c r="J20" s="1422" t="s">
        <v>29</v>
      </c>
      <c r="K20" s="106" t="s">
        <v>11850</v>
      </c>
      <c r="L20" s="1422" t="s">
        <v>15706</v>
      </c>
      <c r="M20" s="1422" t="s">
        <v>15707</v>
      </c>
      <c r="N20" s="32" t="s">
        <v>14251</v>
      </c>
      <c r="O20" s="32" t="s">
        <v>15708</v>
      </c>
      <c r="P20" s="46" t="s">
        <v>43</v>
      </c>
      <c r="Q20" s="1520" t="s">
        <v>3404</v>
      </c>
      <c r="R20" s="46" t="s">
        <v>43</v>
      </c>
      <c r="S20" s="63" t="s">
        <v>3422</v>
      </c>
      <c r="T20" s="46" t="s">
        <v>43</v>
      </c>
      <c r="U20" s="105" t="s">
        <v>3458</v>
      </c>
      <c r="V20" s="46" t="s">
        <v>43</v>
      </c>
      <c r="W20" s="46" t="s">
        <v>43</v>
      </c>
      <c r="X20" s="63" t="s">
        <v>3434</v>
      </c>
      <c r="Y20" s="1533" t="s">
        <v>3425</v>
      </c>
      <c r="Z20" s="1526" t="s">
        <v>202</v>
      </c>
      <c r="AA20" s="1528" t="s">
        <v>65</v>
      </c>
      <c r="AB20" s="219">
        <v>12000000</v>
      </c>
      <c r="AC20" s="27"/>
    </row>
    <row r="21" spans="1:29" s="12" customFormat="1" ht="15.75" customHeight="1">
      <c r="A21" s="1423"/>
      <c r="B21" s="1423"/>
      <c r="C21" s="1516"/>
      <c r="D21" s="1423"/>
      <c r="E21" s="1510"/>
      <c r="F21" s="1510"/>
      <c r="G21" s="1423"/>
      <c r="H21" s="64">
        <v>605784</v>
      </c>
      <c r="I21" s="30" t="s">
        <v>195</v>
      </c>
      <c r="J21" s="1508"/>
      <c r="K21" s="573" t="s">
        <v>199</v>
      </c>
      <c r="L21" s="1423"/>
      <c r="M21" s="1423"/>
      <c r="N21" s="32" t="s">
        <v>3388</v>
      </c>
      <c r="O21" s="21" t="s">
        <v>3432</v>
      </c>
      <c r="P21" s="46" t="s">
        <v>43</v>
      </c>
      <c r="Q21" s="1521"/>
      <c r="R21" s="46" t="s">
        <v>43</v>
      </c>
      <c r="S21" s="63" t="s">
        <v>3433</v>
      </c>
      <c r="T21" s="46" t="s">
        <v>43</v>
      </c>
      <c r="U21" s="105" t="s">
        <v>3459</v>
      </c>
      <c r="V21" s="46" t="s">
        <v>43</v>
      </c>
      <c r="W21" s="46" t="s">
        <v>43</v>
      </c>
      <c r="X21" s="63" t="s">
        <v>3435</v>
      </c>
      <c r="Y21" s="1534"/>
      <c r="Z21" s="1532"/>
      <c r="AA21" s="1528"/>
      <c r="AB21" s="219">
        <v>20800000</v>
      </c>
      <c r="AC21" s="27"/>
    </row>
    <row r="22" spans="1:29" s="12" customFormat="1" ht="15.75" customHeight="1">
      <c r="A22" s="1508"/>
      <c r="B22" s="1508"/>
      <c r="C22" s="1515"/>
      <c r="D22" s="1423"/>
      <c r="E22" s="1511"/>
      <c r="F22" s="1511"/>
      <c r="G22" s="1423"/>
      <c r="H22" s="46" t="s">
        <v>43</v>
      </c>
      <c r="I22" s="32" t="s">
        <v>84</v>
      </c>
      <c r="J22" s="32" t="s">
        <v>45</v>
      </c>
      <c r="K22" s="573" t="s">
        <v>201</v>
      </c>
      <c r="L22" s="1508"/>
      <c r="M22" s="1508"/>
      <c r="N22" s="32" t="s">
        <v>14250</v>
      </c>
      <c r="O22" s="32" t="s">
        <v>3389</v>
      </c>
      <c r="P22" s="46" t="s">
        <v>43</v>
      </c>
      <c r="Q22" s="1522"/>
      <c r="R22" s="46" t="s">
        <v>43</v>
      </c>
      <c r="S22" s="63" t="s">
        <v>48</v>
      </c>
      <c r="T22" s="46" t="s">
        <v>43</v>
      </c>
      <c r="U22" s="46" t="s">
        <v>43</v>
      </c>
      <c r="V22" s="46" t="s">
        <v>43</v>
      </c>
      <c r="W22" s="46" t="s">
        <v>43</v>
      </c>
      <c r="X22" s="63" t="s">
        <v>1822</v>
      </c>
      <c r="Y22" s="32" t="s">
        <v>50</v>
      </c>
      <c r="Z22" s="1527"/>
      <c r="AA22" s="1528"/>
      <c r="AB22" s="219">
        <v>0</v>
      </c>
      <c r="AC22" s="27"/>
    </row>
    <row r="23" spans="1:29" s="109" customFormat="1" ht="19.5" customHeight="1">
      <c r="A23" s="1422">
        <v>12</v>
      </c>
      <c r="B23" s="1422">
        <v>12</v>
      </c>
      <c r="C23" s="1512">
        <v>494</v>
      </c>
      <c r="D23" s="1423"/>
      <c r="E23" s="1422" t="s">
        <v>3390</v>
      </c>
      <c r="F23" s="1422" t="s">
        <v>3390</v>
      </c>
      <c r="G23" s="1423"/>
      <c r="H23" s="64" t="s">
        <v>9201</v>
      </c>
      <c r="I23" s="32" t="s">
        <v>1514</v>
      </c>
      <c r="J23" s="1422" t="s">
        <v>29</v>
      </c>
      <c r="K23" s="106" t="s">
        <v>11850</v>
      </c>
      <c r="L23" s="1422" t="s">
        <v>15234</v>
      </c>
      <c r="M23" s="1422" t="s">
        <v>15233</v>
      </c>
      <c r="N23" s="32" t="s">
        <v>3391</v>
      </c>
      <c r="O23" s="32" t="s">
        <v>14252</v>
      </c>
      <c r="P23" s="46" t="s">
        <v>43</v>
      </c>
      <c r="Q23" s="1520" t="s">
        <v>3405</v>
      </c>
      <c r="R23" s="46" t="s">
        <v>43</v>
      </c>
      <c r="S23" s="63" t="s">
        <v>3437</v>
      </c>
      <c r="T23" s="46" t="s">
        <v>43</v>
      </c>
      <c r="U23" s="105" t="s">
        <v>3456</v>
      </c>
      <c r="V23" s="46" t="s">
        <v>43</v>
      </c>
      <c r="W23" s="46" t="s">
        <v>43</v>
      </c>
      <c r="X23" s="63" t="s">
        <v>3438</v>
      </c>
      <c r="Y23" s="1533" t="s">
        <v>3425</v>
      </c>
      <c r="Z23" s="1526" t="s">
        <v>202</v>
      </c>
      <c r="AA23" s="1528" t="s">
        <v>65</v>
      </c>
      <c r="AB23" s="219">
        <v>53760000</v>
      </c>
      <c r="AC23" s="27"/>
    </row>
    <row r="24" spans="1:29" s="109" customFormat="1" ht="15.75" customHeight="1">
      <c r="A24" s="1508"/>
      <c r="B24" s="1508"/>
      <c r="C24" s="1513"/>
      <c r="D24" s="1508"/>
      <c r="E24" s="1508"/>
      <c r="F24" s="1508"/>
      <c r="G24" s="1508"/>
      <c r="H24" s="64" t="s">
        <v>9202</v>
      </c>
      <c r="I24" s="30" t="s">
        <v>195</v>
      </c>
      <c r="J24" s="1508"/>
      <c r="K24" s="573" t="s">
        <v>199</v>
      </c>
      <c r="L24" s="1508"/>
      <c r="M24" s="1508"/>
      <c r="N24" s="32" t="s">
        <v>3392</v>
      </c>
      <c r="O24" s="21" t="s">
        <v>3436</v>
      </c>
      <c r="P24" s="46" t="s">
        <v>43</v>
      </c>
      <c r="Q24" s="1522"/>
      <c r="R24" s="46" t="s">
        <v>43</v>
      </c>
      <c r="S24" s="63" t="s">
        <v>3413</v>
      </c>
      <c r="T24" s="46" t="s">
        <v>43</v>
      </c>
      <c r="U24" s="105" t="s">
        <v>3457</v>
      </c>
      <c r="V24" s="46" t="s">
        <v>43</v>
      </c>
      <c r="W24" s="46" t="s">
        <v>43</v>
      </c>
      <c r="X24" s="63" t="s">
        <v>3415</v>
      </c>
      <c r="Y24" s="1534"/>
      <c r="Z24" s="1527"/>
      <c r="AA24" s="1528"/>
      <c r="AB24" s="219">
        <v>20800000</v>
      </c>
      <c r="AC24"/>
    </row>
    <row r="25" spans="1:29" ht="19.5">
      <c r="AB25" s="574">
        <f>SUM(AB2:AB24)</f>
        <v>418982000</v>
      </c>
    </row>
    <row r="26" spans="1:29" ht="18">
      <c r="AB26" s="27"/>
    </row>
    <row r="27" spans="1:29" ht="18">
      <c r="AB27" s="27"/>
    </row>
    <row r="28" spans="1:29" ht="18">
      <c r="AB28" s="27"/>
    </row>
    <row r="29" spans="1:29" ht="18">
      <c r="AB29" s="27"/>
    </row>
    <row r="30" spans="1:29" ht="18">
      <c r="AB30" s="27"/>
    </row>
    <row r="34" spans="1:29">
      <c r="Z34" s="19"/>
    </row>
    <row r="35" spans="1:29" s="102" customFormat="1" ht="19.5">
      <c r="A35" s="34" t="s">
        <v>0</v>
      </c>
      <c r="B35" s="34"/>
      <c r="C35" s="34" t="s">
        <v>5</v>
      </c>
      <c r="D35" s="34" t="s">
        <v>2</v>
      </c>
      <c r="E35" s="34" t="s">
        <v>3</v>
      </c>
      <c r="F35" s="34" t="s">
        <v>4</v>
      </c>
      <c r="G35" s="34" t="s">
        <v>256</v>
      </c>
      <c r="H35" s="34" t="s">
        <v>6</v>
      </c>
      <c r="I35" s="34" t="s">
        <v>7</v>
      </c>
      <c r="J35" s="34" t="s">
        <v>8</v>
      </c>
      <c r="K35" s="34" t="s">
        <v>9334</v>
      </c>
      <c r="L35" s="34" t="s">
        <v>9</v>
      </c>
      <c r="M35" s="34" t="s">
        <v>11</v>
      </c>
      <c r="N35" s="34" t="s">
        <v>12</v>
      </c>
      <c r="O35" s="34" t="s">
        <v>216</v>
      </c>
      <c r="P35" s="34" t="s">
        <v>13</v>
      </c>
      <c r="Q35" s="35" t="s">
        <v>14</v>
      </c>
      <c r="R35" s="35" t="s">
        <v>217</v>
      </c>
      <c r="S35" s="35" t="s">
        <v>16</v>
      </c>
      <c r="T35" s="34" t="s">
        <v>17</v>
      </c>
      <c r="U35" s="34" t="s">
        <v>218</v>
      </c>
      <c r="V35" s="34" t="s">
        <v>22</v>
      </c>
      <c r="W35" s="36" t="s">
        <v>23</v>
      </c>
      <c r="X35" s="211" t="s">
        <v>24</v>
      </c>
      <c r="Y35" s="297" t="s">
        <v>257</v>
      </c>
      <c r="Z35"/>
      <c r="AB35"/>
      <c r="AC35"/>
    </row>
    <row r="36" spans="1:29" s="102" customFormat="1" ht="18">
      <c r="A36" s="93">
        <v>1</v>
      </c>
      <c r="B36" s="855"/>
      <c r="C36" s="1505" t="s">
        <v>933</v>
      </c>
      <c r="D36" s="1505" t="s">
        <v>933</v>
      </c>
      <c r="E36" s="1506" t="s">
        <v>3328</v>
      </c>
      <c r="F36" s="1507" t="s">
        <v>3439</v>
      </c>
      <c r="G36" s="1507"/>
      <c r="H36" s="95" t="s">
        <v>9204</v>
      </c>
      <c r="I36" s="855" t="s">
        <v>1659</v>
      </c>
      <c r="J36" s="855" t="s">
        <v>168</v>
      </c>
      <c r="K36" s="855">
        <v>512</v>
      </c>
      <c r="L36" s="792" t="s">
        <v>3440</v>
      </c>
      <c r="M36" s="792" t="s">
        <v>3441</v>
      </c>
      <c r="N36" s="94" t="s">
        <v>15521</v>
      </c>
      <c r="O36" s="46" t="s">
        <v>43</v>
      </c>
      <c r="P36" s="46" t="s">
        <v>43</v>
      </c>
      <c r="Q36" s="46" t="s">
        <v>43</v>
      </c>
      <c r="R36" s="46" t="s">
        <v>43</v>
      </c>
      <c r="S36" s="46" t="s">
        <v>43</v>
      </c>
      <c r="T36" s="46" t="s">
        <v>43</v>
      </c>
      <c r="U36" s="93" t="s">
        <v>68</v>
      </c>
      <c r="V36" s="93" t="s">
        <v>1504</v>
      </c>
      <c r="W36" s="96" t="s">
        <v>202</v>
      </c>
      <c r="X36" s="296" t="s">
        <v>43</v>
      </c>
      <c r="Y36" s="298">
        <v>4000000</v>
      </c>
      <c r="Z36"/>
      <c r="AA36" s="83"/>
      <c r="AB36"/>
      <c r="AC36"/>
    </row>
    <row r="37" spans="1:29" s="102" customFormat="1" ht="18">
      <c r="A37" s="860">
        <v>3</v>
      </c>
      <c r="B37" s="860"/>
      <c r="C37" s="1505"/>
      <c r="D37" s="1505"/>
      <c r="E37" s="1506"/>
      <c r="F37" s="1507" t="s">
        <v>3443</v>
      </c>
      <c r="G37" s="1507"/>
      <c r="H37" s="95" t="s">
        <v>9205</v>
      </c>
      <c r="I37" s="860" t="s">
        <v>1659</v>
      </c>
      <c r="J37" s="860" t="s">
        <v>168</v>
      </c>
      <c r="K37" s="860">
        <v>512</v>
      </c>
      <c r="L37" s="861" t="s">
        <v>3444</v>
      </c>
      <c r="M37" s="861" t="s">
        <v>3445</v>
      </c>
      <c r="N37" s="861" t="s">
        <v>3446</v>
      </c>
      <c r="O37" s="859" t="s">
        <v>15538</v>
      </c>
      <c r="P37" s="859" t="s">
        <v>43</v>
      </c>
      <c r="Q37" s="859" t="s">
        <v>43</v>
      </c>
      <c r="R37" s="859" t="s">
        <v>43</v>
      </c>
      <c r="S37" s="859" t="s">
        <v>43</v>
      </c>
      <c r="T37" s="859" t="s">
        <v>43</v>
      </c>
      <c r="U37" s="860" t="s">
        <v>68</v>
      </c>
      <c r="V37" s="860" t="s">
        <v>1504</v>
      </c>
      <c r="W37" s="865" t="s">
        <v>202</v>
      </c>
      <c r="X37" s="871" t="s">
        <v>43</v>
      </c>
      <c r="Y37" s="298">
        <v>4000000</v>
      </c>
      <c r="Z37" s="113"/>
      <c r="AB37" s="113"/>
      <c r="AC37" s="113"/>
    </row>
    <row r="38" spans="1:29" s="102" customFormat="1" ht="18">
      <c r="A38" s="93">
        <v>5</v>
      </c>
      <c r="B38" s="855"/>
      <c r="C38" s="1505"/>
      <c r="D38" s="1505"/>
      <c r="E38" s="792" t="s">
        <v>3390</v>
      </c>
      <c r="F38" s="1507" t="s">
        <v>3447</v>
      </c>
      <c r="G38" s="1507"/>
      <c r="H38" s="95" t="s">
        <v>3448</v>
      </c>
      <c r="I38" s="855" t="s">
        <v>1659</v>
      </c>
      <c r="J38" s="855" t="s">
        <v>60</v>
      </c>
      <c r="K38" s="855">
        <v>512</v>
      </c>
      <c r="L38" s="792" t="s">
        <v>3449</v>
      </c>
      <c r="M38" s="792" t="s">
        <v>3450</v>
      </c>
      <c r="N38" s="94" t="s">
        <v>14253</v>
      </c>
      <c r="O38" s="46" t="s">
        <v>43</v>
      </c>
      <c r="P38" s="46" t="s">
        <v>43</v>
      </c>
      <c r="Q38" s="46" t="s">
        <v>43</v>
      </c>
      <c r="R38" s="46" t="s">
        <v>43</v>
      </c>
      <c r="S38" s="46" t="s">
        <v>43</v>
      </c>
      <c r="T38" s="46" t="s">
        <v>43</v>
      </c>
      <c r="U38" s="93" t="s">
        <v>3451</v>
      </c>
      <c r="V38" s="93" t="s">
        <v>1504</v>
      </c>
      <c r="W38" s="96" t="s">
        <v>202</v>
      </c>
      <c r="X38" s="296" t="s">
        <v>43</v>
      </c>
      <c r="Y38" s="298">
        <v>12800000</v>
      </c>
      <c r="Z38"/>
      <c r="AB38"/>
      <c r="AC38"/>
    </row>
    <row r="39" spans="1:29" ht="19.5">
      <c r="X39" s="289" t="s">
        <v>2280</v>
      </c>
      <c r="Y39" s="299">
        <f>SUM(Y36:Y38)</f>
        <v>20800000</v>
      </c>
    </row>
    <row r="40" spans="1:29" ht="19.5">
      <c r="N40" s="568" t="s">
        <v>12013</v>
      </c>
    </row>
    <row r="41" spans="1:29" ht="19.5">
      <c r="N41" s="858" t="s">
        <v>3442</v>
      </c>
    </row>
    <row r="42" spans="1:29" ht="19.5">
      <c r="N42" s="858" t="s">
        <v>12075</v>
      </c>
    </row>
  </sheetData>
  <mergeCells count="113">
    <mergeCell ref="L16:L17"/>
    <mergeCell ref="J10:J11"/>
    <mergeCell ref="L23:L24"/>
    <mergeCell ref="Y20:Y21"/>
    <mergeCell ref="M8:M9"/>
    <mergeCell ref="M10:M11"/>
    <mergeCell ref="M12:M13"/>
    <mergeCell ref="Y23:Y24"/>
    <mergeCell ref="Q10:Q11"/>
    <mergeCell ref="Q12:Q13"/>
    <mergeCell ref="W8:W9"/>
    <mergeCell ref="Y8:Y9"/>
    <mergeCell ref="Y12:Y13"/>
    <mergeCell ref="V8:V9"/>
    <mergeCell ref="Y10:Y11"/>
    <mergeCell ref="Q23:Q24"/>
    <mergeCell ref="M16:M17"/>
    <mergeCell ref="M18:M19"/>
    <mergeCell ref="M20:M22"/>
    <mergeCell ref="M23:M24"/>
    <mergeCell ref="Q16:Q17"/>
    <mergeCell ref="Q18:Q19"/>
    <mergeCell ref="Q20:Q22"/>
    <mergeCell ref="J8:J9"/>
    <mergeCell ref="Z20:Z22"/>
    <mergeCell ref="Z23:Z24"/>
    <mergeCell ref="Z2:Z7"/>
    <mergeCell ref="AA2:AA7"/>
    <mergeCell ref="Z10:Z11"/>
    <mergeCell ref="AA10:AA11"/>
    <mergeCell ref="Z14:Z15"/>
    <mergeCell ref="AA14:AA15"/>
    <mergeCell ref="Z8:Z9"/>
    <mergeCell ref="AA23:AA24"/>
    <mergeCell ref="AA18:AA19"/>
    <mergeCell ref="Z12:Z13"/>
    <mergeCell ref="AA12:AA13"/>
    <mergeCell ref="AA20:AA22"/>
    <mergeCell ref="A2:A7"/>
    <mergeCell ref="A8:A9"/>
    <mergeCell ref="A10:A11"/>
    <mergeCell ref="F14:F15"/>
    <mergeCell ref="F16:F17"/>
    <mergeCell ref="E14:E15"/>
    <mergeCell ref="B2:B7"/>
    <mergeCell ref="B8:B9"/>
    <mergeCell ref="B10:B11"/>
    <mergeCell ref="E16:E17"/>
    <mergeCell ref="Y2:Y6"/>
    <mergeCell ref="Q2:Q7"/>
    <mergeCell ref="Q8:Q9"/>
    <mergeCell ref="C2:C7"/>
    <mergeCell ref="C8:C9"/>
    <mergeCell ref="D2:D24"/>
    <mergeCell ref="E2:E9"/>
    <mergeCell ref="Z16:Z17"/>
    <mergeCell ref="AA16:AA17"/>
    <mergeCell ref="Z18:Z19"/>
    <mergeCell ref="M2:M7"/>
    <mergeCell ref="U2:U5"/>
    <mergeCell ref="V2:V5"/>
    <mergeCell ref="F2:F7"/>
    <mergeCell ref="F8:F9"/>
    <mergeCell ref="F10:F11"/>
    <mergeCell ref="F12:F13"/>
    <mergeCell ref="AA8:AA9"/>
    <mergeCell ref="Q14:Q15"/>
    <mergeCell ref="M14:M15"/>
    <mergeCell ref="C10:C11"/>
    <mergeCell ref="E10:E11"/>
    <mergeCell ref="E12:E13"/>
    <mergeCell ref="W2:W5"/>
    <mergeCell ref="A23:A24"/>
    <mergeCell ref="A12:A13"/>
    <mergeCell ref="C14:C15"/>
    <mergeCell ref="A14:A15"/>
    <mergeCell ref="B12:B13"/>
    <mergeCell ref="B14:B15"/>
    <mergeCell ref="B16:B17"/>
    <mergeCell ref="B18:B19"/>
    <mergeCell ref="B20:B22"/>
    <mergeCell ref="B23:B24"/>
    <mergeCell ref="A16:A17"/>
    <mergeCell ref="C12:C13"/>
    <mergeCell ref="C16:C17"/>
    <mergeCell ref="C18:C19"/>
    <mergeCell ref="A18:A19"/>
    <mergeCell ref="C20:C22"/>
    <mergeCell ref="A20:A22"/>
    <mergeCell ref="C36:C38"/>
    <mergeCell ref="D36:D38"/>
    <mergeCell ref="E36:E37"/>
    <mergeCell ref="F36:G36"/>
    <mergeCell ref="F37:G37"/>
    <mergeCell ref="F38:G38"/>
    <mergeCell ref="L8:L9"/>
    <mergeCell ref="L10:L11"/>
    <mergeCell ref="L12:L13"/>
    <mergeCell ref="E18:E19"/>
    <mergeCell ref="E20:E22"/>
    <mergeCell ref="E23:E24"/>
    <mergeCell ref="L18:L19"/>
    <mergeCell ref="L20:L22"/>
    <mergeCell ref="F18:F19"/>
    <mergeCell ref="F20:F22"/>
    <mergeCell ref="F23:F24"/>
    <mergeCell ref="J20:J21"/>
    <mergeCell ref="G2:G24"/>
    <mergeCell ref="J2:J5"/>
    <mergeCell ref="L2:L7"/>
    <mergeCell ref="J23:J24"/>
    <mergeCell ref="C23:C24"/>
    <mergeCell ref="L14:L15"/>
  </mergeCells>
  <conditionalFormatting sqref="F35">
    <cfRule type="duplicateValues" dxfId="2287" priority="79"/>
  </conditionalFormatting>
  <conditionalFormatting sqref="F36">
    <cfRule type="duplicateValues" dxfId="2286" priority="61"/>
  </conditionalFormatting>
  <conditionalFormatting sqref="L35">
    <cfRule type="duplicateValues" dxfId="2285" priority="80"/>
    <cfRule type="duplicateValues" dxfId="2284" priority="86"/>
  </conditionalFormatting>
  <conditionalFormatting sqref="L36">
    <cfRule type="duplicateValues" dxfId="2283" priority="55"/>
  </conditionalFormatting>
  <conditionalFormatting sqref="M35">
    <cfRule type="duplicateValues" dxfId="2282" priority="81"/>
  </conditionalFormatting>
  <conditionalFormatting sqref="M36">
    <cfRule type="duplicateValues" dxfId="2281" priority="60"/>
  </conditionalFormatting>
  <conditionalFormatting sqref="M37:M38">
    <cfRule type="duplicateValues" dxfId="2280" priority="76"/>
  </conditionalFormatting>
  <conditionalFormatting sqref="N6">
    <cfRule type="duplicateValues" dxfId="2279" priority="98"/>
    <cfRule type="duplicateValues" dxfId="2278" priority="100"/>
  </conditionalFormatting>
  <conditionalFormatting sqref="N9">
    <cfRule type="duplicateValues" dxfId="2277" priority="103"/>
    <cfRule type="duplicateValues" dxfId="2276" priority="105"/>
  </conditionalFormatting>
  <conditionalFormatting sqref="N12">
    <cfRule type="duplicateValues" dxfId="2275" priority="118"/>
  </conditionalFormatting>
  <conditionalFormatting sqref="N14">
    <cfRule type="duplicateValues" dxfId="2274" priority="114"/>
  </conditionalFormatting>
  <conditionalFormatting sqref="N16">
    <cfRule type="duplicateValues" dxfId="2273" priority="110"/>
  </conditionalFormatting>
  <conditionalFormatting sqref="N17 N24 N13 N15 N19:N20 N1:N5 N7:N8">
    <cfRule type="duplicateValues" dxfId="2272" priority="129"/>
    <cfRule type="duplicateValues" dxfId="2271" priority="131"/>
  </conditionalFormatting>
  <conditionalFormatting sqref="N18">
    <cfRule type="duplicateValues" dxfId="2270" priority="108"/>
  </conditionalFormatting>
  <conditionalFormatting sqref="N21">
    <cfRule type="duplicateValues" dxfId="2269" priority="125"/>
  </conditionalFormatting>
  <conditionalFormatting sqref="N22">
    <cfRule type="duplicateValues" dxfId="2268" priority="123"/>
  </conditionalFormatting>
  <conditionalFormatting sqref="N23">
    <cfRule type="duplicateValues" dxfId="2267" priority="106"/>
  </conditionalFormatting>
  <conditionalFormatting sqref="N36">
    <cfRule type="duplicateValues" dxfId="2266" priority="56"/>
    <cfRule type="duplicateValues" dxfId="2265" priority="57"/>
    <cfRule type="duplicateValues" dxfId="2264" priority="58"/>
    <cfRule type="duplicateValues" dxfId="2263" priority="59"/>
  </conditionalFormatting>
  <conditionalFormatting sqref="N37:N38">
    <cfRule type="duplicateValues" dxfId="2262" priority="72"/>
    <cfRule type="duplicateValues" dxfId="2261" priority="73"/>
    <cfRule type="duplicateValues" dxfId="2260" priority="74"/>
    <cfRule type="duplicateValues" dxfId="2259" priority="75"/>
  </conditionalFormatting>
  <conditionalFormatting sqref="N35:O35">
    <cfRule type="duplicateValues" dxfId="2258" priority="82"/>
    <cfRule type="duplicateValues" dxfId="2257" priority="83"/>
    <cfRule type="duplicateValues" dxfId="2256" priority="84"/>
    <cfRule type="duplicateValues" dxfId="2255" priority="85"/>
  </conditionalFormatting>
  <conditionalFormatting sqref="O3">
    <cfRule type="duplicateValues" dxfId="2254" priority="102"/>
  </conditionalFormatting>
  <conditionalFormatting sqref="O6">
    <cfRule type="duplicateValues" dxfId="2253" priority="99"/>
  </conditionalFormatting>
  <conditionalFormatting sqref="O7">
    <cfRule type="duplicateValues" dxfId="2252" priority="101"/>
  </conditionalFormatting>
  <conditionalFormatting sqref="O9">
    <cfRule type="duplicateValues" dxfId="2251" priority="97"/>
  </conditionalFormatting>
  <conditionalFormatting sqref="O10">
    <cfRule type="duplicateValues" dxfId="2250" priority="120"/>
  </conditionalFormatting>
  <conditionalFormatting sqref="O11">
    <cfRule type="duplicateValues" dxfId="2249" priority="95"/>
  </conditionalFormatting>
  <conditionalFormatting sqref="O12">
    <cfRule type="duplicateValues" dxfId="2248" priority="119"/>
  </conditionalFormatting>
  <conditionalFormatting sqref="O13">
    <cfRule type="duplicateValues" dxfId="2247" priority="94"/>
  </conditionalFormatting>
  <conditionalFormatting sqref="O14">
    <cfRule type="duplicateValues" dxfId="2246" priority="115"/>
  </conditionalFormatting>
  <conditionalFormatting sqref="O15">
    <cfRule type="duplicateValues" dxfId="2245" priority="92"/>
  </conditionalFormatting>
  <conditionalFormatting sqref="O16">
    <cfRule type="duplicateValues" dxfId="2244" priority="111"/>
  </conditionalFormatting>
  <conditionalFormatting sqref="O17">
    <cfRule type="duplicateValues" dxfId="2243" priority="90"/>
  </conditionalFormatting>
  <conditionalFormatting sqref="O18">
    <cfRule type="duplicateValues" dxfId="2242" priority="109"/>
  </conditionalFormatting>
  <conditionalFormatting sqref="O19">
    <cfRule type="duplicateValues" dxfId="2241" priority="89"/>
  </conditionalFormatting>
  <conditionalFormatting sqref="O20 O1:O2 O4:O5 O8">
    <cfRule type="duplicateValues" dxfId="2240" priority="130"/>
  </conditionalFormatting>
  <conditionalFormatting sqref="O21">
    <cfRule type="duplicateValues" dxfId="2239" priority="88"/>
  </conditionalFormatting>
  <conditionalFormatting sqref="O22">
    <cfRule type="duplicateValues" dxfId="2238" priority="124"/>
  </conditionalFormatting>
  <conditionalFormatting sqref="O23">
    <cfRule type="duplicateValues" dxfId="2237" priority="107"/>
  </conditionalFormatting>
  <conditionalFormatting sqref="O24">
    <cfRule type="duplicateValues" dxfId="2236" priority="87"/>
  </conditionalFormatting>
  <conditionalFormatting sqref="N41">
    <cfRule type="duplicateValues" dxfId="2235" priority="18"/>
  </conditionalFormatting>
  <conditionalFormatting sqref="N42">
    <cfRule type="duplicateValues" dxfId="2234" priority="17"/>
  </conditionalFormatting>
  <conditionalFormatting sqref="F37:F38">
    <cfRule type="duplicateValues" dxfId="2233" priority="2842"/>
  </conditionalFormatting>
  <conditionalFormatting sqref="L37:L38">
    <cfRule type="duplicateValues" dxfId="2232" priority="2843"/>
    <cfRule type="duplicateValues" dxfId="2231" priority="2844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248"/>
  <sheetViews>
    <sheetView rightToLeft="1" zoomScale="85" zoomScaleNormal="85" workbookViewId="0">
      <pane xSplit="6" ySplit="1" topLeftCell="G158" activePane="bottomRight" state="frozen"/>
      <selection pane="topRight" activeCell="G1" sqref="G1"/>
      <selection pane="bottomLeft" activeCell="A2" sqref="A2"/>
      <selection pane="bottomRight" activeCell="A184" sqref="A184:XFD184"/>
    </sheetView>
  </sheetViews>
  <sheetFormatPr defaultColWidth="9.140625" defaultRowHeight="15"/>
  <cols>
    <col min="1" max="1" width="23.42578125" style="461" customWidth="1"/>
    <col min="2" max="4" width="9.140625" style="461"/>
    <col min="5" max="5" width="27.85546875" style="461" customWidth="1"/>
    <col min="6" max="6" width="9.140625" style="461"/>
    <col min="7" max="7" width="22.28515625" style="461" bestFit="1" customWidth="1"/>
    <col min="8" max="8" width="24.85546875" style="461" customWidth="1"/>
    <col min="9" max="9" width="21.85546875" style="461" customWidth="1"/>
    <col min="10" max="10" width="22.28515625" style="461" customWidth="1"/>
    <col min="11" max="11" width="87.7109375" style="461" customWidth="1"/>
    <col min="12" max="12" width="48.42578125" style="461" customWidth="1"/>
    <col min="13" max="13" width="24.5703125" style="461" customWidth="1"/>
    <col min="14" max="14" width="65.42578125" style="461" customWidth="1"/>
    <col min="15" max="15" width="9.140625" style="461"/>
    <col min="16" max="16" width="34.28515625" style="461" customWidth="1"/>
    <col min="17" max="17" width="14.140625" style="461" customWidth="1"/>
    <col min="18" max="18" width="30.42578125" style="461" customWidth="1"/>
    <col min="19" max="19" width="17" style="461" customWidth="1"/>
    <col min="20" max="20" width="19.5703125" style="461" customWidth="1"/>
    <col min="21" max="21" width="28.85546875" style="461" customWidth="1"/>
    <col min="22" max="22" width="15.42578125" style="461" customWidth="1"/>
    <col min="23" max="23" width="37.28515625" style="461" customWidth="1"/>
    <col min="24" max="24" width="51.7109375" style="461" customWidth="1"/>
    <col min="25" max="25" width="30.7109375" style="461" customWidth="1"/>
    <col min="26" max="26" width="58.42578125" style="461" customWidth="1"/>
    <col min="27" max="27" width="19.28515625" style="461" customWidth="1"/>
    <col min="28" max="16384" width="9.140625" style="461"/>
  </cols>
  <sheetData>
    <row r="1" spans="1:27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27" customFormat="1" ht="19.5" customHeight="1">
      <c r="A2" s="1528"/>
      <c r="B2" s="1564">
        <v>200</v>
      </c>
      <c r="C2" s="1392" t="s">
        <v>423</v>
      </c>
      <c r="D2" s="1546" t="s">
        <v>423</v>
      </c>
      <c r="E2" s="1528" t="s">
        <v>1669</v>
      </c>
      <c r="F2" s="1528" t="s">
        <v>480</v>
      </c>
      <c r="G2" s="745" t="s">
        <v>1675</v>
      </c>
      <c r="H2" s="4" t="s">
        <v>28</v>
      </c>
      <c r="I2" s="66" t="s">
        <v>1670</v>
      </c>
      <c r="J2" s="744" t="s">
        <v>1994</v>
      </c>
      <c r="K2" s="1567" t="s">
        <v>1684</v>
      </c>
      <c r="L2" s="1528" t="s">
        <v>1672</v>
      </c>
      <c r="M2" s="740" t="s">
        <v>14947</v>
      </c>
      <c r="N2" s="740" t="s">
        <v>1679</v>
      </c>
      <c r="O2" s="749" t="s">
        <v>43</v>
      </c>
      <c r="P2" s="1562" t="s">
        <v>1673</v>
      </c>
      <c r="Q2" s="749" t="s">
        <v>43</v>
      </c>
      <c r="R2" s="745" t="s">
        <v>1681</v>
      </c>
      <c r="S2" s="749" t="s">
        <v>43</v>
      </c>
      <c r="T2" s="740" t="s">
        <v>1685</v>
      </c>
      <c r="U2" s="740" t="s">
        <v>1687</v>
      </c>
      <c r="V2" s="745" t="s">
        <v>1688</v>
      </c>
      <c r="W2" s="745" t="s">
        <v>1696</v>
      </c>
      <c r="X2" s="740" t="s">
        <v>1691</v>
      </c>
      <c r="Y2" s="1563" t="s">
        <v>1693</v>
      </c>
      <c r="Z2" s="1563" t="s">
        <v>1694</v>
      </c>
      <c r="AA2" s="320">
        <v>155606060.60609999</v>
      </c>
    </row>
    <row r="3" spans="1:27" s="27" customFormat="1" ht="19.5" customHeight="1">
      <c r="A3" s="1528"/>
      <c r="B3" s="1564"/>
      <c r="C3" s="1394"/>
      <c r="D3" s="1546"/>
      <c r="E3" s="1565"/>
      <c r="F3" s="1566"/>
      <c r="G3" s="745" t="s">
        <v>14948</v>
      </c>
      <c r="H3" s="4" t="s">
        <v>28</v>
      </c>
      <c r="I3" s="66" t="s">
        <v>1670</v>
      </c>
      <c r="J3" s="744" t="s">
        <v>197</v>
      </c>
      <c r="K3" s="1567"/>
      <c r="L3" s="1528"/>
      <c r="M3" s="740" t="s">
        <v>14949</v>
      </c>
      <c r="N3" s="740" t="s">
        <v>1680</v>
      </c>
      <c r="O3" s="749" t="s">
        <v>43</v>
      </c>
      <c r="P3" s="1562"/>
      <c r="Q3" s="749" t="s">
        <v>43</v>
      </c>
      <c r="R3" s="745" t="s">
        <v>1683</v>
      </c>
      <c r="S3" s="749" t="s">
        <v>43</v>
      </c>
      <c r="T3" s="740" t="s">
        <v>1686</v>
      </c>
      <c r="U3" s="740" t="s">
        <v>1601</v>
      </c>
      <c r="V3" s="745" t="s">
        <v>1689</v>
      </c>
      <c r="W3" s="751" t="s">
        <v>1697</v>
      </c>
      <c r="X3" s="740" t="s">
        <v>1691</v>
      </c>
      <c r="Y3" s="1563"/>
      <c r="Z3" s="1563"/>
      <c r="AA3" s="320">
        <v>53000000</v>
      </c>
    </row>
    <row r="4" spans="1:27" s="27" customFormat="1" ht="18">
      <c r="A4" s="1528"/>
      <c r="B4" s="1564"/>
      <c r="C4" s="1394"/>
      <c r="D4" s="1546"/>
      <c r="E4" s="1565"/>
      <c r="F4" s="1566"/>
      <c r="G4" s="749" t="s">
        <v>43</v>
      </c>
      <c r="H4" s="753" t="s">
        <v>1698</v>
      </c>
      <c r="I4" s="740" t="s">
        <v>1674</v>
      </c>
      <c r="J4" s="67" t="s">
        <v>9145</v>
      </c>
      <c r="K4" s="1567"/>
      <c r="L4" s="1528"/>
      <c r="M4" s="740" t="s">
        <v>1695</v>
      </c>
      <c r="N4" s="740" t="s">
        <v>1678</v>
      </c>
      <c r="O4" s="749" t="s">
        <v>43</v>
      </c>
      <c r="P4" s="1562"/>
      <c r="Q4" s="749" t="s">
        <v>43</v>
      </c>
      <c r="R4" s="745" t="s">
        <v>1682</v>
      </c>
      <c r="S4" s="749" t="s">
        <v>43</v>
      </c>
      <c r="T4" s="746" t="s">
        <v>43</v>
      </c>
      <c r="U4" s="746" t="s">
        <v>43</v>
      </c>
      <c r="V4" s="746" t="s">
        <v>43</v>
      </c>
      <c r="W4" s="745" t="s">
        <v>1690</v>
      </c>
      <c r="X4" s="740" t="s">
        <v>1692</v>
      </c>
      <c r="Y4" s="1563"/>
      <c r="Z4" s="1563"/>
      <c r="AA4" s="320">
        <v>0</v>
      </c>
    </row>
    <row r="5" spans="1:27" s="27" customFormat="1" ht="15.75" customHeight="1">
      <c r="A5" s="1452">
        <v>1</v>
      </c>
      <c r="B5" s="1452">
        <v>248</v>
      </c>
      <c r="C5" s="1394"/>
      <c r="D5" s="1546"/>
      <c r="E5" s="1569" t="s">
        <v>424</v>
      </c>
      <c r="F5" s="1452" t="s">
        <v>425</v>
      </c>
      <c r="G5" s="28" t="s">
        <v>12079</v>
      </c>
      <c r="H5" s="4" t="s">
        <v>335</v>
      </c>
      <c r="I5" s="736" t="s">
        <v>168</v>
      </c>
      <c r="J5" s="743" t="s">
        <v>199</v>
      </c>
      <c r="K5" s="1546" t="s">
        <v>14464</v>
      </c>
      <c r="L5" s="1546" t="s">
        <v>14470</v>
      </c>
      <c r="M5" s="736" t="s">
        <v>426</v>
      </c>
      <c r="N5" s="736" t="s">
        <v>427</v>
      </c>
      <c r="O5" s="749" t="s">
        <v>43</v>
      </c>
      <c r="P5" s="1550" t="s">
        <v>428</v>
      </c>
      <c r="Q5" s="749" t="s">
        <v>43</v>
      </c>
      <c r="R5" s="748" t="s">
        <v>429</v>
      </c>
      <c r="S5" s="749" t="s">
        <v>43</v>
      </c>
      <c r="T5" s="749" t="s">
        <v>43</v>
      </c>
      <c r="U5" s="749" t="s">
        <v>43</v>
      </c>
      <c r="V5" s="749" t="s">
        <v>43</v>
      </c>
      <c r="W5" s="748" t="s">
        <v>430</v>
      </c>
      <c r="X5" s="736" t="s">
        <v>170</v>
      </c>
      <c r="Y5" s="1577" t="s">
        <v>202</v>
      </c>
      <c r="Z5" s="1452" t="s">
        <v>65</v>
      </c>
      <c r="AA5" s="320">
        <v>8940000</v>
      </c>
    </row>
    <row r="6" spans="1:27" s="27" customFormat="1" ht="15.75" customHeight="1">
      <c r="A6" s="1452"/>
      <c r="B6" s="1452"/>
      <c r="C6" s="1394"/>
      <c r="D6" s="1546"/>
      <c r="E6" s="1569"/>
      <c r="F6" s="1452"/>
      <c r="G6" s="28" t="s">
        <v>11064</v>
      </c>
      <c r="H6" s="30" t="s">
        <v>195</v>
      </c>
      <c r="I6" s="736" t="s">
        <v>168</v>
      </c>
      <c r="J6" s="743" t="s">
        <v>199</v>
      </c>
      <c r="K6" s="1546"/>
      <c r="L6" s="1546"/>
      <c r="M6" s="736" t="s">
        <v>431</v>
      </c>
      <c r="N6" s="736" t="s">
        <v>970</v>
      </c>
      <c r="O6" s="749" t="s">
        <v>43</v>
      </c>
      <c r="P6" s="1550"/>
      <c r="Q6" s="749" t="s">
        <v>43</v>
      </c>
      <c r="R6" s="748" t="s">
        <v>246</v>
      </c>
      <c r="S6" s="749" t="s">
        <v>43</v>
      </c>
      <c r="T6" s="749" t="s">
        <v>43</v>
      </c>
      <c r="U6" s="749" t="s">
        <v>43</v>
      </c>
      <c r="V6" s="749" t="s">
        <v>43</v>
      </c>
      <c r="W6" s="748" t="s">
        <v>432</v>
      </c>
      <c r="X6" s="736" t="s">
        <v>170</v>
      </c>
      <c r="Y6" s="1577"/>
      <c r="Z6" s="1452"/>
      <c r="AA6" s="320">
        <v>20800000</v>
      </c>
    </row>
    <row r="7" spans="1:27" s="27" customFormat="1" ht="15.75" customHeight="1">
      <c r="A7" s="1452">
        <v>2</v>
      </c>
      <c r="B7" s="1452">
        <v>252</v>
      </c>
      <c r="C7" s="1394"/>
      <c r="D7" s="1546"/>
      <c r="E7" s="1569" t="s">
        <v>434</v>
      </c>
      <c r="F7" s="1452"/>
      <c r="G7" s="28">
        <v>510498</v>
      </c>
      <c r="H7" s="4" t="s">
        <v>335</v>
      </c>
      <c r="I7" s="736" t="s">
        <v>260</v>
      </c>
      <c r="J7" s="743" t="s">
        <v>205</v>
      </c>
      <c r="K7" s="1546" t="s">
        <v>14465</v>
      </c>
      <c r="L7" s="1546" t="s">
        <v>14471</v>
      </c>
      <c r="M7" s="736" t="s">
        <v>435</v>
      </c>
      <c r="N7" s="736" t="s">
        <v>436</v>
      </c>
      <c r="O7" s="749" t="s">
        <v>43</v>
      </c>
      <c r="P7" s="1550" t="s">
        <v>437</v>
      </c>
      <c r="Q7" s="749" t="s">
        <v>43</v>
      </c>
      <c r="R7" s="748" t="s">
        <v>315</v>
      </c>
      <c r="S7" s="748" t="s">
        <v>438</v>
      </c>
      <c r="T7" s="749" t="s">
        <v>43</v>
      </c>
      <c r="U7" s="749" t="s">
        <v>43</v>
      </c>
      <c r="V7" s="749" t="s">
        <v>43</v>
      </c>
      <c r="W7" s="749" t="s">
        <v>43</v>
      </c>
      <c r="X7" s="736" t="s">
        <v>299</v>
      </c>
      <c r="Y7" s="1452" t="s">
        <v>202</v>
      </c>
      <c r="Z7" s="1452" t="s">
        <v>65</v>
      </c>
      <c r="AA7" s="320">
        <v>4480000</v>
      </c>
    </row>
    <row r="8" spans="1:27" s="27" customFormat="1" ht="15.75" customHeight="1">
      <c r="A8" s="1452"/>
      <c r="B8" s="1452"/>
      <c r="C8" s="1394"/>
      <c r="D8" s="1546"/>
      <c r="E8" s="1569"/>
      <c r="F8" s="1452"/>
      <c r="G8" s="28">
        <v>591736</v>
      </c>
      <c r="H8" s="30" t="s">
        <v>195</v>
      </c>
      <c r="I8" s="736" t="s">
        <v>168</v>
      </c>
      <c r="J8" s="743" t="s">
        <v>199</v>
      </c>
      <c r="K8" s="1546"/>
      <c r="L8" s="1546"/>
      <c r="M8" s="736" t="s">
        <v>439</v>
      </c>
      <c r="N8" s="736" t="s">
        <v>971</v>
      </c>
      <c r="O8" s="749" t="s">
        <v>43</v>
      </c>
      <c r="P8" s="1550"/>
      <c r="Q8" s="749" t="s">
        <v>43</v>
      </c>
      <c r="R8" s="748" t="s">
        <v>68</v>
      </c>
      <c r="S8" s="749" t="s">
        <v>43</v>
      </c>
      <c r="T8" s="749" t="s">
        <v>43</v>
      </c>
      <c r="U8" s="749" t="s">
        <v>43</v>
      </c>
      <c r="V8" s="749" t="s">
        <v>43</v>
      </c>
      <c r="W8" s="749" t="s">
        <v>43</v>
      </c>
      <c r="X8" s="736" t="s">
        <v>170</v>
      </c>
      <c r="Y8" s="1452"/>
      <c r="Z8" s="1452"/>
      <c r="AA8" s="320">
        <v>20800000</v>
      </c>
    </row>
    <row r="9" spans="1:27" s="27" customFormat="1" ht="15.75" customHeight="1">
      <c r="A9" s="1452">
        <v>3</v>
      </c>
      <c r="B9" s="1546">
        <v>266</v>
      </c>
      <c r="C9" s="1394"/>
      <c r="D9" s="1546"/>
      <c r="E9" s="1568" t="s">
        <v>440</v>
      </c>
      <c r="F9" s="1452" t="s">
        <v>441</v>
      </c>
      <c r="G9" s="28" t="s">
        <v>12884</v>
      </c>
      <c r="H9" s="4" t="s">
        <v>335</v>
      </c>
      <c r="I9" s="736" t="s">
        <v>108</v>
      </c>
      <c r="J9" s="743" t="s">
        <v>204</v>
      </c>
      <c r="K9" s="1546" t="s">
        <v>14466</v>
      </c>
      <c r="L9" s="1573" t="s">
        <v>972</v>
      </c>
      <c r="M9" s="736" t="s">
        <v>442</v>
      </c>
      <c r="N9" s="736" t="s">
        <v>443</v>
      </c>
      <c r="O9" s="749" t="s">
        <v>43</v>
      </c>
      <c r="P9" s="1550" t="s">
        <v>444</v>
      </c>
      <c r="Q9" s="749" t="s">
        <v>43</v>
      </c>
      <c r="R9" s="748" t="s">
        <v>315</v>
      </c>
      <c r="S9" s="748" t="s">
        <v>438</v>
      </c>
      <c r="T9" s="749" t="s">
        <v>43</v>
      </c>
      <c r="U9" s="749" t="s">
        <v>43</v>
      </c>
      <c r="V9" s="749" t="s">
        <v>43</v>
      </c>
      <c r="W9" s="749" t="s">
        <v>43</v>
      </c>
      <c r="X9" s="736" t="s">
        <v>299</v>
      </c>
      <c r="Y9" s="1452" t="s">
        <v>202</v>
      </c>
      <c r="Z9" s="1578" t="s">
        <v>445</v>
      </c>
      <c r="AA9" s="320">
        <v>15600000</v>
      </c>
    </row>
    <row r="10" spans="1:27" s="27" customFormat="1" ht="18" customHeight="1">
      <c r="A10" s="1452"/>
      <c r="B10" s="1546"/>
      <c r="C10" s="1394"/>
      <c r="D10" s="1546"/>
      <c r="E10" s="1568"/>
      <c r="F10" s="1452"/>
      <c r="G10" s="28" t="s">
        <v>446</v>
      </c>
      <c r="H10" s="30" t="s">
        <v>195</v>
      </c>
      <c r="I10" s="736" t="s">
        <v>29</v>
      </c>
      <c r="J10" s="743" t="s">
        <v>204</v>
      </c>
      <c r="K10" s="1546"/>
      <c r="L10" s="1573"/>
      <c r="M10" s="736" t="s">
        <v>447</v>
      </c>
      <c r="N10" s="736" t="s">
        <v>973</v>
      </c>
      <c r="O10" s="749" t="s">
        <v>43</v>
      </c>
      <c r="P10" s="1550"/>
      <c r="Q10" s="749" t="s">
        <v>43</v>
      </c>
      <c r="R10" s="748" t="s">
        <v>448</v>
      </c>
      <c r="S10" s="749" t="s">
        <v>43</v>
      </c>
      <c r="T10" s="749" t="s">
        <v>1063</v>
      </c>
      <c r="U10" s="749" t="s">
        <v>43</v>
      </c>
      <c r="V10" s="749" t="s">
        <v>43</v>
      </c>
      <c r="W10" s="748" t="s">
        <v>449</v>
      </c>
      <c r="X10" s="736" t="s">
        <v>450</v>
      </c>
      <c r="Y10" s="1452"/>
      <c r="Z10" s="1578"/>
      <c r="AA10" s="320">
        <v>36400000</v>
      </c>
    </row>
    <row r="11" spans="1:27" s="27" customFormat="1" ht="15.75" customHeight="1">
      <c r="A11" s="1452">
        <v>4</v>
      </c>
      <c r="B11" s="1546">
        <v>287</v>
      </c>
      <c r="C11" s="1394"/>
      <c r="D11" s="1546"/>
      <c r="E11" s="1571" t="s">
        <v>451</v>
      </c>
      <c r="F11" s="1452" t="s">
        <v>425</v>
      </c>
      <c r="G11" s="28">
        <v>548056</v>
      </c>
      <c r="H11" s="4" t="s">
        <v>335</v>
      </c>
      <c r="I11" s="736" t="s">
        <v>168</v>
      </c>
      <c r="J11" s="743" t="s">
        <v>205</v>
      </c>
      <c r="K11" s="1546" t="s">
        <v>14467</v>
      </c>
      <c r="L11" s="1546" t="s">
        <v>14472</v>
      </c>
      <c r="M11" s="736" t="s">
        <v>452</v>
      </c>
      <c r="N11" s="736" t="s">
        <v>453</v>
      </c>
      <c r="O11" s="749" t="s">
        <v>43</v>
      </c>
      <c r="P11" s="1550" t="s">
        <v>454</v>
      </c>
      <c r="Q11" s="749" t="s">
        <v>43</v>
      </c>
      <c r="R11" s="748" t="s">
        <v>68</v>
      </c>
      <c r="S11" s="749" t="s">
        <v>43</v>
      </c>
      <c r="T11" s="749" t="s">
        <v>43</v>
      </c>
      <c r="U11" s="749" t="s">
        <v>43</v>
      </c>
      <c r="V11" s="749" t="s">
        <v>43</v>
      </c>
      <c r="W11" s="749" t="s">
        <v>43</v>
      </c>
      <c r="X11" s="736" t="s">
        <v>170</v>
      </c>
      <c r="Y11" s="1452" t="s">
        <v>202</v>
      </c>
      <c r="Z11" s="1452" t="s">
        <v>65</v>
      </c>
      <c r="AA11" s="320">
        <v>4480000</v>
      </c>
    </row>
    <row r="12" spans="1:27" s="27" customFormat="1" ht="15.75" customHeight="1">
      <c r="A12" s="1452"/>
      <c r="B12" s="1546"/>
      <c r="C12" s="1394"/>
      <c r="D12" s="1546"/>
      <c r="E12" s="1571"/>
      <c r="F12" s="1452"/>
      <c r="G12" s="28">
        <v>575859</v>
      </c>
      <c r="H12" s="30" t="s">
        <v>195</v>
      </c>
      <c r="I12" s="736" t="s">
        <v>168</v>
      </c>
      <c r="J12" s="743" t="s">
        <v>199</v>
      </c>
      <c r="K12" s="1546"/>
      <c r="L12" s="1546"/>
      <c r="M12" s="736" t="s">
        <v>455</v>
      </c>
      <c r="N12" s="736" t="s">
        <v>974</v>
      </c>
      <c r="O12" s="749" t="s">
        <v>43</v>
      </c>
      <c r="P12" s="1550"/>
      <c r="Q12" s="749" t="s">
        <v>43</v>
      </c>
      <c r="R12" s="748" t="s">
        <v>255</v>
      </c>
      <c r="S12" s="749" t="s">
        <v>43</v>
      </c>
      <c r="T12" s="749" t="s">
        <v>43</v>
      </c>
      <c r="U12" s="749" t="s">
        <v>43</v>
      </c>
      <c r="V12" s="749" t="s">
        <v>43</v>
      </c>
      <c r="W12" s="748" t="s">
        <v>456</v>
      </c>
      <c r="X12" s="736" t="s">
        <v>170</v>
      </c>
      <c r="Y12" s="1452"/>
      <c r="Z12" s="1452"/>
      <c r="AA12" s="320">
        <v>20800000</v>
      </c>
    </row>
    <row r="13" spans="1:27" s="27" customFormat="1" ht="15.75" customHeight="1">
      <c r="A13" s="1452">
        <v>5</v>
      </c>
      <c r="B13" s="1546">
        <v>294</v>
      </c>
      <c r="C13" s="1394"/>
      <c r="D13" s="1546"/>
      <c r="E13" s="1571" t="s">
        <v>457</v>
      </c>
      <c r="F13" s="1452" t="s">
        <v>441</v>
      </c>
      <c r="G13" s="28">
        <v>510500</v>
      </c>
      <c r="H13" s="4" t="s">
        <v>335</v>
      </c>
      <c r="I13" s="736" t="s">
        <v>108</v>
      </c>
      <c r="J13" s="743" t="s">
        <v>199</v>
      </c>
      <c r="K13" s="1546" t="s">
        <v>14468</v>
      </c>
      <c r="L13" s="1546" t="s">
        <v>14473</v>
      </c>
      <c r="M13" s="736" t="s">
        <v>458</v>
      </c>
      <c r="N13" s="736" t="s">
        <v>459</v>
      </c>
      <c r="O13" s="749" t="s">
        <v>43</v>
      </c>
      <c r="P13" s="1550" t="s">
        <v>460</v>
      </c>
      <c r="Q13" s="749" t="s">
        <v>43</v>
      </c>
      <c r="R13" s="748" t="s">
        <v>315</v>
      </c>
      <c r="S13" s="748" t="s">
        <v>438</v>
      </c>
      <c r="T13" s="749" t="s">
        <v>43</v>
      </c>
      <c r="U13" s="749" t="s">
        <v>43</v>
      </c>
      <c r="V13" s="749" t="s">
        <v>43</v>
      </c>
      <c r="W13" s="749" t="s">
        <v>43</v>
      </c>
      <c r="X13" s="736" t="s">
        <v>299</v>
      </c>
      <c r="Y13" s="1452" t="s">
        <v>202</v>
      </c>
      <c r="Z13" s="1452" t="s">
        <v>65</v>
      </c>
      <c r="AA13" s="320">
        <v>8940000</v>
      </c>
    </row>
    <row r="14" spans="1:27" s="27" customFormat="1" ht="18">
      <c r="A14" s="1452"/>
      <c r="B14" s="1546"/>
      <c r="C14" s="1394"/>
      <c r="D14" s="1546"/>
      <c r="E14" s="1571"/>
      <c r="F14" s="1452"/>
      <c r="G14" s="28">
        <v>586305</v>
      </c>
      <c r="H14" s="30" t="s">
        <v>195</v>
      </c>
      <c r="I14" s="736" t="s">
        <v>108</v>
      </c>
      <c r="J14" s="743" t="s">
        <v>199</v>
      </c>
      <c r="K14" s="1546"/>
      <c r="L14" s="1546"/>
      <c r="M14" s="741" t="s">
        <v>461</v>
      </c>
      <c r="N14" s="736" t="s">
        <v>975</v>
      </c>
      <c r="O14" s="749" t="s">
        <v>43</v>
      </c>
      <c r="P14" s="1550"/>
      <c r="Q14" s="749" t="s">
        <v>43</v>
      </c>
      <c r="R14" s="748" t="s">
        <v>297</v>
      </c>
      <c r="S14" s="748" t="s">
        <v>438</v>
      </c>
      <c r="T14" s="749" t="s">
        <v>43</v>
      </c>
      <c r="U14" s="749" t="s">
        <v>43</v>
      </c>
      <c r="V14" s="749" t="s">
        <v>43</v>
      </c>
      <c r="W14" s="749" t="s">
        <v>43</v>
      </c>
      <c r="X14" s="736" t="s">
        <v>299</v>
      </c>
      <c r="Y14" s="1452"/>
      <c r="Z14" s="1452"/>
      <c r="AA14" s="320">
        <v>20800000</v>
      </c>
    </row>
    <row r="15" spans="1:27" s="27" customFormat="1" ht="15.75" customHeight="1">
      <c r="A15" s="1452">
        <v>6</v>
      </c>
      <c r="B15" s="1546">
        <v>295</v>
      </c>
      <c r="C15" s="1394"/>
      <c r="D15" s="1546"/>
      <c r="E15" s="1571" t="s">
        <v>462</v>
      </c>
      <c r="F15" s="1452" t="s">
        <v>425</v>
      </c>
      <c r="G15" s="28">
        <v>543223</v>
      </c>
      <c r="H15" s="4" t="s">
        <v>335</v>
      </c>
      <c r="I15" s="736" t="s">
        <v>108</v>
      </c>
      <c r="J15" s="743" t="s">
        <v>199</v>
      </c>
      <c r="K15" s="1546" t="s">
        <v>14469</v>
      </c>
      <c r="L15" s="1546" t="s">
        <v>14474</v>
      </c>
      <c r="M15" s="736" t="s">
        <v>463</v>
      </c>
      <c r="N15" s="736" t="s">
        <v>464</v>
      </c>
      <c r="O15" s="749" t="s">
        <v>43</v>
      </c>
      <c r="P15" s="1550" t="s">
        <v>465</v>
      </c>
      <c r="Q15" s="749" t="s">
        <v>43</v>
      </c>
      <c r="R15" s="748" t="s">
        <v>315</v>
      </c>
      <c r="S15" s="748" t="s">
        <v>438</v>
      </c>
      <c r="T15" s="749" t="s">
        <v>43</v>
      </c>
      <c r="U15" s="749" t="s">
        <v>43</v>
      </c>
      <c r="V15" s="749" t="s">
        <v>43</v>
      </c>
      <c r="W15" s="749" t="s">
        <v>43</v>
      </c>
      <c r="X15" s="736" t="s">
        <v>299</v>
      </c>
      <c r="Y15" s="1452" t="s">
        <v>202</v>
      </c>
      <c r="Z15" s="1452" t="s">
        <v>65</v>
      </c>
      <c r="AA15" s="320">
        <v>12800000</v>
      </c>
    </row>
    <row r="16" spans="1:27" s="27" customFormat="1" ht="15.75" customHeight="1">
      <c r="A16" s="1452"/>
      <c r="B16" s="1546"/>
      <c r="C16" s="1394"/>
      <c r="D16" s="1546"/>
      <c r="E16" s="1571"/>
      <c r="F16" s="1452"/>
      <c r="G16" s="28">
        <v>575857</v>
      </c>
      <c r="H16" s="30" t="s">
        <v>195</v>
      </c>
      <c r="I16" s="736" t="s">
        <v>168</v>
      </c>
      <c r="J16" s="743" t="s">
        <v>199</v>
      </c>
      <c r="K16" s="1546"/>
      <c r="L16" s="1546"/>
      <c r="M16" s="741" t="s">
        <v>466</v>
      </c>
      <c r="N16" s="736" t="s">
        <v>976</v>
      </c>
      <c r="O16" s="749" t="s">
        <v>43</v>
      </c>
      <c r="P16" s="1550"/>
      <c r="Q16" s="749" t="s">
        <v>43</v>
      </c>
      <c r="R16" s="748" t="s">
        <v>255</v>
      </c>
      <c r="S16" s="749" t="s">
        <v>43</v>
      </c>
      <c r="T16" s="749" t="s">
        <v>43</v>
      </c>
      <c r="U16" s="749" t="s">
        <v>43</v>
      </c>
      <c r="V16" s="749" t="s">
        <v>43</v>
      </c>
      <c r="W16" s="748" t="s">
        <v>433</v>
      </c>
      <c r="X16" s="736" t="s">
        <v>170</v>
      </c>
      <c r="Y16" s="1452"/>
      <c r="Z16" s="1452"/>
      <c r="AA16" s="320">
        <v>12800000</v>
      </c>
    </row>
    <row r="17" spans="1:27" s="27" customFormat="1" ht="15.75" customHeight="1">
      <c r="A17" s="1452">
        <v>7</v>
      </c>
      <c r="B17" s="1555">
        <v>340</v>
      </c>
      <c r="C17" s="1394"/>
      <c r="D17" s="1546"/>
      <c r="E17" s="1572" t="s">
        <v>467</v>
      </c>
      <c r="F17" s="1452" t="s">
        <v>468</v>
      </c>
      <c r="G17" s="28">
        <v>527198</v>
      </c>
      <c r="H17" s="4" t="s">
        <v>335</v>
      </c>
      <c r="I17" s="736" t="s">
        <v>108</v>
      </c>
      <c r="J17" s="743" t="s">
        <v>205</v>
      </c>
      <c r="K17" s="1392" t="s">
        <v>15753</v>
      </c>
      <c r="L17" s="1546" t="s">
        <v>15754</v>
      </c>
      <c r="M17" s="741" t="s">
        <v>469</v>
      </c>
      <c r="N17" s="741" t="s">
        <v>470</v>
      </c>
      <c r="O17" s="749" t="s">
        <v>43</v>
      </c>
      <c r="P17" s="1550" t="s">
        <v>471</v>
      </c>
      <c r="Q17" s="749" t="s">
        <v>43</v>
      </c>
      <c r="R17" s="748" t="s">
        <v>315</v>
      </c>
      <c r="S17" s="748" t="s">
        <v>438</v>
      </c>
      <c r="T17" s="749" t="s">
        <v>43</v>
      </c>
      <c r="U17" s="749" t="s">
        <v>43</v>
      </c>
      <c r="V17" s="749" t="s">
        <v>43</v>
      </c>
      <c r="W17" s="749" t="s">
        <v>43</v>
      </c>
      <c r="X17" s="736" t="s">
        <v>299</v>
      </c>
      <c r="Y17" s="1452" t="s">
        <v>375</v>
      </c>
      <c r="Z17" s="1452" t="s">
        <v>65</v>
      </c>
      <c r="AA17" s="320">
        <v>4480000</v>
      </c>
    </row>
    <row r="18" spans="1:27" s="27" customFormat="1" ht="18">
      <c r="A18" s="1452"/>
      <c r="B18" s="1555"/>
      <c r="C18" s="1394"/>
      <c r="D18" s="1546"/>
      <c r="E18" s="1572"/>
      <c r="F18" s="1452"/>
      <c r="G18" s="28">
        <v>585956</v>
      </c>
      <c r="H18" s="30" t="s">
        <v>195</v>
      </c>
      <c r="I18" s="736" t="s">
        <v>168</v>
      </c>
      <c r="J18" s="743" t="s">
        <v>199</v>
      </c>
      <c r="K18" s="1394"/>
      <c r="L18" s="1546"/>
      <c r="M18" s="741" t="s">
        <v>472</v>
      </c>
      <c r="N18" s="736" t="s">
        <v>989</v>
      </c>
      <c r="O18" s="749" t="s">
        <v>43</v>
      </c>
      <c r="P18" s="1550"/>
      <c r="Q18" s="749" t="s">
        <v>43</v>
      </c>
      <c r="R18" s="748" t="s">
        <v>255</v>
      </c>
      <c r="S18" s="749" t="s">
        <v>43</v>
      </c>
      <c r="T18" s="749" t="s">
        <v>43</v>
      </c>
      <c r="U18" s="749" t="s">
        <v>43</v>
      </c>
      <c r="V18" s="749" t="s">
        <v>43</v>
      </c>
      <c r="W18" s="748" t="s">
        <v>473</v>
      </c>
      <c r="X18" s="736" t="s">
        <v>170</v>
      </c>
      <c r="Y18" s="1452"/>
      <c r="Z18" s="1452"/>
      <c r="AA18" s="320">
        <v>20800000</v>
      </c>
    </row>
    <row r="19" spans="1:27" s="27" customFormat="1" ht="19.5" customHeight="1">
      <c r="A19" s="1452">
        <v>8</v>
      </c>
      <c r="B19" s="1555">
        <v>369</v>
      </c>
      <c r="C19" s="1394"/>
      <c r="D19" s="1546"/>
      <c r="E19" s="1570" t="s">
        <v>474</v>
      </c>
      <c r="F19" s="1452" t="s">
        <v>475</v>
      </c>
      <c r="G19" s="28">
        <v>527200</v>
      </c>
      <c r="H19" s="4" t="s">
        <v>335</v>
      </c>
      <c r="I19" s="736" t="s">
        <v>168</v>
      </c>
      <c r="J19" s="743" t="s">
        <v>204</v>
      </c>
      <c r="K19" s="1392" t="s">
        <v>15719</v>
      </c>
      <c r="L19" s="1546" t="s">
        <v>15720</v>
      </c>
      <c r="M19" s="741" t="s">
        <v>476</v>
      </c>
      <c r="N19" s="741" t="s">
        <v>477</v>
      </c>
      <c r="O19" s="749" t="s">
        <v>43</v>
      </c>
      <c r="P19" s="1550" t="s">
        <v>987</v>
      </c>
      <c r="Q19" s="749" t="s">
        <v>43</v>
      </c>
      <c r="R19" s="748" t="s">
        <v>68</v>
      </c>
      <c r="S19" s="749" t="s">
        <v>43</v>
      </c>
      <c r="T19" s="749" t="s">
        <v>43</v>
      </c>
      <c r="U19" s="749" t="s">
        <v>43</v>
      </c>
      <c r="V19" s="749" t="s">
        <v>43</v>
      </c>
      <c r="W19" s="749" t="s">
        <v>43</v>
      </c>
      <c r="X19" s="736" t="s">
        <v>299</v>
      </c>
      <c r="Y19" s="1452" t="s">
        <v>375</v>
      </c>
      <c r="Z19" s="1452" t="s">
        <v>65</v>
      </c>
      <c r="AA19" s="320">
        <v>16800000</v>
      </c>
    </row>
    <row r="20" spans="1:27" s="27" customFormat="1" ht="19.5" customHeight="1">
      <c r="A20" s="1452"/>
      <c r="B20" s="1555"/>
      <c r="C20" s="1394"/>
      <c r="D20" s="1546"/>
      <c r="E20" s="1570"/>
      <c r="F20" s="1452"/>
      <c r="G20" s="28">
        <v>591737</v>
      </c>
      <c r="H20" s="30" t="s">
        <v>195</v>
      </c>
      <c r="I20" s="736" t="s">
        <v>168</v>
      </c>
      <c r="J20" s="743" t="s">
        <v>199</v>
      </c>
      <c r="K20" s="1393"/>
      <c r="L20" s="1546"/>
      <c r="M20" s="741" t="s">
        <v>478</v>
      </c>
      <c r="N20" s="736" t="s">
        <v>986</v>
      </c>
      <c r="O20" s="749" t="s">
        <v>43</v>
      </c>
      <c r="P20" s="1550"/>
      <c r="Q20" s="749" t="s">
        <v>43</v>
      </c>
      <c r="R20" s="748" t="s">
        <v>255</v>
      </c>
      <c r="S20" s="749" t="s">
        <v>43</v>
      </c>
      <c r="T20" s="749" t="s">
        <v>43</v>
      </c>
      <c r="U20" s="749" t="s">
        <v>43</v>
      </c>
      <c r="V20" s="749" t="s">
        <v>43</v>
      </c>
      <c r="W20" s="748" t="s">
        <v>479</v>
      </c>
      <c r="X20" s="736" t="s">
        <v>170</v>
      </c>
      <c r="Y20" s="1452"/>
      <c r="Z20" s="1452"/>
      <c r="AA20" s="320">
        <v>20800000</v>
      </c>
    </row>
    <row r="21" spans="1:27" s="27" customFormat="1" ht="15.75" customHeight="1">
      <c r="A21" s="1452">
        <v>9</v>
      </c>
      <c r="B21" s="1555">
        <v>375</v>
      </c>
      <c r="C21" s="1394"/>
      <c r="D21" s="1546"/>
      <c r="E21" s="1570" t="s">
        <v>485</v>
      </c>
      <c r="F21" s="1452" t="s">
        <v>480</v>
      </c>
      <c r="G21" s="28">
        <v>527201</v>
      </c>
      <c r="H21" s="4" t="s">
        <v>335</v>
      </c>
      <c r="I21" s="736" t="s">
        <v>108</v>
      </c>
      <c r="J21" s="743" t="s">
        <v>199</v>
      </c>
      <c r="K21" s="1392" t="s">
        <v>15717</v>
      </c>
      <c r="L21" s="1546" t="s">
        <v>15718</v>
      </c>
      <c r="M21" s="741" t="s">
        <v>481</v>
      </c>
      <c r="N21" s="741" t="s">
        <v>482</v>
      </c>
      <c r="O21" s="749" t="s">
        <v>43</v>
      </c>
      <c r="P21" s="1550" t="s">
        <v>483</v>
      </c>
      <c r="Q21" s="749" t="s">
        <v>43</v>
      </c>
      <c r="R21" s="748" t="s">
        <v>315</v>
      </c>
      <c r="S21" s="748" t="s">
        <v>438</v>
      </c>
      <c r="T21" s="749" t="s">
        <v>43</v>
      </c>
      <c r="U21" s="749" t="s">
        <v>43</v>
      </c>
      <c r="V21" s="749" t="s">
        <v>43</v>
      </c>
      <c r="W21" s="749" t="s">
        <v>43</v>
      </c>
      <c r="X21" s="736" t="s">
        <v>299</v>
      </c>
      <c r="Y21" s="1452" t="s">
        <v>375</v>
      </c>
      <c r="Z21" s="1452" t="s">
        <v>484</v>
      </c>
      <c r="AA21" s="320">
        <v>15600000</v>
      </c>
    </row>
    <row r="22" spans="1:27" s="27" customFormat="1" ht="16.5" customHeight="1">
      <c r="A22" s="1452"/>
      <c r="B22" s="1555"/>
      <c r="C22" s="1394"/>
      <c r="D22" s="1546"/>
      <c r="E22" s="1570"/>
      <c r="F22" s="1452"/>
      <c r="G22" s="28">
        <v>622911</v>
      </c>
      <c r="H22" s="30" t="s">
        <v>195</v>
      </c>
      <c r="I22" s="736" t="s">
        <v>168</v>
      </c>
      <c r="J22" s="743" t="s">
        <v>204</v>
      </c>
      <c r="K22" s="1393"/>
      <c r="L22" s="1546"/>
      <c r="M22" s="741" t="s">
        <v>486</v>
      </c>
      <c r="N22" s="741" t="s">
        <v>988</v>
      </c>
      <c r="O22" s="749" t="s">
        <v>43</v>
      </c>
      <c r="P22" s="1550"/>
      <c r="Q22" s="749" t="s">
        <v>43</v>
      </c>
      <c r="R22" s="748" t="s">
        <v>68</v>
      </c>
      <c r="S22" s="749" t="s">
        <v>43</v>
      </c>
      <c r="T22" s="749" t="s">
        <v>43</v>
      </c>
      <c r="U22" s="749" t="s">
        <v>43</v>
      </c>
      <c r="V22" s="749" t="s">
        <v>43</v>
      </c>
      <c r="W22" s="749" t="s">
        <v>43</v>
      </c>
      <c r="X22" s="736" t="s">
        <v>170</v>
      </c>
      <c r="Y22" s="1452"/>
      <c r="Z22" s="1452"/>
      <c r="AA22" s="320">
        <v>36400000</v>
      </c>
    </row>
    <row r="23" spans="1:27" s="27" customFormat="1" ht="15.75" customHeight="1">
      <c r="A23" s="1452">
        <v>10</v>
      </c>
      <c r="B23" s="1555">
        <v>379</v>
      </c>
      <c r="C23" s="1394"/>
      <c r="D23" s="1546"/>
      <c r="E23" s="1570" t="s">
        <v>487</v>
      </c>
      <c r="F23" s="1452"/>
      <c r="G23" s="28">
        <v>527202</v>
      </c>
      <c r="H23" s="4" t="s">
        <v>335</v>
      </c>
      <c r="I23" s="736" t="s">
        <v>168</v>
      </c>
      <c r="J23" s="743" t="s">
        <v>199</v>
      </c>
      <c r="K23" s="1546" t="s">
        <v>15711</v>
      </c>
      <c r="L23" s="1546" t="s">
        <v>15712</v>
      </c>
      <c r="M23" s="741" t="s">
        <v>488</v>
      </c>
      <c r="N23" s="741" t="s">
        <v>489</v>
      </c>
      <c r="O23" s="749" t="s">
        <v>43</v>
      </c>
      <c r="P23" s="1550" t="s">
        <v>490</v>
      </c>
      <c r="Q23" s="749" t="s">
        <v>43</v>
      </c>
      <c r="R23" s="748" t="s">
        <v>417</v>
      </c>
      <c r="S23" s="749" t="s">
        <v>43</v>
      </c>
      <c r="T23" s="749" t="s">
        <v>43</v>
      </c>
      <c r="U23" s="749" t="s">
        <v>43</v>
      </c>
      <c r="V23" s="749" t="s">
        <v>43</v>
      </c>
      <c r="W23" s="749" t="s">
        <v>43</v>
      </c>
      <c r="X23" s="736" t="s">
        <v>170</v>
      </c>
      <c r="Y23" s="1452" t="s">
        <v>985</v>
      </c>
      <c r="Z23" s="1452" t="s">
        <v>65</v>
      </c>
      <c r="AA23" s="320">
        <v>8960000</v>
      </c>
    </row>
    <row r="24" spans="1:27" s="27" customFormat="1" ht="15.75" customHeight="1">
      <c r="A24" s="1452"/>
      <c r="B24" s="1555"/>
      <c r="C24" s="1394"/>
      <c r="D24" s="1546"/>
      <c r="E24" s="1570"/>
      <c r="F24" s="1452"/>
      <c r="G24" s="28">
        <v>591742</v>
      </c>
      <c r="H24" s="30" t="s">
        <v>195</v>
      </c>
      <c r="I24" s="926" t="s">
        <v>168</v>
      </c>
      <c r="J24" s="927" t="s">
        <v>199</v>
      </c>
      <c r="K24" s="1546"/>
      <c r="L24" s="1546"/>
      <c r="M24" s="928" t="s">
        <v>491</v>
      </c>
      <c r="N24" s="926" t="s">
        <v>983</v>
      </c>
      <c r="O24" s="835" t="s">
        <v>43</v>
      </c>
      <c r="P24" s="1550"/>
      <c r="Q24" s="835" t="s">
        <v>43</v>
      </c>
      <c r="R24" s="929" t="s">
        <v>984</v>
      </c>
      <c r="S24" s="835" t="s">
        <v>43</v>
      </c>
      <c r="T24" s="835" t="s">
        <v>43</v>
      </c>
      <c r="U24" s="835" t="s">
        <v>43</v>
      </c>
      <c r="V24" s="835" t="s">
        <v>43</v>
      </c>
      <c r="W24" s="929" t="s">
        <v>473</v>
      </c>
      <c r="X24" s="926" t="s">
        <v>170</v>
      </c>
      <c r="Y24" s="1452"/>
      <c r="Z24" s="1452"/>
      <c r="AA24" s="320">
        <v>20800000</v>
      </c>
    </row>
    <row r="25" spans="1:27" s="27" customFormat="1" ht="15.75" customHeight="1">
      <c r="A25" s="1452"/>
      <c r="B25" s="1555"/>
      <c r="C25" s="1394"/>
      <c r="D25" s="1546"/>
      <c r="E25" s="1570"/>
      <c r="F25" s="1452"/>
      <c r="G25" s="835" t="s">
        <v>43</v>
      </c>
      <c r="H25" s="4" t="s">
        <v>44</v>
      </c>
      <c r="I25" s="926" t="s">
        <v>45</v>
      </c>
      <c r="J25" s="51" t="s">
        <v>201</v>
      </c>
      <c r="K25" s="1546"/>
      <c r="L25" s="1546"/>
      <c r="M25" s="928" t="s">
        <v>15713</v>
      </c>
      <c r="N25" s="928" t="s">
        <v>15714</v>
      </c>
      <c r="O25" s="835" t="s">
        <v>43</v>
      </c>
      <c r="P25" s="1550"/>
      <c r="Q25" s="835" t="s">
        <v>43</v>
      </c>
      <c r="R25" s="929" t="s">
        <v>5022</v>
      </c>
      <c r="S25" s="835" t="s">
        <v>43</v>
      </c>
      <c r="T25" s="835" t="s">
        <v>43</v>
      </c>
      <c r="U25" s="835" t="s">
        <v>43</v>
      </c>
      <c r="V25" s="835" t="s">
        <v>43</v>
      </c>
      <c r="W25" s="929" t="s">
        <v>979</v>
      </c>
      <c r="X25" s="926" t="s">
        <v>50</v>
      </c>
      <c r="Y25" s="1452"/>
      <c r="Z25" s="1452"/>
      <c r="AA25" s="320">
        <v>0</v>
      </c>
    </row>
    <row r="26" spans="1:27" s="27" customFormat="1" ht="15.75" customHeight="1">
      <c r="A26" s="1452">
        <v>11</v>
      </c>
      <c r="B26" s="1546">
        <v>398</v>
      </c>
      <c r="C26" s="1394"/>
      <c r="D26" s="1546"/>
      <c r="E26" s="1570" t="s">
        <v>492</v>
      </c>
      <c r="F26" s="1452" t="s">
        <v>425</v>
      </c>
      <c r="G26" s="28">
        <v>527203</v>
      </c>
      <c r="H26" s="4" t="s">
        <v>335</v>
      </c>
      <c r="I26" s="736" t="s">
        <v>108</v>
      </c>
      <c r="J26" s="743" t="s">
        <v>199</v>
      </c>
      <c r="K26" s="1392" t="s">
        <v>15704</v>
      </c>
      <c r="L26" s="1546" t="s">
        <v>15705</v>
      </c>
      <c r="M26" s="741" t="s">
        <v>493</v>
      </c>
      <c r="N26" s="741" t="s">
        <v>494</v>
      </c>
      <c r="O26" s="749" t="s">
        <v>43</v>
      </c>
      <c r="P26" s="1550" t="s">
        <v>495</v>
      </c>
      <c r="Q26" s="749" t="s">
        <v>43</v>
      </c>
      <c r="R26" s="748" t="s">
        <v>315</v>
      </c>
      <c r="S26" s="748" t="s">
        <v>438</v>
      </c>
      <c r="T26" s="749" t="s">
        <v>43</v>
      </c>
      <c r="U26" s="749" t="s">
        <v>43</v>
      </c>
      <c r="V26" s="749" t="s">
        <v>43</v>
      </c>
      <c r="W26" s="749" t="s">
        <v>43</v>
      </c>
      <c r="X26" s="736" t="s">
        <v>299</v>
      </c>
      <c r="Y26" s="1452" t="s">
        <v>202</v>
      </c>
      <c r="Z26" s="1452" t="s">
        <v>65</v>
      </c>
      <c r="AA26" s="320">
        <v>8960000</v>
      </c>
    </row>
    <row r="27" spans="1:27" s="27" customFormat="1" ht="15.75" customHeight="1">
      <c r="A27" s="1452"/>
      <c r="B27" s="1546"/>
      <c r="C27" s="1394"/>
      <c r="D27" s="1546"/>
      <c r="E27" s="1570"/>
      <c r="F27" s="1452"/>
      <c r="G27" s="28">
        <v>591744</v>
      </c>
      <c r="H27" s="30" t="s">
        <v>195</v>
      </c>
      <c r="I27" s="736" t="s">
        <v>168</v>
      </c>
      <c r="J27" s="743" t="s">
        <v>199</v>
      </c>
      <c r="K27" s="1393"/>
      <c r="L27" s="1546"/>
      <c r="M27" s="741" t="s">
        <v>496</v>
      </c>
      <c r="N27" s="736" t="s">
        <v>982</v>
      </c>
      <c r="O27" s="749" t="s">
        <v>43</v>
      </c>
      <c r="P27" s="1550"/>
      <c r="Q27" s="749" t="s">
        <v>43</v>
      </c>
      <c r="R27" s="748" t="s">
        <v>255</v>
      </c>
      <c r="S27" s="749" t="s">
        <v>43</v>
      </c>
      <c r="T27" s="749" t="s">
        <v>43</v>
      </c>
      <c r="U27" s="749" t="s">
        <v>43</v>
      </c>
      <c r="V27" s="749" t="s">
        <v>43</v>
      </c>
      <c r="W27" s="748" t="s">
        <v>479</v>
      </c>
      <c r="X27" s="736" t="s">
        <v>170</v>
      </c>
      <c r="Y27" s="1452"/>
      <c r="Z27" s="1452"/>
      <c r="AA27" s="320">
        <v>20800000</v>
      </c>
    </row>
    <row r="28" spans="1:27" s="27" customFormat="1" ht="15.75" customHeight="1">
      <c r="A28" s="1452">
        <v>12</v>
      </c>
      <c r="B28" s="1546">
        <v>410</v>
      </c>
      <c r="C28" s="1394"/>
      <c r="D28" s="1546"/>
      <c r="E28" s="1570" t="s">
        <v>497</v>
      </c>
      <c r="F28" s="1452" t="s">
        <v>480</v>
      </c>
      <c r="G28" s="28">
        <v>94016298003</v>
      </c>
      <c r="H28" s="4" t="s">
        <v>335</v>
      </c>
      <c r="I28" s="736" t="s">
        <v>168</v>
      </c>
      <c r="J28" s="743" t="s">
        <v>199</v>
      </c>
      <c r="K28" s="741" t="s">
        <v>498</v>
      </c>
      <c r="L28" s="1546" t="s">
        <v>499</v>
      </c>
      <c r="M28" s="741" t="s">
        <v>500</v>
      </c>
      <c r="N28" s="741" t="s">
        <v>501</v>
      </c>
      <c r="O28" s="749" t="s">
        <v>43</v>
      </c>
      <c r="P28" s="1550" t="s">
        <v>502</v>
      </c>
      <c r="Q28" s="749" t="s">
        <v>43</v>
      </c>
      <c r="R28" s="748" t="s">
        <v>68</v>
      </c>
      <c r="S28" s="749" t="s">
        <v>43</v>
      </c>
      <c r="T28" s="749" t="s">
        <v>43</v>
      </c>
      <c r="U28" s="749" t="s">
        <v>43</v>
      </c>
      <c r="V28" s="749" t="s">
        <v>43</v>
      </c>
      <c r="W28" s="749" t="s">
        <v>43</v>
      </c>
      <c r="X28" s="736" t="s">
        <v>170</v>
      </c>
      <c r="Y28" s="1452" t="s">
        <v>980</v>
      </c>
      <c r="Z28" s="1576" t="s">
        <v>981</v>
      </c>
      <c r="AA28" s="320">
        <v>8960000</v>
      </c>
    </row>
    <row r="29" spans="1:27" s="27" customFormat="1" ht="15.75" customHeight="1">
      <c r="A29" s="1452"/>
      <c r="B29" s="1546"/>
      <c r="C29" s="1394"/>
      <c r="D29" s="1546"/>
      <c r="E29" s="1570"/>
      <c r="F29" s="1452"/>
      <c r="G29" s="28">
        <v>607093</v>
      </c>
      <c r="H29" s="30" t="s">
        <v>195</v>
      </c>
      <c r="I29" s="736" t="s">
        <v>168</v>
      </c>
      <c r="J29" s="743" t="s">
        <v>199</v>
      </c>
      <c r="K29" s="55" t="s">
        <v>12139</v>
      </c>
      <c r="L29" s="1546"/>
      <c r="M29" s="741" t="s">
        <v>503</v>
      </c>
      <c r="N29" s="736" t="s">
        <v>977</v>
      </c>
      <c r="O29" s="749" t="s">
        <v>43</v>
      </c>
      <c r="P29" s="1550"/>
      <c r="Q29" s="749" t="s">
        <v>43</v>
      </c>
      <c r="R29" s="748" t="s">
        <v>255</v>
      </c>
      <c r="S29" s="749" t="s">
        <v>43</v>
      </c>
      <c r="T29" s="749" t="s">
        <v>43</v>
      </c>
      <c r="U29" s="749" t="s">
        <v>43</v>
      </c>
      <c r="V29" s="749" t="s">
        <v>43</v>
      </c>
      <c r="W29" s="748" t="s">
        <v>504</v>
      </c>
      <c r="X29" s="736" t="s">
        <v>170</v>
      </c>
      <c r="Y29" s="1452"/>
      <c r="Z29" s="1576"/>
      <c r="AA29" s="320">
        <v>20800000</v>
      </c>
    </row>
    <row r="30" spans="1:27" s="27" customFormat="1" ht="15.75" customHeight="1">
      <c r="A30" s="1452"/>
      <c r="B30" s="1546"/>
      <c r="C30" s="1394"/>
      <c r="D30" s="1546"/>
      <c r="E30" s="1570"/>
      <c r="F30" s="1452"/>
      <c r="G30" s="749" t="s">
        <v>43</v>
      </c>
      <c r="H30" s="4" t="s">
        <v>51</v>
      </c>
      <c r="I30" s="736" t="s">
        <v>45</v>
      </c>
      <c r="J30" s="52" t="s">
        <v>200</v>
      </c>
      <c r="K30" s="749" t="s">
        <v>43</v>
      </c>
      <c r="L30" s="1546"/>
      <c r="M30" s="741" t="s">
        <v>505</v>
      </c>
      <c r="N30" s="736" t="s">
        <v>978</v>
      </c>
      <c r="O30" s="749" t="s">
        <v>43</v>
      </c>
      <c r="P30" s="1550"/>
      <c r="Q30" s="749" t="s">
        <v>43</v>
      </c>
      <c r="R30" s="748" t="s">
        <v>338</v>
      </c>
      <c r="S30" s="749" t="s">
        <v>43</v>
      </c>
      <c r="T30" s="749" t="s">
        <v>43</v>
      </c>
      <c r="U30" s="749" t="s">
        <v>43</v>
      </c>
      <c r="V30" s="749" t="s">
        <v>43</v>
      </c>
      <c r="W30" s="748" t="s">
        <v>653</v>
      </c>
      <c r="X30" s="736" t="s">
        <v>56</v>
      </c>
      <c r="Y30" s="1452"/>
      <c r="Z30" s="1576"/>
      <c r="AA30" s="320">
        <v>0</v>
      </c>
    </row>
    <row r="31" spans="1:27" s="27" customFormat="1" ht="15.75" customHeight="1">
      <c r="A31" s="1452">
        <v>13</v>
      </c>
      <c r="B31" s="1546">
        <v>411</v>
      </c>
      <c r="C31" s="1394"/>
      <c r="D31" s="1546"/>
      <c r="E31" s="1570" t="s">
        <v>506</v>
      </c>
      <c r="F31" s="1452" t="s">
        <v>441</v>
      </c>
      <c r="G31" s="28">
        <v>527218</v>
      </c>
      <c r="H31" s="4" t="s">
        <v>335</v>
      </c>
      <c r="I31" s="736" t="s">
        <v>108</v>
      </c>
      <c r="J31" s="743" t="s">
        <v>205</v>
      </c>
      <c r="K31" s="1546" t="s">
        <v>507</v>
      </c>
      <c r="L31" s="1546" t="s">
        <v>508</v>
      </c>
      <c r="M31" s="741" t="s">
        <v>509</v>
      </c>
      <c r="N31" s="741" t="s">
        <v>510</v>
      </c>
      <c r="O31" s="749" t="s">
        <v>43</v>
      </c>
      <c r="P31" s="1550" t="s">
        <v>511</v>
      </c>
      <c r="Q31" s="749" t="s">
        <v>43</v>
      </c>
      <c r="R31" s="748" t="s">
        <v>315</v>
      </c>
      <c r="S31" s="748" t="s">
        <v>438</v>
      </c>
      <c r="T31" s="749" t="s">
        <v>43</v>
      </c>
      <c r="U31" s="749" t="s">
        <v>43</v>
      </c>
      <c r="V31" s="749" t="s">
        <v>43</v>
      </c>
      <c r="W31" s="749" t="s">
        <v>43</v>
      </c>
      <c r="X31" s="736" t="s">
        <v>299</v>
      </c>
      <c r="Y31" s="1452" t="s">
        <v>202</v>
      </c>
      <c r="Z31" s="1452" t="s">
        <v>65</v>
      </c>
      <c r="AA31" s="320">
        <v>4480000</v>
      </c>
    </row>
    <row r="32" spans="1:27" s="27" customFormat="1" ht="15.75" customHeight="1">
      <c r="A32" s="1452"/>
      <c r="B32" s="1546"/>
      <c r="C32" s="1394"/>
      <c r="D32" s="1546"/>
      <c r="E32" s="1570"/>
      <c r="F32" s="1452"/>
      <c r="G32" s="28">
        <v>586332</v>
      </c>
      <c r="H32" s="30" t="s">
        <v>195</v>
      </c>
      <c r="I32" s="736" t="s">
        <v>168</v>
      </c>
      <c r="J32" s="743" t="s">
        <v>199</v>
      </c>
      <c r="K32" s="1546"/>
      <c r="L32" s="1546"/>
      <c r="M32" s="741" t="s">
        <v>512</v>
      </c>
      <c r="N32" s="736" t="s">
        <v>991</v>
      </c>
      <c r="O32" s="749" t="s">
        <v>43</v>
      </c>
      <c r="P32" s="1550"/>
      <c r="Q32" s="749" t="s">
        <v>43</v>
      </c>
      <c r="R32" s="748" t="s">
        <v>68</v>
      </c>
      <c r="S32" s="749" t="s">
        <v>43</v>
      </c>
      <c r="T32" s="749" t="s">
        <v>43</v>
      </c>
      <c r="U32" s="749" t="s">
        <v>43</v>
      </c>
      <c r="V32" s="749" t="s">
        <v>43</v>
      </c>
      <c r="W32" s="749" t="s">
        <v>43</v>
      </c>
      <c r="X32" s="736" t="s">
        <v>170</v>
      </c>
      <c r="Y32" s="1452"/>
      <c r="Z32" s="1452"/>
      <c r="AA32" s="320">
        <v>20800000</v>
      </c>
    </row>
    <row r="33" spans="1:27" s="27" customFormat="1" ht="15" customHeight="1">
      <c r="A33" s="1452">
        <v>14</v>
      </c>
      <c r="B33" s="1546">
        <v>414</v>
      </c>
      <c r="C33" s="1394"/>
      <c r="D33" s="1546"/>
      <c r="E33" s="1570" t="s">
        <v>513</v>
      </c>
      <c r="F33" s="1452" t="s">
        <v>475</v>
      </c>
      <c r="G33" s="28">
        <v>527217</v>
      </c>
      <c r="H33" s="4" t="s">
        <v>335</v>
      </c>
      <c r="I33" s="736" t="s">
        <v>29</v>
      </c>
      <c r="J33" s="743" t="s">
        <v>199</v>
      </c>
      <c r="K33" s="1546" t="s">
        <v>514</v>
      </c>
      <c r="L33" s="1546" t="s">
        <v>515</v>
      </c>
      <c r="M33" s="741" t="s">
        <v>516</v>
      </c>
      <c r="N33" s="741" t="s">
        <v>517</v>
      </c>
      <c r="O33" s="749" t="s">
        <v>43</v>
      </c>
      <c r="P33" s="1550" t="s">
        <v>518</v>
      </c>
      <c r="Q33" s="749" t="s">
        <v>43</v>
      </c>
      <c r="R33" s="748" t="s">
        <v>68</v>
      </c>
      <c r="S33" s="749" t="s">
        <v>43</v>
      </c>
      <c r="T33" s="749" t="s">
        <v>995</v>
      </c>
      <c r="U33" s="749" t="s">
        <v>43</v>
      </c>
      <c r="V33" s="749" t="s">
        <v>43</v>
      </c>
      <c r="W33" s="749" t="s">
        <v>43</v>
      </c>
      <c r="X33" s="736" t="s">
        <v>450</v>
      </c>
      <c r="Y33" s="1452" t="s">
        <v>202</v>
      </c>
      <c r="Z33" s="1452" t="s">
        <v>65</v>
      </c>
      <c r="AA33" s="320">
        <v>8960000</v>
      </c>
    </row>
    <row r="34" spans="1:27" s="27" customFormat="1" ht="15.75" customHeight="1">
      <c r="A34" s="1452"/>
      <c r="B34" s="1546"/>
      <c r="C34" s="1394"/>
      <c r="D34" s="1546"/>
      <c r="E34" s="1570"/>
      <c r="F34" s="1452"/>
      <c r="G34" s="28">
        <v>586298</v>
      </c>
      <c r="H34" s="30" t="s">
        <v>195</v>
      </c>
      <c r="I34" s="736" t="s">
        <v>29</v>
      </c>
      <c r="J34" s="743" t="s">
        <v>199</v>
      </c>
      <c r="K34" s="1546"/>
      <c r="L34" s="1546"/>
      <c r="M34" s="741" t="s">
        <v>519</v>
      </c>
      <c r="N34" s="736" t="s">
        <v>992</v>
      </c>
      <c r="O34" s="749" t="s">
        <v>43</v>
      </c>
      <c r="P34" s="1550"/>
      <c r="Q34" s="749" t="s">
        <v>43</v>
      </c>
      <c r="R34" s="748" t="s">
        <v>520</v>
      </c>
      <c r="S34" s="749" t="s">
        <v>43</v>
      </c>
      <c r="T34" s="749" t="s">
        <v>43</v>
      </c>
      <c r="U34" s="749" t="s">
        <v>43</v>
      </c>
      <c r="V34" s="749" t="s">
        <v>43</v>
      </c>
      <c r="W34" s="748" t="s">
        <v>521</v>
      </c>
      <c r="X34" s="736" t="s">
        <v>450</v>
      </c>
      <c r="Y34" s="1452"/>
      <c r="Z34" s="1452"/>
      <c r="AA34" s="320">
        <v>20800000</v>
      </c>
    </row>
    <row r="35" spans="1:27" s="27" customFormat="1" ht="15.75" customHeight="1">
      <c r="A35" s="1452">
        <v>15</v>
      </c>
      <c r="B35" s="1546">
        <v>418</v>
      </c>
      <c r="C35" s="1394"/>
      <c r="D35" s="1546"/>
      <c r="E35" s="1546" t="s">
        <v>522</v>
      </c>
      <c r="F35" s="1452" t="s">
        <v>468</v>
      </c>
      <c r="G35" s="28">
        <v>532563</v>
      </c>
      <c r="H35" s="4" t="s">
        <v>335</v>
      </c>
      <c r="I35" s="736" t="s">
        <v>108</v>
      </c>
      <c r="J35" s="743" t="s">
        <v>205</v>
      </c>
      <c r="K35" s="1546" t="s">
        <v>523</v>
      </c>
      <c r="L35" s="1546" t="s">
        <v>524</v>
      </c>
      <c r="M35" s="741" t="s">
        <v>525</v>
      </c>
      <c r="N35" s="741" t="s">
        <v>526</v>
      </c>
      <c r="O35" s="749" t="s">
        <v>43</v>
      </c>
      <c r="P35" s="1550" t="s">
        <v>527</v>
      </c>
      <c r="Q35" s="749" t="s">
        <v>43</v>
      </c>
      <c r="R35" s="748" t="s">
        <v>315</v>
      </c>
      <c r="S35" s="748" t="s">
        <v>438</v>
      </c>
      <c r="T35" s="749" t="s">
        <v>43</v>
      </c>
      <c r="U35" s="749" t="s">
        <v>43</v>
      </c>
      <c r="V35" s="749" t="s">
        <v>43</v>
      </c>
      <c r="W35" s="749" t="s">
        <v>43</v>
      </c>
      <c r="X35" s="736" t="s">
        <v>299</v>
      </c>
      <c r="Y35" s="1452" t="s">
        <v>202</v>
      </c>
      <c r="Z35" s="1452" t="s">
        <v>65</v>
      </c>
      <c r="AA35" s="320">
        <v>4480000</v>
      </c>
    </row>
    <row r="36" spans="1:27" s="27" customFormat="1" ht="15.75" customHeight="1">
      <c r="A36" s="1452"/>
      <c r="B36" s="1546"/>
      <c r="C36" s="1394"/>
      <c r="D36" s="1546"/>
      <c r="E36" s="1546"/>
      <c r="F36" s="1452"/>
      <c r="G36" s="28">
        <v>591745</v>
      </c>
      <c r="H36" s="30" t="s">
        <v>195</v>
      </c>
      <c r="I36" s="736" t="s">
        <v>168</v>
      </c>
      <c r="J36" s="743" t="s">
        <v>199</v>
      </c>
      <c r="K36" s="1546"/>
      <c r="L36" s="1546"/>
      <c r="M36" s="741" t="s">
        <v>528</v>
      </c>
      <c r="N36" s="736" t="s">
        <v>993</v>
      </c>
      <c r="O36" s="749" t="s">
        <v>43</v>
      </c>
      <c r="P36" s="1550"/>
      <c r="Q36" s="749" t="s">
        <v>43</v>
      </c>
      <c r="R36" s="748" t="s">
        <v>68</v>
      </c>
      <c r="S36" s="749" t="s">
        <v>43</v>
      </c>
      <c r="T36" s="749" t="s">
        <v>43</v>
      </c>
      <c r="U36" s="749" t="s">
        <v>43</v>
      </c>
      <c r="V36" s="749" t="s">
        <v>43</v>
      </c>
      <c r="W36" s="749" t="s">
        <v>43</v>
      </c>
      <c r="X36" s="736" t="s">
        <v>170</v>
      </c>
      <c r="Y36" s="1452"/>
      <c r="Z36" s="1452"/>
      <c r="AA36" s="320">
        <v>20800000</v>
      </c>
    </row>
    <row r="37" spans="1:27" s="27" customFormat="1" ht="15.75" customHeight="1">
      <c r="A37" s="1452">
        <v>16</v>
      </c>
      <c r="B37" s="1546">
        <v>419</v>
      </c>
      <c r="C37" s="1394"/>
      <c r="D37" s="1546"/>
      <c r="E37" s="1546" t="s">
        <v>529</v>
      </c>
      <c r="F37" s="1452" t="s">
        <v>441</v>
      </c>
      <c r="G37" s="28">
        <v>532761</v>
      </c>
      <c r="H37" s="4" t="s">
        <v>335</v>
      </c>
      <c r="I37" s="736" t="s">
        <v>108</v>
      </c>
      <c r="J37" s="743" t="s">
        <v>205</v>
      </c>
      <c r="K37" s="1546" t="s">
        <v>530</v>
      </c>
      <c r="L37" s="1546" t="s">
        <v>531</v>
      </c>
      <c r="M37" s="741" t="s">
        <v>532</v>
      </c>
      <c r="N37" s="741" t="s">
        <v>533</v>
      </c>
      <c r="O37" s="749" t="s">
        <v>43</v>
      </c>
      <c r="P37" s="1550" t="s">
        <v>534</v>
      </c>
      <c r="Q37" s="749" t="s">
        <v>43</v>
      </c>
      <c r="R37" s="748" t="s">
        <v>315</v>
      </c>
      <c r="S37" s="748" t="s">
        <v>438</v>
      </c>
      <c r="T37" s="749" t="s">
        <v>43</v>
      </c>
      <c r="U37" s="749" t="s">
        <v>43</v>
      </c>
      <c r="V37" s="749" t="s">
        <v>43</v>
      </c>
      <c r="W37" s="749" t="s">
        <v>43</v>
      </c>
      <c r="X37" s="736" t="s">
        <v>299</v>
      </c>
      <c r="Y37" s="1452" t="s">
        <v>202</v>
      </c>
      <c r="Z37" s="1452" t="s">
        <v>65</v>
      </c>
      <c r="AA37" s="320">
        <v>8960000</v>
      </c>
    </row>
    <row r="38" spans="1:27" s="27" customFormat="1" ht="15.75" customHeight="1">
      <c r="A38" s="1452"/>
      <c r="B38" s="1546"/>
      <c r="C38" s="1394"/>
      <c r="D38" s="1546"/>
      <c r="E38" s="1546"/>
      <c r="F38" s="1452"/>
      <c r="G38" s="426" t="s">
        <v>11468</v>
      </c>
      <c r="H38" s="30" t="s">
        <v>195</v>
      </c>
      <c r="I38" s="736" t="s">
        <v>168</v>
      </c>
      <c r="J38" s="743" t="s">
        <v>199</v>
      </c>
      <c r="K38" s="1546"/>
      <c r="L38" s="1546"/>
      <c r="M38" s="741" t="s">
        <v>535</v>
      </c>
      <c r="N38" s="736" t="s">
        <v>994</v>
      </c>
      <c r="O38" s="749" t="s">
        <v>43</v>
      </c>
      <c r="P38" s="1550"/>
      <c r="Q38" s="749" t="s">
        <v>43</v>
      </c>
      <c r="R38" s="748" t="s">
        <v>68</v>
      </c>
      <c r="S38" s="749" t="s">
        <v>43</v>
      </c>
      <c r="T38" s="749" t="s">
        <v>43</v>
      </c>
      <c r="U38" s="749" t="s">
        <v>43</v>
      </c>
      <c r="V38" s="749" t="s">
        <v>43</v>
      </c>
      <c r="W38" s="749" t="s">
        <v>43</v>
      </c>
      <c r="X38" s="736" t="s">
        <v>170</v>
      </c>
      <c r="Y38" s="1452"/>
      <c r="Z38" s="1452"/>
      <c r="AA38" s="320">
        <v>20800000</v>
      </c>
    </row>
    <row r="39" spans="1:27" s="27" customFormat="1" ht="15.75" customHeight="1">
      <c r="A39" s="1452">
        <v>17</v>
      </c>
      <c r="B39" s="1546">
        <v>421</v>
      </c>
      <c r="C39" s="1394"/>
      <c r="D39" s="1546"/>
      <c r="E39" s="1546" t="s">
        <v>536</v>
      </c>
      <c r="F39" s="1452" t="s">
        <v>425</v>
      </c>
      <c r="G39" s="28">
        <v>530768</v>
      </c>
      <c r="H39" s="4" t="s">
        <v>335</v>
      </c>
      <c r="I39" s="736" t="s">
        <v>108</v>
      </c>
      <c r="J39" s="743" t="s">
        <v>199</v>
      </c>
      <c r="K39" s="1546" t="s">
        <v>537</v>
      </c>
      <c r="L39" s="1546" t="s">
        <v>538</v>
      </c>
      <c r="M39" s="741" t="s">
        <v>539</v>
      </c>
      <c r="N39" s="741" t="s">
        <v>540</v>
      </c>
      <c r="O39" s="749" t="s">
        <v>43</v>
      </c>
      <c r="P39" s="1550" t="s">
        <v>541</v>
      </c>
      <c r="Q39" s="749" t="s">
        <v>43</v>
      </c>
      <c r="R39" s="748" t="s">
        <v>315</v>
      </c>
      <c r="S39" s="748" t="s">
        <v>438</v>
      </c>
      <c r="T39" s="749" t="s">
        <v>43</v>
      </c>
      <c r="U39" s="749" t="s">
        <v>43</v>
      </c>
      <c r="V39" s="749" t="s">
        <v>43</v>
      </c>
      <c r="W39" s="749" t="s">
        <v>43</v>
      </c>
      <c r="X39" s="736" t="s">
        <v>299</v>
      </c>
      <c r="Y39" s="1452" t="s">
        <v>202</v>
      </c>
      <c r="Z39" s="1452" t="s">
        <v>65</v>
      </c>
      <c r="AA39" s="320">
        <v>4480000</v>
      </c>
    </row>
    <row r="40" spans="1:27" s="27" customFormat="1" ht="15.75" customHeight="1">
      <c r="A40" s="1452"/>
      <c r="B40" s="1546"/>
      <c r="C40" s="1394"/>
      <c r="D40" s="1546"/>
      <c r="E40" s="1546"/>
      <c r="F40" s="1452"/>
      <c r="G40" s="28">
        <v>591747</v>
      </c>
      <c r="H40" s="30" t="s">
        <v>195</v>
      </c>
      <c r="I40" s="736" t="s">
        <v>168</v>
      </c>
      <c r="J40" s="743" t="s">
        <v>199</v>
      </c>
      <c r="K40" s="1546"/>
      <c r="L40" s="1546"/>
      <c r="M40" s="741" t="s">
        <v>542</v>
      </c>
      <c r="N40" s="736" t="s">
        <v>996</v>
      </c>
      <c r="O40" s="749" t="s">
        <v>43</v>
      </c>
      <c r="P40" s="1550"/>
      <c r="Q40" s="749" t="s">
        <v>43</v>
      </c>
      <c r="R40" s="748" t="s">
        <v>68</v>
      </c>
      <c r="S40" s="749" t="s">
        <v>43</v>
      </c>
      <c r="T40" s="749" t="s">
        <v>43</v>
      </c>
      <c r="U40" s="749" t="s">
        <v>43</v>
      </c>
      <c r="V40" s="749" t="s">
        <v>43</v>
      </c>
      <c r="W40" s="749" t="s">
        <v>43</v>
      </c>
      <c r="X40" s="736" t="s">
        <v>170</v>
      </c>
      <c r="Y40" s="1452"/>
      <c r="Z40" s="1452"/>
      <c r="AA40" s="320">
        <v>20800000</v>
      </c>
    </row>
    <row r="41" spans="1:27" s="27" customFormat="1" ht="15.75" customHeight="1">
      <c r="A41" s="1452">
        <v>18</v>
      </c>
      <c r="B41" s="1546">
        <v>424</v>
      </c>
      <c r="C41" s="1394"/>
      <c r="D41" s="1546"/>
      <c r="E41" s="1546" t="s">
        <v>543</v>
      </c>
      <c r="F41" s="1452"/>
      <c r="G41" s="28">
        <v>532577</v>
      </c>
      <c r="H41" s="4" t="s">
        <v>335</v>
      </c>
      <c r="I41" s="736" t="s">
        <v>108</v>
      </c>
      <c r="J41" s="743" t="s">
        <v>205</v>
      </c>
      <c r="K41" s="741" t="s">
        <v>544</v>
      </c>
      <c r="L41" s="1546" t="s">
        <v>545</v>
      </c>
      <c r="M41" s="741" t="s">
        <v>546</v>
      </c>
      <c r="N41" s="741" t="s">
        <v>547</v>
      </c>
      <c r="O41" s="749" t="s">
        <v>43</v>
      </c>
      <c r="P41" s="1550" t="s">
        <v>548</v>
      </c>
      <c r="Q41" s="749" t="s">
        <v>43</v>
      </c>
      <c r="R41" s="748" t="s">
        <v>315</v>
      </c>
      <c r="S41" s="748" t="s">
        <v>438</v>
      </c>
      <c r="T41" s="749" t="s">
        <v>43</v>
      </c>
      <c r="U41" s="749" t="s">
        <v>43</v>
      </c>
      <c r="V41" s="749" t="s">
        <v>43</v>
      </c>
      <c r="W41" s="749" t="s">
        <v>43</v>
      </c>
      <c r="X41" s="736" t="s">
        <v>299</v>
      </c>
      <c r="Y41" s="1452" t="s">
        <v>202</v>
      </c>
      <c r="Z41" s="1452" t="s">
        <v>65</v>
      </c>
      <c r="AA41" s="320">
        <v>4480000</v>
      </c>
    </row>
    <row r="42" spans="1:27" s="27" customFormat="1" ht="15.75" customHeight="1">
      <c r="A42" s="1452"/>
      <c r="B42" s="1546"/>
      <c r="C42" s="1394"/>
      <c r="D42" s="1546"/>
      <c r="E42" s="1546"/>
      <c r="F42" s="1452"/>
      <c r="G42" s="28">
        <v>565499</v>
      </c>
      <c r="H42" s="30" t="s">
        <v>195</v>
      </c>
      <c r="I42" s="736" t="s">
        <v>168</v>
      </c>
      <c r="J42" s="743" t="s">
        <v>205</v>
      </c>
      <c r="K42" s="54" t="s">
        <v>1006</v>
      </c>
      <c r="L42" s="1546"/>
      <c r="M42" s="741" t="s">
        <v>549</v>
      </c>
      <c r="N42" s="736" t="s">
        <v>997</v>
      </c>
      <c r="O42" s="749" t="s">
        <v>43</v>
      </c>
      <c r="P42" s="1550"/>
      <c r="Q42" s="749" t="s">
        <v>43</v>
      </c>
      <c r="R42" s="748" t="s">
        <v>68</v>
      </c>
      <c r="S42" s="749" t="s">
        <v>43</v>
      </c>
      <c r="T42" s="749" t="s">
        <v>43</v>
      </c>
      <c r="U42" s="749" t="s">
        <v>43</v>
      </c>
      <c r="V42" s="749" t="s">
        <v>43</v>
      </c>
      <c r="W42" s="749" t="s">
        <v>43</v>
      </c>
      <c r="X42" s="736" t="s">
        <v>170</v>
      </c>
      <c r="Y42" s="1452"/>
      <c r="Z42" s="1452"/>
      <c r="AA42" s="320">
        <v>12000000</v>
      </c>
    </row>
    <row r="43" spans="1:27" s="27" customFormat="1" ht="15.75" customHeight="1">
      <c r="A43" s="1452">
        <v>19</v>
      </c>
      <c r="B43" s="1546">
        <v>426</v>
      </c>
      <c r="C43" s="1394"/>
      <c r="D43" s="1546"/>
      <c r="E43" s="1546" t="s">
        <v>550</v>
      </c>
      <c r="F43" s="1452" t="s">
        <v>441</v>
      </c>
      <c r="G43" s="28">
        <v>534216</v>
      </c>
      <c r="H43" s="4" t="s">
        <v>335</v>
      </c>
      <c r="I43" s="736" t="s">
        <v>108</v>
      </c>
      <c r="J43" s="743" t="s">
        <v>205</v>
      </c>
      <c r="K43" s="1546" t="s">
        <v>551</v>
      </c>
      <c r="L43" s="1546" t="s">
        <v>552</v>
      </c>
      <c r="M43" s="741" t="s">
        <v>553</v>
      </c>
      <c r="N43" s="741" t="s">
        <v>554</v>
      </c>
      <c r="O43" s="749" t="s">
        <v>43</v>
      </c>
      <c r="P43" s="1550" t="s">
        <v>555</v>
      </c>
      <c r="Q43" s="749" t="s">
        <v>43</v>
      </c>
      <c r="R43" s="748" t="s">
        <v>315</v>
      </c>
      <c r="S43" s="748" t="s">
        <v>438</v>
      </c>
      <c r="T43" s="749" t="s">
        <v>43</v>
      </c>
      <c r="U43" s="749" t="s">
        <v>43</v>
      </c>
      <c r="V43" s="749" t="s">
        <v>43</v>
      </c>
      <c r="W43" s="749" t="s">
        <v>43</v>
      </c>
      <c r="X43" s="736" t="s">
        <v>299</v>
      </c>
      <c r="Y43" s="1452" t="s">
        <v>202</v>
      </c>
      <c r="Z43" s="1452" t="s">
        <v>65</v>
      </c>
      <c r="AA43" s="320">
        <v>4480000</v>
      </c>
    </row>
    <row r="44" spans="1:27" s="27" customFormat="1" ht="15.75" customHeight="1">
      <c r="A44" s="1452"/>
      <c r="B44" s="1546"/>
      <c r="C44" s="1394"/>
      <c r="D44" s="1546"/>
      <c r="E44" s="1546"/>
      <c r="F44" s="1452"/>
      <c r="G44" s="28">
        <v>591781</v>
      </c>
      <c r="H44" s="30" t="s">
        <v>195</v>
      </c>
      <c r="I44" s="736" t="s">
        <v>168</v>
      </c>
      <c r="J44" s="743" t="s">
        <v>199</v>
      </c>
      <c r="K44" s="1546"/>
      <c r="L44" s="1546"/>
      <c r="M44" s="741" t="s">
        <v>556</v>
      </c>
      <c r="N44" s="736" t="s">
        <v>998</v>
      </c>
      <c r="O44" s="749" t="s">
        <v>43</v>
      </c>
      <c r="P44" s="1550"/>
      <c r="Q44" s="749" t="s">
        <v>43</v>
      </c>
      <c r="R44" s="748" t="s">
        <v>68</v>
      </c>
      <c r="S44" s="749" t="s">
        <v>43</v>
      </c>
      <c r="T44" s="749" t="s">
        <v>43</v>
      </c>
      <c r="U44" s="749" t="s">
        <v>43</v>
      </c>
      <c r="V44" s="749" t="s">
        <v>43</v>
      </c>
      <c r="W44" s="749" t="s">
        <v>43</v>
      </c>
      <c r="X44" s="736" t="s">
        <v>170</v>
      </c>
      <c r="Y44" s="1452"/>
      <c r="Z44" s="1452"/>
      <c r="AA44" s="320">
        <v>20800000</v>
      </c>
    </row>
    <row r="45" spans="1:27" s="27" customFormat="1" ht="15.75" customHeight="1">
      <c r="A45" s="1452">
        <v>20</v>
      </c>
      <c r="B45" s="1546">
        <v>431</v>
      </c>
      <c r="C45" s="1394"/>
      <c r="D45" s="1546"/>
      <c r="E45" s="1546" t="s">
        <v>557</v>
      </c>
      <c r="F45" s="1452" t="s">
        <v>475</v>
      </c>
      <c r="G45" s="28">
        <v>538685</v>
      </c>
      <c r="H45" s="4" t="s">
        <v>335</v>
      </c>
      <c r="I45" s="736" t="s">
        <v>108</v>
      </c>
      <c r="J45" s="743" t="s">
        <v>199</v>
      </c>
      <c r="K45" s="1546" t="s">
        <v>558</v>
      </c>
      <c r="L45" s="1546" t="s">
        <v>559</v>
      </c>
      <c r="M45" s="741" t="s">
        <v>560</v>
      </c>
      <c r="N45" s="741" t="s">
        <v>561</v>
      </c>
      <c r="O45" s="749" t="s">
        <v>43</v>
      </c>
      <c r="P45" s="1550" t="s">
        <v>562</v>
      </c>
      <c r="Q45" s="749" t="s">
        <v>43</v>
      </c>
      <c r="R45" s="748" t="s">
        <v>315</v>
      </c>
      <c r="S45" s="748" t="s">
        <v>438</v>
      </c>
      <c r="T45" s="749" t="s">
        <v>43</v>
      </c>
      <c r="U45" s="749" t="s">
        <v>43</v>
      </c>
      <c r="V45" s="749" t="s">
        <v>43</v>
      </c>
      <c r="W45" s="749" t="s">
        <v>43</v>
      </c>
      <c r="X45" s="736" t="s">
        <v>299</v>
      </c>
      <c r="Y45" s="1452" t="s">
        <v>202</v>
      </c>
      <c r="Z45" s="1452" t="s">
        <v>65</v>
      </c>
      <c r="AA45" s="320">
        <v>4480000</v>
      </c>
    </row>
    <row r="46" spans="1:27" s="27" customFormat="1" ht="15.75" customHeight="1">
      <c r="A46" s="1452"/>
      <c r="B46" s="1546"/>
      <c r="C46" s="1394"/>
      <c r="D46" s="1546"/>
      <c r="E46" s="1546"/>
      <c r="F46" s="1452"/>
      <c r="G46" s="28">
        <v>607095</v>
      </c>
      <c r="H46" s="30" t="s">
        <v>195</v>
      </c>
      <c r="I46" s="736" t="s">
        <v>168</v>
      </c>
      <c r="J46" s="743" t="s">
        <v>199</v>
      </c>
      <c r="K46" s="1546"/>
      <c r="L46" s="1546"/>
      <c r="M46" s="741" t="s">
        <v>563</v>
      </c>
      <c r="N46" s="736" t="s">
        <v>999</v>
      </c>
      <c r="O46" s="749" t="s">
        <v>43</v>
      </c>
      <c r="P46" s="1550"/>
      <c r="Q46" s="749" t="s">
        <v>43</v>
      </c>
      <c r="R46" s="748" t="s">
        <v>68</v>
      </c>
      <c r="S46" s="749" t="s">
        <v>43</v>
      </c>
      <c r="T46" s="749" t="s">
        <v>43</v>
      </c>
      <c r="U46" s="749" t="s">
        <v>43</v>
      </c>
      <c r="V46" s="749" t="s">
        <v>43</v>
      </c>
      <c r="W46" s="749" t="s">
        <v>43</v>
      </c>
      <c r="X46" s="736" t="s">
        <v>170</v>
      </c>
      <c r="Y46" s="1452"/>
      <c r="Z46" s="1452"/>
      <c r="AA46" s="320">
        <v>20800000</v>
      </c>
    </row>
    <row r="47" spans="1:27" s="27" customFormat="1" ht="15.75" customHeight="1">
      <c r="A47" s="1452">
        <v>21</v>
      </c>
      <c r="B47" s="1546">
        <v>438</v>
      </c>
      <c r="C47" s="1394"/>
      <c r="D47" s="1546"/>
      <c r="E47" s="1555" t="s">
        <v>564</v>
      </c>
      <c r="F47" s="1452" t="s">
        <v>480</v>
      </c>
      <c r="G47" s="28" t="s">
        <v>565</v>
      </c>
      <c r="H47" s="4" t="s">
        <v>335</v>
      </c>
      <c r="I47" s="736" t="s">
        <v>168</v>
      </c>
      <c r="J47" s="743" t="s">
        <v>204</v>
      </c>
      <c r="K47" s="1559" t="s">
        <v>1005</v>
      </c>
      <c r="L47" s="1546" t="s">
        <v>566</v>
      </c>
      <c r="M47" s="736" t="s">
        <v>567</v>
      </c>
      <c r="N47" s="736" t="s">
        <v>568</v>
      </c>
      <c r="O47" s="749" t="s">
        <v>43</v>
      </c>
      <c r="P47" s="1550" t="s">
        <v>569</v>
      </c>
      <c r="Q47" s="749" t="s">
        <v>43</v>
      </c>
      <c r="R47" s="748" t="s">
        <v>570</v>
      </c>
      <c r="S47" s="749" t="s">
        <v>43</v>
      </c>
      <c r="T47" s="749" t="s">
        <v>43</v>
      </c>
      <c r="U47" s="749" t="s">
        <v>43</v>
      </c>
      <c r="V47" s="749" t="s">
        <v>43</v>
      </c>
      <c r="W47" s="748" t="s">
        <v>571</v>
      </c>
      <c r="X47" s="736" t="s">
        <v>170</v>
      </c>
      <c r="Y47" s="1452" t="s">
        <v>202</v>
      </c>
      <c r="Z47" s="1452" t="s">
        <v>65</v>
      </c>
      <c r="AA47" s="320">
        <v>14480000</v>
      </c>
    </row>
    <row r="48" spans="1:27" s="27" customFormat="1" ht="15.75" customHeight="1">
      <c r="A48" s="1452"/>
      <c r="B48" s="1546"/>
      <c r="C48" s="1394"/>
      <c r="D48" s="1546"/>
      <c r="E48" s="1555"/>
      <c r="F48" s="1452"/>
      <c r="G48" s="28">
        <v>591782</v>
      </c>
      <c r="H48" s="30" t="s">
        <v>195</v>
      </c>
      <c r="I48" s="736" t="s">
        <v>168</v>
      </c>
      <c r="J48" s="743" t="s">
        <v>199</v>
      </c>
      <c r="K48" s="1559"/>
      <c r="L48" s="1546"/>
      <c r="M48" s="741" t="s">
        <v>572</v>
      </c>
      <c r="N48" s="736" t="s">
        <v>1000</v>
      </c>
      <c r="O48" s="749" t="s">
        <v>43</v>
      </c>
      <c r="P48" s="1550"/>
      <c r="Q48" s="749" t="s">
        <v>43</v>
      </c>
      <c r="R48" s="748" t="s">
        <v>349</v>
      </c>
      <c r="S48" s="749" t="s">
        <v>43</v>
      </c>
      <c r="T48" s="749" t="s">
        <v>43</v>
      </c>
      <c r="U48" s="749" t="s">
        <v>43</v>
      </c>
      <c r="V48" s="749" t="s">
        <v>43</v>
      </c>
      <c r="W48" s="749" t="s">
        <v>43</v>
      </c>
      <c r="X48" s="736" t="s">
        <v>170</v>
      </c>
      <c r="Y48" s="1452"/>
      <c r="Z48" s="1452"/>
      <c r="AA48" s="320">
        <v>20800000</v>
      </c>
    </row>
    <row r="49" spans="1:27" s="27" customFormat="1" ht="15.75" customHeight="1">
      <c r="A49" s="1452">
        <v>22</v>
      </c>
      <c r="B49" s="1546">
        <v>446</v>
      </c>
      <c r="C49" s="1394"/>
      <c r="D49" s="1546"/>
      <c r="E49" s="1546" t="s">
        <v>573</v>
      </c>
      <c r="F49" s="1452" t="s">
        <v>475</v>
      </c>
      <c r="G49" s="28">
        <v>536098</v>
      </c>
      <c r="H49" s="4" t="s">
        <v>335</v>
      </c>
      <c r="I49" s="736" t="s">
        <v>108</v>
      </c>
      <c r="J49" s="743" t="s">
        <v>205</v>
      </c>
      <c r="K49" s="1546" t="s">
        <v>574</v>
      </c>
      <c r="L49" s="1546" t="s">
        <v>575</v>
      </c>
      <c r="M49" s="736" t="s">
        <v>576</v>
      </c>
      <c r="N49" s="736" t="s">
        <v>577</v>
      </c>
      <c r="O49" s="749" t="s">
        <v>43</v>
      </c>
      <c r="P49" s="1550" t="s">
        <v>578</v>
      </c>
      <c r="Q49" s="749" t="s">
        <v>43</v>
      </c>
      <c r="R49" s="748" t="s">
        <v>315</v>
      </c>
      <c r="S49" s="748" t="s">
        <v>438</v>
      </c>
      <c r="T49" s="749" t="s">
        <v>43</v>
      </c>
      <c r="U49" s="749" t="s">
        <v>43</v>
      </c>
      <c r="V49" s="749" t="s">
        <v>43</v>
      </c>
      <c r="W49" s="749" t="s">
        <v>43</v>
      </c>
      <c r="X49" s="736" t="s">
        <v>299</v>
      </c>
      <c r="Y49" s="1452" t="s">
        <v>202</v>
      </c>
      <c r="Z49" s="1452" t="s">
        <v>65</v>
      </c>
      <c r="AA49" s="320">
        <v>4480000</v>
      </c>
    </row>
    <row r="50" spans="1:27" s="27" customFormat="1" ht="15.75" customHeight="1">
      <c r="A50" s="1452"/>
      <c r="B50" s="1546"/>
      <c r="C50" s="1394"/>
      <c r="D50" s="1546"/>
      <c r="E50" s="1546"/>
      <c r="F50" s="1452"/>
      <c r="G50" s="28">
        <v>591783</v>
      </c>
      <c r="H50" s="30" t="s">
        <v>195</v>
      </c>
      <c r="I50" s="736" t="s">
        <v>168</v>
      </c>
      <c r="J50" s="743" t="s">
        <v>199</v>
      </c>
      <c r="K50" s="1546"/>
      <c r="L50" s="1546"/>
      <c r="M50" s="741" t="s">
        <v>579</v>
      </c>
      <c r="N50" s="736" t="s">
        <v>1001</v>
      </c>
      <c r="O50" s="749" t="s">
        <v>43</v>
      </c>
      <c r="P50" s="1550"/>
      <c r="Q50" s="749" t="s">
        <v>43</v>
      </c>
      <c r="R50" s="748" t="s">
        <v>68</v>
      </c>
      <c r="S50" s="749" t="s">
        <v>43</v>
      </c>
      <c r="T50" s="749" t="s">
        <v>43</v>
      </c>
      <c r="U50" s="749" t="s">
        <v>43</v>
      </c>
      <c r="V50" s="749" t="s">
        <v>43</v>
      </c>
      <c r="W50" s="749" t="s">
        <v>43</v>
      </c>
      <c r="X50" s="736" t="s">
        <v>170</v>
      </c>
      <c r="Y50" s="1452"/>
      <c r="Z50" s="1452"/>
      <c r="AA50" s="320">
        <v>20800000</v>
      </c>
    </row>
    <row r="51" spans="1:27" s="27" customFormat="1" ht="15.75" customHeight="1">
      <c r="A51" s="1452">
        <v>23</v>
      </c>
      <c r="B51" s="1546">
        <v>447</v>
      </c>
      <c r="C51" s="1394"/>
      <c r="D51" s="1546"/>
      <c r="E51" s="1546" t="s">
        <v>580</v>
      </c>
      <c r="F51" s="1452" t="s">
        <v>441</v>
      </c>
      <c r="G51" s="28">
        <v>535317</v>
      </c>
      <c r="H51" s="4" t="s">
        <v>335</v>
      </c>
      <c r="I51" s="736" t="s">
        <v>108</v>
      </c>
      <c r="J51" s="743" t="s">
        <v>205</v>
      </c>
      <c r="K51" s="1546" t="s">
        <v>581</v>
      </c>
      <c r="L51" s="1546" t="s">
        <v>582</v>
      </c>
      <c r="M51" s="736" t="s">
        <v>583</v>
      </c>
      <c r="N51" s="736" t="s">
        <v>584</v>
      </c>
      <c r="O51" s="749" t="s">
        <v>43</v>
      </c>
      <c r="P51" s="1550" t="s">
        <v>585</v>
      </c>
      <c r="Q51" s="749" t="s">
        <v>43</v>
      </c>
      <c r="R51" s="748" t="s">
        <v>315</v>
      </c>
      <c r="S51" s="748" t="s">
        <v>438</v>
      </c>
      <c r="T51" s="749" t="s">
        <v>43</v>
      </c>
      <c r="U51" s="749" t="s">
        <v>43</v>
      </c>
      <c r="V51" s="749" t="s">
        <v>43</v>
      </c>
      <c r="W51" s="749" t="s">
        <v>43</v>
      </c>
      <c r="X51" s="736" t="s">
        <v>299</v>
      </c>
      <c r="Y51" s="1452" t="s">
        <v>202</v>
      </c>
      <c r="Z51" s="1452" t="s">
        <v>65</v>
      </c>
      <c r="AA51" s="320">
        <v>4480000</v>
      </c>
    </row>
    <row r="52" spans="1:27" s="27" customFormat="1" ht="15.75" customHeight="1">
      <c r="A52" s="1452"/>
      <c r="B52" s="1546"/>
      <c r="C52" s="1394"/>
      <c r="D52" s="1546"/>
      <c r="E52" s="1546"/>
      <c r="F52" s="1452"/>
      <c r="G52" s="28">
        <v>591784</v>
      </c>
      <c r="H52" s="30" t="s">
        <v>195</v>
      </c>
      <c r="I52" s="736" t="s">
        <v>168</v>
      </c>
      <c r="J52" s="743" t="s">
        <v>199</v>
      </c>
      <c r="K52" s="1546"/>
      <c r="L52" s="1546"/>
      <c r="M52" s="741" t="s">
        <v>586</v>
      </c>
      <c r="N52" s="736" t="s">
        <v>1002</v>
      </c>
      <c r="O52" s="749" t="s">
        <v>43</v>
      </c>
      <c r="P52" s="1550"/>
      <c r="Q52" s="749" t="s">
        <v>43</v>
      </c>
      <c r="R52" s="748" t="s">
        <v>68</v>
      </c>
      <c r="S52" s="749" t="s">
        <v>43</v>
      </c>
      <c r="T52" s="749" t="s">
        <v>43</v>
      </c>
      <c r="U52" s="749" t="s">
        <v>43</v>
      </c>
      <c r="V52" s="749" t="s">
        <v>43</v>
      </c>
      <c r="W52" s="749" t="s">
        <v>43</v>
      </c>
      <c r="X52" s="736" t="s">
        <v>170</v>
      </c>
      <c r="Y52" s="1452"/>
      <c r="Z52" s="1452"/>
      <c r="AA52" s="320">
        <v>20800000</v>
      </c>
    </row>
    <row r="53" spans="1:27" s="27" customFormat="1" ht="15.75" customHeight="1">
      <c r="A53" s="1452">
        <v>24</v>
      </c>
      <c r="B53" s="1546">
        <v>450</v>
      </c>
      <c r="C53" s="1394"/>
      <c r="D53" s="1546"/>
      <c r="E53" s="1546" t="s">
        <v>587</v>
      </c>
      <c r="F53" s="1452" t="s">
        <v>468</v>
      </c>
      <c r="G53" s="28">
        <v>536633</v>
      </c>
      <c r="H53" s="4" t="s">
        <v>335</v>
      </c>
      <c r="I53" s="736" t="s">
        <v>108</v>
      </c>
      <c r="J53" s="743" t="s">
        <v>205</v>
      </c>
      <c r="K53" s="1546" t="s">
        <v>15421</v>
      </c>
      <c r="L53" s="1546" t="s">
        <v>15422</v>
      </c>
      <c r="M53" s="736" t="s">
        <v>588</v>
      </c>
      <c r="N53" s="736" t="s">
        <v>589</v>
      </c>
      <c r="O53" s="749" t="s">
        <v>43</v>
      </c>
      <c r="P53" s="1550" t="s">
        <v>590</v>
      </c>
      <c r="Q53" s="749" t="s">
        <v>43</v>
      </c>
      <c r="R53" s="748" t="s">
        <v>315</v>
      </c>
      <c r="S53" s="748" t="s">
        <v>438</v>
      </c>
      <c r="T53" s="749" t="s">
        <v>43</v>
      </c>
      <c r="U53" s="749" t="s">
        <v>43</v>
      </c>
      <c r="V53" s="749" t="s">
        <v>43</v>
      </c>
      <c r="W53" s="749" t="s">
        <v>43</v>
      </c>
      <c r="X53" s="736" t="s">
        <v>299</v>
      </c>
      <c r="Y53" s="1452" t="s">
        <v>202</v>
      </c>
      <c r="Z53" s="1452" t="s">
        <v>65</v>
      </c>
      <c r="AA53" s="320">
        <v>4480000</v>
      </c>
    </row>
    <row r="54" spans="1:27" s="27" customFormat="1" ht="15.75" customHeight="1">
      <c r="A54" s="1452"/>
      <c r="B54" s="1546"/>
      <c r="C54" s="1394"/>
      <c r="D54" s="1546"/>
      <c r="E54" s="1546"/>
      <c r="F54" s="1452"/>
      <c r="G54" s="28">
        <v>587858</v>
      </c>
      <c r="H54" s="30" t="s">
        <v>195</v>
      </c>
      <c r="I54" s="736" t="s">
        <v>168</v>
      </c>
      <c r="J54" s="743" t="s">
        <v>199</v>
      </c>
      <c r="K54" s="1546"/>
      <c r="L54" s="1546"/>
      <c r="M54" s="741" t="s">
        <v>591</v>
      </c>
      <c r="N54" s="736" t="s">
        <v>1003</v>
      </c>
      <c r="O54" s="749" t="s">
        <v>43</v>
      </c>
      <c r="P54" s="1550"/>
      <c r="Q54" s="749" t="s">
        <v>43</v>
      </c>
      <c r="R54" s="748" t="s">
        <v>246</v>
      </c>
      <c r="S54" s="749" t="s">
        <v>43</v>
      </c>
      <c r="T54" s="749" t="s">
        <v>43</v>
      </c>
      <c r="U54" s="749" t="s">
        <v>43</v>
      </c>
      <c r="V54" s="749" t="s">
        <v>43</v>
      </c>
      <c r="W54" s="748" t="s">
        <v>932</v>
      </c>
      <c r="X54" s="736" t="s">
        <v>170</v>
      </c>
      <c r="Y54" s="1452"/>
      <c r="Z54" s="1452"/>
      <c r="AA54" s="320">
        <v>20800000</v>
      </c>
    </row>
    <row r="55" spans="1:27" s="27" customFormat="1" ht="15.75" customHeight="1">
      <c r="A55" s="1452">
        <v>25</v>
      </c>
      <c r="B55" s="1546">
        <v>453</v>
      </c>
      <c r="C55" s="1394"/>
      <c r="D55" s="1546"/>
      <c r="E55" s="1546" t="s">
        <v>593</v>
      </c>
      <c r="F55" s="1452" t="s">
        <v>475</v>
      </c>
      <c r="G55" s="28">
        <v>536378</v>
      </c>
      <c r="H55" s="4" t="s">
        <v>335</v>
      </c>
      <c r="I55" s="736" t="s">
        <v>108</v>
      </c>
      <c r="J55" s="743" t="s">
        <v>205</v>
      </c>
      <c r="K55" s="1546" t="s">
        <v>15423</v>
      </c>
      <c r="L55" s="1546" t="s">
        <v>15424</v>
      </c>
      <c r="M55" s="736" t="s">
        <v>594</v>
      </c>
      <c r="N55" s="736" t="s">
        <v>595</v>
      </c>
      <c r="O55" s="749" t="s">
        <v>43</v>
      </c>
      <c r="P55" s="1550" t="s">
        <v>596</v>
      </c>
      <c r="Q55" s="749" t="s">
        <v>43</v>
      </c>
      <c r="R55" s="748" t="s">
        <v>315</v>
      </c>
      <c r="S55" s="748" t="s">
        <v>438</v>
      </c>
      <c r="T55" s="749" t="s">
        <v>43</v>
      </c>
      <c r="U55" s="749" t="s">
        <v>43</v>
      </c>
      <c r="V55" s="749" t="s">
        <v>43</v>
      </c>
      <c r="W55" s="749" t="s">
        <v>43</v>
      </c>
      <c r="X55" s="736" t="s">
        <v>299</v>
      </c>
      <c r="Y55" s="1452" t="s">
        <v>202</v>
      </c>
      <c r="Z55" s="1452" t="s">
        <v>65</v>
      </c>
      <c r="AA55" s="320">
        <v>4480000</v>
      </c>
    </row>
    <row r="56" spans="1:27" s="27" customFormat="1" ht="15.75" customHeight="1">
      <c r="A56" s="1452"/>
      <c r="B56" s="1546"/>
      <c r="C56" s="1394"/>
      <c r="D56" s="1546"/>
      <c r="E56" s="1546"/>
      <c r="F56" s="1452"/>
      <c r="G56" s="28">
        <v>591785</v>
      </c>
      <c r="H56" s="30" t="s">
        <v>195</v>
      </c>
      <c r="I56" s="736" t="s">
        <v>168</v>
      </c>
      <c r="J56" s="743" t="s">
        <v>199</v>
      </c>
      <c r="K56" s="1546"/>
      <c r="L56" s="1546"/>
      <c r="M56" s="741" t="s">
        <v>597</v>
      </c>
      <c r="N56" s="736" t="s">
        <v>1004</v>
      </c>
      <c r="O56" s="749" t="s">
        <v>43</v>
      </c>
      <c r="P56" s="1550"/>
      <c r="Q56" s="749" t="s">
        <v>43</v>
      </c>
      <c r="R56" s="748" t="s">
        <v>68</v>
      </c>
      <c r="S56" s="749" t="s">
        <v>43</v>
      </c>
      <c r="T56" s="749" t="s">
        <v>43</v>
      </c>
      <c r="U56" s="749" t="s">
        <v>43</v>
      </c>
      <c r="V56" s="749" t="s">
        <v>43</v>
      </c>
      <c r="W56" s="749" t="s">
        <v>43</v>
      </c>
      <c r="X56" s="736" t="s">
        <v>170</v>
      </c>
      <c r="Y56" s="1452"/>
      <c r="Z56" s="1452"/>
      <c r="AA56" s="320">
        <v>20800000</v>
      </c>
    </row>
    <row r="57" spans="1:27" s="27" customFormat="1" ht="15.75" customHeight="1">
      <c r="A57" s="1452">
        <v>26</v>
      </c>
      <c r="B57" s="1546">
        <v>454</v>
      </c>
      <c r="C57" s="1394"/>
      <c r="D57" s="1546"/>
      <c r="E57" s="1546" t="s">
        <v>598</v>
      </c>
      <c r="F57" s="1452" t="s">
        <v>468</v>
      </c>
      <c r="G57" s="28">
        <v>542165</v>
      </c>
      <c r="H57" s="4" t="s">
        <v>335</v>
      </c>
      <c r="I57" s="736" t="s">
        <v>168</v>
      </c>
      <c r="J57" s="743" t="s">
        <v>205</v>
      </c>
      <c r="K57" s="1546" t="s">
        <v>15425</v>
      </c>
      <c r="L57" s="1546" t="s">
        <v>15426</v>
      </c>
      <c r="M57" s="736" t="s">
        <v>599</v>
      </c>
      <c r="N57" s="736" t="s">
        <v>600</v>
      </c>
      <c r="O57" s="749" t="s">
        <v>43</v>
      </c>
      <c r="P57" s="1550" t="s">
        <v>601</v>
      </c>
      <c r="Q57" s="749" t="s">
        <v>43</v>
      </c>
      <c r="R57" s="748" t="s">
        <v>68</v>
      </c>
      <c r="S57" s="749" t="s">
        <v>43</v>
      </c>
      <c r="T57" s="749" t="s">
        <v>43</v>
      </c>
      <c r="U57" s="749" t="s">
        <v>43</v>
      </c>
      <c r="V57" s="749" t="s">
        <v>43</v>
      </c>
      <c r="W57" s="749" t="s">
        <v>43</v>
      </c>
      <c r="X57" s="736" t="s">
        <v>170</v>
      </c>
      <c r="Y57" s="1452" t="s">
        <v>202</v>
      </c>
      <c r="Z57" s="1452" t="s">
        <v>65</v>
      </c>
      <c r="AA57" s="320">
        <v>4480000</v>
      </c>
    </row>
    <row r="58" spans="1:27" s="27" customFormat="1" ht="15.75" customHeight="1">
      <c r="A58" s="1452"/>
      <c r="B58" s="1546"/>
      <c r="C58" s="1394"/>
      <c r="D58" s="1546"/>
      <c r="E58" s="1546"/>
      <c r="F58" s="1452"/>
      <c r="G58" s="28">
        <v>585957</v>
      </c>
      <c r="H58" s="30" t="s">
        <v>195</v>
      </c>
      <c r="I58" s="736" t="s">
        <v>168</v>
      </c>
      <c r="J58" s="743" t="s">
        <v>199</v>
      </c>
      <c r="K58" s="1546"/>
      <c r="L58" s="1546"/>
      <c r="M58" s="741" t="s">
        <v>602</v>
      </c>
      <c r="N58" s="736" t="s">
        <v>1007</v>
      </c>
      <c r="O58" s="749" t="s">
        <v>43</v>
      </c>
      <c r="P58" s="1550"/>
      <c r="Q58" s="749" t="s">
        <v>43</v>
      </c>
      <c r="R58" s="748" t="s">
        <v>603</v>
      </c>
      <c r="S58" s="749" t="s">
        <v>43</v>
      </c>
      <c r="T58" s="749" t="s">
        <v>43</v>
      </c>
      <c r="U58" s="749" t="s">
        <v>43</v>
      </c>
      <c r="V58" s="749" t="s">
        <v>43</v>
      </c>
      <c r="W58" s="749" t="s">
        <v>43</v>
      </c>
      <c r="X58" s="736" t="s">
        <v>170</v>
      </c>
      <c r="Y58" s="1452"/>
      <c r="Z58" s="1452"/>
      <c r="AA58" s="320">
        <v>20800000</v>
      </c>
    </row>
    <row r="59" spans="1:27" s="27" customFormat="1" ht="15.75" customHeight="1">
      <c r="A59" s="1452">
        <v>27</v>
      </c>
      <c r="B59" s="1546">
        <v>457</v>
      </c>
      <c r="C59" s="1394"/>
      <c r="D59" s="1560" t="s">
        <v>604</v>
      </c>
      <c r="E59" s="1560" t="s">
        <v>605</v>
      </c>
      <c r="F59" s="1452" t="s">
        <v>425</v>
      </c>
      <c r="G59" s="28">
        <v>539391</v>
      </c>
      <c r="H59" s="4" t="s">
        <v>335</v>
      </c>
      <c r="I59" s="736" t="s">
        <v>108</v>
      </c>
      <c r="J59" s="743" t="s">
        <v>205</v>
      </c>
      <c r="K59" s="1546" t="s">
        <v>15427</v>
      </c>
      <c r="L59" s="1546" t="s">
        <v>15430</v>
      </c>
      <c r="M59" s="736" t="s">
        <v>606</v>
      </c>
      <c r="N59" s="736" t="s">
        <v>607</v>
      </c>
      <c r="O59" s="749" t="s">
        <v>43</v>
      </c>
      <c r="P59" s="1550" t="s">
        <v>608</v>
      </c>
      <c r="Q59" s="749" t="s">
        <v>43</v>
      </c>
      <c r="R59" s="748" t="s">
        <v>315</v>
      </c>
      <c r="S59" s="748" t="s">
        <v>438</v>
      </c>
      <c r="T59" s="749" t="s">
        <v>43</v>
      </c>
      <c r="U59" s="749" t="s">
        <v>43</v>
      </c>
      <c r="V59" s="749" t="s">
        <v>43</v>
      </c>
      <c r="W59" s="749" t="s">
        <v>43</v>
      </c>
      <c r="X59" s="736" t="s">
        <v>299</v>
      </c>
      <c r="Y59" s="1452" t="s">
        <v>202</v>
      </c>
      <c r="Z59" s="1452" t="s">
        <v>65</v>
      </c>
      <c r="AA59" s="320">
        <v>6400000</v>
      </c>
    </row>
    <row r="60" spans="1:27" s="27" customFormat="1" ht="15.75" customHeight="1">
      <c r="A60" s="1452"/>
      <c r="B60" s="1546"/>
      <c r="C60" s="1394"/>
      <c r="D60" s="1560"/>
      <c r="E60" s="1560"/>
      <c r="F60" s="1452"/>
      <c r="G60" s="28" t="s">
        <v>609</v>
      </c>
      <c r="H60" s="30" t="s">
        <v>195</v>
      </c>
      <c r="I60" s="736" t="s">
        <v>168</v>
      </c>
      <c r="J60" s="743" t="s">
        <v>199</v>
      </c>
      <c r="K60" s="1546"/>
      <c r="L60" s="1546"/>
      <c r="M60" s="741" t="s">
        <v>610</v>
      </c>
      <c r="N60" s="736" t="s">
        <v>1008</v>
      </c>
      <c r="O60" s="749" t="s">
        <v>43</v>
      </c>
      <c r="P60" s="1550"/>
      <c r="Q60" s="749" t="s">
        <v>43</v>
      </c>
      <c r="R60" s="748" t="s">
        <v>246</v>
      </c>
      <c r="S60" s="749" t="s">
        <v>43</v>
      </c>
      <c r="T60" s="749" t="s">
        <v>43</v>
      </c>
      <c r="U60" s="749" t="s">
        <v>43</v>
      </c>
      <c r="V60" s="749" t="s">
        <v>43</v>
      </c>
      <c r="W60" s="748" t="s">
        <v>611</v>
      </c>
      <c r="X60" s="736" t="s">
        <v>170</v>
      </c>
      <c r="Y60" s="1452"/>
      <c r="Z60" s="1452"/>
      <c r="AA60" s="320">
        <v>20800000</v>
      </c>
    </row>
    <row r="61" spans="1:27" s="27" customFormat="1" ht="15.75" customHeight="1">
      <c r="A61" s="1452">
        <v>28</v>
      </c>
      <c r="B61" s="1546">
        <v>458</v>
      </c>
      <c r="C61" s="1394"/>
      <c r="D61" s="1546" t="s">
        <v>423</v>
      </c>
      <c r="E61" s="1546" t="s">
        <v>612</v>
      </c>
      <c r="F61" s="1452" t="s">
        <v>475</v>
      </c>
      <c r="G61" s="28">
        <v>539559</v>
      </c>
      <c r="H61" s="4" t="s">
        <v>335</v>
      </c>
      <c r="I61" s="736" t="s">
        <v>108</v>
      </c>
      <c r="J61" s="743" t="s">
        <v>205</v>
      </c>
      <c r="K61" s="1546" t="s">
        <v>15428</v>
      </c>
      <c r="L61" s="1546" t="s">
        <v>15431</v>
      </c>
      <c r="M61" s="736" t="s">
        <v>613</v>
      </c>
      <c r="N61" s="736" t="s">
        <v>614</v>
      </c>
      <c r="O61" s="749" t="s">
        <v>43</v>
      </c>
      <c r="P61" s="1550" t="s">
        <v>615</v>
      </c>
      <c r="Q61" s="749" t="s">
        <v>43</v>
      </c>
      <c r="R61" s="748" t="s">
        <v>315</v>
      </c>
      <c r="S61" s="748" t="s">
        <v>438</v>
      </c>
      <c r="T61" s="749" t="s">
        <v>43</v>
      </c>
      <c r="U61" s="749" t="s">
        <v>43</v>
      </c>
      <c r="V61" s="749" t="s">
        <v>43</v>
      </c>
      <c r="W61" s="749" t="s">
        <v>43</v>
      </c>
      <c r="X61" s="736" t="s">
        <v>299</v>
      </c>
      <c r="Y61" s="1452" t="s">
        <v>202</v>
      </c>
      <c r="Z61" s="1452" t="s">
        <v>65</v>
      </c>
      <c r="AA61" s="320">
        <v>4480000</v>
      </c>
    </row>
    <row r="62" spans="1:27" s="27" customFormat="1" ht="15.75" customHeight="1">
      <c r="A62" s="1452"/>
      <c r="B62" s="1546"/>
      <c r="C62" s="1394"/>
      <c r="D62" s="1546"/>
      <c r="E62" s="1546"/>
      <c r="F62" s="1452"/>
      <c r="G62" s="28">
        <v>93015444393</v>
      </c>
      <c r="H62" s="30" t="s">
        <v>195</v>
      </c>
      <c r="I62" s="736" t="s">
        <v>168</v>
      </c>
      <c r="J62" s="743" t="s">
        <v>199</v>
      </c>
      <c r="K62" s="1546"/>
      <c r="L62" s="1546"/>
      <c r="M62" s="741" t="s">
        <v>616</v>
      </c>
      <c r="N62" s="736" t="s">
        <v>1009</v>
      </c>
      <c r="O62" s="749" t="s">
        <v>43</v>
      </c>
      <c r="P62" s="1550"/>
      <c r="Q62" s="749" t="s">
        <v>43</v>
      </c>
      <c r="R62" s="748" t="s">
        <v>246</v>
      </c>
      <c r="S62" s="749" t="s">
        <v>43</v>
      </c>
      <c r="T62" s="749" t="s">
        <v>43</v>
      </c>
      <c r="U62" s="749" t="s">
        <v>43</v>
      </c>
      <c r="V62" s="749" t="s">
        <v>43</v>
      </c>
      <c r="W62" s="748" t="s">
        <v>504</v>
      </c>
      <c r="X62" s="736" t="s">
        <v>170</v>
      </c>
      <c r="Y62" s="1452"/>
      <c r="Z62" s="1452"/>
      <c r="AA62" s="320">
        <v>20800000</v>
      </c>
    </row>
    <row r="63" spans="1:27" s="27" customFormat="1" ht="15.75" customHeight="1">
      <c r="A63" s="1452">
        <v>29</v>
      </c>
      <c r="B63" s="1546">
        <v>459</v>
      </c>
      <c r="C63" s="1394"/>
      <c r="D63" s="1546"/>
      <c r="E63" s="1546" t="s">
        <v>617</v>
      </c>
      <c r="F63" s="1452" t="s">
        <v>441</v>
      </c>
      <c r="G63" s="28">
        <v>542792</v>
      </c>
      <c r="H63" s="4" t="s">
        <v>335</v>
      </c>
      <c r="I63" s="736" t="s">
        <v>108</v>
      </c>
      <c r="J63" s="743" t="s">
        <v>205</v>
      </c>
      <c r="K63" s="1546" t="s">
        <v>15429</v>
      </c>
      <c r="L63" s="1546" t="s">
        <v>15432</v>
      </c>
      <c r="M63" s="736" t="s">
        <v>618</v>
      </c>
      <c r="N63" s="25" t="s">
        <v>619</v>
      </c>
      <c r="O63" s="749" t="s">
        <v>43</v>
      </c>
      <c r="P63" s="1550" t="s">
        <v>620</v>
      </c>
      <c r="Q63" s="749" t="s">
        <v>43</v>
      </c>
      <c r="R63" s="748" t="s">
        <v>315</v>
      </c>
      <c r="S63" s="748" t="s">
        <v>438</v>
      </c>
      <c r="T63" s="749" t="s">
        <v>43</v>
      </c>
      <c r="U63" s="749" t="s">
        <v>43</v>
      </c>
      <c r="V63" s="749" t="s">
        <v>43</v>
      </c>
      <c r="W63" s="749" t="s">
        <v>43</v>
      </c>
      <c r="X63" s="736" t="s">
        <v>299</v>
      </c>
      <c r="Y63" s="1452" t="s">
        <v>202</v>
      </c>
      <c r="Z63" s="1452" t="s">
        <v>65</v>
      </c>
      <c r="AA63" s="320">
        <v>4480000</v>
      </c>
    </row>
    <row r="64" spans="1:27" s="27" customFormat="1" ht="15.75" customHeight="1">
      <c r="A64" s="1452"/>
      <c r="B64" s="1546"/>
      <c r="C64" s="1394"/>
      <c r="D64" s="1546"/>
      <c r="E64" s="1546"/>
      <c r="F64" s="1452"/>
      <c r="G64" s="28">
        <v>591788</v>
      </c>
      <c r="H64" s="30" t="s">
        <v>195</v>
      </c>
      <c r="I64" s="736" t="s">
        <v>168</v>
      </c>
      <c r="J64" s="743" t="s">
        <v>199</v>
      </c>
      <c r="K64" s="1546"/>
      <c r="L64" s="1546"/>
      <c r="M64" s="741" t="s">
        <v>621</v>
      </c>
      <c r="N64" s="736" t="s">
        <v>1010</v>
      </c>
      <c r="O64" s="749" t="s">
        <v>43</v>
      </c>
      <c r="P64" s="1550"/>
      <c r="Q64" s="749" t="s">
        <v>43</v>
      </c>
      <c r="R64" s="748" t="s">
        <v>246</v>
      </c>
      <c r="S64" s="749" t="s">
        <v>43</v>
      </c>
      <c r="T64" s="749" t="s">
        <v>43</v>
      </c>
      <c r="U64" s="749" t="s">
        <v>43</v>
      </c>
      <c r="V64" s="749" t="s">
        <v>43</v>
      </c>
      <c r="W64" s="748" t="s">
        <v>611</v>
      </c>
      <c r="X64" s="736" t="s">
        <v>170</v>
      </c>
      <c r="Y64" s="1452"/>
      <c r="Z64" s="1452"/>
      <c r="AA64" s="320">
        <v>20800000</v>
      </c>
    </row>
    <row r="65" spans="1:27" s="27" customFormat="1" ht="15.75" customHeight="1">
      <c r="A65" s="1452">
        <v>30</v>
      </c>
      <c r="B65" s="1452">
        <v>460</v>
      </c>
      <c r="C65" s="1394"/>
      <c r="D65" s="1560" t="s">
        <v>604</v>
      </c>
      <c r="E65" s="1560" t="s">
        <v>622</v>
      </c>
      <c r="F65" s="1390" t="s">
        <v>425</v>
      </c>
      <c r="G65" s="28">
        <v>539563</v>
      </c>
      <c r="H65" s="4" t="s">
        <v>335</v>
      </c>
      <c r="I65" s="736" t="s">
        <v>108</v>
      </c>
      <c r="J65" s="743" t="s">
        <v>199</v>
      </c>
      <c r="K65" s="1546" t="s">
        <v>15433</v>
      </c>
      <c r="L65" s="1546" t="s">
        <v>15434</v>
      </c>
      <c r="M65" s="736" t="s">
        <v>623</v>
      </c>
      <c r="N65" s="736" t="s">
        <v>624</v>
      </c>
      <c r="O65" s="749" t="s">
        <v>43</v>
      </c>
      <c r="P65" s="1550" t="s">
        <v>625</v>
      </c>
      <c r="Q65" s="749" t="s">
        <v>43</v>
      </c>
      <c r="R65" s="748" t="s">
        <v>315</v>
      </c>
      <c r="S65" s="748" t="s">
        <v>438</v>
      </c>
      <c r="T65" s="749" t="s">
        <v>43</v>
      </c>
      <c r="U65" s="749" t="s">
        <v>43</v>
      </c>
      <c r="V65" s="749" t="s">
        <v>43</v>
      </c>
      <c r="W65" s="749" t="s">
        <v>43</v>
      </c>
      <c r="X65" s="736" t="s">
        <v>299</v>
      </c>
      <c r="Y65" s="1452" t="s">
        <v>202</v>
      </c>
      <c r="Z65" s="1452" t="s">
        <v>65</v>
      </c>
      <c r="AA65" s="320">
        <v>8960000</v>
      </c>
    </row>
    <row r="66" spans="1:27" s="27" customFormat="1" ht="15.75" customHeight="1">
      <c r="A66" s="1452"/>
      <c r="B66" s="1452"/>
      <c r="C66" s="1394"/>
      <c r="D66" s="1560"/>
      <c r="E66" s="1560"/>
      <c r="F66" s="1395"/>
      <c r="G66" s="28">
        <v>591833</v>
      </c>
      <c r="H66" s="30" t="s">
        <v>195</v>
      </c>
      <c r="I66" s="736" t="s">
        <v>108</v>
      </c>
      <c r="J66" s="743" t="s">
        <v>199</v>
      </c>
      <c r="K66" s="1546"/>
      <c r="L66" s="1546"/>
      <c r="M66" s="741" t="s">
        <v>626</v>
      </c>
      <c r="N66" s="736" t="s">
        <v>1011</v>
      </c>
      <c r="O66" s="749" t="s">
        <v>43</v>
      </c>
      <c r="P66" s="1550"/>
      <c r="Q66" s="749" t="s">
        <v>43</v>
      </c>
      <c r="R66" s="748" t="s">
        <v>297</v>
      </c>
      <c r="S66" s="748" t="s">
        <v>438</v>
      </c>
      <c r="T66" s="749" t="s">
        <v>43</v>
      </c>
      <c r="U66" s="749" t="s">
        <v>43</v>
      </c>
      <c r="V66" s="749" t="s">
        <v>43</v>
      </c>
      <c r="W66" s="749" t="s">
        <v>43</v>
      </c>
      <c r="X66" s="736" t="s">
        <v>299</v>
      </c>
      <c r="Y66" s="1452"/>
      <c r="Z66" s="1452"/>
      <c r="AA66" s="320">
        <v>20800000</v>
      </c>
    </row>
    <row r="67" spans="1:27" s="27" customFormat="1" ht="15.75" customHeight="1">
      <c r="A67" s="1505">
        <v>31</v>
      </c>
      <c r="B67" s="1452">
        <v>461</v>
      </c>
      <c r="C67" s="1394"/>
      <c r="D67" s="1546" t="s">
        <v>423</v>
      </c>
      <c r="E67" s="1546" t="s">
        <v>627</v>
      </c>
      <c r="F67" s="1390" t="s">
        <v>425</v>
      </c>
      <c r="G67" s="28" t="s">
        <v>12143</v>
      </c>
      <c r="H67" s="4" t="s">
        <v>335</v>
      </c>
      <c r="I67" s="736" t="s">
        <v>29</v>
      </c>
      <c r="J67" s="743" t="s">
        <v>199</v>
      </c>
      <c r="K67" s="1546" t="s">
        <v>15446</v>
      </c>
      <c r="L67" s="1546" t="s">
        <v>15447</v>
      </c>
      <c r="M67" s="741" t="s">
        <v>628</v>
      </c>
      <c r="N67" s="741" t="s">
        <v>629</v>
      </c>
      <c r="O67" s="749" t="s">
        <v>43</v>
      </c>
      <c r="P67" s="1550" t="s">
        <v>630</v>
      </c>
      <c r="Q67" s="749" t="s">
        <v>43</v>
      </c>
      <c r="R67" s="748" t="s">
        <v>631</v>
      </c>
      <c r="S67" s="749" t="s">
        <v>43</v>
      </c>
      <c r="T67" s="749" t="s">
        <v>1699</v>
      </c>
      <c r="U67" s="749" t="s">
        <v>43</v>
      </c>
      <c r="V67" s="749" t="s">
        <v>43</v>
      </c>
      <c r="W67" s="748" t="s">
        <v>632</v>
      </c>
      <c r="X67" s="736" t="s">
        <v>450</v>
      </c>
      <c r="Y67" s="1452" t="s">
        <v>202</v>
      </c>
      <c r="Z67" s="1452" t="s">
        <v>65</v>
      </c>
      <c r="AA67" s="320">
        <v>8960000</v>
      </c>
    </row>
    <row r="68" spans="1:27" s="27" customFormat="1" ht="15.75" customHeight="1">
      <c r="A68" s="1505"/>
      <c r="B68" s="1452"/>
      <c r="C68" s="1394"/>
      <c r="D68" s="1546"/>
      <c r="E68" s="1546"/>
      <c r="F68" s="1391"/>
      <c r="G68" s="28">
        <v>591834</v>
      </c>
      <c r="H68" s="30" t="s">
        <v>195</v>
      </c>
      <c r="I68" s="736" t="s">
        <v>29</v>
      </c>
      <c r="J68" s="743" t="s">
        <v>199</v>
      </c>
      <c r="K68" s="1546"/>
      <c r="L68" s="1546"/>
      <c r="M68" s="741" t="s">
        <v>633</v>
      </c>
      <c r="N68" s="736" t="s">
        <v>1013</v>
      </c>
      <c r="O68" s="749" t="s">
        <v>43</v>
      </c>
      <c r="P68" s="1550"/>
      <c r="Q68" s="749" t="s">
        <v>43</v>
      </c>
      <c r="R68" s="748" t="s">
        <v>246</v>
      </c>
      <c r="S68" s="749" t="s">
        <v>43</v>
      </c>
      <c r="T68" s="749" t="s">
        <v>43</v>
      </c>
      <c r="U68" s="749" t="s">
        <v>43</v>
      </c>
      <c r="V68" s="749" t="s">
        <v>43</v>
      </c>
      <c r="W68" s="748" t="s">
        <v>634</v>
      </c>
      <c r="X68" s="736" t="s">
        <v>450</v>
      </c>
      <c r="Y68" s="1452"/>
      <c r="Z68" s="1452"/>
      <c r="AA68" s="320">
        <v>20800000</v>
      </c>
    </row>
    <row r="69" spans="1:27" s="27" customFormat="1" ht="15.75" customHeight="1">
      <c r="A69" s="1505"/>
      <c r="B69" s="1452"/>
      <c r="C69" s="1394"/>
      <c r="D69" s="1546"/>
      <c r="E69" s="1546"/>
      <c r="F69" s="1395"/>
      <c r="G69" s="819" t="s">
        <v>43</v>
      </c>
      <c r="H69" s="4" t="s">
        <v>44</v>
      </c>
      <c r="I69" s="815" t="s">
        <v>45</v>
      </c>
      <c r="J69" s="51" t="s">
        <v>201</v>
      </c>
      <c r="K69" s="1546"/>
      <c r="L69" s="1546"/>
      <c r="M69" s="816" t="s">
        <v>15449</v>
      </c>
      <c r="N69" s="816" t="s">
        <v>15448</v>
      </c>
      <c r="O69" s="819" t="s">
        <v>43</v>
      </c>
      <c r="P69" s="1550"/>
      <c r="Q69" s="819" t="s">
        <v>43</v>
      </c>
      <c r="R69" s="818" t="s">
        <v>119</v>
      </c>
      <c r="S69" s="819" t="s">
        <v>43</v>
      </c>
      <c r="T69" s="819" t="s">
        <v>43</v>
      </c>
      <c r="U69" s="819" t="s">
        <v>43</v>
      </c>
      <c r="V69" s="819" t="s">
        <v>43</v>
      </c>
      <c r="W69" s="818" t="s">
        <v>979</v>
      </c>
      <c r="X69" s="815" t="s">
        <v>50</v>
      </c>
      <c r="Y69" s="1452"/>
      <c r="Z69" s="1452"/>
      <c r="AA69" s="320">
        <v>0</v>
      </c>
    </row>
    <row r="70" spans="1:27" s="27" customFormat="1" ht="15.75" customHeight="1">
      <c r="A70" s="1452">
        <v>32</v>
      </c>
      <c r="B70" s="1452">
        <v>462</v>
      </c>
      <c r="C70" s="1394"/>
      <c r="D70" s="1546"/>
      <c r="E70" s="1546" t="s">
        <v>635</v>
      </c>
      <c r="F70" s="1452" t="s">
        <v>480</v>
      </c>
      <c r="G70" s="28" t="s">
        <v>636</v>
      </c>
      <c r="H70" s="4" t="s">
        <v>335</v>
      </c>
      <c r="I70" s="736" t="s">
        <v>108</v>
      </c>
      <c r="J70" s="743" t="s">
        <v>199</v>
      </c>
      <c r="K70" s="1546" t="s">
        <v>15450</v>
      </c>
      <c r="L70" s="1546" t="s">
        <v>15451</v>
      </c>
      <c r="M70" s="736" t="s">
        <v>637</v>
      </c>
      <c r="N70" s="736" t="s">
        <v>638</v>
      </c>
      <c r="O70" s="749" t="s">
        <v>43</v>
      </c>
      <c r="P70" s="1550" t="s">
        <v>639</v>
      </c>
      <c r="Q70" s="749" t="s">
        <v>43</v>
      </c>
      <c r="R70" s="748" t="s">
        <v>315</v>
      </c>
      <c r="S70" s="748" t="s">
        <v>438</v>
      </c>
      <c r="T70" s="749" t="s">
        <v>43</v>
      </c>
      <c r="U70" s="749" t="s">
        <v>43</v>
      </c>
      <c r="V70" s="749" t="s">
        <v>43</v>
      </c>
      <c r="W70" s="749" t="s">
        <v>43</v>
      </c>
      <c r="X70" s="736" t="s">
        <v>299</v>
      </c>
      <c r="Y70" s="1452" t="s">
        <v>202</v>
      </c>
      <c r="Z70" s="1452" t="s">
        <v>65</v>
      </c>
      <c r="AA70" s="320">
        <v>8960000</v>
      </c>
    </row>
    <row r="71" spans="1:27" s="27" customFormat="1" ht="15.75" customHeight="1">
      <c r="A71" s="1452"/>
      <c r="B71" s="1452"/>
      <c r="C71" s="1394"/>
      <c r="D71" s="1546"/>
      <c r="E71" s="1546"/>
      <c r="F71" s="1452"/>
      <c r="G71" s="28">
        <v>586297</v>
      </c>
      <c r="H71" s="30" t="s">
        <v>195</v>
      </c>
      <c r="I71" s="736" t="s">
        <v>168</v>
      </c>
      <c r="J71" s="743" t="s">
        <v>199</v>
      </c>
      <c r="K71" s="1546"/>
      <c r="L71" s="1546"/>
      <c r="M71" s="741" t="s">
        <v>640</v>
      </c>
      <c r="N71" s="736" t="s">
        <v>1014</v>
      </c>
      <c r="O71" s="749" t="s">
        <v>43</v>
      </c>
      <c r="P71" s="1550"/>
      <c r="Q71" s="749" t="s">
        <v>43</v>
      </c>
      <c r="R71" s="748" t="s">
        <v>68</v>
      </c>
      <c r="S71" s="749" t="s">
        <v>43</v>
      </c>
      <c r="T71" s="749" t="s">
        <v>43</v>
      </c>
      <c r="U71" s="749" t="s">
        <v>43</v>
      </c>
      <c r="V71" s="749" t="s">
        <v>43</v>
      </c>
      <c r="W71" s="749" t="s">
        <v>43</v>
      </c>
      <c r="X71" s="736" t="s">
        <v>170</v>
      </c>
      <c r="Y71" s="1452"/>
      <c r="Z71" s="1452"/>
      <c r="AA71" s="320">
        <v>20800000</v>
      </c>
    </row>
    <row r="72" spans="1:27" s="27" customFormat="1" ht="15.75" customHeight="1">
      <c r="A72" s="1452">
        <v>33</v>
      </c>
      <c r="B72" s="1505">
        <v>463</v>
      </c>
      <c r="C72" s="1394"/>
      <c r="D72" s="1546"/>
      <c r="E72" s="1555" t="s">
        <v>641</v>
      </c>
      <c r="F72" s="1452" t="s">
        <v>441</v>
      </c>
      <c r="G72" s="28">
        <v>538883</v>
      </c>
      <c r="H72" s="4" t="s">
        <v>335</v>
      </c>
      <c r="I72" s="736" t="s">
        <v>108</v>
      </c>
      <c r="J72" s="743" t="s">
        <v>204</v>
      </c>
      <c r="K72" s="1546" t="s">
        <v>15452</v>
      </c>
      <c r="L72" s="1573" t="s">
        <v>15453</v>
      </c>
      <c r="M72" s="736" t="s">
        <v>642</v>
      </c>
      <c r="N72" s="736" t="s">
        <v>643</v>
      </c>
      <c r="O72" s="749" t="s">
        <v>43</v>
      </c>
      <c r="P72" s="1550" t="s">
        <v>644</v>
      </c>
      <c r="Q72" s="749" t="s">
        <v>43</v>
      </c>
      <c r="R72" s="748" t="s">
        <v>315</v>
      </c>
      <c r="S72" s="748" t="s">
        <v>438</v>
      </c>
      <c r="T72" s="749" t="s">
        <v>43</v>
      </c>
      <c r="U72" s="749" t="s">
        <v>43</v>
      </c>
      <c r="V72" s="749" t="s">
        <v>43</v>
      </c>
      <c r="W72" s="749" t="s">
        <v>43</v>
      </c>
      <c r="X72" s="736" t="s">
        <v>299</v>
      </c>
      <c r="Y72" s="1452" t="s">
        <v>202</v>
      </c>
      <c r="Z72" s="1452" t="s">
        <v>1016</v>
      </c>
      <c r="AA72" s="320">
        <v>15600000</v>
      </c>
    </row>
    <row r="73" spans="1:27" s="27" customFormat="1" ht="15.75" customHeight="1">
      <c r="A73" s="1452"/>
      <c r="B73" s="1505"/>
      <c r="C73" s="1394"/>
      <c r="D73" s="1546"/>
      <c r="E73" s="1555"/>
      <c r="F73" s="1452"/>
      <c r="G73" s="28" t="s">
        <v>645</v>
      </c>
      <c r="H73" s="30" t="s">
        <v>195</v>
      </c>
      <c r="I73" s="736" t="s">
        <v>168</v>
      </c>
      <c r="J73" s="743" t="s">
        <v>204</v>
      </c>
      <c r="K73" s="1546"/>
      <c r="L73" s="1573"/>
      <c r="M73" s="741" t="s">
        <v>646</v>
      </c>
      <c r="N73" s="736" t="s">
        <v>1015</v>
      </c>
      <c r="O73" s="749" t="s">
        <v>43</v>
      </c>
      <c r="P73" s="1550"/>
      <c r="Q73" s="749" t="s">
        <v>43</v>
      </c>
      <c r="R73" s="748" t="s">
        <v>255</v>
      </c>
      <c r="S73" s="749" t="s">
        <v>43</v>
      </c>
      <c r="T73" s="749" t="s">
        <v>43</v>
      </c>
      <c r="U73" s="749" t="s">
        <v>43</v>
      </c>
      <c r="V73" s="749" t="s">
        <v>43</v>
      </c>
      <c r="W73" s="748" t="s">
        <v>647</v>
      </c>
      <c r="X73" s="736" t="s">
        <v>170</v>
      </c>
      <c r="Y73" s="1452"/>
      <c r="Z73" s="1452"/>
      <c r="AA73" s="320">
        <v>36400000</v>
      </c>
    </row>
    <row r="74" spans="1:27" s="27" customFormat="1" ht="15.75" customHeight="1">
      <c r="A74" s="1452">
        <v>34</v>
      </c>
      <c r="B74" s="1575">
        <v>465</v>
      </c>
      <c r="C74" s="1394"/>
      <c r="D74" s="1546" t="s">
        <v>648</v>
      </c>
      <c r="E74" s="1546" t="s">
        <v>648</v>
      </c>
      <c r="F74" s="1452" t="s">
        <v>425</v>
      </c>
      <c r="G74" s="28" t="s">
        <v>12283</v>
      </c>
      <c r="H74" s="4" t="s">
        <v>335</v>
      </c>
      <c r="I74" s="736" t="s">
        <v>168</v>
      </c>
      <c r="J74" s="743" t="s">
        <v>199</v>
      </c>
      <c r="K74" s="741" t="s">
        <v>15454</v>
      </c>
      <c r="L74" s="1546" t="s">
        <v>15455</v>
      </c>
      <c r="M74" s="736" t="s">
        <v>649</v>
      </c>
      <c r="N74" s="736" t="s">
        <v>650</v>
      </c>
      <c r="O74" s="749" t="s">
        <v>43</v>
      </c>
      <c r="P74" s="1550" t="s">
        <v>651</v>
      </c>
      <c r="Q74" s="749" t="s">
        <v>43</v>
      </c>
      <c r="R74" s="748" t="s">
        <v>68</v>
      </c>
      <c r="S74" s="749" t="s">
        <v>43</v>
      </c>
      <c r="T74" s="749" t="s">
        <v>43</v>
      </c>
      <c r="U74" s="749" t="s">
        <v>43</v>
      </c>
      <c r="V74" s="749" t="s">
        <v>43</v>
      </c>
      <c r="W74" s="749" t="s">
        <v>43</v>
      </c>
      <c r="X74" s="736" t="s">
        <v>170</v>
      </c>
      <c r="Y74" s="1452" t="s">
        <v>202</v>
      </c>
      <c r="Z74" s="1452" t="s">
        <v>65</v>
      </c>
      <c r="AA74" s="320">
        <v>12800000</v>
      </c>
    </row>
    <row r="75" spans="1:27" s="27" customFormat="1" ht="15.75" customHeight="1">
      <c r="A75" s="1452"/>
      <c r="B75" s="1575"/>
      <c r="C75" s="1394"/>
      <c r="D75" s="1546"/>
      <c r="E75" s="1546"/>
      <c r="F75" s="1452"/>
      <c r="G75" s="28" t="s">
        <v>13096</v>
      </c>
      <c r="H75" s="30" t="s">
        <v>195</v>
      </c>
      <c r="I75" s="736" t="s">
        <v>168</v>
      </c>
      <c r="J75" s="743" t="s">
        <v>199</v>
      </c>
      <c r="K75" s="54" t="s">
        <v>14254</v>
      </c>
      <c r="L75" s="1546"/>
      <c r="M75" s="741" t="s">
        <v>652</v>
      </c>
      <c r="N75" s="736" t="s">
        <v>1017</v>
      </c>
      <c r="O75" s="749" t="s">
        <v>43</v>
      </c>
      <c r="P75" s="1550"/>
      <c r="Q75" s="749" t="s">
        <v>43</v>
      </c>
      <c r="R75" s="748" t="s">
        <v>255</v>
      </c>
      <c r="S75" s="749" t="s">
        <v>43</v>
      </c>
      <c r="T75" s="749" t="s">
        <v>43</v>
      </c>
      <c r="U75" s="749" t="s">
        <v>43</v>
      </c>
      <c r="V75" s="749" t="s">
        <v>43</v>
      </c>
      <c r="W75" s="748" t="s">
        <v>592</v>
      </c>
      <c r="X75" s="736" t="s">
        <v>170</v>
      </c>
      <c r="Y75" s="1452"/>
      <c r="Z75" s="1452"/>
      <c r="AA75" s="320">
        <v>8960000</v>
      </c>
    </row>
    <row r="76" spans="1:27" s="27" customFormat="1" ht="15.75" customHeight="1">
      <c r="A76" s="1452">
        <v>35</v>
      </c>
      <c r="B76" s="1575">
        <v>469</v>
      </c>
      <c r="C76" s="1394"/>
      <c r="D76" s="1560" t="s">
        <v>423</v>
      </c>
      <c r="E76" s="1560" t="s">
        <v>654</v>
      </c>
      <c r="F76" s="1452" t="s">
        <v>468</v>
      </c>
      <c r="G76" s="28">
        <v>538722</v>
      </c>
      <c r="H76" s="4" t="s">
        <v>335</v>
      </c>
      <c r="I76" s="736" t="s">
        <v>108</v>
      </c>
      <c r="J76" s="743" t="s">
        <v>205</v>
      </c>
      <c r="K76" s="1546" t="s">
        <v>15456</v>
      </c>
      <c r="L76" s="1546" t="s">
        <v>15457</v>
      </c>
      <c r="M76" s="736" t="s">
        <v>655</v>
      </c>
      <c r="N76" s="736" t="s">
        <v>656</v>
      </c>
      <c r="O76" s="749" t="s">
        <v>43</v>
      </c>
      <c r="P76" s="1550" t="s">
        <v>657</v>
      </c>
      <c r="Q76" s="749" t="s">
        <v>43</v>
      </c>
      <c r="R76" s="748" t="s">
        <v>315</v>
      </c>
      <c r="S76" s="748" t="s">
        <v>438</v>
      </c>
      <c r="T76" s="749" t="s">
        <v>43</v>
      </c>
      <c r="U76" s="749" t="s">
        <v>43</v>
      </c>
      <c r="V76" s="749" t="s">
        <v>43</v>
      </c>
      <c r="W76" s="749" t="s">
        <v>43</v>
      </c>
      <c r="X76" s="736" t="s">
        <v>299</v>
      </c>
      <c r="Y76" s="1452" t="s">
        <v>980</v>
      </c>
      <c r="Z76" s="1452" t="s">
        <v>65</v>
      </c>
      <c r="AA76" s="320">
        <v>4480000</v>
      </c>
    </row>
    <row r="77" spans="1:27" s="27" customFormat="1" ht="15.75" customHeight="1">
      <c r="A77" s="1452"/>
      <c r="B77" s="1575"/>
      <c r="C77" s="1394"/>
      <c r="D77" s="1560"/>
      <c r="E77" s="1560"/>
      <c r="F77" s="1452"/>
      <c r="G77" s="28">
        <v>591836</v>
      </c>
      <c r="H77" s="30" t="s">
        <v>195</v>
      </c>
      <c r="I77" s="815" t="s">
        <v>168</v>
      </c>
      <c r="J77" s="817" t="s">
        <v>199</v>
      </c>
      <c r="K77" s="1546"/>
      <c r="L77" s="1546"/>
      <c r="M77" s="816" t="s">
        <v>658</v>
      </c>
      <c r="N77" s="815" t="s">
        <v>1018</v>
      </c>
      <c r="O77" s="819" t="s">
        <v>43</v>
      </c>
      <c r="P77" s="1550"/>
      <c r="Q77" s="819" t="s">
        <v>43</v>
      </c>
      <c r="R77" s="818" t="s">
        <v>68</v>
      </c>
      <c r="S77" s="819" t="s">
        <v>43</v>
      </c>
      <c r="T77" s="819" t="s">
        <v>43</v>
      </c>
      <c r="U77" s="819" t="s">
        <v>43</v>
      </c>
      <c r="V77" s="819" t="s">
        <v>43</v>
      </c>
      <c r="W77" s="819" t="s">
        <v>43</v>
      </c>
      <c r="X77" s="815" t="s">
        <v>170</v>
      </c>
      <c r="Y77" s="1452"/>
      <c r="Z77" s="1452"/>
      <c r="AA77" s="320">
        <v>20800000</v>
      </c>
    </row>
    <row r="78" spans="1:27" s="27" customFormat="1" ht="15.75" customHeight="1">
      <c r="A78" s="1452"/>
      <c r="B78" s="1575"/>
      <c r="C78" s="1394"/>
      <c r="D78" s="1560"/>
      <c r="E78" s="1560"/>
      <c r="F78" s="1452"/>
      <c r="G78" s="819" t="s">
        <v>43</v>
      </c>
      <c r="H78" s="4" t="s">
        <v>44</v>
      </c>
      <c r="I78" s="815" t="s">
        <v>45</v>
      </c>
      <c r="J78" s="51" t="s">
        <v>201</v>
      </c>
      <c r="K78" s="1546"/>
      <c r="L78" s="1546"/>
      <c r="M78" s="816" t="s">
        <v>659</v>
      </c>
      <c r="N78" s="816" t="s">
        <v>660</v>
      </c>
      <c r="O78" s="819" t="s">
        <v>43</v>
      </c>
      <c r="P78" s="1550"/>
      <c r="Q78" s="819" t="s">
        <v>43</v>
      </c>
      <c r="R78" s="818" t="s">
        <v>48</v>
      </c>
      <c r="S78" s="819" t="s">
        <v>43</v>
      </c>
      <c r="T78" s="819" t="s">
        <v>43</v>
      </c>
      <c r="U78" s="819" t="s">
        <v>43</v>
      </c>
      <c r="V78" s="819" t="s">
        <v>43</v>
      </c>
      <c r="W78" s="818" t="s">
        <v>661</v>
      </c>
      <c r="X78" s="815" t="s">
        <v>50</v>
      </c>
      <c r="Y78" s="1452"/>
      <c r="Z78" s="1452"/>
      <c r="AA78" s="320">
        <v>0</v>
      </c>
    </row>
    <row r="79" spans="1:27" s="27" customFormat="1" ht="15.75" customHeight="1">
      <c r="A79" s="1452">
        <v>36</v>
      </c>
      <c r="B79" s="1546">
        <v>472</v>
      </c>
      <c r="C79" s="1394"/>
      <c r="D79" s="1560"/>
      <c r="E79" s="1546" t="s">
        <v>662</v>
      </c>
      <c r="F79" s="1452" t="s">
        <v>441</v>
      </c>
      <c r="G79" s="28">
        <v>539077</v>
      </c>
      <c r="H79" s="4" t="s">
        <v>335</v>
      </c>
      <c r="I79" s="736" t="s">
        <v>168</v>
      </c>
      <c r="J79" s="743" t="s">
        <v>205</v>
      </c>
      <c r="K79" s="1546" t="s">
        <v>15406</v>
      </c>
      <c r="L79" s="1546" t="s">
        <v>15407</v>
      </c>
      <c r="M79" s="736" t="s">
        <v>663</v>
      </c>
      <c r="N79" s="736" t="s">
        <v>664</v>
      </c>
      <c r="O79" s="749" t="s">
        <v>43</v>
      </c>
      <c r="P79" s="1550" t="s">
        <v>665</v>
      </c>
      <c r="Q79" s="749" t="s">
        <v>43</v>
      </c>
      <c r="R79" s="748" t="s">
        <v>68</v>
      </c>
      <c r="S79" s="749" t="s">
        <v>43</v>
      </c>
      <c r="T79" s="749" t="s">
        <v>43</v>
      </c>
      <c r="U79" s="749" t="s">
        <v>43</v>
      </c>
      <c r="V79" s="749" t="s">
        <v>43</v>
      </c>
      <c r="W79" s="749" t="s">
        <v>43</v>
      </c>
      <c r="X79" s="736" t="s">
        <v>170</v>
      </c>
      <c r="Y79" s="1452" t="s">
        <v>202</v>
      </c>
      <c r="Z79" s="1452" t="s">
        <v>65</v>
      </c>
      <c r="AA79" s="320">
        <v>4480000</v>
      </c>
    </row>
    <row r="80" spans="1:27" s="27" customFormat="1" ht="15.75" customHeight="1">
      <c r="A80" s="1452"/>
      <c r="B80" s="1546"/>
      <c r="C80" s="1394"/>
      <c r="D80" s="1560"/>
      <c r="E80" s="1546"/>
      <c r="F80" s="1452"/>
      <c r="G80" s="28">
        <v>591837</v>
      </c>
      <c r="H80" s="30" t="s">
        <v>195</v>
      </c>
      <c r="I80" s="736" t="s">
        <v>168</v>
      </c>
      <c r="J80" s="743" t="s">
        <v>199</v>
      </c>
      <c r="K80" s="1546"/>
      <c r="L80" s="1546"/>
      <c r="M80" s="741" t="s">
        <v>666</v>
      </c>
      <c r="N80" s="736" t="s">
        <v>1019</v>
      </c>
      <c r="O80" s="749" t="s">
        <v>43</v>
      </c>
      <c r="P80" s="1550"/>
      <c r="Q80" s="749" t="s">
        <v>43</v>
      </c>
      <c r="R80" s="748" t="s">
        <v>255</v>
      </c>
      <c r="S80" s="749" t="s">
        <v>43</v>
      </c>
      <c r="T80" s="749" t="s">
        <v>43</v>
      </c>
      <c r="U80" s="749" t="s">
        <v>43</v>
      </c>
      <c r="V80" s="749" t="s">
        <v>43</v>
      </c>
      <c r="W80" s="749" t="s">
        <v>43</v>
      </c>
      <c r="X80" s="736" t="s">
        <v>170</v>
      </c>
      <c r="Y80" s="1452"/>
      <c r="Z80" s="1452"/>
      <c r="AA80" s="320">
        <v>20800000</v>
      </c>
    </row>
    <row r="81" spans="1:27" s="27" customFormat="1" ht="15.75" customHeight="1">
      <c r="A81" s="1452">
        <v>37</v>
      </c>
      <c r="B81" s="1546">
        <v>473</v>
      </c>
      <c r="C81" s="1394"/>
      <c r="D81" s="1560"/>
      <c r="E81" s="1546" t="s">
        <v>667</v>
      </c>
      <c r="F81" s="1452" t="s">
        <v>475</v>
      </c>
      <c r="G81" s="28">
        <v>555191</v>
      </c>
      <c r="H81" s="4" t="s">
        <v>335</v>
      </c>
      <c r="I81" s="736" t="s">
        <v>668</v>
      </c>
      <c r="J81" s="743" t="s">
        <v>199</v>
      </c>
      <c r="K81" s="1546" t="s">
        <v>15408</v>
      </c>
      <c r="L81" s="1546" t="s">
        <v>15409</v>
      </c>
      <c r="M81" s="736" t="s">
        <v>669</v>
      </c>
      <c r="N81" s="736" t="s">
        <v>670</v>
      </c>
      <c r="O81" s="749" t="s">
        <v>43</v>
      </c>
      <c r="P81" s="1550" t="s">
        <v>671</v>
      </c>
      <c r="Q81" s="749" t="s">
        <v>43</v>
      </c>
      <c r="R81" s="748" t="s">
        <v>672</v>
      </c>
      <c r="S81" s="749" t="s">
        <v>43</v>
      </c>
      <c r="T81" s="50" t="s">
        <v>43</v>
      </c>
      <c r="U81" s="749" t="s">
        <v>43</v>
      </c>
      <c r="V81" s="749" t="s">
        <v>43</v>
      </c>
      <c r="W81" s="748" t="s">
        <v>673</v>
      </c>
      <c r="X81" s="736" t="s">
        <v>450</v>
      </c>
      <c r="Y81" s="1452" t="s">
        <v>202</v>
      </c>
      <c r="Z81" s="1452" t="s">
        <v>65</v>
      </c>
      <c r="AA81" s="320">
        <v>8960000</v>
      </c>
    </row>
    <row r="82" spans="1:27" s="27" customFormat="1" ht="15.75" customHeight="1">
      <c r="A82" s="1452"/>
      <c r="B82" s="1546"/>
      <c r="C82" s="1394"/>
      <c r="D82" s="1560"/>
      <c r="E82" s="1546"/>
      <c r="F82" s="1452"/>
      <c r="G82" s="28">
        <v>591838</v>
      </c>
      <c r="H82" s="30" t="s">
        <v>195</v>
      </c>
      <c r="I82" s="736" t="s">
        <v>668</v>
      </c>
      <c r="J82" s="743" t="s">
        <v>199</v>
      </c>
      <c r="K82" s="1546"/>
      <c r="L82" s="1546"/>
      <c r="M82" s="741" t="s">
        <v>674</v>
      </c>
      <c r="N82" s="736" t="s">
        <v>1020</v>
      </c>
      <c r="O82" s="749" t="s">
        <v>43</v>
      </c>
      <c r="P82" s="1550"/>
      <c r="Q82" s="749" t="s">
        <v>43</v>
      </c>
      <c r="R82" s="748" t="s">
        <v>675</v>
      </c>
      <c r="S82" s="749" t="s">
        <v>43</v>
      </c>
      <c r="T82" s="749" t="s">
        <v>43</v>
      </c>
      <c r="U82" s="749" t="s">
        <v>43</v>
      </c>
      <c r="V82" s="749" t="s">
        <v>43</v>
      </c>
      <c r="W82" s="748" t="s">
        <v>676</v>
      </c>
      <c r="X82" s="736" t="s">
        <v>450</v>
      </c>
      <c r="Y82" s="1452"/>
      <c r="Z82" s="1452"/>
      <c r="AA82" s="320">
        <v>20800000</v>
      </c>
    </row>
    <row r="83" spans="1:27" s="27" customFormat="1" ht="15.75" customHeight="1">
      <c r="A83" s="1452">
        <v>38</v>
      </c>
      <c r="B83" s="1546">
        <v>478</v>
      </c>
      <c r="C83" s="1394"/>
      <c r="D83" s="1560"/>
      <c r="E83" s="1546" t="s">
        <v>677</v>
      </c>
      <c r="F83" s="1452" t="s">
        <v>480</v>
      </c>
      <c r="G83" s="28">
        <v>540626</v>
      </c>
      <c r="H83" s="4" t="s">
        <v>335</v>
      </c>
      <c r="I83" s="736" t="s">
        <v>168</v>
      </c>
      <c r="J83" s="743" t="s">
        <v>205</v>
      </c>
      <c r="K83" s="1546" t="s">
        <v>15410</v>
      </c>
      <c r="L83" s="1546" t="s">
        <v>15411</v>
      </c>
      <c r="M83" s="736" t="s">
        <v>678</v>
      </c>
      <c r="N83" s="736" t="s">
        <v>679</v>
      </c>
      <c r="O83" s="749" t="s">
        <v>43</v>
      </c>
      <c r="P83" s="1550" t="s">
        <v>680</v>
      </c>
      <c r="Q83" s="749" t="s">
        <v>43</v>
      </c>
      <c r="R83" s="748" t="s">
        <v>68</v>
      </c>
      <c r="S83" s="749" t="s">
        <v>43</v>
      </c>
      <c r="T83" s="749" t="s">
        <v>43</v>
      </c>
      <c r="U83" s="749" t="s">
        <v>43</v>
      </c>
      <c r="V83" s="749" t="s">
        <v>43</v>
      </c>
      <c r="W83" s="749" t="s">
        <v>43</v>
      </c>
      <c r="X83" s="736" t="s">
        <v>170</v>
      </c>
      <c r="Y83" s="1452" t="s">
        <v>202</v>
      </c>
      <c r="Z83" s="1452" t="s">
        <v>65</v>
      </c>
      <c r="AA83" s="320">
        <v>4480000</v>
      </c>
    </row>
    <row r="84" spans="1:27" s="27" customFormat="1" ht="15.75" customHeight="1">
      <c r="A84" s="1452"/>
      <c r="B84" s="1546"/>
      <c r="C84" s="1394"/>
      <c r="D84" s="1560"/>
      <c r="E84" s="1546"/>
      <c r="F84" s="1452"/>
      <c r="G84" s="28">
        <v>607096</v>
      </c>
      <c r="H84" s="30" t="s">
        <v>195</v>
      </c>
      <c r="I84" s="736" t="s">
        <v>168</v>
      </c>
      <c r="J84" s="743" t="s">
        <v>199</v>
      </c>
      <c r="K84" s="1546"/>
      <c r="L84" s="1546"/>
      <c r="M84" s="741" t="s">
        <v>681</v>
      </c>
      <c r="N84" s="736" t="s">
        <v>1021</v>
      </c>
      <c r="O84" s="749" t="s">
        <v>43</v>
      </c>
      <c r="P84" s="1550"/>
      <c r="Q84" s="749" t="s">
        <v>43</v>
      </c>
      <c r="R84" s="748" t="s">
        <v>255</v>
      </c>
      <c r="S84" s="749" t="s">
        <v>43</v>
      </c>
      <c r="T84" s="749" t="s">
        <v>43</v>
      </c>
      <c r="U84" s="749" t="s">
        <v>43</v>
      </c>
      <c r="V84" s="749" t="s">
        <v>43</v>
      </c>
      <c r="W84" s="748" t="s">
        <v>504</v>
      </c>
      <c r="X84" s="736" t="s">
        <v>170</v>
      </c>
      <c r="Y84" s="1452"/>
      <c r="Z84" s="1452"/>
      <c r="AA84" s="320">
        <v>20800000</v>
      </c>
    </row>
    <row r="85" spans="1:27" s="27" customFormat="1" ht="15.75" customHeight="1">
      <c r="A85" s="1452">
        <v>39</v>
      </c>
      <c r="B85" s="1546">
        <v>481</v>
      </c>
      <c r="C85" s="1394"/>
      <c r="D85" s="1560"/>
      <c r="E85" s="1546" t="s">
        <v>682</v>
      </c>
      <c r="F85" s="1452" t="s">
        <v>441</v>
      </c>
      <c r="G85" s="28">
        <v>542205</v>
      </c>
      <c r="H85" s="4" t="s">
        <v>335</v>
      </c>
      <c r="I85" s="736" t="s">
        <v>168</v>
      </c>
      <c r="J85" s="743" t="s">
        <v>205</v>
      </c>
      <c r="K85" s="1546" t="s">
        <v>15401</v>
      </c>
      <c r="L85" s="1546" t="s">
        <v>15402</v>
      </c>
      <c r="M85" s="736" t="s">
        <v>683</v>
      </c>
      <c r="N85" s="736" t="s">
        <v>684</v>
      </c>
      <c r="O85" s="749" t="s">
        <v>43</v>
      </c>
      <c r="P85" s="1550" t="s">
        <v>685</v>
      </c>
      <c r="Q85" s="749" t="s">
        <v>43</v>
      </c>
      <c r="R85" s="748" t="s">
        <v>68</v>
      </c>
      <c r="S85" s="749" t="s">
        <v>43</v>
      </c>
      <c r="T85" s="749" t="s">
        <v>43</v>
      </c>
      <c r="U85" s="749" t="s">
        <v>43</v>
      </c>
      <c r="V85" s="749" t="s">
        <v>43</v>
      </c>
      <c r="W85" s="749" t="s">
        <v>43</v>
      </c>
      <c r="X85" s="736" t="s">
        <v>170</v>
      </c>
      <c r="Y85" s="1452" t="s">
        <v>202</v>
      </c>
      <c r="Z85" s="1452" t="s">
        <v>65</v>
      </c>
      <c r="AA85" s="320">
        <v>4480000</v>
      </c>
    </row>
    <row r="86" spans="1:27" s="27" customFormat="1" ht="15.75" customHeight="1">
      <c r="A86" s="1452"/>
      <c r="B86" s="1546"/>
      <c r="C86" s="1394"/>
      <c r="D86" s="1560"/>
      <c r="E86" s="1546"/>
      <c r="F86" s="1452"/>
      <c r="G86" s="28">
        <v>607097</v>
      </c>
      <c r="H86" s="30" t="s">
        <v>195</v>
      </c>
      <c r="I86" s="736" t="s">
        <v>168</v>
      </c>
      <c r="J86" s="743" t="s">
        <v>199</v>
      </c>
      <c r="K86" s="1546"/>
      <c r="L86" s="1546"/>
      <c r="M86" s="741" t="s">
        <v>686</v>
      </c>
      <c r="N86" s="736" t="s">
        <v>1022</v>
      </c>
      <c r="O86" s="749" t="s">
        <v>43</v>
      </c>
      <c r="P86" s="1550"/>
      <c r="Q86" s="749" t="s">
        <v>43</v>
      </c>
      <c r="R86" s="748" t="s">
        <v>255</v>
      </c>
      <c r="S86" s="749" t="s">
        <v>43</v>
      </c>
      <c r="T86" s="749" t="s">
        <v>43</v>
      </c>
      <c r="U86" s="749" t="s">
        <v>43</v>
      </c>
      <c r="V86" s="749" t="s">
        <v>43</v>
      </c>
      <c r="W86" s="748" t="s">
        <v>611</v>
      </c>
      <c r="X86" s="736" t="s">
        <v>170</v>
      </c>
      <c r="Y86" s="1452"/>
      <c r="Z86" s="1452"/>
      <c r="AA86" s="320">
        <v>20800000</v>
      </c>
    </row>
    <row r="87" spans="1:27" s="27" customFormat="1" ht="15.75" customHeight="1">
      <c r="A87" s="1452">
        <v>40</v>
      </c>
      <c r="B87" s="1546">
        <v>483</v>
      </c>
      <c r="C87" s="1394"/>
      <c r="D87" s="1560"/>
      <c r="E87" s="1546" t="s">
        <v>687</v>
      </c>
      <c r="F87" s="1452" t="s">
        <v>480</v>
      </c>
      <c r="G87" s="28">
        <v>542282</v>
      </c>
      <c r="H87" s="4" t="s">
        <v>335</v>
      </c>
      <c r="I87" s="736" t="s">
        <v>168</v>
      </c>
      <c r="J87" s="743" t="s">
        <v>205</v>
      </c>
      <c r="K87" s="1546" t="s">
        <v>15399</v>
      </c>
      <c r="L87" s="1546" t="s">
        <v>15400</v>
      </c>
      <c r="M87" s="741" t="s">
        <v>688</v>
      </c>
      <c r="N87" s="741" t="s">
        <v>689</v>
      </c>
      <c r="O87" s="749" t="s">
        <v>43</v>
      </c>
      <c r="P87" s="1550" t="s">
        <v>690</v>
      </c>
      <c r="Q87" s="749" t="s">
        <v>43</v>
      </c>
      <c r="R87" s="748" t="s">
        <v>68</v>
      </c>
      <c r="S87" s="749" t="s">
        <v>43</v>
      </c>
      <c r="T87" s="749" t="s">
        <v>43</v>
      </c>
      <c r="U87" s="749" t="s">
        <v>43</v>
      </c>
      <c r="V87" s="749" t="s">
        <v>43</v>
      </c>
      <c r="W87" s="749" t="s">
        <v>43</v>
      </c>
      <c r="X87" s="736" t="s">
        <v>170</v>
      </c>
      <c r="Y87" s="1452" t="s">
        <v>202</v>
      </c>
      <c r="Z87" s="1452" t="s">
        <v>65</v>
      </c>
      <c r="AA87" s="320">
        <v>4480000</v>
      </c>
    </row>
    <row r="88" spans="1:27" s="27" customFormat="1" ht="15.75" customHeight="1">
      <c r="A88" s="1452"/>
      <c r="B88" s="1546"/>
      <c r="C88" s="1394"/>
      <c r="D88" s="1560"/>
      <c r="E88" s="1546"/>
      <c r="F88" s="1452"/>
      <c r="G88" s="28">
        <v>607098</v>
      </c>
      <c r="H88" s="30" t="s">
        <v>195</v>
      </c>
      <c r="I88" s="736" t="s">
        <v>168</v>
      </c>
      <c r="J88" s="743" t="s">
        <v>199</v>
      </c>
      <c r="K88" s="1546"/>
      <c r="L88" s="1546"/>
      <c r="M88" s="741" t="s">
        <v>691</v>
      </c>
      <c r="N88" s="736" t="s">
        <v>1023</v>
      </c>
      <c r="O88" s="749" t="s">
        <v>43</v>
      </c>
      <c r="P88" s="1550"/>
      <c r="Q88" s="749" t="s">
        <v>43</v>
      </c>
      <c r="R88" s="748" t="s">
        <v>255</v>
      </c>
      <c r="S88" s="749" t="s">
        <v>43</v>
      </c>
      <c r="T88" s="749" t="s">
        <v>43</v>
      </c>
      <c r="U88" s="749" t="s">
        <v>43</v>
      </c>
      <c r="V88" s="749" t="s">
        <v>43</v>
      </c>
      <c r="W88" s="748" t="s">
        <v>504</v>
      </c>
      <c r="X88" s="736" t="s">
        <v>170</v>
      </c>
      <c r="Y88" s="1452"/>
      <c r="Z88" s="1452"/>
      <c r="AA88" s="320">
        <v>20800000</v>
      </c>
    </row>
    <row r="89" spans="1:27" s="27" customFormat="1" ht="15.75" customHeight="1">
      <c r="A89" s="1452">
        <v>41</v>
      </c>
      <c r="B89" s="1546">
        <v>485</v>
      </c>
      <c r="C89" s="1394"/>
      <c r="D89" s="1560"/>
      <c r="E89" s="1546" t="s">
        <v>692</v>
      </c>
      <c r="F89" s="1452" t="s">
        <v>425</v>
      </c>
      <c r="G89" s="28" t="s">
        <v>693</v>
      </c>
      <c r="H89" s="4" t="s">
        <v>335</v>
      </c>
      <c r="I89" s="736" t="s">
        <v>168</v>
      </c>
      <c r="J89" s="743" t="s">
        <v>205</v>
      </c>
      <c r="K89" s="1546" t="s">
        <v>15397</v>
      </c>
      <c r="L89" s="1546" t="s">
        <v>15398</v>
      </c>
      <c r="M89" s="736" t="s">
        <v>694</v>
      </c>
      <c r="N89" s="736" t="s">
        <v>695</v>
      </c>
      <c r="O89" s="749" t="s">
        <v>43</v>
      </c>
      <c r="P89" s="1550" t="s">
        <v>696</v>
      </c>
      <c r="Q89" s="749" t="s">
        <v>43</v>
      </c>
      <c r="R89" s="748" t="s">
        <v>68</v>
      </c>
      <c r="S89" s="749" t="s">
        <v>43</v>
      </c>
      <c r="T89" s="749" t="s">
        <v>43</v>
      </c>
      <c r="U89" s="749" t="s">
        <v>43</v>
      </c>
      <c r="V89" s="749" t="s">
        <v>43</v>
      </c>
      <c r="W89" s="749" t="s">
        <v>43</v>
      </c>
      <c r="X89" s="736" t="s">
        <v>170</v>
      </c>
      <c r="Y89" s="1452" t="s">
        <v>202</v>
      </c>
      <c r="Z89" s="1452" t="s">
        <v>65</v>
      </c>
      <c r="AA89" s="320">
        <v>4480000</v>
      </c>
    </row>
    <row r="90" spans="1:27" s="27" customFormat="1" ht="15.75" customHeight="1">
      <c r="A90" s="1452"/>
      <c r="B90" s="1546"/>
      <c r="C90" s="1394"/>
      <c r="D90" s="1560"/>
      <c r="E90" s="1546"/>
      <c r="F90" s="1452"/>
      <c r="G90" s="28" t="s">
        <v>697</v>
      </c>
      <c r="H90" s="30" t="s">
        <v>195</v>
      </c>
      <c r="I90" s="736" t="s">
        <v>168</v>
      </c>
      <c r="J90" s="743" t="s">
        <v>199</v>
      </c>
      <c r="K90" s="1546"/>
      <c r="L90" s="1546"/>
      <c r="M90" s="741" t="s">
        <v>698</v>
      </c>
      <c r="N90" s="736" t="s">
        <v>1024</v>
      </c>
      <c r="O90" s="749" t="s">
        <v>43</v>
      </c>
      <c r="P90" s="1550"/>
      <c r="Q90" s="749" t="s">
        <v>43</v>
      </c>
      <c r="R90" s="748" t="s">
        <v>255</v>
      </c>
      <c r="S90" s="749" t="s">
        <v>43</v>
      </c>
      <c r="T90" s="749" t="s">
        <v>43</v>
      </c>
      <c r="U90" s="749" t="s">
        <v>43</v>
      </c>
      <c r="V90" s="749" t="s">
        <v>43</v>
      </c>
      <c r="W90" s="748" t="s">
        <v>647</v>
      </c>
      <c r="X90" s="736" t="s">
        <v>170</v>
      </c>
      <c r="Y90" s="1452"/>
      <c r="Z90" s="1452"/>
      <c r="AA90" s="320">
        <v>20800000</v>
      </c>
    </row>
    <row r="91" spans="1:27" s="27" customFormat="1" ht="15.75" customHeight="1">
      <c r="A91" s="1452">
        <v>42</v>
      </c>
      <c r="B91" s="1546">
        <v>486</v>
      </c>
      <c r="C91" s="1394"/>
      <c r="D91" s="1560"/>
      <c r="E91" s="1546" t="s">
        <v>699</v>
      </c>
      <c r="F91" s="1452" t="s">
        <v>480</v>
      </c>
      <c r="G91" s="28">
        <v>544950</v>
      </c>
      <c r="H91" s="4" t="s">
        <v>335</v>
      </c>
      <c r="I91" s="736" t="s">
        <v>168</v>
      </c>
      <c r="J91" s="743" t="s">
        <v>205</v>
      </c>
      <c r="K91" s="1546" t="s">
        <v>15395</v>
      </c>
      <c r="L91" s="1546" t="s">
        <v>15396</v>
      </c>
      <c r="M91" s="736" t="s">
        <v>700</v>
      </c>
      <c r="N91" s="736" t="s">
        <v>701</v>
      </c>
      <c r="O91" s="749" t="s">
        <v>43</v>
      </c>
      <c r="P91" s="1550" t="s">
        <v>702</v>
      </c>
      <c r="Q91" s="749" t="s">
        <v>43</v>
      </c>
      <c r="R91" s="748" t="s">
        <v>68</v>
      </c>
      <c r="S91" s="749" t="s">
        <v>43</v>
      </c>
      <c r="T91" s="749" t="s">
        <v>43</v>
      </c>
      <c r="U91" s="749" t="s">
        <v>43</v>
      </c>
      <c r="V91" s="749" t="s">
        <v>43</v>
      </c>
      <c r="W91" s="749" t="s">
        <v>43</v>
      </c>
      <c r="X91" s="736" t="s">
        <v>170</v>
      </c>
      <c r="Y91" s="1452" t="s">
        <v>202</v>
      </c>
      <c r="Z91" s="1452" t="s">
        <v>65</v>
      </c>
      <c r="AA91" s="320">
        <v>4480000</v>
      </c>
    </row>
    <row r="92" spans="1:27" s="27" customFormat="1" ht="15.75" customHeight="1">
      <c r="A92" s="1452"/>
      <c r="B92" s="1546"/>
      <c r="C92" s="1394"/>
      <c r="D92" s="1560"/>
      <c r="E92" s="1546"/>
      <c r="F92" s="1452"/>
      <c r="G92" s="28">
        <v>607101</v>
      </c>
      <c r="H92" s="30" t="s">
        <v>195</v>
      </c>
      <c r="I92" s="736" t="s">
        <v>168</v>
      </c>
      <c r="J92" s="743" t="s">
        <v>199</v>
      </c>
      <c r="K92" s="1546"/>
      <c r="L92" s="1546"/>
      <c r="M92" s="741" t="s">
        <v>703</v>
      </c>
      <c r="N92" s="736" t="s">
        <v>1025</v>
      </c>
      <c r="O92" s="749" t="s">
        <v>43</v>
      </c>
      <c r="P92" s="1550"/>
      <c r="Q92" s="749" t="s">
        <v>43</v>
      </c>
      <c r="R92" s="748" t="s">
        <v>255</v>
      </c>
      <c r="S92" s="749" t="s">
        <v>43</v>
      </c>
      <c r="T92" s="749" t="s">
        <v>43</v>
      </c>
      <c r="U92" s="749" t="s">
        <v>43</v>
      </c>
      <c r="V92" s="749" t="s">
        <v>43</v>
      </c>
      <c r="W92" s="748" t="s">
        <v>504</v>
      </c>
      <c r="X92" s="736" t="s">
        <v>170</v>
      </c>
      <c r="Y92" s="1452"/>
      <c r="Z92" s="1452"/>
      <c r="AA92" s="320">
        <v>20800000</v>
      </c>
    </row>
    <row r="93" spans="1:27" s="27" customFormat="1" ht="17.25" customHeight="1">
      <c r="A93" s="1452">
        <v>43</v>
      </c>
      <c r="B93" s="1546">
        <v>487</v>
      </c>
      <c r="C93" s="1394"/>
      <c r="D93" s="1560"/>
      <c r="E93" s="1546" t="s">
        <v>704</v>
      </c>
      <c r="F93" s="1452" t="s">
        <v>425</v>
      </c>
      <c r="G93" s="28">
        <v>543973</v>
      </c>
      <c r="H93" s="4" t="s">
        <v>335</v>
      </c>
      <c r="I93" s="736" t="s">
        <v>168</v>
      </c>
      <c r="J93" s="743" t="s">
        <v>205</v>
      </c>
      <c r="K93" s="1546" t="s">
        <v>15393</v>
      </c>
      <c r="L93" s="1546" t="s">
        <v>15394</v>
      </c>
      <c r="M93" s="736" t="s">
        <v>705</v>
      </c>
      <c r="N93" s="736" t="s">
        <v>706</v>
      </c>
      <c r="O93" s="749" t="s">
        <v>43</v>
      </c>
      <c r="P93" s="1550" t="s">
        <v>707</v>
      </c>
      <c r="Q93" s="749" t="s">
        <v>43</v>
      </c>
      <c r="R93" s="748" t="s">
        <v>68</v>
      </c>
      <c r="S93" s="749" t="s">
        <v>43</v>
      </c>
      <c r="T93" s="749" t="s">
        <v>43</v>
      </c>
      <c r="U93" s="749" t="s">
        <v>43</v>
      </c>
      <c r="V93" s="749" t="s">
        <v>43</v>
      </c>
      <c r="W93" s="749" t="s">
        <v>43</v>
      </c>
      <c r="X93" s="736" t="s">
        <v>170</v>
      </c>
      <c r="Y93" s="1452" t="s">
        <v>202</v>
      </c>
      <c r="Z93" s="1452" t="s">
        <v>65</v>
      </c>
      <c r="AA93" s="320">
        <v>4480000</v>
      </c>
    </row>
    <row r="94" spans="1:27" s="27" customFormat="1" ht="15.75" customHeight="1">
      <c r="A94" s="1452"/>
      <c r="B94" s="1546"/>
      <c r="C94" s="1394"/>
      <c r="D94" s="1560"/>
      <c r="E94" s="1546"/>
      <c r="F94" s="1452"/>
      <c r="G94" s="28">
        <v>607103</v>
      </c>
      <c r="H94" s="30" t="s">
        <v>195</v>
      </c>
      <c r="I94" s="736" t="s">
        <v>168</v>
      </c>
      <c r="J94" s="743" t="s">
        <v>199</v>
      </c>
      <c r="K94" s="1546"/>
      <c r="L94" s="1546"/>
      <c r="M94" s="741" t="s">
        <v>708</v>
      </c>
      <c r="N94" s="736" t="s">
        <v>1026</v>
      </c>
      <c r="O94" s="749" t="s">
        <v>43</v>
      </c>
      <c r="P94" s="1550"/>
      <c r="Q94" s="749" t="s">
        <v>43</v>
      </c>
      <c r="R94" s="748" t="s">
        <v>255</v>
      </c>
      <c r="S94" s="749" t="s">
        <v>43</v>
      </c>
      <c r="T94" s="749" t="s">
        <v>43</v>
      </c>
      <c r="U94" s="749" t="s">
        <v>43</v>
      </c>
      <c r="V94" s="749" t="s">
        <v>43</v>
      </c>
      <c r="W94" s="748" t="s">
        <v>611</v>
      </c>
      <c r="X94" s="736" t="s">
        <v>170</v>
      </c>
      <c r="Y94" s="1452"/>
      <c r="Z94" s="1452"/>
      <c r="AA94" s="320">
        <v>20800000</v>
      </c>
    </row>
    <row r="95" spans="1:27" s="27" customFormat="1" ht="15.75" customHeight="1">
      <c r="A95" s="1452">
        <v>44</v>
      </c>
      <c r="B95" s="1546">
        <v>489</v>
      </c>
      <c r="C95" s="1394"/>
      <c r="D95" s="1560"/>
      <c r="E95" s="1546" t="s">
        <v>709</v>
      </c>
      <c r="F95" s="1452" t="s">
        <v>441</v>
      </c>
      <c r="G95" s="28">
        <v>544870</v>
      </c>
      <c r="H95" s="4" t="s">
        <v>335</v>
      </c>
      <c r="I95" s="736" t="s">
        <v>108</v>
      </c>
      <c r="J95" s="743" t="s">
        <v>205</v>
      </c>
      <c r="K95" s="1546" t="s">
        <v>15387</v>
      </c>
      <c r="L95" s="1546" t="s">
        <v>15388</v>
      </c>
      <c r="M95" s="736" t="s">
        <v>710</v>
      </c>
      <c r="N95" s="736" t="s">
        <v>711</v>
      </c>
      <c r="O95" s="749" t="s">
        <v>43</v>
      </c>
      <c r="P95" s="1550" t="s">
        <v>712</v>
      </c>
      <c r="Q95" s="749" t="s">
        <v>43</v>
      </c>
      <c r="R95" s="748" t="s">
        <v>315</v>
      </c>
      <c r="S95" s="748" t="s">
        <v>438</v>
      </c>
      <c r="T95" s="749" t="s">
        <v>43</v>
      </c>
      <c r="U95" s="749" t="s">
        <v>43</v>
      </c>
      <c r="V95" s="749" t="s">
        <v>43</v>
      </c>
      <c r="W95" s="749" t="s">
        <v>43</v>
      </c>
      <c r="X95" s="736" t="s">
        <v>299</v>
      </c>
      <c r="Y95" s="1452" t="s">
        <v>202</v>
      </c>
      <c r="Z95" s="1452" t="s">
        <v>65</v>
      </c>
      <c r="AA95" s="320">
        <v>4480000</v>
      </c>
    </row>
    <row r="96" spans="1:27" s="27" customFormat="1" ht="15.75" customHeight="1">
      <c r="A96" s="1452"/>
      <c r="B96" s="1546"/>
      <c r="C96" s="1394"/>
      <c r="D96" s="1560"/>
      <c r="E96" s="1546"/>
      <c r="F96" s="1452"/>
      <c r="G96" s="28">
        <v>607104</v>
      </c>
      <c r="H96" s="30" t="s">
        <v>195</v>
      </c>
      <c r="I96" s="736" t="s">
        <v>168</v>
      </c>
      <c r="J96" s="743" t="s">
        <v>199</v>
      </c>
      <c r="K96" s="1546"/>
      <c r="L96" s="1546"/>
      <c r="M96" s="741" t="s">
        <v>713</v>
      </c>
      <c r="N96" s="736" t="s">
        <v>1027</v>
      </c>
      <c r="O96" s="749" t="s">
        <v>43</v>
      </c>
      <c r="P96" s="1550"/>
      <c r="Q96" s="749" t="s">
        <v>43</v>
      </c>
      <c r="R96" s="748" t="s">
        <v>68</v>
      </c>
      <c r="S96" s="749" t="s">
        <v>43</v>
      </c>
      <c r="T96" s="749" t="s">
        <v>43</v>
      </c>
      <c r="U96" s="749" t="s">
        <v>43</v>
      </c>
      <c r="V96" s="749" t="s">
        <v>43</v>
      </c>
      <c r="W96" s="749" t="s">
        <v>43</v>
      </c>
      <c r="X96" s="736" t="s">
        <v>170</v>
      </c>
      <c r="Y96" s="1452"/>
      <c r="Z96" s="1452"/>
      <c r="AA96" s="320">
        <v>20800000</v>
      </c>
    </row>
    <row r="97" spans="1:27" s="27" customFormat="1" ht="15.75" customHeight="1">
      <c r="A97" s="1452">
        <v>45</v>
      </c>
      <c r="B97" s="1546">
        <v>490</v>
      </c>
      <c r="C97" s="1394"/>
      <c r="D97" s="1560"/>
      <c r="E97" s="1546" t="s">
        <v>714</v>
      </c>
      <c r="F97" s="1452" t="s">
        <v>480</v>
      </c>
      <c r="G97" s="28">
        <v>545146</v>
      </c>
      <c r="H97" s="4" t="s">
        <v>335</v>
      </c>
      <c r="I97" s="736" t="s">
        <v>168</v>
      </c>
      <c r="J97" s="743" t="s">
        <v>199</v>
      </c>
      <c r="K97" s="1546" t="s">
        <v>15389</v>
      </c>
      <c r="L97" s="1546" t="s">
        <v>15390</v>
      </c>
      <c r="M97" s="741" t="s">
        <v>715</v>
      </c>
      <c r="N97" s="741" t="s">
        <v>716</v>
      </c>
      <c r="O97" s="749" t="s">
        <v>43</v>
      </c>
      <c r="P97" s="1550" t="s">
        <v>717</v>
      </c>
      <c r="Q97" s="749" t="s">
        <v>43</v>
      </c>
      <c r="R97" s="748" t="s">
        <v>68</v>
      </c>
      <c r="S97" s="749" t="s">
        <v>43</v>
      </c>
      <c r="T97" s="749" t="s">
        <v>43</v>
      </c>
      <c r="U97" s="749" t="s">
        <v>43</v>
      </c>
      <c r="V97" s="749" t="s">
        <v>43</v>
      </c>
      <c r="W97" s="749" t="s">
        <v>43</v>
      </c>
      <c r="X97" s="736" t="s">
        <v>170</v>
      </c>
      <c r="Y97" s="1452" t="s">
        <v>202</v>
      </c>
      <c r="Z97" s="1452" t="s">
        <v>65</v>
      </c>
      <c r="AA97" s="320">
        <v>8960000</v>
      </c>
    </row>
    <row r="98" spans="1:27" s="27" customFormat="1" ht="15.75" customHeight="1">
      <c r="A98" s="1452"/>
      <c r="B98" s="1546"/>
      <c r="C98" s="1394"/>
      <c r="D98" s="1560"/>
      <c r="E98" s="1546"/>
      <c r="F98" s="1452"/>
      <c r="G98" s="28">
        <v>607108</v>
      </c>
      <c r="H98" s="30" t="s">
        <v>195</v>
      </c>
      <c r="I98" s="736" t="s">
        <v>168</v>
      </c>
      <c r="J98" s="743" t="s">
        <v>199</v>
      </c>
      <c r="K98" s="1546"/>
      <c r="L98" s="1546"/>
      <c r="M98" s="741" t="s">
        <v>718</v>
      </c>
      <c r="N98" s="736" t="s">
        <v>1028</v>
      </c>
      <c r="O98" s="749" t="s">
        <v>43</v>
      </c>
      <c r="P98" s="1550"/>
      <c r="Q98" s="749" t="s">
        <v>43</v>
      </c>
      <c r="R98" s="748" t="s">
        <v>255</v>
      </c>
      <c r="S98" s="749" t="s">
        <v>43</v>
      </c>
      <c r="T98" s="749" t="s">
        <v>43</v>
      </c>
      <c r="U98" s="749" t="s">
        <v>43</v>
      </c>
      <c r="V98" s="749" t="s">
        <v>43</v>
      </c>
      <c r="W98" s="748" t="s">
        <v>504</v>
      </c>
      <c r="X98" s="736" t="s">
        <v>170</v>
      </c>
      <c r="Y98" s="1452"/>
      <c r="Z98" s="1452"/>
      <c r="AA98" s="320">
        <v>20800000</v>
      </c>
    </row>
    <row r="99" spans="1:27" s="27" customFormat="1" ht="15.75" customHeight="1">
      <c r="A99" s="1452">
        <v>46</v>
      </c>
      <c r="B99" s="1546">
        <v>493</v>
      </c>
      <c r="C99" s="1394"/>
      <c r="D99" s="1560"/>
      <c r="E99" s="1555" t="s">
        <v>719</v>
      </c>
      <c r="F99" s="1452" t="s">
        <v>475</v>
      </c>
      <c r="G99" s="28">
        <v>546699</v>
      </c>
      <c r="H99" s="4" t="s">
        <v>335</v>
      </c>
      <c r="I99" s="736" t="s">
        <v>108</v>
      </c>
      <c r="J99" s="743" t="s">
        <v>204</v>
      </c>
      <c r="K99" s="1559" t="s">
        <v>15231</v>
      </c>
      <c r="L99" s="1546" t="s">
        <v>15232</v>
      </c>
      <c r="M99" s="736" t="s">
        <v>720</v>
      </c>
      <c r="N99" s="736" t="s">
        <v>721</v>
      </c>
      <c r="O99" s="749" t="s">
        <v>43</v>
      </c>
      <c r="P99" s="1550" t="s">
        <v>722</v>
      </c>
      <c r="Q99" s="749" t="s">
        <v>43</v>
      </c>
      <c r="R99" s="748" t="s">
        <v>315</v>
      </c>
      <c r="S99" s="748" t="s">
        <v>438</v>
      </c>
      <c r="T99" s="749" t="s">
        <v>43</v>
      </c>
      <c r="U99" s="749" t="s">
        <v>43</v>
      </c>
      <c r="V99" s="749" t="s">
        <v>43</v>
      </c>
      <c r="W99" s="749" t="s">
        <v>43</v>
      </c>
      <c r="X99" s="736" t="s">
        <v>299</v>
      </c>
      <c r="Y99" s="1452" t="s">
        <v>202</v>
      </c>
      <c r="Z99" s="1452" t="s">
        <v>65</v>
      </c>
      <c r="AA99" s="320">
        <v>15600000</v>
      </c>
    </row>
    <row r="100" spans="1:27" s="27" customFormat="1" ht="15.75" customHeight="1">
      <c r="A100" s="1452"/>
      <c r="B100" s="1546"/>
      <c r="C100" s="1394"/>
      <c r="D100" s="1560"/>
      <c r="E100" s="1555"/>
      <c r="F100" s="1452"/>
      <c r="G100" s="28">
        <v>607110</v>
      </c>
      <c r="H100" s="30" t="s">
        <v>195</v>
      </c>
      <c r="I100" s="736" t="s">
        <v>168</v>
      </c>
      <c r="J100" s="743" t="s">
        <v>199</v>
      </c>
      <c r="K100" s="1559"/>
      <c r="L100" s="1546"/>
      <c r="M100" s="741" t="s">
        <v>723</v>
      </c>
      <c r="N100" s="736" t="s">
        <v>1029</v>
      </c>
      <c r="O100" s="749" t="s">
        <v>43</v>
      </c>
      <c r="P100" s="1550"/>
      <c r="Q100" s="749" t="s">
        <v>43</v>
      </c>
      <c r="R100" s="748" t="s">
        <v>68</v>
      </c>
      <c r="S100" s="749" t="s">
        <v>43</v>
      </c>
      <c r="T100" s="749" t="s">
        <v>43</v>
      </c>
      <c r="U100" s="749" t="s">
        <v>43</v>
      </c>
      <c r="V100" s="749" t="s">
        <v>43</v>
      </c>
      <c r="W100" s="749" t="s">
        <v>43</v>
      </c>
      <c r="X100" s="736" t="s">
        <v>170</v>
      </c>
      <c r="Y100" s="1452"/>
      <c r="Z100" s="1452"/>
      <c r="AA100" s="320">
        <v>20800000</v>
      </c>
    </row>
    <row r="101" spans="1:27" s="27" customFormat="1" ht="15.75" customHeight="1">
      <c r="A101" s="1452">
        <v>47</v>
      </c>
      <c r="B101" s="1546">
        <v>496</v>
      </c>
      <c r="C101" s="1394"/>
      <c r="D101" s="1560"/>
      <c r="E101" s="1546" t="s">
        <v>724</v>
      </c>
      <c r="F101" s="1452" t="s">
        <v>468</v>
      </c>
      <c r="G101" s="28">
        <v>547401</v>
      </c>
      <c r="H101" s="4" t="s">
        <v>335</v>
      </c>
      <c r="I101" s="736" t="s">
        <v>168</v>
      </c>
      <c r="J101" s="743" t="s">
        <v>205</v>
      </c>
      <c r="K101" s="1546" t="s">
        <v>15382</v>
      </c>
      <c r="L101" s="1546" t="s">
        <v>15383</v>
      </c>
      <c r="M101" s="736" t="s">
        <v>725</v>
      </c>
      <c r="N101" s="736" t="s">
        <v>726</v>
      </c>
      <c r="O101" s="749" t="s">
        <v>43</v>
      </c>
      <c r="P101" s="1550" t="s">
        <v>727</v>
      </c>
      <c r="Q101" s="749" t="s">
        <v>43</v>
      </c>
      <c r="R101" s="748" t="s">
        <v>68</v>
      </c>
      <c r="S101" s="749" t="s">
        <v>43</v>
      </c>
      <c r="T101" s="749" t="s">
        <v>43</v>
      </c>
      <c r="U101" s="749" t="s">
        <v>43</v>
      </c>
      <c r="V101" s="749" t="s">
        <v>43</v>
      </c>
      <c r="W101" s="749" t="s">
        <v>43</v>
      </c>
      <c r="X101" s="736" t="s">
        <v>170</v>
      </c>
      <c r="Y101" s="1452" t="s">
        <v>202</v>
      </c>
      <c r="Z101" s="1452" t="s">
        <v>65</v>
      </c>
      <c r="AA101" s="320">
        <v>4480000</v>
      </c>
    </row>
    <row r="102" spans="1:27" s="27" customFormat="1" ht="15.75" customHeight="1">
      <c r="A102" s="1452"/>
      <c r="B102" s="1546"/>
      <c r="C102" s="1394"/>
      <c r="D102" s="1560"/>
      <c r="E102" s="1546"/>
      <c r="F102" s="1452"/>
      <c r="G102" s="28">
        <v>607111</v>
      </c>
      <c r="H102" s="30" t="s">
        <v>195</v>
      </c>
      <c r="I102" s="736" t="s">
        <v>168</v>
      </c>
      <c r="J102" s="743" t="s">
        <v>199</v>
      </c>
      <c r="K102" s="1546"/>
      <c r="L102" s="1546"/>
      <c r="M102" s="741" t="s">
        <v>728</v>
      </c>
      <c r="N102" s="736" t="s">
        <v>1030</v>
      </c>
      <c r="O102" s="749" t="s">
        <v>43</v>
      </c>
      <c r="P102" s="1550"/>
      <c r="Q102" s="749" t="s">
        <v>43</v>
      </c>
      <c r="R102" s="748" t="s">
        <v>349</v>
      </c>
      <c r="S102" s="749" t="s">
        <v>43</v>
      </c>
      <c r="T102" s="749" t="s">
        <v>43</v>
      </c>
      <c r="U102" s="749" t="s">
        <v>43</v>
      </c>
      <c r="V102" s="749" t="s">
        <v>43</v>
      </c>
      <c r="W102" s="749" t="s">
        <v>43</v>
      </c>
      <c r="X102" s="736" t="s">
        <v>170</v>
      </c>
      <c r="Y102" s="1452"/>
      <c r="Z102" s="1452"/>
      <c r="AA102" s="320">
        <v>20800000</v>
      </c>
    </row>
    <row r="103" spans="1:27" s="27" customFormat="1" ht="15.75" customHeight="1">
      <c r="A103" s="1452">
        <v>48</v>
      </c>
      <c r="B103" s="1546">
        <v>497</v>
      </c>
      <c r="C103" s="1394"/>
      <c r="D103" s="1560"/>
      <c r="E103" s="1546" t="s">
        <v>729</v>
      </c>
      <c r="F103" s="1452" t="s">
        <v>441</v>
      </c>
      <c r="G103" s="28">
        <v>547400</v>
      </c>
      <c r="H103" s="4" t="s">
        <v>335</v>
      </c>
      <c r="I103" s="736" t="s">
        <v>168</v>
      </c>
      <c r="J103" s="743" t="s">
        <v>199</v>
      </c>
      <c r="K103" s="1546" t="s">
        <v>15381</v>
      </c>
      <c r="L103" s="1546" t="s">
        <v>15384</v>
      </c>
      <c r="M103" s="736" t="s">
        <v>730</v>
      </c>
      <c r="N103" s="736" t="s">
        <v>731</v>
      </c>
      <c r="O103" s="749" t="s">
        <v>43</v>
      </c>
      <c r="P103" s="1550" t="s">
        <v>732</v>
      </c>
      <c r="Q103" s="749" t="s">
        <v>43</v>
      </c>
      <c r="R103" s="748" t="s">
        <v>68</v>
      </c>
      <c r="S103" s="749" t="s">
        <v>43</v>
      </c>
      <c r="T103" s="749" t="s">
        <v>43</v>
      </c>
      <c r="U103" s="749" t="s">
        <v>43</v>
      </c>
      <c r="V103" s="749" t="s">
        <v>43</v>
      </c>
      <c r="W103" s="749" t="s">
        <v>43</v>
      </c>
      <c r="X103" s="736" t="s">
        <v>170</v>
      </c>
      <c r="Y103" s="1452" t="s">
        <v>202</v>
      </c>
      <c r="Z103" s="1452" t="s">
        <v>65</v>
      </c>
      <c r="AA103" s="320">
        <v>8960000</v>
      </c>
    </row>
    <row r="104" spans="1:27" s="27" customFormat="1" ht="15.75" customHeight="1">
      <c r="A104" s="1452"/>
      <c r="B104" s="1546"/>
      <c r="C104" s="1394"/>
      <c r="D104" s="1560"/>
      <c r="E104" s="1546"/>
      <c r="F104" s="1452"/>
      <c r="G104" s="28" t="s">
        <v>733</v>
      </c>
      <c r="H104" s="30" t="s">
        <v>195</v>
      </c>
      <c r="I104" s="736" t="s">
        <v>168</v>
      </c>
      <c r="J104" s="743" t="s">
        <v>199</v>
      </c>
      <c r="K104" s="1546"/>
      <c r="L104" s="1546"/>
      <c r="M104" s="741" t="s">
        <v>734</v>
      </c>
      <c r="N104" s="736" t="s">
        <v>1031</v>
      </c>
      <c r="O104" s="749" t="s">
        <v>43</v>
      </c>
      <c r="P104" s="1550"/>
      <c r="Q104" s="749" t="s">
        <v>43</v>
      </c>
      <c r="R104" s="748" t="s">
        <v>255</v>
      </c>
      <c r="S104" s="749" t="s">
        <v>43</v>
      </c>
      <c r="T104" s="749" t="s">
        <v>43</v>
      </c>
      <c r="U104" s="749" t="s">
        <v>43</v>
      </c>
      <c r="V104" s="749" t="s">
        <v>43</v>
      </c>
      <c r="W104" s="748" t="s">
        <v>647</v>
      </c>
      <c r="X104" s="736" t="s">
        <v>170</v>
      </c>
      <c r="Y104" s="1452"/>
      <c r="Z104" s="1452"/>
      <c r="AA104" s="320">
        <v>20800000</v>
      </c>
    </row>
    <row r="105" spans="1:27" s="27" customFormat="1" ht="15" customHeight="1">
      <c r="A105" s="1452">
        <v>49</v>
      </c>
      <c r="B105" s="1546">
        <v>499</v>
      </c>
      <c r="C105" s="1394"/>
      <c r="D105" s="1560"/>
      <c r="E105" s="1555" t="s">
        <v>735</v>
      </c>
      <c r="F105" s="1452" t="s">
        <v>425</v>
      </c>
      <c r="G105" s="28">
        <v>547104</v>
      </c>
      <c r="H105" s="4" t="s">
        <v>335</v>
      </c>
      <c r="I105" s="736" t="s">
        <v>108</v>
      </c>
      <c r="J105" s="743" t="s">
        <v>204</v>
      </c>
      <c r="K105" s="1546" t="s">
        <v>15379</v>
      </c>
      <c r="L105" s="1573" t="s">
        <v>15380</v>
      </c>
      <c r="M105" s="736" t="s">
        <v>736</v>
      </c>
      <c r="N105" s="736" t="s">
        <v>737</v>
      </c>
      <c r="O105" s="749" t="s">
        <v>43</v>
      </c>
      <c r="P105" s="1574" t="s">
        <v>738</v>
      </c>
      <c r="Q105" s="749" t="s">
        <v>43</v>
      </c>
      <c r="R105" s="748" t="s">
        <v>315</v>
      </c>
      <c r="S105" s="748" t="s">
        <v>438</v>
      </c>
      <c r="T105" s="749" t="s">
        <v>43</v>
      </c>
      <c r="U105" s="749" t="s">
        <v>43</v>
      </c>
      <c r="V105" s="749" t="s">
        <v>43</v>
      </c>
      <c r="W105" s="749" t="s">
        <v>43</v>
      </c>
      <c r="X105" s="736" t="s">
        <v>299</v>
      </c>
      <c r="Y105" s="1452" t="s">
        <v>202</v>
      </c>
      <c r="Z105" s="1452" t="s">
        <v>484</v>
      </c>
      <c r="AA105" s="320">
        <v>16000000</v>
      </c>
    </row>
    <row r="106" spans="1:27" s="27" customFormat="1" ht="15.75" customHeight="1">
      <c r="A106" s="1452"/>
      <c r="B106" s="1546"/>
      <c r="C106" s="1394"/>
      <c r="D106" s="1560"/>
      <c r="E106" s="1555"/>
      <c r="F106" s="1452"/>
      <c r="G106" s="28">
        <v>607124</v>
      </c>
      <c r="H106" s="30" t="s">
        <v>195</v>
      </c>
      <c r="I106" s="736" t="s">
        <v>168</v>
      </c>
      <c r="J106" s="743" t="s">
        <v>204</v>
      </c>
      <c r="K106" s="1546"/>
      <c r="L106" s="1573"/>
      <c r="M106" s="741" t="s">
        <v>739</v>
      </c>
      <c r="N106" s="736" t="s">
        <v>1032</v>
      </c>
      <c r="O106" s="749" t="s">
        <v>43</v>
      </c>
      <c r="P106" s="1574"/>
      <c r="Q106" s="749" t="s">
        <v>43</v>
      </c>
      <c r="R106" s="748" t="s">
        <v>297</v>
      </c>
      <c r="S106" s="748" t="s">
        <v>438</v>
      </c>
      <c r="T106" s="749" t="s">
        <v>43</v>
      </c>
      <c r="U106" s="749" t="s">
        <v>43</v>
      </c>
      <c r="V106" s="749" t="s">
        <v>43</v>
      </c>
      <c r="W106" s="749" t="s">
        <v>43</v>
      </c>
      <c r="X106" s="736" t="s">
        <v>299</v>
      </c>
      <c r="Y106" s="1452"/>
      <c r="Z106" s="1452"/>
      <c r="AA106" s="320">
        <v>36400000</v>
      </c>
    </row>
    <row r="107" spans="1:27" s="27" customFormat="1" ht="15.75" customHeight="1">
      <c r="A107" s="1452"/>
      <c r="B107" s="1546"/>
      <c r="C107" s="1394"/>
      <c r="D107" s="1560"/>
      <c r="E107" s="1555"/>
      <c r="F107" s="1452"/>
      <c r="G107" s="811" t="s">
        <v>43</v>
      </c>
      <c r="H107" s="4" t="s">
        <v>44</v>
      </c>
      <c r="I107" s="808" t="s">
        <v>168</v>
      </c>
      <c r="J107" s="51" t="s">
        <v>201</v>
      </c>
      <c r="K107" s="1546"/>
      <c r="L107" s="1573"/>
      <c r="M107" s="809" t="s">
        <v>15386</v>
      </c>
      <c r="N107" s="809" t="s">
        <v>15385</v>
      </c>
      <c r="O107" s="811" t="s">
        <v>43</v>
      </c>
      <c r="P107" s="1574"/>
      <c r="Q107" s="811" t="s">
        <v>43</v>
      </c>
      <c r="R107" s="810" t="s">
        <v>48</v>
      </c>
      <c r="S107" s="811" t="s">
        <v>43</v>
      </c>
      <c r="T107" s="811" t="s">
        <v>43</v>
      </c>
      <c r="U107" s="811" t="s">
        <v>43</v>
      </c>
      <c r="V107" s="811" t="s">
        <v>43</v>
      </c>
      <c r="W107" s="810" t="s">
        <v>979</v>
      </c>
      <c r="X107" s="808" t="s">
        <v>50</v>
      </c>
      <c r="Y107" s="1452"/>
      <c r="Z107" s="1452"/>
      <c r="AA107" s="320">
        <v>0</v>
      </c>
    </row>
    <row r="108" spans="1:27" s="27" customFormat="1" ht="15.75" customHeight="1">
      <c r="A108" s="1452">
        <v>50</v>
      </c>
      <c r="B108" s="1546">
        <v>500</v>
      </c>
      <c r="C108" s="1394"/>
      <c r="D108" s="1560"/>
      <c r="E108" s="1546" t="s">
        <v>740</v>
      </c>
      <c r="F108" s="1452"/>
      <c r="G108" s="28">
        <v>547091</v>
      </c>
      <c r="H108" s="4" t="s">
        <v>335</v>
      </c>
      <c r="I108" s="736" t="s">
        <v>168</v>
      </c>
      <c r="J108" s="743" t="s">
        <v>205</v>
      </c>
      <c r="K108" s="1546" t="s">
        <v>15005</v>
      </c>
      <c r="L108" s="1546" t="s">
        <v>15006</v>
      </c>
      <c r="M108" s="736" t="s">
        <v>741</v>
      </c>
      <c r="N108" s="736" t="s">
        <v>742</v>
      </c>
      <c r="O108" s="749" t="s">
        <v>43</v>
      </c>
      <c r="P108" s="1550" t="s">
        <v>743</v>
      </c>
      <c r="Q108" s="749" t="s">
        <v>43</v>
      </c>
      <c r="R108" s="748" t="s">
        <v>68</v>
      </c>
      <c r="S108" s="749" t="s">
        <v>43</v>
      </c>
      <c r="T108" s="749" t="s">
        <v>43</v>
      </c>
      <c r="U108" s="749" t="s">
        <v>43</v>
      </c>
      <c r="V108" s="749" t="s">
        <v>43</v>
      </c>
      <c r="W108" s="749" t="s">
        <v>43</v>
      </c>
      <c r="X108" s="736" t="s">
        <v>170</v>
      </c>
      <c r="Y108" s="1452" t="s">
        <v>202</v>
      </c>
      <c r="Z108" s="1452" t="s">
        <v>65</v>
      </c>
      <c r="AA108" s="320">
        <v>4480000</v>
      </c>
    </row>
    <row r="109" spans="1:27" s="27" customFormat="1" ht="15.75" customHeight="1">
      <c r="A109" s="1452"/>
      <c r="B109" s="1546"/>
      <c r="C109" s="1394"/>
      <c r="D109" s="1560"/>
      <c r="E109" s="1546"/>
      <c r="F109" s="1452"/>
      <c r="G109" s="28" t="s">
        <v>744</v>
      </c>
      <c r="H109" s="30" t="s">
        <v>195</v>
      </c>
      <c r="I109" s="736" t="s">
        <v>168</v>
      </c>
      <c r="J109" s="743" t="s">
        <v>199</v>
      </c>
      <c r="K109" s="1546"/>
      <c r="L109" s="1546"/>
      <c r="M109" s="741" t="s">
        <v>745</v>
      </c>
      <c r="N109" s="736" t="s">
        <v>1034</v>
      </c>
      <c r="O109" s="749" t="s">
        <v>43</v>
      </c>
      <c r="P109" s="1550"/>
      <c r="Q109" s="749" t="s">
        <v>43</v>
      </c>
      <c r="R109" s="748" t="s">
        <v>255</v>
      </c>
      <c r="S109" s="749" t="s">
        <v>43</v>
      </c>
      <c r="T109" s="749" t="s">
        <v>43</v>
      </c>
      <c r="U109" s="749" t="s">
        <v>43</v>
      </c>
      <c r="V109" s="749" t="s">
        <v>43</v>
      </c>
      <c r="W109" s="748" t="s">
        <v>504</v>
      </c>
      <c r="X109" s="736" t="s">
        <v>170</v>
      </c>
      <c r="Y109" s="1452"/>
      <c r="Z109" s="1452"/>
      <c r="AA109" s="320">
        <v>20800000</v>
      </c>
    </row>
    <row r="110" spans="1:27" s="27" customFormat="1" ht="15.75" customHeight="1">
      <c r="A110" s="1452">
        <v>51</v>
      </c>
      <c r="B110" s="1546">
        <v>501</v>
      </c>
      <c r="C110" s="1394"/>
      <c r="D110" s="1560"/>
      <c r="E110" s="1546" t="s">
        <v>746</v>
      </c>
      <c r="F110" s="1452" t="s">
        <v>441</v>
      </c>
      <c r="G110" s="28">
        <v>547099</v>
      </c>
      <c r="H110" s="4" t="s">
        <v>335</v>
      </c>
      <c r="I110" s="736" t="s">
        <v>168</v>
      </c>
      <c r="J110" s="743" t="s">
        <v>205</v>
      </c>
      <c r="K110" s="1452" t="s">
        <v>15004</v>
      </c>
      <c r="L110" s="1452" t="s">
        <v>15003</v>
      </c>
      <c r="M110" s="736" t="s">
        <v>747</v>
      </c>
      <c r="N110" s="736" t="s">
        <v>748</v>
      </c>
      <c r="O110" s="749" t="s">
        <v>43</v>
      </c>
      <c r="P110" s="1547" t="s">
        <v>749</v>
      </c>
      <c r="Q110" s="749" t="s">
        <v>43</v>
      </c>
      <c r="R110" s="748" t="s">
        <v>68</v>
      </c>
      <c r="S110" s="749" t="s">
        <v>43</v>
      </c>
      <c r="T110" s="749" t="s">
        <v>43</v>
      </c>
      <c r="U110" s="749" t="s">
        <v>43</v>
      </c>
      <c r="V110" s="749" t="s">
        <v>43</v>
      </c>
      <c r="W110" s="749" t="s">
        <v>43</v>
      </c>
      <c r="X110" s="736" t="s">
        <v>170</v>
      </c>
      <c r="Y110" s="1452" t="s">
        <v>202</v>
      </c>
      <c r="Z110" s="1452" t="s">
        <v>65</v>
      </c>
      <c r="AA110" s="320">
        <v>4480000</v>
      </c>
    </row>
    <row r="111" spans="1:27" s="27" customFormat="1" ht="15.75" customHeight="1">
      <c r="A111" s="1452"/>
      <c r="B111" s="1546"/>
      <c r="C111" s="1394"/>
      <c r="D111" s="1560"/>
      <c r="E111" s="1546"/>
      <c r="F111" s="1452"/>
      <c r="G111" s="28">
        <v>607126</v>
      </c>
      <c r="H111" s="30" t="s">
        <v>195</v>
      </c>
      <c r="I111" s="736" t="s">
        <v>168</v>
      </c>
      <c r="J111" s="743" t="s">
        <v>199</v>
      </c>
      <c r="K111" s="1452"/>
      <c r="L111" s="1452"/>
      <c r="M111" s="736" t="s">
        <v>750</v>
      </c>
      <c r="N111" s="736" t="s">
        <v>1033</v>
      </c>
      <c r="O111" s="749" t="s">
        <v>43</v>
      </c>
      <c r="P111" s="1547"/>
      <c r="Q111" s="749" t="s">
        <v>43</v>
      </c>
      <c r="R111" s="748" t="s">
        <v>255</v>
      </c>
      <c r="S111" s="749" t="s">
        <v>43</v>
      </c>
      <c r="T111" s="749" t="s">
        <v>43</v>
      </c>
      <c r="U111" s="749" t="s">
        <v>43</v>
      </c>
      <c r="V111" s="749" t="s">
        <v>43</v>
      </c>
      <c r="W111" s="748" t="s">
        <v>504</v>
      </c>
      <c r="X111" s="736" t="s">
        <v>170</v>
      </c>
      <c r="Y111" s="1452"/>
      <c r="Z111" s="1452"/>
      <c r="AA111" s="320">
        <v>20800000</v>
      </c>
    </row>
    <row r="112" spans="1:27" s="27" customFormat="1" ht="15.75" customHeight="1">
      <c r="A112" s="1452">
        <v>52</v>
      </c>
      <c r="B112" s="1546">
        <v>502</v>
      </c>
      <c r="C112" s="1394"/>
      <c r="D112" s="1560"/>
      <c r="E112" s="1546" t="s">
        <v>751</v>
      </c>
      <c r="F112" s="1452"/>
      <c r="G112" s="28">
        <v>547396</v>
      </c>
      <c r="H112" s="4" t="s">
        <v>335</v>
      </c>
      <c r="I112" s="736" t="s">
        <v>168</v>
      </c>
      <c r="J112" s="743" t="s">
        <v>199</v>
      </c>
      <c r="K112" s="1546" t="s">
        <v>15001</v>
      </c>
      <c r="L112" s="1546" t="s">
        <v>15002</v>
      </c>
      <c r="M112" s="736" t="s">
        <v>752</v>
      </c>
      <c r="N112" s="736" t="s">
        <v>753</v>
      </c>
      <c r="O112" s="749" t="s">
        <v>43</v>
      </c>
      <c r="P112" s="1550" t="s">
        <v>754</v>
      </c>
      <c r="Q112" s="749" t="s">
        <v>43</v>
      </c>
      <c r="R112" s="748" t="s">
        <v>68</v>
      </c>
      <c r="S112" s="749" t="s">
        <v>43</v>
      </c>
      <c r="T112" s="749" t="s">
        <v>43</v>
      </c>
      <c r="U112" s="749" t="s">
        <v>43</v>
      </c>
      <c r="V112" s="749" t="s">
        <v>43</v>
      </c>
      <c r="W112" s="749" t="s">
        <v>43</v>
      </c>
      <c r="X112" s="736" t="s">
        <v>170</v>
      </c>
      <c r="Y112" s="1452" t="s">
        <v>202</v>
      </c>
      <c r="Z112" s="1452" t="s">
        <v>65</v>
      </c>
      <c r="AA112" s="320">
        <v>8960000</v>
      </c>
    </row>
    <row r="113" spans="1:27" s="27" customFormat="1" ht="15.75" customHeight="1">
      <c r="A113" s="1452"/>
      <c r="B113" s="1546"/>
      <c r="C113" s="1394"/>
      <c r="D113" s="1560"/>
      <c r="E113" s="1546"/>
      <c r="F113" s="1452"/>
      <c r="G113" s="28">
        <v>607127</v>
      </c>
      <c r="H113" s="30" t="s">
        <v>195</v>
      </c>
      <c r="I113" s="736" t="s">
        <v>168</v>
      </c>
      <c r="J113" s="743" t="s">
        <v>199</v>
      </c>
      <c r="K113" s="1546"/>
      <c r="L113" s="1546"/>
      <c r="M113" s="741" t="s">
        <v>755</v>
      </c>
      <c r="N113" s="736" t="s">
        <v>1035</v>
      </c>
      <c r="O113" s="749" t="s">
        <v>43</v>
      </c>
      <c r="P113" s="1550"/>
      <c r="Q113" s="749" t="s">
        <v>43</v>
      </c>
      <c r="R113" s="748" t="s">
        <v>255</v>
      </c>
      <c r="S113" s="749" t="s">
        <v>43</v>
      </c>
      <c r="T113" s="749" t="s">
        <v>43</v>
      </c>
      <c r="U113" s="749" t="s">
        <v>43</v>
      </c>
      <c r="V113" s="749" t="s">
        <v>43</v>
      </c>
      <c r="W113" s="748" t="s">
        <v>504</v>
      </c>
      <c r="X113" s="736" t="s">
        <v>170</v>
      </c>
      <c r="Y113" s="1452"/>
      <c r="Z113" s="1452"/>
      <c r="AA113" s="320">
        <v>20800000</v>
      </c>
    </row>
    <row r="114" spans="1:27" s="27" customFormat="1" ht="15.75" customHeight="1">
      <c r="A114" s="1452">
        <v>53</v>
      </c>
      <c r="B114" s="1546">
        <v>503</v>
      </c>
      <c r="C114" s="1394"/>
      <c r="D114" s="1560"/>
      <c r="E114" s="1546" t="s">
        <v>756</v>
      </c>
      <c r="F114" s="1452" t="s">
        <v>480</v>
      </c>
      <c r="G114" s="28">
        <v>547394</v>
      </c>
      <c r="H114" s="4" t="s">
        <v>335</v>
      </c>
      <c r="I114" s="736" t="s">
        <v>168</v>
      </c>
      <c r="J114" s="743" t="s">
        <v>205</v>
      </c>
      <c r="K114" s="1546" t="s">
        <v>15000</v>
      </c>
      <c r="L114" s="1546" t="s">
        <v>14999</v>
      </c>
      <c r="M114" s="736" t="s">
        <v>757</v>
      </c>
      <c r="N114" s="736" t="s">
        <v>758</v>
      </c>
      <c r="O114" s="749" t="s">
        <v>43</v>
      </c>
      <c r="P114" s="1550" t="s">
        <v>759</v>
      </c>
      <c r="Q114" s="749" t="s">
        <v>43</v>
      </c>
      <c r="R114" s="748" t="s">
        <v>68</v>
      </c>
      <c r="S114" s="749" t="s">
        <v>43</v>
      </c>
      <c r="T114" s="749" t="s">
        <v>43</v>
      </c>
      <c r="U114" s="749" t="s">
        <v>43</v>
      </c>
      <c r="V114" s="749" t="s">
        <v>43</v>
      </c>
      <c r="W114" s="749" t="s">
        <v>43</v>
      </c>
      <c r="X114" s="736" t="s">
        <v>170</v>
      </c>
      <c r="Y114" s="1452" t="s">
        <v>202</v>
      </c>
      <c r="Z114" s="1452" t="s">
        <v>65</v>
      </c>
      <c r="AA114" s="320">
        <v>4480000</v>
      </c>
    </row>
    <row r="115" spans="1:27" s="27" customFormat="1" ht="19.5" customHeight="1">
      <c r="A115" s="1452"/>
      <c r="B115" s="1546"/>
      <c r="C115" s="1394"/>
      <c r="D115" s="1560"/>
      <c r="E115" s="1546"/>
      <c r="F115" s="1452"/>
      <c r="G115" s="28">
        <v>607128</v>
      </c>
      <c r="H115" s="30" t="s">
        <v>195</v>
      </c>
      <c r="I115" s="736" t="s">
        <v>168</v>
      </c>
      <c r="J115" s="743" t="s">
        <v>199</v>
      </c>
      <c r="K115" s="1546"/>
      <c r="L115" s="1546"/>
      <c r="M115" s="741" t="s">
        <v>760</v>
      </c>
      <c r="N115" s="736" t="s">
        <v>1036</v>
      </c>
      <c r="O115" s="749" t="s">
        <v>43</v>
      </c>
      <c r="P115" s="1550"/>
      <c r="Q115" s="749" t="s">
        <v>43</v>
      </c>
      <c r="R115" s="748" t="s">
        <v>160</v>
      </c>
      <c r="S115" s="749" t="s">
        <v>43</v>
      </c>
      <c r="T115" s="749" t="s">
        <v>43</v>
      </c>
      <c r="U115" s="749" t="s">
        <v>43</v>
      </c>
      <c r="V115" s="749" t="s">
        <v>43</v>
      </c>
      <c r="W115" s="749" t="s">
        <v>1038</v>
      </c>
      <c r="X115" s="736" t="s">
        <v>1054</v>
      </c>
      <c r="Y115" s="1452"/>
      <c r="Z115" s="1452"/>
      <c r="AA115" s="320">
        <v>20800000</v>
      </c>
    </row>
    <row r="116" spans="1:27" s="27" customFormat="1" ht="15.75" customHeight="1">
      <c r="A116" s="1452">
        <v>54</v>
      </c>
      <c r="B116" s="1546">
        <v>506</v>
      </c>
      <c r="C116" s="1394"/>
      <c r="D116" s="1560"/>
      <c r="E116" s="1546" t="s">
        <v>761</v>
      </c>
      <c r="F116" s="1452" t="s">
        <v>468</v>
      </c>
      <c r="G116" s="28">
        <v>550310</v>
      </c>
      <c r="H116" s="4" t="s">
        <v>335</v>
      </c>
      <c r="I116" s="736" t="s">
        <v>168</v>
      </c>
      <c r="J116" s="743" t="s">
        <v>205</v>
      </c>
      <c r="K116" s="1452" t="s">
        <v>14997</v>
      </c>
      <c r="L116" s="1452" t="s">
        <v>14998</v>
      </c>
      <c r="M116" s="741" t="s">
        <v>762</v>
      </c>
      <c r="N116" s="741" t="s">
        <v>763</v>
      </c>
      <c r="O116" s="749" t="s">
        <v>43</v>
      </c>
      <c r="P116" s="1547" t="s">
        <v>764</v>
      </c>
      <c r="Q116" s="749" t="s">
        <v>43</v>
      </c>
      <c r="R116" s="748" t="s">
        <v>68</v>
      </c>
      <c r="S116" s="749" t="s">
        <v>43</v>
      </c>
      <c r="T116" s="749" t="s">
        <v>43</v>
      </c>
      <c r="U116" s="749" t="s">
        <v>43</v>
      </c>
      <c r="V116" s="749" t="s">
        <v>43</v>
      </c>
      <c r="W116" s="749" t="s">
        <v>43</v>
      </c>
      <c r="X116" s="736" t="s">
        <v>170</v>
      </c>
      <c r="Y116" s="1452" t="s">
        <v>202</v>
      </c>
      <c r="Z116" s="1452" t="s">
        <v>65</v>
      </c>
      <c r="AA116" s="320">
        <v>4480000</v>
      </c>
    </row>
    <row r="117" spans="1:27" s="27" customFormat="1" ht="15.75" customHeight="1">
      <c r="A117" s="1452"/>
      <c r="B117" s="1546"/>
      <c r="C117" s="1394"/>
      <c r="D117" s="1560"/>
      <c r="E117" s="1546"/>
      <c r="F117" s="1452"/>
      <c r="G117" s="28">
        <v>610553</v>
      </c>
      <c r="H117" s="30" t="s">
        <v>195</v>
      </c>
      <c r="I117" s="736" t="s">
        <v>168</v>
      </c>
      <c r="J117" s="743" t="s">
        <v>199</v>
      </c>
      <c r="K117" s="1452"/>
      <c r="L117" s="1452"/>
      <c r="M117" s="736" t="s">
        <v>765</v>
      </c>
      <c r="N117" s="736" t="s">
        <v>1037</v>
      </c>
      <c r="O117" s="749" t="s">
        <v>43</v>
      </c>
      <c r="P117" s="1547"/>
      <c r="Q117" s="749" t="s">
        <v>43</v>
      </c>
      <c r="R117" s="748" t="s">
        <v>349</v>
      </c>
      <c r="S117" s="749" t="s">
        <v>43</v>
      </c>
      <c r="T117" s="749" t="s">
        <v>43</v>
      </c>
      <c r="U117" s="749" t="s">
        <v>43</v>
      </c>
      <c r="V117" s="749" t="s">
        <v>43</v>
      </c>
      <c r="W117" s="749" t="s">
        <v>1038</v>
      </c>
      <c r="X117" s="736" t="s">
        <v>1054</v>
      </c>
      <c r="Y117" s="1452"/>
      <c r="Z117" s="1452"/>
      <c r="AA117" s="320">
        <v>20800000</v>
      </c>
    </row>
    <row r="118" spans="1:27" s="27" customFormat="1" ht="15.75" customHeight="1">
      <c r="A118" s="1452">
        <v>55</v>
      </c>
      <c r="B118" s="1546">
        <v>507</v>
      </c>
      <c r="C118" s="1394"/>
      <c r="D118" s="1560"/>
      <c r="E118" s="1546" t="s">
        <v>766</v>
      </c>
      <c r="F118" s="1452" t="s">
        <v>480</v>
      </c>
      <c r="G118" s="28">
        <v>551589</v>
      </c>
      <c r="H118" s="4" t="s">
        <v>335</v>
      </c>
      <c r="I118" s="736" t="s">
        <v>168</v>
      </c>
      <c r="J118" s="743" t="s">
        <v>199</v>
      </c>
      <c r="K118" s="1452" t="s">
        <v>14995</v>
      </c>
      <c r="L118" s="1452" t="s">
        <v>14996</v>
      </c>
      <c r="M118" s="736" t="s">
        <v>767</v>
      </c>
      <c r="N118" s="736" t="s">
        <v>768</v>
      </c>
      <c r="O118" s="749" t="s">
        <v>43</v>
      </c>
      <c r="P118" s="1547" t="s">
        <v>769</v>
      </c>
      <c r="Q118" s="749" t="s">
        <v>43</v>
      </c>
      <c r="R118" s="748" t="s">
        <v>68</v>
      </c>
      <c r="S118" s="749" t="s">
        <v>43</v>
      </c>
      <c r="T118" s="749" t="s">
        <v>43</v>
      </c>
      <c r="U118" s="749" t="s">
        <v>43</v>
      </c>
      <c r="V118" s="749" t="s">
        <v>43</v>
      </c>
      <c r="W118" s="749" t="s">
        <v>43</v>
      </c>
      <c r="X118" s="736" t="s">
        <v>170</v>
      </c>
      <c r="Y118" s="1452" t="s">
        <v>202</v>
      </c>
      <c r="Z118" s="1452" t="s">
        <v>65</v>
      </c>
      <c r="AA118" s="320">
        <v>4480000</v>
      </c>
    </row>
    <row r="119" spans="1:27" s="27" customFormat="1" ht="15.75" customHeight="1">
      <c r="A119" s="1452"/>
      <c r="B119" s="1546"/>
      <c r="C119" s="1394"/>
      <c r="D119" s="1560"/>
      <c r="E119" s="1546"/>
      <c r="F119" s="1452"/>
      <c r="G119" s="748" t="s">
        <v>770</v>
      </c>
      <c r="H119" s="30" t="s">
        <v>195</v>
      </c>
      <c r="I119" s="736" t="s">
        <v>168</v>
      </c>
      <c r="J119" s="743" t="s">
        <v>199</v>
      </c>
      <c r="K119" s="1452"/>
      <c r="L119" s="1452"/>
      <c r="M119" s="736" t="s">
        <v>771</v>
      </c>
      <c r="N119" s="736" t="s">
        <v>1039</v>
      </c>
      <c r="O119" s="749" t="s">
        <v>43</v>
      </c>
      <c r="P119" s="1547"/>
      <c r="Q119" s="749" t="s">
        <v>43</v>
      </c>
      <c r="R119" s="748" t="s">
        <v>255</v>
      </c>
      <c r="S119" s="749" t="s">
        <v>43</v>
      </c>
      <c r="T119" s="749" t="s">
        <v>43</v>
      </c>
      <c r="U119" s="749" t="s">
        <v>43</v>
      </c>
      <c r="V119" s="749" t="s">
        <v>43</v>
      </c>
      <c r="W119" s="748" t="s">
        <v>504</v>
      </c>
      <c r="X119" s="736" t="s">
        <v>170</v>
      </c>
      <c r="Y119" s="1452"/>
      <c r="Z119" s="1452"/>
      <c r="AA119" s="320">
        <v>20800000</v>
      </c>
    </row>
    <row r="120" spans="1:27" s="27" customFormat="1" ht="15.75" customHeight="1">
      <c r="A120" s="1452">
        <v>56</v>
      </c>
      <c r="B120" s="1546">
        <v>508</v>
      </c>
      <c r="C120" s="1394"/>
      <c r="D120" s="1560"/>
      <c r="E120" s="1546" t="s">
        <v>772</v>
      </c>
      <c r="F120" s="1452" t="s">
        <v>441</v>
      </c>
      <c r="G120" s="28">
        <v>550356</v>
      </c>
      <c r="H120" s="4" t="s">
        <v>335</v>
      </c>
      <c r="I120" s="736" t="s">
        <v>168</v>
      </c>
      <c r="J120" s="743" t="s">
        <v>205</v>
      </c>
      <c r="K120" s="1452" t="s">
        <v>14993</v>
      </c>
      <c r="L120" s="1452" t="s">
        <v>14994</v>
      </c>
      <c r="M120" s="741" t="s">
        <v>773</v>
      </c>
      <c r="N120" s="741" t="s">
        <v>774</v>
      </c>
      <c r="O120" s="749" t="s">
        <v>43</v>
      </c>
      <c r="P120" s="1547" t="s">
        <v>775</v>
      </c>
      <c r="Q120" s="749" t="s">
        <v>43</v>
      </c>
      <c r="R120" s="748" t="s">
        <v>68</v>
      </c>
      <c r="S120" s="749" t="s">
        <v>43</v>
      </c>
      <c r="T120" s="749" t="s">
        <v>43</v>
      </c>
      <c r="U120" s="749" t="s">
        <v>43</v>
      </c>
      <c r="V120" s="749" t="s">
        <v>43</v>
      </c>
      <c r="W120" s="749" t="s">
        <v>43</v>
      </c>
      <c r="X120" s="736" t="s">
        <v>170</v>
      </c>
      <c r="Y120" s="1452" t="s">
        <v>202</v>
      </c>
      <c r="Z120" s="1452" t="s">
        <v>65</v>
      </c>
      <c r="AA120" s="320">
        <v>4480000</v>
      </c>
    </row>
    <row r="121" spans="1:27" s="27" customFormat="1" ht="15.75" customHeight="1">
      <c r="A121" s="1452"/>
      <c r="B121" s="1546"/>
      <c r="C121" s="1394"/>
      <c r="D121" s="1560"/>
      <c r="E121" s="1546"/>
      <c r="F121" s="1452"/>
      <c r="G121" s="28">
        <v>607130</v>
      </c>
      <c r="H121" s="30" t="s">
        <v>195</v>
      </c>
      <c r="I121" s="736" t="s">
        <v>168</v>
      </c>
      <c r="J121" s="743" t="s">
        <v>199</v>
      </c>
      <c r="K121" s="1452"/>
      <c r="L121" s="1452"/>
      <c r="M121" s="736" t="s">
        <v>776</v>
      </c>
      <c r="N121" s="736" t="s">
        <v>1040</v>
      </c>
      <c r="O121" s="749" t="s">
        <v>43</v>
      </c>
      <c r="P121" s="1547"/>
      <c r="Q121" s="749" t="s">
        <v>43</v>
      </c>
      <c r="R121" s="748" t="s">
        <v>349</v>
      </c>
      <c r="S121" s="749" t="s">
        <v>43</v>
      </c>
      <c r="T121" s="749" t="s">
        <v>43</v>
      </c>
      <c r="U121" s="749" t="s">
        <v>43</v>
      </c>
      <c r="V121" s="749" t="s">
        <v>43</v>
      </c>
      <c r="W121" s="749" t="s">
        <v>1038</v>
      </c>
      <c r="X121" s="736" t="s">
        <v>1054</v>
      </c>
      <c r="Y121" s="1452"/>
      <c r="Z121" s="1452"/>
      <c r="AA121" s="320">
        <v>20800000</v>
      </c>
    </row>
    <row r="122" spans="1:27" s="27" customFormat="1" ht="15.75" customHeight="1">
      <c r="A122" s="1452">
        <v>57</v>
      </c>
      <c r="B122" s="1546">
        <v>513</v>
      </c>
      <c r="C122" s="1394"/>
      <c r="D122" s="1560"/>
      <c r="E122" s="1546" t="s">
        <v>777</v>
      </c>
      <c r="F122" s="1452" t="s">
        <v>468</v>
      </c>
      <c r="G122" s="28">
        <v>566362</v>
      </c>
      <c r="H122" s="4" t="s">
        <v>335</v>
      </c>
      <c r="I122" s="736" t="s">
        <v>108</v>
      </c>
      <c r="J122" s="743" t="s">
        <v>205</v>
      </c>
      <c r="K122" s="1546" t="s">
        <v>14991</v>
      </c>
      <c r="L122" s="1546" t="s">
        <v>14992</v>
      </c>
      <c r="M122" s="741" t="s">
        <v>778</v>
      </c>
      <c r="N122" s="741" t="s">
        <v>779</v>
      </c>
      <c r="O122" s="749" t="s">
        <v>43</v>
      </c>
      <c r="P122" s="1550" t="s">
        <v>780</v>
      </c>
      <c r="Q122" s="749" t="s">
        <v>43</v>
      </c>
      <c r="R122" s="748" t="s">
        <v>315</v>
      </c>
      <c r="S122" s="748" t="s">
        <v>438</v>
      </c>
      <c r="T122" s="749" t="s">
        <v>43</v>
      </c>
      <c r="U122" s="749" t="s">
        <v>43</v>
      </c>
      <c r="V122" s="749" t="s">
        <v>43</v>
      </c>
      <c r="W122" s="749" t="s">
        <v>43</v>
      </c>
      <c r="X122" s="736" t="s">
        <v>299</v>
      </c>
      <c r="Y122" s="1452" t="s">
        <v>202</v>
      </c>
      <c r="Z122" s="1452" t="s">
        <v>65</v>
      </c>
      <c r="AA122" s="320">
        <v>4480000</v>
      </c>
    </row>
    <row r="123" spans="1:27" s="27" customFormat="1" ht="15.75" customHeight="1">
      <c r="A123" s="1452"/>
      <c r="B123" s="1546"/>
      <c r="C123" s="1394"/>
      <c r="D123" s="1560"/>
      <c r="E123" s="1546"/>
      <c r="F123" s="1452"/>
      <c r="G123" s="28">
        <v>607131</v>
      </c>
      <c r="H123" s="30" t="s">
        <v>195</v>
      </c>
      <c r="I123" s="736" t="s">
        <v>168</v>
      </c>
      <c r="J123" s="743" t="s">
        <v>205</v>
      </c>
      <c r="K123" s="1546"/>
      <c r="L123" s="1546"/>
      <c r="M123" s="741" t="s">
        <v>781</v>
      </c>
      <c r="N123" s="736" t="s">
        <v>1041</v>
      </c>
      <c r="O123" s="749" t="s">
        <v>43</v>
      </c>
      <c r="P123" s="1550"/>
      <c r="Q123" s="749" t="s">
        <v>43</v>
      </c>
      <c r="R123" s="748" t="s">
        <v>68</v>
      </c>
      <c r="S123" s="749" t="s">
        <v>43</v>
      </c>
      <c r="T123" s="749" t="s">
        <v>43</v>
      </c>
      <c r="U123" s="749" t="s">
        <v>43</v>
      </c>
      <c r="V123" s="749" t="s">
        <v>43</v>
      </c>
      <c r="W123" s="749" t="s">
        <v>43</v>
      </c>
      <c r="X123" s="736" t="s">
        <v>170</v>
      </c>
      <c r="Y123" s="1452"/>
      <c r="Z123" s="1452"/>
      <c r="AA123" s="320">
        <v>20800000</v>
      </c>
    </row>
    <row r="124" spans="1:27" s="27" customFormat="1" ht="15.75" customHeight="1">
      <c r="A124" s="736">
        <v>58</v>
      </c>
      <c r="B124" s="741">
        <v>515</v>
      </c>
      <c r="C124" s="1394"/>
      <c r="D124" s="1560"/>
      <c r="E124" s="747" t="s">
        <v>782</v>
      </c>
      <c r="F124" s="1452" t="s">
        <v>475</v>
      </c>
      <c r="G124" s="749" t="s">
        <v>43</v>
      </c>
      <c r="H124" s="736" t="s">
        <v>783</v>
      </c>
      <c r="I124" s="736" t="s">
        <v>784</v>
      </c>
      <c r="J124" s="51" t="s">
        <v>1042</v>
      </c>
      <c r="K124" s="741" t="s">
        <v>785</v>
      </c>
      <c r="L124" s="741" t="s">
        <v>786</v>
      </c>
      <c r="M124" s="749" t="s">
        <v>43</v>
      </c>
      <c r="N124" s="749" t="s">
        <v>43</v>
      </c>
      <c r="O124" s="749" t="s">
        <v>43</v>
      </c>
      <c r="P124" s="742" t="s">
        <v>787</v>
      </c>
      <c r="Q124" s="749" t="s">
        <v>43</v>
      </c>
      <c r="R124" s="749" t="s">
        <v>1043</v>
      </c>
      <c r="S124" s="749" t="s">
        <v>43</v>
      </c>
      <c r="T124" s="749" t="s">
        <v>43</v>
      </c>
      <c r="U124" s="749" t="s">
        <v>43</v>
      </c>
      <c r="V124" s="749" t="s">
        <v>43</v>
      </c>
      <c r="W124" s="749" t="s">
        <v>43</v>
      </c>
      <c r="X124" s="749" t="s">
        <v>43</v>
      </c>
      <c r="Y124" s="749" t="s">
        <v>1044</v>
      </c>
      <c r="Z124" s="736" t="s">
        <v>788</v>
      </c>
      <c r="AA124" s="320">
        <v>36400000</v>
      </c>
    </row>
    <row r="125" spans="1:27" s="27" customFormat="1" ht="19.5" customHeight="1">
      <c r="A125" s="1452">
        <v>59</v>
      </c>
      <c r="B125" s="1546">
        <v>516</v>
      </c>
      <c r="C125" s="1394"/>
      <c r="D125" s="1560"/>
      <c r="E125" s="1546" t="s">
        <v>789</v>
      </c>
      <c r="F125" s="1452"/>
      <c r="G125" s="28">
        <v>567066</v>
      </c>
      <c r="H125" s="4" t="s">
        <v>335</v>
      </c>
      <c r="I125" s="736" t="s">
        <v>168</v>
      </c>
      <c r="J125" s="743" t="s">
        <v>205</v>
      </c>
      <c r="K125" s="1546" t="s">
        <v>14989</v>
      </c>
      <c r="L125" s="1546" t="s">
        <v>14990</v>
      </c>
      <c r="M125" s="741" t="s">
        <v>790</v>
      </c>
      <c r="N125" s="741" t="s">
        <v>791</v>
      </c>
      <c r="O125" s="749" t="s">
        <v>43</v>
      </c>
      <c r="P125" s="1550" t="s">
        <v>792</v>
      </c>
      <c r="Q125" s="749" t="s">
        <v>43</v>
      </c>
      <c r="R125" s="748" t="s">
        <v>68</v>
      </c>
      <c r="S125" s="749" t="s">
        <v>43</v>
      </c>
      <c r="T125" s="749" t="s">
        <v>43</v>
      </c>
      <c r="U125" s="749" t="s">
        <v>43</v>
      </c>
      <c r="V125" s="749" t="s">
        <v>43</v>
      </c>
      <c r="W125" s="749" t="s">
        <v>43</v>
      </c>
      <c r="X125" s="736" t="s">
        <v>170</v>
      </c>
      <c r="Y125" s="1452" t="s">
        <v>202</v>
      </c>
      <c r="Z125" s="1452" t="s">
        <v>65</v>
      </c>
      <c r="AA125" s="320">
        <v>4480000</v>
      </c>
    </row>
    <row r="126" spans="1:27" s="27" customFormat="1" ht="15.75" customHeight="1">
      <c r="A126" s="1452"/>
      <c r="B126" s="1546"/>
      <c r="C126" s="1394"/>
      <c r="D126" s="1560"/>
      <c r="E126" s="1546"/>
      <c r="F126" s="1452"/>
      <c r="G126" s="28">
        <v>592082</v>
      </c>
      <c r="H126" s="30" t="s">
        <v>195</v>
      </c>
      <c r="I126" s="736" t="s">
        <v>168</v>
      </c>
      <c r="J126" s="743" t="s">
        <v>199</v>
      </c>
      <c r="K126" s="1546"/>
      <c r="L126" s="1546"/>
      <c r="M126" s="741" t="s">
        <v>793</v>
      </c>
      <c r="N126" s="736" t="s">
        <v>1045</v>
      </c>
      <c r="O126" s="749" t="s">
        <v>43</v>
      </c>
      <c r="P126" s="1550"/>
      <c r="Q126" s="749" t="s">
        <v>43</v>
      </c>
      <c r="R126" s="748" t="s">
        <v>255</v>
      </c>
      <c r="S126" s="749" t="s">
        <v>43</v>
      </c>
      <c r="T126" s="749" t="s">
        <v>43</v>
      </c>
      <c r="U126" s="749" t="s">
        <v>43</v>
      </c>
      <c r="V126" s="749" t="s">
        <v>43</v>
      </c>
      <c r="W126" s="748" t="s">
        <v>932</v>
      </c>
      <c r="X126" s="736" t="s">
        <v>170</v>
      </c>
      <c r="Y126" s="1452"/>
      <c r="Z126" s="1452"/>
      <c r="AA126" s="320">
        <v>20800000</v>
      </c>
    </row>
    <row r="127" spans="1:27" s="27" customFormat="1" ht="15.75" customHeight="1">
      <c r="A127" s="1452">
        <v>60</v>
      </c>
      <c r="B127" s="1546">
        <v>517</v>
      </c>
      <c r="C127" s="1394"/>
      <c r="D127" s="1560"/>
      <c r="E127" s="1546" t="s">
        <v>794</v>
      </c>
      <c r="F127" s="1452" t="s">
        <v>468</v>
      </c>
      <c r="G127" s="28">
        <v>570725</v>
      </c>
      <c r="H127" s="4" t="s">
        <v>335</v>
      </c>
      <c r="I127" s="736" t="s">
        <v>168</v>
      </c>
      <c r="J127" s="743" t="s">
        <v>205</v>
      </c>
      <c r="K127" s="1546" t="s">
        <v>15007</v>
      </c>
      <c r="L127" s="1546" t="s">
        <v>15008</v>
      </c>
      <c r="M127" s="741" t="s">
        <v>795</v>
      </c>
      <c r="N127" s="741" t="s">
        <v>796</v>
      </c>
      <c r="O127" s="749" t="s">
        <v>43</v>
      </c>
      <c r="P127" s="1550" t="s">
        <v>797</v>
      </c>
      <c r="Q127" s="749" t="s">
        <v>43</v>
      </c>
      <c r="R127" s="748" t="s">
        <v>68</v>
      </c>
      <c r="S127" s="749" t="s">
        <v>43</v>
      </c>
      <c r="T127" s="749" t="s">
        <v>43</v>
      </c>
      <c r="U127" s="749" t="s">
        <v>43</v>
      </c>
      <c r="V127" s="749" t="s">
        <v>43</v>
      </c>
      <c r="W127" s="749" t="s">
        <v>43</v>
      </c>
      <c r="X127" s="736" t="s">
        <v>170</v>
      </c>
      <c r="Y127" s="1452" t="s">
        <v>202</v>
      </c>
      <c r="Z127" s="1452" t="s">
        <v>65</v>
      </c>
      <c r="AA127" s="320">
        <v>4480000</v>
      </c>
    </row>
    <row r="128" spans="1:27" s="27" customFormat="1" ht="15.75" customHeight="1">
      <c r="A128" s="1452"/>
      <c r="B128" s="1546"/>
      <c r="C128" s="1394"/>
      <c r="D128" s="1560"/>
      <c r="E128" s="1546"/>
      <c r="F128" s="1452"/>
      <c r="G128" s="28">
        <v>607132</v>
      </c>
      <c r="H128" s="30" t="s">
        <v>195</v>
      </c>
      <c r="I128" s="736" t="s">
        <v>168</v>
      </c>
      <c r="J128" s="743" t="s">
        <v>199</v>
      </c>
      <c r="K128" s="1546"/>
      <c r="L128" s="1546"/>
      <c r="M128" s="741" t="s">
        <v>798</v>
      </c>
      <c r="N128" s="736" t="s">
        <v>1046</v>
      </c>
      <c r="O128" s="749" t="s">
        <v>43</v>
      </c>
      <c r="P128" s="1550"/>
      <c r="Q128" s="749" t="s">
        <v>43</v>
      </c>
      <c r="R128" s="748" t="s">
        <v>349</v>
      </c>
      <c r="S128" s="749" t="s">
        <v>43</v>
      </c>
      <c r="T128" s="749" t="s">
        <v>43</v>
      </c>
      <c r="U128" s="749" t="s">
        <v>43</v>
      </c>
      <c r="V128" s="749" t="s">
        <v>43</v>
      </c>
      <c r="W128" s="749" t="s">
        <v>1038</v>
      </c>
      <c r="X128" s="736" t="s">
        <v>1054</v>
      </c>
      <c r="Y128" s="1452"/>
      <c r="Z128" s="1452"/>
      <c r="AA128" s="320">
        <v>20800000</v>
      </c>
    </row>
    <row r="129" spans="1:27" s="27" customFormat="1" ht="15.75" customHeight="1">
      <c r="A129" s="1452">
        <v>61</v>
      </c>
      <c r="B129" s="1546">
        <v>518</v>
      </c>
      <c r="C129" s="1394"/>
      <c r="D129" s="1560"/>
      <c r="E129" s="1546" t="s">
        <v>799</v>
      </c>
      <c r="F129" s="1452"/>
      <c r="G129" s="28">
        <v>569713</v>
      </c>
      <c r="H129" s="4" t="s">
        <v>335</v>
      </c>
      <c r="I129" s="736" t="s">
        <v>108</v>
      </c>
      <c r="J129" s="743" t="s">
        <v>205</v>
      </c>
      <c r="K129" s="1546" t="s">
        <v>15009</v>
      </c>
      <c r="L129" s="1546" t="s">
        <v>15010</v>
      </c>
      <c r="M129" s="741" t="s">
        <v>800</v>
      </c>
      <c r="N129" s="741" t="s">
        <v>801</v>
      </c>
      <c r="O129" s="749" t="s">
        <v>43</v>
      </c>
      <c r="P129" s="1550" t="s">
        <v>802</v>
      </c>
      <c r="Q129" s="749" t="s">
        <v>43</v>
      </c>
      <c r="R129" s="748" t="s">
        <v>315</v>
      </c>
      <c r="S129" s="748" t="s">
        <v>438</v>
      </c>
      <c r="T129" s="749" t="s">
        <v>43</v>
      </c>
      <c r="U129" s="749" t="s">
        <v>43</v>
      </c>
      <c r="V129" s="749" t="s">
        <v>43</v>
      </c>
      <c r="W129" s="749" t="s">
        <v>43</v>
      </c>
      <c r="X129" s="736" t="s">
        <v>299</v>
      </c>
      <c r="Y129" s="1452" t="s">
        <v>202</v>
      </c>
      <c r="Z129" s="1452" t="s">
        <v>65</v>
      </c>
      <c r="AA129" s="320">
        <v>4480000</v>
      </c>
    </row>
    <row r="130" spans="1:27" s="27" customFormat="1" ht="15.75" customHeight="1">
      <c r="A130" s="1452"/>
      <c r="B130" s="1546"/>
      <c r="C130" s="1394"/>
      <c r="D130" s="1560"/>
      <c r="E130" s="1546"/>
      <c r="F130" s="1452"/>
      <c r="G130" s="28">
        <v>607133</v>
      </c>
      <c r="H130" s="30" t="s">
        <v>195</v>
      </c>
      <c r="I130" s="736" t="s">
        <v>168</v>
      </c>
      <c r="J130" s="743" t="s">
        <v>199</v>
      </c>
      <c r="K130" s="1546"/>
      <c r="L130" s="1546"/>
      <c r="M130" s="741" t="s">
        <v>803</v>
      </c>
      <c r="N130" s="736" t="s">
        <v>1047</v>
      </c>
      <c r="O130" s="749" t="s">
        <v>43</v>
      </c>
      <c r="P130" s="1550"/>
      <c r="Q130" s="749" t="s">
        <v>43</v>
      </c>
      <c r="R130" s="748" t="s">
        <v>68</v>
      </c>
      <c r="S130" s="749" t="s">
        <v>43</v>
      </c>
      <c r="T130" s="749" t="s">
        <v>43</v>
      </c>
      <c r="U130" s="749" t="s">
        <v>43</v>
      </c>
      <c r="V130" s="749" t="s">
        <v>43</v>
      </c>
      <c r="W130" s="749" t="s">
        <v>43</v>
      </c>
      <c r="X130" s="736" t="s">
        <v>170</v>
      </c>
      <c r="Y130" s="1452"/>
      <c r="Z130" s="1452"/>
      <c r="AA130" s="320">
        <v>20800000</v>
      </c>
    </row>
    <row r="131" spans="1:27" s="27" customFormat="1" ht="15.75" customHeight="1">
      <c r="A131" s="1452">
        <v>62</v>
      </c>
      <c r="B131" s="1546">
        <v>519</v>
      </c>
      <c r="C131" s="1394"/>
      <c r="D131" s="1560"/>
      <c r="E131" s="1555" t="s">
        <v>804</v>
      </c>
      <c r="F131" s="1452" t="s">
        <v>480</v>
      </c>
      <c r="G131" s="28" t="s">
        <v>805</v>
      </c>
      <c r="H131" s="4" t="s">
        <v>335</v>
      </c>
      <c r="I131" s="736" t="s">
        <v>108</v>
      </c>
      <c r="J131" s="743" t="s">
        <v>199</v>
      </c>
      <c r="K131" s="1559" t="s">
        <v>15101</v>
      </c>
      <c r="L131" s="1546" t="s">
        <v>15102</v>
      </c>
      <c r="M131" s="741" t="s">
        <v>806</v>
      </c>
      <c r="N131" s="741" t="s">
        <v>807</v>
      </c>
      <c r="O131" s="749" t="s">
        <v>43</v>
      </c>
      <c r="P131" s="1550" t="s">
        <v>808</v>
      </c>
      <c r="Q131" s="749" t="s">
        <v>43</v>
      </c>
      <c r="R131" s="748" t="s">
        <v>315</v>
      </c>
      <c r="S131" s="748" t="s">
        <v>438</v>
      </c>
      <c r="T131" s="749" t="s">
        <v>43</v>
      </c>
      <c r="U131" s="749" t="s">
        <v>43</v>
      </c>
      <c r="V131" s="749" t="s">
        <v>43</v>
      </c>
      <c r="W131" s="749" t="s">
        <v>43</v>
      </c>
      <c r="X131" s="736" t="s">
        <v>299</v>
      </c>
      <c r="Y131" s="1452" t="s">
        <v>202</v>
      </c>
      <c r="Z131" s="1452" t="s">
        <v>65</v>
      </c>
      <c r="AA131" s="320">
        <v>8960000</v>
      </c>
    </row>
    <row r="132" spans="1:27" s="27" customFormat="1" ht="15.75" customHeight="1">
      <c r="A132" s="1452"/>
      <c r="B132" s="1546"/>
      <c r="C132" s="1394"/>
      <c r="D132" s="1560"/>
      <c r="E132" s="1555"/>
      <c r="F132" s="1452"/>
      <c r="G132" s="28">
        <v>607134</v>
      </c>
      <c r="H132" s="30" t="s">
        <v>195</v>
      </c>
      <c r="I132" s="736" t="s">
        <v>168</v>
      </c>
      <c r="J132" s="743" t="s">
        <v>199</v>
      </c>
      <c r="K132" s="1559"/>
      <c r="L132" s="1546"/>
      <c r="M132" s="741" t="s">
        <v>809</v>
      </c>
      <c r="N132" s="736" t="s">
        <v>1048</v>
      </c>
      <c r="O132" s="749" t="s">
        <v>43</v>
      </c>
      <c r="P132" s="1550"/>
      <c r="Q132" s="749" t="s">
        <v>43</v>
      </c>
      <c r="R132" s="748" t="s">
        <v>68</v>
      </c>
      <c r="S132" s="749" t="s">
        <v>43</v>
      </c>
      <c r="T132" s="749" t="s">
        <v>43</v>
      </c>
      <c r="U132" s="749" t="s">
        <v>43</v>
      </c>
      <c r="V132" s="749" t="s">
        <v>43</v>
      </c>
      <c r="W132" s="749" t="s">
        <v>43</v>
      </c>
      <c r="X132" s="736" t="s">
        <v>170</v>
      </c>
      <c r="Y132" s="1452"/>
      <c r="Z132" s="1452"/>
      <c r="AA132" s="320">
        <v>20800000</v>
      </c>
    </row>
    <row r="133" spans="1:27" s="27" customFormat="1" ht="15.75" customHeight="1">
      <c r="A133" s="1452">
        <v>63</v>
      </c>
      <c r="B133" s="1546">
        <v>522</v>
      </c>
      <c r="C133" s="1394"/>
      <c r="D133" s="1560"/>
      <c r="E133" s="1546" t="s">
        <v>810</v>
      </c>
      <c r="F133" s="1452" t="s">
        <v>468</v>
      </c>
      <c r="G133" s="28" t="s">
        <v>811</v>
      </c>
      <c r="H133" s="4" t="s">
        <v>335</v>
      </c>
      <c r="I133" s="736" t="s">
        <v>168</v>
      </c>
      <c r="J133" s="743" t="s">
        <v>205</v>
      </c>
      <c r="K133" s="1559" t="s">
        <v>15097</v>
      </c>
      <c r="L133" s="1546" t="s">
        <v>15099</v>
      </c>
      <c r="M133" s="741" t="s">
        <v>812</v>
      </c>
      <c r="N133" s="741" t="s">
        <v>813</v>
      </c>
      <c r="O133" s="749" t="s">
        <v>43</v>
      </c>
      <c r="P133" s="1550" t="s">
        <v>814</v>
      </c>
      <c r="Q133" s="749" t="s">
        <v>43</v>
      </c>
      <c r="R133" s="748" t="s">
        <v>142</v>
      </c>
      <c r="S133" s="749" t="s">
        <v>43</v>
      </c>
      <c r="T133" s="749" t="s">
        <v>43</v>
      </c>
      <c r="U133" s="749" t="s">
        <v>43</v>
      </c>
      <c r="V133" s="749" t="s">
        <v>43</v>
      </c>
      <c r="W133" s="748" t="s">
        <v>1050</v>
      </c>
      <c r="X133" s="736" t="s">
        <v>170</v>
      </c>
      <c r="Y133" s="1452" t="s">
        <v>202</v>
      </c>
      <c r="Z133" s="1452" t="s">
        <v>65</v>
      </c>
      <c r="AA133" s="320">
        <v>4480000</v>
      </c>
    </row>
    <row r="134" spans="1:27" s="27" customFormat="1" ht="15.75" customHeight="1">
      <c r="A134" s="1452"/>
      <c r="B134" s="1546"/>
      <c r="C134" s="1394"/>
      <c r="D134" s="1560"/>
      <c r="E134" s="1546"/>
      <c r="F134" s="1452"/>
      <c r="G134" s="28" t="s">
        <v>815</v>
      </c>
      <c r="H134" s="30" t="s">
        <v>195</v>
      </c>
      <c r="I134" s="736" t="s">
        <v>168</v>
      </c>
      <c r="J134" s="743" t="s">
        <v>199</v>
      </c>
      <c r="K134" s="1559"/>
      <c r="L134" s="1546"/>
      <c r="M134" s="741" t="s">
        <v>816</v>
      </c>
      <c r="N134" s="736" t="s">
        <v>1049</v>
      </c>
      <c r="O134" s="749" t="s">
        <v>43</v>
      </c>
      <c r="P134" s="1550"/>
      <c r="Q134" s="749" t="s">
        <v>43</v>
      </c>
      <c r="R134" s="748" t="s">
        <v>68</v>
      </c>
      <c r="S134" s="749" t="s">
        <v>43</v>
      </c>
      <c r="T134" s="749" t="s">
        <v>43</v>
      </c>
      <c r="U134" s="749" t="s">
        <v>43</v>
      </c>
      <c r="V134" s="749" t="s">
        <v>43</v>
      </c>
      <c r="W134" s="749" t="s">
        <v>43</v>
      </c>
      <c r="X134" s="736" t="s">
        <v>170</v>
      </c>
      <c r="Y134" s="1452"/>
      <c r="Z134" s="1452"/>
      <c r="AA134" s="320">
        <v>20800000</v>
      </c>
    </row>
    <row r="135" spans="1:27" s="27" customFormat="1" ht="15.75" customHeight="1">
      <c r="A135" s="1452">
        <v>64</v>
      </c>
      <c r="B135" s="1546">
        <v>523</v>
      </c>
      <c r="C135" s="1394"/>
      <c r="D135" s="1560"/>
      <c r="E135" s="1546" t="s">
        <v>817</v>
      </c>
      <c r="F135" s="1452"/>
      <c r="G135" s="28">
        <v>587906</v>
      </c>
      <c r="H135" s="4" t="s">
        <v>335</v>
      </c>
      <c r="I135" s="736" t="s">
        <v>168</v>
      </c>
      <c r="J135" s="743" t="s">
        <v>205</v>
      </c>
      <c r="K135" s="1546" t="s">
        <v>15098</v>
      </c>
      <c r="L135" s="1546" t="s">
        <v>15100</v>
      </c>
      <c r="M135" s="741" t="s">
        <v>818</v>
      </c>
      <c r="N135" s="741" t="s">
        <v>819</v>
      </c>
      <c r="O135" s="749" t="s">
        <v>43</v>
      </c>
      <c r="P135" s="1550" t="s">
        <v>820</v>
      </c>
      <c r="Q135" s="749" t="s">
        <v>43</v>
      </c>
      <c r="R135" s="748" t="s">
        <v>821</v>
      </c>
      <c r="S135" s="749" t="s">
        <v>43</v>
      </c>
      <c r="T135" s="749" t="s">
        <v>43</v>
      </c>
      <c r="U135" s="749" t="s">
        <v>43</v>
      </c>
      <c r="V135" s="749" t="s">
        <v>43</v>
      </c>
      <c r="W135" s="748" t="s">
        <v>822</v>
      </c>
      <c r="X135" s="736" t="s">
        <v>170</v>
      </c>
      <c r="Y135" s="1452" t="s">
        <v>202</v>
      </c>
      <c r="Z135" s="1452" t="s">
        <v>65</v>
      </c>
      <c r="AA135" s="320">
        <v>4480000</v>
      </c>
    </row>
    <row r="136" spans="1:27" s="27" customFormat="1" ht="16.5" customHeight="1">
      <c r="A136" s="1452"/>
      <c r="B136" s="1546"/>
      <c r="C136" s="1394"/>
      <c r="D136" s="1560"/>
      <c r="E136" s="1546"/>
      <c r="F136" s="1452"/>
      <c r="G136" s="28">
        <v>587668</v>
      </c>
      <c r="H136" s="30" t="s">
        <v>195</v>
      </c>
      <c r="I136" s="736" t="s">
        <v>168</v>
      </c>
      <c r="J136" s="743" t="s">
        <v>199</v>
      </c>
      <c r="K136" s="1546"/>
      <c r="L136" s="1546"/>
      <c r="M136" s="741" t="s">
        <v>823</v>
      </c>
      <c r="N136" s="736" t="s">
        <v>1051</v>
      </c>
      <c r="O136" s="749" t="s">
        <v>43</v>
      </c>
      <c r="P136" s="1550"/>
      <c r="Q136" s="749" t="s">
        <v>43</v>
      </c>
      <c r="R136" s="748" t="s">
        <v>68</v>
      </c>
      <c r="S136" s="749" t="s">
        <v>43</v>
      </c>
      <c r="T136" s="749" t="s">
        <v>43</v>
      </c>
      <c r="U136" s="749" t="s">
        <v>43</v>
      </c>
      <c r="V136" s="749" t="s">
        <v>43</v>
      </c>
      <c r="W136" s="749" t="s">
        <v>43</v>
      </c>
      <c r="X136" s="736" t="s">
        <v>170</v>
      </c>
      <c r="Y136" s="1452"/>
      <c r="Z136" s="1452"/>
      <c r="AA136" s="320">
        <v>20800000</v>
      </c>
    </row>
    <row r="137" spans="1:27" s="27" customFormat="1" ht="15.75" customHeight="1">
      <c r="A137" s="1452">
        <v>65</v>
      </c>
      <c r="B137" s="1546">
        <v>524</v>
      </c>
      <c r="C137" s="1394"/>
      <c r="D137" s="1560"/>
      <c r="E137" s="1546" t="s">
        <v>824</v>
      </c>
      <c r="F137" s="1452" t="s">
        <v>475</v>
      </c>
      <c r="G137" s="28">
        <v>588306</v>
      </c>
      <c r="H137" s="4" t="s">
        <v>335</v>
      </c>
      <c r="I137" s="736" t="s">
        <v>168</v>
      </c>
      <c r="J137" s="743" t="s">
        <v>199</v>
      </c>
      <c r="K137" s="1546" t="s">
        <v>15103</v>
      </c>
      <c r="L137" s="1546" t="s">
        <v>15104</v>
      </c>
      <c r="M137" s="741" t="s">
        <v>825</v>
      </c>
      <c r="N137" s="741" t="s">
        <v>826</v>
      </c>
      <c r="O137" s="749" t="s">
        <v>43</v>
      </c>
      <c r="P137" s="1550" t="s">
        <v>827</v>
      </c>
      <c r="Q137" s="749" t="s">
        <v>43</v>
      </c>
      <c r="R137" s="748" t="s">
        <v>349</v>
      </c>
      <c r="S137" s="749" t="s">
        <v>43</v>
      </c>
      <c r="T137" s="749" t="s">
        <v>43</v>
      </c>
      <c r="U137" s="749" t="s">
        <v>43</v>
      </c>
      <c r="V137" s="749" t="s">
        <v>43</v>
      </c>
      <c r="W137" s="749" t="s">
        <v>1053</v>
      </c>
      <c r="X137" s="736" t="s">
        <v>1054</v>
      </c>
      <c r="Y137" s="1452" t="s">
        <v>12123</v>
      </c>
      <c r="Z137" s="1452" t="s">
        <v>65</v>
      </c>
      <c r="AA137" s="320">
        <v>8960000</v>
      </c>
    </row>
    <row r="138" spans="1:27" s="27" customFormat="1" ht="15.75" customHeight="1">
      <c r="A138" s="1452"/>
      <c r="B138" s="1546"/>
      <c r="C138" s="1394"/>
      <c r="D138" s="1560"/>
      <c r="E138" s="1546"/>
      <c r="F138" s="1452"/>
      <c r="G138" s="28">
        <v>587857</v>
      </c>
      <c r="H138" s="30" t="s">
        <v>195</v>
      </c>
      <c r="I138" s="779" t="s">
        <v>168</v>
      </c>
      <c r="J138" s="782" t="s">
        <v>199</v>
      </c>
      <c r="K138" s="1546"/>
      <c r="L138" s="1546"/>
      <c r="M138" s="780" t="s">
        <v>828</v>
      </c>
      <c r="N138" s="779" t="s">
        <v>1052</v>
      </c>
      <c r="O138" s="781" t="s">
        <v>43</v>
      </c>
      <c r="P138" s="1550"/>
      <c r="Q138" s="781" t="s">
        <v>43</v>
      </c>
      <c r="R138" s="783" t="s">
        <v>68</v>
      </c>
      <c r="S138" s="781" t="s">
        <v>43</v>
      </c>
      <c r="T138" s="781" t="s">
        <v>43</v>
      </c>
      <c r="U138" s="781" t="s">
        <v>43</v>
      </c>
      <c r="V138" s="781" t="s">
        <v>43</v>
      </c>
      <c r="W138" s="781" t="s">
        <v>43</v>
      </c>
      <c r="X138" s="779" t="s">
        <v>170</v>
      </c>
      <c r="Y138" s="1452"/>
      <c r="Z138" s="1452"/>
      <c r="AA138" s="320">
        <v>20800000</v>
      </c>
    </row>
    <row r="139" spans="1:27" s="27" customFormat="1" ht="15.75" customHeight="1">
      <c r="A139" s="1452"/>
      <c r="B139" s="1546"/>
      <c r="C139" s="1394"/>
      <c r="D139" s="1560"/>
      <c r="E139" s="1546"/>
      <c r="F139" s="1452"/>
      <c r="G139" s="781" t="s">
        <v>43</v>
      </c>
      <c r="H139" s="4" t="s">
        <v>44</v>
      </c>
      <c r="I139" s="815" t="s">
        <v>45</v>
      </c>
      <c r="J139" s="51" t="s">
        <v>201</v>
      </c>
      <c r="K139" s="1546"/>
      <c r="L139" s="1546"/>
      <c r="M139" s="780" t="s">
        <v>15113</v>
      </c>
      <c r="N139" s="780" t="s">
        <v>15114</v>
      </c>
      <c r="O139" s="781" t="s">
        <v>43</v>
      </c>
      <c r="P139" s="1550"/>
      <c r="Q139" s="781" t="s">
        <v>43</v>
      </c>
      <c r="R139" s="783" t="s">
        <v>48</v>
      </c>
      <c r="S139" s="781" t="s">
        <v>43</v>
      </c>
      <c r="T139" s="749" t="s">
        <v>43</v>
      </c>
      <c r="U139" s="781" t="s">
        <v>43</v>
      </c>
      <c r="V139" s="781" t="s">
        <v>43</v>
      </c>
      <c r="W139" s="783" t="s">
        <v>979</v>
      </c>
      <c r="X139" s="779" t="s">
        <v>50</v>
      </c>
      <c r="Y139" s="1452"/>
      <c r="Z139" s="1452"/>
      <c r="AA139" s="320">
        <v>0</v>
      </c>
    </row>
    <row r="140" spans="1:27" s="27" customFormat="1" ht="15.75" customHeight="1">
      <c r="A140" s="1452">
        <v>66</v>
      </c>
      <c r="B140" s="1546">
        <v>525</v>
      </c>
      <c r="C140" s="1394"/>
      <c r="D140" s="1560"/>
      <c r="E140" s="1546" t="s">
        <v>829</v>
      </c>
      <c r="F140" s="1452" t="s">
        <v>480</v>
      </c>
      <c r="G140" s="28">
        <v>588323</v>
      </c>
      <c r="H140" s="4" t="s">
        <v>335</v>
      </c>
      <c r="I140" s="736" t="s">
        <v>168</v>
      </c>
      <c r="J140" s="743" t="s">
        <v>205</v>
      </c>
      <c r="K140" s="1546" t="s">
        <v>15105</v>
      </c>
      <c r="L140" s="1546" t="s">
        <v>15106</v>
      </c>
      <c r="M140" s="741" t="s">
        <v>830</v>
      </c>
      <c r="N140" s="741" t="s">
        <v>831</v>
      </c>
      <c r="O140" s="749" t="s">
        <v>43</v>
      </c>
      <c r="P140" s="1550" t="s">
        <v>832</v>
      </c>
      <c r="Q140" s="749" t="s">
        <v>43</v>
      </c>
      <c r="R140" s="748" t="s">
        <v>68</v>
      </c>
      <c r="S140" s="749" t="s">
        <v>43</v>
      </c>
      <c r="T140" s="749" t="s">
        <v>43</v>
      </c>
      <c r="U140" s="749" t="s">
        <v>43</v>
      </c>
      <c r="V140" s="749" t="s">
        <v>43</v>
      </c>
      <c r="W140" s="749" t="s">
        <v>43</v>
      </c>
      <c r="X140" s="736" t="s">
        <v>170</v>
      </c>
      <c r="Y140" s="1452" t="s">
        <v>202</v>
      </c>
      <c r="Z140" s="1452" t="s">
        <v>65</v>
      </c>
      <c r="AA140" s="320">
        <v>4480000</v>
      </c>
    </row>
    <row r="141" spans="1:27" s="27" customFormat="1" ht="15.75" customHeight="1">
      <c r="A141" s="1452"/>
      <c r="B141" s="1546"/>
      <c r="C141" s="1394"/>
      <c r="D141" s="1560"/>
      <c r="E141" s="1546"/>
      <c r="F141" s="1452"/>
      <c r="G141" s="28">
        <v>588136</v>
      </c>
      <c r="H141" s="30" t="s">
        <v>195</v>
      </c>
      <c r="I141" s="736" t="s">
        <v>168</v>
      </c>
      <c r="J141" s="743" t="s">
        <v>199</v>
      </c>
      <c r="K141" s="1546"/>
      <c r="L141" s="1546"/>
      <c r="M141" s="741" t="s">
        <v>833</v>
      </c>
      <c r="N141" s="736" t="s">
        <v>1055</v>
      </c>
      <c r="O141" s="749" t="s">
        <v>43</v>
      </c>
      <c r="P141" s="1550"/>
      <c r="Q141" s="749" t="s">
        <v>43</v>
      </c>
      <c r="R141" s="748" t="s">
        <v>349</v>
      </c>
      <c r="S141" s="749" t="s">
        <v>43</v>
      </c>
      <c r="T141" s="749" t="s">
        <v>43</v>
      </c>
      <c r="U141" s="749" t="s">
        <v>43</v>
      </c>
      <c r="V141" s="749" t="s">
        <v>43</v>
      </c>
      <c r="W141" s="749" t="s">
        <v>1038</v>
      </c>
      <c r="X141" s="736" t="s">
        <v>1054</v>
      </c>
      <c r="Y141" s="1452"/>
      <c r="Z141" s="1452"/>
      <c r="AA141" s="320">
        <v>20800000</v>
      </c>
    </row>
    <row r="142" spans="1:27" s="27" customFormat="1" ht="15.75" customHeight="1">
      <c r="A142" s="1452">
        <v>67</v>
      </c>
      <c r="B142" s="1546">
        <v>526</v>
      </c>
      <c r="C142" s="1394"/>
      <c r="D142" s="1560"/>
      <c r="E142" s="1546" t="s">
        <v>834</v>
      </c>
      <c r="F142" s="1452" t="s">
        <v>475</v>
      </c>
      <c r="G142" s="28">
        <v>599492</v>
      </c>
      <c r="H142" s="4" t="s">
        <v>335</v>
      </c>
      <c r="I142" s="736" t="s">
        <v>168</v>
      </c>
      <c r="J142" s="743" t="s">
        <v>205</v>
      </c>
      <c r="K142" s="1546" t="s">
        <v>15107</v>
      </c>
      <c r="L142" s="1546" t="s">
        <v>15108</v>
      </c>
      <c r="M142" s="741" t="s">
        <v>835</v>
      </c>
      <c r="N142" s="741" t="s">
        <v>836</v>
      </c>
      <c r="O142" s="749" t="s">
        <v>43</v>
      </c>
      <c r="P142" s="1550" t="s">
        <v>837</v>
      </c>
      <c r="Q142" s="749" t="s">
        <v>43</v>
      </c>
      <c r="R142" s="748" t="s">
        <v>838</v>
      </c>
      <c r="S142" s="749" t="s">
        <v>43</v>
      </c>
      <c r="T142" s="749" t="s">
        <v>43</v>
      </c>
      <c r="U142" s="749" t="s">
        <v>43</v>
      </c>
      <c r="V142" s="749" t="s">
        <v>43</v>
      </c>
      <c r="W142" s="748" t="s">
        <v>839</v>
      </c>
      <c r="X142" s="736" t="s">
        <v>170</v>
      </c>
      <c r="Y142" s="1452" t="s">
        <v>202</v>
      </c>
      <c r="Z142" s="1452" t="s">
        <v>65</v>
      </c>
      <c r="AA142" s="320">
        <v>4480000</v>
      </c>
    </row>
    <row r="143" spans="1:27" s="27" customFormat="1" ht="15.75" customHeight="1">
      <c r="A143" s="1452"/>
      <c r="B143" s="1546"/>
      <c r="C143" s="1394"/>
      <c r="D143" s="1560"/>
      <c r="E143" s="1546"/>
      <c r="F143" s="1452"/>
      <c r="G143" s="28">
        <v>591780</v>
      </c>
      <c r="H143" s="30" t="s">
        <v>195</v>
      </c>
      <c r="I143" s="736" t="s">
        <v>168</v>
      </c>
      <c r="J143" s="743" t="s">
        <v>199</v>
      </c>
      <c r="K143" s="1546"/>
      <c r="L143" s="1546"/>
      <c r="M143" s="741" t="s">
        <v>840</v>
      </c>
      <c r="N143" s="736" t="s">
        <v>1056</v>
      </c>
      <c r="O143" s="749" t="s">
        <v>43</v>
      </c>
      <c r="P143" s="1550"/>
      <c r="Q143" s="749" t="s">
        <v>43</v>
      </c>
      <c r="R143" s="748" t="s">
        <v>68</v>
      </c>
      <c r="S143" s="749" t="s">
        <v>43</v>
      </c>
      <c r="T143" s="749" t="s">
        <v>43</v>
      </c>
      <c r="U143" s="749" t="s">
        <v>43</v>
      </c>
      <c r="V143" s="749" t="s">
        <v>43</v>
      </c>
      <c r="W143" s="749" t="s">
        <v>43</v>
      </c>
      <c r="X143" s="736" t="s">
        <v>170</v>
      </c>
      <c r="Y143" s="1452"/>
      <c r="Z143" s="1452"/>
      <c r="AA143" s="320">
        <v>20800000</v>
      </c>
    </row>
    <row r="144" spans="1:27" s="27" customFormat="1" ht="15.75" customHeight="1">
      <c r="A144" s="1452">
        <v>68</v>
      </c>
      <c r="B144" s="1546">
        <v>527</v>
      </c>
      <c r="C144" s="1394"/>
      <c r="D144" s="1560"/>
      <c r="E144" s="1546" t="s">
        <v>12140</v>
      </c>
      <c r="F144" s="1452" t="s">
        <v>425</v>
      </c>
      <c r="G144" s="28">
        <v>600854</v>
      </c>
      <c r="H144" s="4" t="s">
        <v>335</v>
      </c>
      <c r="I144" s="1452" t="s">
        <v>29</v>
      </c>
      <c r="J144" s="743" t="s">
        <v>199</v>
      </c>
      <c r="K144" s="1556" t="s">
        <v>15111</v>
      </c>
      <c r="L144" s="1546" t="s">
        <v>15112</v>
      </c>
      <c r="M144" s="741" t="s">
        <v>842</v>
      </c>
      <c r="N144" s="741" t="s">
        <v>843</v>
      </c>
      <c r="O144" s="749" t="s">
        <v>43</v>
      </c>
      <c r="P144" s="1550" t="s">
        <v>844</v>
      </c>
      <c r="Q144" s="749" t="s">
        <v>43</v>
      </c>
      <c r="R144" s="748" t="s">
        <v>845</v>
      </c>
      <c r="S144" s="749" t="s">
        <v>43</v>
      </c>
      <c r="T144" s="1557" t="s">
        <v>4753</v>
      </c>
      <c r="U144" s="749" t="s">
        <v>43</v>
      </c>
      <c r="V144" s="749" t="s">
        <v>43</v>
      </c>
      <c r="W144" s="748" t="s">
        <v>846</v>
      </c>
      <c r="X144" s="1390" t="s">
        <v>450</v>
      </c>
      <c r="Y144" s="1452" t="s">
        <v>202</v>
      </c>
      <c r="Z144" s="1452" t="s">
        <v>484</v>
      </c>
      <c r="AA144" s="320">
        <v>15600000</v>
      </c>
    </row>
    <row r="145" spans="1:27" s="27" customFormat="1" ht="15.75" customHeight="1">
      <c r="A145" s="1452"/>
      <c r="B145" s="1546"/>
      <c r="C145" s="1394"/>
      <c r="D145" s="1560"/>
      <c r="E145" s="1546"/>
      <c r="F145" s="1452"/>
      <c r="G145" s="28" t="s">
        <v>12144</v>
      </c>
      <c r="H145" s="30" t="s">
        <v>195</v>
      </c>
      <c r="I145" s="1452"/>
      <c r="J145" s="782" t="s">
        <v>204</v>
      </c>
      <c r="K145" s="1556"/>
      <c r="L145" s="1546"/>
      <c r="M145" s="780" t="s">
        <v>847</v>
      </c>
      <c r="N145" s="779" t="s">
        <v>1057</v>
      </c>
      <c r="O145" s="781" t="s">
        <v>43</v>
      </c>
      <c r="P145" s="1550"/>
      <c r="Q145" s="781" t="s">
        <v>43</v>
      </c>
      <c r="R145" s="783" t="s">
        <v>68</v>
      </c>
      <c r="S145" s="781" t="s">
        <v>43</v>
      </c>
      <c r="T145" s="1557"/>
      <c r="U145" s="781" t="s">
        <v>43</v>
      </c>
      <c r="V145" s="781" t="s">
        <v>43</v>
      </c>
      <c r="W145" s="781" t="s">
        <v>43</v>
      </c>
      <c r="X145" s="1395"/>
      <c r="Y145" s="1452"/>
      <c r="Z145" s="1452"/>
      <c r="AA145" s="320">
        <v>36400000</v>
      </c>
    </row>
    <row r="146" spans="1:27" s="27" customFormat="1" ht="15.75" customHeight="1">
      <c r="A146" s="1452"/>
      <c r="B146" s="1546"/>
      <c r="C146" s="1394"/>
      <c r="D146" s="1560"/>
      <c r="E146" s="1546"/>
      <c r="F146" s="1452"/>
      <c r="G146" s="781" t="s">
        <v>43</v>
      </c>
      <c r="H146" s="4" t="s">
        <v>44</v>
      </c>
      <c r="I146" s="1452"/>
      <c r="J146" s="51" t="s">
        <v>201</v>
      </c>
      <c r="K146" s="1556"/>
      <c r="L146" s="1546"/>
      <c r="M146" s="780" t="s">
        <v>15110</v>
      </c>
      <c r="N146" s="780" t="s">
        <v>15109</v>
      </c>
      <c r="O146" s="781" t="s">
        <v>43</v>
      </c>
      <c r="P146" s="1550"/>
      <c r="Q146" s="781" t="s">
        <v>43</v>
      </c>
      <c r="R146" s="783" t="s">
        <v>48</v>
      </c>
      <c r="S146" s="781" t="s">
        <v>43</v>
      </c>
      <c r="T146" s="1558"/>
      <c r="U146" s="781" t="s">
        <v>43</v>
      </c>
      <c r="V146" s="781" t="s">
        <v>43</v>
      </c>
      <c r="W146" s="783" t="s">
        <v>979</v>
      </c>
      <c r="X146" s="779" t="s">
        <v>50</v>
      </c>
      <c r="Y146" s="1452"/>
      <c r="Z146" s="1452"/>
      <c r="AA146" s="320">
        <v>0</v>
      </c>
    </row>
    <row r="147" spans="1:27" s="27" customFormat="1" ht="15.75" customHeight="1">
      <c r="A147" s="1452">
        <v>69</v>
      </c>
      <c r="B147" s="1546">
        <v>528</v>
      </c>
      <c r="C147" s="1394"/>
      <c r="D147" s="1560"/>
      <c r="E147" s="1546" t="s">
        <v>848</v>
      </c>
      <c r="F147" s="1452" t="s">
        <v>441</v>
      </c>
      <c r="G147" s="28" t="s">
        <v>849</v>
      </c>
      <c r="H147" s="4" t="s">
        <v>335</v>
      </c>
      <c r="I147" s="736" t="s">
        <v>168</v>
      </c>
      <c r="J147" s="743" t="s">
        <v>205</v>
      </c>
      <c r="K147" s="1546" t="s">
        <v>15115</v>
      </c>
      <c r="L147" s="1546" t="s">
        <v>15116</v>
      </c>
      <c r="M147" s="741" t="s">
        <v>850</v>
      </c>
      <c r="N147" s="741" t="s">
        <v>851</v>
      </c>
      <c r="O147" s="749" t="s">
        <v>43</v>
      </c>
      <c r="P147" s="1550" t="s">
        <v>852</v>
      </c>
      <c r="Q147" s="749" t="s">
        <v>43</v>
      </c>
      <c r="R147" s="748" t="s">
        <v>853</v>
      </c>
      <c r="S147" s="749" t="s">
        <v>43</v>
      </c>
      <c r="T147" s="749" t="s">
        <v>43</v>
      </c>
      <c r="U147" s="749" t="s">
        <v>43</v>
      </c>
      <c r="V147" s="749" t="s">
        <v>43</v>
      </c>
      <c r="W147" s="748" t="s">
        <v>854</v>
      </c>
      <c r="X147" s="736" t="s">
        <v>170</v>
      </c>
      <c r="Y147" s="1452" t="s">
        <v>202</v>
      </c>
      <c r="Z147" s="1452" t="s">
        <v>65</v>
      </c>
      <c r="AA147" s="320">
        <v>4480000</v>
      </c>
    </row>
    <row r="148" spans="1:27" s="27" customFormat="1" ht="15.75" customHeight="1">
      <c r="A148" s="1452"/>
      <c r="B148" s="1546"/>
      <c r="C148" s="1394"/>
      <c r="D148" s="1560"/>
      <c r="E148" s="1546"/>
      <c r="F148" s="1452"/>
      <c r="G148" s="28" t="s">
        <v>855</v>
      </c>
      <c r="H148" s="30" t="s">
        <v>195</v>
      </c>
      <c r="I148" s="736" t="s">
        <v>168</v>
      </c>
      <c r="J148" s="743" t="s">
        <v>199</v>
      </c>
      <c r="K148" s="1546"/>
      <c r="L148" s="1546"/>
      <c r="M148" s="741" t="s">
        <v>856</v>
      </c>
      <c r="N148" s="736" t="s">
        <v>1058</v>
      </c>
      <c r="O148" s="749" t="s">
        <v>43</v>
      </c>
      <c r="P148" s="1550"/>
      <c r="Q148" s="749" t="s">
        <v>43</v>
      </c>
      <c r="R148" s="748" t="s">
        <v>246</v>
      </c>
      <c r="S148" s="749" t="s">
        <v>43</v>
      </c>
      <c r="T148" s="749" t="s">
        <v>43</v>
      </c>
      <c r="U148" s="749" t="s">
        <v>43</v>
      </c>
      <c r="V148" s="749" t="s">
        <v>43</v>
      </c>
      <c r="W148" s="748" t="s">
        <v>611</v>
      </c>
      <c r="X148" s="736" t="s">
        <v>170</v>
      </c>
      <c r="Y148" s="1452"/>
      <c r="Z148" s="1452"/>
      <c r="AA148" s="320">
        <v>20800000</v>
      </c>
    </row>
    <row r="149" spans="1:27" s="27" customFormat="1" ht="15.75" customHeight="1">
      <c r="A149" s="1452">
        <v>70</v>
      </c>
      <c r="B149" s="1546">
        <v>529</v>
      </c>
      <c r="C149" s="1394"/>
      <c r="D149" s="1560"/>
      <c r="E149" s="1546" t="s">
        <v>857</v>
      </c>
      <c r="F149" s="1452" t="s">
        <v>468</v>
      </c>
      <c r="G149" s="28">
        <v>601306</v>
      </c>
      <c r="H149" s="4" t="s">
        <v>335</v>
      </c>
      <c r="I149" s="736" t="s">
        <v>168</v>
      </c>
      <c r="J149" s="743" t="s">
        <v>205</v>
      </c>
      <c r="K149" s="1546" t="s">
        <v>15117</v>
      </c>
      <c r="L149" s="1546" t="s">
        <v>15118</v>
      </c>
      <c r="M149" s="741" t="s">
        <v>858</v>
      </c>
      <c r="N149" s="741" t="s">
        <v>859</v>
      </c>
      <c r="O149" s="749" t="s">
        <v>43</v>
      </c>
      <c r="P149" s="1550" t="s">
        <v>860</v>
      </c>
      <c r="Q149" s="749" t="s">
        <v>43</v>
      </c>
      <c r="R149" s="748" t="s">
        <v>68</v>
      </c>
      <c r="S149" s="749" t="s">
        <v>43</v>
      </c>
      <c r="T149" s="749" t="s">
        <v>43</v>
      </c>
      <c r="U149" s="749" t="s">
        <v>43</v>
      </c>
      <c r="V149" s="749" t="s">
        <v>43</v>
      </c>
      <c r="W149" s="749" t="s">
        <v>43</v>
      </c>
      <c r="X149" s="736" t="s">
        <v>1054</v>
      </c>
      <c r="Y149" s="1452" t="s">
        <v>202</v>
      </c>
      <c r="Z149" s="1452" t="s">
        <v>65</v>
      </c>
      <c r="AA149" s="320">
        <v>4480000</v>
      </c>
    </row>
    <row r="150" spans="1:27" s="27" customFormat="1" ht="15.75" customHeight="1">
      <c r="A150" s="1452"/>
      <c r="B150" s="1546"/>
      <c r="C150" s="1394"/>
      <c r="D150" s="1560"/>
      <c r="E150" s="1546"/>
      <c r="F150" s="1452"/>
      <c r="G150" s="28">
        <v>603796</v>
      </c>
      <c r="H150" s="30" t="s">
        <v>195</v>
      </c>
      <c r="I150" s="736" t="s">
        <v>168</v>
      </c>
      <c r="J150" s="743" t="s">
        <v>199</v>
      </c>
      <c r="K150" s="1546"/>
      <c r="L150" s="1546"/>
      <c r="M150" s="741" t="s">
        <v>861</v>
      </c>
      <c r="N150" s="736" t="s">
        <v>1059</v>
      </c>
      <c r="O150" s="749" t="s">
        <v>43</v>
      </c>
      <c r="P150" s="1550"/>
      <c r="Q150" s="749" t="s">
        <v>43</v>
      </c>
      <c r="R150" s="748" t="s">
        <v>255</v>
      </c>
      <c r="S150" s="749" t="s">
        <v>43</v>
      </c>
      <c r="T150" s="749" t="s">
        <v>43</v>
      </c>
      <c r="U150" s="749" t="s">
        <v>43</v>
      </c>
      <c r="V150" s="749" t="s">
        <v>43</v>
      </c>
      <c r="W150" s="748" t="s">
        <v>504</v>
      </c>
      <c r="X150" s="736" t="s">
        <v>170</v>
      </c>
      <c r="Y150" s="1452"/>
      <c r="Z150" s="1452"/>
      <c r="AA150" s="320">
        <v>20800000</v>
      </c>
    </row>
    <row r="151" spans="1:27" s="27" customFormat="1" ht="15.75" customHeight="1">
      <c r="A151" s="1452">
        <v>71</v>
      </c>
      <c r="B151" s="1546">
        <v>530</v>
      </c>
      <c r="C151" s="1394"/>
      <c r="D151" s="1560"/>
      <c r="E151" s="1546" t="s">
        <v>862</v>
      </c>
      <c r="F151" s="1452" t="s">
        <v>480</v>
      </c>
      <c r="G151" s="28">
        <v>601305</v>
      </c>
      <c r="H151" s="4" t="s">
        <v>335</v>
      </c>
      <c r="I151" s="736" t="s">
        <v>168</v>
      </c>
      <c r="J151" s="743" t="s">
        <v>205</v>
      </c>
      <c r="K151" s="1546" t="s">
        <v>15120</v>
      </c>
      <c r="L151" s="1546" t="s">
        <v>15119</v>
      </c>
      <c r="M151" s="741" t="s">
        <v>863</v>
      </c>
      <c r="N151" s="741" t="s">
        <v>864</v>
      </c>
      <c r="O151" s="749" t="s">
        <v>43</v>
      </c>
      <c r="P151" s="1550" t="s">
        <v>865</v>
      </c>
      <c r="Q151" s="749" t="s">
        <v>43</v>
      </c>
      <c r="R151" s="748" t="s">
        <v>68</v>
      </c>
      <c r="S151" s="749" t="s">
        <v>43</v>
      </c>
      <c r="T151" s="749" t="s">
        <v>43</v>
      </c>
      <c r="U151" s="749" t="s">
        <v>43</v>
      </c>
      <c r="V151" s="749" t="s">
        <v>43</v>
      </c>
      <c r="W151" s="749" t="s">
        <v>43</v>
      </c>
      <c r="X151" s="736" t="s">
        <v>170</v>
      </c>
      <c r="Y151" s="1452" t="s">
        <v>202</v>
      </c>
      <c r="Z151" s="1452" t="s">
        <v>65</v>
      </c>
      <c r="AA151" s="320">
        <v>4480000</v>
      </c>
    </row>
    <row r="152" spans="1:27" s="27" customFormat="1" ht="15.75" customHeight="1">
      <c r="A152" s="1452"/>
      <c r="B152" s="1546"/>
      <c r="C152" s="1394"/>
      <c r="D152" s="1560"/>
      <c r="E152" s="1546"/>
      <c r="F152" s="1452"/>
      <c r="G152" s="28">
        <v>602367</v>
      </c>
      <c r="H152" s="30" t="s">
        <v>195</v>
      </c>
      <c r="I152" s="736" t="s">
        <v>168</v>
      </c>
      <c r="J152" s="743" t="s">
        <v>199</v>
      </c>
      <c r="K152" s="1546"/>
      <c r="L152" s="1546"/>
      <c r="M152" s="741" t="s">
        <v>866</v>
      </c>
      <c r="N152" s="736" t="s">
        <v>1060</v>
      </c>
      <c r="O152" s="749" t="s">
        <v>43</v>
      </c>
      <c r="P152" s="1550"/>
      <c r="Q152" s="749" t="s">
        <v>43</v>
      </c>
      <c r="R152" s="748" t="s">
        <v>349</v>
      </c>
      <c r="S152" s="749" t="s">
        <v>43</v>
      </c>
      <c r="T152" s="749" t="s">
        <v>43</v>
      </c>
      <c r="U152" s="749" t="s">
        <v>43</v>
      </c>
      <c r="V152" s="749" t="s">
        <v>43</v>
      </c>
      <c r="W152" s="749" t="s">
        <v>1061</v>
      </c>
      <c r="X152" s="736" t="s">
        <v>1054</v>
      </c>
      <c r="Y152" s="1452"/>
      <c r="Z152" s="1452"/>
      <c r="AA152" s="320">
        <v>20800000</v>
      </c>
    </row>
    <row r="153" spans="1:27" s="27" customFormat="1" ht="15.75" customHeight="1">
      <c r="A153" s="1452">
        <v>72</v>
      </c>
      <c r="B153" s="1546">
        <v>531</v>
      </c>
      <c r="C153" s="1394"/>
      <c r="D153" s="1560"/>
      <c r="E153" s="1546" t="s">
        <v>867</v>
      </c>
      <c r="F153" s="1452" t="s">
        <v>475</v>
      </c>
      <c r="G153" s="28">
        <v>602211</v>
      </c>
      <c r="H153" s="4" t="s">
        <v>335</v>
      </c>
      <c r="I153" s="736" t="s">
        <v>168</v>
      </c>
      <c r="J153" s="743" t="s">
        <v>205</v>
      </c>
      <c r="K153" s="1546" t="s">
        <v>15123</v>
      </c>
      <c r="L153" s="1546" t="s">
        <v>15124</v>
      </c>
      <c r="M153" s="741" t="s">
        <v>868</v>
      </c>
      <c r="N153" s="741" t="s">
        <v>869</v>
      </c>
      <c r="O153" s="749" t="s">
        <v>43</v>
      </c>
      <c r="P153" s="1550" t="s">
        <v>870</v>
      </c>
      <c r="Q153" s="749" t="s">
        <v>43</v>
      </c>
      <c r="R153" s="748" t="s">
        <v>603</v>
      </c>
      <c r="S153" s="749" t="s">
        <v>43</v>
      </c>
      <c r="T153" s="749" t="s">
        <v>43</v>
      </c>
      <c r="U153" s="749" t="s">
        <v>43</v>
      </c>
      <c r="V153" s="749" t="s">
        <v>43</v>
      </c>
      <c r="W153" s="749" t="s">
        <v>1038</v>
      </c>
      <c r="X153" s="736" t="s">
        <v>1054</v>
      </c>
      <c r="Y153" s="1452" t="s">
        <v>202</v>
      </c>
      <c r="Z153" s="1452" t="s">
        <v>65</v>
      </c>
      <c r="AA153" s="320">
        <v>4480000</v>
      </c>
    </row>
    <row r="154" spans="1:27" s="27" customFormat="1" ht="15.75" customHeight="1">
      <c r="A154" s="1452"/>
      <c r="B154" s="1546"/>
      <c r="C154" s="1394"/>
      <c r="D154" s="1560"/>
      <c r="E154" s="1546"/>
      <c r="F154" s="1452"/>
      <c r="G154" s="28">
        <v>602244</v>
      </c>
      <c r="H154" s="30" t="s">
        <v>195</v>
      </c>
      <c r="I154" s="736" t="s">
        <v>168</v>
      </c>
      <c r="J154" s="743" t="s">
        <v>199</v>
      </c>
      <c r="K154" s="1546"/>
      <c r="L154" s="1546"/>
      <c r="M154" s="741" t="s">
        <v>871</v>
      </c>
      <c r="N154" s="736" t="s">
        <v>1062</v>
      </c>
      <c r="O154" s="749" t="s">
        <v>43</v>
      </c>
      <c r="P154" s="1550"/>
      <c r="Q154" s="749" t="s">
        <v>43</v>
      </c>
      <c r="R154" s="748" t="s">
        <v>68</v>
      </c>
      <c r="S154" s="749" t="s">
        <v>43</v>
      </c>
      <c r="T154" s="749" t="s">
        <v>43</v>
      </c>
      <c r="U154" s="749" t="s">
        <v>43</v>
      </c>
      <c r="V154" s="749" t="s">
        <v>43</v>
      </c>
      <c r="W154" s="749" t="s">
        <v>43</v>
      </c>
      <c r="X154" s="736" t="s">
        <v>170</v>
      </c>
      <c r="Y154" s="1452"/>
      <c r="Z154" s="1452"/>
      <c r="AA154" s="320">
        <v>20800000</v>
      </c>
    </row>
    <row r="155" spans="1:27" s="27" customFormat="1" ht="15.75" customHeight="1">
      <c r="A155" s="1452">
        <v>73</v>
      </c>
      <c r="B155" s="1546">
        <v>532</v>
      </c>
      <c r="C155" s="1394"/>
      <c r="D155" s="1560"/>
      <c r="E155" s="1546" t="s">
        <v>872</v>
      </c>
      <c r="F155" s="1452"/>
      <c r="G155" s="28" t="s">
        <v>873</v>
      </c>
      <c r="H155" s="4" t="s">
        <v>335</v>
      </c>
      <c r="I155" s="736" t="s">
        <v>168</v>
      </c>
      <c r="J155" s="743" t="s">
        <v>204</v>
      </c>
      <c r="K155" s="741" t="s">
        <v>15132</v>
      </c>
      <c r="L155" s="1546" t="s">
        <v>1065</v>
      </c>
      <c r="M155" s="741" t="s">
        <v>874</v>
      </c>
      <c r="N155" s="741" t="s">
        <v>875</v>
      </c>
      <c r="O155" s="749" t="s">
        <v>43</v>
      </c>
      <c r="P155" s="1550" t="s">
        <v>876</v>
      </c>
      <c r="Q155" s="749" t="s">
        <v>43</v>
      </c>
      <c r="R155" s="748" t="s">
        <v>142</v>
      </c>
      <c r="S155" s="749" t="s">
        <v>43</v>
      </c>
      <c r="T155" s="749" t="s">
        <v>43</v>
      </c>
      <c r="U155" s="749" t="s">
        <v>43</v>
      </c>
      <c r="V155" s="749" t="s">
        <v>43</v>
      </c>
      <c r="W155" s="748" t="s">
        <v>877</v>
      </c>
      <c r="X155" s="736" t="s">
        <v>170</v>
      </c>
      <c r="Y155" s="1452" t="s">
        <v>202</v>
      </c>
      <c r="Z155" s="1452" t="s">
        <v>484</v>
      </c>
      <c r="AA155" s="320">
        <v>15680000</v>
      </c>
    </row>
    <row r="156" spans="1:27" s="27" customFormat="1" ht="15.75" customHeight="1">
      <c r="A156" s="1452"/>
      <c r="B156" s="1546"/>
      <c r="C156" s="1394"/>
      <c r="D156" s="1560"/>
      <c r="E156" s="1546"/>
      <c r="F156" s="1452"/>
      <c r="G156" s="28" t="s">
        <v>878</v>
      </c>
      <c r="H156" s="30" t="s">
        <v>195</v>
      </c>
      <c r="I156" s="788" t="s">
        <v>168</v>
      </c>
      <c r="J156" s="790" t="s">
        <v>204</v>
      </c>
      <c r="K156" s="54" t="s">
        <v>879</v>
      </c>
      <c r="L156" s="1546"/>
      <c r="M156" s="789" t="s">
        <v>880</v>
      </c>
      <c r="N156" s="789" t="s">
        <v>1064</v>
      </c>
      <c r="O156" s="791" t="s">
        <v>43</v>
      </c>
      <c r="P156" s="1550"/>
      <c r="Q156" s="791" t="s">
        <v>43</v>
      </c>
      <c r="R156" s="793" t="s">
        <v>68</v>
      </c>
      <c r="S156" s="791" t="s">
        <v>43</v>
      </c>
      <c r="T156" s="791" t="s">
        <v>43</v>
      </c>
      <c r="U156" s="791" t="s">
        <v>43</v>
      </c>
      <c r="V156" s="791" t="s">
        <v>43</v>
      </c>
      <c r="W156" s="793"/>
      <c r="X156" s="788" t="s">
        <v>170</v>
      </c>
      <c r="Y156" s="1452"/>
      <c r="Z156" s="1452"/>
      <c r="AA156" s="320">
        <v>36400000</v>
      </c>
    </row>
    <row r="157" spans="1:27" s="27" customFormat="1" ht="15.75" customHeight="1">
      <c r="A157" s="1452"/>
      <c r="B157" s="1546"/>
      <c r="C157" s="1394"/>
      <c r="D157" s="1560"/>
      <c r="E157" s="1546"/>
      <c r="F157" s="1452"/>
      <c r="G157" s="791" t="s">
        <v>43</v>
      </c>
      <c r="H157" s="4" t="s">
        <v>44</v>
      </c>
      <c r="I157" s="815" t="s">
        <v>45</v>
      </c>
      <c r="J157" s="51" t="s">
        <v>201</v>
      </c>
      <c r="K157" s="792"/>
      <c r="L157" s="1546"/>
      <c r="M157" s="789" t="s">
        <v>15129</v>
      </c>
      <c r="N157" s="789" t="s">
        <v>15128</v>
      </c>
      <c r="O157" s="791" t="s">
        <v>43</v>
      </c>
      <c r="P157" s="1550"/>
      <c r="Q157" s="791" t="s">
        <v>43</v>
      </c>
      <c r="R157" s="793" t="s">
        <v>48</v>
      </c>
      <c r="S157" s="791" t="s">
        <v>43</v>
      </c>
      <c r="T157" s="791" t="s">
        <v>43</v>
      </c>
      <c r="U157" s="791" t="s">
        <v>43</v>
      </c>
      <c r="V157" s="791" t="s">
        <v>43</v>
      </c>
      <c r="W157" s="793" t="s">
        <v>979</v>
      </c>
      <c r="X157" s="788" t="s">
        <v>50</v>
      </c>
      <c r="Y157" s="1452"/>
      <c r="Z157" s="1452"/>
      <c r="AA157" s="320">
        <v>0</v>
      </c>
    </row>
    <row r="158" spans="1:27" s="27" customFormat="1" ht="15.75" customHeight="1">
      <c r="A158" s="1452">
        <v>74</v>
      </c>
      <c r="B158" s="1546">
        <v>533</v>
      </c>
      <c r="C158" s="1394"/>
      <c r="D158" s="1560"/>
      <c r="E158" s="1546" t="s">
        <v>881</v>
      </c>
      <c r="F158" s="1452" t="s">
        <v>468</v>
      </c>
      <c r="G158" s="28">
        <v>603885</v>
      </c>
      <c r="H158" s="4" t="s">
        <v>335</v>
      </c>
      <c r="I158" s="736" t="s">
        <v>168</v>
      </c>
      <c r="J158" s="743" t="s">
        <v>205</v>
      </c>
      <c r="K158" s="1546" t="s">
        <v>15131</v>
      </c>
      <c r="L158" s="1546" t="s">
        <v>15125</v>
      </c>
      <c r="M158" s="741" t="s">
        <v>882</v>
      </c>
      <c r="N158" s="741" t="s">
        <v>883</v>
      </c>
      <c r="O158" s="749" t="s">
        <v>43</v>
      </c>
      <c r="P158" s="1550" t="s">
        <v>884</v>
      </c>
      <c r="Q158" s="749" t="s">
        <v>43</v>
      </c>
      <c r="R158" s="748" t="s">
        <v>885</v>
      </c>
      <c r="S158" s="749" t="s">
        <v>43</v>
      </c>
      <c r="T158" s="749" t="s">
        <v>43</v>
      </c>
      <c r="U158" s="749" t="s">
        <v>43</v>
      </c>
      <c r="V158" s="749" t="s">
        <v>43</v>
      </c>
      <c r="W158" s="748" t="s">
        <v>886</v>
      </c>
      <c r="X158" s="736" t="s">
        <v>170</v>
      </c>
      <c r="Y158" s="1452" t="s">
        <v>202</v>
      </c>
      <c r="Z158" s="1452" t="s">
        <v>65</v>
      </c>
      <c r="AA158" s="320">
        <v>4480000</v>
      </c>
    </row>
    <row r="159" spans="1:27" s="27" customFormat="1" ht="15.75" customHeight="1">
      <c r="A159" s="1452"/>
      <c r="B159" s="1546"/>
      <c r="C159" s="1394"/>
      <c r="D159" s="1560"/>
      <c r="E159" s="1546"/>
      <c r="F159" s="1452"/>
      <c r="G159" s="28" t="s">
        <v>887</v>
      </c>
      <c r="H159" s="30" t="s">
        <v>195</v>
      </c>
      <c r="I159" s="788" t="s">
        <v>168</v>
      </c>
      <c r="J159" s="790" t="s">
        <v>199</v>
      </c>
      <c r="K159" s="1546"/>
      <c r="L159" s="1546"/>
      <c r="M159" s="789" t="s">
        <v>888</v>
      </c>
      <c r="N159" s="788" t="s">
        <v>1066</v>
      </c>
      <c r="O159" s="791" t="s">
        <v>43</v>
      </c>
      <c r="P159" s="1550"/>
      <c r="Q159" s="791" t="s">
        <v>43</v>
      </c>
      <c r="R159" s="793" t="s">
        <v>68</v>
      </c>
      <c r="S159" s="791" t="s">
        <v>43</v>
      </c>
      <c r="T159" s="791" t="s">
        <v>43</v>
      </c>
      <c r="U159" s="791" t="s">
        <v>43</v>
      </c>
      <c r="V159" s="791" t="s">
        <v>43</v>
      </c>
      <c r="W159" s="791" t="s">
        <v>43</v>
      </c>
      <c r="X159" s="788" t="s">
        <v>1054</v>
      </c>
      <c r="Y159" s="1452"/>
      <c r="Z159" s="1452"/>
      <c r="AA159" s="320">
        <v>20800000</v>
      </c>
    </row>
    <row r="160" spans="1:27" s="27" customFormat="1" ht="15.75" customHeight="1">
      <c r="A160" s="1452"/>
      <c r="B160" s="1546"/>
      <c r="C160" s="1394"/>
      <c r="D160" s="1560"/>
      <c r="E160" s="1546"/>
      <c r="F160" s="1452"/>
      <c r="G160" s="791" t="s">
        <v>43</v>
      </c>
      <c r="H160" s="4" t="s">
        <v>44</v>
      </c>
      <c r="I160" s="815" t="s">
        <v>45</v>
      </c>
      <c r="J160" s="51" t="s">
        <v>201</v>
      </c>
      <c r="K160" s="1546"/>
      <c r="L160" s="1546"/>
      <c r="M160" s="789" t="s">
        <v>15127</v>
      </c>
      <c r="N160" s="789" t="s">
        <v>15126</v>
      </c>
      <c r="O160" s="791" t="s">
        <v>43</v>
      </c>
      <c r="P160" s="1550"/>
      <c r="Q160" s="791" t="s">
        <v>43</v>
      </c>
      <c r="R160" s="793" t="s">
        <v>48</v>
      </c>
      <c r="S160" s="791" t="s">
        <v>43</v>
      </c>
      <c r="T160" s="749" t="s">
        <v>43</v>
      </c>
      <c r="U160" s="791" t="s">
        <v>43</v>
      </c>
      <c r="V160" s="791" t="s">
        <v>43</v>
      </c>
      <c r="W160" s="793" t="s">
        <v>979</v>
      </c>
      <c r="X160" s="788" t="s">
        <v>50</v>
      </c>
      <c r="Y160" s="1452"/>
      <c r="Z160" s="1452"/>
      <c r="AA160" s="320">
        <v>0</v>
      </c>
    </row>
    <row r="161" spans="1:28" s="27" customFormat="1" ht="15.75" customHeight="1">
      <c r="A161" s="1452">
        <v>75</v>
      </c>
      <c r="B161" s="1546">
        <v>534</v>
      </c>
      <c r="C161" s="1394"/>
      <c r="D161" s="1560"/>
      <c r="E161" s="1555" t="s">
        <v>889</v>
      </c>
      <c r="F161" s="1452"/>
      <c r="G161" s="28">
        <v>94016795399</v>
      </c>
      <c r="H161" s="4" t="s">
        <v>335</v>
      </c>
      <c r="I161" s="736" t="s">
        <v>168</v>
      </c>
      <c r="J161" s="743" t="s">
        <v>204</v>
      </c>
      <c r="K161" s="741" t="s">
        <v>890</v>
      </c>
      <c r="L161" s="1546" t="s">
        <v>891</v>
      </c>
      <c r="M161" s="741" t="s">
        <v>892</v>
      </c>
      <c r="N161" s="741" t="s">
        <v>893</v>
      </c>
      <c r="O161" s="749" t="s">
        <v>43</v>
      </c>
      <c r="P161" s="1550" t="s">
        <v>894</v>
      </c>
      <c r="Q161" s="749" t="s">
        <v>43</v>
      </c>
      <c r="R161" s="748" t="s">
        <v>68</v>
      </c>
      <c r="S161" s="749" t="s">
        <v>43</v>
      </c>
      <c r="T161" s="749" t="s">
        <v>43</v>
      </c>
      <c r="U161" s="749" t="s">
        <v>43</v>
      </c>
      <c r="V161" s="749" t="s">
        <v>43</v>
      </c>
      <c r="W161" s="749" t="s">
        <v>43</v>
      </c>
      <c r="X161" s="736" t="s">
        <v>170</v>
      </c>
      <c r="Y161" s="1452" t="s">
        <v>202</v>
      </c>
      <c r="Z161" s="1452" t="s">
        <v>484</v>
      </c>
      <c r="AA161" s="320">
        <v>15680000</v>
      </c>
    </row>
    <row r="162" spans="1:28" s="27" customFormat="1" ht="15.75" customHeight="1">
      <c r="A162" s="1452"/>
      <c r="B162" s="1546"/>
      <c r="C162" s="1394"/>
      <c r="D162" s="1560"/>
      <c r="E162" s="1555"/>
      <c r="F162" s="1452"/>
      <c r="G162" s="28">
        <v>94016669534</v>
      </c>
      <c r="H162" s="30" t="s">
        <v>195</v>
      </c>
      <c r="I162" s="736" t="s">
        <v>168</v>
      </c>
      <c r="J162" s="743" t="s">
        <v>204</v>
      </c>
      <c r="K162" s="741" t="s">
        <v>15130</v>
      </c>
      <c r="L162" s="1546"/>
      <c r="M162" s="741" t="s">
        <v>895</v>
      </c>
      <c r="N162" s="741" t="s">
        <v>1067</v>
      </c>
      <c r="O162" s="749" t="s">
        <v>43</v>
      </c>
      <c r="P162" s="1550"/>
      <c r="Q162" s="749" t="s">
        <v>43</v>
      </c>
      <c r="R162" s="748" t="s">
        <v>349</v>
      </c>
      <c r="S162" s="749" t="s">
        <v>43</v>
      </c>
      <c r="T162" s="749" t="s">
        <v>43</v>
      </c>
      <c r="U162" s="749" t="s">
        <v>43</v>
      </c>
      <c r="V162" s="749" t="s">
        <v>43</v>
      </c>
      <c r="W162" s="748" t="s">
        <v>1068</v>
      </c>
      <c r="X162" s="736" t="s">
        <v>1054</v>
      </c>
      <c r="Y162" s="1452"/>
      <c r="Z162" s="1452"/>
      <c r="AA162" s="320">
        <v>36400000</v>
      </c>
    </row>
    <row r="163" spans="1:28" s="27" customFormat="1" ht="15.75" customHeight="1">
      <c r="A163" s="1452">
        <v>76</v>
      </c>
      <c r="B163" s="1546">
        <v>535</v>
      </c>
      <c r="C163" s="1394"/>
      <c r="D163" s="1560"/>
      <c r="E163" s="1546" t="s">
        <v>896</v>
      </c>
      <c r="F163" s="1452" t="s">
        <v>475</v>
      </c>
      <c r="G163" s="28">
        <v>605804</v>
      </c>
      <c r="H163" s="4" t="s">
        <v>335</v>
      </c>
      <c r="I163" s="736" t="s">
        <v>168</v>
      </c>
      <c r="J163" s="743" t="s">
        <v>205</v>
      </c>
      <c r="K163" s="1546" t="s">
        <v>15133</v>
      </c>
      <c r="L163" s="1546" t="s">
        <v>15134</v>
      </c>
      <c r="M163" s="741" t="s">
        <v>897</v>
      </c>
      <c r="N163" s="741" t="s">
        <v>898</v>
      </c>
      <c r="O163" s="749" t="s">
        <v>43</v>
      </c>
      <c r="P163" s="1550" t="s">
        <v>899</v>
      </c>
      <c r="Q163" s="749" t="s">
        <v>43</v>
      </c>
      <c r="R163" s="748" t="s">
        <v>68</v>
      </c>
      <c r="S163" s="749" t="s">
        <v>43</v>
      </c>
      <c r="T163" s="749" t="s">
        <v>43</v>
      </c>
      <c r="U163" s="749" t="s">
        <v>43</v>
      </c>
      <c r="V163" s="749" t="s">
        <v>43</v>
      </c>
      <c r="W163" s="749" t="s">
        <v>43</v>
      </c>
      <c r="X163" s="736" t="s">
        <v>170</v>
      </c>
      <c r="Y163" s="1452" t="s">
        <v>202</v>
      </c>
      <c r="Z163" s="1452" t="s">
        <v>65</v>
      </c>
      <c r="AA163" s="320">
        <v>4480000</v>
      </c>
    </row>
    <row r="164" spans="1:28" s="27" customFormat="1" ht="15.75" customHeight="1">
      <c r="A164" s="1452"/>
      <c r="B164" s="1546"/>
      <c r="C164" s="1394"/>
      <c r="D164" s="1560"/>
      <c r="E164" s="1546"/>
      <c r="F164" s="1452"/>
      <c r="G164" s="28">
        <v>607254</v>
      </c>
      <c r="H164" s="30" t="s">
        <v>195</v>
      </c>
      <c r="I164" s="736" t="s">
        <v>168</v>
      </c>
      <c r="J164" s="743" t="s">
        <v>199</v>
      </c>
      <c r="K164" s="1546"/>
      <c r="L164" s="1546"/>
      <c r="M164" s="741" t="s">
        <v>900</v>
      </c>
      <c r="N164" s="736" t="s">
        <v>1069</v>
      </c>
      <c r="O164" s="749" t="s">
        <v>43</v>
      </c>
      <c r="P164" s="1550"/>
      <c r="Q164" s="749" t="s">
        <v>43</v>
      </c>
      <c r="R164" s="748" t="s">
        <v>255</v>
      </c>
      <c r="S164" s="749" t="s">
        <v>43</v>
      </c>
      <c r="T164" s="749" t="s">
        <v>43</v>
      </c>
      <c r="U164" s="749" t="s">
        <v>43</v>
      </c>
      <c r="V164" s="749" t="s">
        <v>43</v>
      </c>
      <c r="W164" s="748" t="s">
        <v>504</v>
      </c>
      <c r="X164" s="736" t="s">
        <v>170</v>
      </c>
      <c r="Y164" s="1452"/>
      <c r="Z164" s="1452"/>
      <c r="AA164" s="320">
        <v>20800000</v>
      </c>
    </row>
    <row r="165" spans="1:28" s="27" customFormat="1" ht="15.75" customHeight="1">
      <c r="A165" s="1452">
        <v>77</v>
      </c>
      <c r="B165" s="1546">
        <v>536</v>
      </c>
      <c r="C165" s="1394"/>
      <c r="D165" s="1560"/>
      <c r="E165" s="1546" t="s">
        <v>901</v>
      </c>
      <c r="F165" s="1452" t="s">
        <v>480</v>
      </c>
      <c r="G165" s="28">
        <v>606482</v>
      </c>
      <c r="H165" s="4" t="s">
        <v>335</v>
      </c>
      <c r="I165" s="736" t="s">
        <v>168</v>
      </c>
      <c r="J165" s="743" t="s">
        <v>205</v>
      </c>
      <c r="K165" s="1546" t="s">
        <v>15135</v>
      </c>
      <c r="L165" s="1546" t="s">
        <v>15136</v>
      </c>
      <c r="M165" s="741" t="s">
        <v>902</v>
      </c>
      <c r="N165" s="741" t="s">
        <v>903</v>
      </c>
      <c r="O165" s="749" t="s">
        <v>43</v>
      </c>
      <c r="P165" s="1550" t="s">
        <v>904</v>
      </c>
      <c r="Q165" s="749" t="s">
        <v>43</v>
      </c>
      <c r="R165" s="748" t="s">
        <v>68</v>
      </c>
      <c r="S165" s="749" t="s">
        <v>43</v>
      </c>
      <c r="T165" s="749" t="s">
        <v>43</v>
      </c>
      <c r="U165" s="749" t="s">
        <v>43</v>
      </c>
      <c r="V165" s="749" t="s">
        <v>43</v>
      </c>
      <c r="W165" s="749" t="s">
        <v>43</v>
      </c>
      <c r="X165" s="736" t="s">
        <v>170</v>
      </c>
      <c r="Y165" s="1452" t="s">
        <v>202</v>
      </c>
      <c r="Z165" s="1452" t="s">
        <v>65</v>
      </c>
      <c r="AA165" s="320">
        <v>4480000</v>
      </c>
    </row>
    <row r="166" spans="1:28" s="27" customFormat="1" ht="15.75" customHeight="1">
      <c r="A166" s="1452"/>
      <c r="B166" s="1546"/>
      <c r="C166" s="1394"/>
      <c r="D166" s="1560"/>
      <c r="E166" s="1546"/>
      <c r="F166" s="1452"/>
      <c r="G166" s="28">
        <v>607250</v>
      </c>
      <c r="H166" s="30" t="s">
        <v>195</v>
      </c>
      <c r="I166" s="736" t="s">
        <v>168</v>
      </c>
      <c r="J166" s="743" t="s">
        <v>199</v>
      </c>
      <c r="K166" s="1546"/>
      <c r="L166" s="1546"/>
      <c r="M166" s="741" t="s">
        <v>905</v>
      </c>
      <c r="N166" s="736" t="s">
        <v>1070</v>
      </c>
      <c r="O166" s="749" t="s">
        <v>43</v>
      </c>
      <c r="P166" s="1550"/>
      <c r="Q166" s="749" t="s">
        <v>43</v>
      </c>
      <c r="R166" s="748" t="s">
        <v>255</v>
      </c>
      <c r="S166" s="749" t="s">
        <v>43</v>
      </c>
      <c r="T166" s="749" t="s">
        <v>43</v>
      </c>
      <c r="U166" s="749" t="s">
        <v>43</v>
      </c>
      <c r="V166" s="749" t="s">
        <v>43</v>
      </c>
      <c r="W166" s="748" t="s">
        <v>504</v>
      </c>
      <c r="X166" s="736" t="s">
        <v>1054</v>
      </c>
      <c r="Y166" s="1452"/>
      <c r="Z166" s="1452"/>
      <c r="AA166" s="320">
        <v>20800000</v>
      </c>
    </row>
    <row r="167" spans="1:28" s="27" customFormat="1" ht="15.75" customHeight="1">
      <c r="A167" s="1452">
        <v>78</v>
      </c>
      <c r="B167" s="1546">
        <v>544</v>
      </c>
      <c r="C167" s="1394"/>
      <c r="D167" s="1560"/>
      <c r="E167" s="1546" t="s">
        <v>906</v>
      </c>
      <c r="F167" s="1452" t="s">
        <v>468</v>
      </c>
      <c r="G167" s="28" t="s">
        <v>907</v>
      </c>
      <c r="H167" s="4" t="s">
        <v>335</v>
      </c>
      <c r="I167" s="736" t="s">
        <v>168</v>
      </c>
      <c r="J167" s="743" t="s">
        <v>205</v>
      </c>
      <c r="K167" s="1546" t="s">
        <v>15179</v>
      </c>
      <c r="L167" s="1546" t="s">
        <v>15180</v>
      </c>
      <c r="M167" s="741" t="s">
        <v>908</v>
      </c>
      <c r="N167" s="741" t="s">
        <v>909</v>
      </c>
      <c r="O167" s="749" t="s">
        <v>43</v>
      </c>
      <c r="P167" s="1550" t="s">
        <v>910</v>
      </c>
      <c r="Q167" s="749" t="s">
        <v>43</v>
      </c>
      <c r="R167" s="748" t="s">
        <v>911</v>
      </c>
      <c r="S167" s="749" t="s">
        <v>43</v>
      </c>
      <c r="T167" s="749" t="s">
        <v>43</v>
      </c>
      <c r="U167" s="749" t="s">
        <v>43</v>
      </c>
      <c r="V167" s="749" t="s">
        <v>43</v>
      </c>
      <c r="W167" s="748" t="s">
        <v>912</v>
      </c>
      <c r="X167" s="736" t="s">
        <v>170</v>
      </c>
      <c r="Y167" s="1452" t="s">
        <v>202</v>
      </c>
      <c r="Z167" s="1452" t="s">
        <v>65</v>
      </c>
      <c r="AA167" s="320">
        <v>4480000</v>
      </c>
    </row>
    <row r="168" spans="1:28" s="27" customFormat="1" ht="15.75" customHeight="1">
      <c r="A168" s="1452"/>
      <c r="B168" s="1546"/>
      <c r="C168" s="1394"/>
      <c r="D168" s="1560"/>
      <c r="E168" s="1546"/>
      <c r="F168" s="1452"/>
      <c r="G168" s="28" t="s">
        <v>913</v>
      </c>
      <c r="H168" s="30" t="s">
        <v>195</v>
      </c>
      <c r="I168" s="736" t="s">
        <v>168</v>
      </c>
      <c r="J168" s="743" t="s">
        <v>199</v>
      </c>
      <c r="K168" s="1546"/>
      <c r="L168" s="1546"/>
      <c r="M168" s="741" t="s">
        <v>914</v>
      </c>
      <c r="N168" s="736" t="s">
        <v>1071</v>
      </c>
      <c r="O168" s="749" t="s">
        <v>43</v>
      </c>
      <c r="P168" s="1550"/>
      <c r="Q168" s="749" t="s">
        <v>43</v>
      </c>
      <c r="R168" s="748" t="s">
        <v>255</v>
      </c>
      <c r="S168" s="749" t="s">
        <v>43</v>
      </c>
      <c r="T168" s="749" t="s">
        <v>43</v>
      </c>
      <c r="U168" s="749" t="s">
        <v>43</v>
      </c>
      <c r="V168" s="749" t="s">
        <v>43</v>
      </c>
      <c r="W168" s="748" t="s">
        <v>504</v>
      </c>
      <c r="X168" s="736" t="s">
        <v>170</v>
      </c>
      <c r="Y168" s="1452"/>
      <c r="Z168" s="1452"/>
      <c r="AA168" s="320">
        <v>20800000</v>
      </c>
    </row>
    <row r="169" spans="1:28" s="27" customFormat="1" ht="15.75" customHeight="1">
      <c r="A169" s="1452">
        <v>79</v>
      </c>
      <c r="B169" s="1546">
        <v>545</v>
      </c>
      <c r="C169" s="1394"/>
      <c r="D169" s="1560"/>
      <c r="E169" s="1546" t="s">
        <v>915</v>
      </c>
      <c r="F169" s="1452" t="s">
        <v>480</v>
      </c>
      <c r="G169" s="28" t="s">
        <v>916</v>
      </c>
      <c r="H169" s="4" t="s">
        <v>335</v>
      </c>
      <c r="I169" s="736" t="s">
        <v>168</v>
      </c>
      <c r="J169" s="743" t="s">
        <v>205</v>
      </c>
      <c r="K169" s="1546" t="s">
        <v>15181</v>
      </c>
      <c r="L169" s="1546" t="s">
        <v>15182</v>
      </c>
      <c r="M169" s="741" t="s">
        <v>917</v>
      </c>
      <c r="N169" s="741" t="s">
        <v>918</v>
      </c>
      <c r="O169" s="749" t="s">
        <v>43</v>
      </c>
      <c r="P169" s="1550" t="s">
        <v>919</v>
      </c>
      <c r="Q169" s="749" t="s">
        <v>43</v>
      </c>
      <c r="R169" s="748" t="s">
        <v>920</v>
      </c>
      <c r="S169" s="749" t="s">
        <v>43</v>
      </c>
      <c r="T169" s="749" t="s">
        <v>43</v>
      </c>
      <c r="U169" s="749" t="s">
        <v>43</v>
      </c>
      <c r="V169" s="749" t="s">
        <v>43</v>
      </c>
      <c r="W169" s="748" t="s">
        <v>1075</v>
      </c>
      <c r="X169" s="736" t="s">
        <v>170</v>
      </c>
      <c r="Y169" s="1452" t="s">
        <v>202</v>
      </c>
      <c r="Z169" s="1452" t="s">
        <v>65</v>
      </c>
      <c r="AA169" s="320">
        <v>4480000</v>
      </c>
    </row>
    <row r="170" spans="1:28" s="27" customFormat="1" ht="15.75" customHeight="1">
      <c r="A170" s="1452"/>
      <c r="B170" s="1546"/>
      <c r="C170" s="1394"/>
      <c r="D170" s="1560"/>
      <c r="E170" s="1546"/>
      <c r="F170" s="1452"/>
      <c r="G170" s="28" t="s">
        <v>921</v>
      </c>
      <c r="H170" s="30" t="s">
        <v>195</v>
      </c>
      <c r="I170" s="736" t="s">
        <v>168</v>
      </c>
      <c r="J170" s="743" t="s">
        <v>199</v>
      </c>
      <c r="K170" s="1546"/>
      <c r="L170" s="1546"/>
      <c r="M170" s="741" t="s">
        <v>922</v>
      </c>
      <c r="N170" s="736" t="s">
        <v>1072</v>
      </c>
      <c r="O170" s="749" t="s">
        <v>43</v>
      </c>
      <c r="P170" s="1550"/>
      <c r="Q170" s="749" t="s">
        <v>43</v>
      </c>
      <c r="R170" s="748" t="s">
        <v>246</v>
      </c>
      <c r="S170" s="749" t="s">
        <v>43</v>
      </c>
      <c r="T170" s="749" t="s">
        <v>43</v>
      </c>
      <c r="U170" s="749" t="s">
        <v>43</v>
      </c>
      <c r="V170" s="749" t="s">
        <v>43</v>
      </c>
      <c r="W170" s="748" t="s">
        <v>647</v>
      </c>
      <c r="X170" s="736" t="s">
        <v>170</v>
      </c>
      <c r="Y170" s="1452"/>
      <c r="Z170" s="1452"/>
      <c r="AA170" s="320">
        <v>20800000</v>
      </c>
    </row>
    <row r="171" spans="1:28" s="27" customFormat="1" ht="15.75" customHeight="1">
      <c r="A171" s="1452"/>
      <c r="B171" s="1546"/>
      <c r="C171" s="1394"/>
      <c r="D171" s="1560"/>
      <c r="E171" s="1546"/>
      <c r="F171" s="1452"/>
      <c r="G171" s="749" t="s">
        <v>43</v>
      </c>
      <c r="H171" s="4" t="s">
        <v>44</v>
      </c>
      <c r="I171" s="736" t="s">
        <v>45</v>
      </c>
      <c r="J171" s="51" t="s">
        <v>201</v>
      </c>
      <c r="K171" s="1546"/>
      <c r="L171" s="1546"/>
      <c r="M171" s="741" t="s">
        <v>1074</v>
      </c>
      <c r="N171" s="736" t="s">
        <v>1073</v>
      </c>
      <c r="O171" s="749" t="s">
        <v>43</v>
      </c>
      <c r="P171" s="1550"/>
      <c r="Q171" s="749" t="s">
        <v>43</v>
      </c>
      <c r="R171" s="748" t="s">
        <v>119</v>
      </c>
      <c r="S171" s="749" t="s">
        <v>43</v>
      </c>
      <c r="T171" s="749" t="s">
        <v>43</v>
      </c>
      <c r="U171" s="749" t="s">
        <v>43</v>
      </c>
      <c r="V171" s="749" t="s">
        <v>43</v>
      </c>
      <c r="W171" s="748" t="s">
        <v>979</v>
      </c>
      <c r="X171" s="736" t="s">
        <v>50</v>
      </c>
      <c r="Y171" s="1452"/>
      <c r="Z171" s="1452"/>
      <c r="AA171" s="320">
        <v>0</v>
      </c>
    </row>
    <row r="172" spans="1:28" s="27" customFormat="1" ht="15.75" customHeight="1">
      <c r="A172" s="1452">
        <v>80</v>
      </c>
      <c r="B172" s="1546">
        <v>550</v>
      </c>
      <c r="C172" s="1394"/>
      <c r="D172" s="1560"/>
      <c r="E172" s="1546" t="s">
        <v>923</v>
      </c>
      <c r="F172" s="1452" t="s">
        <v>475</v>
      </c>
      <c r="G172" s="28" t="s">
        <v>924</v>
      </c>
      <c r="H172" s="4" t="s">
        <v>335</v>
      </c>
      <c r="I172" s="736" t="s">
        <v>168</v>
      </c>
      <c r="J172" s="743" t="s">
        <v>205</v>
      </c>
      <c r="K172" s="1546" t="s">
        <v>15188</v>
      </c>
      <c r="L172" s="1546" t="s">
        <v>15189</v>
      </c>
      <c r="M172" s="741" t="s">
        <v>925</v>
      </c>
      <c r="N172" s="741" t="s">
        <v>926</v>
      </c>
      <c r="O172" s="749" t="s">
        <v>43</v>
      </c>
      <c r="P172" s="1452" t="s">
        <v>927</v>
      </c>
      <c r="Q172" s="749" t="s">
        <v>43</v>
      </c>
      <c r="R172" s="748" t="s">
        <v>928</v>
      </c>
      <c r="S172" s="749" t="s">
        <v>43</v>
      </c>
      <c r="T172" s="749" t="s">
        <v>43</v>
      </c>
      <c r="U172" s="749" t="s">
        <v>43</v>
      </c>
      <c r="V172" s="749" t="s">
        <v>43</v>
      </c>
      <c r="W172" s="748" t="s">
        <v>929</v>
      </c>
      <c r="X172" s="736" t="s">
        <v>170</v>
      </c>
      <c r="Y172" s="1452" t="s">
        <v>202</v>
      </c>
      <c r="Z172" s="1452" t="s">
        <v>65</v>
      </c>
      <c r="AA172" s="320">
        <v>4480000</v>
      </c>
      <c r="AB172" s="320"/>
    </row>
    <row r="173" spans="1:28" s="27" customFormat="1" ht="15.75" customHeight="1">
      <c r="A173" s="1452"/>
      <c r="B173" s="1546"/>
      <c r="C173" s="1394"/>
      <c r="D173" s="1560"/>
      <c r="E173" s="1546"/>
      <c r="F173" s="1452"/>
      <c r="G173" s="28" t="s">
        <v>930</v>
      </c>
      <c r="H173" s="30" t="s">
        <v>195</v>
      </c>
      <c r="I173" s="736" t="s">
        <v>168</v>
      </c>
      <c r="J173" s="743" t="s">
        <v>199</v>
      </c>
      <c r="K173" s="1546"/>
      <c r="L173" s="1546"/>
      <c r="M173" s="741" t="s">
        <v>931</v>
      </c>
      <c r="N173" s="736" t="s">
        <v>1076</v>
      </c>
      <c r="O173" s="749" t="s">
        <v>43</v>
      </c>
      <c r="P173" s="1452"/>
      <c r="Q173" s="749" t="s">
        <v>43</v>
      </c>
      <c r="R173" s="748" t="s">
        <v>255</v>
      </c>
      <c r="S173" s="749" t="s">
        <v>43</v>
      </c>
      <c r="T173" s="749" t="s">
        <v>43</v>
      </c>
      <c r="U173" s="749" t="s">
        <v>43</v>
      </c>
      <c r="V173" s="749" t="s">
        <v>43</v>
      </c>
      <c r="W173" s="748" t="s">
        <v>932</v>
      </c>
      <c r="X173" s="736" t="s">
        <v>170</v>
      </c>
      <c r="Y173" s="1452"/>
      <c r="Z173" s="1452"/>
      <c r="AA173" s="320">
        <v>20800000</v>
      </c>
    </row>
    <row r="174" spans="1:28" s="27" customFormat="1" ht="15.75" customHeight="1">
      <c r="A174" s="1452">
        <v>81</v>
      </c>
      <c r="B174" s="1546">
        <v>558</v>
      </c>
      <c r="C174" s="1394"/>
      <c r="D174" s="1560"/>
      <c r="E174" s="1546" t="s">
        <v>933</v>
      </c>
      <c r="F174" s="1452"/>
      <c r="G174" s="28" t="s">
        <v>934</v>
      </c>
      <c r="H174" s="4" t="s">
        <v>335</v>
      </c>
      <c r="I174" s="736" t="s">
        <v>168</v>
      </c>
      <c r="J174" s="743" t="s">
        <v>205</v>
      </c>
      <c r="K174" s="1546" t="s">
        <v>15191</v>
      </c>
      <c r="L174" s="1546" t="s">
        <v>15192</v>
      </c>
      <c r="M174" s="741" t="s">
        <v>935</v>
      </c>
      <c r="N174" s="741" t="s">
        <v>936</v>
      </c>
      <c r="O174" s="749" t="s">
        <v>43</v>
      </c>
      <c r="P174" s="1550" t="s">
        <v>937</v>
      </c>
      <c r="Q174" s="749" t="s">
        <v>43</v>
      </c>
      <c r="R174" s="748" t="s">
        <v>68</v>
      </c>
      <c r="S174" s="749" t="s">
        <v>43</v>
      </c>
      <c r="T174" s="749" t="s">
        <v>43</v>
      </c>
      <c r="U174" s="749" t="s">
        <v>43</v>
      </c>
      <c r="V174" s="749" t="s">
        <v>43</v>
      </c>
      <c r="W174" s="749" t="s">
        <v>43</v>
      </c>
      <c r="X174" s="736" t="s">
        <v>450</v>
      </c>
      <c r="Y174" s="1452" t="s">
        <v>202</v>
      </c>
      <c r="Z174" s="1452" t="s">
        <v>65</v>
      </c>
      <c r="AA174" s="320">
        <v>4480000</v>
      </c>
    </row>
    <row r="175" spans="1:28" s="27" customFormat="1" ht="15.75" customHeight="1">
      <c r="A175" s="1452"/>
      <c r="B175" s="1546"/>
      <c r="C175" s="1394"/>
      <c r="D175" s="1560"/>
      <c r="E175" s="1546"/>
      <c r="F175" s="1452"/>
      <c r="G175" s="28" t="s">
        <v>938</v>
      </c>
      <c r="H175" s="30" t="s">
        <v>195</v>
      </c>
      <c r="I175" s="736" t="s">
        <v>168</v>
      </c>
      <c r="J175" s="743" t="s">
        <v>199</v>
      </c>
      <c r="K175" s="1546"/>
      <c r="L175" s="1546"/>
      <c r="M175" s="741" t="s">
        <v>939</v>
      </c>
      <c r="N175" s="736" t="s">
        <v>1077</v>
      </c>
      <c r="O175" s="749" t="s">
        <v>43</v>
      </c>
      <c r="P175" s="1550"/>
      <c r="Q175" s="749" t="s">
        <v>43</v>
      </c>
      <c r="R175" s="748" t="s">
        <v>940</v>
      </c>
      <c r="S175" s="749" t="s">
        <v>43</v>
      </c>
      <c r="T175" s="749" t="s">
        <v>43</v>
      </c>
      <c r="U175" s="749" t="s">
        <v>43</v>
      </c>
      <c r="V175" s="749" t="s">
        <v>43</v>
      </c>
      <c r="W175" s="748" t="s">
        <v>592</v>
      </c>
      <c r="X175" s="736" t="s">
        <v>450</v>
      </c>
      <c r="Y175" s="1452"/>
      <c r="Z175" s="1452"/>
      <c r="AA175" s="320">
        <v>20800000</v>
      </c>
    </row>
    <row r="176" spans="1:28" s="27" customFormat="1" ht="15.75" customHeight="1">
      <c r="A176" s="1452">
        <v>82</v>
      </c>
      <c r="B176" s="1546">
        <v>559</v>
      </c>
      <c r="C176" s="1394"/>
      <c r="D176" s="1560"/>
      <c r="E176" s="1546" t="s">
        <v>941</v>
      </c>
      <c r="F176" s="1452" t="s">
        <v>468</v>
      </c>
      <c r="G176" s="28" t="s">
        <v>942</v>
      </c>
      <c r="H176" s="4" t="s">
        <v>335</v>
      </c>
      <c r="I176" s="736" t="s">
        <v>168</v>
      </c>
      <c r="J176" s="743" t="s">
        <v>204</v>
      </c>
      <c r="K176" s="1546" t="s">
        <v>15193</v>
      </c>
      <c r="L176" s="1546" t="s">
        <v>15194</v>
      </c>
      <c r="M176" s="741" t="s">
        <v>943</v>
      </c>
      <c r="N176" s="741" t="s">
        <v>944</v>
      </c>
      <c r="O176" s="749" t="s">
        <v>43</v>
      </c>
      <c r="P176" s="1550" t="s">
        <v>945</v>
      </c>
      <c r="Q176" s="749" t="s">
        <v>43</v>
      </c>
      <c r="R176" s="748" t="s">
        <v>946</v>
      </c>
      <c r="S176" s="749" t="s">
        <v>43</v>
      </c>
      <c r="T176" s="749" t="s">
        <v>43</v>
      </c>
      <c r="U176" s="749" t="s">
        <v>43</v>
      </c>
      <c r="V176" s="749" t="s">
        <v>43</v>
      </c>
      <c r="W176" s="748" t="s">
        <v>947</v>
      </c>
      <c r="X176" s="736" t="s">
        <v>170</v>
      </c>
      <c r="Y176" s="1452" t="s">
        <v>202</v>
      </c>
      <c r="Z176" s="1452" t="s">
        <v>65</v>
      </c>
      <c r="AA176" s="320">
        <v>4480000</v>
      </c>
    </row>
    <row r="177" spans="1:27" s="27" customFormat="1" ht="15.75" customHeight="1">
      <c r="A177" s="1452"/>
      <c r="B177" s="1546"/>
      <c r="C177" s="1394"/>
      <c r="D177" s="1560"/>
      <c r="E177" s="1546"/>
      <c r="F177" s="1452"/>
      <c r="G177" s="28" t="s">
        <v>948</v>
      </c>
      <c r="H177" s="30" t="s">
        <v>195</v>
      </c>
      <c r="I177" s="736" t="s">
        <v>168</v>
      </c>
      <c r="J177" s="743" t="s">
        <v>204</v>
      </c>
      <c r="K177" s="1546"/>
      <c r="L177" s="1546"/>
      <c r="M177" s="741" t="s">
        <v>949</v>
      </c>
      <c r="N177" s="736" t="s">
        <v>1078</v>
      </c>
      <c r="O177" s="749" t="s">
        <v>43</v>
      </c>
      <c r="P177" s="1550"/>
      <c r="Q177" s="749" t="s">
        <v>43</v>
      </c>
      <c r="R177" s="748" t="s">
        <v>246</v>
      </c>
      <c r="S177" s="749" t="s">
        <v>43</v>
      </c>
      <c r="T177" s="749" t="s">
        <v>43</v>
      </c>
      <c r="U177" s="749" t="s">
        <v>43</v>
      </c>
      <c r="V177" s="749" t="s">
        <v>43</v>
      </c>
      <c r="W177" s="748" t="s">
        <v>592</v>
      </c>
      <c r="X177" s="736" t="s">
        <v>170</v>
      </c>
      <c r="Y177" s="1452"/>
      <c r="Z177" s="1452"/>
      <c r="AA177" s="320">
        <v>36400000</v>
      </c>
    </row>
    <row r="178" spans="1:27" s="27" customFormat="1" ht="15.75" customHeight="1">
      <c r="A178" s="1452">
        <v>83</v>
      </c>
      <c r="B178" s="1546">
        <v>561</v>
      </c>
      <c r="C178" s="1394"/>
      <c r="D178" s="1546" t="s">
        <v>950</v>
      </c>
      <c r="E178" s="1546" t="s">
        <v>950</v>
      </c>
      <c r="F178" s="1452" t="s">
        <v>425</v>
      </c>
      <c r="G178" s="28" t="s">
        <v>12145</v>
      </c>
      <c r="H178" s="4" t="s">
        <v>335</v>
      </c>
      <c r="I178" s="736" t="s">
        <v>168</v>
      </c>
      <c r="J178" s="743" t="s">
        <v>205</v>
      </c>
      <c r="K178" s="1546" t="s">
        <v>15195</v>
      </c>
      <c r="L178" s="1546" t="s">
        <v>15196</v>
      </c>
      <c r="M178" s="741" t="s">
        <v>951</v>
      </c>
      <c r="N178" s="741" t="s">
        <v>952</v>
      </c>
      <c r="O178" s="749" t="s">
        <v>43</v>
      </c>
      <c r="P178" s="1547" t="s">
        <v>953</v>
      </c>
      <c r="Q178" s="749" t="s">
        <v>43</v>
      </c>
      <c r="R178" s="748" t="s">
        <v>954</v>
      </c>
      <c r="S178" s="749" t="s">
        <v>43</v>
      </c>
      <c r="T178" s="749" t="s">
        <v>43</v>
      </c>
      <c r="U178" s="749" t="s">
        <v>43</v>
      </c>
      <c r="V178" s="749" t="s">
        <v>43</v>
      </c>
      <c r="W178" s="748" t="s">
        <v>955</v>
      </c>
      <c r="X178" s="736" t="s">
        <v>170</v>
      </c>
      <c r="Y178" s="1452" t="s">
        <v>202</v>
      </c>
      <c r="Z178" s="1452" t="s">
        <v>65</v>
      </c>
      <c r="AA178" s="320">
        <v>4480000</v>
      </c>
    </row>
    <row r="179" spans="1:27" s="27" customFormat="1" ht="15.75" customHeight="1">
      <c r="A179" s="1452"/>
      <c r="B179" s="1546"/>
      <c r="C179" s="1394"/>
      <c r="D179" s="1546"/>
      <c r="E179" s="1546"/>
      <c r="F179" s="1452"/>
      <c r="G179" s="28" t="s">
        <v>956</v>
      </c>
      <c r="H179" s="30" t="s">
        <v>195</v>
      </c>
      <c r="I179" s="736" t="s">
        <v>168</v>
      </c>
      <c r="J179" s="743" t="s">
        <v>199</v>
      </c>
      <c r="K179" s="1546"/>
      <c r="L179" s="1546"/>
      <c r="M179" s="741" t="s">
        <v>957</v>
      </c>
      <c r="N179" s="736" t="s">
        <v>1079</v>
      </c>
      <c r="O179" s="749" t="s">
        <v>43</v>
      </c>
      <c r="P179" s="1547"/>
      <c r="Q179" s="749" t="s">
        <v>43</v>
      </c>
      <c r="R179" s="748" t="s">
        <v>68</v>
      </c>
      <c r="S179" s="749" t="s">
        <v>43</v>
      </c>
      <c r="T179" s="749" t="s">
        <v>43</v>
      </c>
      <c r="U179" s="749" t="s">
        <v>43</v>
      </c>
      <c r="V179" s="749" t="s">
        <v>43</v>
      </c>
      <c r="W179" s="749" t="s">
        <v>43</v>
      </c>
      <c r="X179" s="736" t="s">
        <v>170</v>
      </c>
      <c r="Y179" s="1452"/>
      <c r="Z179" s="1452"/>
      <c r="AA179" s="320">
        <v>20800000</v>
      </c>
    </row>
    <row r="180" spans="1:27" s="849" customFormat="1" ht="15.75" customHeight="1">
      <c r="A180" s="1551">
        <v>84</v>
      </c>
      <c r="B180" s="1551">
        <v>999</v>
      </c>
      <c r="C180" s="1394"/>
      <c r="D180" s="1394"/>
      <c r="E180" s="1551" t="s">
        <v>11065</v>
      </c>
      <c r="F180" s="1551" t="s">
        <v>480</v>
      </c>
      <c r="G180" s="157" t="s">
        <v>11066</v>
      </c>
      <c r="H180" s="845" t="s">
        <v>335</v>
      </c>
      <c r="I180" s="834" t="s">
        <v>11067</v>
      </c>
      <c r="J180" s="846" t="s">
        <v>4489</v>
      </c>
      <c r="K180" s="1552" t="s">
        <v>14377</v>
      </c>
      <c r="L180" s="1552" t="s">
        <v>14378</v>
      </c>
      <c r="M180" s="847" t="s">
        <v>14950</v>
      </c>
      <c r="N180" s="847" t="s">
        <v>14381</v>
      </c>
      <c r="O180" s="144"/>
      <c r="P180" s="1553" t="s">
        <v>14383</v>
      </c>
      <c r="Q180" s="144"/>
      <c r="R180" s="842" t="s">
        <v>68</v>
      </c>
      <c r="S180" s="835" t="s">
        <v>43</v>
      </c>
      <c r="T180" s="835" t="s">
        <v>43</v>
      </c>
      <c r="U180" s="835" t="s">
        <v>43</v>
      </c>
      <c r="V180" s="835" t="s">
        <v>43</v>
      </c>
      <c r="W180" s="835" t="s">
        <v>43</v>
      </c>
      <c r="X180" s="834" t="s">
        <v>14382</v>
      </c>
      <c r="Y180" s="1561" t="s">
        <v>202</v>
      </c>
      <c r="Z180" s="1561" t="s">
        <v>65</v>
      </c>
      <c r="AA180" s="848">
        <v>155606060.60609999</v>
      </c>
    </row>
    <row r="181" spans="1:27" s="850" customFormat="1" ht="18">
      <c r="A181" s="1551"/>
      <c r="B181" s="1551"/>
      <c r="C181" s="1394"/>
      <c r="D181" s="1394"/>
      <c r="E181" s="1551"/>
      <c r="F181" s="1551"/>
      <c r="G181" s="157" t="s">
        <v>12141</v>
      </c>
      <c r="H181" s="845" t="s">
        <v>107</v>
      </c>
      <c r="I181" s="834" t="s">
        <v>11067</v>
      </c>
      <c r="J181" s="846" t="s">
        <v>11095</v>
      </c>
      <c r="K181" s="1552"/>
      <c r="L181" s="1552"/>
      <c r="M181" s="834" t="s">
        <v>14379</v>
      </c>
      <c r="N181" s="834" t="s">
        <v>14380</v>
      </c>
      <c r="O181" s="834"/>
      <c r="P181" s="1554"/>
      <c r="Q181" s="835" t="s">
        <v>43</v>
      </c>
      <c r="R181" s="842" t="s">
        <v>14384</v>
      </c>
      <c r="S181" s="835" t="s">
        <v>43</v>
      </c>
      <c r="T181" s="835" t="s">
        <v>43</v>
      </c>
      <c r="U181" s="835" t="s">
        <v>43</v>
      </c>
      <c r="V181" s="835" t="s">
        <v>43</v>
      </c>
      <c r="W181" s="835" t="s">
        <v>43</v>
      </c>
      <c r="X181" s="834" t="s">
        <v>14382</v>
      </c>
      <c r="Y181" s="1561"/>
      <c r="Z181" s="1561"/>
      <c r="AA181" s="848">
        <v>506666667</v>
      </c>
    </row>
    <row r="182" spans="1:27" s="843" customFormat="1" ht="24" customHeight="1">
      <c r="A182" s="830">
        <v>85</v>
      </c>
      <c r="B182" s="830">
        <v>999</v>
      </c>
      <c r="C182" s="1394"/>
      <c r="D182" s="1394"/>
      <c r="E182" s="836" t="s">
        <v>14182</v>
      </c>
      <c r="F182" s="836" t="s">
        <v>480</v>
      </c>
      <c r="G182" s="831" t="s">
        <v>43</v>
      </c>
      <c r="H182" s="837" t="s">
        <v>44</v>
      </c>
      <c r="I182" s="830" t="s">
        <v>45</v>
      </c>
      <c r="J182" s="838" t="s">
        <v>205</v>
      </c>
      <c r="K182" s="839" t="s">
        <v>15476</v>
      </c>
      <c r="L182" s="839" t="s">
        <v>15474</v>
      </c>
      <c r="M182" s="839" t="s">
        <v>15475</v>
      </c>
      <c r="N182" s="851" t="s">
        <v>14375</v>
      </c>
      <c r="O182" s="831" t="s">
        <v>43</v>
      </c>
      <c r="P182" s="841" t="s">
        <v>14376</v>
      </c>
      <c r="Q182" s="835" t="s">
        <v>43</v>
      </c>
      <c r="R182" s="842" t="s">
        <v>68</v>
      </c>
      <c r="S182" s="835" t="s">
        <v>43</v>
      </c>
      <c r="T182" s="835" t="s">
        <v>43</v>
      </c>
      <c r="U182" s="835" t="s">
        <v>43</v>
      </c>
      <c r="V182" s="835" t="s">
        <v>43</v>
      </c>
      <c r="W182" s="835" t="s">
        <v>43</v>
      </c>
      <c r="X182" s="830" t="s">
        <v>50</v>
      </c>
      <c r="Y182" s="830" t="s">
        <v>202</v>
      </c>
      <c r="Z182" s="841" t="s">
        <v>65</v>
      </c>
      <c r="AA182" s="320">
        <v>0</v>
      </c>
    </row>
    <row r="183" spans="1:27" s="843" customFormat="1" ht="24" customHeight="1">
      <c r="A183" s="830">
        <v>86</v>
      </c>
      <c r="B183" s="830">
        <v>999</v>
      </c>
      <c r="C183" s="1394"/>
      <c r="D183" s="1394"/>
      <c r="E183" s="836" t="s">
        <v>11548</v>
      </c>
      <c r="F183" s="836" t="s">
        <v>480</v>
      </c>
      <c r="G183" s="831" t="s">
        <v>43</v>
      </c>
      <c r="H183" s="837" t="s">
        <v>44</v>
      </c>
      <c r="I183" s="830" t="s">
        <v>45</v>
      </c>
      <c r="J183" s="838" t="s">
        <v>205</v>
      </c>
      <c r="K183" s="839" t="s">
        <v>15482</v>
      </c>
      <c r="L183" s="839" t="s">
        <v>15483</v>
      </c>
      <c r="M183" s="840" t="s">
        <v>15485</v>
      </c>
      <c r="N183" s="851" t="s">
        <v>15486</v>
      </c>
      <c r="O183" s="831" t="s">
        <v>43</v>
      </c>
      <c r="P183" s="841" t="s">
        <v>15484</v>
      </c>
      <c r="Q183" s="835" t="s">
        <v>43</v>
      </c>
      <c r="R183" s="842" t="s">
        <v>68</v>
      </c>
      <c r="S183" s="835" t="s">
        <v>43</v>
      </c>
      <c r="T183" s="835" t="s">
        <v>43</v>
      </c>
      <c r="U183" s="835" t="s">
        <v>43</v>
      </c>
      <c r="V183" s="835" t="s">
        <v>43</v>
      </c>
      <c r="W183" s="835" t="s">
        <v>43</v>
      </c>
      <c r="X183" s="830" t="s">
        <v>50</v>
      </c>
      <c r="Y183" s="830"/>
      <c r="Z183" s="841"/>
      <c r="AA183" s="320">
        <v>0</v>
      </c>
    </row>
    <row r="184" spans="1:27" s="843" customFormat="1" ht="24" customHeight="1">
      <c r="A184" s="832">
        <v>87</v>
      </c>
      <c r="B184" s="832">
        <v>999</v>
      </c>
      <c r="C184" s="1393"/>
      <c r="D184" s="1393"/>
      <c r="E184" s="836" t="s">
        <v>11357</v>
      </c>
      <c r="F184" s="836" t="s">
        <v>480</v>
      </c>
      <c r="G184" s="833" t="s">
        <v>43</v>
      </c>
      <c r="H184" s="837" t="s">
        <v>15477</v>
      </c>
      <c r="I184" s="832" t="s">
        <v>45</v>
      </c>
      <c r="J184" s="838" t="s">
        <v>205</v>
      </c>
      <c r="K184" s="839" t="s">
        <v>15478</v>
      </c>
      <c r="L184" s="839" t="s">
        <v>15479</v>
      </c>
      <c r="M184" s="839" t="s">
        <v>15480</v>
      </c>
      <c r="N184" s="840" t="s">
        <v>15481</v>
      </c>
      <c r="O184" s="833" t="s">
        <v>43</v>
      </c>
      <c r="P184" s="841"/>
      <c r="Q184" s="835" t="s">
        <v>43</v>
      </c>
      <c r="R184" s="842" t="s">
        <v>68</v>
      </c>
      <c r="S184" s="835" t="s">
        <v>43</v>
      </c>
      <c r="T184" s="835" t="s">
        <v>43</v>
      </c>
      <c r="U184" s="835" t="s">
        <v>43</v>
      </c>
      <c r="V184" s="835" t="s">
        <v>43</v>
      </c>
      <c r="W184" s="835" t="s">
        <v>43</v>
      </c>
      <c r="X184" s="832" t="s">
        <v>50</v>
      </c>
      <c r="Y184" s="844" t="s">
        <v>202</v>
      </c>
      <c r="Z184" s="841" t="s">
        <v>65</v>
      </c>
      <c r="AA184" s="320">
        <v>0</v>
      </c>
    </row>
    <row r="188" spans="1:27" ht="15.75">
      <c r="I188" s="575"/>
    </row>
    <row r="190" spans="1:27" s="12" customFormat="1" ht="19.5">
      <c r="A190" s="34" t="s">
        <v>0</v>
      </c>
      <c r="B190" s="34" t="s">
        <v>5</v>
      </c>
      <c r="C190" s="34" t="s">
        <v>2</v>
      </c>
      <c r="D190" s="34" t="s">
        <v>3</v>
      </c>
      <c r="E190" s="1445" t="s">
        <v>256</v>
      </c>
      <c r="F190" s="1446"/>
      <c r="G190" s="34" t="s">
        <v>6</v>
      </c>
      <c r="H190" s="34" t="s">
        <v>7</v>
      </c>
      <c r="I190" s="34" t="s">
        <v>8</v>
      </c>
      <c r="J190" s="34" t="s">
        <v>233</v>
      </c>
      <c r="K190" s="34" t="s">
        <v>9</v>
      </c>
      <c r="L190" s="34" t="s">
        <v>11</v>
      </c>
      <c r="M190" s="34" t="s">
        <v>12</v>
      </c>
      <c r="N190" s="34" t="s">
        <v>216</v>
      </c>
      <c r="O190" s="34" t="s">
        <v>13</v>
      </c>
      <c r="P190" s="35" t="s">
        <v>14</v>
      </c>
      <c r="Q190" s="35" t="s">
        <v>217</v>
      </c>
      <c r="R190" s="35" t="s">
        <v>16</v>
      </c>
      <c r="S190" s="34" t="s">
        <v>17</v>
      </c>
      <c r="T190" s="34" t="s">
        <v>218</v>
      </c>
      <c r="U190" s="34" t="s">
        <v>22</v>
      </c>
      <c r="V190" s="36" t="s">
        <v>23</v>
      </c>
      <c r="W190" s="34" t="s">
        <v>24</v>
      </c>
      <c r="X190" s="58" t="s">
        <v>257</v>
      </c>
      <c r="AA190" s="461"/>
    </row>
    <row r="191" spans="1:27" s="383" customFormat="1" ht="18.75">
      <c r="A191" s="885">
        <v>1</v>
      </c>
      <c r="B191" s="885" t="s">
        <v>468</v>
      </c>
      <c r="C191" s="1448"/>
      <c r="D191" s="1537"/>
      <c r="E191" s="1538" t="s">
        <v>15821</v>
      </c>
      <c r="F191" s="1539"/>
      <c r="G191" s="886" t="s">
        <v>1121</v>
      </c>
      <c r="H191" s="885" t="s">
        <v>335</v>
      </c>
      <c r="I191" s="887" t="s">
        <v>168</v>
      </c>
      <c r="J191" s="888" t="s">
        <v>205</v>
      </c>
      <c r="K191" s="889" t="s">
        <v>1122</v>
      </c>
      <c r="L191" s="889" t="s">
        <v>1123</v>
      </c>
      <c r="M191" s="889" t="s">
        <v>1124</v>
      </c>
      <c r="N191" s="890" t="s">
        <v>43</v>
      </c>
      <c r="O191" s="890" t="s">
        <v>43</v>
      </c>
      <c r="P191" s="890" t="s">
        <v>43</v>
      </c>
      <c r="Q191" s="890" t="s">
        <v>43</v>
      </c>
      <c r="R191" s="890" t="s">
        <v>43</v>
      </c>
      <c r="S191" s="886" t="s">
        <v>43</v>
      </c>
      <c r="T191" s="885" t="s">
        <v>68</v>
      </c>
      <c r="U191" s="885" t="s">
        <v>170</v>
      </c>
      <c r="V191" s="891" t="s">
        <v>202</v>
      </c>
      <c r="W191" s="890" t="s">
        <v>43</v>
      </c>
      <c r="X191" s="892">
        <v>8960000</v>
      </c>
      <c r="AA191" s="878"/>
    </row>
    <row r="192" spans="1:27" s="383" customFormat="1" ht="18.75">
      <c r="A192" s="887">
        <v>2</v>
      </c>
      <c r="B192" s="885" t="s">
        <v>468</v>
      </c>
      <c r="C192" s="1448"/>
      <c r="D192" s="1537"/>
      <c r="E192" s="1538" t="s">
        <v>1152</v>
      </c>
      <c r="F192" s="1539"/>
      <c r="G192" s="886" t="s">
        <v>1153</v>
      </c>
      <c r="H192" s="885" t="s">
        <v>335</v>
      </c>
      <c r="I192" s="887" t="s">
        <v>168</v>
      </c>
      <c r="J192" s="888" t="s">
        <v>205</v>
      </c>
      <c r="K192" s="889" t="s">
        <v>1154</v>
      </c>
      <c r="L192" s="889" t="s">
        <v>1155</v>
      </c>
      <c r="M192" s="889" t="s">
        <v>1156</v>
      </c>
      <c r="N192" s="886" t="s">
        <v>43</v>
      </c>
      <c r="O192" s="886" t="s">
        <v>43</v>
      </c>
      <c r="P192" s="886" t="s">
        <v>43</v>
      </c>
      <c r="Q192" s="886" t="s">
        <v>43</v>
      </c>
      <c r="R192" s="886" t="s">
        <v>43</v>
      </c>
      <c r="S192" s="886" t="s">
        <v>43</v>
      </c>
      <c r="T192" s="885" t="s">
        <v>68</v>
      </c>
      <c r="U192" s="885" t="s">
        <v>170</v>
      </c>
      <c r="V192" s="891" t="s">
        <v>202</v>
      </c>
      <c r="W192" s="890" t="s">
        <v>43</v>
      </c>
      <c r="X192" s="892">
        <v>8960000</v>
      </c>
      <c r="AA192" s="878"/>
    </row>
    <row r="193" spans="1:27" s="383" customFormat="1" ht="18.75">
      <c r="A193" s="885">
        <v>3</v>
      </c>
      <c r="B193" s="885" t="s">
        <v>475</v>
      </c>
      <c r="C193" s="1448"/>
      <c r="D193" s="1537"/>
      <c r="E193" s="1538" t="s">
        <v>1162</v>
      </c>
      <c r="F193" s="1539"/>
      <c r="G193" s="886" t="s">
        <v>1163</v>
      </c>
      <c r="H193" s="885" t="s">
        <v>335</v>
      </c>
      <c r="I193" s="887" t="s">
        <v>168</v>
      </c>
      <c r="J193" s="888" t="s">
        <v>205</v>
      </c>
      <c r="K193" s="889" t="s">
        <v>1164</v>
      </c>
      <c r="L193" s="889" t="s">
        <v>1165</v>
      </c>
      <c r="M193" s="889" t="s">
        <v>1166</v>
      </c>
      <c r="N193" s="886" t="s">
        <v>43</v>
      </c>
      <c r="O193" s="886" t="s">
        <v>43</v>
      </c>
      <c r="P193" s="886" t="s">
        <v>43</v>
      </c>
      <c r="Q193" s="886" t="s">
        <v>43</v>
      </c>
      <c r="R193" s="886" t="s">
        <v>43</v>
      </c>
      <c r="S193" s="886" t="s">
        <v>43</v>
      </c>
      <c r="T193" s="885" t="s">
        <v>68</v>
      </c>
      <c r="U193" s="885" t="s">
        <v>170</v>
      </c>
      <c r="V193" s="891" t="s">
        <v>202</v>
      </c>
      <c r="W193" s="890" t="s">
        <v>43</v>
      </c>
      <c r="X193" s="892">
        <v>8960000</v>
      </c>
      <c r="AA193" s="878"/>
    </row>
    <row r="194" spans="1:27" s="383" customFormat="1" ht="18.75">
      <c r="A194" s="887">
        <v>4</v>
      </c>
      <c r="B194" s="885" t="s">
        <v>480</v>
      </c>
      <c r="C194" s="1448"/>
      <c r="D194" s="1537"/>
      <c r="E194" s="1538" t="s">
        <v>1183</v>
      </c>
      <c r="F194" s="1539"/>
      <c r="G194" s="886">
        <v>94017305365</v>
      </c>
      <c r="H194" s="885" t="s">
        <v>335</v>
      </c>
      <c r="I194" s="887" t="s">
        <v>168</v>
      </c>
      <c r="J194" s="888" t="s">
        <v>205</v>
      </c>
      <c r="K194" s="889" t="s">
        <v>1184</v>
      </c>
      <c r="L194" s="889" t="s">
        <v>1185</v>
      </c>
      <c r="M194" s="889" t="s">
        <v>1186</v>
      </c>
      <c r="N194" s="886" t="s">
        <v>43</v>
      </c>
      <c r="O194" s="886" t="s">
        <v>43</v>
      </c>
      <c r="P194" s="886" t="s">
        <v>43</v>
      </c>
      <c r="Q194" s="886" t="s">
        <v>43</v>
      </c>
      <c r="R194" s="886" t="s">
        <v>43</v>
      </c>
      <c r="S194" s="886" t="s">
        <v>43</v>
      </c>
      <c r="T194" s="885" t="s">
        <v>68</v>
      </c>
      <c r="U194" s="885" t="s">
        <v>170</v>
      </c>
      <c r="V194" s="891" t="s">
        <v>202</v>
      </c>
      <c r="W194" s="886" t="s">
        <v>43</v>
      </c>
      <c r="X194" s="892">
        <v>8960000</v>
      </c>
      <c r="AA194" s="878"/>
    </row>
    <row r="195" spans="1:27" s="383" customFormat="1" ht="18.75">
      <c r="A195" s="885">
        <v>5</v>
      </c>
      <c r="B195" s="885" t="s">
        <v>480</v>
      </c>
      <c r="C195" s="1448"/>
      <c r="D195" s="1537"/>
      <c r="E195" s="1538" t="s">
        <v>1204</v>
      </c>
      <c r="F195" s="1539"/>
      <c r="G195" s="886" t="s">
        <v>1205</v>
      </c>
      <c r="H195" s="885" t="s">
        <v>335</v>
      </c>
      <c r="I195" s="887" t="s">
        <v>168</v>
      </c>
      <c r="J195" s="888" t="s">
        <v>205</v>
      </c>
      <c r="K195" s="889" t="s">
        <v>1206</v>
      </c>
      <c r="L195" s="889" t="s">
        <v>1207</v>
      </c>
      <c r="M195" s="889" t="s">
        <v>1208</v>
      </c>
      <c r="N195" s="889"/>
      <c r="O195" s="885"/>
      <c r="P195" s="893"/>
      <c r="Q195" s="893"/>
      <c r="R195" s="893"/>
      <c r="S195" s="885"/>
      <c r="T195" s="885" t="s">
        <v>68</v>
      </c>
      <c r="U195" s="885" t="s">
        <v>170</v>
      </c>
      <c r="V195" s="891" t="s">
        <v>202</v>
      </c>
      <c r="W195" s="885"/>
      <c r="X195" s="892">
        <v>8960000</v>
      </c>
      <c r="AA195" s="878"/>
    </row>
    <row r="196" spans="1:27" s="383" customFormat="1" ht="18.75">
      <c r="A196" s="887">
        <v>6</v>
      </c>
      <c r="B196" s="885" t="s">
        <v>480</v>
      </c>
      <c r="C196" s="1448"/>
      <c r="D196" s="1537"/>
      <c r="E196" s="1538" t="s">
        <v>1262</v>
      </c>
      <c r="F196" s="1539"/>
      <c r="G196" s="886">
        <v>95019878273</v>
      </c>
      <c r="H196" s="885" t="s">
        <v>335</v>
      </c>
      <c r="I196" s="887" t="s">
        <v>168</v>
      </c>
      <c r="J196" s="888" t="s">
        <v>205</v>
      </c>
      <c r="K196" s="889" t="s">
        <v>1263</v>
      </c>
      <c r="L196" s="889" t="s">
        <v>1264</v>
      </c>
      <c r="M196" s="889" t="s">
        <v>1265</v>
      </c>
      <c r="N196" s="889"/>
      <c r="O196" s="885"/>
      <c r="P196" s="893"/>
      <c r="Q196" s="893"/>
      <c r="R196" s="893"/>
      <c r="S196" s="885"/>
      <c r="T196" s="885" t="s">
        <v>68</v>
      </c>
      <c r="U196" s="885" t="s">
        <v>170</v>
      </c>
      <c r="V196" s="891" t="s">
        <v>202</v>
      </c>
      <c r="W196" s="885"/>
      <c r="X196" s="892">
        <v>8960000</v>
      </c>
      <c r="AA196" s="878"/>
    </row>
    <row r="197" spans="1:27" s="383" customFormat="1" ht="18.75">
      <c r="A197" s="885">
        <v>7</v>
      </c>
      <c r="B197" s="885" t="s">
        <v>468</v>
      </c>
      <c r="C197" s="1448"/>
      <c r="D197" s="1537"/>
      <c r="E197" s="1538" t="s">
        <v>1302</v>
      </c>
      <c r="F197" s="1539"/>
      <c r="G197" s="886">
        <v>95019824830</v>
      </c>
      <c r="H197" s="885" t="s">
        <v>335</v>
      </c>
      <c r="I197" s="887" t="s">
        <v>168</v>
      </c>
      <c r="J197" s="888" t="s">
        <v>205</v>
      </c>
      <c r="K197" s="889" t="s">
        <v>1303</v>
      </c>
      <c r="L197" s="889" t="s">
        <v>1304</v>
      </c>
      <c r="M197" s="889" t="s">
        <v>1305</v>
      </c>
      <c r="N197" s="889"/>
      <c r="O197" s="885"/>
      <c r="P197" s="893"/>
      <c r="Q197" s="893"/>
      <c r="R197" s="893"/>
      <c r="S197" s="885"/>
      <c r="T197" s="885" t="s">
        <v>68</v>
      </c>
      <c r="U197" s="885" t="s">
        <v>170</v>
      </c>
      <c r="V197" s="891" t="s">
        <v>202</v>
      </c>
      <c r="W197" s="885"/>
      <c r="X197" s="892">
        <v>8960000</v>
      </c>
      <c r="AA197" s="878"/>
    </row>
    <row r="198" spans="1:27" s="383" customFormat="1" ht="18.75">
      <c r="A198" s="887">
        <v>8</v>
      </c>
      <c r="B198" s="885" t="s">
        <v>480</v>
      </c>
      <c r="C198" s="1448"/>
      <c r="D198" s="1537"/>
      <c r="E198" s="1535" t="s">
        <v>1318</v>
      </c>
      <c r="F198" s="1536"/>
      <c r="G198" s="886" t="s">
        <v>1319</v>
      </c>
      <c r="H198" s="885" t="s">
        <v>335</v>
      </c>
      <c r="I198" s="887" t="s">
        <v>168</v>
      </c>
      <c r="J198" s="888" t="s">
        <v>205</v>
      </c>
      <c r="K198" s="889" t="s">
        <v>12112</v>
      </c>
      <c r="L198" s="889" t="s">
        <v>1320</v>
      </c>
      <c r="M198" s="889" t="s">
        <v>1321</v>
      </c>
      <c r="N198" s="889"/>
      <c r="O198" s="885"/>
      <c r="P198" s="893"/>
      <c r="Q198" s="893"/>
      <c r="R198" s="893"/>
      <c r="S198" s="885"/>
      <c r="T198" s="885" t="s">
        <v>68</v>
      </c>
      <c r="U198" s="885" t="s">
        <v>170</v>
      </c>
      <c r="V198" s="891" t="s">
        <v>202</v>
      </c>
      <c r="W198" s="885"/>
      <c r="X198" s="892">
        <v>8960000</v>
      </c>
      <c r="AA198" s="878"/>
    </row>
    <row r="199" spans="1:27" s="383" customFormat="1" ht="18.75">
      <c r="A199" s="885">
        <v>9</v>
      </c>
      <c r="B199" s="885" t="s">
        <v>425</v>
      </c>
      <c r="C199" s="1448"/>
      <c r="D199" s="1537"/>
      <c r="E199" s="1538" t="s">
        <v>1324</v>
      </c>
      <c r="F199" s="1539"/>
      <c r="G199" s="886" t="s">
        <v>1325</v>
      </c>
      <c r="H199" s="885" t="s">
        <v>335</v>
      </c>
      <c r="I199" s="887" t="s">
        <v>168</v>
      </c>
      <c r="J199" s="888" t="s">
        <v>205</v>
      </c>
      <c r="K199" s="889" t="s">
        <v>1326</v>
      </c>
      <c r="L199" s="889" t="s">
        <v>1327</v>
      </c>
      <c r="M199" s="889" t="s">
        <v>1328</v>
      </c>
      <c r="N199" s="889"/>
      <c r="O199" s="885"/>
      <c r="P199" s="893"/>
      <c r="Q199" s="893"/>
      <c r="R199" s="893"/>
      <c r="S199" s="885"/>
      <c r="T199" s="885" t="s">
        <v>68</v>
      </c>
      <c r="U199" s="885" t="s">
        <v>170</v>
      </c>
      <c r="V199" s="891" t="s">
        <v>202</v>
      </c>
      <c r="W199" s="885"/>
      <c r="X199" s="892">
        <v>8960000</v>
      </c>
      <c r="AA199" s="878"/>
    </row>
    <row r="200" spans="1:27" s="383" customFormat="1" ht="18.75">
      <c r="A200" s="885">
        <v>10</v>
      </c>
      <c r="B200" s="885" t="s">
        <v>475</v>
      </c>
      <c r="C200" s="1448"/>
      <c r="D200" s="1537"/>
      <c r="E200" s="1538" t="s">
        <v>1331</v>
      </c>
      <c r="F200" s="1539"/>
      <c r="G200" s="886" t="s">
        <v>1332</v>
      </c>
      <c r="H200" s="885" t="s">
        <v>335</v>
      </c>
      <c r="I200" s="887" t="s">
        <v>168</v>
      </c>
      <c r="J200" s="888" t="s">
        <v>205</v>
      </c>
      <c r="K200" s="889" t="s">
        <v>1333</v>
      </c>
      <c r="L200" s="889" t="s">
        <v>1334</v>
      </c>
      <c r="M200" s="889" t="s">
        <v>1335</v>
      </c>
      <c r="N200" s="889"/>
      <c r="O200" s="885"/>
      <c r="P200" s="893"/>
      <c r="Q200" s="893"/>
      <c r="R200" s="893"/>
      <c r="S200" s="885"/>
      <c r="T200" s="885" t="s">
        <v>68</v>
      </c>
      <c r="U200" s="885" t="s">
        <v>170</v>
      </c>
      <c r="V200" s="891" t="s">
        <v>202</v>
      </c>
      <c r="W200" s="885"/>
      <c r="X200" s="892">
        <v>8960000</v>
      </c>
      <c r="AA200" s="878"/>
    </row>
    <row r="201" spans="1:27" s="383" customFormat="1" ht="18.75">
      <c r="A201" s="887">
        <v>11</v>
      </c>
      <c r="B201" s="885" t="s">
        <v>425</v>
      </c>
      <c r="C201" s="1448"/>
      <c r="D201" s="1537"/>
      <c r="E201" s="1538" t="s">
        <v>1361</v>
      </c>
      <c r="F201" s="1539"/>
      <c r="G201" s="886" t="s">
        <v>1362</v>
      </c>
      <c r="H201" s="885" t="s">
        <v>335</v>
      </c>
      <c r="I201" s="887" t="s">
        <v>168</v>
      </c>
      <c r="J201" s="888" t="s">
        <v>205</v>
      </c>
      <c r="K201" s="889" t="s">
        <v>1363</v>
      </c>
      <c r="L201" s="889" t="s">
        <v>1364</v>
      </c>
      <c r="M201" s="889" t="s">
        <v>1365</v>
      </c>
      <c r="N201" s="889"/>
      <c r="O201" s="885"/>
      <c r="P201" s="893"/>
      <c r="Q201" s="893"/>
      <c r="R201" s="893"/>
      <c r="S201" s="885"/>
      <c r="T201" s="885" t="s">
        <v>68</v>
      </c>
      <c r="U201" s="885" t="s">
        <v>170</v>
      </c>
      <c r="V201" s="891" t="s">
        <v>202</v>
      </c>
      <c r="W201" s="885"/>
      <c r="X201" s="892">
        <v>8960000</v>
      </c>
      <c r="AA201" s="878"/>
    </row>
    <row r="202" spans="1:27" s="383" customFormat="1" ht="18.75">
      <c r="A202" s="885">
        <v>12</v>
      </c>
      <c r="B202" s="885" t="s">
        <v>441</v>
      </c>
      <c r="C202" s="1448"/>
      <c r="D202" s="1537"/>
      <c r="E202" s="1538" t="s">
        <v>1366</v>
      </c>
      <c r="F202" s="1539"/>
      <c r="G202" s="886" t="s">
        <v>1367</v>
      </c>
      <c r="H202" s="885" t="s">
        <v>335</v>
      </c>
      <c r="I202" s="887" t="s">
        <v>168</v>
      </c>
      <c r="J202" s="888" t="s">
        <v>205</v>
      </c>
      <c r="K202" s="889" t="s">
        <v>1368</v>
      </c>
      <c r="L202" s="889" t="s">
        <v>1369</v>
      </c>
      <c r="M202" s="889" t="s">
        <v>1370</v>
      </c>
      <c r="N202" s="889"/>
      <c r="O202" s="885"/>
      <c r="P202" s="893"/>
      <c r="Q202" s="893"/>
      <c r="R202" s="893"/>
      <c r="S202" s="885"/>
      <c r="T202" s="885" t="s">
        <v>68</v>
      </c>
      <c r="U202" s="885" t="s">
        <v>170</v>
      </c>
      <c r="V202" s="891" t="s">
        <v>202</v>
      </c>
      <c r="W202" s="885"/>
      <c r="X202" s="892">
        <v>8960000</v>
      </c>
      <c r="AA202" s="878"/>
    </row>
    <row r="203" spans="1:27" s="383" customFormat="1" ht="18.75">
      <c r="A203" s="885">
        <v>13</v>
      </c>
      <c r="B203" s="885" t="s">
        <v>425</v>
      </c>
      <c r="C203" s="1448"/>
      <c r="D203" s="1537"/>
      <c r="E203" s="1538" t="s">
        <v>1376</v>
      </c>
      <c r="F203" s="1539"/>
      <c r="G203" s="886" t="s">
        <v>1377</v>
      </c>
      <c r="H203" s="885" t="s">
        <v>335</v>
      </c>
      <c r="I203" s="887" t="s">
        <v>168</v>
      </c>
      <c r="J203" s="888" t="s">
        <v>205</v>
      </c>
      <c r="K203" s="889" t="s">
        <v>1378</v>
      </c>
      <c r="L203" s="889" t="s">
        <v>1379</v>
      </c>
      <c r="M203" s="889" t="s">
        <v>1380</v>
      </c>
      <c r="N203" s="889"/>
      <c r="O203" s="885"/>
      <c r="P203" s="893"/>
      <c r="Q203" s="893"/>
      <c r="R203" s="893"/>
      <c r="S203" s="885"/>
      <c r="T203" s="885" t="s">
        <v>68</v>
      </c>
      <c r="U203" s="885" t="s">
        <v>170</v>
      </c>
      <c r="V203" s="891" t="s">
        <v>202</v>
      </c>
      <c r="W203" s="885"/>
      <c r="X203" s="892">
        <v>8960000</v>
      </c>
      <c r="AA203" s="878"/>
    </row>
    <row r="204" spans="1:27" s="383" customFormat="1" ht="18.75">
      <c r="A204" s="887">
        <v>14</v>
      </c>
      <c r="B204" s="885" t="s">
        <v>475</v>
      </c>
      <c r="C204" s="1448"/>
      <c r="D204" s="1537"/>
      <c r="E204" s="1538" t="s">
        <v>1385</v>
      </c>
      <c r="F204" s="1539"/>
      <c r="G204" s="886" t="s">
        <v>1386</v>
      </c>
      <c r="H204" s="885" t="s">
        <v>335</v>
      </c>
      <c r="I204" s="887" t="s">
        <v>168</v>
      </c>
      <c r="J204" s="888" t="s">
        <v>205</v>
      </c>
      <c r="K204" s="889" t="s">
        <v>1387</v>
      </c>
      <c r="L204" s="889" t="s">
        <v>1388</v>
      </c>
      <c r="M204" s="889" t="s">
        <v>1389</v>
      </c>
      <c r="N204" s="889"/>
      <c r="O204" s="885"/>
      <c r="P204" s="893"/>
      <c r="Q204" s="893"/>
      <c r="R204" s="893"/>
      <c r="S204" s="885"/>
      <c r="T204" s="885" t="s">
        <v>68</v>
      </c>
      <c r="U204" s="885" t="s">
        <v>170</v>
      </c>
      <c r="V204" s="891" t="s">
        <v>202</v>
      </c>
      <c r="W204" s="885" t="s">
        <v>1390</v>
      </c>
      <c r="X204" s="892">
        <v>8960000</v>
      </c>
      <c r="AA204" s="878"/>
    </row>
    <row r="205" spans="1:27" s="383" customFormat="1" ht="18.75">
      <c r="A205" s="885">
        <v>15</v>
      </c>
      <c r="B205" s="885" t="s">
        <v>441</v>
      </c>
      <c r="C205" s="1448"/>
      <c r="D205" s="1537"/>
      <c r="E205" s="1538" t="s">
        <v>1395</v>
      </c>
      <c r="F205" s="1539"/>
      <c r="G205" s="886" t="s">
        <v>1396</v>
      </c>
      <c r="H205" s="885" t="s">
        <v>335</v>
      </c>
      <c r="I205" s="887" t="s">
        <v>168</v>
      </c>
      <c r="J205" s="888" t="s">
        <v>205</v>
      </c>
      <c r="K205" s="889" t="s">
        <v>1397</v>
      </c>
      <c r="L205" s="889" t="s">
        <v>1398</v>
      </c>
      <c r="M205" s="889" t="s">
        <v>1399</v>
      </c>
      <c r="N205" s="889"/>
      <c r="O205" s="885"/>
      <c r="P205" s="893"/>
      <c r="Q205" s="893"/>
      <c r="R205" s="893"/>
      <c r="S205" s="885"/>
      <c r="T205" s="885" t="s">
        <v>68</v>
      </c>
      <c r="U205" s="885" t="s">
        <v>170</v>
      </c>
      <c r="V205" s="891" t="s">
        <v>202</v>
      </c>
      <c r="W205" s="885" t="s">
        <v>43</v>
      </c>
      <c r="X205" s="892">
        <v>8960000</v>
      </c>
      <c r="AA205" s="878"/>
    </row>
    <row r="206" spans="1:27" s="383" customFormat="1" ht="18.75">
      <c r="A206" s="885">
        <v>16</v>
      </c>
      <c r="B206" s="885" t="s">
        <v>425</v>
      </c>
      <c r="C206" s="1448"/>
      <c r="D206" s="1537"/>
      <c r="E206" s="1538" t="s">
        <v>1401</v>
      </c>
      <c r="F206" s="1539"/>
      <c r="G206" s="886" t="s">
        <v>1402</v>
      </c>
      <c r="H206" s="885" t="s">
        <v>335</v>
      </c>
      <c r="I206" s="887" t="s">
        <v>168</v>
      </c>
      <c r="J206" s="888" t="s">
        <v>205</v>
      </c>
      <c r="K206" s="889" t="s">
        <v>1403</v>
      </c>
      <c r="L206" s="889" t="s">
        <v>1404</v>
      </c>
      <c r="M206" s="889" t="s">
        <v>1405</v>
      </c>
      <c r="N206" s="889"/>
      <c r="O206" s="885"/>
      <c r="P206" s="893"/>
      <c r="Q206" s="893"/>
      <c r="R206" s="893"/>
      <c r="S206" s="885"/>
      <c r="T206" s="885" t="s">
        <v>68</v>
      </c>
      <c r="U206" s="885" t="s">
        <v>170</v>
      </c>
      <c r="V206" s="891" t="s">
        <v>202</v>
      </c>
      <c r="W206" s="885" t="s">
        <v>43</v>
      </c>
      <c r="X206" s="892">
        <v>8960000</v>
      </c>
      <c r="AA206" s="878"/>
    </row>
    <row r="207" spans="1:27" s="383" customFormat="1" ht="18.75">
      <c r="A207" s="887">
        <v>17</v>
      </c>
      <c r="B207" s="885" t="s">
        <v>475</v>
      </c>
      <c r="C207" s="1448"/>
      <c r="D207" s="1537"/>
      <c r="E207" s="1538" t="s">
        <v>1418</v>
      </c>
      <c r="F207" s="1539"/>
      <c r="G207" s="886" t="s">
        <v>1419</v>
      </c>
      <c r="H207" s="885" t="s">
        <v>335</v>
      </c>
      <c r="I207" s="887" t="s">
        <v>168</v>
      </c>
      <c r="J207" s="888" t="s">
        <v>201</v>
      </c>
      <c r="K207" s="889" t="s">
        <v>1420</v>
      </c>
      <c r="L207" s="889" t="s">
        <v>1421</v>
      </c>
      <c r="M207" s="889" t="s">
        <v>1422</v>
      </c>
      <c r="N207" s="889"/>
      <c r="O207" s="885"/>
      <c r="P207" s="893"/>
      <c r="Q207" s="893"/>
      <c r="R207" s="893"/>
      <c r="S207" s="885"/>
      <c r="T207" s="885" t="s">
        <v>68</v>
      </c>
      <c r="U207" s="885" t="s">
        <v>170</v>
      </c>
      <c r="V207" s="891" t="s">
        <v>202</v>
      </c>
      <c r="W207" s="885" t="s">
        <v>43</v>
      </c>
      <c r="X207" s="892">
        <v>8960000</v>
      </c>
      <c r="AA207" s="878"/>
    </row>
    <row r="208" spans="1:27" s="383" customFormat="1" ht="18.75">
      <c r="A208" s="885">
        <v>18</v>
      </c>
      <c r="B208" s="885" t="s">
        <v>475</v>
      </c>
      <c r="C208" s="1448"/>
      <c r="D208" s="1537"/>
      <c r="E208" s="1538" t="s">
        <v>1463</v>
      </c>
      <c r="F208" s="1539"/>
      <c r="G208" s="886" t="s">
        <v>1464</v>
      </c>
      <c r="H208" s="885" t="s">
        <v>335</v>
      </c>
      <c r="I208" s="887" t="s">
        <v>168</v>
      </c>
      <c r="J208" s="888" t="s">
        <v>205</v>
      </c>
      <c r="K208" s="889" t="s">
        <v>1465</v>
      </c>
      <c r="L208" s="889" t="s">
        <v>1466</v>
      </c>
      <c r="M208" s="889" t="s">
        <v>1467</v>
      </c>
      <c r="N208" s="889"/>
      <c r="O208" s="885"/>
      <c r="P208" s="893"/>
      <c r="Q208" s="893"/>
      <c r="R208" s="893"/>
      <c r="S208" s="885"/>
      <c r="T208" s="885" t="s">
        <v>68</v>
      </c>
      <c r="U208" s="885" t="s">
        <v>170</v>
      </c>
      <c r="V208" s="891" t="s">
        <v>202</v>
      </c>
      <c r="W208" s="885" t="s">
        <v>43</v>
      </c>
      <c r="X208" s="892">
        <v>8960000</v>
      </c>
      <c r="AA208" s="878"/>
    </row>
    <row r="209" spans="1:27" s="12" customFormat="1" ht="18">
      <c r="A209" s="765"/>
      <c r="B209" s="765"/>
      <c r="C209" s="1448"/>
      <c r="D209" s="1537"/>
      <c r="E209" s="734"/>
      <c r="F209" s="735"/>
      <c r="G209" s="746"/>
      <c r="H209" s="765"/>
      <c r="I209" s="4"/>
      <c r="J209" s="743"/>
      <c r="K209" s="767"/>
      <c r="L209" s="767"/>
      <c r="M209" s="767"/>
      <c r="N209" s="733"/>
      <c r="O209" s="732"/>
      <c r="P209" s="577"/>
      <c r="Q209" s="577"/>
      <c r="R209" s="577"/>
      <c r="S209" s="732"/>
      <c r="T209" s="765"/>
      <c r="U209" s="765"/>
      <c r="V209" s="15"/>
      <c r="W209" s="732"/>
      <c r="X209" s="320"/>
      <c r="AA209" s="461"/>
    </row>
    <row r="210" spans="1:27" s="12" customFormat="1" ht="18">
      <c r="A210" s="765"/>
      <c r="B210" s="765"/>
      <c r="C210" s="1448"/>
      <c r="D210" s="1537"/>
      <c r="E210" s="734"/>
      <c r="F210" s="735"/>
      <c r="G210" s="746"/>
      <c r="H210" s="765"/>
      <c r="I210" s="4"/>
      <c r="J210" s="743"/>
      <c r="K210" s="767"/>
      <c r="L210" s="767"/>
      <c r="M210" s="767"/>
      <c r="N210" s="733"/>
      <c r="O210" s="732"/>
      <c r="P210" s="577"/>
      <c r="Q210" s="577"/>
      <c r="R210" s="577"/>
      <c r="S210" s="732"/>
      <c r="T210" s="765"/>
      <c r="U210" s="765"/>
      <c r="V210" s="15"/>
      <c r="W210" s="732"/>
      <c r="X210" s="320"/>
      <c r="AA210" s="461"/>
    </row>
    <row r="211" spans="1:27" s="12" customFormat="1" ht="18">
      <c r="A211" s="4"/>
      <c r="B211" s="765"/>
      <c r="C211" s="1448"/>
      <c r="D211" s="1537"/>
      <c r="E211" s="734"/>
      <c r="F211" s="735"/>
      <c r="G211" s="746"/>
      <c r="H211" s="765"/>
      <c r="I211" s="4"/>
      <c r="J211" s="743"/>
      <c r="K211" s="767"/>
      <c r="L211" s="767"/>
      <c r="M211" s="767"/>
      <c r="N211" s="576"/>
      <c r="O211" s="576"/>
      <c r="P211" s="576"/>
      <c r="Q211" s="576"/>
      <c r="R211" s="576"/>
      <c r="S211" s="576"/>
      <c r="T211" s="765"/>
      <c r="U211" s="765"/>
      <c r="V211" s="15"/>
      <c r="W211" s="738"/>
      <c r="X211" s="320"/>
      <c r="AA211" s="461"/>
    </row>
    <row r="212" spans="1:27" s="12" customFormat="1" ht="15.75">
      <c r="A212" s="4"/>
      <c r="B212" s="765"/>
      <c r="C212" s="1448"/>
      <c r="D212" s="1537"/>
      <c r="E212" s="734"/>
      <c r="F212" s="735"/>
      <c r="G212" s="746"/>
      <c r="H212" s="765"/>
      <c r="I212" s="767"/>
      <c r="J212" s="767"/>
      <c r="K212" s="767"/>
      <c r="L212" s="767"/>
      <c r="M212" s="767"/>
      <c r="N212" s="576"/>
      <c r="O212" s="576"/>
      <c r="P212" s="576"/>
      <c r="Q212" s="576"/>
      <c r="R212" s="576"/>
      <c r="S212" s="576"/>
      <c r="T212" s="765"/>
      <c r="U212" s="765"/>
      <c r="V212" s="15"/>
      <c r="W212" s="738"/>
      <c r="X212" s="320"/>
      <c r="AA212" s="461"/>
    </row>
    <row r="213" spans="1:27" s="12" customFormat="1" ht="15.75">
      <c r="A213" s="4"/>
      <c r="B213" s="765"/>
      <c r="C213" s="1448"/>
      <c r="D213" s="1537"/>
      <c r="E213" s="734"/>
      <c r="F213" s="735"/>
      <c r="G213" s="746"/>
      <c r="H213" s="765"/>
      <c r="I213" s="767"/>
      <c r="J213" s="767"/>
      <c r="K213" s="767"/>
      <c r="L213" s="767"/>
      <c r="M213" s="767"/>
      <c r="N213" s="576"/>
      <c r="O213" s="576"/>
      <c r="P213" s="576"/>
      <c r="Q213" s="576"/>
      <c r="R213" s="576"/>
      <c r="S213" s="576"/>
      <c r="T213" s="765"/>
      <c r="U213" s="765"/>
      <c r="V213" s="15"/>
      <c r="W213" s="738"/>
      <c r="X213" s="320"/>
      <c r="AA213" s="461"/>
    </row>
    <row r="214" spans="1:27" s="304" customFormat="1" ht="18">
      <c r="A214" s="1579" t="s">
        <v>15567</v>
      </c>
      <c r="B214" s="978" t="s">
        <v>475</v>
      </c>
      <c r="C214" s="1448"/>
      <c r="D214" s="1537"/>
      <c r="E214" s="1548" t="s">
        <v>1221</v>
      </c>
      <c r="F214" s="1549"/>
      <c r="G214" s="979" t="s">
        <v>1222</v>
      </c>
      <c r="H214" s="978" t="s">
        <v>335</v>
      </c>
      <c r="I214" s="661" t="s">
        <v>168</v>
      </c>
      <c r="J214" s="69" t="s">
        <v>205</v>
      </c>
      <c r="K214" s="980" t="s">
        <v>16155</v>
      </c>
      <c r="L214" s="980" t="s">
        <v>1224</v>
      </c>
      <c r="M214" s="980" t="s">
        <v>1225</v>
      </c>
      <c r="N214" s="981"/>
      <c r="O214" s="978"/>
      <c r="P214" s="982"/>
      <c r="Q214" s="982"/>
      <c r="R214" s="982"/>
      <c r="S214" s="978"/>
      <c r="T214" s="978" t="s">
        <v>68</v>
      </c>
      <c r="U214" s="978" t="s">
        <v>170</v>
      </c>
      <c r="V214" s="983" t="s">
        <v>202</v>
      </c>
      <c r="W214" s="978"/>
      <c r="X214" s="348">
        <v>8960000</v>
      </c>
      <c r="AA214" s="269"/>
    </row>
    <row r="215" spans="1:27" s="12" customFormat="1" ht="15.75">
      <c r="A215" s="1580"/>
      <c r="B215" s="1123"/>
      <c r="C215" s="1448"/>
      <c r="D215" s="1537"/>
      <c r="E215" s="734"/>
      <c r="F215" s="735"/>
      <c r="G215" s="1121"/>
      <c r="H215" s="1123"/>
      <c r="I215" s="4"/>
      <c r="J215" s="767"/>
      <c r="K215" s="767"/>
      <c r="L215" s="767"/>
      <c r="M215" s="767"/>
      <c r="N215" s="576"/>
      <c r="O215" s="576"/>
      <c r="P215" s="576"/>
      <c r="Q215" s="576"/>
      <c r="R215" s="576"/>
      <c r="S215" s="576"/>
      <c r="T215" s="1123"/>
      <c r="U215" s="1123"/>
      <c r="V215" s="15"/>
      <c r="W215" s="1119"/>
      <c r="X215" s="320"/>
      <c r="AA215" s="461"/>
    </row>
    <row r="216" spans="1:27" s="12" customFormat="1" ht="15.75">
      <c r="A216" s="1580"/>
      <c r="B216" s="1123"/>
      <c r="C216" s="1448"/>
      <c r="D216" s="1537"/>
      <c r="E216" s="734"/>
      <c r="F216" s="735"/>
      <c r="G216" s="1121"/>
      <c r="H216" s="1123"/>
      <c r="I216" s="4"/>
      <c r="J216" s="767"/>
      <c r="K216" s="767"/>
      <c r="L216" s="767"/>
      <c r="M216" s="767"/>
      <c r="N216" s="576"/>
      <c r="O216" s="576"/>
      <c r="P216" s="576"/>
      <c r="Q216" s="576"/>
      <c r="R216" s="576"/>
      <c r="S216" s="576"/>
      <c r="T216" s="1123"/>
      <c r="U216" s="1123"/>
      <c r="V216" s="15"/>
      <c r="W216" s="1119"/>
      <c r="X216" s="320"/>
      <c r="AA216" s="461"/>
    </row>
    <row r="217" spans="1:27" s="12" customFormat="1" ht="15.75">
      <c r="A217" s="1580"/>
      <c r="B217" s="1123"/>
      <c r="C217" s="1448"/>
      <c r="D217" s="1537"/>
      <c r="E217" s="1540" t="s">
        <v>12137</v>
      </c>
      <c r="F217" s="1541"/>
      <c r="G217" s="1121"/>
      <c r="H217" s="1123"/>
      <c r="I217" s="4"/>
      <c r="J217" s="767"/>
      <c r="K217" s="767" t="s">
        <v>12138</v>
      </c>
      <c r="L217" s="767"/>
      <c r="M217" s="767"/>
      <c r="N217" s="576"/>
      <c r="O217" s="576"/>
      <c r="P217" s="576"/>
      <c r="Q217" s="576"/>
      <c r="R217" s="576"/>
      <c r="S217" s="576"/>
      <c r="T217" s="1123"/>
      <c r="U217" s="1123"/>
      <c r="V217" s="15"/>
      <c r="W217" s="1119"/>
      <c r="X217" s="320"/>
      <c r="AA217" s="461"/>
    </row>
    <row r="218" spans="1:27" s="12" customFormat="1" ht="18">
      <c r="A218" s="1580"/>
      <c r="B218" s="1123" t="s">
        <v>441</v>
      </c>
      <c r="C218" s="1448"/>
      <c r="D218" s="1537"/>
      <c r="E218" s="1540" t="s">
        <v>1497</v>
      </c>
      <c r="F218" s="1541"/>
      <c r="G218" s="1123" t="s">
        <v>43</v>
      </c>
      <c r="H218" s="1123" t="s">
        <v>84</v>
      </c>
      <c r="I218" s="17" t="s">
        <v>45</v>
      </c>
      <c r="J218" s="51" t="s">
        <v>201</v>
      </c>
      <c r="K218" s="767" t="s">
        <v>16156</v>
      </c>
      <c r="L218" s="767" t="s">
        <v>1498</v>
      </c>
      <c r="M218" s="767" t="s">
        <v>1499</v>
      </c>
      <c r="N218" s="767"/>
      <c r="O218" s="1123"/>
      <c r="P218" s="1122"/>
      <c r="Q218" s="1122"/>
      <c r="R218" s="1122"/>
      <c r="S218" s="1123"/>
      <c r="T218" s="1123" t="s">
        <v>68</v>
      </c>
      <c r="U218" s="1123" t="s">
        <v>50</v>
      </c>
      <c r="V218" s="15" t="s">
        <v>202</v>
      </c>
      <c r="W218" s="1123" t="s">
        <v>43</v>
      </c>
      <c r="X218" s="1123" t="s">
        <v>43</v>
      </c>
      <c r="AA218" s="461"/>
    </row>
    <row r="219" spans="1:27" s="12" customFormat="1" ht="18">
      <c r="A219" s="1580"/>
      <c r="B219" s="1123" t="s">
        <v>425</v>
      </c>
      <c r="C219" s="1448"/>
      <c r="D219" s="1537"/>
      <c r="E219" s="1542" t="s">
        <v>1406</v>
      </c>
      <c r="F219" s="1543"/>
      <c r="G219" s="1121" t="s">
        <v>1407</v>
      </c>
      <c r="H219" s="1123" t="s">
        <v>335</v>
      </c>
      <c r="I219" s="4" t="s">
        <v>168</v>
      </c>
      <c r="J219" s="1120" t="s">
        <v>205</v>
      </c>
      <c r="K219" s="767" t="s">
        <v>16157</v>
      </c>
      <c r="L219" s="60" t="s">
        <v>1408</v>
      </c>
      <c r="M219" s="767" t="s">
        <v>1409</v>
      </c>
      <c r="N219" s="767"/>
      <c r="O219" s="1123"/>
      <c r="P219" s="1122"/>
      <c r="Q219" s="1122"/>
      <c r="R219" s="1122"/>
      <c r="S219" s="1123"/>
      <c r="T219" s="1123" t="s">
        <v>349</v>
      </c>
      <c r="U219" s="1123" t="s">
        <v>170</v>
      </c>
      <c r="V219" s="1457" t="s">
        <v>202</v>
      </c>
      <c r="W219" s="1123" t="s">
        <v>43</v>
      </c>
      <c r="X219" s="320">
        <v>8960000</v>
      </c>
      <c r="AA219" s="461"/>
    </row>
    <row r="220" spans="1:27" s="12" customFormat="1" ht="18">
      <c r="A220" s="1580"/>
      <c r="B220" s="1123" t="s">
        <v>425</v>
      </c>
      <c r="C220" s="1448"/>
      <c r="D220" s="1537"/>
      <c r="E220" s="1544"/>
      <c r="F220" s="1545"/>
      <c r="G220" s="1121" t="s">
        <v>43</v>
      </c>
      <c r="H220" s="1123" t="s">
        <v>84</v>
      </c>
      <c r="I220" s="4" t="s">
        <v>45</v>
      </c>
      <c r="J220" s="51" t="s">
        <v>205</v>
      </c>
      <c r="K220" s="767"/>
      <c r="L220" s="767" t="s">
        <v>1410</v>
      </c>
      <c r="M220" s="767" t="s">
        <v>1411</v>
      </c>
      <c r="N220" s="767"/>
      <c r="O220" s="1123"/>
      <c r="P220" s="1122"/>
      <c r="Q220" s="1122"/>
      <c r="R220" s="1122"/>
      <c r="S220" s="1123"/>
      <c r="T220" s="1123" t="s">
        <v>68</v>
      </c>
      <c r="U220" s="1123" t="s">
        <v>50</v>
      </c>
      <c r="V220" s="1458"/>
      <c r="W220" s="1123" t="s">
        <v>43</v>
      </c>
      <c r="X220" s="1123" t="s">
        <v>43</v>
      </c>
      <c r="AA220" s="461"/>
    </row>
    <row r="221" spans="1:27" s="383" customFormat="1" ht="18.75">
      <c r="A221" s="984">
        <v>10</v>
      </c>
      <c r="B221" s="885" t="s">
        <v>468</v>
      </c>
      <c r="C221" s="461"/>
      <c r="D221" s="461"/>
      <c r="E221" s="1535" t="s">
        <v>15558</v>
      </c>
      <c r="F221" s="1536"/>
      <c r="G221" s="886" t="s">
        <v>14025</v>
      </c>
      <c r="H221" s="885" t="s">
        <v>335</v>
      </c>
      <c r="I221" s="887" t="s">
        <v>168</v>
      </c>
      <c r="J221" s="888" t="s">
        <v>205</v>
      </c>
      <c r="K221" s="889" t="s">
        <v>16158</v>
      </c>
      <c r="L221" s="889" t="s">
        <v>1285</v>
      </c>
      <c r="M221" s="889" t="s">
        <v>1286</v>
      </c>
      <c r="N221" s="889"/>
      <c r="O221" s="885"/>
      <c r="P221" s="893"/>
      <c r="Q221" s="893"/>
      <c r="R221" s="893"/>
      <c r="S221" s="885"/>
      <c r="T221" s="885" t="s">
        <v>68</v>
      </c>
      <c r="U221" s="885" t="s">
        <v>170</v>
      </c>
      <c r="V221" s="891" t="s">
        <v>202</v>
      </c>
      <c r="W221" s="885"/>
      <c r="X221" s="892">
        <v>8960000</v>
      </c>
      <c r="AA221" s="878"/>
    </row>
    <row r="222" spans="1:27" s="383" customFormat="1" ht="18.75">
      <c r="A222" s="984">
        <v>11</v>
      </c>
      <c r="B222" s="885" t="s">
        <v>468</v>
      </c>
      <c r="C222" s="461"/>
      <c r="D222" s="461"/>
      <c r="E222" s="1535" t="s">
        <v>15559</v>
      </c>
      <c r="F222" s="1536"/>
      <c r="G222" s="886">
        <v>95019786070</v>
      </c>
      <c r="H222" s="885" t="s">
        <v>335</v>
      </c>
      <c r="I222" s="887" t="s">
        <v>168</v>
      </c>
      <c r="J222" s="888" t="s">
        <v>205</v>
      </c>
      <c r="K222" s="889" t="s">
        <v>16159</v>
      </c>
      <c r="L222" s="889" t="s">
        <v>1288</v>
      </c>
      <c r="M222" s="889" t="s">
        <v>1289</v>
      </c>
      <c r="N222" s="889"/>
      <c r="O222" s="885"/>
      <c r="P222" s="893"/>
      <c r="Q222" s="893"/>
      <c r="R222" s="893"/>
      <c r="S222" s="885"/>
      <c r="T222" s="885" t="s">
        <v>68</v>
      </c>
      <c r="U222" s="885" t="s">
        <v>170</v>
      </c>
      <c r="V222" s="891" t="s">
        <v>202</v>
      </c>
      <c r="W222" s="885"/>
      <c r="X222" s="892">
        <v>8960000</v>
      </c>
      <c r="AA222" s="878"/>
    </row>
    <row r="223" spans="1:27" s="383" customFormat="1" ht="18.75">
      <c r="A223" s="985">
        <v>12</v>
      </c>
      <c r="B223" s="885" t="s">
        <v>480</v>
      </c>
      <c r="C223" s="461"/>
      <c r="D223" s="461"/>
      <c r="E223" s="1535" t="s">
        <v>15560</v>
      </c>
      <c r="F223" s="1536"/>
      <c r="G223" s="886" t="s">
        <v>1295</v>
      </c>
      <c r="H223" s="885" t="s">
        <v>335</v>
      </c>
      <c r="I223" s="887" t="s">
        <v>168</v>
      </c>
      <c r="J223" s="888" t="s">
        <v>205</v>
      </c>
      <c r="K223" s="889" t="s">
        <v>16160</v>
      </c>
      <c r="L223" s="889" t="s">
        <v>1296</v>
      </c>
      <c r="M223" s="889" t="s">
        <v>1297</v>
      </c>
      <c r="N223" s="889"/>
      <c r="O223" s="885"/>
      <c r="P223" s="893"/>
      <c r="Q223" s="893"/>
      <c r="R223" s="893"/>
      <c r="S223" s="885"/>
      <c r="T223" s="885" t="s">
        <v>68</v>
      </c>
      <c r="U223" s="885" t="s">
        <v>170</v>
      </c>
      <c r="V223" s="891" t="s">
        <v>202</v>
      </c>
      <c r="W223" s="885"/>
      <c r="X223" s="892">
        <v>8960000</v>
      </c>
      <c r="AA223" s="878"/>
    </row>
    <row r="224" spans="1:27" s="383" customFormat="1" ht="18.75">
      <c r="A224" s="985">
        <v>11</v>
      </c>
      <c r="B224" s="885" t="s">
        <v>441</v>
      </c>
      <c r="C224" s="461"/>
      <c r="D224" s="461"/>
      <c r="E224" s="1535" t="s">
        <v>15564</v>
      </c>
      <c r="F224" s="1536"/>
      <c r="G224" s="886" t="s">
        <v>1347</v>
      </c>
      <c r="H224" s="885" t="s">
        <v>335</v>
      </c>
      <c r="I224" s="887" t="s">
        <v>168</v>
      </c>
      <c r="J224" s="888" t="s">
        <v>205</v>
      </c>
      <c r="K224" s="889" t="s">
        <v>16161</v>
      </c>
      <c r="L224" s="889" t="s">
        <v>1348</v>
      </c>
      <c r="M224" s="889" t="s">
        <v>1349</v>
      </c>
      <c r="N224" s="889"/>
      <c r="O224" s="885"/>
      <c r="P224" s="893"/>
      <c r="Q224" s="893"/>
      <c r="R224" s="893"/>
      <c r="S224" s="885"/>
      <c r="T224" s="885" t="s">
        <v>68</v>
      </c>
      <c r="U224" s="885" t="s">
        <v>170</v>
      </c>
      <c r="V224" s="891" t="s">
        <v>202</v>
      </c>
      <c r="W224" s="885"/>
      <c r="X224" s="892">
        <v>8960000</v>
      </c>
      <c r="AA224" s="878"/>
    </row>
    <row r="225" spans="1:27" s="383" customFormat="1" ht="18.75">
      <c r="A225" s="984">
        <v>12</v>
      </c>
      <c r="B225" s="885" t="s">
        <v>468</v>
      </c>
      <c r="C225" s="461"/>
      <c r="D225" s="461"/>
      <c r="E225" s="1535" t="s">
        <v>15565</v>
      </c>
      <c r="F225" s="1536"/>
      <c r="G225" s="886" t="s">
        <v>1356</v>
      </c>
      <c r="H225" s="885" t="s">
        <v>335</v>
      </c>
      <c r="I225" s="887" t="s">
        <v>168</v>
      </c>
      <c r="J225" s="888" t="s">
        <v>205</v>
      </c>
      <c r="K225" s="889" t="s">
        <v>16162</v>
      </c>
      <c r="L225" s="889" t="s">
        <v>1357</v>
      </c>
      <c r="M225" s="889" t="s">
        <v>1358</v>
      </c>
      <c r="N225" s="894"/>
      <c r="P225" s="893"/>
      <c r="Q225" s="893"/>
      <c r="R225" s="893"/>
      <c r="S225" s="885"/>
      <c r="T225" s="885" t="s">
        <v>68</v>
      </c>
      <c r="U225" s="885" t="s">
        <v>170</v>
      </c>
      <c r="V225" s="891" t="s">
        <v>202</v>
      </c>
      <c r="W225" s="885"/>
      <c r="X225" s="892">
        <v>8960000</v>
      </c>
      <c r="AA225" s="878"/>
    </row>
    <row r="229" spans="1:27" ht="21">
      <c r="K229" s="975" t="s">
        <v>12013</v>
      </c>
      <c r="L229" s="975" t="s">
        <v>12013</v>
      </c>
      <c r="M229" s="975" t="s">
        <v>12013</v>
      </c>
      <c r="N229" s="975" t="s">
        <v>12013</v>
      </c>
      <c r="P229" s="975" t="s">
        <v>12013</v>
      </c>
      <c r="Q229" s="903"/>
      <c r="R229" s="271" t="s">
        <v>12013</v>
      </c>
      <c r="S229" s="906"/>
    </row>
    <row r="230" spans="1:27" ht="21">
      <c r="K230" s="977" t="s">
        <v>15820</v>
      </c>
      <c r="L230" s="977" t="s">
        <v>1187</v>
      </c>
      <c r="M230" s="977" t="s">
        <v>1255</v>
      </c>
      <c r="N230" s="977" t="s">
        <v>1317</v>
      </c>
      <c r="P230" s="977" t="s">
        <v>15563</v>
      </c>
      <c r="Q230" s="904"/>
      <c r="R230" s="898" t="s">
        <v>1394</v>
      </c>
      <c r="S230" s="899"/>
    </row>
    <row r="231" spans="1:27" ht="21">
      <c r="K231" s="976" t="s">
        <v>12085</v>
      </c>
      <c r="L231" s="977" t="s">
        <v>12100</v>
      </c>
      <c r="M231" s="977" t="s">
        <v>12108</v>
      </c>
      <c r="N231" s="977" t="s">
        <v>12113</v>
      </c>
      <c r="P231" s="977" t="s">
        <v>1352</v>
      </c>
      <c r="Q231" s="904"/>
      <c r="R231" s="898" t="s">
        <v>1400</v>
      </c>
      <c r="S231" s="333"/>
    </row>
    <row r="232" spans="1:27" ht="21">
      <c r="K232" s="977" t="s">
        <v>1134</v>
      </c>
      <c r="L232" s="977" t="s">
        <v>1200</v>
      </c>
      <c r="M232" s="977" t="s">
        <v>15826</v>
      </c>
      <c r="N232" s="977" t="s">
        <v>15829</v>
      </c>
      <c r="P232" s="977" t="s">
        <v>15830</v>
      </c>
      <c r="Q232" s="904"/>
      <c r="R232" s="898" t="s">
        <v>1414</v>
      </c>
    </row>
    <row r="233" spans="1:27" ht="21">
      <c r="K233" s="976" t="s">
        <v>12092</v>
      </c>
      <c r="L233" s="977" t="s">
        <v>15823</v>
      </c>
      <c r="M233" s="977" t="s">
        <v>15827</v>
      </c>
      <c r="N233" s="977" t="s">
        <v>1344</v>
      </c>
      <c r="P233" s="977" t="s">
        <v>1360</v>
      </c>
      <c r="Q233" s="904"/>
      <c r="R233" s="898" t="s">
        <v>1435</v>
      </c>
    </row>
    <row r="234" spans="1:27" ht="21">
      <c r="K234" s="977" t="s">
        <v>1143</v>
      </c>
      <c r="L234" s="977" t="s">
        <v>15658</v>
      </c>
      <c r="M234" s="977" t="s">
        <v>15828</v>
      </c>
      <c r="N234" s="878"/>
      <c r="P234" s="977" t="s">
        <v>12118</v>
      </c>
      <c r="Q234" s="904"/>
      <c r="R234" s="898" t="s">
        <v>1438</v>
      </c>
    </row>
    <row r="235" spans="1:27" ht="21">
      <c r="K235" s="977" t="s">
        <v>12093</v>
      </c>
      <c r="L235" s="977" t="s">
        <v>15557</v>
      </c>
      <c r="M235" s="879"/>
      <c r="N235" s="878"/>
      <c r="P235" s="977" t="s">
        <v>12120</v>
      </c>
      <c r="Q235" s="904"/>
      <c r="R235" s="898" t="s">
        <v>1441</v>
      </c>
    </row>
    <row r="236" spans="1:27" ht="21">
      <c r="K236" s="977" t="s">
        <v>15822</v>
      </c>
      <c r="L236" s="977" t="s">
        <v>15824</v>
      </c>
      <c r="M236" s="879"/>
      <c r="N236" s="878"/>
      <c r="P236" s="977" t="s">
        <v>1391</v>
      </c>
      <c r="Q236" s="904"/>
      <c r="R236" s="898" t="s">
        <v>1444</v>
      </c>
    </row>
    <row r="237" spans="1:27" ht="21">
      <c r="K237" s="977"/>
      <c r="L237" s="977" t="s">
        <v>1250</v>
      </c>
      <c r="M237" s="879"/>
      <c r="N237" s="878"/>
      <c r="P237" s="977" t="s">
        <v>12125</v>
      </c>
      <c r="Q237" s="904"/>
      <c r="R237" s="898" t="s">
        <v>1447</v>
      </c>
    </row>
    <row r="238" spans="1:27" ht="21">
      <c r="K238" s="977"/>
      <c r="L238" s="977" t="s">
        <v>15825</v>
      </c>
      <c r="M238" s="879"/>
      <c r="N238" s="878"/>
      <c r="P238" s="986" t="s">
        <v>15831</v>
      </c>
      <c r="Q238" s="904"/>
      <c r="R238" s="898" t="s">
        <v>1450</v>
      </c>
    </row>
    <row r="239" spans="1:27" ht="21">
      <c r="K239" s="880"/>
      <c r="L239" s="977" t="s">
        <v>15659</v>
      </c>
      <c r="M239" s="879"/>
      <c r="N239" s="878"/>
      <c r="P239" s="977" t="s">
        <v>1371</v>
      </c>
      <c r="Q239" s="904"/>
      <c r="R239" s="898" t="s">
        <v>1453</v>
      </c>
    </row>
    <row r="240" spans="1:27" ht="21">
      <c r="K240" s="880"/>
      <c r="L240" s="880"/>
      <c r="M240" s="880"/>
      <c r="N240" s="878"/>
      <c r="P240" s="977" t="s">
        <v>1374</v>
      </c>
      <c r="Q240" s="904"/>
      <c r="R240" s="898" t="s">
        <v>1460</v>
      </c>
    </row>
    <row r="241" spans="11:18" ht="21">
      <c r="K241" s="880"/>
      <c r="L241" s="880"/>
      <c r="M241" s="880"/>
      <c r="N241" s="878"/>
      <c r="P241" s="977" t="s">
        <v>12120</v>
      </c>
      <c r="Q241" s="904"/>
      <c r="R241" s="898" t="s">
        <v>1470</v>
      </c>
    </row>
    <row r="242" spans="11:18" ht="21">
      <c r="K242" s="878"/>
      <c r="L242" s="880"/>
      <c r="M242" s="895"/>
      <c r="N242" s="878"/>
      <c r="P242" s="977" t="s">
        <v>1384</v>
      </c>
      <c r="Q242" s="904"/>
      <c r="R242" s="898" t="s">
        <v>1479</v>
      </c>
    </row>
    <row r="243" spans="11:18" ht="21">
      <c r="K243" s="878"/>
      <c r="L243" s="880"/>
      <c r="M243" s="878"/>
      <c r="N243" s="878"/>
      <c r="P243" s="977" t="s">
        <v>1393</v>
      </c>
      <c r="Q243" s="904"/>
      <c r="R243" s="898" t="s">
        <v>1486</v>
      </c>
    </row>
    <row r="244" spans="11:18" ht="21">
      <c r="P244" s="987"/>
      <c r="Q244" s="904"/>
      <c r="R244" s="898" t="s">
        <v>1493</v>
      </c>
    </row>
    <row r="245" spans="11:18">
      <c r="Q245" s="904"/>
      <c r="R245" s="898" t="s">
        <v>1496</v>
      </c>
    </row>
    <row r="246" spans="11:18">
      <c r="Q246" s="904"/>
      <c r="R246" s="901" t="s">
        <v>1500</v>
      </c>
    </row>
    <row r="247" spans="11:18">
      <c r="Q247" s="905"/>
      <c r="R247" s="902" t="s">
        <v>1503</v>
      </c>
    </row>
    <row r="248" spans="11:18">
      <c r="R248" s="896" t="s">
        <v>15566</v>
      </c>
    </row>
  </sheetData>
  <mergeCells count="786">
    <mergeCell ref="E225:F225"/>
    <mergeCell ref="Y57:Y58"/>
    <mergeCell ref="Z57:Z58"/>
    <mergeCell ref="Y59:Y60"/>
    <mergeCell ref="Z59:Z60"/>
    <mergeCell ref="K23:K25"/>
    <mergeCell ref="Y43:Y44"/>
    <mergeCell ref="Z43:Z44"/>
    <mergeCell ref="Y45:Y46"/>
    <mergeCell ref="E224:F224"/>
    <mergeCell ref="Z83:Z84"/>
    <mergeCell ref="Y85:Y86"/>
    <mergeCell ref="K87:K88"/>
    <mergeCell ref="L87:L88"/>
    <mergeCell ref="K89:K90"/>
    <mergeCell ref="P87:P88"/>
    <mergeCell ref="L99:L100"/>
    <mergeCell ref="P99:P100"/>
    <mergeCell ref="K91:K92"/>
    <mergeCell ref="K93:K94"/>
    <mergeCell ref="K95:K96"/>
    <mergeCell ref="P89:P90"/>
    <mergeCell ref="L91:L92"/>
    <mergeCell ref="P91:P92"/>
    <mergeCell ref="A214:A220"/>
    <mergeCell ref="K118:K119"/>
    <mergeCell ref="L118:L119"/>
    <mergeCell ref="P118:P119"/>
    <mergeCell ref="Y118:Y119"/>
    <mergeCell ref="K97:K98"/>
    <mergeCell ref="Z103:Z104"/>
    <mergeCell ref="Y105:Y107"/>
    <mergeCell ref="Z105:Z107"/>
    <mergeCell ref="Y108:Y109"/>
    <mergeCell ref="Z108:Z109"/>
    <mergeCell ref="Y101:Y102"/>
    <mergeCell ref="Z101:Z102"/>
    <mergeCell ref="Z97:Z98"/>
    <mergeCell ref="L97:L98"/>
    <mergeCell ref="P97:P98"/>
    <mergeCell ref="Y97:Y98"/>
    <mergeCell ref="Y103:Y104"/>
    <mergeCell ref="Y112:Y113"/>
    <mergeCell ref="Z112:Z113"/>
    <mergeCell ref="K114:K115"/>
    <mergeCell ref="L114:L115"/>
    <mergeCell ref="P114:P115"/>
    <mergeCell ref="Y110:Y111"/>
    <mergeCell ref="Z110:Z111"/>
    <mergeCell ref="L17:L18"/>
    <mergeCell ref="L19:L20"/>
    <mergeCell ref="L21:L22"/>
    <mergeCell ref="L23:L25"/>
    <mergeCell ref="Z21:Z22"/>
    <mergeCell ref="Z55:Z56"/>
    <mergeCell ref="Y55:Y56"/>
    <mergeCell ref="Y72:Y73"/>
    <mergeCell ref="Z72:Z73"/>
    <mergeCell ref="Y61:Y62"/>
    <mergeCell ref="Z61:Z62"/>
    <mergeCell ref="Z63:Z64"/>
    <mergeCell ref="Y65:Y66"/>
    <mergeCell ref="Z65:Z66"/>
    <mergeCell ref="Z81:Z82"/>
    <mergeCell ref="Y83:Y84"/>
    <mergeCell ref="Y67:Y69"/>
    <mergeCell ref="Z41:Z42"/>
    <mergeCell ref="Z49:Z50"/>
    <mergeCell ref="Y51:Y52"/>
    <mergeCell ref="Z51:Z52"/>
    <mergeCell ref="Y53:Y54"/>
    <mergeCell ref="Z53:Z54"/>
    <mergeCell ref="Z45:Z46"/>
    <mergeCell ref="Y26:Y27"/>
    <mergeCell ref="Z26:Z27"/>
    <mergeCell ref="Y23:Y25"/>
    <mergeCell ref="Z23:Z25"/>
    <mergeCell ref="Y49:Y50"/>
    <mergeCell ref="P45:P46"/>
    <mergeCell ref="K45:K46"/>
    <mergeCell ref="Z39:Z40"/>
    <mergeCell ref="Y41:Y42"/>
    <mergeCell ref="K26:K27"/>
    <mergeCell ref="Y47:Y48"/>
    <mergeCell ref="Z47:Z48"/>
    <mergeCell ref="Y39:Y40"/>
    <mergeCell ref="L33:L34"/>
    <mergeCell ref="P33:P34"/>
    <mergeCell ref="K35:K36"/>
    <mergeCell ref="L35:L36"/>
    <mergeCell ref="P35:P36"/>
    <mergeCell ref="K37:K38"/>
    <mergeCell ref="L37:L38"/>
    <mergeCell ref="P37:P38"/>
    <mergeCell ref="L26:L27"/>
    <mergeCell ref="L28:L30"/>
    <mergeCell ref="K11:K12"/>
    <mergeCell ref="L11:L12"/>
    <mergeCell ref="P11:P12"/>
    <mergeCell ref="K13:K14"/>
    <mergeCell ref="L13:L14"/>
    <mergeCell ref="P13:P14"/>
    <mergeCell ref="L5:L6"/>
    <mergeCell ref="L7:L8"/>
    <mergeCell ref="K7:K8"/>
    <mergeCell ref="P5:P6"/>
    <mergeCell ref="P7:P8"/>
    <mergeCell ref="K9:K10"/>
    <mergeCell ref="L9:L10"/>
    <mergeCell ref="P9:P10"/>
    <mergeCell ref="Y5:Y6"/>
    <mergeCell ref="Y7:Y8"/>
    <mergeCell ref="Y9:Y10"/>
    <mergeCell ref="Z9:Z10"/>
    <mergeCell ref="Y11:Y12"/>
    <mergeCell ref="Z11:Z12"/>
    <mergeCell ref="Y13:Y14"/>
    <mergeCell ref="Z13:Z14"/>
    <mergeCell ref="Z5:Z6"/>
    <mergeCell ref="Z7:Z8"/>
    <mergeCell ref="Y15:Y16"/>
    <mergeCell ref="Z15:Z16"/>
    <mergeCell ref="Y31:Y32"/>
    <mergeCell ref="Z31:Z32"/>
    <mergeCell ref="Y33:Y34"/>
    <mergeCell ref="Z33:Z34"/>
    <mergeCell ref="Y35:Y36"/>
    <mergeCell ref="Z35:Z36"/>
    <mergeCell ref="Y37:Y38"/>
    <mergeCell ref="Z37:Z38"/>
    <mergeCell ref="Y28:Y30"/>
    <mergeCell ref="Z28:Z30"/>
    <mergeCell ref="Y17:Y18"/>
    <mergeCell ref="Z17:Z18"/>
    <mergeCell ref="Y19:Y20"/>
    <mergeCell ref="Z19:Z20"/>
    <mergeCell ref="Y21:Y22"/>
    <mergeCell ref="Y63:Y64"/>
    <mergeCell ref="Y87:Y88"/>
    <mergeCell ref="Z87:Z88"/>
    <mergeCell ref="Y99:Y100"/>
    <mergeCell ref="Z99:Z100"/>
    <mergeCell ref="Y93:Y94"/>
    <mergeCell ref="Z93:Z94"/>
    <mergeCell ref="Y79:Y80"/>
    <mergeCell ref="Y81:Y82"/>
    <mergeCell ref="Z95:Z96"/>
    <mergeCell ref="Z79:Z80"/>
    <mergeCell ref="Z85:Z86"/>
    <mergeCell ref="Y95:Y96"/>
    <mergeCell ref="Y89:Y90"/>
    <mergeCell ref="Z89:Z90"/>
    <mergeCell ref="Y91:Y92"/>
    <mergeCell ref="Z91:Z92"/>
    <mergeCell ref="Z67:Z69"/>
    <mergeCell ref="Y70:Y71"/>
    <mergeCell ref="Z70:Z71"/>
    <mergeCell ref="Y74:Y75"/>
    <mergeCell ref="Z74:Z75"/>
    <mergeCell ref="Y76:Y78"/>
    <mergeCell ref="Z76:Z78"/>
    <mergeCell ref="P93:P94"/>
    <mergeCell ref="L95:L96"/>
    <mergeCell ref="P95:P96"/>
    <mergeCell ref="L89:L90"/>
    <mergeCell ref="K99:K100"/>
    <mergeCell ref="P85:P86"/>
    <mergeCell ref="P81:P82"/>
    <mergeCell ref="K83:K84"/>
    <mergeCell ref="K81:K82"/>
    <mergeCell ref="L81:L82"/>
    <mergeCell ref="L83:L84"/>
    <mergeCell ref="P83:P84"/>
    <mergeCell ref="K85:K86"/>
    <mergeCell ref="L85:L86"/>
    <mergeCell ref="L93:L94"/>
    <mergeCell ref="K15:K16"/>
    <mergeCell ref="L15:L16"/>
    <mergeCell ref="P15:P16"/>
    <mergeCell ref="K53:K54"/>
    <mergeCell ref="L53:L54"/>
    <mergeCell ref="P53:P54"/>
    <mergeCell ref="L45:L46"/>
    <mergeCell ref="K55:K56"/>
    <mergeCell ref="L55:L56"/>
    <mergeCell ref="K17:K18"/>
    <mergeCell ref="L39:L40"/>
    <mergeCell ref="K39:K40"/>
    <mergeCell ref="P39:P40"/>
    <mergeCell ref="L41:L42"/>
    <mergeCell ref="P41:P42"/>
    <mergeCell ref="K43:K44"/>
    <mergeCell ref="P17:P18"/>
    <mergeCell ref="P19:P20"/>
    <mergeCell ref="P21:P22"/>
    <mergeCell ref="P23:P25"/>
    <mergeCell ref="P43:P44"/>
    <mergeCell ref="P26:P27"/>
    <mergeCell ref="P28:P30"/>
    <mergeCell ref="K33:K34"/>
    <mergeCell ref="F15:F16"/>
    <mergeCell ref="F28:F30"/>
    <mergeCell ref="F31:F32"/>
    <mergeCell ref="B51:B52"/>
    <mergeCell ref="B79:B80"/>
    <mergeCell ref="E53:E54"/>
    <mergeCell ref="E19:E20"/>
    <mergeCell ref="E23:E25"/>
    <mergeCell ref="E21:E22"/>
    <mergeCell ref="A5:A6"/>
    <mergeCell ref="B7:B8"/>
    <mergeCell ref="A7:A8"/>
    <mergeCell ref="B9:B10"/>
    <mergeCell ref="A9:A10"/>
    <mergeCell ref="B11:B12"/>
    <mergeCell ref="A11:A12"/>
    <mergeCell ref="B13:B14"/>
    <mergeCell ref="A13:A14"/>
    <mergeCell ref="B5:B6"/>
    <mergeCell ref="B85:B86"/>
    <mergeCell ref="E93:E94"/>
    <mergeCell ref="E99:E100"/>
    <mergeCell ref="A83:A84"/>
    <mergeCell ref="B91:B92"/>
    <mergeCell ref="A41:A42"/>
    <mergeCell ref="A43:A44"/>
    <mergeCell ref="A31:A32"/>
    <mergeCell ref="B31:B32"/>
    <mergeCell ref="B33:B34"/>
    <mergeCell ref="B35:B36"/>
    <mergeCell ref="B37:B38"/>
    <mergeCell ref="B39:B40"/>
    <mergeCell ref="A45:A46"/>
    <mergeCell ref="B45:B46"/>
    <mergeCell ref="E83:E84"/>
    <mergeCell ref="D74:D75"/>
    <mergeCell ref="E74:E75"/>
    <mergeCell ref="B41:B42"/>
    <mergeCell ref="A93:A94"/>
    <mergeCell ref="B93:B94"/>
    <mergeCell ref="A95:A96"/>
    <mergeCell ref="A97:A98"/>
    <mergeCell ref="B65:B66"/>
    <mergeCell ref="A15:A16"/>
    <mergeCell ref="B17:B18"/>
    <mergeCell ref="A33:A34"/>
    <mergeCell ref="A35:A36"/>
    <mergeCell ref="A37:A38"/>
    <mergeCell ref="A39:A40"/>
    <mergeCell ref="A21:A22"/>
    <mergeCell ref="A23:A25"/>
    <mergeCell ref="A26:A27"/>
    <mergeCell ref="A28:A30"/>
    <mergeCell ref="B28:B30"/>
    <mergeCell ref="B21:B22"/>
    <mergeCell ref="B23:B25"/>
    <mergeCell ref="B26:B27"/>
    <mergeCell ref="A17:A18"/>
    <mergeCell ref="B19:B20"/>
    <mergeCell ref="A19:A20"/>
    <mergeCell ref="B15:B16"/>
    <mergeCell ref="A101:A102"/>
    <mergeCell ref="A103:A104"/>
    <mergeCell ref="A105:A107"/>
    <mergeCell ref="B97:B98"/>
    <mergeCell ref="A99:A100"/>
    <mergeCell ref="B105:B107"/>
    <mergeCell ref="B95:B96"/>
    <mergeCell ref="B99:B100"/>
    <mergeCell ref="B101:B102"/>
    <mergeCell ref="B103:B104"/>
    <mergeCell ref="A74:A75"/>
    <mergeCell ref="E89:E90"/>
    <mergeCell ref="B49:B50"/>
    <mergeCell ref="B47:B48"/>
    <mergeCell ref="A47:A48"/>
    <mergeCell ref="A76:A78"/>
    <mergeCell ref="A79:A80"/>
    <mergeCell ref="E81:E82"/>
    <mergeCell ref="B57:B58"/>
    <mergeCell ref="B59:B60"/>
    <mergeCell ref="B61:B62"/>
    <mergeCell ref="B63:B64"/>
    <mergeCell ref="A85:A86"/>
    <mergeCell ref="A87:A88"/>
    <mergeCell ref="A89:A90"/>
    <mergeCell ref="E85:E86"/>
    <mergeCell ref="B81:B82"/>
    <mergeCell ref="B83:B84"/>
    <mergeCell ref="A67:A69"/>
    <mergeCell ref="B67:B69"/>
    <mergeCell ref="B70:B71"/>
    <mergeCell ref="B72:B73"/>
    <mergeCell ref="A53:A54"/>
    <mergeCell ref="A57:A58"/>
    <mergeCell ref="A122:A123"/>
    <mergeCell ref="B122:B123"/>
    <mergeCell ref="E122:E123"/>
    <mergeCell ref="A127:A128"/>
    <mergeCell ref="B127:B128"/>
    <mergeCell ref="E105:E107"/>
    <mergeCell ref="A55:A56"/>
    <mergeCell ref="E51:E52"/>
    <mergeCell ref="B53:B54"/>
    <mergeCell ref="A70:A71"/>
    <mergeCell ref="A72:A73"/>
    <mergeCell ref="E87:E88"/>
    <mergeCell ref="B89:B90"/>
    <mergeCell ref="A91:A92"/>
    <mergeCell ref="B87:B88"/>
    <mergeCell ref="A51:A52"/>
    <mergeCell ref="A81:A82"/>
    <mergeCell ref="A65:A66"/>
    <mergeCell ref="A59:A60"/>
    <mergeCell ref="A61:A62"/>
    <mergeCell ref="A63:A64"/>
    <mergeCell ref="B55:B56"/>
    <mergeCell ref="B76:B78"/>
    <mergeCell ref="B74:B75"/>
    <mergeCell ref="L31:L32"/>
    <mergeCell ref="K31:K32"/>
    <mergeCell ref="P31:P32"/>
    <mergeCell ref="A49:A50"/>
    <mergeCell ref="L43:L44"/>
    <mergeCell ref="P55:P56"/>
    <mergeCell ref="K47:K48"/>
    <mergeCell ref="L47:L48"/>
    <mergeCell ref="P47:P48"/>
    <mergeCell ref="K49:K50"/>
    <mergeCell ref="L49:L50"/>
    <mergeCell ref="P49:P50"/>
    <mergeCell ref="K51:K52"/>
    <mergeCell ref="L51:L52"/>
    <mergeCell ref="P51:P52"/>
    <mergeCell ref="F51:F52"/>
    <mergeCell ref="F53:F54"/>
    <mergeCell ref="B43:B44"/>
    <mergeCell ref="E45:E46"/>
    <mergeCell ref="P57:P58"/>
    <mergeCell ref="D59:D60"/>
    <mergeCell ref="E59:E60"/>
    <mergeCell ref="K59:K60"/>
    <mergeCell ref="L59:L60"/>
    <mergeCell ref="P59:P60"/>
    <mergeCell ref="D61:D64"/>
    <mergeCell ref="E61:E62"/>
    <mergeCell ref="K61:K62"/>
    <mergeCell ref="L61:L62"/>
    <mergeCell ref="P61:P62"/>
    <mergeCell ref="E63:E64"/>
    <mergeCell ref="K63:K64"/>
    <mergeCell ref="L63:L64"/>
    <mergeCell ref="P63:P64"/>
    <mergeCell ref="K57:K58"/>
    <mergeCell ref="L57:L58"/>
    <mergeCell ref="F59:F60"/>
    <mergeCell ref="F61:F62"/>
    <mergeCell ref="F63:F64"/>
    <mergeCell ref="E57:E58"/>
    <mergeCell ref="F57:F58"/>
    <mergeCell ref="P65:P66"/>
    <mergeCell ref="D67:D73"/>
    <mergeCell ref="E67:E69"/>
    <mergeCell ref="E70:E71"/>
    <mergeCell ref="E72:E73"/>
    <mergeCell ref="K67:K69"/>
    <mergeCell ref="L67:L69"/>
    <mergeCell ref="P67:P69"/>
    <mergeCell ref="K70:K71"/>
    <mergeCell ref="L70:L71"/>
    <mergeCell ref="P70:P71"/>
    <mergeCell ref="L72:L73"/>
    <mergeCell ref="P72:P73"/>
    <mergeCell ref="K72:K73"/>
    <mergeCell ref="F70:F71"/>
    <mergeCell ref="F72:F73"/>
    <mergeCell ref="D65:D66"/>
    <mergeCell ref="F67:F69"/>
    <mergeCell ref="F65:F66"/>
    <mergeCell ref="K65:K66"/>
    <mergeCell ref="L65:L66"/>
    <mergeCell ref="E65:E66"/>
    <mergeCell ref="P74:P75"/>
    <mergeCell ref="E76:E78"/>
    <mergeCell ref="K76:K78"/>
    <mergeCell ref="L76:L78"/>
    <mergeCell ref="L74:L75"/>
    <mergeCell ref="P76:P78"/>
    <mergeCell ref="E79:E80"/>
    <mergeCell ref="K79:K80"/>
    <mergeCell ref="L79:L80"/>
    <mergeCell ref="P79:P80"/>
    <mergeCell ref="F74:F75"/>
    <mergeCell ref="F76:F78"/>
    <mergeCell ref="F79:F80"/>
    <mergeCell ref="L105:L107"/>
    <mergeCell ref="F101:F102"/>
    <mergeCell ref="F103:F104"/>
    <mergeCell ref="K103:K104"/>
    <mergeCell ref="L101:L102"/>
    <mergeCell ref="P101:P102"/>
    <mergeCell ref="P103:P104"/>
    <mergeCell ref="F99:F100"/>
    <mergeCell ref="F105:F109"/>
    <mergeCell ref="K108:K109"/>
    <mergeCell ref="L108:L109"/>
    <mergeCell ref="P105:P107"/>
    <mergeCell ref="K101:K102"/>
    <mergeCell ref="L103:L104"/>
    <mergeCell ref="P108:P109"/>
    <mergeCell ref="K105:K107"/>
    <mergeCell ref="F13:F14"/>
    <mergeCell ref="E103:E104"/>
    <mergeCell ref="E37:E38"/>
    <mergeCell ref="L2:L4"/>
    <mergeCell ref="E5:E6"/>
    <mergeCell ref="E11:E12"/>
    <mergeCell ref="F17:F18"/>
    <mergeCell ref="F19:F20"/>
    <mergeCell ref="F21:F25"/>
    <mergeCell ref="F93:F94"/>
    <mergeCell ref="F26:F27"/>
    <mergeCell ref="E31:E32"/>
    <mergeCell ref="E33:E34"/>
    <mergeCell ref="E39:E40"/>
    <mergeCell ref="E41:E42"/>
    <mergeCell ref="E43:E44"/>
    <mergeCell ref="F43:F44"/>
    <mergeCell ref="F45:F46"/>
    <mergeCell ref="E47:E48"/>
    <mergeCell ref="E49:E50"/>
    <mergeCell ref="F37:F38"/>
    <mergeCell ref="F39:F42"/>
    <mergeCell ref="F83:F84"/>
    <mergeCell ref="F85:F86"/>
    <mergeCell ref="P2:P4"/>
    <mergeCell ref="Y2:Y4"/>
    <mergeCell ref="Z2:Z4"/>
    <mergeCell ref="K5:K6"/>
    <mergeCell ref="A2:A4"/>
    <mergeCell ref="B2:B4"/>
    <mergeCell ref="D2:D58"/>
    <mergeCell ref="E2:E4"/>
    <mergeCell ref="F2:F4"/>
    <mergeCell ref="F55:F56"/>
    <mergeCell ref="K2:K4"/>
    <mergeCell ref="E35:E36"/>
    <mergeCell ref="E9:E10"/>
    <mergeCell ref="F5:F8"/>
    <mergeCell ref="F9:F10"/>
    <mergeCell ref="F11:F12"/>
    <mergeCell ref="F33:F34"/>
    <mergeCell ref="F35:F36"/>
    <mergeCell ref="E7:E8"/>
    <mergeCell ref="E28:E30"/>
    <mergeCell ref="E26:E27"/>
    <mergeCell ref="E15:E16"/>
    <mergeCell ref="E13:E14"/>
    <mergeCell ref="E17:E18"/>
    <mergeCell ref="Y114:Y115"/>
    <mergeCell ref="Z114:Z115"/>
    <mergeCell ref="E196:F196"/>
    <mergeCell ref="E192:F192"/>
    <mergeCell ref="E193:F193"/>
    <mergeCell ref="E194:F194"/>
    <mergeCell ref="Z178:Z179"/>
    <mergeCell ref="Y180:Y181"/>
    <mergeCell ref="Z180:Z181"/>
    <mergeCell ref="Y116:Y117"/>
    <mergeCell ref="Z116:Z117"/>
    <mergeCell ref="Z118:Z119"/>
    <mergeCell ref="E118:E119"/>
    <mergeCell ref="F118:F119"/>
    <mergeCell ref="F122:F123"/>
    <mergeCell ref="K122:K123"/>
    <mergeCell ref="L122:L123"/>
    <mergeCell ref="P122:P123"/>
    <mergeCell ref="Y122:Y123"/>
    <mergeCell ref="Z122:Z123"/>
    <mergeCell ref="F124:F126"/>
    <mergeCell ref="Y144:Y146"/>
    <mergeCell ref="E114:E115"/>
    <mergeCell ref="Z144:Z146"/>
    <mergeCell ref="A116:A117"/>
    <mergeCell ref="B116:B117"/>
    <mergeCell ref="E116:E117"/>
    <mergeCell ref="F116:F117"/>
    <mergeCell ref="K116:K117"/>
    <mergeCell ref="L116:L117"/>
    <mergeCell ref="P116:P117"/>
    <mergeCell ref="K112:K113"/>
    <mergeCell ref="L112:L113"/>
    <mergeCell ref="P112:P113"/>
    <mergeCell ref="D76:D177"/>
    <mergeCell ref="A108:A109"/>
    <mergeCell ref="B108:B109"/>
    <mergeCell ref="E108:E109"/>
    <mergeCell ref="A110:A111"/>
    <mergeCell ref="B110:B111"/>
    <mergeCell ref="E110:E111"/>
    <mergeCell ref="A114:A115"/>
    <mergeCell ref="B114:B115"/>
    <mergeCell ref="A118:A119"/>
    <mergeCell ref="B118:B119"/>
    <mergeCell ref="A112:A113"/>
    <mergeCell ref="B112:B113"/>
    <mergeCell ref="E112:E113"/>
    <mergeCell ref="A120:A121"/>
    <mergeCell ref="B120:B121"/>
    <mergeCell ref="E120:E121"/>
    <mergeCell ref="F120:F121"/>
    <mergeCell ref="K120:K121"/>
    <mergeCell ref="L120:L121"/>
    <mergeCell ref="P120:P121"/>
    <mergeCell ref="Y120:Y121"/>
    <mergeCell ref="Z120:Z121"/>
    <mergeCell ref="A125:A126"/>
    <mergeCell ref="B125:B126"/>
    <mergeCell ref="E125:E126"/>
    <mergeCell ref="K125:K126"/>
    <mergeCell ref="L125:L126"/>
    <mergeCell ref="P125:P126"/>
    <mergeCell ref="Y125:Y126"/>
    <mergeCell ref="Z125:Z126"/>
    <mergeCell ref="F127:F130"/>
    <mergeCell ref="K127:K128"/>
    <mergeCell ref="L127:L128"/>
    <mergeCell ref="P127:P128"/>
    <mergeCell ref="Y127:Y128"/>
    <mergeCell ref="Z127:Z128"/>
    <mergeCell ref="A129:A130"/>
    <mergeCell ref="B129:B130"/>
    <mergeCell ref="E129:E130"/>
    <mergeCell ref="K129:K130"/>
    <mergeCell ref="L129:L130"/>
    <mergeCell ref="P129:P130"/>
    <mergeCell ref="Y129:Y130"/>
    <mergeCell ref="Z129:Z130"/>
    <mergeCell ref="E127:E128"/>
    <mergeCell ref="A131:A132"/>
    <mergeCell ref="B131:B132"/>
    <mergeCell ref="E131:E132"/>
    <mergeCell ref="F131:F132"/>
    <mergeCell ref="K131:K132"/>
    <mergeCell ref="L131:L132"/>
    <mergeCell ref="P131:P132"/>
    <mergeCell ref="Y131:Y132"/>
    <mergeCell ref="Z131:Z132"/>
    <mergeCell ref="A133:A134"/>
    <mergeCell ref="B133:B134"/>
    <mergeCell ref="E133:E134"/>
    <mergeCell ref="F133:F136"/>
    <mergeCell ref="K133:K134"/>
    <mergeCell ref="L133:L134"/>
    <mergeCell ref="P133:P134"/>
    <mergeCell ref="Y133:Y134"/>
    <mergeCell ref="Z133:Z134"/>
    <mergeCell ref="A135:A136"/>
    <mergeCell ref="B135:B136"/>
    <mergeCell ref="E135:E136"/>
    <mergeCell ref="K135:K136"/>
    <mergeCell ref="L135:L136"/>
    <mergeCell ref="P135:P136"/>
    <mergeCell ref="Y135:Y136"/>
    <mergeCell ref="Z135:Z136"/>
    <mergeCell ref="A137:A139"/>
    <mergeCell ref="B137:B139"/>
    <mergeCell ref="E137:E139"/>
    <mergeCell ref="F137:F139"/>
    <mergeCell ref="K137:K139"/>
    <mergeCell ref="L137:L139"/>
    <mergeCell ref="P137:P139"/>
    <mergeCell ref="Y137:Y139"/>
    <mergeCell ref="Z137:Z139"/>
    <mergeCell ref="A140:A141"/>
    <mergeCell ref="B140:B141"/>
    <mergeCell ref="E140:E141"/>
    <mergeCell ref="F140:F141"/>
    <mergeCell ref="K140:K141"/>
    <mergeCell ref="L140:L141"/>
    <mergeCell ref="P140:P141"/>
    <mergeCell ref="Y140:Y141"/>
    <mergeCell ref="Z140:Z141"/>
    <mergeCell ref="Z147:Z148"/>
    <mergeCell ref="A142:A143"/>
    <mergeCell ref="B142:B143"/>
    <mergeCell ref="E142:E143"/>
    <mergeCell ref="F142:F143"/>
    <mergeCell ref="K142:K143"/>
    <mergeCell ref="L142:L143"/>
    <mergeCell ref="P142:P143"/>
    <mergeCell ref="Y142:Y143"/>
    <mergeCell ref="Z142:Z143"/>
    <mergeCell ref="X144:X145"/>
    <mergeCell ref="A144:A146"/>
    <mergeCell ref="B144:B146"/>
    <mergeCell ref="E144:E146"/>
    <mergeCell ref="F144:F146"/>
    <mergeCell ref="I144:I146"/>
    <mergeCell ref="K144:K146"/>
    <mergeCell ref="T144:T146"/>
    <mergeCell ref="A147:A148"/>
    <mergeCell ref="B147:B148"/>
    <mergeCell ref="E147:E148"/>
    <mergeCell ref="F147:F148"/>
    <mergeCell ref="K147:K148"/>
    <mergeCell ref="Z149:Z150"/>
    <mergeCell ref="A151:A152"/>
    <mergeCell ref="B151:B152"/>
    <mergeCell ref="E151:E152"/>
    <mergeCell ref="F151:F152"/>
    <mergeCell ref="K151:K152"/>
    <mergeCell ref="L151:L152"/>
    <mergeCell ref="P151:P152"/>
    <mergeCell ref="Y151:Y152"/>
    <mergeCell ref="Z151:Z152"/>
    <mergeCell ref="A149:A150"/>
    <mergeCell ref="B149:B150"/>
    <mergeCell ref="E149:E150"/>
    <mergeCell ref="F149:F150"/>
    <mergeCell ref="K149:K150"/>
    <mergeCell ref="L149:L150"/>
    <mergeCell ref="P149:P150"/>
    <mergeCell ref="Y149:Y150"/>
    <mergeCell ref="A153:A154"/>
    <mergeCell ref="B153:B154"/>
    <mergeCell ref="E153:E154"/>
    <mergeCell ref="F153:F157"/>
    <mergeCell ref="K153:K154"/>
    <mergeCell ref="L153:L154"/>
    <mergeCell ref="P153:P154"/>
    <mergeCell ref="Y153:Y154"/>
    <mergeCell ref="L147:L148"/>
    <mergeCell ref="Y147:Y148"/>
    <mergeCell ref="Z153:Z154"/>
    <mergeCell ref="A155:A157"/>
    <mergeCell ref="B155:B157"/>
    <mergeCell ref="E155:E157"/>
    <mergeCell ref="L155:L157"/>
    <mergeCell ref="P155:P157"/>
    <mergeCell ref="Y155:Y157"/>
    <mergeCell ref="Z155:Z157"/>
    <mergeCell ref="A158:A160"/>
    <mergeCell ref="B158:B160"/>
    <mergeCell ref="E158:E160"/>
    <mergeCell ref="F158:F162"/>
    <mergeCell ref="K158:K160"/>
    <mergeCell ref="L158:L160"/>
    <mergeCell ref="P158:P160"/>
    <mergeCell ref="Y158:Y160"/>
    <mergeCell ref="Z158:Z160"/>
    <mergeCell ref="A161:A162"/>
    <mergeCell ref="B161:B162"/>
    <mergeCell ref="E161:E162"/>
    <mergeCell ref="L161:L162"/>
    <mergeCell ref="P161:P162"/>
    <mergeCell ref="Y161:Y162"/>
    <mergeCell ref="Z161:Z162"/>
    <mergeCell ref="A163:A164"/>
    <mergeCell ref="B163:B164"/>
    <mergeCell ref="E163:E164"/>
    <mergeCell ref="F163:F164"/>
    <mergeCell ref="K163:K164"/>
    <mergeCell ref="L163:L164"/>
    <mergeCell ref="P163:P164"/>
    <mergeCell ref="Y163:Y164"/>
    <mergeCell ref="Z163:Z164"/>
    <mergeCell ref="A165:A166"/>
    <mergeCell ref="B165:B166"/>
    <mergeCell ref="E165:E166"/>
    <mergeCell ref="F165:F166"/>
    <mergeCell ref="K165:K166"/>
    <mergeCell ref="L165:L166"/>
    <mergeCell ref="P165:P166"/>
    <mergeCell ref="Y165:Y166"/>
    <mergeCell ref="Z165:Z166"/>
    <mergeCell ref="Y169:Y171"/>
    <mergeCell ref="Z169:Z171"/>
    <mergeCell ref="A167:A168"/>
    <mergeCell ref="B167:B168"/>
    <mergeCell ref="E167:E168"/>
    <mergeCell ref="F167:F168"/>
    <mergeCell ref="K167:K168"/>
    <mergeCell ref="L167:L168"/>
    <mergeCell ref="P167:P168"/>
    <mergeCell ref="Y167:Y168"/>
    <mergeCell ref="Z167:Z168"/>
    <mergeCell ref="Z176:Z177"/>
    <mergeCell ref="A172:A173"/>
    <mergeCell ref="B172:B173"/>
    <mergeCell ref="E172:E173"/>
    <mergeCell ref="F172:F175"/>
    <mergeCell ref="K172:K173"/>
    <mergeCell ref="L172:L173"/>
    <mergeCell ref="P172:P173"/>
    <mergeCell ref="Y172:Y173"/>
    <mergeCell ref="Z172:Z173"/>
    <mergeCell ref="A174:A175"/>
    <mergeCell ref="B174:B175"/>
    <mergeCell ref="E174:E175"/>
    <mergeCell ref="K174:K175"/>
    <mergeCell ref="L174:L175"/>
    <mergeCell ref="P174:P175"/>
    <mergeCell ref="Y174:Y175"/>
    <mergeCell ref="Z174:Z175"/>
    <mergeCell ref="Y178:Y179"/>
    <mergeCell ref="A176:A177"/>
    <mergeCell ref="B176:B177"/>
    <mergeCell ref="E176:E177"/>
    <mergeCell ref="F176:F177"/>
    <mergeCell ref="K176:K177"/>
    <mergeCell ref="L176:L177"/>
    <mergeCell ref="P176:P177"/>
    <mergeCell ref="Y176:Y177"/>
    <mergeCell ref="A180:A181"/>
    <mergeCell ref="B180:B181"/>
    <mergeCell ref="E180:E181"/>
    <mergeCell ref="F180:F181"/>
    <mergeCell ref="K180:K181"/>
    <mergeCell ref="L180:L181"/>
    <mergeCell ref="P180:P181"/>
    <mergeCell ref="D180:D184"/>
    <mergeCell ref="C2:C184"/>
    <mergeCell ref="A178:A179"/>
    <mergeCell ref="B178:B179"/>
    <mergeCell ref="D178:D179"/>
    <mergeCell ref="E178:E179"/>
    <mergeCell ref="F178:F179"/>
    <mergeCell ref="K178:K179"/>
    <mergeCell ref="L178:L179"/>
    <mergeCell ref="P178:P179"/>
    <mergeCell ref="A169:A171"/>
    <mergeCell ref="B169:B171"/>
    <mergeCell ref="E169:E171"/>
    <mergeCell ref="F169:F171"/>
    <mergeCell ref="K169:K171"/>
    <mergeCell ref="L169:L171"/>
    <mergeCell ref="P169:P171"/>
    <mergeCell ref="V219:V220"/>
    <mergeCell ref="E199:F199"/>
    <mergeCell ref="E200:F200"/>
    <mergeCell ref="E197:F197"/>
    <mergeCell ref="E198:F198"/>
    <mergeCell ref="E195:F195"/>
    <mergeCell ref="F110:F113"/>
    <mergeCell ref="F114:F115"/>
    <mergeCell ref="K110:K111"/>
    <mergeCell ref="L110:L111"/>
    <mergeCell ref="P110:P111"/>
    <mergeCell ref="E218:F218"/>
    <mergeCell ref="E214:F214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P147:P148"/>
    <mergeCell ref="L144:L146"/>
    <mergeCell ref="P144:P146"/>
    <mergeCell ref="E221:F221"/>
    <mergeCell ref="E222:F222"/>
    <mergeCell ref="E223:F223"/>
    <mergeCell ref="K21:K22"/>
    <mergeCell ref="K19:K20"/>
    <mergeCell ref="E190:F190"/>
    <mergeCell ref="C191:C220"/>
    <mergeCell ref="D191:D220"/>
    <mergeCell ref="E191:F191"/>
    <mergeCell ref="E217:F217"/>
    <mergeCell ref="E219:F220"/>
    <mergeCell ref="E95:E96"/>
    <mergeCell ref="E97:E98"/>
    <mergeCell ref="E91:E92"/>
    <mergeCell ref="F97:F98"/>
    <mergeCell ref="F87:F88"/>
    <mergeCell ref="F89:F90"/>
    <mergeCell ref="F91:F92"/>
    <mergeCell ref="F95:F96"/>
    <mergeCell ref="E55:E56"/>
    <mergeCell ref="E101:E102"/>
    <mergeCell ref="F81:F82"/>
    <mergeCell ref="F47:F48"/>
    <mergeCell ref="F49:F50"/>
  </mergeCells>
  <conditionalFormatting sqref="M1:M4">
    <cfRule type="duplicateValues" dxfId="2230" priority="747"/>
    <cfRule type="duplicateValues" dxfId="2229" priority="749"/>
  </conditionalFormatting>
  <conditionalFormatting sqref="M5">
    <cfRule type="duplicateValues" dxfId="2228" priority="744"/>
  </conditionalFormatting>
  <conditionalFormatting sqref="M7">
    <cfRule type="duplicateValues" dxfId="2227" priority="742"/>
  </conditionalFormatting>
  <conditionalFormatting sqref="M9">
    <cfRule type="duplicateValues" dxfId="2226" priority="740"/>
  </conditionalFormatting>
  <conditionalFormatting sqref="M11">
    <cfRule type="duplicateValues" dxfId="2225" priority="738"/>
  </conditionalFormatting>
  <conditionalFormatting sqref="M13">
    <cfRule type="duplicateValues" dxfId="2224" priority="736"/>
  </conditionalFormatting>
  <conditionalFormatting sqref="M15">
    <cfRule type="duplicateValues" dxfId="2223" priority="734"/>
  </conditionalFormatting>
  <conditionalFormatting sqref="M17">
    <cfRule type="duplicateValues" dxfId="2222" priority="732"/>
  </conditionalFormatting>
  <conditionalFormatting sqref="M19">
    <cfRule type="duplicateValues" dxfId="2221" priority="726"/>
  </conditionalFormatting>
  <conditionalFormatting sqref="M20">
    <cfRule type="duplicateValues" dxfId="2220" priority="730"/>
  </conditionalFormatting>
  <conditionalFormatting sqref="M21">
    <cfRule type="duplicateValues" dxfId="2219" priority="723"/>
  </conditionalFormatting>
  <conditionalFormatting sqref="M23">
    <cfRule type="duplicateValues" dxfId="2218" priority="721"/>
  </conditionalFormatting>
  <conditionalFormatting sqref="M26">
    <cfRule type="duplicateValues" dxfId="2217" priority="719"/>
  </conditionalFormatting>
  <conditionalFormatting sqref="M28">
    <cfRule type="duplicateValues" dxfId="2216" priority="717"/>
  </conditionalFormatting>
  <conditionalFormatting sqref="M31">
    <cfRule type="duplicateValues" dxfId="2215" priority="715"/>
  </conditionalFormatting>
  <conditionalFormatting sqref="M33">
    <cfRule type="duplicateValues" dxfId="2214" priority="713"/>
  </conditionalFormatting>
  <conditionalFormatting sqref="M35">
    <cfRule type="duplicateValues" dxfId="2213" priority="711"/>
  </conditionalFormatting>
  <conditionalFormatting sqref="M37">
    <cfRule type="duplicateValues" dxfId="2212" priority="709"/>
  </conditionalFormatting>
  <conditionalFormatting sqref="M39">
    <cfRule type="duplicateValues" dxfId="2211" priority="707"/>
  </conditionalFormatting>
  <conditionalFormatting sqref="M41">
    <cfRule type="duplicateValues" dxfId="2210" priority="705"/>
  </conditionalFormatting>
  <conditionalFormatting sqref="M43">
    <cfRule type="duplicateValues" dxfId="2209" priority="703"/>
  </conditionalFormatting>
  <conditionalFormatting sqref="M45">
    <cfRule type="duplicateValues" dxfId="2208" priority="701"/>
  </conditionalFormatting>
  <conditionalFormatting sqref="M47">
    <cfRule type="duplicateValues" dxfId="2207" priority="699"/>
  </conditionalFormatting>
  <conditionalFormatting sqref="M49">
    <cfRule type="duplicateValues" dxfId="2206" priority="697"/>
  </conditionalFormatting>
  <conditionalFormatting sqref="M51">
    <cfRule type="duplicateValues" dxfId="2205" priority="695"/>
  </conditionalFormatting>
  <conditionalFormatting sqref="M53">
    <cfRule type="duplicateValues" dxfId="2204" priority="693"/>
  </conditionalFormatting>
  <conditionalFormatting sqref="M55">
    <cfRule type="duplicateValues" dxfId="2203" priority="691"/>
  </conditionalFormatting>
  <conditionalFormatting sqref="M59">
    <cfRule type="duplicateValues" dxfId="2202" priority="689"/>
  </conditionalFormatting>
  <conditionalFormatting sqref="M61">
    <cfRule type="duplicateValues" dxfId="2201" priority="687"/>
  </conditionalFormatting>
  <conditionalFormatting sqref="M80 M62 M22 M27 M29:M30 M32 M34 M36 M38 M40 M42 M44 M46 M48 M50 M52 M54 M56:M58 M60 M64 M66 M68 M71 M73 M75">
    <cfRule type="duplicateValues" dxfId="2200" priority="727"/>
  </conditionalFormatting>
  <conditionalFormatting sqref="M80 M62 M20 M22 M27 M29:M30 M32 M34 M36 M38 M40 M42 M44 M46 M48 M50 M52 M54 M56:M58 M60 M64 M66 M68 M71 M73 M75">
    <cfRule type="duplicateValues" dxfId="2199" priority="729"/>
  </conditionalFormatting>
  <conditionalFormatting sqref="M63">
    <cfRule type="duplicateValues" dxfId="2198" priority="685"/>
  </conditionalFormatting>
  <conditionalFormatting sqref="M65">
    <cfRule type="duplicateValues" dxfId="2197" priority="683"/>
  </conditionalFormatting>
  <conditionalFormatting sqref="M67">
    <cfRule type="duplicateValues" dxfId="2196" priority="681"/>
  </conditionalFormatting>
  <conditionalFormatting sqref="M70">
    <cfRule type="duplicateValues" dxfId="2195" priority="679"/>
  </conditionalFormatting>
  <conditionalFormatting sqref="M72">
    <cfRule type="duplicateValues" dxfId="2194" priority="677"/>
  </conditionalFormatting>
  <conditionalFormatting sqref="M74">
    <cfRule type="duplicateValues" dxfId="2193" priority="675"/>
  </conditionalFormatting>
  <conditionalFormatting sqref="M76">
    <cfRule type="duplicateValues" dxfId="2192" priority="673"/>
  </conditionalFormatting>
  <conditionalFormatting sqref="M79">
    <cfRule type="duplicateValues" dxfId="2191" priority="671"/>
  </conditionalFormatting>
  <conditionalFormatting sqref="M81">
    <cfRule type="duplicateValues" dxfId="2190" priority="669"/>
  </conditionalFormatting>
  <conditionalFormatting sqref="M82">
    <cfRule type="duplicateValues" dxfId="2189" priority="666"/>
  </conditionalFormatting>
  <conditionalFormatting sqref="M83">
    <cfRule type="duplicateValues" dxfId="2188" priority="662"/>
  </conditionalFormatting>
  <conditionalFormatting sqref="M85">
    <cfRule type="duplicateValues" dxfId="2187" priority="660"/>
  </conditionalFormatting>
  <conditionalFormatting sqref="M89">
    <cfRule type="duplicateValues" dxfId="2186" priority="658"/>
  </conditionalFormatting>
  <conditionalFormatting sqref="M91">
    <cfRule type="duplicateValues" dxfId="2185" priority="656"/>
  </conditionalFormatting>
  <conditionalFormatting sqref="M93">
    <cfRule type="duplicateValues" dxfId="2184" priority="654"/>
  </conditionalFormatting>
  <conditionalFormatting sqref="M95">
    <cfRule type="duplicateValues" dxfId="2183" priority="652"/>
  </conditionalFormatting>
  <conditionalFormatting sqref="M96">
    <cfRule type="duplicateValues" dxfId="2182" priority="561"/>
  </conditionalFormatting>
  <conditionalFormatting sqref="M97">
    <cfRule type="duplicateValues" dxfId="2181" priority="650"/>
  </conditionalFormatting>
  <conditionalFormatting sqref="M98 M82 M84 M86:M88 M90 M92 M94 M100 M102 M104 M106 M109 M111 M113 M115 M117 M119 M121">
    <cfRule type="duplicateValues" dxfId="2180" priority="664"/>
  </conditionalFormatting>
  <conditionalFormatting sqref="M99">
    <cfRule type="duplicateValues" dxfId="2179" priority="648"/>
  </conditionalFormatting>
  <conditionalFormatting sqref="M101">
    <cfRule type="duplicateValues" dxfId="2178" priority="646"/>
  </conditionalFormatting>
  <conditionalFormatting sqref="M103">
    <cfRule type="duplicateValues" dxfId="2177" priority="644"/>
  </conditionalFormatting>
  <conditionalFormatting sqref="M105">
    <cfRule type="duplicateValues" dxfId="2176" priority="642"/>
  </conditionalFormatting>
  <conditionalFormatting sqref="M108">
    <cfRule type="duplicateValues" dxfId="2175" priority="640"/>
  </conditionalFormatting>
  <conditionalFormatting sqref="M110">
    <cfRule type="duplicateValues" dxfId="2174" priority="638"/>
  </conditionalFormatting>
  <conditionalFormatting sqref="M112">
    <cfRule type="duplicateValues" dxfId="2173" priority="636"/>
  </conditionalFormatting>
  <conditionalFormatting sqref="M114">
    <cfRule type="duplicateValues" dxfId="2172" priority="634"/>
  </conditionalFormatting>
  <conditionalFormatting sqref="M116">
    <cfRule type="duplicateValues" dxfId="2171" priority="632"/>
  </conditionalFormatting>
  <conditionalFormatting sqref="M118">
    <cfRule type="duplicateValues" dxfId="2170" priority="630"/>
  </conditionalFormatting>
  <conditionalFormatting sqref="M120">
    <cfRule type="duplicateValues" dxfId="2169" priority="628"/>
  </conditionalFormatting>
  <conditionalFormatting sqref="M122">
    <cfRule type="duplicateValues" dxfId="2168" priority="624"/>
  </conditionalFormatting>
  <conditionalFormatting sqref="M125">
    <cfRule type="duplicateValues" dxfId="2167" priority="622"/>
  </conditionalFormatting>
  <conditionalFormatting sqref="M127">
    <cfRule type="duplicateValues" dxfId="2166" priority="620"/>
  </conditionalFormatting>
  <conditionalFormatting sqref="M129">
    <cfRule type="duplicateValues" dxfId="2165" priority="618"/>
  </conditionalFormatting>
  <conditionalFormatting sqref="M131">
    <cfRule type="duplicateValues" dxfId="2164" priority="616"/>
  </conditionalFormatting>
  <conditionalFormatting sqref="M133">
    <cfRule type="duplicateValues" dxfId="2163" priority="614"/>
  </conditionalFormatting>
  <conditionalFormatting sqref="M135">
    <cfRule type="duplicateValues" dxfId="2162" priority="612"/>
  </conditionalFormatting>
  <conditionalFormatting sqref="M123 M126 M128 M130 M132 M134">
    <cfRule type="duplicateValues" dxfId="2161" priority="626"/>
  </conditionalFormatting>
  <conditionalFormatting sqref="M169">
    <cfRule type="duplicateValues" dxfId="2160" priority="610"/>
  </conditionalFormatting>
  <conditionalFormatting sqref="N1:N4">
    <cfRule type="duplicateValues" dxfId="2159" priority="748"/>
  </conditionalFormatting>
  <conditionalFormatting sqref="N5">
    <cfRule type="duplicateValues" dxfId="2158" priority="745"/>
  </conditionalFormatting>
  <conditionalFormatting sqref="N6">
    <cfRule type="duplicateValues" dxfId="2157" priority="609"/>
  </conditionalFormatting>
  <conditionalFormatting sqref="N7">
    <cfRule type="duplicateValues" dxfId="2156" priority="743"/>
  </conditionalFormatting>
  <conditionalFormatting sqref="N8">
    <cfRule type="duplicateValues" dxfId="2155" priority="608"/>
  </conditionalFormatting>
  <conditionalFormatting sqref="N9">
    <cfRule type="duplicateValues" dxfId="2154" priority="741"/>
  </conditionalFormatting>
  <conditionalFormatting sqref="N10">
    <cfRule type="duplicateValues" dxfId="2153" priority="607"/>
  </conditionalFormatting>
  <conditionalFormatting sqref="N11">
    <cfRule type="duplicateValues" dxfId="2152" priority="739"/>
  </conditionalFormatting>
  <conditionalFormatting sqref="N12">
    <cfRule type="duplicateValues" dxfId="2151" priority="606"/>
  </conditionalFormatting>
  <conditionalFormatting sqref="N13">
    <cfRule type="duplicateValues" dxfId="2150" priority="737"/>
  </conditionalFormatting>
  <conditionalFormatting sqref="N14">
    <cfRule type="duplicateValues" dxfId="2149" priority="605"/>
  </conditionalFormatting>
  <conditionalFormatting sqref="N15">
    <cfRule type="duplicateValues" dxfId="2148" priority="735"/>
  </conditionalFormatting>
  <conditionalFormatting sqref="N16">
    <cfRule type="duplicateValues" dxfId="2147" priority="604"/>
  </conditionalFormatting>
  <conditionalFormatting sqref="N17">
    <cfRule type="duplicateValues" dxfId="2146" priority="733"/>
  </conditionalFormatting>
  <conditionalFormatting sqref="N18">
    <cfRule type="duplicateValues" dxfId="2145" priority="599"/>
  </conditionalFormatting>
  <conditionalFormatting sqref="N19">
    <cfRule type="duplicateValues" dxfId="2144" priority="725"/>
  </conditionalFormatting>
  <conditionalFormatting sqref="N20">
    <cfRule type="duplicateValues" dxfId="2143" priority="600"/>
  </conditionalFormatting>
  <conditionalFormatting sqref="N21">
    <cfRule type="duplicateValues" dxfId="2142" priority="724"/>
  </conditionalFormatting>
  <conditionalFormatting sqref="N23">
    <cfRule type="duplicateValues" dxfId="2141" priority="722"/>
  </conditionalFormatting>
  <conditionalFormatting sqref="N26">
    <cfRule type="duplicateValues" dxfId="2140" priority="720"/>
  </conditionalFormatting>
  <conditionalFormatting sqref="N27">
    <cfRule type="duplicateValues" dxfId="2139" priority="601"/>
  </conditionalFormatting>
  <conditionalFormatting sqref="N28">
    <cfRule type="duplicateValues" dxfId="2138" priority="718"/>
  </conditionalFormatting>
  <conditionalFormatting sqref="N29">
    <cfRule type="duplicateValues" dxfId="2137" priority="603"/>
  </conditionalFormatting>
  <conditionalFormatting sqref="N30">
    <cfRule type="duplicateValues" dxfId="2136" priority="602"/>
  </conditionalFormatting>
  <conditionalFormatting sqref="N31">
    <cfRule type="duplicateValues" dxfId="2135" priority="716"/>
  </conditionalFormatting>
  <conditionalFormatting sqref="N32">
    <cfRule type="duplicateValues" dxfId="2134" priority="597"/>
  </conditionalFormatting>
  <conditionalFormatting sqref="N33">
    <cfRule type="duplicateValues" dxfId="2133" priority="714"/>
  </conditionalFormatting>
  <conditionalFormatting sqref="N34">
    <cfRule type="duplicateValues" dxfId="2132" priority="596"/>
  </conditionalFormatting>
  <conditionalFormatting sqref="N35">
    <cfRule type="duplicateValues" dxfId="2131" priority="712"/>
  </conditionalFormatting>
  <conditionalFormatting sqref="N36">
    <cfRule type="duplicateValues" dxfId="2130" priority="595"/>
  </conditionalFormatting>
  <conditionalFormatting sqref="N37">
    <cfRule type="duplicateValues" dxfId="2129" priority="710"/>
  </conditionalFormatting>
  <conditionalFormatting sqref="N38">
    <cfRule type="duplicateValues" dxfId="2128" priority="594"/>
  </conditionalFormatting>
  <conditionalFormatting sqref="N39">
    <cfRule type="duplicateValues" dxfId="2127" priority="708"/>
  </conditionalFormatting>
  <conditionalFormatting sqref="N40">
    <cfRule type="duplicateValues" dxfId="2126" priority="593"/>
  </conditionalFormatting>
  <conditionalFormatting sqref="N41">
    <cfRule type="duplicateValues" dxfId="2125" priority="706"/>
  </conditionalFormatting>
  <conditionalFormatting sqref="N42">
    <cfRule type="duplicateValues" dxfId="2124" priority="592"/>
  </conditionalFormatting>
  <conditionalFormatting sqref="N43">
    <cfRule type="duplicateValues" dxfId="2123" priority="704"/>
  </conditionalFormatting>
  <conditionalFormatting sqref="N44">
    <cfRule type="duplicateValues" dxfId="2122" priority="591"/>
  </conditionalFormatting>
  <conditionalFormatting sqref="N45">
    <cfRule type="duplicateValues" dxfId="2121" priority="702"/>
  </conditionalFormatting>
  <conditionalFormatting sqref="N46">
    <cfRule type="duplicateValues" dxfId="2120" priority="590"/>
  </conditionalFormatting>
  <conditionalFormatting sqref="N47">
    <cfRule type="duplicateValues" dxfId="2119" priority="700"/>
  </conditionalFormatting>
  <conditionalFormatting sqref="N48">
    <cfRule type="duplicateValues" dxfId="2118" priority="589"/>
  </conditionalFormatting>
  <conditionalFormatting sqref="N49">
    <cfRule type="duplicateValues" dxfId="2117" priority="698"/>
  </conditionalFormatting>
  <conditionalFormatting sqref="N50">
    <cfRule type="duplicateValues" dxfId="2116" priority="588"/>
  </conditionalFormatting>
  <conditionalFormatting sqref="N51">
    <cfRule type="duplicateValues" dxfId="2115" priority="696"/>
  </conditionalFormatting>
  <conditionalFormatting sqref="N52">
    <cfRule type="duplicateValues" dxfId="2114" priority="587"/>
  </conditionalFormatting>
  <conditionalFormatting sqref="N53">
    <cfRule type="duplicateValues" dxfId="2113" priority="694"/>
  </conditionalFormatting>
  <conditionalFormatting sqref="N54">
    <cfRule type="duplicateValues" dxfId="2112" priority="586"/>
  </conditionalFormatting>
  <conditionalFormatting sqref="N55">
    <cfRule type="duplicateValues" dxfId="2111" priority="692"/>
  </conditionalFormatting>
  <conditionalFormatting sqref="N56">
    <cfRule type="duplicateValues" dxfId="2110" priority="585"/>
  </conditionalFormatting>
  <conditionalFormatting sqref="N57 N22">
    <cfRule type="duplicateValues" dxfId="2109" priority="728"/>
  </conditionalFormatting>
  <conditionalFormatting sqref="N58">
    <cfRule type="duplicateValues" dxfId="2108" priority="750"/>
  </conditionalFormatting>
  <conditionalFormatting sqref="N59">
    <cfRule type="duplicateValues" dxfId="2107" priority="690"/>
  </conditionalFormatting>
  <conditionalFormatting sqref="N60">
    <cfRule type="duplicateValues" dxfId="2106" priority="583"/>
  </conditionalFormatting>
  <conditionalFormatting sqref="N61">
    <cfRule type="duplicateValues" dxfId="2105" priority="688"/>
  </conditionalFormatting>
  <conditionalFormatting sqref="N62">
    <cfRule type="duplicateValues" dxfId="2104" priority="581"/>
  </conditionalFormatting>
  <conditionalFormatting sqref="N63">
    <cfRule type="duplicateValues" dxfId="2103" priority="686"/>
  </conditionalFormatting>
  <conditionalFormatting sqref="N64">
    <cfRule type="duplicateValues" dxfId="2102" priority="579"/>
  </conditionalFormatting>
  <conditionalFormatting sqref="N65">
    <cfRule type="duplicateValues" dxfId="2101" priority="684"/>
  </conditionalFormatting>
  <conditionalFormatting sqref="N66">
    <cfRule type="duplicateValues" dxfId="2100" priority="577"/>
  </conditionalFormatting>
  <conditionalFormatting sqref="N67">
    <cfRule type="duplicateValues" dxfId="2099" priority="682"/>
  </conditionalFormatting>
  <conditionalFormatting sqref="N68">
    <cfRule type="duplicateValues" dxfId="2098" priority="576"/>
  </conditionalFormatting>
  <conditionalFormatting sqref="N70">
    <cfRule type="duplicateValues" dxfId="2097" priority="680"/>
  </conditionalFormatting>
  <conditionalFormatting sqref="N71">
    <cfRule type="duplicateValues" dxfId="2096" priority="574"/>
  </conditionalFormatting>
  <conditionalFormatting sqref="N72">
    <cfRule type="duplicateValues" dxfId="2095" priority="678"/>
  </conditionalFormatting>
  <conditionalFormatting sqref="N73">
    <cfRule type="duplicateValues" dxfId="2094" priority="573"/>
  </conditionalFormatting>
  <conditionalFormatting sqref="N74">
    <cfRule type="duplicateValues" dxfId="2093" priority="676"/>
  </conditionalFormatting>
  <conditionalFormatting sqref="N75">
    <cfRule type="duplicateValues" dxfId="2092" priority="572"/>
  </conditionalFormatting>
  <conditionalFormatting sqref="N76">
    <cfRule type="duplicateValues" dxfId="2091" priority="674"/>
  </conditionalFormatting>
  <conditionalFormatting sqref="N79">
    <cfRule type="duplicateValues" dxfId="2090" priority="672"/>
  </conditionalFormatting>
  <conditionalFormatting sqref="N80">
    <cfRule type="duplicateValues" dxfId="2089" priority="569"/>
  </conditionalFormatting>
  <conditionalFormatting sqref="N81">
    <cfRule type="duplicateValues" dxfId="2088" priority="670"/>
  </conditionalFormatting>
  <conditionalFormatting sqref="N82">
    <cfRule type="duplicateValues" dxfId="2087" priority="568"/>
  </conditionalFormatting>
  <conditionalFormatting sqref="N83">
    <cfRule type="duplicateValues" dxfId="2086" priority="663"/>
  </conditionalFormatting>
  <conditionalFormatting sqref="N84">
    <cfRule type="duplicateValues" dxfId="2085" priority="567"/>
  </conditionalFormatting>
  <conditionalFormatting sqref="N85">
    <cfRule type="duplicateValues" dxfId="2084" priority="661"/>
  </conditionalFormatting>
  <conditionalFormatting sqref="N86">
    <cfRule type="duplicateValues" dxfId="2083" priority="566"/>
  </conditionalFormatting>
  <conditionalFormatting sqref="N87">
    <cfRule type="duplicateValues" dxfId="2082" priority="665"/>
  </conditionalFormatting>
  <conditionalFormatting sqref="N88">
    <cfRule type="duplicateValues" dxfId="2081" priority="565"/>
  </conditionalFormatting>
  <conditionalFormatting sqref="N89">
    <cfRule type="duplicateValues" dxfId="2080" priority="659"/>
  </conditionalFormatting>
  <conditionalFormatting sqref="N90">
    <cfRule type="duplicateValues" dxfId="2079" priority="564"/>
  </conditionalFormatting>
  <conditionalFormatting sqref="N91">
    <cfRule type="duplicateValues" dxfId="2078" priority="657"/>
  </conditionalFormatting>
  <conditionalFormatting sqref="N92">
    <cfRule type="duplicateValues" dxfId="2077" priority="563"/>
  </conditionalFormatting>
  <conditionalFormatting sqref="N93">
    <cfRule type="duplicateValues" dxfId="2076" priority="655"/>
  </conditionalFormatting>
  <conditionalFormatting sqref="N94">
    <cfRule type="duplicateValues" dxfId="2075" priority="562"/>
  </conditionalFormatting>
  <conditionalFormatting sqref="N95">
    <cfRule type="duplicateValues" dxfId="2074" priority="653"/>
  </conditionalFormatting>
  <conditionalFormatting sqref="N96">
    <cfRule type="duplicateValues" dxfId="2073" priority="560"/>
  </conditionalFormatting>
  <conditionalFormatting sqref="N97">
    <cfRule type="duplicateValues" dxfId="2072" priority="651"/>
  </conditionalFormatting>
  <conditionalFormatting sqref="N98">
    <cfRule type="duplicateValues" dxfId="2071" priority="559"/>
  </conditionalFormatting>
  <conditionalFormatting sqref="N99">
    <cfRule type="duplicateValues" dxfId="2070" priority="649"/>
  </conditionalFormatting>
  <conditionalFormatting sqref="N100">
    <cfRule type="duplicateValues" dxfId="2069" priority="558"/>
  </conditionalFormatting>
  <conditionalFormatting sqref="N101">
    <cfRule type="duplicateValues" dxfId="2068" priority="647"/>
  </conditionalFormatting>
  <conditionalFormatting sqref="N102">
    <cfRule type="duplicateValues" dxfId="2067" priority="557"/>
  </conditionalFormatting>
  <conditionalFormatting sqref="N103">
    <cfRule type="duplicateValues" dxfId="2066" priority="645"/>
  </conditionalFormatting>
  <conditionalFormatting sqref="N104">
    <cfRule type="duplicateValues" dxfId="2065" priority="556"/>
  </conditionalFormatting>
  <conditionalFormatting sqref="N105">
    <cfRule type="duplicateValues" dxfId="2064" priority="643"/>
  </conditionalFormatting>
  <conditionalFormatting sqref="N106">
    <cfRule type="duplicateValues" dxfId="2063" priority="555"/>
  </conditionalFormatting>
  <conditionalFormatting sqref="N108">
    <cfRule type="duplicateValues" dxfId="2062" priority="641"/>
  </conditionalFormatting>
  <conditionalFormatting sqref="N109">
    <cfRule type="duplicateValues" dxfId="2061" priority="553"/>
  </conditionalFormatting>
  <conditionalFormatting sqref="N110">
    <cfRule type="duplicateValues" dxfId="2060" priority="639"/>
  </conditionalFormatting>
  <conditionalFormatting sqref="N111">
    <cfRule type="duplicateValues" dxfId="2059" priority="552"/>
  </conditionalFormatting>
  <conditionalFormatting sqref="N112">
    <cfRule type="duplicateValues" dxfId="2058" priority="637"/>
  </conditionalFormatting>
  <conditionalFormatting sqref="N113">
    <cfRule type="duplicateValues" dxfId="2057" priority="551"/>
  </conditionalFormatting>
  <conditionalFormatting sqref="N114">
    <cfRule type="duplicateValues" dxfId="2056" priority="635"/>
  </conditionalFormatting>
  <conditionalFormatting sqref="N115">
    <cfRule type="duplicateValues" dxfId="2055" priority="550"/>
  </conditionalFormatting>
  <conditionalFormatting sqref="N116">
    <cfRule type="duplicateValues" dxfId="2054" priority="633"/>
  </conditionalFormatting>
  <conditionalFormatting sqref="N117">
    <cfRule type="duplicateValues" dxfId="2053" priority="549"/>
  </conditionalFormatting>
  <conditionalFormatting sqref="N118">
    <cfRule type="duplicateValues" dxfId="2052" priority="631"/>
  </conditionalFormatting>
  <conditionalFormatting sqref="N119">
    <cfRule type="duplicateValues" dxfId="2051" priority="548"/>
  </conditionalFormatting>
  <conditionalFormatting sqref="N120">
    <cfRule type="duplicateValues" dxfId="2050" priority="629"/>
  </conditionalFormatting>
  <conditionalFormatting sqref="N121">
    <cfRule type="duplicateValues" dxfId="2049" priority="547"/>
  </conditionalFormatting>
  <conditionalFormatting sqref="N122">
    <cfRule type="duplicateValues" dxfId="2048" priority="625"/>
  </conditionalFormatting>
  <conditionalFormatting sqref="N123">
    <cfRule type="duplicateValues" dxfId="2047" priority="546"/>
  </conditionalFormatting>
  <conditionalFormatting sqref="N125">
    <cfRule type="duplicateValues" dxfId="2046" priority="623"/>
  </conditionalFormatting>
  <conditionalFormatting sqref="N126">
    <cfRule type="duplicateValues" dxfId="2045" priority="545"/>
  </conditionalFormatting>
  <conditionalFormatting sqref="N127">
    <cfRule type="duplicateValues" dxfId="2044" priority="621"/>
  </conditionalFormatting>
  <conditionalFormatting sqref="N128">
    <cfRule type="duplicateValues" dxfId="2043" priority="544"/>
  </conditionalFormatting>
  <conditionalFormatting sqref="N129">
    <cfRule type="duplicateValues" dxfId="2042" priority="619"/>
  </conditionalFormatting>
  <conditionalFormatting sqref="N130">
    <cfRule type="duplicateValues" dxfId="2041" priority="543"/>
  </conditionalFormatting>
  <conditionalFormatting sqref="N131">
    <cfRule type="duplicateValues" dxfId="2040" priority="617"/>
  </conditionalFormatting>
  <conditionalFormatting sqref="N132">
    <cfRule type="duplicateValues" dxfId="2039" priority="542"/>
  </conditionalFormatting>
  <conditionalFormatting sqref="N133">
    <cfRule type="duplicateValues" dxfId="2038" priority="615"/>
  </conditionalFormatting>
  <conditionalFormatting sqref="N134">
    <cfRule type="duplicateValues" dxfId="2037" priority="541"/>
  </conditionalFormatting>
  <conditionalFormatting sqref="N135">
    <cfRule type="duplicateValues" dxfId="2036" priority="613"/>
  </conditionalFormatting>
  <conditionalFormatting sqref="N136">
    <cfRule type="duplicateValues" dxfId="2035" priority="540"/>
  </conditionalFormatting>
  <conditionalFormatting sqref="N141">
    <cfRule type="duplicateValues" dxfId="2034" priority="538"/>
  </conditionalFormatting>
  <conditionalFormatting sqref="N143">
    <cfRule type="duplicateValues" dxfId="2033" priority="537"/>
  </conditionalFormatting>
  <conditionalFormatting sqref="N148">
    <cfRule type="duplicateValues" dxfId="2032" priority="536"/>
  </conditionalFormatting>
  <conditionalFormatting sqref="N150">
    <cfRule type="duplicateValues" dxfId="2031" priority="534"/>
  </conditionalFormatting>
  <conditionalFormatting sqref="N152">
    <cfRule type="duplicateValues" dxfId="2030" priority="533"/>
  </conditionalFormatting>
  <conditionalFormatting sqref="N154">
    <cfRule type="duplicateValues" dxfId="2029" priority="532"/>
  </conditionalFormatting>
  <conditionalFormatting sqref="N164">
    <cfRule type="duplicateValues" dxfId="2028" priority="529"/>
  </conditionalFormatting>
  <conditionalFormatting sqref="N166">
    <cfRule type="duplicateValues" dxfId="2027" priority="528"/>
  </conditionalFormatting>
  <conditionalFormatting sqref="N168">
    <cfRule type="duplicateValues" dxfId="2026" priority="527"/>
  </conditionalFormatting>
  <conditionalFormatting sqref="N169">
    <cfRule type="duplicateValues" dxfId="2025" priority="611"/>
  </conditionalFormatting>
  <conditionalFormatting sqref="N170:N171">
    <cfRule type="duplicateValues" dxfId="2024" priority="526"/>
  </conditionalFormatting>
  <conditionalFormatting sqref="N173">
    <cfRule type="duplicateValues" dxfId="2023" priority="525"/>
  </conditionalFormatting>
  <conditionalFormatting sqref="N175">
    <cfRule type="duplicateValues" dxfId="2022" priority="524"/>
  </conditionalFormatting>
  <conditionalFormatting sqref="N177">
    <cfRule type="duplicateValues" dxfId="2021" priority="523"/>
  </conditionalFormatting>
  <conditionalFormatting sqref="N179">
    <cfRule type="duplicateValues" dxfId="2020" priority="522"/>
  </conditionalFormatting>
  <conditionalFormatting sqref="E191">
    <cfRule type="duplicateValues" dxfId="2019" priority="491"/>
  </conditionalFormatting>
  <conditionalFormatting sqref="K191">
    <cfRule type="duplicateValues" dxfId="2018" priority="498"/>
  </conditionalFormatting>
  <conditionalFormatting sqref="K191">
    <cfRule type="duplicateValues" dxfId="2017" priority="492"/>
  </conditionalFormatting>
  <conditionalFormatting sqref="L191">
    <cfRule type="duplicateValues" dxfId="2016" priority="494"/>
    <cfRule type="duplicateValues" dxfId="2015" priority="495"/>
    <cfRule type="duplicateValues" dxfId="2014" priority="496"/>
    <cfRule type="duplicateValues" dxfId="2013" priority="497"/>
  </conditionalFormatting>
  <conditionalFormatting sqref="M191">
    <cfRule type="duplicateValues" dxfId="2012" priority="493"/>
  </conditionalFormatting>
  <conditionalFormatting sqref="I188">
    <cfRule type="duplicateValues" dxfId="2011" priority="490"/>
  </conditionalFormatting>
  <conditionalFormatting sqref="E192">
    <cfRule type="duplicateValues" dxfId="2010" priority="483"/>
  </conditionalFormatting>
  <conditionalFormatting sqref="K192">
    <cfRule type="duplicateValues" dxfId="2009" priority="489"/>
  </conditionalFormatting>
  <conditionalFormatting sqref="L192">
    <cfRule type="duplicateValues" dxfId="2008" priority="484"/>
  </conditionalFormatting>
  <conditionalFormatting sqref="M192">
    <cfRule type="duplicateValues" dxfId="2007" priority="485"/>
    <cfRule type="duplicateValues" dxfId="2006" priority="486"/>
    <cfRule type="duplicateValues" dxfId="2005" priority="487"/>
    <cfRule type="duplicateValues" dxfId="2004" priority="488"/>
  </conditionalFormatting>
  <conditionalFormatting sqref="K193">
    <cfRule type="duplicateValues" dxfId="2003" priority="482"/>
  </conditionalFormatting>
  <conditionalFormatting sqref="K233">
    <cfRule type="duplicateValues" dxfId="2002" priority="477"/>
  </conditionalFormatting>
  <conditionalFormatting sqref="K231">
    <cfRule type="duplicateValues" dxfId="2001" priority="476"/>
  </conditionalFormatting>
  <conditionalFormatting sqref="K234:K236">
    <cfRule type="duplicateValues" dxfId="2000" priority="475"/>
  </conditionalFormatting>
  <conditionalFormatting sqref="K237">
    <cfRule type="duplicateValues" dxfId="1999" priority="474"/>
  </conditionalFormatting>
  <conditionalFormatting sqref="K238">
    <cfRule type="duplicateValues" dxfId="1998" priority="473"/>
  </conditionalFormatting>
  <conditionalFormatting sqref="K239">
    <cfRule type="duplicateValues" dxfId="1997" priority="472"/>
  </conditionalFormatting>
  <conditionalFormatting sqref="K240">
    <cfRule type="duplicateValues" dxfId="1996" priority="471"/>
  </conditionalFormatting>
  <conditionalFormatting sqref="K241">
    <cfRule type="duplicateValues" dxfId="1995" priority="470"/>
  </conditionalFormatting>
  <conditionalFormatting sqref="E194">
    <cfRule type="duplicateValues" dxfId="1994" priority="464"/>
  </conditionalFormatting>
  <conditionalFormatting sqref="K194">
    <cfRule type="duplicateValues" dxfId="1993" priority="463"/>
  </conditionalFormatting>
  <conditionalFormatting sqref="L194">
    <cfRule type="duplicateValues" dxfId="1992" priority="465"/>
  </conditionalFormatting>
  <conditionalFormatting sqref="M194">
    <cfRule type="duplicateValues" dxfId="1991" priority="466"/>
    <cfRule type="duplicateValues" dxfId="1990" priority="467"/>
    <cfRule type="duplicateValues" dxfId="1989" priority="468"/>
    <cfRule type="duplicateValues" dxfId="1988" priority="469"/>
  </conditionalFormatting>
  <conditionalFormatting sqref="E195">
    <cfRule type="duplicateValues" dxfId="1987" priority="460"/>
  </conditionalFormatting>
  <conditionalFormatting sqref="K195">
    <cfRule type="duplicateValues" dxfId="1986" priority="462"/>
  </conditionalFormatting>
  <conditionalFormatting sqref="K195">
    <cfRule type="duplicateValues" dxfId="1985" priority="461"/>
  </conditionalFormatting>
  <conditionalFormatting sqref="L195:N195">
    <cfRule type="duplicateValues" dxfId="1984" priority="459"/>
  </conditionalFormatting>
  <conditionalFormatting sqref="L230">
    <cfRule type="duplicateValues" dxfId="1983" priority="450"/>
  </conditionalFormatting>
  <conditionalFormatting sqref="L231">
    <cfRule type="duplicateValues" dxfId="1982" priority="448"/>
  </conditionalFormatting>
  <conditionalFormatting sqref="L231">
    <cfRule type="duplicateValues" dxfId="1981" priority="449"/>
  </conditionalFormatting>
  <conditionalFormatting sqref="L232">
    <cfRule type="duplicateValues" dxfId="1980" priority="447"/>
  </conditionalFormatting>
  <conditionalFormatting sqref="L233">
    <cfRule type="duplicateValues" dxfId="1979" priority="446"/>
  </conditionalFormatting>
  <conditionalFormatting sqref="L234">
    <cfRule type="duplicateValues" dxfId="1978" priority="445"/>
  </conditionalFormatting>
  <conditionalFormatting sqref="L236">
    <cfRule type="duplicateValues" dxfId="1977" priority="442"/>
  </conditionalFormatting>
  <conditionalFormatting sqref="L236">
    <cfRule type="duplicateValues" dxfId="1976" priority="443"/>
  </conditionalFormatting>
  <conditionalFormatting sqref="L239">
    <cfRule type="duplicateValues" dxfId="1975" priority="439"/>
  </conditionalFormatting>
  <conditionalFormatting sqref="L240">
    <cfRule type="duplicateValues" dxfId="1974" priority="438"/>
  </conditionalFormatting>
  <conditionalFormatting sqref="L241">
    <cfRule type="duplicateValues" dxfId="1973" priority="437"/>
  </conditionalFormatting>
  <conditionalFormatting sqref="E211:E213 E193">
    <cfRule type="duplicateValues" dxfId="1972" priority="756"/>
  </conditionalFormatting>
  <conditionalFormatting sqref="K193">
    <cfRule type="duplicateValues" dxfId="1971" priority="757"/>
  </conditionalFormatting>
  <conditionalFormatting sqref="M211 M193">
    <cfRule type="duplicateValues" dxfId="1970" priority="758"/>
    <cfRule type="duplicateValues" dxfId="1969" priority="759"/>
    <cfRule type="duplicateValues" dxfId="1968" priority="760"/>
    <cfRule type="duplicateValues" dxfId="1967" priority="761"/>
  </conditionalFormatting>
  <conditionalFormatting sqref="L193">
    <cfRule type="duplicateValues" dxfId="1966" priority="762"/>
  </conditionalFormatting>
  <conditionalFormatting sqref="L242">
    <cfRule type="duplicateValues" dxfId="1965" priority="436"/>
  </conditionalFormatting>
  <conditionalFormatting sqref="L242">
    <cfRule type="duplicateValues" dxfId="1964" priority="435"/>
  </conditionalFormatting>
  <conditionalFormatting sqref="L243">
    <cfRule type="duplicateValues" dxfId="1963" priority="434"/>
  </conditionalFormatting>
  <conditionalFormatting sqref="E196">
    <cfRule type="duplicateValues" dxfId="1962" priority="426"/>
  </conditionalFormatting>
  <conditionalFormatting sqref="K196">
    <cfRule type="duplicateValues" dxfId="1961" priority="433"/>
  </conditionalFormatting>
  <conditionalFormatting sqref="K196">
    <cfRule type="duplicateValues" dxfId="1960" priority="427"/>
  </conditionalFormatting>
  <conditionalFormatting sqref="M196:N196">
    <cfRule type="duplicateValues" dxfId="1959" priority="429"/>
    <cfRule type="duplicateValues" dxfId="1958" priority="430"/>
    <cfRule type="duplicateValues" dxfId="1957" priority="431"/>
    <cfRule type="duplicateValues" dxfId="1956" priority="432"/>
  </conditionalFormatting>
  <conditionalFormatting sqref="L196">
    <cfRule type="duplicateValues" dxfId="1955" priority="428"/>
  </conditionalFormatting>
  <conditionalFormatting sqref="E197">
    <cfRule type="duplicateValues" dxfId="1954" priority="390"/>
  </conditionalFormatting>
  <conditionalFormatting sqref="K197">
    <cfRule type="duplicateValues" dxfId="1953" priority="389"/>
  </conditionalFormatting>
  <conditionalFormatting sqref="L197">
    <cfRule type="duplicateValues" dxfId="1952" priority="391"/>
  </conditionalFormatting>
  <conditionalFormatting sqref="M197:N197">
    <cfRule type="duplicateValues" dxfId="1951" priority="392"/>
    <cfRule type="duplicateValues" dxfId="1950" priority="393"/>
    <cfRule type="duplicateValues" dxfId="1949" priority="394"/>
    <cfRule type="duplicateValues" dxfId="1948" priority="395"/>
  </conditionalFormatting>
  <conditionalFormatting sqref="M230">
    <cfRule type="duplicateValues" dxfId="1947" priority="388"/>
  </conditionalFormatting>
  <conditionalFormatting sqref="M231:M232">
    <cfRule type="duplicateValues" dxfId="1946" priority="387"/>
  </conditionalFormatting>
  <conditionalFormatting sqref="M230">
    <cfRule type="duplicateValues" dxfId="1945" priority="386"/>
  </conditionalFormatting>
  <conditionalFormatting sqref="M231">
    <cfRule type="duplicateValues" dxfId="1944" priority="385"/>
  </conditionalFormatting>
  <conditionalFormatting sqref="M233">
    <cfRule type="duplicateValues" dxfId="1943" priority="384"/>
  </conditionalFormatting>
  <conditionalFormatting sqref="M240">
    <cfRule type="duplicateValues" dxfId="1942" priority="377"/>
  </conditionalFormatting>
  <conditionalFormatting sqref="M240">
    <cfRule type="duplicateValues" dxfId="1941" priority="376"/>
  </conditionalFormatting>
  <conditionalFormatting sqref="M241">
    <cfRule type="duplicateValues" dxfId="1940" priority="375"/>
  </conditionalFormatting>
  <conditionalFormatting sqref="E198">
    <cfRule type="duplicateValues" dxfId="1939" priority="369"/>
  </conditionalFormatting>
  <conditionalFormatting sqref="K198">
    <cfRule type="duplicateValues" dxfId="1938" priority="368"/>
  </conditionalFormatting>
  <conditionalFormatting sqref="L198">
    <cfRule type="duplicateValues" dxfId="1937" priority="370"/>
  </conditionalFormatting>
  <conditionalFormatting sqref="M198:N198">
    <cfRule type="duplicateValues" dxfId="1936" priority="371"/>
    <cfRule type="duplicateValues" dxfId="1935" priority="372"/>
    <cfRule type="duplicateValues" dxfId="1934" priority="373"/>
    <cfRule type="duplicateValues" dxfId="1933" priority="374"/>
  </conditionalFormatting>
  <conditionalFormatting sqref="E199">
    <cfRule type="duplicateValues" dxfId="1932" priority="362"/>
  </conditionalFormatting>
  <conditionalFormatting sqref="K199">
    <cfRule type="duplicateValues" dxfId="1931" priority="361"/>
  </conditionalFormatting>
  <conditionalFormatting sqref="L199">
    <cfRule type="duplicateValues" dxfId="1930" priority="363"/>
  </conditionalFormatting>
  <conditionalFormatting sqref="M199:N199">
    <cfRule type="duplicateValues" dxfId="1929" priority="364"/>
    <cfRule type="duplicateValues" dxfId="1928" priority="365"/>
    <cfRule type="duplicateValues" dxfId="1927" priority="366"/>
    <cfRule type="duplicateValues" dxfId="1926" priority="367"/>
  </conditionalFormatting>
  <conditionalFormatting sqref="E200">
    <cfRule type="duplicateValues" dxfId="1925" priority="353"/>
  </conditionalFormatting>
  <conditionalFormatting sqref="K200">
    <cfRule type="duplicateValues" dxfId="1924" priority="360"/>
  </conditionalFormatting>
  <conditionalFormatting sqref="K200">
    <cfRule type="duplicateValues" dxfId="1923" priority="354"/>
  </conditionalFormatting>
  <conditionalFormatting sqref="M200:N200">
    <cfRule type="duplicateValues" dxfId="1922" priority="356"/>
    <cfRule type="duplicateValues" dxfId="1921" priority="357"/>
    <cfRule type="duplicateValues" dxfId="1920" priority="358"/>
    <cfRule type="duplicateValues" dxfId="1919" priority="359"/>
  </conditionalFormatting>
  <conditionalFormatting sqref="L200">
    <cfRule type="duplicateValues" dxfId="1918" priority="355"/>
  </conditionalFormatting>
  <conditionalFormatting sqref="N231">
    <cfRule type="duplicateValues" dxfId="1917" priority="352"/>
  </conditionalFormatting>
  <conditionalFormatting sqref="N230">
    <cfRule type="duplicateValues" dxfId="1916" priority="351"/>
  </conditionalFormatting>
  <conditionalFormatting sqref="N232">
    <cfRule type="duplicateValues" dxfId="1915" priority="350"/>
  </conditionalFormatting>
  <conditionalFormatting sqref="N233">
    <cfRule type="duplicateValues" dxfId="1914" priority="349"/>
  </conditionalFormatting>
  <conditionalFormatting sqref="E201">
    <cfRule type="duplicateValues" dxfId="1913" priority="316"/>
  </conditionalFormatting>
  <conditionalFormatting sqref="K201">
    <cfRule type="duplicateValues" dxfId="1912" priority="323"/>
  </conditionalFormatting>
  <conditionalFormatting sqref="K201">
    <cfRule type="duplicateValues" dxfId="1911" priority="317"/>
  </conditionalFormatting>
  <conditionalFormatting sqref="M201">
    <cfRule type="duplicateValues" dxfId="1910" priority="319"/>
    <cfRule type="duplicateValues" dxfId="1909" priority="320"/>
    <cfRule type="duplicateValues" dxfId="1908" priority="321"/>
    <cfRule type="duplicateValues" dxfId="1907" priority="322"/>
  </conditionalFormatting>
  <conditionalFormatting sqref="L201">
    <cfRule type="duplicateValues" dxfId="1906" priority="318"/>
  </conditionalFormatting>
  <conditionalFormatting sqref="N201">
    <cfRule type="duplicateValues" dxfId="1905" priority="312"/>
    <cfRule type="duplicateValues" dxfId="1904" priority="313"/>
    <cfRule type="duplicateValues" dxfId="1903" priority="314"/>
    <cfRule type="duplicateValues" dxfId="1902" priority="315"/>
  </conditionalFormatting>
  <conditionalFormatting sqref="E202">
    <cfRule type="duplicateValues" dxfId="1901" priority="306"/>
  </conditionalFormatting>
  <conditionalFormatting sqref="K202">
    <cfRule type="duplicateValues" dxfId="1900" priority="305"/>
  </conditionalFormatting>
  <conditionalFormatting sqref="L202">
    <cfRule type="duplicateValues" dxfId="1899" priority="307"/>
  </conditionalFormatting>
  <conditionalFormatting sqref="M202:N202">
    <cfRule type="duplicateValues" dxfId="1898" priority="308"/>
    <cfRule type="duplicateValues" dxfId="1897" priority="309"/>
    <cfRule type="duplicateValues" dxfId="1896" priority="310"/>
    <cfRule type="duplicateValues" dxfId="1895" priority="311"/>
  </conditionalFormatting>
  <conditionalFormatting sqref="L211">
    <cfRule type="duplicateValues" dxfId="1894" priority="304"/>
  </conditionalFormatting>
  <conditionalFormatting sqref="E203">
    <cfRule type="duplicateValues" dxfId="1893" priority="297"/>
  </conditionalFormatting>
  <conditionalFormatting sqref="K203">
    <cfRule type="duplicateValues" dxfId="1892" priority="298"/>
  </conditionalFormatting>
  <conditionalFormatting sqref="L203:M203">
    <cfRule type="duplicateValues" dxfId="1891" priority="303"/>
  </conditionalFormatting>
  <conditionalFormatting sqref="N203">
    <cfRule type="duplicateValues" dxfId="1890" priority="299"/>
    <cfRule type="duplicateValues" dxfId="1889" priority="300"/>
    <cfRule type="duplicateValues" dxfId="1888" priority="301"/>
    <cfRule type="duplicateValues" dxfId="1887" priority="302"/>
  </conditionalFormatting>
  <conditionalFormatting sqref="E204">
    <cfRule type="duplicateValues" dxfId="1886" priority="290"/>
  </conditionalFormatting>
  <conditionalFormatting sqref="K204">
    <cfRule type="duplicateValues" dxfId="1885" priority="291"/>
  </conditionalFormatting>
  <conditionalFormatting sqref="L204">
    <cfRule type="duplicateValues" dxfId="1884" priority="292"/>
  </conditionalFormatting>
  <conditionalFormatting sqref="M204:N204">
    <cfRule type="duplicateValues" dxfId="1883" priority="293"/>
    <cfRule type="duplicateValues" dxfId="1882" priority="294"/>
    <cfRule type="duplicateValues" dxfId="1881" priority="295"/>
    <cfRule type="duplicateValues" dxfId="1880" priority="296"/>
  </conditionalFormatting>
  <conditionalFormatting sqref="P236">
    <cfRule type="duplicateValues" dxfId="1879" priority="283"/>
  </conditionalFormatting>
  <conditionalFormatting sqref="P238">
    <cfRule type="duplicateValues" dxfId="1878" priority="281"/>
  </conditionalFormatting>
  <conditionalFormatting sqref="P239">
    <cfRule type="duplicateValues" dxfId="1877" priority="280"/>
  </conditionalFormatting>
  <conditionalFormatting sqref="P240">
    <cfRule type="duplicateValues" dxfId="1876" priority="279"/>
  </conditionalFormatting>
  <conditionalFormatting sqref="P241">
    <cfRule type="duplicateValues" dxfId="1875" priority="278"/>
  </conditionalFormatting>
  <conditionalFormatting sqref="P242">
    <cfRule type="duplicateValues" dxfId="1874" priority="277"/>
  </conditionalFormatting>
  <conditionalFormatting sqref="P243">
    <cfRule type="duplicateValues" dxfId="1873" priority="276"/>
  </conditionalFormatting>
  <conditionalFormatting sqref="E205">
    <cfRule type="duplicateValues" dxfId="1872" priority="268"/>
  </conditionalFormatting>
  <conditionalFormatting sqref="K205">
    <cfRule type="duplicateValues" dxfId="1871" priority="275"/>
  </conditionalFormatting>
  <conditionalFormatting sqref="K205">
    <cfRule type="duplicateValues" dxfId="1870" priority="269"/>
  </conditionalFormatting>
  <conditionalFormatting sqref="L205">
    <cfRule type="duplicateValues" dxfId="1869" priority="271"/>
    <cfRule type="duplicateValues" dxfId="1868" priority="272"/>
    <cfRule type="duplicateValues" dxfId="1867" priority="273"/>
    <cfRule type="duplicateValues" dxfId="1866" priority="274"/>
  </conditionalFormatting>
  <conditionalFormatting sqref="M205:N205">
    <cfRule type="duplicateValues" dxfId="1865" priority="270"/>
  </conditionalFormatting>
  <conditionalFormatting sqref="K211">
    <cfRule type="duplicateValues" dxfId="1864" priority="267"/>
  </conditionalFormatting>
  <conditionalFormatting sqref="E206">
    <cfRule type="duplicateValues" dxfId="1863" priority="264"/>
  </conditionalFormatting>
  <conditionalFormatting sqref="K206">
    <cfRule type="duplicateValues" dxfId="1862" priority="266"/>
  </conditionalFormatting>
  <conditionalFormatting sqref="K206">
    <cfRule type="duplicateValues" dxfId="1861" priority="265"/>
  </conditionalFormatting>
  <conditionalFormatting sqref="L206:N206">
    <cfRule type="duplicateValues" dxfId="1860" priority="263"/>
  </conditionalFormatting>
  <conditionalFormatting sqref="K212">
    <cfRule type="duplicateValues" dxfId="1859" priority="262"/>
  </conditionalFormatting>
  <conditionalFormatting sqref="K213">
    <cfRule type="duplicateValues" dxfId="1858" priority="261"/>
  </conditionalFormatting>
  <conditionalFormatting sqref="E207">
    <cfRule type="duplicateValues" dxfId="1857" priority="240"/>
  </conditionalFormatting>
  <conditionalFormatting sqref="K207">
    <cfRule type="duplicateValues" dxfId="1856" priority="246"/>
  </conditionalFormatting>
  <conditionalFormatting sqref="K207">
    <cfRule type="duplicateValues" dxfId="1855" priority="241"/>
  </conditionalFormatting>
  <conditionalFormatting sqref="L207">
    <cfRule type="duplicateValues" dxfId="1854" priority="239"/>
  </conditionalFormatting>
  <conditionalFormatting sqref="M207:N207">
    <cfRule type="duplicateValues" dxfId="1853" priority="242"/>
    <cfRule type="duplicateValues" dxfId="1852" priority="243"/>
    <cfRule type="duplicateValues" dxfId="1851" priority="244"/>
    <cfRule type="duplicateValues" dxfId="1850" priority="245"/>
  </conditionalFormatting>
  <conditionalFormatting sqref="L212">
    <cfRule type="duplicateValues" dxfId="1849" priority="238"/>
  </conditionalFormatting>
  <conditionalFormatting sqref="L213">
    <cfRule type="duplicateValues" dxfId="1848" priority="237"/>
  </conditionalFormatting>
  <conditionalFormatting sqref="M212">
    <cfRule type="duplicateValues" dxfId="1847" priority="234"/>
  </conditionalFormatting>
  <conditionalFormatting sqref="M213">
    <cfRule type="duplicateValues" dxfId="1846" priority="233"/>
  </conditionalFormatting>
  <conditionalFormatting sqref="J212">
    <cfRule type="duplicateValues" dxfId="1845" priority="232"/>
  </conditionalFormatting>
  <conditionalFormatting sqref="E208:E210">
    <cfRule type="duplicateValues" dxfId="1844" priority="225"/>
  </conditionalFormatting>
  <conditionalFormatting sqref="K208:K210">
    <cfRule type="duplicateValues" dxfId="1843" priority="231"/>
  </conditionalFormatting>
  <conditionalFormatting sqref="L208:L210">
    <cfRule type="duplicateValues" dxfId="1842" priority="226"/>
  </conditionalFormatting>
  <conditionalFormatting sqref="M208:N210">
    <cfRule type="duplicateValues" dxfId="1841" priority="227"/>
    <cfRule type="duplicateValues" dxfId="1840" priority="228"/>
    <cfRule type="duplicateValues" dxfId="1839" priority="229"/>
    <cfRule type="duplicateValues" dxfId="1838" priority="230"/>
  </conditionalFormatting>
  <conditionalFormatting sqref="J213">
    <cfRule type="duplicateValues" dxfId="1837" priority="224"/>
  </conditionalFormatting>
  <conditionalFormatting sqref="I212">
    <cfRule type="duplicateValues" dxfId="1836" priority="221"/>
  </conditionalFormatting>
  <conditionalFormatting sqref="I213">
    <cfRule type="duplicateValues" dxfId="1835" priority="220"/>
  </conditionalFormatting>
  <conditionalFormatting sqref="Q230">
    <cfRule type="duplicateValues" dxfId="1834" priority="201"/>
  </conditionalFormatting>
  <conditionalFormatting sqref="Q231">
    <cfRule type="duplicateValues" dxfId="1833" priority="200"/>
  </conditionalFormatting>
  <conditionalFormatting sqref="Q232">
    <cfRule type="duplicateValues" dxfId="1832" priority="199"/>
  </conditionalFormatting>
  <conditionalFormatting sqref="Q233">
    <cfRule type="duplicateValues" dxfId="1831" priority="198"/>
  </conditionalFormatting>
  <conditionalFormatting sqref="Q234">
    <cfRule type="duplicateValues" dxfId="1830" priority="197"/>
  </conditionalFormatting>
  <conditionalFormatting sqref="Q235">
    <cfRule type="duplicateValues" dxfId="1829" priority="196"/>
  </conditionalFormatting>
  <conditionalFormatting sqref="Q236">
    <cfRule type="duplicateValues" dxfId="1828" priority="195"/>
  </conditionalFormatting>
  <conditionalFormatting sqref="Q237">
    <cfRule type="duplicateValues" dxfId="1827" priority="194"/>
  </conditionalFormatting>
  <conditionalFormatting sqref="Q238">
    <cfRule type="duplicateValues" dxfId="1826" priority="193"/>
  </conditionalFormatting>
  <conditionalFormatting sqref="Q239">
    <cfRule type="duplicateValues" dxfId="1825" priority="192"/>
  </conditionalFormatting>
  <conditionalFormatting sqref="Q240">
    <cfRule type="duplicateValues" dxfId="1824" priority="191"/>
  </conditionalFormatting>
  <conditionalFormatting sqref="Q241">
    <cfRule type="duplicateValues" dxfId="1823" priority="190"/>
  </conditionalFormatting>
  <conditionalFormatting sqref="Q242">
    <cfRule type="duplicateValues" dxfId="1822" priority="189"/>
  </conditionalFormatting>
  <conditionalFormatting sqref="Q243">
    <cfRule type="duplicateValues" dxfId="1821" priority="188"/>
  </conditionalFormatting>
  <conditionalFormatting sqref="Q244">
    <cfRule type="duplicateValues" dxfId="1820" priority="187"/>
  </conditionalFormatting>
  <conditionalFormatting sqref="Q245">
    <cfRule type="duplicateValues" dxfId="1819" priority="186"/>
  </conditionalFormatting>
  <conditionalFormatting sqref="Q246">
    <cfRule type="duplicateValues" dxfId="1818" priority="185"/>
  </conditionalFormatting>
  <conditionalFormatting sqref="M6">
    <cfRule type="duplicateValues" dxfId="1817" priority="771"/>
  </conditionalFormatting>
  <conditionalFormatting sqref="M138">
    <cfRule type="duplicateValues" dxfId="1816" priority="178"/>
  </conditionalFormatting>
  <conditionalFormatting sqref="M138">
    <cfRule type="duplicateValues" dxfId="1815" priority="179"/>
  </conditionalFormatting>
  <conditionalFormatting sqref="N138">
    <cfRule type="duplicateValues" dxfId="1814" priority="177"/>
  </conditionalFormatting>
  <conditionalFormatting sqref="N145">
    <cfRule type="duplicateValues" dxfId="1813" priority="176"/>
  </conditionalFormatting>
  <conditionalFormatting sqref="N159">
    <cfRule type="duplicateValues" dxfId="1812" priority="175"/>
  </conditionalFormatting>
  <conditionalFormatting sqref="N77">
    <cfRule type="duplicateValues" dxfId="1811" priority="174"/>
  </conditionalFormatting>
  <conditionalFormatting sqref="R230">
    <cfRule type="duplicateValues" dxfId="1810" priority="173"/>
  </conditionalFormatting>
  <conditionalFormatting sqref="R231">
    <cfRule type="duplicateValues" dxfId="1809" priority="172"/>
  </conditionalFormatting>
  <conditionalFormatting sqref="R232">
    <cfRule type="duplicateValues" dxfId="1808" priority="171"/>
  </conditionalFormatting>
  <conditionalFormatting sqref="R233">
    <cfRule type="duplicateValues" dxfId="1807" priority="170"/>
  </conditionalFormatting>
  <conditionalFormatting sqref="R234">
    <cfRule type="duplicateValues" dxfId="1806" priority="169"/>
  </conditionalFormatting>
  <conditionalFormatting sqref="R235">
    <cfRule type="duplicateValues" dxfId="1805" priority="168"/>
  </conditionalFormatting>
  <conditionalFormatting sqref="R236">
    <cfRule type="duplicateValues" dxfId="1804" priority="167"/>
  </conditionalFormatting>
  <conditionalFormatting sqref="R237">
    <cfRule type="duplicateValues" dxfId="1803" priority="166"/>
  </conditionalFormatting>
  <conditionalFormatting sqref="R238">
    <cfRule type="duplicateValues" dxfId="1802" priority="165"/>
  </conditionalFormatting>
  <conditionalFormatting sqref="R239">
    <cfRule type="duplicateValues" dxfId="1801" priority="164"/>
  </conditionalFormatting>
  <conditionalFormatting sqref="R240">
    <cfRule type="duplicateValues" dxfId="1800" priority="163"/>
  </conditionalFormatting>
  <conditionalFormatting sqref="R241">
    <cfRule type="duplicateValues" dxfId="1799" priority="162"/>
  </conditionalFormatting>
  <conditionalFormatting sqref="R242">
    <cfRule type="duplicateValues" dxfId="1798" priority="161"/>
  </conditionalFormatting>
  <conditionalFormatting sqref="R243">
    <cfRule type="duplicateValues" dxfId="1797" priority="160"/>
  </conditionalFormatting>
  <conditionalFormatting sqref="R244">
    <cfRule type="duplicateValues" dxfId="1796" priority="159"/>
  </conditionalFormatting>
  <conditionalFormatting sqref="R245">
    <cfRule type="duplicateValues" dxfId="1795" priority="158"/>
  </conditionalFormatting>
  <conditionalFormatting sqref="R246">
    <cfRule type="duplicateValues" dxfId="1794" priority="157"/>
  </conditionalFormatting>
  <conditionalFormatting sqref="L235">
    <cfRule type="duplicateValues" dxfId="1793" priority="148"/>
  </conditionalFormatting>
  <conditionalFormatting sqref="L237">
    <cfRule type="duplicateValues" dxfId="1792" priority="147"/>
  </conditionalFormatting>
  <conditionalFormatting sqref="L238">
    <cfRule type="duplicateValues" dxfId="1791" priority="146"/>
  </conditionalFormatting>
  <conditionalFormatting sqref="M235">
    <cfRule type="duplicateValues" dxfId="1790" priority="145"/>
  </conditionalFormatting>
  <conditionalFormatting sqref="M236">
    <cfRule type="duplicateValues" dxfId="1789" priority="144"/>
  </conditionalFormatting>
  <conditionalFormatting sqref="M237">
    <cfRule type="duplicateValues" dxfId="1788" priority="143"/>
  </conditionalFormatting>
  <conditionalFormatting sqref="M238">
    <cfRule type="duplicateValues" dxfId="1787" priority="142"/>
  </conditionalFormatting>
  <conditionalFormatting sqref="M238">
    <cfRule type="duplicateValues" dxfId="1786" priority="141"/>
  </conditionalFormatting>
  <conditionalFormatting sqref="M239">
    <cfRule type="duplicateValues" dxfId="1785" priority="140"/>
  </conditionalFormatting>
  <conditionalFormatting sqref="P230">
    <cfRule type="duplicateValues" dxfId="1784" priority="139"/>
  </conditionalFormatting>
  <conditionalFormatting sqref="P231">
    <cfRule type="duplicateValues" dxfId="1783" priority="138"/>
  </conditionalFormatting>
  <conditionalFormatting sqref="P232">
    <cfRule type="duplicateValues" dxfId="1782" priority="137"/>
  </conditionalFormatting>
  <conditionalFormatting sqref="P233">
    <cfRule type="duplicateValues" dxfId="1781" priority="136"/>
  </conditionalFormatting>
  <conditionalFormatting sqref="P234 P237">
    <cfRule type="duplicateValues" dxfId="1780" priority="4404"/>
  </conditionalFormatting>
  <conditionalFormatting sqref="P235">
    <cfRule type="duplicateValues" dxfId="1779" priority="135"/>
  </conditionalFormatting>
  <conditionalFormatting sqref="M24">
    <cfRule type="duplicateValues" dxfId="1778" priority="133"/>
    <cfRule type="duplicateValues" dxfId="1777" priority="134"/>
  </conditionalFormatting>
  <conditionalFormatting sqref="N24">
    <cfRule type="duplicateValues" dxfId="1776" priority="132"/>
  </conditionalFormatting>
  <conditionalFormatting sqref="M18 M14 M12 M8 M6 M10 M16">
    <cfRule type="duplicateValues" dxfId="1775" priority="4411"/>
  </conditionalFormatting>
  <conditionalFormatting sqref="K232">
    <cfRule type="duplicateValues" dxfId="1774" priority="131"/>
  </conditionalFormatting>
  <conditionalFormatting sqref="K230">
    <cfRule type="duplicateValues" dxfId="1773" priority="130"/>
  </conditionalFormatting>
  <conditionalFormatting sqref="E190">
    <cfRule type="duplicateValues" dxfId="1772" priority="4412"/>
  </conditionalFormatting>
  <conditionalFormatting sqref="K190">
    <cfRule type="duplicateValues" dxfId="1771" priority="4413"/>
  </conditionalFormatting>
  <conditionalFormatting sqref="K190">
    <cfRule type="duplicateValues" dxfId="1770" priority="4414"/>
  </conditionalFormatting>
  <conditionalFormatting sqref="M190:N190">
    <cfRule type="duplicateValues" dxfId="1769" priority="4415"/>
    <cfRule type="duplicateValues" dxfId="1768" priority="4416"/>
    <cfRule type="duplicateValues" dxfId="1767" priority="4417"/>
    <cfRule type="duplicateValues" dxfId="1766" priority="4418"/>
  </conditionalFormatting>
  <conditionalFormatting sqref="L190">
    <cfRule type="duplicateValues" dxfId="1765" priority="4419"/>
  </conditionalFormatting>
  <conditionalFormatting sqref="M234">
    <cfRule type="duplicateValues" dxfId="1764" priority="106"/>
  </conditionalFormatting>
  <conditionalFormatting sqref="E216">
    <cfRule type="duplicateValues" dxfId="1763" priority="84"/>
  </conditionalFormatting>
  <conditionalFormatting sqref="M216:M217">
    <cfRule type="duplicateValues" dxfId="1762" priority="85"/>
    <cfRule type="duplicateValues" dxfId="1761" priority="86"/>
    <cfRule type="duplicateValues" dxfId="1760" priority="87"/>
    <cfRule type="duplicateValues" dxfId="1759" priority="88"/>
  </conditionalFormatting>
  <conditionalFormatting sqref="E219">
    <cfRule type="duplicateValues" dxfId="1758" priority="78"/>
  </conditionalFormatting>
  <conditionalFormatting sqref="K219">
    <cfRule type="duplicateValues" dxfId="1757" priority="77"/>
  </conditionalFormatting>
  <conditionalFormatting sqref="K220">
    <cfRule type="duplicateValues" dxfId="1756" priority="71"/>
  </conditionalFormatting>
  <conditionalFormatting sqref="L220">
    <cfRule type="duplicateValues" dxfId="1755" priority="72"/>
  </conditionalFormatting>
  <conditionalFormatting sqref="M219:N219">
    <cfRule type="duplicateValues" dxfId="1754" priority="80"/>
    <cfRule type="duplicateValues" dxfId="1753" priority="81"/>
    <cfRule type="duplicateValues" dxfId="1752" priority="82"/>
    <cfRule type="duplicateValues" dxfId="1751" priority="83"/>
  </conditionalFormatting>
  <conditionalFormatting sqref="M220:N220">
    <cfRule type="duplicateValues" dxfId="1750" priority="73"/>
    <cfRule type="duplicateValues" dxfId="1749" priority="74"/>
    <cfRule type="duplicateValues" dxfId="1748" priority="75"/>
    <cfRule type="duplicateValues" dxfId="1747" priority="76"/>
  </conditionalFormatting>
  <conditionalFormatting sqref="L219">
    <cfRule type="duplicateValues" dxfId="1746" priority="79"/>
  </conditionalFormatting>
  <conditionalFormatting sqref="K216">
    <cfRule type="duplicateValues" dxfId="1745" priority="70"/>
  </conditionalFormatting>
  <conditionalFormatting sqref="L216">
    <cfRule type="duplicateValues" dxfId="1744" priority="69"/>
  </conditionalFormatting>
  <conditionalFormatting sqref="L217">
    <cfRule type="duplicateValues" dxfId="1743" priority="68"/>
  </conditionalFormatting>
  <conditionalFormatting sqref="J216">
    <cfRule type="duplicateValues" dxfId="1742" priority="67"/>
  </conditionalFormatting>
  <conditionalFormatting sqref="J217">
    <cfRule type="duplicateValues" dxfId="1741" priority="66"/>
  </conditionalFormatting>
  <conditionalFormatting sqref="E215">
    <cfRule type="duplicateValues" dxfId="1740" priority="61"/>
  </conditionalFormatting>
  <conditionalFormatting sqref="M215">
    <cfRule type="duplicateValues" dxfId="1739" priority="62"/>
    <cfRule type="duplicateValues" dxfId="1738" priority="63"/>
    <cfRule type="duplicateValues" dxfId="1737" priority="64"/>
    <cfRule type="duplicateValues" dxfId="1736" priority="65"/>
  </conditionalFormatting>
  <conditionalFormatting sqref="K215">
    <cfRule type="duplicateValues" dxfId="1735" priority="60"/>
  </conditionalFormatting>
  <conditionalFormatting sqref="L215">
    <cfRule type="duplicateValues" dxfId="1734" priority="59"/>
  </conditionalFormatting>
  <conditionalFormatting sqref="J215">
    <cfRule type="duplicateValues" dxfId="1733" priority="58"/>
  </conditionalFormatting>
  <conditionalFormatting sqref="E218">
    <cfRule type="duplicateValues" dxfId="1732" priority="52"/>
  </conditionalFormatting>
  <conditionalFormatting sqref="K218">
    <cfRule type="duplicateValues" dxfId="1731" priority="51"/>
  </conditionalFormatting>
  <conditionalFormatting sqref="L218">
    <cfRule type="duplicateValues" dxfId="1730" priority="53"/>
  </conditionalFormatting>
  <conditionalFormatting sqref="M218:N218">
    <cfRule type="duplicateValues" dxfId="1729" priority="54"/>
    <cfRule type="duplicateValues" dxfId="1728" priority="55"/>
    <cfRule type="duplicateValues" dxfId="1727" priority="56"/>
    <cfRule type="duplicateValues" dxfId="1726" priority="57"/>
  </conditionalFormatting>
  <conditionalFormatting sqref="E217">
    <cfRule type="duplicateValues" dxfId="1725" priority="50"/>
  </conditionalFormatting>
  <conditionalFormatting sqref="K217">
    <cfRule type="duplicateValues" dxfId="1724" priority="49"/>
  </conditionalFormatting>
  <conditionalFormatting sqref="E214">
    <cfRule type="duplicateValues" dxfId="1723" priority="41"/>
  </conditionalFormatting>
  <conditionalFormatting sqref="K214">
    <cfRule type="duplicateValues" dxfId="1722" priority="48"/>
  </conditionalFormatting>
  <conditionalFormatting sqref="K214">
    <cfRule type="duplicateValues" dxfId="1721" priority="42"/>
  </conditionalFormatting>
  <conditionalFormatting sqref="M214:N214">
    <cfRule type="duplicateValues" dxfId="1720" priority="44"/>
    <cfRule type="duplicateValues" dxfId="1719" priority="45"/>
    <cfRule type="duplicateValues" dxfId="1718" priority="46"/>
    <cfRule type="duplicateValues" dxfId="1717" priority="47"/>
  </conditionalFormatting>
  <conditionalFormatting sqref="L214">
    <cfRule type="duplicateValues" dxfId="1716" priority="43"/>
  </conditionalFormatting>
  <conditionalFormatting sqref="E221">
    <cfRule type="duplicateValues" dxfId="1715" priority="35"/>
  </conditionalFormatting>
  <conditionalFormatting sqref="K221">
    <cfRule type="duplicateValues" dxfId="1714" priority="34"/>
  </conditionalFormatting>
  <conditionalFormatting sqref="L221">
    <cfRule type="duplicateValues" dxfId="1713" priority="36"/>
  </conditionalFormatting>
  <conditionalFormatting sqref="M221:N221">
    <cfRule type="duplicateValues" dxfId="1712" priority="37"/>
    <cfRule type="duplicateValues" dxfId="1711" priority="38"/>
    <cfRule type="duplicateValues" dxfId="1710" priority="39"/>
    <cfRule type="duplicateValues" dxfId="1709" priority="40"/>
  </conditionalFormatting>
  <conditionalFormatting sqref="E222">
    <cfRule type="duplicateValues" dxfId="1708" priority="26"/>
  </conditionalFormatting>
  <conditionalFormatting sqref="K222">
    <cfRule type="duplicateValues" dxfId="1707" priority="33"/>
  </conditionalFormatting>
  <conditionalFormatting sqref="K222">
    <cfRule type="duplicateValues" dxfId="1706" priority="27"/>
  </conditionalFormatting>
  <conditionalFormatting sqref="L222">
    <cfRule type="duplicateValues" dxfId="1705" priority="29"/>
    <cfRule type="duplicateValues" dxfId="1704" priority="30"/>
    <cfRule type="duplicateValues" dxfId="1703" priority="31"/>
    <cfRule type="duplicateValues" dxfId="1702" priority="32"/>
  </conditionalFormatting>
  <conditionalFormatting sqref="M222:N222">
    <cfRule type="duplicateValues" dxfId="1701" priority="28"/>
  </conditionalFormatting>
  <conditionalFormatting sqref="E223">
    <cfRule type="duplicateValues" dxfId="1700" priority="18"/>
  </conditionalFormatting>
  <conditionalFormatting sqref="K223">
    <cfRule type="duplicateValues" dxfId="1699" priority="25"/>
  </conditionalFormatting>
  <conditionalFormatting sqref="K223">
    <cfRule type="duplicateValues" dxfId="1698" priority="19"/>
  </conditionalFormatting>
  <conditionalFormatting sqref="M223:N223">
    <cfRule type="duplicateValues" dxfId="1697" priority="21"/>
    <cfRule type="duplicateValues" dxfId="1696" priority="22"/>
    <cfRule type="duplicateValues" dxfId="1695" priority="23"/>
    <cfRule type="duplicateValues" dxfId="1694" priority="24"/>
  </conditionalFormatting>
  <conditionalFormatting sqref="L223">
    <cfRule type="duplicateValues" dxfId="1693" priority="20"/>
  </conditionalFormatting>
  <conditionalFormatting sqref="E224">
    <cfRule type="duplicateValues" dxfId="1692" priority="11"/>
  </conditionalFormatting>
  <conditionalFormatting sqref="K224">
    <cfRule type="duplicateValues" dxfId="1691" priority="17"/>
  </conditionalFormatting>
  <conditionalFormatting sqref="L224">
    <cfRule type="duplicateValues" dxfId="1690" priority="13"/>
    <cfRule type="duplicateValues" dxfId="1689" priority="14"/>
    <cfRule type="duplicateValues" dxfId="1688" priority="15"/>
    <cfRule type="duplicateValues" dxfId="1687" priority="16"/>
  </conditionalFormatting>
  <conditionalFormatting sqref="M224:N224">
    <cfRule type="duplicateValues" dxfId="1686" priority="12"/>
  </conditionalFormatting>
  <conditionalFormatting sqref="E225">
    <cfRule type="duplicateValues" dxfId="1685" priority="1"/>
  </conditionalFormatting>
  <conditionalFormatting sqref="K225">
    <cfRule type="duplicateValues" dxfId="1684" priority="2"/>
  </conditionalFormatting>
  <conditionalFormatting sqref="L225">
    <cfRule type="duplicateValues" dxfId="1683" priority="3"/>
    <cfRule type="duplicateValues" dxfId="1682" priority="4"/>
    <cfRule type="duplicateValues" dxfId="1681" priority="5"/>
    <cfRule type="duplicateValues" dxfId="1680" priority="6"/>
  </conditionalFormatting>
  <conditionalFormatting sqref="M225:N225">
    <cfRule type="duplicateValues" dxfId="1679" priority="7"/>
    <cfRule type="duplicateValues" dxfId="1678" priority="8"/>
    <cfRule type="duplicateValues" dxfId="1677" priority="9"/>
    <cfRule type="duplicateValues" dxfId="1676" priority="10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3"/>
  <sheetViews>
    <sheetView rightToLeft="1" zoomScale="85" zoomScaleNormal="85" workbookViewId="0">
      <selection activeCell="A18" sqref="A18:XFD18"/>
    </sheetView>
  </sheetViews>
  <sheetFormatPr defaultRowHeight="15"/>
  <cols>
    <col min="4" max="4" width="11.85546875" customWidth="1"/>
    <col min="5" max="5" width="15.85546875" customWidth="1"/>
    <col min="7" max="7" width="18.5703125" customWidth="1"/>
    <col min="8" max="8" width="15.42578125" customWidth="1"/>
    <col min="9" max="9" width="20.42578125" customWidth="1"/>
    <col min="11" max="11" width="24.5703125" customWidth="1"/>
    <col min="12" max="12" width="19" customWidth="1"/>
    <col min="13" max="13" width="44.28515625" customWidth="1"/>
    <col min="14" max="14" width="68.42578125" customWidth="1"/>
    <col min="16" max="16" width="20" customWidth="1"/>
    <col min="18" max="18" width="24.85546875" customWidth="1"/>
    <col min="19" max="19" width="19.5703125" customWidth="1"/>
    <col min="20" max="20" width="23.85546875" customWidth="1"/>
    <col min="21" max="21" width="21.5703125" customWidth="1"/>
    <col min="22" max="22" width="15.42578125" customWidth="1"/>
    <col min="23" max="23" width="23.85546875" customWidth="1"/>
    <col min="24" max="24" width="36.5703125" customWidth="1"/>
    <col min="25" max="25" width="19.140625" customWidth="1"/>
    <col min="26" max="26" width="23.28515625" customWidth="1"/>
    <col min="27" max="27" width="15.7109375" customWidth="1"/>
  </cols>
  <sheetData>
    <row r="1" spans="1:27" s="12" customForma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7" t="s">
        <v>8</v>
      </c>
      <c r="J1" s="3" t="s">
        <v>196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8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37" t="s">
        <v>22</v>
      </c>
      <c r="Y1" s="39" t="s">
        <v>23</v>
      </c>
      <c r="Z1" s="39" t="s">
        <v>24</v>
      </c>
      <c r="AA1" s="34" t="s">
        <v>89</v>
      </c>
    </row>
    <row r="2" spans="1:27" s="12" customFormat="1" ht="15.75" customHeight="1">
      <c r="A2" s="1452">
        <v>1</v>
      </c>
      <c r="B2" s="1581">
        <v>355</v>
      </c>
      <c r="C2" s="1452" t="s">
        <v>331</v>
      </c>
      <c r="D2" s="1452" t="s">
        <v>332</v>
      </c>
      <c r="E2" s="1452" t="s">
        <v>333</v>
      </c>
      <c r="F2" s="1452" t="s">
        <v>334</v>
      </c>
      <c r="G2" s="800">
        <v>527199</v>
      </c>
      <c r="H2" s="4" t="s">
        <v>335</v>
      </c>
      <c r="I2" s="796" t="s">
        <v>168</v>
      </c>
      <c r="J2" s="799" t="s">
        <v>205</v>
      </c>
      <c r="K2" s="1452" t="s">
        <v>15726</v>
      </c>
      <c r="L2" s="1452" t="s">
        <v>15727</v>
      </c>
      <c r="M2" s="796" t="s">
        <v>336</v>
      </c>
      <c r="N2" s="796" t="s">
        <v>362</v>
      </c>
      <c r="O2" s="798" t="s">
        <v>43</v>
      </c>
      <c r="P2" s="1482" t="s">
        <v>2819</v>
      </c>
      <c r="Q2" s="6" t="s">
        <v>43</v>
      </c>
      <c r="R2" s="26" t="s">
        <v>68</v>
      </c>
      <c r="S2" s="6" t="s">
        <v>43</v>
      </c>
      <c r="T2" s="6" t="s">
        <v>43</v>
      </c>
      <c r="U2" s="6" t="s">
        <v>43</v>
      </c>
      <c r="V2" s="6" t="s">
        <v>43</v>
      </c>
      <c r="W2" s="6" t="s">
        <v>43</v>
      </c>
      <c r="X2" s="21" t="s">
        <v>170</v>
      </c>
      <c r="Y2" s="1577" t="s">
        <v>202</v>
      </c>
      <c r="Z2" s="1577" t="s">
        <v>65</v>
      </c>
      <c r="AA2" s="320">
        <v>4480000</v>
      </c>
    </row>
    <row r="3" spans="1:27" s="12" customFormat="1" ht="15.75" customHeight="1">
      <c r="A3" s="1452"/>
      <c r="B3" s="1581"/>
      <c r="C3" s="1452"/>
      <c r="D3" s="1452"/>
      <c r="E3" s="1452"/>
      <c r="F3" s="1452"/>
      <c r="G3" s="800">
        <v>94018226591</v>
      </c>
      <c r="H3" s="30" t="s">
        <v>195</v>
      </c>
      <c r="I3" s="796" t="s">
        <v>168</v>
      </c>
      <c r="J3" s="799" t="s">
        <v>199</v>
      </c>
      <c r="K3" s="1452"/>
      <c r="L3" s="1452"/>
      <c r="M3" s="796" t="s">
        <v>337</v>
      </c>
      <c r="N3" s="796" t="s">
        <v>363</v>
      </c>
      <c r="O3" s="798" t="s">
        <v>43</v>
      </c>
      <c r="P3" s="1483"/>
      <c r="Q3" s="6" t="s">
        <v>43</v>
      </c>
      <c r="R3" s="26" t="s">
        <v>255</v>
      </c>
      <c r="S3" s="6" t="s">
        <v>43</v>
      </c>
      <c r="T3" s="6" t="s">
        <v>43</v>
      </c>
      <c r="U3" s="6" t="s">
        <v>43</v>
      </c>
      <c r="V3" s="6" t="s">
        <v>43</v>
      </c>
      <c r="W3" s="26" t="s">
        <v>343</v>
      </c>
      <c r="X3" s="21" t="s">
        <v>170</v>
      </c>
      <c r="Y3" s="1577"/>
      <c r="Z3" s="1577"/>
      <c r="AA3" s="320">
        <v>20800000</v>
      </c>
    </row>
    <row r="4" spans="1:27" s="12" customFormat="1" ht="19.5" customHeight="1">
      <c r="A4" s="1452">
        <v>2</v>
      </c>
      <c r="B4" s="1581">
        <v>399</v>
      </c>
      <c r="C4" s="1452"/>
      <c r="D4" s="1452" t="s">
        <v>339</v>
      </c>
      <c r="E4" s="1452" t="s">
        <v>339</v>
      </c>
      <c r="F4" s="1452"/>
      <c r="G4" s="28" t="s">
        <v>11857</v>
      </c>
      <c r="H4" s="4" t="s">
        <v>335</v>
      </c>
      <c r="I4" s="796" t="s">
        <v>168</v>
      </c>
      <c r="J4" s="799" t="s">
        <v>199</v>
      </c>
      <c r="K4" s="1452" t="s">
        <v>15702</v>
      </c>
      <c r="L4" s="1452" t="s">
        <v>15703</v>
      </c>
      <c r="M4" s="797" t="s">
        <v>340</v>
      </c>
      <c r="N4" s="797" t="s">
        <v>341</v>
      </c>
      <c r="O4" s="798" t="s">
        <v>43</v>
      </c>
      <c r="P4" s="1482" t="s">
        <v>2820</v>
      </c>
      <c r="Q4" s="6" t="s">
        <v>43</v>
      </c>
      <c r="R4" s="26" t="s">
        <v>365</v>
      </c>
      <c r="S4" s="6" t="s">
        <v>43</v>
      </c>
      <c r="T4" s="6" t="s">
        <v>43</v>
      </c>
      <c r="U4" s="6" t="s">
        <v>43</v>
      </c>
      <c r="V4" s="6" t="s">
        <v>43</v>
      </c>
      <c r="W4" s="26" t="s">
        <v>366</v>
      </c>
      <c r="X4" s="21" t="s">
        <v>170</v>
      </c>
      <c r="Y4" s="1577" t="s">
        <v>202</v>
      </c>
      <c r="Z4" s="1577" t="s">
        <v>65</v>
      </c>
      <c r="AA4" s="320">
        <v>8960000</v>
      </c>
    </row>
    <row r="5" spans="1:27" s="12" customFormat="1" ht="15.75" customHeight="1">
      <c r="A5" s="1452"/>
      <c r="B5" s="1581"/>
      <c r="C5" s="1452"/>
      <c r="D5" s="1452"/>
      <c r="E5" s="1452"/>
      <c r="F5" s="1452"/>
      <c r="G5" s="28">
        <v>851159</v>
      </c>
      <c r="H5" s="30" t="s">
        <v>195</v>
      </c>
      <c r="I5" s="796" t="s">
        <v>168</v>
      </c>
      <c r="J5" s="799" t="s">
        <v>199</v>
      </c>
      <c r="K5" s="1452"/>
      <c r="L5" s="1452"/>
      <c r="M5" s="797" t="s">
        <v>342</v>
      </c>
      <c r="N5" s="796" t="s">
        <v>364</v>
      </c>
      <c r="O5" s="798" t="s">
        <v>43</v>
      </c>
      <c r="P5" s="1483"/>
      <c r="Q5" s="6" t="s">
        <v>43</v>
      </c>
      <c r="R5" s="26" t="s">
        <v>246</v>
      </c>
      <c r="S5" s="6" t="s">
        <v>43</v>
      </c>
      <c r="T5" s="6" t="s">
        <v>43</v>
      </c>
      <c r="U5" s="6" t="s">
        <v>43</v>
      </c>
      <c r="V5" s="6" t="s">
        <v>43</v>
      </c>
      <c r="W5" s="26" t="s">
        <v>343</v>
      </c>
      <c r="X5" s="21" t="s">
        <v>170</v>
      </c>
      <c r="Y5" s="1577"/>
      <c r="Z5" s="1577"/>
      <c r="AA5" s="320">
        <v>20800000</v>
      </c>
    </row>
    <row r="6" spans="1:27" s="12" customFormat="1" ht="15.75" customHeight="1">
      <c r="A6" s="1452">
        <v>3</v>
      </c>
      <c r="B6" s="1582">
        <v>484</v>
      </c>
      <c r="C6" s="1452"/>
      <c r="D6" s="1546" t="s">
        <v>332</v>
      </c>
      <c r="E6" s="1546" t="s">
        <v>344</v>
      </c>
      <c r="F6" s="1452"/>
      <c r="G6" s="28">
        <v>542945</v>
      </c>
      <c r="H6" s="4" t="s">
        <v>335</v>
      </c>
      <c r="I6" s="796" t="s">
        <v>168</v>
      </c>
      <c r="J6" s="799" t="s">
        <v>205</v>
      </c>
      <c r="K6" s="1546" t="s">
        <v>15391</v>
      </c>
      <c r="L6" s="1546" t="s">
        <v>15392</v>
      </c>
      <c r="M6" s="796" t="s">
        <v>345</v>
      </c>
      <c r="N6" s="796" t="s">
        <v>346</v>
      </c>
      <c r="O6" s="798" t="s">
        <v>43</v>
      </c>
      <c r="P6" s="1396" t="s">
        <v>2821</v>
      </c>
      <c r="Q6" s="6" t="s">
        <v>43</v>
      </c>
      <c r="R6" s="26" t="s">
        <v>68</v>
      </c>
      <c r="S6" s="6" t="s">
        <v>43</v>
      </c>
      <c r="T6" s="6" t="s">
        <v>43</v>
      </c>
      <c r="U6" s="6" t="s">
        <v>43</v>
      </c>
      <c r="V6" s="6" t="s">
        <v>43</v>
      </c>
      <c r="W6" s="6" t="s">
        <v>43</v>
      </c>
      <c r="X6" s="21" t="s">
        <v>170</v>
      </c>
      <c r="Y6" s="1577" t="s">
        <v>202</v>
      </c>
      <c r="Z6" s="1577" t="s">
        <v>65</v>
      </c>
      <c r="AA6" s="320">
        <v>4480000</v>
      </c>
    </row>
    <row r="7" spans="1:27" s="12" customFormat="1" ht="15.75" customHeight="1">
      <c r="A7" s="1452"/>
      <c r="B7" s="1582"/>
      <c r="C7" s="1452"/>
      <c r="D7" s="1546"/>
      <c r="E7" s="1546"/>
      <c r="F7" s="1452"/>
      <c r="G7" s="28" t="s">
        <v>347</v>
      </c>
      <c r="H7" s="30" t="s">
        <v>195</v>
      </c>
      <c r="I7" s="796" t="s">
        <v>168</v>
      </c>
      <c r="J7" s="799" t="s">
        <v>199</v>
      </c>
      <c r="K7" s="1546"/>
      <c r="L7" s="1546"/>
      <c r="M7" s="797" t="s">
        <v>348</v>
      </c>
      <c r="N7" s="796" t="s">
        <v>367</v>
      </c>
      <c r="O7" s="798" t="s">
        <v>43</v>
      </c>
      <c r="P7" s="1397"/>
      <c r="Q7" s="6" t="s">
        <v>43</v>
      </c>
      <c r="R7" s="26" t="s">
        <v>349</v>
      </c>
      <c r="S7" s="6" t="s">
        <v>43</v>
      </c>
      <c r="T7" s="6" t="s">
        <v>43</v>
      </c>
      <c r="U7" s="6" t="s">
        <v>43</v>
      </c>
      <c r="V7" s="6" t="s">
        <v>43</v>
      </c>
      <c r="W7" s="6" t="s">
        <v>43</v>
      </c>
      <c r="X7" s="21" t="s">
        <v>170</v>
      </c>
      <c r="Y7" s="1577"/>
      <c r="Z7" s="1577"/>
      <c r="AA7" s="320">
        <v>20800000</v>
      </c>
    </row>
    <row r="8" spans="1:27" s="12" customFormat="1" ht="15.75" customHeight="1">
      <c r="A8" s="1452">
        <v>4</v>
      </c>
      <c r="B8" s="1582">
        <v>505</v>
      </c>
      <c r="C8" s="1452"/>
      <c r="D8" s="1546" t="s">
        <v>332</v>
      </c>
      <c r="E8" s="1546" t="s">
        <v>350</v>
      </c>
      <c r="F8" s="1452"/>
      <c r="G8" s="28">
        <v>548993</v>
      </c>
      <c r="H8" s="4" t="s">
        <v>335</v>
      </c>
      <c r="I8" s="796" t="s">
        <v>108</v>
      </c>
      <c r="J8" s="799" t="s">
        <v>205</v>
      </c>
      <c r="K8" s="1452" t="s">
        <v>15186</v>
      </c>
      <c r="L8" s="1452" t="s">
        <v>15187</v>
      </c>
      <c r="M8" s="797" t="s">
        <v>351</v>
      </c>
      <c r="N8" s="797" t="s">
        <v>352</v>
      </c>
      <c r="O8" s="798" t="s">
        <v>43</v>
      </c>
      <c r="P8" s="1482" t="s">
        <v>2822</v>
      </c>
      <c r="Q8" s="6" t="s">
        <v>43</v>
      </c>
      <c r="R8" s="26" t="s">
        <v>368</v>
      </c>
      <c r="S8" s="6" t="s">
        <v>43</v>
      </c>
      <c r="T8" s="6" t="s">
        <v>43</v>
      </c>
      <c r="U8" s="6" t="s">
        <v>43</v>
      </c>
      <c r="V8" s="6" t="s">
        <v>43</v>
      </c>
      <c r="W8" s="26" t="s">
        <v>370</v>
      </c>
      <c r="X8" s="21" t="s">
        <v>170</v>
      </c>
      <c r="Y8" s="1577" t="s">
        <v>202</v>
      </c>
      <c r="Z8" s="1577" t="s">
        <v>65</v>
      </c>
      <c r="AA8" s="320">
        <v>4480000</v>
      </c>
    </row>
    <row r="9" spans="1:27" s="12" customFormat="1" ht="15.75" customHeight="1">
      <c r="A9" s="1452"/>
      <c r="B9" s="1582"/>
      <c r="C9" s="1452"/>
      <c r="D9" s="1546"/>
      <c r="E9" s="1546"/>
      <c r="F9" s="1452"/>
      <c r="G9" s="28" t="s">
        <v>353</v>
      </c>
      <c r="H9" s="30" t="s">
        <v>195</v>
      </c>
      <c r="I9" s="796" t="s">
        <v>168</v>
      </c>
      <c r="J9" s="799" t="s">
        <v>199</v>
      </c>
      <c r="K9" s="1452"/>
      <c r="L9" s="1452"/>
      <c r="M9" s="796" t="s">
        <v>354</v>
      </c>
      <c r="N9" s="796" t="s">
        <v>369</v>
      </c>
      <c r="O9" s="798" t="s">
        <v>43</v>
      </c>
      <c r="P9" s="1483"/>
      <c r="Q9" s="6" t="s">
        <v>43</v>
      </c>
      <c r="R9" s="26" t="s">
        <v>255</v>
      </c>
      <c r="S9" s="6" t="s">
        <v>43</v>
      </c>
      <c r="T9" s="6" t="s">
        <v>43</v>
      </c>
      <c r="U9" s="6" t="s">
        <v>43</v>
      </c>
      <c r="V9" s="6" t="s">
        <v>43</v>
      </c>
      <c r="W9" s="26" t="s">
        <v>355</v>
      </c>
      <c r="X9" s="21" t="s">
        <v>170</v>
      </c>
      <c r="Y9" s="1577"/>
      <c r="Z9" s="1577"/>
      <c r="AA9" s="320">
        <v>20800000</v>
      </c>
    </row>
    <row r="10" spans="1:27" s="12" customFormat="1" ht="15.75" customHeight="1">
      <c r="A10" s="1452">
        <v>5</v>
      </c>
      <c r="B10" s="1581">
        <v>546</v>
      </c>
      <c r="C10" s="1452"/>
      <c r="D10" s="1390" t="s">
        <v>332</v>
      </c>
      <c r="E10" s="1390" t="s">
        <v>356</v>
      </c>
      <c r="F10" s="1452"/>
      <c r="G10" s="28" t="s">
        <v>357</v>
      </c>
      <c r="H10" s="4" t="s">
        <v>335</v>
      </c>
      <c r="I10" s="796" t="s">
        <v>168</v>
      </c>
      <c r="J10" s="799" t="s">
        <v>205</v>
      </c>
      <c r="K10" s="1452" t="s">
        <v>15185</v>
      </c>
      <c r="L10" s="1452" t="s">
        <v>15184</v>
      </c>
      <c r="M10" s="797" t="s">
        <v>358</v>
      </c>
      <c r="N10" s="797" t="s">
        <v>359</v>
      </c>
      <c r="O10" s="798" t="s">
        <v>43</v>
      </c>
      <c r="P10" s="1547" t="s">
        <v>2823</v>
      </c>
      <c r="Q10" s="6" t="s">
        <v>43</v>
      </c>
      <c r="R10" s="26" t="s">
        <v>68</v>
      </c>
      <c r="S10" s="6" t="s">
        <v>43</v>
      </c>
      <c r="T10" s="6" t="s">
        <v>43</v>
      </c>
      <c r="U10" s="6" t="s">
        <v>43</v>
      </c>
      <c r="V10" s="6" t="s">
        <v>43</v>
      </c>
      <c r="W10" s="6" t="s">
        <v>43</v>
      </c>
      <c r="X10" s="21" t="s">
        <v>170</v>
      </c>
      <c r="Y10" s="1577" t="s">
        <v>202</v>
      </c>
      <c r="Z10" s="1495" t="s">
        <v>65</v>
      </c>
      <c r="AA10" s="320">
        <v>4480000</v>
      </c>
    </row>
    <row r="11" spans="1:27" s="12" customFormat="1" ht="15.75" customHeight="1">
      <c r="A11" s="1452"/>
      <c r="B11" s="1581"/>
      <c r="C11" s="1452"/>
      <c r="D11" s="1391"/>
      <c r="E11" s="1391"/>
      <c r="F11" s="1452"/>
      <c r="G11" s="28" t="s">
        <v>360</v>
      </c>
      <c r="H11" s="30" t="s">
        <v>195</v>
      </c>
      <c r="I11" s="796" t="s">
        <v>168</v>
      </c>
      <c r="J11" s="799" t="s">
        <v>199</v>
      </c>
      <c r="K11" s="1452"/>
      <c r="L11" s="1452"/>
      <c r="M11" s="797" t="s">
        <v>361</v>
      </c>
      <c r="N11" s="796" t="s">
        <v>373</v>
      </c>
      <c r="O11" s="798" t="s">
        <v>43</v>
      </c>
      <c r="P11" s="1547"/>
      <c r="Q11" s="6" t="s">
        <v>43</v>
      </c>
      <c r="R11" s="26" t="s">
        <v>255</v>
      </c>
      <c r="S11" s="6" t="s">
        <v>43</v>
      </c>
      <c r="T11" s="6" t="s">
        <v>43</v>
      </c>
      <c r="U11" s="6" t="s">
        <v>43</v>
      </c>
      <c r="V11" s="6" t="s">
        <v>43</v>
      </c>
      <c r="W11" s="26" t="s">
        <v>343</v>
      </c>
      <c r="X11" s="21" t="s">
        <v>170</v>
      </c>
      <c r="Y11" s="1577"/>
      <c r="Z11" s="1497"/>
      <c r="AA11" s="320">
        <v>20800000</v>
      </c>
    </row>
    <row r="12" spans="1:27" s="27" customFormat="1" ht="15.75" customHeight="1">
      <c r="A12" s="1452"/>
      <c r="B12" s="1581"/>
      <c r="C12" s="1452"/>
      <c r="D12" s="1395"/>
      <c r="E12" s="1395"/>
      <c r="F12" s="1452"/>
      <c r="G12" s="798" t="s">
        <v>43</v>
      </c>
      <c r="H12" s="4" t="s">
        <v>44</v>
      </c>
      <c r="I12" s="796" t="s">
        <v>45</v>
      </c>
      <c r="J12" s="51" t="s">
        <v>201</v>
      </c>
      <c r="K12" s="1452"/>
      <c r="L12" s="1452"/>
      <c r="M12" s="797" t="s">
        <v>372</v>
      </c>
      <c r="N12" s="796" t="s">
        <v>15183</v>
      </c>
      <c r="O12" s="798" t="s">
        <v>43</v>
      </c>
      <c r="P12" s="1547"/>
      <c r="Q12" s="798" t="s">
        <v>43</v>
      </c>
      <c r="R12" s="800" t="s">
        <v>48</v>
      </c>
      <c r="S12" s="798" t="s">
        <v>43</v>
      </c>
      <c r="T12" s="798" t="s">
        <v>43</v>
      </c>
      <c r="U12" s="798" t="s">
        <v>43</v>
      </c>
      <c r="V12" s="798" t="s">
        <v>43</v>
      </c>
      <c r="W12" s="800" t="s">
        <v>979</v>
      </c>
      <c r="X12" s="796" t="s">
        <v>50</v>
      </c>
      <c r="Y12" s="1577"/>
      <c r="Z12" s="1496"/>
      <c r="AA12" s="320">
        <v>0</v>
      </c>
    </row>
    <row r="13" spans="1:27">
      <c r="Z13" s="349" t="s">
        <v>90</v>
      </c>
      <c r="AA13" s="645">
        <f>SUM(AA2:AA12)</f>
        <v>130880000</v>
      </c>
    </row>
  </sheetData>
  <mergeCells count="47">
    <mergeCell ref="B4:B5"/>
    <mergeCell ref="B6:B7"/>
    <mergeCell ref="B8:B9"/>
    <mergeCell ref="D2:D3"/>
    <mergeCell ref="D4:D5"/>
    <mergeCell ref="D6:D7"/>
    <mergeCell ref="D8:D9"/>
    <mergeCell ref="B2:B3"/>
    <mergeCell ref="C2:C12"/>
    <mergeCell ref="D10:D12"/>
    <mergeCell ref="P6:P7"/>
    <mergeCell ref="B10:B12"/>
    <mergeCell ref="Y10:Y12"/>
    <mergeCell ref="Z10:Z12"/>
    <mergeCell ref="Y2:Y3"/>
    <mergeCell ref="Y4:Y5"/>
    <mergeCell ref="Y6:Y7"/>
    <mergeCell ref="Z6:Z7"/>
    <mergeCell ref="Y8:Y9"/>
    <mergeCell ref="Z8:Z9"/>
    <mergeCell ref="Z2:Z3"/>
    <mergeCell ref="Z4:Z5"/>
    <mergeCell ref="E2:E3"/>
    <mergeCell ref="E4:E5"/>
    <mergeCell ref="E6:E7"/>
    <mergeCell ref="E8:E9"/>
    <mergeCell ref="P8:P9"/>
    <mergeCell ref="K8:K9"/>
    <mergeCell ref="L8:L9"/>
    <mergeCell ref="E10:E12"/>
    <mergeCell ref="F2:F12"/>
    <mergeCell ref="K10:K12"/>
    <mergeCell ref="K4:K5"/>
    <mergeCell ref="L4:L5"/>
    <mergeCell ref="L10:L12"/>
    <mergeCell ref="P10:P12"/>
    <mergeCell ref="K6:K7"/>
    <mergeCell ref="L6:L7"/>
    <mergeCell ref="K2:K3"/>
    <mergeCell ref="L2:L3"/>
    <mergeCell ref="P2:P3"/>
    <mergeCell ref="P4:P5"/>
    <mergeCell ref="A2:A3"/>
    <mergeCell ref="A4:A5"/>
    <mergeCell ref="A6:A7"/>
    <mergeCell ref="A8:A9"/>
    <mergeCell ref="A10:A12"/>
  </mergeCells>
  <conditionalFormatting sqref="M6">
    <cfRule type="duplicateValues" dxfId="1675" priority="28"/>
    <cfRule type="duplicateValues" dxfId="1674" priority="30"/>
  </conditionalFormatting>
  <conditionalFormatting sqref="M9">
    <cfRule type="duplicateValues" dxfId="1673" priority="27"/>
  </conditionalFormatting>
  <conditionalFormatting sqref="N3">
    <cfRule type="duplicateValues" dxfId="1672" priority="25"/>
  </conditionalFormatting>
  <conditionalFormatting sqref="N5">
    <cfRule type="duplicateValues" dxfId="1671" priority="24"/>
  </conditionalFormatting>
  <conditionalFormatting sqref="N6">
    <cfRule type="duplicateValues" dxfId="1670" priority="29"/>
  </conditionalFormatting>
  <conditionalFormatting sqref="N7">
    <cfRule type="duplicateValues" dxfId="1669" priority="22"/>
  </conditionalFormatting>
  <conditionalFormatting sqref="N10 N8 N1:N2 N4">
    <cfRule type="duplicateValues" dxfId="1668" priority="32"/>
  </conditionalFormatting>
  <conditionalFormatting sqref="N9">
    <cfRule type="duplicateValues" dxfId="1667" priority="21"/>
  </conditionalFormatting>
  <conditionalFormatting sqref="N11">
    <cfRule type="duplicateValues" dxfId="1666" priority="16"/>
  </conditionalFormatting>
  <conditionalFormatting sqref="N12">
    <cfRule type="duplicateValues" dxfId="1665" priority="1"/>
  </conditionalFormatting>
  <conditionalFormatting sqref="M7:M8 M10:M11 M1:M5">
    <cfRule type="duplicateValues" dxfId="1664" priority="4278"/>
    <cfRule type="duplicateValues" dxfId="1663" priority="4279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4"/>
  <sheetViews>
    <sheetView rightToLeft="1" workbookViewId="0">
      <pane xSplit="10" topLeftCell="L1" activePane="topRight" state="frozen"/>
      <selection pane="topRight" activeCell="J25" sqref="J25"/>
    </sheetView>
  </sheetViews>
  <sheetFormatPr defaultRowHeight="15"/>
  <cols>
    <col min="2" max="2" width="11.5703125" customWidth="1"/>
    <col min="5" max="5" width="12.28515625" customWidth="1"/>
    <col min="6" max="6" width="14" customWidth="1"/>
    <col min="7" max="7" width="13.5703125" customWidth="1"/>
    <col min="8" max="8" width="17.28515625" customWidth="1"/>
    <col min="9" max="9" width="10.5703125" customWidth="1"/>
    <col min="10" max="10" width="31" customWidth="1"/>
    <col min="11" max="11" width="28.42578125" customWidth="1"/>
    <col min="12" max="12" width="17.5703125" customWidth="1"/>
    <col min="13" max="13" width="19.28515625" customWidth="1"/>
    <col min="14" max="14" width="47.7109375" customWidth="1"/>
    <col min="15" max="15" width="11.85546875" customWidth="1"/>
    <col min="16" max="16" width="18.42578125" customWidth="1"/>
    <col min="17" max="17" width="17.28515625" customWidth="1"/>
    <col min="18" max="18" width="20.42578125" customWidth="1"/>
    <col min="20" max="20" width="14" customWidth="1"/>
    <col min="23" max="23" width="24.85546875" customWidth="1"/>
    <col min="24" max="24" width="43.85546875" customWidth="1"/>
    <col min="25" max="25" width="18.5703125" customWidth="1"/>
    <col min="26" max="26" width="20.42578125" customWidth="1"/>
    <col min="27" max="27" width="21" customWidth="1"/>
    <col min="28" max="28" width="38.42578125" bestFit="1" customWidth="1"/>
    <col min="29" max="29" width="16.42578125" bestFit="1" customWidth="1"/>
  </cols>
  <sheetData>
    <row r="1" spans="1:29" s="10" customFormat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196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2" t="s">
        <v>23</v>
      </c>
      <c r="Z1" s="2" t="s">
        <v>24</v>
      </c>
      <c r="AA1" s="49" t="s">
        <v>9184</v>
      </c>
    </row>
    <row r="2" spans="1:29" ht="21" customHeight="1">
      <c r="A2" s="1447">
        <v>1</v>
      </c>
      <c r="B2" s="1589">
        <v>304</v>
      </c>
      <c r="C2" s="1447" t="s">
        <v>25</v>
      </c>
      <c r="D2" s="4" t="s">
        <v>25</v>
      </c>
      <c r="E2" s="5" t="s">
        <v>25</v>
      </c>
      <c r="F2" s="5" t="s">
        <v>26</v>
      </c>
      <c r="G2" s="6" t="s">
        <v>27</v>
      </c>
      <c r="H2" s="4" t="s">
        <v>28</v>
      </c>
      <c r="I2" s="4" t="s">
        <v>29</v>
      </c>
      <c r="J2" s="7" t="s">
        <v>198</v>
      </c>
      <c r="K2" s="1596" t="s">
        <v>30</v>
      </c>
      <c r="L2" s="1585" t="s">
        <v>31</v>
      </c>
      <c r="M2" s="5" t="s">
        <v>32</v>
      </c>
      <c r="N2" s="4" t="s">
        <v>33</v>
      </c>
      <c r="O2" s="6" t="s">
        <v>43</v>
      </c>
      <c r="P2" s="1599" t="s">
        <v>34</v>
      </c>
      <c r="Q2" s="6" t="s">
        <v>43</v>
      </c>
      <c r="R2" s="8" t="s">
        <v>35</v>
      </c>
      <c r="S2" s="6" t="s">
        <v>43</v>
      </c>
      <c r="T2" s="50" t="s">
        <v>14917</v>
      </c>
      <c r="U2" s="6" t="s">
        <v>43</v>
      </c>
      <c r="V2" s="6" t="s">
        <v>43</v>
      </c>
      <c r="W2" s="8" t="s">
        <v>36</v>
      </c>
      <c r="X2" s="4" t="s">
        <v>37</v>
      </c>
      <c r="Y2" s="1592" t="s">
        <v>93</v>
      </c>
      <c r="Z2" s="1583" t="s">
        <v>38</v>
      </c>
      <c r="AA2" s="303">
        <v>44200000</v>
      </c>
      <c r="AB2" s="509"/>
      <c r="AC2" s="113"/>
    </row>
    <row r="3" spans="1:29" ht="15.75">
      <c r="A3" s="1448"/>
      <c r="B3" s="1590"/>
      <c r="C3" s="1448"/>
      <c r="D3" s="4" t="s">
        <v>25</v>
      </c>
      <c r="E3" s="5" t="s">
        <v>25</v>
      </c>
      <c r="F3" s="5" t="s">
        <v>26</v>
      </c>
      <c r="G3" s="9" t="s">
        <v>39</v>
      </c>
      <c r="H3" s="218" t="s">
        <v>7763</v>
      </c>
      <c r="I3" s="4" t="s">
        <v>270</v>
      </c>
      <c r="J3" s="7" t="s">
        <v>198</v>
      </c>
      <c r="K3" s="1597"/>
      <c r="L3" s="1537"/>
      <c r="M3" s="5" t="s">
        <v>41</v>
      </c>
      <c r="N3" s="4" t="s">
        <v>14794</v>
      </c>
      <c r="O3" s="6" t="s">
        <v>43</v>
      </c>
      <c r="P3" s="1600"/>
      <c r="Q3" s="6" t="s">
        <v>43</v>
      </c>
      <c r="R3" s="8" t="s">
        <v>42</v>
      </c>
      <c r="S3" s="6" t="s">
        <v>43</v>
      </c>
      <c r="T3" s="50" t="s">
        <v>14916</v>
      </c>
      <c r="U3" s="6" t="s">
        <v>43</v>
      </c>
      <c r="V3" s="6" t="s">
        <v>43</v>
      </c>
      <c r="W3" s="8" t="s">
        <v>4638</v>
      </c>
      <c r="X3" s="4" t="s">
        <v>37</v>
      </c>
      <c r="Y3" s="1593"/>
      <c r="Z3" s="1595"/>
      <c r="AA3" s="303">
        <v>76800000</v>
      </c>
    </row>
    <row r="4" spans="1:29" ht="15.75">
      <c r="A4" s="1448"/>
      <c r="B4" s="1590"/>
      <c r="C4" s="1448"/>
      <c r="D4" s="5" t="s">
        <v>25</v>
      </c>
      <c r="E4" s="5" t="s">
        <v>25</v>
      </c>
      <c r="F4" s="5" t="s">
        <v>26</v>
      </c>
      <c r="G4" s="6" t="s">
        <v>43</v>
      </c>
      <c r="H4" s="4" t="s">
        <v>44</v>
      </c>
      <c r="I4" s="4" t="s">
        <v>45</v>
      </c>
      <c r="J4" s="7" t="s">
        <v>199</v>
      </c>
      <c r="K4" s="1597"/>
      <c r="L4" s="1537"/>
      <c r="M4" s="5" t="s">
        <v>46</v>
      </c>
      <c r="N4" s="5" t="s">
        <v>47</v>
      </c>
      <c r="O4" s="6" t="s">
        <v>43</v>
      </c>
      <c r="P4" s="1600"/>
      <c r="Q4" s="6" t="s">
        <v>43</v>
      </c>
      <c r="R4" s="8" t="s">
        <v>48</v>
      </c>
      <c r="S4" s="6" t="s">
        <v>43</v>
      </c>
      <c r="T4" s="6" t="s">
        <v>43</v>
      </c>
      <c r="U4" s="6" t="s">
        <v>43</v>
      </c>
      <c r="V4" s="6" t="s">
        <v>43</v>
      </c>
      <c r="W4" s="8" t="s">
        <v>49</v>
      </c>
      <c r="X4" s="4" t="s">
        <v>50</v>
      </c>
      <c r="Y4" s="1593"/>
      <c r="Z4" s="1595"/>
      <c r="AA4" s="292" t="s">
        <v>4940</v>
      </c>
    </row>
    <row r="5" spans="1:29" ht="15.75">
      <c r="A5" s="1449"/>
      <c r="B5" s="1591"/>
      <c r="C5" s="1448"/>
      <c r="D5" s="5" t="s">
        <v>25</v>
      </c>
      <c r="E5" s="5" t="s">
        <v>25</v>
      </c>
      <c r="F5" s="5" t="s">
        <v>26</v>
      </c>
      <c r="G5" s="6" t="s">
        <v>43</v>
      </c>
      <c r="H5" s="661" t="s">
        <v>15762</v>
      </c>
      <c r="I5" s="4" t="s">
        <v>45</v>
      </c>
      <c r="J5" s="7" t="s">
        <v>11886</v>
      </c>
      <c r="K5" s="1598"/>
      <c r="L5" s="1586"/>
      <c r="M5" s="5" t="s">
        <v>52</v>
      </c>
      <c r="N5" s="5" t="s">
        <v>53</v>
      </c>
      <c r="O5" s="6" t="s">
        <v>43</v>
      </c>
      <c r="P5" s="1601"/>
      <c r="Q5" s="6" t="s">
        <v>43</v>
      </c>
      <c r="R5" s="8" t="s">
        <v>54</v>
      </c>
      <c r="S5" s="6" t="s">
        <v>43</v>
      </c>
      <c r="T5" s="6" t="s">
        <v>43</v>
      </c>
      <c r="U5" s="6" t="s">
        <v>43</v>
      </c>
      <c r="V5" s="6" t="s">
        <v>43</v>
      </c>
      <c r="W5" s="8" t="s">
        <v>55</v>
      </c>
      <c r="X5" s="4" t="s">
        <v>56</v>
      </c>
      <c r="Y5" s="1594"/>
      <c r="Z5" s="1584"/>
      <c r="AA5" s="292" t="s">
        <v>4940</v>
      </c>
    </row>
    <row r="6" spans="1:29" ht="15.75">
      <c r="A6" s="1447">
        <v>2</v>
      </c>
      <c r="B6" s="1602">
        <v>327</v>
      </c>
      <c r="C6" s="1448"/>
      <c r="D6" s="5" t="s">
        <v>25</v>
      </c>
      <c r="E6" s="5" t="s">
        <v>57</v>
      </c>
      <c r="F6" s="5" t="s">
        <v>26</v>
      </c>
      <c r="G6" s="6" t="s">
        <v>58</v>
      </c>
      <c r="H6" s="218" t="s">
        <v>7763</v>
      </c>
      <c r="I6" s="4" t="s">
        <v>60</v>
      </c>
      <c r="J6" s="7" t="s">
        <v>199</v>
      </c>
      <c r="K6" s="1585" t="s">
        <v>14788</v>
      </c>
      <c r="L6" s="1585" t="s">
        <v>14789</v>
      </c>
      <c r="M6" s="5" t="s">
        <v>61</v>
      </c>
      <c r="N6" s="5" t="s">
        <v>14795</v>
      </c>
      <c r="O6" s="6" t="s">
        <v>43</v>
      </c>
      <c r="P6" s="1587" t="s">
        <v>2816</v>
      </c>
      <c r="Q6" s="6" t="s">
        <v>43</v>
      </c>
      <c r="R6" s="8" t="s">
        <v>62</v>
      </c>
      <c r="S6" s="6" t="s">
        <v>43</v>
      </c>
      <c r="T6" s="6" t="s">
        <v>43</v>
      </c>
      <c r="U6" s="6" t="s">
        <v>43</v>
      </c>
      <c r="V6" s="6" t="s">
        <v>43</v>
      </c>
      <c r="W6" s="8" t="s">
        <v>63</v>
      </c>
      <c r="X6" s="4" t="s">
        <v>64</v>
      </c>
      <c r="Y6" s="1583" t="s">
        <v>92</v>
      </c>
      <c r="Z6" s="1583" t="s">
        <v>65</v>
      </c>
      <c r="AA6" s="303">
        <v>17920000</v>
      </c>
    </row>
    <row r="7" spans="1:29" ht="15.75">
      <c r="A7" s="1449"/>
      <c r="B7" s="1603"/>
      <c r="C7" s="1448"/>
      <c r="D7" s="5" t="s">
        <v>25</v>
      </c>
      <c r="E7" s="5" t="s">
        <v>57</v>
      </c>
      <c r="F7" s="5" t="s">
        <v>26</v>
      </c>
      <c r="G7" s="6" t="s">
        <v>43</v>
      </c>
      <c r="H7" s="4" t="s">
        <v>44</v>
      </c>
      <c r="I7" s="4" t="s">
        <v>45</v>
      </c>
      <c r="J7" s="7" t="s">
        <v>199</v>
      </c>
      <c r="K7" s="1586"/>
      <c r="L7" s="1586"/>
      <c r="M7" s="4" t="s">
        <v>66</v>
      </c>
      <c r="N7" s="4" t="s">
        <v>67</v>
      </c>
      <c r="O7" s="6" t="s">
        <v>43</v>
      </c>
      <c r="P7" s="1588"/>
      <c r="Q7" s="6" t="s">
        <v>43</v>
      </c>
      <c r="R7" s="8" t="s">
        <v>68</v>
      </c>
      <c r="S7" s="6" t="s">
        <v>43</v>
      </c>
      <c r="T7" s="6" t="s">
        <v>43</v>
      </c>
      <c r="U7" s="6" t="s">
        <v>43</v>
      </c>
      <c r="V7" s="6" t="s">
        <v>43</v>
      </c>
      <c r="W7" s="6" t="s">
        <v>43</v>
      </c>
      <c r="X7" s="4" t="s">
        <v>50</v>
      </c>
      <c r="Y7" s="1584"/>
      <c r="Z7" s="1584"/>
      <c r="AA7" s="292" t="s">
        <v>4940</v>
      </c>
    </row>
    <row r="8" spans="1:29" ht="15.75">
      <c r="A8" s="1447">
        <v>3</v>
      </c>
      <c r="B8" s="1602">
        <v>347</v>
      </c>
      <c r="C8" s="1448"/>
      <c r="D8" s="5" t="s">
        <v>69</v>
      </c>
      <c r="E8" s="5" t="s">
        <v>70</v>
      </c>
      <c r="F8" s="5" t="s">
        <v>26</v>
      </c>
      <c r="G8" s="6" t="s">
        <v>71</v>
      </c>
      <c r="H8" s="218" t="s">
        <v>7763</v>
      </c>
      <c r="I8" s="4" t="s">
        <v>60</v>
      </c>
      <c r="J8" s="7" t="s">
        <v>199</v>
      </c>
      <c r="K8" s="1585" t="s">
        <v>14790</v>
      </c>
      <c r="L8" s="1585" t="s">
        <v>14791</v>
      </c>
      <c r="M8" s="5" t="s">
        <v>72</v>
      </c>
      <c r="N8" s="5" t="s">
        <v>14796</v>
      </c>
      <c r="O8" s="6" t="s">
        <v>43</v>
      </c>
      <c r="P8" s="1587" t="s">
        <v>2817</v>
      </c>
      <c r="Q8" s="6" t="s">
        <v>43</v>
      </c>
      <c r="R8" s="8" t="s">
        <v>73</v>
      </c>
      <c r="S8" s="6" t="s">
        <v>43</v>
      </c>
      <c r="T8" s="6" t="s">
        <v>43</v>
      </c>
      <c r="U8" s="6" t="s">
        <v>43</v>
      </c>
      <c r="V8" s="6" t="s">
        <v>43</v>
      </c>
      <c r="W8" s="8" t="s">
        <v>74</v>
      </c>
      <c r="X8" s="4" t="s">
        <v>64</v>
      </c>
      <c r="Y8" s="1583" t="s">
        <v>92</v>
      </c>
      <c r="Z8" s="1583" t="s">
        <v>65</v>
      </c>
      <c r="AA8" s="303">
        <v>17920000</v>
      </c>
    </row>
    <row r="9" spans="1:29" ht="15.75">
      <c r="A9" s="1449"/>
      <c r="B9" s="1603"/>
      <c r="C9" s="1448"/>
      <c r="D9" s="5" t="s">
        <v>69</v>
      </c>
      <c r="E9" s="5" t="s">
        <v>70</v>
      </c>
      <c r="F9" s="5" t="s">
        <v>26</v>
      </c>
      <c r="G9" s="6" t="s">
        <v>43</v>
      </c>
      <c r="H9" s="4" t="s">
        <v>44</v>
      </c>
      <c r="I9" s="4" t="s">
        <v>45</v>
      </c>
      <c r="J9" s="7" t="s">
        <v>199</v>
      </c>
      <c r="K9" s="1586"/>
      <c r="L9" s="1586"/>
      <c r="M9" s="5" t="s">
        <v>75</v>
      </c>
      <c r="N9" s="4" t="s">
        <v>83</v>
      </c>
      <c r="O9" s="6" t="s">
        <v>43</v>
      </c>
      <c r="P9" s="1588"/>
      <c r="Q9" s="6" t="s">
        <v>43</v>
      </c>
      <c r="R9" s="8" t="s">
        <v>68</v>
      </c>
      <c r="S9" s="6" t="s">
        <v>43</v>
      </c>
      <c r="T9" s="6" t="s">
        <v>43</v>
      </c>
      <c r="U9" s="6" t="s">
        <v>43</v>
      </c>
      <c r="V9" s="6" t="s">
        <v>43</v>
      </c>
      <c r="W9" s="6" t="s">
        <v>43</v>
      </c>
      <c r="X9" s="4" t="s">
        <v>50</v>
      </c>
      <c r="Y9" s="1584"/>
      <c r="Z9" s="1584"/>
      <c r="AA9" s="292" t="s">
        <v>4940</v>
      </c>
    </row>
    <row r="10" spans="1:29" ht="15.75">
      <c r="A10" s="1447">
        <v>4</v>
      </c>
      <c r="B10" s="1602">
        <v>409</v>
      </c>
      <c r="C10" s="1448"/>
      <c r="D10" s="5" t="s">
        <v>76</v>
      </c>
      <c r="E10" s="5" t="s">
        <v>76</v>
      </c>
      <c r="F10" s="5" t="s">
        <v>26</v>
      </c>
      <c r="G10" s="6" t="s">
        <v>77</v>
      </c>
      <c r="H10" s="218" t="s">
        <v>7763</v>
      </c>
      <c r="I10" s="4" t="s">
        <v>60</v>
      </c>
      <c r="J10" s="7" t="s">
        <v>199</v>
      </c>
      <c r="K10" s="1585" t="s">
        <v>14792</v>
      </c>
      <c r="L10" s="1585" t="s">
        <v>14793</v>
      </c>
      <c r="M10" s="5" t="s">
        <v>78</v>
      </c>
      <c r="N10" s="5" t="s">
        <v>79</v>
      </c>
      <c r="O10" s="6" t="s">
        <v>43</v>
      </c>
      <c r="P10" s="1587" t="s">
        <v>2818</v>
      </c>
      <c r="Q10" s="6" t="s">
        <v>43</v>
      </c>
      <c r="R10" s="8" t="s">
        <v>80</v>
      </c>
      <c r="S10" s="6" t="s">
        <v>43</v>
      </c>
      <c r="T10" s="6" t="s">
        <v>43</v>
      </c>
      <c r="U10" s="6" t="s">
        <v>43</v>
      </c>
      <c r="V10" s="6" t="s">
        <v>43</v>
      </c>
      <c r="W10" s="8" t="s">
        <v>81</v>
      </c>
      <c r="X10" s="4" t="s">
        <v>64</v>
      </c>
      <c r="Y10" s="1583" t="s">
        <v>92</v>
      </c>
      <c r="Z10" s="1583" t="s">
        <v>65</v>
      </c>
      <c r="AA10" s="303">
        <v>17920000</v>
      </c>
    </row>
    <row r="11" spans="1:29" ht="15.75">
      <c r="A11" s="1449"/>
      <c r="B11" s="1603"/>
      <c r="C11" s="1449"/>
      <c r="D11" s="5" t="s">
        <v>76</v>
      </c>
      <c r="E11" s="5" t="s">
        <v>76</v>
      </c>
      <c r="F11" s="5" t="s">
        <v>26</v>
      </c>
      <c r="G11" s="6" t="s">
        <v>43</v>
      </c>
      <c r="H11" s="4" t="s">
        <v>44</v>
      </c>
      <c r="I11" s="4" t="s">
        <v>45</v>
      </c>
      <c r="J11" s="7" t="s">
        <v>199</v>
      </c>
      <c r="K11" s="1586"/>
      <c r="L11" s="1586"/>
      <c r="M11" s="4" t="s">
        <v>82</v>
      </c>
      <c r="N11" s="4" t="s">
        <v>91</v>
      </c>
      <c r="O11" s="6" t="s">
        <v>43</v>
      </c>
      <c r="P11" s="1588"/>
      <c r="Q11" s="6" t="s">
        <v>43</v>
      </c>
      <c r="R11" s="8" t="s">
        <v>68</v>
      </c>
      <c r="S11" s="6" t="s">
        <v>43</v>
      </c>
      <c r="T11" s="6" t="s">
        <v>43</v>
      </c>
      <c r="U11" s="6" t="s">
        <v>43</v>
      </c>
      <c r="V11" s="6" t="s">
        <v>43</v>
      </c>
      <c r="W11" s="6" t="s">
        <v>43</v>
      </c>
      <c r="X11" s="4" t="s">
        <v>50</v>
      </c>
      <c r="Y11" s="1584"/>
      <c r="Z11" s="1584"/>
      <c r="AA11" s="292" t="s">
        <v>4940</v>
      </c>
      <c r="AB11" t="s">
        <v>232</v>
      </c>
    </row>
    <row r="12" spans="1:29" ht="19.5">
      <c r="Z12" s="289" t="s">
        <v>90</v>
      </c>
      <c r="AA12" s="213" t="s">
        <v>11117</v>
      </c>
    </row>
    <row r="14" spans="1:29" ht="15.75">
      <c r="J14" s="633"/>
      <c r="K14" s="633"/>
    </row>
    <row r="15" spans="1:29" ht="15.75">
      <c r="J15" s="634"/>
      <c r="K15" s="633"/>
    </row>
    <row r="17" spans="1:28" ht="22.5">
      <c r="A17" s="1459" t="s">
        <v>14162</v>
      </c>
      <c r="B17" s="1459"/>
      <c r="C17" s="1459"/>
      <c r="D17" s="1459"/>
      <c r="E17" s="1459"/>
      <c r="F17" s="1459"/>
      <c r="G17" s="1459"/>
    </row>
    <row r="18" spans="1:28" s="12" customFormat="1" ht="19.5">
      <c r="A18" s="34" t="s">
        <v>0</v>
      </c>
      <c r="B18" s="34" t="s">
        <v>5</v>
      </c>
      <c r="C18" s="34" t="s">
        <v>2</v>
      </c>
      <c r="D18" s="34" t="s">
        <v>3</v>
      </c>
      <c r="E18" s="1445" t="s">
        <v>88</v>
      </c>
      <c r="F18" s="1446"/>
      <c r="G18" s="34" t="s">
        <v>6</v>
      </c>
      <c r="H18" s="34" t="s">
        <v>7</v>
      </c>
      <c r="I18" s="34" t="s">
        <v>8</v>
      </c>
      <c r="J18" s="34" t="s">
        <v>196</v>
      </c>
      <c r="K18" s="34" t="s">
        <v>9</v>
      </c>
      <c r="L18" s="34" t="s">
        <v>11</v>
      </c>
      <c r="M18" s="34" t="s">
        <v>12</v>
      </c>
      <c r="N18" s="34" t="s">
        <v>216</v>
      </c>
      <c r="O18" s="34" t="s">
        <v>13</v>
      </c>
      <c r="P18" s="35" t="s">
        <v>14</v>
      </c>
      <c r="Q18" s="35" t="s">
        <v>217</v>
      </c>
      <c r="R18" s="35" t="s">
        <v>16</v>
      </c>
      <c r="S18" s="34" t="s">
        <v>17</v>
      </c>
      <c r="T18" s="34" t="s">
        <v>218</v>
      </c>
      <c r="U18" s="34" t="s">
        <v>22</v>
      </c>
      <c r="V18" s="36" t="s">
        <v>23</v>
      </c>
      <c r="W18" s="34" t="s">
        <v>24</v>
      </c>
      <c r="X18" s="58" t="s">
        <v>257</v>
      </c>
      <c r="Z18" s="358" t="s">
        <v>9683</v>
      </c>
      <c r="AA18"/>
    </row>
    <row r="20" spans="1:28" ht="19.5">
      <c r="J20" s="907" t="s">
        <v>12013</v>
      </c>
      <c r="K20" s="626" t="s">
        <v>12013</v>
      </c>
      <c r="W20" s="289" t="s">
        <v>2280</v>
      </c>
      <c r="X20" s="290">
        <v>14624000</v>
      </c>
      <c r="AA20" s="27"/>
      <c r="AB20" s="27"/>
    </row>
    <row r="21" spans="1:28" ht="15.75">
      <c r="J21" s="916" t="s">
        <v>16122</v>
      </c>
      <c r="K21" s="632" t="s">
        <v>85</v>
      </c>
    </row>
    <row r="22" spans="1:28" ht="15.75">
      <c r="J22" s="896" t="s">
        <v>16125</v>
      </c>
      <c r="K22" s="632" t="s">
        <v>86</v>
      </c>
    </row>
    <row r="23" spans="1:28" ht="15.75">
      <c r="J23" s="896"/>
      <c r="K23" s="632" t="s">
        <v>87</v>
      </c>
    </row>
    <row r="24" spans="1:28">
      <c r="K24" s="113"/>
    </row>
  </sheetData>
  <mergeCells count="31">
    <mergeCell ref="A2:A5"/>
    <mergeCell ref="A6:A7"/>
    <mergeCell ref="A8:A9"/>
    <mergeCell ref="A10:A11"/>
    <mergeCell ref="B10:B11"/>
    <mergeCell ref="E18:F18"/>
    <mergeCell ref="B2:B5"/>
    <mergeCell ref="Y2:Y5"/>
    <mergeCell ref="Z2:Z5"/>
    <mergeCell ref="Y6:Y7"/>
    <mergeCell ref="Z6:Z7"/>
    <mergeCell ref="C2:C11"/>
    <mergeCell ref="K2:K5"/>
    <mergeCell ref="L2:L5"/>
    <mergeCell ref="P2:P5"/>
    <mergeCell ref="P10:P11"/>
    <mergeCell ref="Y10:Y11"/>
    <mergeCell ref="Z10:Z11"/>
    <mergeCell ref="B6:B7"/>
    <mergeCell ref="B8:B9"/>
    <mergeCell ref="A17:G17"/>
    <mergeCell ref="Y8:Y9"/>
    <mergeCell ref="Z8:Z9"/>
    <mergeCell ref="K6:K7"/>
    <mergeCell ref="K8:K9"/>
    <mergeCell ref="K10:K11"/>
    <mergeCell ref="L6:L7"/>
    <mergeCell ref="L8:L9"/>
    <mergeCell ref="L10:L11"/>
    <mergeCell ref="P6:P7"/>
    <mergeCell ref="P8:P9"/>
  </mergeCells>
  <conditionalFormatting sqref="M1:M3 M8 M10:M11 M5:M6">
    <cfRule type="duplicateValues" dxfId="1662" priority="107"/>
  </conditionalFormatting>
  <conditionalFormatting sqref="M1:M3 M10:M11 M5:M8">
    <cfRule type="duplicateValues" dxfId="1661" priority="109"/>
  </conditionalFormatting>
  <conditionalFormatting sqref="M7">
    <cfRule type="duplicateValues" dxfId="1660" priority="106"/>
  </conditionalFormatting>
  <conditionalFormatting sqref="M9">
    <cfRule type="duplicateValues" dxfId="1659" priority="103"/>
    <cfRule type="duplicateValues" dxfId="1658" priority="104"/>
  </conditionalFormatting>
  <conditionalFormatting sqref="N1:N3 N8 N10 N5:N6">
    <cfRule type="duplicateValues" dxfId="1657" priority="108"/>
  </conditionalFormatting>
  <conditionalFormatting sqref="N7">
    <cfRule type="duplicateValues" dxfId="1656" priority="105"/>
  </conditionalFormatting>
  <conditionalFormatting sqref="N9">
    <cfRule type="duplicateValues" dxfId="1655" priority="102"/>
  </conditionalFormatting>
  <conditionalFormatting sqref="N11">
    <cfRule type="duplicateValues" dxfId="1654" priority="55"/>
  </conditionalFormatting>
  <conditionalFormatting sqref="K14">
    <cfRule type="duplicateValues" dxfId="1653" priority="22"/>
    <cfRule type="duplicateValues" dxfId="1652" priority="23"/>
  </conditionalFormatting>
  <conditionalFormatting sqref="J14">
    <cfRule type="duplicateValues" dxfId="1651" priority="20"/>
    <cfRule type="duplicateValues" dxfId="1650" priority="21"/>
  </conditionalFormatting>
  <conditionalFormatting sqref="K15">
    <cfRule type="duplicateValues" dxfId="1649" priority="18"/>
    <cfRule type="duplicateValues" dxfId="1648" priority="19"/>
  </conditionalFormatting>
  <conditionalFormatting sqref="N18">
    <cfRule type="duplicateValues" dxfId="1647" priority="7"/>
    <cfRule type="duplicateValues" dxfId="1646" priority="8"/>
    <cfRule type="duplicateValues" dxfId="1645" priority="9"/>
    <cfRule type="duplicateValues" dxfId="1644" priority="10"/>
  </conditionalFormatting>
  <conditionalFormatting sqref="E18">
    <cfRule type="duplicateValues" dxfId="1643" priority="11"/>
  </conditionalFormatting>
  <conditionalFormatting sqref="K18">
    <cfRule type="duplicateValues" dxfId="1642" priority="12"/>
  </conditionalFormatting>
  <conditionalFormatting sqref="L18">
    <cfRule type="duplicateValues" dxfId="1641" priority="13"/>
  </conditionalFormatting>
  <conditionalFormatting sqref="M18">
    <cfRule type="duplicateValues" dxfId="1640" priority="14"/>
    <cfRule type="duplicateValues" dxfId="1639" priority="15"/>
    <cfRule type="duplicateValues" dxfId="1638" priority="16"/>
    <cfRule type="duplicateValues" dxfId="1637" priority="17"/>
  </conditionalFormatting>
  <conditionalFormatting sqref="K21">
    <cfRule type="duplicateValues" dxfId="1636" priority="5"/>
    <cfRule type="duplicateValues" dxfId="1635" priority="6"/>
  </conditionalFormatting>
  <conditionalFormatting sqref="K22">
    <cfRule type="duplicateValues" dxfId="1634" priority="3"/>
    <cfRule type="duplicateValues" dxfId="1633" priority="4"/>
  </conditionalFormatting>
  <conditionalFormatting sqref="K23">
    <cfRule type="duplicateValues" dxfId="1632" priority="1"/>
    <cfRule type="duplicateValues" dxfId="1631" priority="2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5"/>
  <sheetViews>
    <sheetView rightToLeft="1" topLeftCell="C1" workbookViewId="0">
      <selection activeCell="K25" sqref="K25"/>
    </sheetView>
  </sheetViews>
  <sheetFormatPr defaultRowHeight="15"/>
  <cols>
    <col min="6" max="6" width="23.42578125" customWidth="1"/>
    <col min="8" max="8" width="20.42578125" customWidth="1"/>
    <col min="9" max="9" width="19.140625" customWidth="1"/>
    <col min="11" max="11" width="33.140625" customWidth="1"/>
    <col min="12" max="12" width="15.28515625" customWidth="1"/>
    <col min="13" max="13" width="15.7109375" customWidth="1"/>
    <col min="14" max="14" width="46.42578125" customWidth="1"/>
    <col min="16" max="16" width="32.5703125" customWidth="1"/>
    <col min="18" max="18" width="21" customWidth="1"/>
    <col min="20" max="20" width="15" customWidth="1"/>
    <col min="23" max="23" width="23.140625" customWidth="1"/>
    <col min="24" max="24" width="41.28515625" customWidth="1"/>
    <col min="25" max="25" width="16.85546875" customWidth="1"/>
    <col min="26" max="26" width="19.42578125" customWidth="1"/>
    <col min="27" max="27" width="21.42578125" customWidth="1"/>
    <col min="28" max="28" width="28.28515625" customWidth="1"/>
  </cols>
  <sheetData>
    <row r="1" spans="1:27" s="12" customFormat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196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2" t="s">
        <v>23</v>
      </c>
      <c r="Z1" s="2" t="s">
        <v>24</v>
      </c>
      <c r="AA1" s="49" t="s">
        <v>9184</v>
      </c>
    </row>
    <row r="2" spans="1:27" s="12" customFormat="1" ht="16.5" customHeight="1">
      <c r="A2" s="1602">
        <v>1</v>
      </c>
      <c r="B2" s="1589">
        <v>322</v>
      </c>
      <c r="C2" s="1447" t="s">
        <v>94</v>
      </c>
      <c r="D2" s="5" t="s">
        <v>95</v>
      </c>
      <c r="E2" s="5" t="s">
        <v>95</v>
      </c>
      <c r="F2" s="5" t="s">
        <v>26</v>
      </c>
      <c r="G2" s="18" t="s">
        <v>96</v>
      </c>
      <c r="H2" s="4" t="s">
        <v>28</v>
      </c>
      <c r="I2" s="4" t="s">
        <v>29</v>
      </c>
      <c r="J2" s="7" t="s">
        <v>204</v>
      </c>
      <c r="K2" s="1596" t="s">
        <v>15439</v>
      </c>
      <c r="L2" s="1585" t="s">
        <v>15440</v>
      </c>
      <c r="M2" s="5" t="s">
        <v>97</v>
      </c>
      <c r="N2" s="4" t="s">
        <v>131</v>
      </c>
      <c r="O2" s="6" t="s">
        <v>43</v>
      </c>
      <c r="P2" s="1587" t="s">
        <v>98</v>
      </c>
      <c r="Q2" s="6" t="s">
        <v>43</v>
      </c>
      <c r="R2" s="8" t="s">
        <v>99</v>
      </c>
      <c r="S2" s="6" t="s">
        <v>43</v>
      </c>
      <c r="T2" s="6" t="s">
        <v>324</v>
      </c>
      <c r="U2" s="6" t="s">
        <v>43</v>
      </c>
      <c r="V2" s="6" t="s">
        <v>43</v>
      </c>
      <c r="W2" s="8" t="s">
        <v>100</v>
      </c>
      <c r="X2" s="4" t="s">
        <v>37</v>
      </c>
      <c r="Y2" s="1583" t="s">
        <v>93</v>
      </c>
      <c r="Z2" s="1608" t="s">
        <v>38</v>
      </c>
      <c r="AA2" s="230">
        <v>50440000</v>
      </c>
    </row>
    <row r="3" spans="1:27" s="12" customFormat="1" ht="15.75" customHeight="1">
      <c r="A3" s="1607"/>
      <c r="B3" s="1590"/>
      <c r="C3" s="1448"/>
      <c r="D3" s="5" t="s">
        <v>95</v>
      </c>
      <c r="E3" s="5" t="s">
        <v>95</v>
      </c>
      <c r="F3" s="5" t="s">
        <v>26</v>
      </c>
      <c r="G3" s="6" t="s">
        <v>43</v>
      </c>
      <c r="H3" s="4" t="s">
        <v>44</v>
      </c>
      <c r="I3" s="4" t="s">
        <v>45</v>
      </c>
      <c r="J3" s="7" t="s">
        <v>199</v>
      </c>
      <c r="K3" s="1597"/>
      <c r="L3" s="1537"/>
      <c r="M3" s="5" t="s">
        <v>101</v>
      </c>
      <c r="N3" s="4" t="s">
        <v>132</v>
      </c>
      <c r="O3" s="6" t="s">
        <v>43</v>
      </c>
      <c r="P3" s="1604"/>
      <c r="Q3" s="6" t="s">
        <v>43</v>
      </c>
      <c r="R3" s="8" t="s">
        <v>48</v>
      </c>
      <c r="S3" s="6" t="s">
        <v>43</v>
      </c>
      <c r="T3" s="6" t="s">
        <v>43</v>
      </c>
      <c r="U3" s="6" t="s">
        <v>43</v>
      </c>
      <c r="V3" s="6" t="s">
        <v>43</v>
      </c>
      <c r="W3" s="8" t="s">
        <v>102</v>
      </c>
      <c r="X3" s="4" t="s">
        <v>50</v>
      </c>
      <c r="Y3" s="1595"/>
      <c r="Z3" s="1608"/>
      <c r="AA3" s="292" t="s">
        <v>9241</v>
      </c>
    </row>
    <row r="4" spans="1:27" s="12" customFormat="1" ht="15.75" customHeight="1">
      <c r="A4" s="1602">
        <v>2</v>
      </c>
      <c r="B4" s="1602">
        <v>333</v>
      </c>
      <c r="C4" s="1448"/>
      <c r="D4" s="5" t="s">
        <v>104</v>
      </c>
      <c r="E4" s="5" t="s">
        <v>105</v>
      </c>
      <c r="F4" s="5" t="s">
        <v>26</v>
      </c>
      <c r="G4" s="6" t="s">
        <v>106</v>
      </c>
      <c r="H4" s="4" t="s">
        <v>107</v>
      </c>
      <c r="I4" s="4" t="s">
        <v>108</v>
      </c>
      <c r="J4" s="7" t="s">
        <v>199</v>
      </c>
      <c r="K4" s="1585" t="s">
        <v>15438</v>
      </c>
      <c r="L4" s="1585" t="s">
        <v>15441</v>
      </c>
      <c r="M4" s="5" t="s">
        <v>109</v>
      </c>
      <c r="N4" s="4" t="s">
        <v>110</v>
      </c>
      <c r="O4" s="6" t="s">
        <v>43</v>
      </c>
      <c r="P4" s="1599" t="s">
        <v>2812</v>
      </c>
      <c r="Q4" s="6" t="s">
        <v>43</v>
      </c>
      <c r="R4" s="8" t="s">
        <v>68</v>
      </c>
      <c r="S4" s="6" t="s">
        <v>43</v>
      </c>
      <c r="T4" s="6" t="s">
        <v>43</v>
      </c>
      <c r="U4" s="6" t="s">
        <v>43</v>
      </c>
      <c r="V4" s="6" t="s">
        <v>43</v>
      </c>
      <c r="W4" s="6" t="s">
        <v>43</v>
      </c>
      <c r="X4" s="4" t="s">
        <v>111</v>
      </c>
      <c r="Y4" s="1583" t="s">
        <v>92</v>
      </c>
      <c r="Z4" s="1583" t="s">
        <v>65</v>
      </c>
      <c r="AA4" s="219">
        <v>20800000</v>
      </c>
    </row>
    <row r="5" spans="1:27" s="12" customFormat="1" ht="15.75" customHeight="1">
      <c r="A5" s="1603"/>
      <c r="B5" s="1603"/>
      <c r="C5" s="1448"/>
      <c r="D5" s="5" t="s">
        <v>104</v>
      </c>
      <c r="E5" s="5" t="s">
        <v>105</v>
      </c>
      <c r="F5" s="5" t="s">
        <v>26</v>
      </c>
      <c r="G5" s="6"/>
      <c r="H5" s="4" t="s">
        <v>44</v>
      </c>
      <c r="I5" s="4" t="s">
        <v>45</v>
      </c>
      <c r="J5" s="7" t="s">
        <v>199</v>
      </c>
      <c r="K5" s="1586"/>
      <c r="L5" s="1586"/>
      <c r="M5" s="5" t="s">
        <v>112</v>
      </c>
      <c r="N5" s="4" t="s">
        <v>133</v>
      </c>
      <c r="O5" s="6" t="s">
        <v>43</v>
      </c>
      <c r="P5" s="1601"/>
      <c r="Q5" s="6" t="s">
        <v>43</v>
      </c>
      <c r="R5" s="8" t="s">
        <v>48</v>
      </c>
      <c r="S5" s="6" t="s">
        <v>43</v>
      </c>
      <c r="T5" s="6" t="s">
        <v>43</v>
      </c>
      <c r="U5" s="6" t="s">
        <v>43</v>
      </c>
      <c r="V5" s="6" t="s">
        <v>43</v>
      </c>
      <c r="W5" s="8" t="s">
        <v>113</v>
      </c>
      <c r="X5" s="4" t="s">
        <v>50</v>
      </c>
      <c r="Y5" s="1584"/>
      <c r="Z5" s="1584"/>
      <c r="AA5" s="292" t="s">
        <v>4940</v>
      </c>
    </row>
    <row r="6" spans="1:27" s="12" customFormat="1" ht="15.75" customHeight="1">
      <c r="A6" s="1602">
        <v>3</v>
      </c>
      <c r="B6" s="1602">
        <v>386</v>
      </c>
      <c r="C6" s="1448"/>
      <c r="D6" s="5" t="s">
        <v>114</v>
      </c>
      <c r="E6" s="5" t="s">
        <v>114</v>
      </c>
      <c r="F6" s="5" t="s">
        <v>26</v>
      </c>
      <c r="G6" s="18">
        <v>605639</v>
      </c>
      <c r="H6" s="4" t="s">
        <v>107</v>
      </c>
      <c r="I6" s="4" t="s">
        <v>108</v>
      </c>
      <c r="J6" s="7" t="s">
        <v>199</v>
      </c>
      <c r="K6" s="1585" t="s">
        <v>15437</v>
      </c>
      <c r="L6" s="1585" t="s">
        <v>15442</v>
      </c>
      <c r="M6" s="5" t="s">
        <v>115</v>
      </c>
      <c r="N6" s="4" t="s">
        <v>116</v>
      </c>
      <c r="O6" s="6" t="s">
        <v>43</v>
      </c>
      <c r="P6" s="1605" t="s">
        <v>2813</v>
      </c>
      <c r="Q6" s="6" t="s">
        <v>43</v>
      </c>
      <c r="R6" s="8" t="s">
        <v>117</v>
      </c>
      <c r="S6" s="6" t="s">
        <v>43</v>
      </c>
      <c r="T6" s="6" t="s">
        <v>43</v>
      </c>
      <c r="U6" s="6" t="s">
        <v>43</v>
      </c>
      <c r="V6" s="6" t="s">
        <v>43</v>
      </c>
      <c r="W6" s="6" t="s">
        <v>43</v>
      </c>
      <c r="X6" s="4" t="s">
        <v>111</v>
      </c>
      <c r="Y6" s="1583" t="s">
        <v>92</v>
      </c>
      <c r="Z6" s="1583" t="s">
        <v>65</v>
      </c>
      <c r="AA6" s="219">
        <v>20800000</v>
      </c>
    </row>
    <row r="7" spans="1:27" s="12" customFormat="1" ht="15.75" customHeight="1">
      <c r="A7" s="1603"/>
      <c r="B7" s="1603"/>
      <c r="C7" s="1448"/>
      <c r="D7" s="5" t="s">
        <v>114</v>
      </c>
      <c r="E7" s="5" t="s">
        <v>114</v>
      </c>
      <c r="F7" s="5" t="s">
        <v>26</v>
      </c>
      <c r="G7" s="18"/>
      <c r="H7" s="4" t="s">
        <v>44</v>
      </c>
      <c r="I7" s="4" t="s">
        <v>45</v>
      </c>
      <c r="J7" s="7" t="s">
        <v>199</v>
      </c>
      <c r="K7" s="1586"/>
      <c r="L7" s="1586"/>
      <c r="M7" s="5" t="s">
        <v>118</v>
      </c>
      <c r="N7" s="4" t="s">
        <v>134</v>
      </c>
      <c r="O7" s="6" t="s">
        <v>43</v>
      </c>
      <c r="P7" s="1606"/>
      <c r="Q7" s="6" t="s">
        <v>43</v>
      </c>
      <c r="R7" s="8" t="s">
        <v>119</v>
      </c>
      <c r="S7" s="6" t="s">
        <v>43</v>
      </c>
      <c r="T7" s="6" t="s">
        <v>43</v>
      </c>
      <c r="U7" s="6" t="s">
        <v>43</v>
      </c>
      <c r="V7" s="6" t="s">
        <v>43</v>
      </c>
      <c r="W7" s="8" t="s">
        <v>113</v>
      </c>
      <c r="X7" s="4" t="s">
        <v>50</v>
      </c>
      <c r="Y7" s="1584"/>
      <c r="Z7" s="1584"/>
      <c r="AA7" s="292" t="s">
        <v>4940</v>
      </c>
    </row>
    <row r="8" spans="1:27" s="12" customFormat="1" ht="15.75" customHeight="1">
      <c r="A8" s="1602">
        <v>4</v>
      </c>
      <c r="B8" s="1602">
        <v>390</v>
      </c>
      <c r="C8" s="1448"/>
      <c r="D8" s="5" t="s">
        <v>120</v>
      </c>
      <c r="E8" s="5" t="s">
        <v>121</v>
      </c>
      <c r="F8" s="5" t="s">
        <v>26</v>
      </c>
      <c r="G8" s="6" t="s">
        <v>122</v>
      </c>
      <c r="H8" s="4" t="s">
        <v>107</v>
      </c>
      <c r="I8" s="4" t="s">
        <v>108</v>
      </c>
      <c r="J8" s="7" t="s">
        <v>199</v>
      </c>
      <c r="K8" s="1585" t="s">
        <v>15436</v>
      </c>
      <c r="L8" s="1585" t="s">
        <v>15443</v>
      </c>
      <c r="M8" s="5" t="s">
        <v>123</v>
      </c>
      <c r="N8" s="4" t="s">
        <v>124</v>
      </c>
      <c r="O8" s="6" t="s">
        <v>43</v>
      </c>
      <c r="P8" s="1599" t="s">
        <v>2814</v>
      </c>
      <c r="Q8" s="6" t="s">
        <v>43</v>
      </c>
      <c r="R8" s="8" t="s">
        <v>68</v>
      </c>
      <c r="S8" s="6" t="s">
        <v>43</v>
      </c>
      <c r="T8" s="6" t="s">
        <v>43</v>
      </c>
      <c r="U8" s="6" t="s">
        <v>43</v>
      </c>
      <c r="V8" s="6" t="s">
        <v>43</v>
      </c>
      <c r="W8" s="6" t="s">
        <v>43</v>
      </c>
      <c r="X8" s="4" t="s">
        <v>111</v>
      </c>
      <c r="Y8" s="1583" t="s">
        <v>92</v>
      </c>
      <c r="Z8" s="1583" t="s">
        <v>65</v>
      </c>
      <c r="AA8" s="219">
        <v>20800000</v>
      </c>
    </row>
    <row r="9" spans="1:27" s="12" customFormat="1" ht="15.75" customHeight="1">
      <c r="A9" s="1603"/>
      <c r="B9" s="1603"/>
      <c r="C9" s="1448"/>
      <c r="D9" s="5" t="s">
        <v>120</v>
      </c>
      <c r="E9" s="5" t="s">
        <v>121</v>
      </c>
      <c r="F9" s="5" t="s">
        <v>26</v>
      </c>
      <c r="G9" s="6"/>
      <c r="H9" s="4" t="s">
        <v>44</v>
      </c>
      <c r="I9" s="4" t="s">
        <v>45</v>
      </c>
      <c r="J9" s="7" t="s">
        <v>199</v>
      </c>
      <c r="K9" s="1586"/>
      <c r="L9" s="1586"/>
      <c r="M9" s="5" t="s">
        <v>125</v>
      </c>
      <c r="N9" s="4" t="s">
        <v>135</v>
      </c>
      <c r="O9" s="6" t="s">
        <v>43</v>
      </c>
      <c r="P9" s="1601"/>
      <c r="Q9" s="6" t="s">
        <v>43</v>
      </c>
      <c r="R9" s="8" t="s">
        <v>48</v>
      </c>
      <c r="S9" s="6" t="s">
        <v>43</v>
      </c>
      <c r="T9" s="6" t="s">
        <v>43</v>
      </c>
      <c r="U9" s="6" t="s">
        <v>43</v>
      </c>
      <c r="V9" s="6" t="s">
        <v>43</v>
      </c>
      <c r="W9" s="8" t="s">
        <v>113</v>
      </c>
      <c r="X9" s="4" t="s">
        <v>50</v>
      </c>
      <c r="Y9" s="1584"/>
      <c r="Z9" s="1584"/>
      <c r="AA9" s="292" t="s">
        <v>4940</v>
      </c>
    </row>
    <row r="10" spans="1:27" s="12" customFormat="1" ht="15.75" customHeight="1">
      <c r="A10" s="1602">
        <v>5</v>
      </c>
      <c r="B10" s="1602">
        <v>451</v>
      </c>
      <c r="C10" s="1448"/>
      <c r="D10" s="5" t="s">
        <v>126</v>
      </c>
      <c r="E10" s="5" t="s">
        <v>126</v>
      </c>
      <c r="F10" s="5" t="s">
        <v>26</v>
      </c>
      <c r="G10" s="18" t="s">
        <v>127</v>
      </c>
      <c r="H10" s="4" t="s">
        <v>107</v>
      </c>
      <c r="I10" s="4" t="s">
        <v>108</v>
      </c>
      <c r="J10" s="7" t="s">
        <v>199</v>
      </c>
      <c r="K10" s="1585" t="s">
        <v>15435</v>
      </c>
      <c r="L10" s="1585" t="s">
        <v>15426</v>
      </c>
      <c r="M10" s="5" t="s">
        <v>128</v>
      </c>
      <c r="N10" s="4" t="s">
        <v>129</v>
      </c>
      <c r="O10" s="6" t="s">
        <v>43</v>
      </c>
      <c r="P10" s="1599" t="s">
        <v>2815</v>
      </c>
      <c r="Q10" s="6" t="s">
        <v>43</v>
      </c>
      <c r="R10" s="8" t="s">
        <v>68</v>
      </c>
      <c r="S10" s="6" t="s">
        <v>43</v>
      </c>
      <c r="T10" s="6" t="s">
        <v>43</v>
      </c>
      <c r="U10" s="6" t="s">
        <v>43</v>
      </c>
      <c r="V10" s="6" t="s">
        <v>43</v>
      </c>
      <c r="W10" s="6" t="s">
        <v>43</v>
      </c>
      <c r="X10" s="4" t="s">
        <v>111</v>
      </c>
      <c r="Y10" s="1583" t="s">
        <v>92</v>
      </c>
      <c r="Z10" s="1583" t="s">
        <v>65</v>
      </c>
      <c r="AA10" s="219">
        <v>20800000</v>
      </c>
    </row>
    <row r="11" spans="1:27" s="12" customFormat="1" ht="15.75" customHeight="1">
      <c r="A11" s="1603"/>
      <c r="B11" s="1603"/>
      <c r="C11" s="1449"/>
      <c r="D11" s="5" t="s">
        <v>126</v>
      </c>
      <c r="E11" s="5" t="s">
        <v>126</v>
      </c>
      <c r="F11" s="5" t="s">
        <v>26</v>
      </c>
      <c r="G11" s="18"/>
      <c r="H11" s="4" t="s">
        <v>44</v>
      </c>
      <c r="I11" s="4" t="s">
        <v>45</v>
      </c>
      <c r="J11" s="7" t="s">
        <v>199</v>
      </c>
      <c r="K11" s="1586"/>
      <c r="L11" s="1586"/>
      <c r="M11" s="5" t="s">
        <v>130</v>
      </c>
      <c r="N11" s="4" t="s">
        <v>136</v>
      </c>
      <c r="O11" s="6" t="s">
        <v>43</v>
      </c>
      <c r="P11" s="1601"/>
      <c r="Q11" s="6" t="s">
        <v>43</v>
      </c>
      <c r="R11" s="8" t="s">
        <v>48</v>
      </c>
      <c r="S11" s="6" t="s">
        <v>43</v>
      </c>
      <c r="T11" s="6" t="s">
        <v>43</v>
      </c>
      <c r="U11" s="6" t="s">
        <v>43</v>
      </c>
      <c r="V11" s="6" t="s">
        <v>43</v>
      </c>
      <c r="W11" s="8" t="s">
        <v>113</v>
      </c>
      <c r="X11" s="4" t="s">
        <v>50</v>
      </c>
      <c r="Y11" s="1584"/>
      <c r="Z11" s="1584"/>
      <c r="AA11" s="292" t="s">
        <v>4940</v>
      </c>
    </row>
    <row r="12" spans="1:27" ht="19.5">
      <c r="Z12" s="289" t="s">
        <v>90</v>
      </c>
      <c r="AA12" s="213" t="s">
        <v>11116</v>
      </c>
    </row>
    <row r="17" spans="1:28" ht="15.75">
      <c r="K17" s="625"/>
    </row>
    <row r="21" spans="1:28" ht="22.5">
      <c r="A21" s="1459" t="s">
        <v>14163</v>
      </c>
      <c r="B21" s="1459"/>
      <c r="C21" s="1459"/>
      <c r="D21" s="1459"/>
      <c r="E21" s="1459"/>
      <c r="F21" s="1459"/>
      <c r="G21" s="1459"/>
    </row>
    <row r="22" spans="1:28" s="12" customFormat="1" ht="19.5">
      <c r="A22" s="34" t="s">
        <v>0</v>
      </c>
      <c r="B22" s="34" t="s">
        <v>5</v>
      </c>
      <c r="C22" s="34" t="s">
        <v>2</v>
      </c>
      <c r="D22" s="34" t="s">
        <v>3</v>
      </c>
      <c r="E22" s="1445" t="s">
        <v>88</v>
      </c>
      <c r="F22" s="1446"/>
      <c r="G22" s="34" t="s">
        <v>6</v>
      </c>
      <c r="H22" s="34" t="s">
        <v>7</v>
      </c>
      <c r="I22" s="34" t="s">
        <v>8</v>
      </c>
      <c r="J22" s="34" t="s">
        <v>196</v>
      </c>
      <c r="K22" s="34" t="s">
        <v>9</v>
      </c>
      <c r="L22" s="34" t="s">
        <v>11</v>
      </c>
      <c r="M22" s="34" t="s">
        <v>12</v>
      </c>
      <c r="N22" s="34" t="s">
        <v>216</v>
      </c>
      <c r="O22" s="34" t="s">
        <v>13</v>
      </c>
      <c r="P22" s="35" t="s">
        <v>14</v>
      </c>
      <c r="Q22" s="35" t="s">
        <v>217</v>
      </c>
      <c r="R22" s="35" t="s">
        <v>16</v>
      </c>
      <c r="S22" s="34" t="s">
        <v>17</v>
      </c>
      <c r="T22" s="34" t="s">
        <v>218</v>
      </c>
      <c r="U22" s="34" t="s">
        <v>22</v>
      </c>
      <c r="V22" s="36" t="s">
        <v>23</v>
      </c>
      <c r="W22" s="34" t="s">
        <v>24</v>
      </c>
      <c r="X22" s="58" t="s">
        <v>257</v>
      </c>
      <c r="Z22" s="358" t="s">
        <v>9683</v>
      </c>
      <c r="AA22"/>
    </row>
    <row r="24" spans="1:28" ht="19.5">
      <c r="K24" s="626" t="s">
        <v>12013</v>
      </c>
      <c r="W24" s="289" t="s">
        <v>2280</v>
      </c>
      <c r="X24" s="290">
        <v>14624000</v>
      </c>
      <c r="AA24" s="27"/>
      <c r="AB24" s="27"/>
    </row>
    <row r="25" spans="1:28" ht="19.5">
      <c r="K25" s="1006" t="s">
        <v>137</v>
      </c>
      <c r="Z25" s="289" t="s">
        <v>90</v>
      </c>
      <c r="AA25" s="301" t="s">
        <v>43</v>
      </c>
    </row>
  </sheetData>
  <mergeCells count="38">
    <mergeCell ref="Y8:Y9"/>
    <mergeCell ref="Z8:Z9"/>
    <mergeCell ref="Y10:Y11"/>
    <mergeCell ref="Z10:Z11"/>
    <mergeCell ref="Y2:Y3"/>
    <mergeCell ref="Z2:Z3"/>
    <mergeCell ref="Y4:Y5"/>
    <mergeCell ref="Z4:Z5"/>
    <mergeCell ref="Y6:Y7"/>
    <mergeCell ref="Z6:Z7"/>
    <mergeCell ref="B2:B3"/>
    <mergeCell ref="B4:B5"/>
    <mergeCell ref="B6:B7"/>
    <mergeCell ref="B8:B9"/>
    <mergeCell ref="E22:F22"/>
    <mergeCell ref="A21:G21"/>
    <mergeCell ref="A2:A3"/>
    <mergeCell ref="A4:A5"/>
    <mergeCell ref="A6:A7"/>
    <mergeCell ref="A8:A9"/>
    <mergeCell ref="A10:A11"/>
    <mergeCell ref="C2:C11"/>
    <mergeCell ref="B10:B11"/>
    <mergeCell ref="L2:L3"/>
    <mergeCell ref="K4:K5"/>
    <mergeCell ref="K6:K7"/>
    <mergeCell ref="K8:K9"/>
    <mergeCell ref="K10:K11"/>
    <mergeCell ref="L4:L5"/>
    <mergeCell ref="L6:L7"/>
    <mergeCell ref="L8:L9"/>
    <mergeCell ref="L10:L11"/>
    <mergeCell ref="K2:K3"/>
    <mergeCell ref="P2:P3"/>
    <mergeCell ref="P4:P5"/>
    <mergeCell ref="P6:P7"/>
    <mergeCell ref="P8:P9"/>
    <mergeCell ref="P10:P11"/>
  </mergeCells>
  <conditionalFormatting sqref="M3">
    <cfRule type="duplicateValues" dxfId="1630" priority="47"/>
  </conditionalFormatting>
  <conditionalFormatting sqref="M5">
    <cfRule type="duplicateValues" dxfId="1629" priority="55"/>
  </conditionalFormatting>
  <conditionalFormatting sqref="M6">
    <cfRule type="duplicateValues" dxfId="1628" priority="53"/>
  </conditionalFormatting>
  <conditionalFormatting sqref="M7:M8 M11 M4 M1:M2">
    <cfRule type="duplicateValues" dxfId="1627" priority="57"/>
    <cfRule type="duplicateValues" dxfId="1626" priority="59"/>
  </conditionalFormatting>
  <conditionalFormatting sqref="M9">
    <cfRule type="duplicateValues" dxfId="1625" priority="51"/>
  </conditionalFormatting>
  <conditionalFormatting sqref="M10">
    <cfRule type="duplicateValues" dxfId="1624" priority="49"/>
  </conditionalFormatting>
  <conditionalFormatting sqref="N3">
    <cfRule type="duplicateValues" dxfId="1623" priority="48"/>
  </conditionalFormatting>
  <conditionalFormatting sqref="N5">
    <cfRule type="duplicateValues" dxfId="1622" priority="46"/>
  </conditionalFormatting>
  <conditionalFormatting sqref="N6">
    <cfRule type="duplicateValues" dxfId="1621" priority="54"/>
  </conditionalFormatting>
  <conditionalFormatting sqref="N7">
    <cfRule type="duplicateValues" dxfId="1620" priority="45"/>
  </conditionalFormatting>
  <conditionalFormatting sqref="N8 N1:N2 N4">
    <cfRule type="duplicateValues" dxfId="1619" priority="58"/>
  </conditionalFormatting>
  <conditionalFormatting sqref="N9">
    <cfRule type="duplicateValues" dxfId="1618" priority="44"/>
  </conditionalFormatting>
  <conditionalFormatting sqref="N10">
    <cfRule type="duplicateValues" dxfId="1617" priority="50"/>
  </conditionalFormatting>
  <conditionalFormatting sqref="N11">
    <cfRule type="duplicateValues" dxfId="1616" priority="43"/>
  </conditionalFormatting>
  <conditionalFormatting sqref="K17">
    <cfRule type="duplicateValues" dxfId="1615" priority="14"/>
    <cfRule type="duplicateValues" dxfId="1614" priority="15"/>
  </conditionalFormatting>
  <conditionalFormatting sqref="N22">
    <cfRule type="duplicateValues" dxfId="1613" priority="3"/>
    <cfRule type="duplicateValues" dxfId="1612" priority="4"/>
    <cfRule type="duplicateValues" dxfId="1611" priority="5"/>
    <cfRule type="duplicateValues" dxfId="1610" priority="6"/>
  </conditionalFormatting>
  <conditionalFormatting sqref="E22">
    <cfRule type="duplicateValues" dxfId="1609" priority="7"/>
  </conditionalFormatting>
  <conditionalFormatting sqref="K22">
    <cfRule type="duplicateValues" dxfId="1608" priority="8"/>
  </conditionalFormatting>
  <conditionalFormatting sqref="L22">
    <cfRule type="duplicateValues" dxfId="1607" priority="9"/>
  </conditionalFormatting>
  <conditionalFormatting sqref="M22">
    <cfRule type="duplicateValues" dxfId="1606" priority="10"/>
    <cfRule type="duplicateValues" dxfId="1605" priority="11"/>
    <cfRule type="duplicateValues" dxfId="1604" priority="12"/>
    <cfRule type="duplicateValues" dxfId="1603" priority="13"/>
  </conditionalFormatting>
  <conditionalFormatting sqref="K25">
    <cfRule type="duplicateValues" dxfId="1602" priority="1"/>
    <cfRule type="duplicateValues" dxfId="1601" priority="2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0"/>
  <sheetViews>
    <sheetView rightToLeft="1" zoomScaleNormal="100" workbookViewId="0">
      <pane xSplit="10" topLeftCell="V1" activePane="topRight" state="frozen"/>
      <selection pane="topRight" activeCell="F30" sqref="F30"/>
    </sheetView>
  </sheetViews>
  <sheetFormatPr defaultRowHeight="15"/>
  <cols>
    <col min="1" max="1" width="6" customWidth="1"/>
    <col min="2" max="2" width="9.28515625" bestFit="1" customWidth="1"/>
    <col min="3" max="3" width="20" customWidth="1"/>
    <col min="6" max="6" width="30.28515625" customWidth="1"/>
    <col min="7" max="7" width="13.42578125" customWidth="1"/>
    <col min="8" max="8" width="15" customWidth="1"/>
    <col min="9" max="9" width="21.42578125" customWidth="1"/>
    <col min="10" max="10" width="12" customWidth="1"/>
    <col min="11" max="11" width="72.5703125" customWidth="1"/>
    <col min="12" max="12" width="28.5703125" customWidth="1"/>
    <col min="13" max="13" width="44.42578125" customWidth="1"/>
    <col min="14" max="14" width="65" customWidth="1"/>
    <col min="16" max="16" width="37.42578125" customWidth="1"/>
    <col min="17" max="17" width="12.7109375" customWidth="1"/>
    <col min="18" max="18" width="27.7109375" customWidth="1"/>
    <col min="19" max="20" width="17.42578125" customWidth="1"/>
    <col min="21" max="21" width="40.28515625" customWidth="1"/>
    <col min="22" max="22" width="12.5703125" customWidth="1"/>
    <col min="23" max="23" width="25.140625" customWidth="1"/>
    <col min="24" max="24" width="55.85546875" customWidth="1"/>
    <col min="25" max="25" width="23.7109375" customWidth="1"/>
    <col min="26" max="26" width="19" customWidth="1"/>
    <col min="27" max="27" width="16.85546875" customWidth="1"/>
  </cols>
  <sheetData>
    <row r="1" spans="1:27" s="12" customFormat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196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2" t="s">
        <v>23</v>
      </c>
      <c r="Z1" s="31" t="s">
        <v>24</v>
      </c>
      <c r="AA1" s="49" t="s">
        <v>9184</v>
      </c>
    </row>
    <row r="2" spans="1:27" s="27" customFormat="1" ht="15" customHeight="1">
      <c r="A2" s="1390">
        <v>1</v>
      </c>
      <c r="B2" s="1480">
        <v>314</v>
      </c>
      <c r="C2" s="1392" t="s">
        <v>26</v>
      </c>
      <c r="D2" s="22" t="s">
        <v>138</v>
      </c>
      <c r="E2" s="22" t="s">
        <v>138</v>
      </c>
      <c r="F2" s="22" t="s">
        <v>26</v>
      </c>
      <c r="G2" s="23" t="s">
        <v>139</v>
      </c>
      <c r="H2" s="4" t="s">
        <v>28</v>
      </c>
      <c r="I2" s="21" t="s">
        <v>29</v>
      </c>
      <c r="J2" s="24" t="s">
        <v>203</v>
      </c>
      <c r="K2" s="1488" t="s">
        <v>14848</v>
      </c>
      <c r="L2" s="1392" t="s">
        <v>14849</v>
      </c>
      <c r="M2" s="22" t="s">
        <v>140</v>
      </c>
      <c r="N2" s="21" t="s">
        <v>207</v>
      </c>
      <c r="O2" s="6" t="s">
        <v>43</v>
      </c>
      <c r="P2" s="1609" t="s">
        <v>141</v>
      </c>
      <c r="Q2" s="6" t="s">
        <v>43</v>
      </c>
      <c r="R2" s="26" t="s">
        <v>142</v>
      </c>
      <c r="S2" s="6" t="s">
        <v>43</v>
      </c>
      <c r="T2" s="1501" t="s">
        <v>318</v>
      </c>
      <c r="U2" s="6" t="s">
        <v>43</v>
      </c>
      <c r="V2" s="6" t="s">
        <v>43</v>
      </c>
      <c r="W2" s="6" t="s">
        <v>43</v>
      </c>
      <c r="X2" s="21" t="s">
        <v>37</v>
      </c>
      <c r="Y2" s="1447" t="s">
        <v>93</v>
      </c>
      <c r="Z2" s="1613" t="s">
        <v>143</v>
      </c>
      <c r="AA2" s="219">
        <v>50440000</v>
      </c>
    </row>
    <row r="3" spans="1:27" s="27" customFormat="1" ht="15.75" customHeight="1">
      <c r="A3" s="1391"/>
      <c r="B3" s="1481"/>
      <c r="C3" s="1394"/>
      <c r="D3" s="22" t="s">
        <v>138</v>
      </c>
      <c r="E3" s="22" t="s">
        <v>138</v>
      </c>
      <c r="F3" s="22" t="s">
        <v>26</v>
      </c>
      <c r="G3" s="26" t="s">
        <v>144</v>
      </c>
      <c r="H3" s="30" t="s">
        <v>195</v>
      </c>
      <c r="I3" s="21" t="s">
        <v>29</v>
      </c>
      <c r="J3" s="24" t="s">
        <v>204</v>
      </c>
      <c r="K3" s="1489"/>
      <c r="L3" s="1394"/>
      <c r="M3" s="22" t="s">
        <v>145</v>
      </c>
      <c r="N3" s="21" t="s">
        <v>206</v>
      </c>
      <c r="O3" s="6" t="s">
        <v>43</v>
      </c>
      <c r="P3" s="1610"/>
      <c r="Q3" s="6" t="s">
        <v>43</v>
      </c>
      <c r="R3" s="26" t="s">
        <v>146</v>
      </c>
      <c r="S3" s="6" t="s">
        <v>43</v>
      </c>
      <c r="T3" s="1503"/>
      <c r="U3" s="6" t="s">
        <v>43</v>
      </c>
      <c r="V3" s="6" t="s">
        <v>43</v>
      </c>
      <c r="W3" s="6" t="s">
        <v>43</v>
      </c>
      <c r="X3" s="6" t="s">
        <v>43</v>
      </c>
      <c r="Y3" s="1448"/>
      <c r="Z3" s="1615"/>
      <c r="AA3" s="219">
        <v>36400000</v>
      </c>
    </row>
    <row r="4" spans="1:27" s="27" customFormat="1" ht="15.75" customHeight="1">
      <c r="A4" s="1391"/>
      <c r="B4" s="1481"/>
      <c r="C4" s="1394"/>
      <c r="D4" s="22" t="s">
        <v>138</v>
      </c>
      <c r="E4" s="22" t="s">
        <v>138</v>
      </c>
      <c r="F4" s="22" t="s">
        <v>26</v>
      </c>
      <c r="G4" s="28" t="s">
        <v>147</v>
      </c>
      <c r="H4" s="4" t="s">
        <v>249</v>
      </c>
      <c r="I4" s="4" t="s">
        <v>60</v>
      </c>
      <c r="J4" s="24" t="s">
        <v>11855</v>
      </c>
      <c r="K4" s="1489"/>
      <c r="L4" s="1394"/>
      <c r="M4" s="1392" t="s">
        <v>148</v>
      </c>
      <c r="N4" s="1390" t="s">
        <v>14872</v>
      </c>
      <c r="O4" s="6" t="s">
        <v>43</v>
      </c>
      <c r="P4" s="1610"/>
      <c r="Q4" s="26" t="s">
        <v>149</v>
      </c>
      <c r="R4" s="26" t="s">
        <v>150</v>
      </c>
      <c r="S4" s="6" t="s">
        <v>43</v>
      </c>
      <c r="T4" s="6" t="s">
        <v>43</v>
      </c>
      <c r="U4" s="6" t="s">
        <v>43</v>
      </c>
      <c r="V4" s="6" t="s">
        <v>43</v>
      </c>
      <c r="W4" s="6" t="s">
        <v>43</v>
      </c>
      <c r="X4" s="21" t="s">
        <v>151</v>
      </c>
      <c r="Y4" s="1448"/>
      <c r="Z4" s="1615"/>
      <c r="AA4" s="219">
        <v>40000000</v>
      </c>
    </row>
    <row r="5" spans="1:27" s="27" customFormat="1" ht="19.5" customHeight="1">
      <c r="A5" s="1391"/>
      <c r="B5" s="1481"/>
      <c r="C5" s="1394"/>
      <c r="D5" s="22" t="s">
        <v>138</v>
      </c>
      <c r="E5" s="22" t="s">
        <v>138</v>
      </c>
      <c r="F5" s="22" t="s">
        <v>26</v>
      </c>
      <c r="G5" s="28" t="s">
        <v>152</v>
      </c>
      <c r="H5" s="4" t="s">
        <v>249</v>
      </c>
      <c r="I5" s="4" t="s">
        <v>60</v>
      </c>
      <c r="J5" s="24" t="s">
        <v>2278</v>
      </c>
      <c r="K5" s="1489"/>
      <c r="L5" s="1394"/>
      <c r="M5" s="1393"/>
      <c r="N5" s="1395"/>
      <c r="O5" s="6" t="s">
        <v>43</v>
      </c>
      <c r="P5" s="1610"/>
      <c r="Q5" s="26" t="s">
        <v>149</v>
      </c>
      <c r="R5" s="26" t="s">
        <v>153</v>
      </c>
      <c r="S5" s="6" t="s">
        <v>43</v>
      </c>
      <c r="T5" s="6" t="s">
        <v>43</v>
      </c>
      <c r="U5" s="6" t="s">
        <v>43</v>
      </c>
      <c r="V5" s="6" t="s">
        <v>43</v>
      </c>
      <c r="W5" s="6" t="s">
        <v>43</v>
      </c>
      <c r="X5" s="21" t="s">
        <v>151</v>
      </c>
      <c r="Y5" s="1448"/>
      <c r="Z5" s="1615"/>
      <c r="AA5" s="219">
        <v>24640000</v>
      </c>
    </row>
    <row r="6" spans="1:27" s="27" customFormat="1" ht="15.75" customHeight="1">
      <c r="A6" s="1391"/>
      <c r="B6" s="1481"/>
      <c r="C6" s="1394"/>
      <c r="D6" s="22" t="s">
        <v>138</v>
      </c>
      <c r="E6" s="22" t="s">
        <v>138</v>
      </c>
      <c r="F6" s="22" t="s">
        <v>26</v>
      </c>
      <c r="G6" s="28" t="s">
        <v>154</v>
      </c>
      <c r="H6" s="4" t="s">
        <v>249</v>
      </c>
      <c r="I6" s="4" t="s">
        <v>60</v>
      </c>
      <c r="J6" s="505" t="s">
        <v>11855</v>
      </c>
      <c r="K6" s="1489"/>
      <c r="L6" s="1394"/>
      <c r="M6" s="1392" t="s">
        <v>155</v>
      </c>
      <c r="N6" s="1390" t="s">
        <v>14871</v>
      </c>
      <c r="O6" s="6" t="s">
        <v>43</v>
      </c>
      <c r="P6" s="1610"/>
      <c r="Q6" s="26" t="s">
        <v>149</v>
      </c>
      <c r="R6" s="26" t="s">
        <v>156</v>
      </c>
      <c r="S6" s="6" t="s">
        <v>43</v>
      </c>
      <c r="T6" s="6" t="s">
        <v>43</v>
      </c>
      <c r="U6" s="6" t="s">
        <v>43</v>
      </c>
      <c r="V6" s="6" t="s">
        <v>43</v>
      </c>
      <c r="W6" s="6" t="s">
        <v>43</v>
      </c>
      <c r="X6" s="21" t="s">
        <v>151</v>
      </c>
      <c r="Y6" s="1448"/>
      <c r="Z6" s="1615"/>
      <c r="AA6" s="219">
        <v>40000000</v>
      </c>
    </row>
    <row r="7" spans="1:27" s="27" customFormat="1" ht="15.75" customHeight="1">
      <c r="A7" s="1391"/>
      <c r="B7" s="1481"/>
      <c r="C7" s="1394"/>
      <c r="D7" s="22" t="s">
        <v>138</v>
      </c>
      <c r="E7" s="22" t="s">
        <v>138</v>
      </c>
      <c r="F7" s="22" t="s">
        <v>26</v>
      </c>
      <c r="G7" s="28" t="s">
        <v>157</v>
      </c>
      <c r="H7" s="4" t="s">
        <v>249</v>
      </c>
      <c r="I7" s="4" t="s">
        <v>60</v>
      </c>
      <c r="J7" s="24" t="s">
        <v>204</v>
      </c>
      <c r="K7" s="1489"/>
      <c r="L7" s="1394"/>
      <c r="M7" s="1393"/>
      <c r="N7" s="1395"/>
      <c r="O7" s="6" t="s">
        <v>43</v>
      </c>
      <c r="P7" s="1610"/>
      <c r="Q7" s="26" t="s">
        <v>149</v>
      </c>
      <c r="R7" s="26" t="s">
        <v>158</v>
      </c>
      <c r="S7" s="6" t="s">
        <v>43</v>
      </c>
      <c r="T7" s="6" t="s">
        <v>43</v>
      </c>
      <c r="U7" s="6" t="s">
        <v>43</v>
      </c>
      <c r="V7" s="6" t="s">
        <v>43</v>
      </c>
      <c r="W7" s="6" t="s">
        <v>43</v>
      </c>
      <c r="X7" s="21" t="s">
        <v>151</v>
      </c>
      <c r="Y7" s="1448"/>
      <c r="Z7" s="1615"/>
      <c r="AA7" s="219">
        <v>31360000</v>
      </c>
    </row>
    <row r="8" spans="1:27" s="27" customFormat="1" ht="15.75" customHeight="1">
      <c r="A8" s="1391"/>
      <c r="B8" s="1481"/>
      <c r="C8" s="1394"/>
      <c r="D8" s="712" t="s">
        <v>138</v>
      </c>
      <c r="E8" s="712" t="s">
        <v>138</v>
      </c>
      <c r="F8" s="712" t="s">
        <v>26</v>
      </c>
      <c r="G8" s="711" t="s">
        <v>43</v>
      </c>
      <c r="H8" s="710" t="s">
        <v>44</v>
      </c>
      <c r="I8" s="710" t="s">
        <v>45</v>
      </c>
      <c r="J8" s="713" t="s">
        <v>201</v>
      </c>
      <c r="K8" s="1489"/>
      <c r="L8" s="1394"/>
      <c r="M8" s="709" t="s">
        <v>14873</v>
      </c>
      <c r="N8" s="708" t="s">
        <v>14874</v>
      </c>
      <c r="O8" s="714" t="s">
        <v>43</v>
      </c>
      <c r="P8" s="1610"/>
      <c r="Q8" s="714" t="s">
        <v>43</v>
      </c>
      <c r="R8" s="714" t="s">
        <v>48</v>
      </c>
      <c r="S8" s="714" t="s">
        <v>43</v>
      </c>
      <c r="T8" s="714" t="s">
        <v>43</v>
      </c>
      <c r="U8" s="714" t="s">
        <v>43</v>
      </c>
      <c r="V8" s="714" t="s">
        <v>43</v>
      </c>
      <c r="W8" s="714" t="s">
        <v>43</v>
      </c>
      <c r="X8" s="710" t="s">
        <v>50</v>
      </c>
      <c r="Y8" s="1448"/>
      <c r="Z8" s="1615"/>
      <c r="AA8" s="219">
        <v>0</v>
      </c>
    </row>
    <row r="9" spans="1:27" s="27" customFormat="1" ht="15.75" customHeight="1">
      <c r="A9" s="1395"/>
      <c r="B9" s="1491"/>
      <c r="C9" s="1394"/>
      <c r="D9" s="22" t="s">
        <v>138</v>
      </c>
      <c r="E9" s="22" t="s">
        <v>138</v>
      </c>
      <c r="F9" s="22" t="s">
        <v>26</v>
      </c>
      <c r="G9" s="6" t="s">
        <v>43</v>
      </c>
      <c r="H9" s="661" t="s">
        <v>14199</v>
      </c>
      <c r="I9" s="21" t="s">
        <v>45</v>
      </c>
      <c r="J9" s="24" t="s">
        <v>11886</v>
      </c>
      <c r="K9" s="1490"/>
      <c r="L9" s="1393"/>
      <c r="M9" s="22" t="s">
        <v>159</v>
      </c>
      <c r="N9" s="21" t="s">
        <v>208</v>
      </c>
      <c r="O9" s="6" t="s">
        <v>43</v>
      </c>
      <c r="P9" s="1611"/>
      <c r="Q9" s="6" t="s">
        <v>43</v>
      </c>
      <c r="R9" s="26" t="s">
        <v>160</v>
      </c>
      <c r="S9" s="6" t="s">
        <v>43</v>
      </c>
      <c r="T9" s="6" t="s">
        <v>43</v>
      </c>
      <c r="U9" s="6" t="s">
        <v>43</v>
      </c>
      <c r="V9" s="6" t="s">
        <v>43</v>
      </c>
      <c r="W9" s="6" t="s">
        <v>43</v>
      </c>
      <c r="X9" s="21" t="s">
        <v>56</v>
      </c>
      <c r="Y9" s="1449"/>
      <c r="Z9" s="1614"/>
      <c r="AA9" s="219">
        <v>0</v>
      </c>
    </row>
    <row r="10" spans="1:27" s="27" customFormat="1" ht="15.75" customHeight="1">
      <c r="A10" s="1390">
        <v>2</v>
      </c>
      <c r="B10" s="1480">
        <v>337</v>
      </c>
      <c r="C10" s="1394"/>
      <c r="D10" s="22" t="s">
        <v>161</v>
      </c>
      <c r="E10" s="22" t="s">
        <v>162</v>
      </c>
      <c r="F10" s="22" t="s">
        <v>26</v>
      </c>
      <c r="G10" s="26" t="s">
        <v>163</v>
      </c>
      <c r="H10" s="4" t="s">
        <v>59</v>
      </c>
      <c r="I10" s="4" t="s">
        <v>60</v>
      </c>
      <c r="J10" s="24" t="s">
        <v>199</v>
      </c>
      <c r="K10" s="1390" t="s">
        <v>14851</v>
      </c>
      <c r="L10" s="1392" t="s">
        <v>14850</v>
      </c>
      <c r="M10" s="22" t="s">
        <v>164</v>
      </c>
      <c r="N10" s="21" t="s">
        <v>14864</v>
      </c>
      <c r="O10" s="6" t="s">
        <v>43</v>
      </c>
      <c r="P10" s="1482" t="s">
        <v>2805</v>
      </c>
      <c r="Q10" s="26" t="s">
        <v>165</v>
      </c>
      <c r="R10" s="26" t="s">
        <v>166</v>
      </c>
      <c r="S10" s="6" t="s">
        <v>43</v>
      </c>
      <c r="T10" s="6" t="s">
        <v>43</v>
      </c>
      <c r="U10" s="6" t="s">
        <v>43</v>
      </c>
      <c r="V10" s="6" t="s">
        <v>43</v>
      </c>
      <c r="W10" s="6" t="s">
        <v>43</v>
      </c>
      <c r="X10" s="21" t="s">
        <v>167</v>
      </c>
      <c r="Y10" s="1583" t="s">
        <v>202</v>
      </c>
      <c r="Z10" s="1613" t="s">
        <v>65</v>
      </c>
      <c r="AA10" s="219">
        <v>17920000</v>
      </c>
    </row>
    <row r="11" spans="1:27" s="27" customFormat="1" ht="15.75" customHeight="1">
      <c r="A11" s="1395"/>
      <c r="B11" s="1491"/>
      <c r="C11" s="1394"/>
      <c r="D11" s="22" t="s">
        <v>161</v>
      </c>
      <c r="E11" s="22" t="s">
        <v>162</v>
      </c>
      <c r="F11" s="22" t="s">
        <v>26</v>
      </c>
      <c r="G11" s="98" t="s">
        <v>11856</v>
      </c>
      <c r="H11" s="30" t="s">
        <v>195</v>
      </c>
      <c r="I11" s="21" t="s">
        <v>168</v>
      </c>
      <c r="J11" s="24" t="s">
        <v>199</v>
      </c>
      <c r="K11" s="1395"/>
      <c r="L11" s="1393"/>
      <c r="M11" s="22" t="s">
        <v>169</v>
      </c>
      <c r="N11" s="21" t="s">
        <v>209</v>
      </c>
      <c r="O11" s="6" t="s">
        <v>43</v>
      </c>
      <c r="P11" s="1484"/>
      <c r="Q11" s="6" t="s">
        <v>43</v>
      </c>
      <c r="R11" s="26" t="s">
        <v>68</v>
      </c>
      <c r="S11" s="6" t="s">
        <v>43</v>
      </c>
      <c r="T11" s="6" t="s">
        <v>43</v>
      </c>
      <c r="U11" s="6" t="s">
        <v>43</v>
      </c>
      <c r="V11" s="6" t="s">
        <v>43</v>
      </c>
      <c r="W11" s="6" t="s">
        <v>43</v>
      </c>
      <c r="X11" s="21" t="s">
        <v>170</v>
      </c>
      <c r="Y11" s="1584"/>
      <c r="Z11" s="1614"/>
      <c r="AA11" s="219">
        <v>20800000</v>
      </c>
    </row>
    <row r="12" spans="1:27" s="27" customFormat="1" ht="15.75" customHeight="1">
      <c r="A12" s="1390">
        <v>3</v>
      </c>
      <c r="B12" s="1480">
        <v>352</v>
      </c>
      <c r="C12" s="1394"/>
      <c r="D12" s="22" t="s">
        <v>171</v>
      </c>
      <c r="E12" s="22" t="s">
        <v>171</v>
      </c>
      <c r="F12" s="22" t="s">
        <v>26</v>
      </c>
      <c r="G12" s="26" t="s">
        <v>9242</v>
      </c>
      <c r="H12" s="4" t="s">
        <v>59</v>
      </c>
      <c r="I12" s="4" t="s">
        <v>60</v>
      </c>
      <c r="J12" s="24" t="s">
        <v>199</v>
      </c>
      <c r="K12" s="1390" t="s">
        <v>14852</v>
      </c>
      <c r="L12" s="1392" t="s">
        <v>14858</v>
      </c>
      <c r="M12" s="22" t="s">
        <v>164</v>
      </c>
      <c r="N12" s="21" t="s">
        <v>14865</v>
      </c>
      <c r="O12" s="6" t="s">
        <v>43</v>
      </c>
      <c r="P12" s="1482" t="s">
        <v>2806</v>
      </c>
      <c r="Q12" s="26" t="s">
        <v>172</v>
      </c>
      <c r="R12" s="26" t="s">
        <v>166</v>
      </c>
      <c r="S12" s="6" t="s">
        <v>43</v>
      </c>
      <c r="T12" s="6" t="s">
        <v>43</v>
      </c>
      <c r="U12" s="6" t="s">
        <v>43</v>
      </c>
      <c r="V12" s="6" t="s">
        <v>43</v>
      </c>
      <c r="W12" s="6" t="s">
        <v>43</v>
      </c>
      <c r="X12" s="21" t="s">
        <v>167</v>
      </c>
      <c r="Y12" s="1583" t="s">
        <v>202</v>
      </c>
      <c r="Z12" s="1613" t="s">
        <v>65</v>
      </c>
      <c r="AA12" s="219">
        <v>25600000</v>
      </c>
    </row>
    <row r="13" spans="1:27" s="27" customFormat="1" ht="15.75" customHeight="1">
      <c r="A13" s="1395"/>
      <c r="B13" s="1491"/>
      <c r="C13" s="1394"/>
      <c r="D13" s="22" t="s">
        <v>171</v>
      </c>
      <c r="E13" s="22" t="s">
        <v>171</v>
      </c>
      <c r="F13" s="22" t="s">
        <v>26</v>
      </c>
      <c r="G13" s="26">
        <v>4312237218</v>
      </c>
      <c r="H13" s="30" t="s">
        <v>195</v>
      </c>
      <c r="I13" s="21" t="s">
        <v>168</v>
      </c>
      <c r="J13" s="24" t="s">
        <v>199</v>
      </c>
      <c r="K13" s="1395"/>
      <c r="L13" s="1393"/>
      <c r="M13" s="22" t="s">
        <v>173</v>
      </c>
      <c r="N13" s="21" t="s">
        <v>210</v>
      </c>
      <c r="O13" s="6" t="s">
        <v>43</v>
      </c>
      <c r="P13" s="1484"/>
      <c r="Q13" s="6" t="s">
        <v>43</v>
      </c>
      <c r="R13" s="26" t="s">
        <v>68</v>
      </c>
      <c r="S13" s="6" t="s">
        <v>43</v>
      </c>
      <c r="T13" s="6" t="s">
        <v>43</v>
      </c>
      <c r="U13" s="6" t="s">
        <v>43</v>
      </c>
      <c r="V13" s="6" t="s">
        <v>43</v>
      </c>
      <c r="W13" s="6" t="s">
        <v>43</v>
      </c>
      <c r="X13" s="21" t="s">
        <v>170</v>
      </c>
      <c r="Y13" s="1584"/>
      <c r="Z13" s="1614"/>
      <c r="AA13" s="219">
        <v>20800000</v>
      </c>
    </row>
    <row r="14" spans="1:27" s="27" customFormat="1" ht="15.75" customHeight="1">
      <c r="A14" s="1390">
        <v>5</v>
      </c>
      <c r="B14" s="1480">
        <v>400</v>
      </c>
      <c r="C14" s="1394"/>
      <c r="D14" s="22" t="s">
        <v>179</v>
      </c>
      <c r="E14" s="22" t="s">
        <v>179</v>
      </c>
      <c r="F14" s="22" t="s">
        <v>26</v>
      </c>
      <c r="G14" s="26" t="s">
        <v>180</v>
      </c>
      <c r="H14" s="4" t="s">
        <v>59</v>
      </c>
      <c r="I14" s="4" t="s">
        <v>60</v>
      </c>
      <c r="J14" s="24" t="s">
        <v>199</v>
      </c>
      <c r="K14" s="1392" t="s">
        <v>14854</v>
      </c>
      <c r="L14" s="1392" t="s">
        <v>14860</v>
      </c>
      <c r="M14" s="22" t="s">
        <v>164</v>
      </c>
      <c r="N14" s="21" t="s">
        <v>14867</v>
      </c>
      <c r="O14" s="6" t="s">
        <v>43</v>
      </c>
      <c r="P14" s="1482" t="s">
        <v>2808</v>
      </c>
      <c r="Q14" s="26" t="s">
        <v>181</v>
      </c>
      <c r="R14" s="26" t="s">
        <v>166</v>
      </c>
      <c r="S14" s="6" t="s">
        <v>43</v>
      </c>
      <c r="T14" s="6" t="s">
        <v>43</v>
      </c>
      <c r="U14" s="6" t="s">
        <v>43</v>
      </c>
      <c r="V14" s="6" t="s">
        <v>43</v>
      </c>
      <c r="W14" s="6" t="s">
        <v>43</v>
      </c>
      <c r="X14" s="21" t="s">
        <v>167</v>
      </c>
      <c r="Y14" s="1583" t="s">
        <v>202</v>
      </c>
      <c r="Z14" s="1613" t="s">
        <v>65</v>
      </c>
      <c r="AA14" s="219">
        <v>25600000</v>
      </c>
    </row>
    <row r="15" spans="1:27" s="27" customFormat="1" ht="19.5" customHeight="1">
      <c r="A15" s="1395"/>
      <c r="B15" s="1491"/>
      <c r="C15" s="1394"/>
      <c r="D15" s="22" t="s">
        <v>179</v>
      </c>
      <c r="E15" s="22" t="s">
        <v>179</v>
      </c>
      <c r="F15" s="22" t="s">
        <v>26</v>
      </c>
      <c r="G15" s="26">
        <v>4912221681</v>
      </c>
      <c r="H15" s="30" t="s">
        <v>195</v>
      </c>
      <c r="I15" s="21" t="s">
        <v>168</v>
      </c>
      <c r="J15" s="24" t="s">
        <v>199</v>
      </c>
      <c r="K15" s="1393"/>
      <c r="L15" s="1393"/>
      <c r="M15" s="22" t="s">
        <v>182</v>
      </c>
      <c r="N15" s="21" t="s">
        <v>212</v>
      </c>
      <c r="O15" s="6" t="s">
        <v>43</v>
      </c>
      <c r="P15" s="1484"/>
      <c r="Q15" s="6" t="s">
        <v>43</v>
      </c>
      <c r="R15" s="26" t="s">
        <v>68</v>
      </c>
      <c r="S15" s="6" t="s">
        <v>43</v>
      </c>
      <c r="T15" s="6" t="s">
        <v>43</v>
      </c>
      <c r="U15" s="6" t="s">
        <v>43</v>
      </c>
      <c r="V15" s="6" t="s">
        <v>43</v>
      </c>
      <c r="W15" s="6" t="s">
        <v>43</v>
      </c>
      <c r="X15" s="21" t="s">
        <v>170</v>
      </c>
      <c r="Y15" s="1584"/>
      <c r="Z15" s="1614"/>
      <c r="AA15" s="219">
        <v>20800000</v>
      </c>
    </row>
    <row r="16" spans="1:27" s="27" customFormat="1" ht="15.75" customHeight="1">
      <c r="A16" s="1390">
        <v>6</v>
      </c>
      <c r="B16" s="1480">
        <v>479</v>
      </c>
      <c r="C16" s="1394"/>
      <c r="D16" s="22" t="s">
        <v>183</v>
      </c>
      <c r="E16" s="22" t="s">
        <v>184</v>
      </c>
      <c r="F16" s="22" t="s">
        <v>26</v>
      </c>
      <c r="G16" s="29" t="s">
        <v>185</v>
      </c>
      <c r="H16" s="4" t="s">
        <v>59</v>
      </c>
      <c r="I16" s="4" t="s">
        <v>60</v>
      </c>
      <c r="J16" s="24" t="s">
        <v>199</v>
      </c>
      <c r="K16" s="1392" t="s">
        <v>14855</v>
      </c>
      <c r="L16" s="1392" t="s">
        <v>14861</v>
      </c>
      <c r="M16" s="22" t="s">
        <v>164</v>
      </c>
      <c r="N16" s="21" t="s">
        <v>14868</v>
      </c>
      <c r="O16" s="6" t="s">
        <v>43</v>
      </c>
      <c r="P16" s="1482" t="s">
        <v>2809</v>
      </c>
      <c r="Q16" s="26" t="s">
        <v>186</v>
      </c>
      <c r="R16" s="26" t="s">
        <v>166</v>
      </c>
      <c r="S16" s="6" t="s">
        <v>43</v>
      </c>
      <c r="T16" s="6" t="s">
        <v>43</v>
      </c>
      <c r="U16" s="6" t="s">
        <v>43</v>
      </c>
      <c r="V16" s="6" t="s">
        <v>43</v>
      </c>
      <c r="W16" s="6" t="s">
        <v>43</v>
      </c>
      <c r="X16" s="21" t="s">
        <v>167</v>
      </c>
      <c r="Y16" s="1583" t="s">
        <v>202</v>
      </c>
      <c r="Z16" s="1613" t="s">
        <v>65</v>
      </c>
      <c r="AA16" s="219">
        <v>25600000</v>
      </c>
    </row>
    <row r="17" spans="1:27" s="27" customFormat="1" ht="15.75" customHeight="1">
      <c r="A17" s="1395"/>
      <c r="B17" s="1491"/>
      <c r="C17" s="1394"/>
      <c r="D17" s="22" t="s">
        <v>183</v>
      </c>
      <c r="E17" s="22" t="s">
        <v>184</v>
      </c>
      <c r="F17" s="22" t="s">
        <v>26</v>
      </c>
      <c r="G17" s="28">
        <v>4212221710</v>
      </c>
      <c r="H17" s="30" t="s">
        <v>195</v>
      </c>
      <c r="I17" s="21" t="s">
        <v>168</v>
      </c>
      <c r="J17" s="24" t="s">
        <v>199</v>
      </c>
      <c r="K17" s="1393"/>
      <c r="L17" s="1393"/>
      <c r="M17" s="22" t="s">
        <v>187</v>
      </c>
      <c r="N17" s="21" t="s">
        <v>213</v>
      </c>
      <c r="O17" s="6" t="s">
        <v>43</v>
      </c>
      <c r="P17" s="1484"/>
      <c r="Q17" s="6" t="s">
        <v>43</v>
      </c>
      <c r="R17" s="26" t="s">
        <v>68</v>
      </c>
      <c r="S17" s="6" t="s">
        <v>43</v>
      </c>
      <c r="T17" s="6" t="s">
        <v>43</v>
      </c>
      <c r="U17" s="6" t="s">
        <v>43</v>
      </c>
      <c r="V17" s="6" t="s">
        <v>43</v>
      </c>
      <c r="W17" s="6" t="s">
        <v>43</v>
      </c>
      <c r="X17" s="21" t="s">
        <v>170</v>
      </c>
      <c r="Y17" s="1584"/>
      <c r="Z17" s="1614"/>
      <c r="AA17" s="219">
        <v>20800000</v>
      </c>
    </row>
    <row r="18" spans="1:27" s="27" customFormat="1" ht="15.75" customHeight="1">
      <c r="A18" s="1390">
        <v>7</v>
      </c>
      <c r="B18" s="1480">
        <v>480</v>
      </c>
      <c r="C18" s="1394"/>
      <c r="D18" s="22" t="s">
        <v>161</v>
      </c>
      <c r="E18" s="22" t="s">
        <v>188</v>
      </c>
      <c r="F18" s="22" t="s">
        <v>26</v>
      </c>
      <c r="G18" s="29" t="s">
        <v>189</v>
      </c>
      <c r="H18" s="4" t="s">
        <v>59</v>
      </c>
      <c r="I18" s="4" t="s">
        <v>60</v>
      </c>
      <c r="J18" s="24" t="s">
        <v>199</v>
      </c>
      <c r="K18" s="1392" t="s">
        <v>14856</v>
      </c>
      <c r="L18" s="1392" t="s">
        <v>14862</v>
      </c>
      <c r="M18" s="22" t="s">
        <v>164</v>
      </c>
      <c r="N18" s="21" t="s">
        <v>14869</v>
      </c>
      <c r="O18" s="6" t="s">
        <v>43</v>
      </c>
      <c r="P18" s="1482" t="s">
        <v>2810</v>
      </c>
      <c r="Q18" s="26" t="s">
        <v>190</v>
      </c>
      <c r="R18" s="26" t="s">
        <v>166</v>
      </c>
      <c r="S18" s="6" t="s">
        <v>43</v>
      </c>
      <c r="T18" s="6" t="s">
        <v>43</v>
      </c>
      <c r="U18" s="6" t="s">
        <v>43</v>
      </c>
      <c r="V18" s="6" t="s">
        <v>43</v>
      </c>
      <c r="W18" s="6" t="s">
        <v>43</v>
      </c>
      <c r="X18" s="21" t="s">
        <v>167</v>
      </c>
      <c r="Y18" s="1583" t="s">
        <v>202</v>
      </c>
      <c r="Z18" s="1613" t="s">
        <v>65</v>
      </c>
      <c r="AA18" s="219">
        <v>17920000</v>
      </c>
    </row>
    <row r="19" spans="1:27" s="27" customFormat="1" ht="15.75" customHeight="1">
      <c r="A19" s="1395"/>
      <c r="B19" s="1491"/>
      <c r="C19" s="1394"/>
      <c r="D19" s="22" t="s">
        <v>161</v>
      </c>
      <c r="E19" s="22" t="s">
        <v>188</v>
      </c>
      <c r="F19" s="22" t="s">
        <v>26</v>
      </c>
      <c r="G19" s="26">
        <v>4115560085</v>
      </c>
      <c r="H19" s="30" t="s">
        <v>195</v>
      </c>
      <c r="I19" s="21" t="s">
        <v>168</v>
      </c>
      <c r="J19" s="24" t="s">
        <v>199</v>
      </c>
      <c r="K19" s="1393"/>
      <c r="L19" s="1393"/>
      <c r="M19" s="22" t="s">
        <v>191</v>
      </c>
      <c r="N19" s="21" t="s">
        <v>214</v>
      </c>
      <c r="O19" s="6" t="s">
        <v>43</v>
      </c>
      <c r="P19" s="1484"/>
      <c r="Q19" s="6" t="s">
        <v>43</v>
      </c>
      <c r="R19" s="26" t="s">
        <v>68</v>
      </c>
      <c r="S19" s="6" t="s">
        <v>43</v>
      </c>
      <c r="T19" s="6" t="s">
        <v>43</v>
      </c>
      <c r="U19" s="6" t="s">
        <v>43</v>
      </c>
      <c r="V19" s="6" t="s">
        <v>43</v>
      </c>
      <c r="W19" s="6" t="s">
        <v>43</v>
      </c>
      <c r="X19" s="21" t="s">
        <v>170</v>
      </c>
      <c r="Y19" s="1584"/>
      <c r="Z19" s="1614"/>
      <c r="AA19" s="219">
        <v>20800000</v>
      </c>
    </row>
    <row r="20" spans="1:27" s="27" customFormat="1" ht="15.75" customHeight="1">
      <c r="A20" s="1390">
        <v>8</v>
      </c>
      <c r="B20" s="1480">
        <v>548</v>
      </c>
      <c r="C20" s="1394"/>
      <c r="D20" s="22" t="s">
        <v>138</v>
      </c>
      <c r="E20" s="22" t="s">
        <v>192</v>
      </c>
      <c r="F20" s="22" t="s">
        <v>26</v>
      </c>
      <c r="G20" s="29" t="s">
        <v>9243</v>
      </c>
      <c r="H20" s="4" t="s">
        <v>59</v>
      </c>
      <c r="I20" s="4" t="s">
        <v>60</v>
      </c>
      <c r="J20" s="24" t="s">
        <v>199</v>
      </c>
      <c r="K20" s="1392" t="s">
        <v>14857</v>
      </c>
      <c r="L20" s="1392" t="s">
        <v>14863</v>
      </c>
      <c r="M20" s="22" t="s">
        <v>164</v>
      </c>
      <c r="N20" s="21" t="s">
        <v>14870</v>
      </c>
      <c r="O20" s="6" t="s">
        <v>43</v>
      </c>
      <c r="P20" s="1482" t="s">
        <v>2811</v>
      </c>
      <c r="Q20" s="26" t="s">
        <v>172</v>
      </c>
      <c r="R20" s="26" t="s">
        <v>166</v>
      </c>
      <c r="S20" s="6" t="s">
        <v>43</v>
      </c>
      <c r="T20" s="6" t="s">
        <v>43</v>
      </c>
      <c r="U20" s="6" t="s">
        <v>43</v>
      </c>
      <c r="V20" s="6" t="s">
        <v>43</v>
      </c>
      <c r="W20" s="6" t="s">
        <v>43</v>
      </c>
      <c r="X20" s="21" t="s">
        <v>167</v>
      </c>
      <c r="Y20" s="1583" t="s">
        <v>202</v>
      </c>
      <c r="Z20" s="1613" t="s">
        <v>65</v>
      </c>
      <c r="AA20" s="219">
        <v>17920000</v>
      </c>
    </row>
    <row r="21" spans="1:27" s="27" customFormat="1" ht="15.75" customHeight="1">
      <c r="A21" s="1395"/>
      <c r="B21" s="1491"/>
      <c r="C21" s="1393"/>
      <c r="D21" s="22" t="s">
        <v>138</v>
      </c>
      <c r="E21" s="22" t="s">
        <v>192</v>
      </c>
      <c r="F21" s="22" t="s">
        <v>26</v>
      </c>
      <c r="G21" s="28" t="s">
        <v>193</v>
      </c>
      <c r="H21" s="30" t="s">
        <v>195</v>
      </c>
      <c r="I21" s="21" t="s">
        <v>168</v>
      </c>
      <c r="J21" s="24" t="s">
        <v>199</v>
      </c>
      <c r="K21" s="1393"/>
      <c r="L21" s="1393"/>
      <c r="M21" s="22" t="s">
        <v>194</v>
      </c>
      <c r="N21" s="21" t="s">
        <v>215</v>
      </c>
      <c r="O21" s="6" t="s">
        <v>43</v>
      </c>
      <c r="P21" s="1484"/>
      <c r="Q21" s="6" t="s">
        <v>43</v>
      </c>
      <c r="R21" s="26" t="s">
        <v>68</v>
      </c>
      <c r="S21" s="6" t="s">
        <v>43</v>
      </c>
      <c r="T21" s="6" t="s">
        <v>43</v>
      </c>
      <c r="U21" s="6" t="s">
        <v>43</v>
      </c>
      <c r="V21" s="6" t="s">
        <v>43</v>
      </c>
      <c r="W21" s="6" t="s">
        <v>43</v>
      </c>
      <c r="X21" s="21" t="s">
        <v>170</v>
      </c>
      <c r="Y21" s="1584"/>
      <c r="Z21" s="1614"/>
      <c r="AA21" s="219">
        <v>20800000</v>
      </c>
    </row>
    <row r="22" spans="1:27" ht="19.5">
      <c r="Z22" s="302" t="s">
        <v>90</v>
      </c>
      <c r="AA22" s="226">
        <f>SUM(AA2:AA21)</f>
        <v>478200000</v>
      </c>
    </row>
    <row r="24" spans="1:27" ht="22.5">
      <c r="A24" s="1459" t="s">
        <v>14163</v>
      </c>
      <c r="B24" s="1459"/>
      <c r="C24" s="1459"/>
      <c r="D24" s="1459"/>
      <c r="E24" s="1459"/>
      <c r="F24" s="1459"/>
      <c r="G24" s="1459"/>
    </row>
    <row r="25" spans="1:27" s="12" customFormat="1" ht="19.5">
      <c r="A25" s="34" t="s">
        <v>0</v>
      </c>
      <c r="B25" s="34" t="s">
        <v>5</v>
      </c>
      <c r="C25" s="34" t="s">
        <v>2</v>
      </c>
      <c r="D25" s="34" t="s">
        <v>3</v>
      </c>
      <c r="E25" s="1445" t="s">
        <v>88</v>
      </c>
      <c r="F25" s="1446"/>
      <c r="G25" s="34" t="s">
        <v>6</v>
      </c>
      <c r="H25" s="34" t="s">
        <v>7</v>
      </c>
      <c r="I25" s="34" t="s">
        <v>8</v>
      </c>
      <c r="J25" s="34" t="s">
        <v>196</v>
      </c>
      <c r="K25" s="34" t="s">
        <v>9</v>
      </c>
      <c r="L25" s="34" t="s">
        <v>11</v>
      </c>
      <c r="M25" s="34" t="s">
        <v>12</v>
      </c>
      <c r="N25" s="34" t="s">
        <v>216</v>
      </c>
      <c r="O25" s="34" t="s">
        <v>13</v>
      </c>
      <c r="P25" s="35" t="s">
        <v>14</v>
      </c>
      <c r="Q25" s="35" t="s">
        <v>217</v>
      </c>
      <c r="R25" s="35" t="s">
        <v>16</v>
      </c>
      <c r="S25" s="34" t="s">
        <v>17</v>
      </c>
      <c r="T25" s="34" t="s">
        <v>218</v>
      </c>
      <c r="U25" s="34" t="s">
        <v>22</v>
      </c>
      <c r="V25" s="36" t="s">
        <v>23</v>
      </c>
      <c r="W25" s="34" t="s">
        <v>24</v>
      </c>
      <c r="X25" s="58" t="s">
        <v>257</v>
      </c>
      <c r="Z25"/>
      <c r="AA25"/>
    </row>
    <row r="26" spans="1:27" s="12" customFormat="1" ht="15.75" customHeight="1">
      <c r="A26" s="631">
        <v>2</v>
      </c>
      <c r="B26" s="1002"/>
      <c r="C26" s="1003" t="s">
        <v>26</v>
      </c>
      <c r="D26" s="625" t="s">
        <v>138</v>
      </c>
      <c r="E26" s="1612" t="s">
        <v>223</v>
      </c>
      <c r="F26" s="1612"/>
      <c r="G26" s="629" t="s">
        <v>9246</v>
      </c>
      <c r="H26" s="4" t="s">
        <v>59</v>
      </c>
      <c r="I26" s="4" t="s">
        <v>60</v>
      </c>
      <c r="J26" s="715">
        <v>512</v>
      </c>
      <c r="K26" s="625" t="s">
        <v>224</v>
      </c>
      <c r="L26" s="716" t="s">
        <v>14876</v>
      </c>
      <c r="M26" s="625" t="s">
        <v>225</v>
      </c>
      <c r="N26" s="627" t="s">
        <v>43</v>
      </c>
      <c r="O26" s="627" t="s">
        <v>43</v>
      </c>
      <c r="P26" s="627" t="s">
        <v>43</v>
      </c>
      <c r="Q26" s="630" t="s">
        <v>226</v>
      </c>
      <c r="R26" s="630" t="s">
        <v>158</v>
      </c>
      <c r="S26" s="627" t="s">
        <v>43</v>
      </c>
      <c r="T26" s="33" t="s">
        <v>166</v>
      </c>
      <c r="U26" s="628" t="s">
        <v>167</v>
      </c>
      <c r="V26" s="15" t="s">
        <v>202</v>
      </c>
      <c r="W26" s="627" t="s">
        <v>43</v>
      </c>
      <c r="X26" s="293">
        <v>8960000</v>
      </c>
    </row>
    <row r="27" spans="1:27" ht="19.5">
      <c r="W27" s="302" t="s">
        <v>90</v>
      </c>
      <c r="X27" s="293">
        <v>8960000</v>
      </c>
    </row>
    <row r="28" spans="1:27" ht="19.5">
      <c r="C28" s="626" t="s">
        <v>12013</v>
      </c>
    </row>
    <row r="29" spans="1:27" ht="19.5">
      <c r="C29" s="1005" t="s">
        <v>16127</v>
      </c>
    </row>
    <row r="30" spans="1:27" ht="15.75">
      <c r="C30" s="1007" t="s">
        <v>15634</v>
      </c>
    </row>
  </sheetData>
  <mergeCells count="58">
    <mergeCell ref="A16:A17"/>
    <mergeCell ref="A18:A19"/>
    <mergeCell ref="A20:A21"/>
    <mergeCell ref="A24:G24"/>
    <mergeCell ref="A2:A9"/>
    <mergeCell ref="A10:A11"/>
    <mergeCell ref="A12:A13"/>
    <mergeCell ref="A14:A15"/>
    <mergeCell ref="T2:T3"/>
    <mergeCell ref="B16:B17"/>
    <mergeCell ref="B18:B19"/>
    <mergeCell ref="B20:B21"/>
    <mergeCell ref="C2:C21"/>
    <mergeCell ref="B2:B9"/>
    <mergeCell ref="B10:B11"/>
    <mergeCell ref="B12:B13"/>
    <mergeCell ref="B14:B15"/>
    <mergeCell ref="K16:K17"/>
    <mergeCell ref="K18:K19"/>
    <mergeCell ref="L18:L19"/>
    <mergeCell ref="P16:P17"/>
    <mergeCell ref="P18:P19"/>
    <mergeCell ref="K20:K21"/>
    <mergeCell ref="L20:L21"/>
    <mergeCell ref="Z20:Z21"/>
    <mergeCell ref="Y14:Y15"/>
    <mergeCell ref="Z14:Z15"/>
    <mergeCell ref="Y16:Y17"/>
    <mergeCell ref="Z16:Z17"/>
    <mergeCell ref="Y18:Y19"/>
    <mergeCell ref="Z18:Z19"/>
    <mergeCell ref="Y20:Y21"/>
    <mergeCell ref="Z12:Z13"/>
    <mergeCell ref="Y2:Y9"/>
    <mergeCell ref="Z2:Z9"/>
    <mergeCell ref="Y10:Y11"/>
    <mergeCell ref="Z10:Z11"/>
    <mergeCell ref="P20:P21"/>
    <mergeCell ref="E25:F25"/>
    <mergeCell ref="E26:F26"/>
    <mergeCell ref="Y12:Y13"/>
    <mergeCell ref="K2:K9"/>
    <mergeCell ref="K10:K11"/>
    <mergeCell ref="K12:K13"/>
    <mergeCell ref="K14:K15"/>
    <mergeCell ref="L10:L11"/>
    <mergeCell ref="L12:L13"/>
    <mergeCell ref="L14:L15"/>
    <mergeCell ref="L16:L17"/>
    <mergeCell ref="M4:M5"/>
    <mergeCell ref="L2:L9"/>
    <mergeCell ref="M6:M7"/>
    <mergeCell ref="N4:N5"/>
    <mergeCell ref="N6:N7"/>
    <mergeCell ref="P2:P9"/>
    <mergeCell ref="P10:P11"/>
    <mergeCell ref="P12:P13"/>
    <mergeCell ref="P14:P15"/>
  </mergeCells>
  <conditionalFormatting sqref="M1">
    <cfRule type="duplicateValues" dxfId="1600" priority="95"/>
    <cfRule type="duplicateValues" dxfId="1599" priority="97"/>
  </conditionalFormatting>
  <conditionalFormatting sqref="M10">
    <cfRule type="duplicateValues" dxfId="1598" priority="78"/>
  </conditionalFormatting>
  <conditionalFormatting sqref="M15 M11 M13 M17 M19 M2:M4 M21 M6 M9">
    <cfRule type="duplicateValues" dxfId="1597" priority="80"/>
    <cfRule type="duplicateValues" dxfId="1596" priority="82"/>
  </conditionalFormatting>
  <conditionalFormatting sqref="M12">
    <cfRule type="duplicateValues" dxfId="1595" priority="76"/>
  </conditionalFormatting>
  <conditionalFormatting sqref="M14">
    <cfRule type="duplicateValues" dxfId="1594" priority="72"/>
  </conditionalFormatting>
  <conditionalFormatting sqref="M16">
    <cfRule type="duplicateValues" dxfId="1593" priority="68"/>
  </conditionalFormatting>
  <conditionalFormatting sqref="M18">
    <cfRule type="duplicateValues" dxfId="1592" priority="69"/>
  </conditionalFormatting>
  <conditionalFormatting sqref="M20">
    <cfRule type="duplicateValues" dxfId="1591" priority="66"/>
  </conditionalFormatting>
  <conditionalFormatting sqref="N1">
    <cfRule type="duplicateValues" dxfId="1590" priority="96"/>
  </conditionalFormatting>
  <conditionalFormatting sqref="N15 N2:N4 N11 N13 N17 N19 N21 N9 N6">
    <cfRule type="duplicateValues" dxfId="1589" priority="81"/>
  </conditionalFormatting>
  <conditionalFormatting sqref="N10">
    <cfRule type="duplicateValues" dxfId="1588" priority="79"/>
  </conditionalFormatting>
  <conditionalFormatting sqref="N12">
    <cfRule type="duplicateValues" dxfId="1587" priority="77"/>
  </conditionalFormatting>
  <conditionalFormatting sqref="N14">
    <cfRule type="duplicateValues" dxfId="1586" priority="73"/>
  </conditionalFormatting>
  <conditionalFormatting sqref="N16">
    <cfRule type="duplicateValues" dxfId="1585" priority="71"/>
  </conditionalFormatting>
  <conditionalFormatting sqref="N18">
    <cfRule type="duplicateValues" dxfId="1584" priority="70"/>
  </conditionalFormatting>
  <conditionalFormatting sqref="N20">
    <cfRule type="duplicateValues" dxfId="1583" priority="67"/>
  </conditionalFormatting>
  <conditionalFormatting sqref="N25">
    <cfRule type="duplicateValues" dxfId="1582" priority="22"/>
    <cfRule type="duplicateValues" dxfId="1581" priority="23"/>
    <cfRule type="duplicateValues" dxfId="1580" priority="24"/>
    <cfRule type="duplicateValues" dxfId="1579" priority="25"/>
  </conditionalFormatting>
  <conditionalFormatting sqref="E25">
    <cfRule type="duplicateValues" dxfId="1578" priority="26"/>
  </conditionalFormatting>
  <conditionalFormatting sqref="K25">
    <cfRule type="duplicateValues" dxfId="1577" priority="27"/>
  </conditionalFormatting>
  <conditionalFormatting sqref="L25">
    <cfRule type="duplicateValues" dxfId="1576" priority="28"/>
  </conditionalFormatting>
  <conditionalFormatting sqref="M25">
    <cfRule type="duplicateValues" dxfId="1575" priority="29"/>
    <cfRule type="duplicateValues" dxfId="1574" priority="30"/>
    <cfRule type="duplicateValues" dxfId="1573" priority="31"/>
    <cfRule type="duplicateValues" dxfId="1572" priority="32"/>
  </conditionalFormatting>
  <conditionalFormatting sqref="E26">
    <cfRule type="duplicateValues" dxfId="1571" priority="7"/>
  </conditionalFormatting>
  <conditionalFormatting sqref="M26">
    <cfRule type="duplicateValues" dxfId="1570" priority="8"/>
  </conditionalFormatting>
  <conditionalFormatting sqref="K26">
    <cfRule type="duplicateValues" dxfId="1569" priority="9"/>
    <cfRule type="duplicateValues" dxfId="1568" priority="10"/>
  </conditionalFormatting>
  <conditionalFormatting sqref="C30">
    <cfRule type="duplicateValues" dxfId="1567" priority="1"/>
  </conditionalFormatting>
  <pageMargins left="0.7" right="0.7" top="0.75" bottom="0.75" header="0.3" footer="0.3"/>
  <pageSetup orientation="portrait" r:id="rId1"/>
  <colBreaks count="1" manualBreakCount="1">
    <brk id="3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63"/>
  <sheetViews>
    <sheetView rightToLeft="1" zoomScale="85" zoomScaleNormal="85" workbookViewId="0">
      <pane xSplit="10" topLeftCell="M1" activePane="topRight" state="frozen"/>
      <selection pane="topRight" activeCell="E15" sqref="E15:E17"/>
    </sheetView>
  </sheetViews>
  <sheetFormatPr defaultRowHeight="15"/>
  <cols>
    <col min="1" max="1" width="9.28515625" bestFit="1" customWidth="1"/>
    <col min="2" max="2" width="14" customWidth="1"/>
    <col min="5" max="5" width="17.85546875" customWidth="1"/>
    <col min="7" max="7" width="12" bestFit="1" customWidth="1"/>
    <col min="8" max="8" width="16.42578125" customWidth="1"/>
    <col min="9" max="9" width="23" customWidth="1"/>
    <col min="10" max="10" width="9.28515625" bestFit="1" customWidth="1"/>
    <col min="11" max="11" width="64.85546875" customWidth="1"/>
    <col min="12" max="12" width="45.140625" customWidth="1"/>
    <col min="13" max="13" width="32.28515625" customWidth="1"/>
    <col min="14" max="14" width="57.42578125" customWidth="1"/>
    <col min="15" max="15" width="8.42578125" customWidth="1"/>
    <col min="16" max="16" width="32.140625" customWidth="1"/>
    <col min="17" max="17" width="23" customWidth="1"/>
    <col min="18" max="18" width="27.140625" customWidth="1"/>
    <col min="20" max="20" width="19.140625" customWidth="1"/>
    <col min="21" max="21" width="37.5703125" customWidth="1"/>
    <col min="22" max="22" width="28.140625" customWidth="1"/>
    <col min="23" max="23" width="57.85546875" customWidth="1"/>
    <col min="24" max="24" width="22.42578125" customWidth="1"/>
    <col min="25" max="25" width="26.28515625" customWidth="1"/>
    <col min="26" max="26" width="16.85546875" customWidth="1"/>
  </cols>
  <sheetData>
    <row r="1" spans="1:26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20</v>
      </c>
      <c r="V1" s="35" t="s">
        <v>21</v>
      </c>
      <c r="W1" s="34" t="s">
        <v>22</v>
      </c>
      <c r="X1" s="35" t="s">
        <v>23</v>
      </c>
      <c r="Y1" s="35" t="s">
        <v>24</v>
      </c>
      <c r="Z1" s="49" t="s">
        <v>9184</v>
      </c>
    </row>
    <row r="2" spans="1:26" s="27" customFormat="1" ht="15.75" customHeight="1">
      <c r="A2" s="1452">
        <v>1</v>
      </c>
      <c r="B2" s="1616">
        <v>370</v>
      </c>
      <c r="C2" s="1452" t="s">
        <v>1609</v>
      </c>
      <c r="D2" s="1452" t="s">
        <v>2326</v>
      </c>
      <c r="E2" s="1452" t="s">
        <v>2327</v>
      </c>
      <c r="F2" s="1452" t="s">
        <v>1609</v>
      </c>
      <c r="G2" s="28" t="s">
        <v>2328</v>
      </c>
      <c r="H2" s="675" t="s">
        <v>28</v>
      </c>
      <c r="I2" s="1390" t="s">
        <v>2329</v>
      </c>
      <c r="J2" s="680" t="s">
        <v>203</v>
      </c>
      <c r="K2" s="1390" t="s">
        <v>2330</v>
      </c>
      <c r="L2" s="1488" t="s">
        <v>2331</v>
      </c>
      <c r="M2" s="678" t="s">
        <v>2332</v>
      </c>
      <c r="N2" s="678" t="s">
        <v>2760</v>
      </c>
      <c r="O2" s="673" t="s">
        <v>43</v>
      </c>
      <c r="P2" s="1482" t="s">
        <v>2333</v>
      </c>
      <c r="Q2" s="673" t="s">
        <v>43</v>
      </c>
      <c r="R2" s="679" t="s">
        <v>2334</v>
      </c>
      <c r="S2" s="673" t="s">
        <v>43</v>
      </c>
      <c r="T2" s="1390">
        <v>9602007370</v>
      </c>
      <c r="U2" s="673" t="s">
        <v>43</v>
      </c>
      <c r="V2" s="679" t="s">
        <v>2335</v>
      </c>
      <c r="W2" s="1390" t="s">
        <v>2336</v>
      </c>
      <c r="X2" s="1390" t="s">
        <v>2279</v>
      </c>
      <c r="Y2" s="1390" t="s">
        <v>484</v>
      </c>
      <c r="Z2" s="230">
        <v>65000000</v>
      </c>
    </row>
    <row r="3" spans="1:26" s="27" customFormat="1" ht="15.75" customHeight="1">
      <c r="A3" s="1452"/>
      <c r="B3" s="1616"/>
      <c r="C3" s="1452"/>
      <c r="D3" s="1452"/>
      <c r="E3" s="1452"/>
      <c r="F3" s="1452"/>
      <c r="G3" s="28" t="s">
        <v>2337</v>
      </c>
      <c r="H3" s="30" t="s">
        <v>195</v>
      </c>
      <c r="I3" s="1391"/>
      <c r="J3" s="680" t="s">
        <v>197</v>
      </c>
      <c r="K3" s="1391"/>
      <c r="L3" s="1489"/>
      <c r="M3" s="678" t="s">
        <v>2338</v>
      </c>
      <c r="N3" s="678" t="s">
        <v>2339</v>
      </c>
      <c r="O3" s="673" t="s">
        <v>43</v>
      </c>
      <c r="P3" s="1483"/>
      <c r="Q3" s="673" t="s">
        <v>43</v>
      </c>
      <c r="R3" s="679" t="s">
        <v>2340</v>
      </c>
      <c r="S3" s="673" t="s">
        <v>43</v>
      </c>
      <c r="T3" s="1391"/>
      <c r="U3" s="673" t="s">
        <v>43</v>
      </c>
      <c r="V3" s="679" t="s">
        <v>473</v>
      </c>
      <c r="W3" s="1391"/>
      <c r="X3" s="1391"/>
      <c r="Y3" s="1391"/>
      <c r="Z3" s="219">
        <v>52000000</v>
      </c>
    </row>
    <row r="4" spans="1:26" s="27" customFormat="1" ht="15.75" customHeight="1">
      <c r="A4" s="1452"/>
      <c r="B4" s="1616"/>
      <c r="C4" s="1452"/>
      <c r="D4" s="1452"/>
      <c r="E4" s="1452"/>
      <c r="F4" s="1452"/>
      <c r="G4" s="23" t="s">
        <v>2341</v>
      </c>
      <c r="H4" s="675" t="s">
        <v>40</v>
      </c>
      <c r="I4" s="1391"/>
      <c r="J4" s="680" t="s">
        <v>203</v>
      </c>
      <c r="K4" s="1391"/>
      <c r="L4" s="1489"/>
      <c r="M4" s="678" t="s">
        <v>2342</v>
      </c>
      <c r="N4" s="678" t="s">
        <v>2343</v>
      </c>
      <c r="O4" s="673" t="s">
        <v>43</v>
      </c>
      <c r="P4" s="1483"/>
      <c r="Q4" s="673" t="s">
        <v>43</v>
      </c>
      <c r="R4" s="679" t="s">
        <v>2344</v>
      </c>
      <c r="S4" s="673" t="s">
        <v>43</v>
      </c>
      <c r="T4" s="1391"/>
      <c r="U4" s="673" t="s">
        <v>43</v>
      </c>
      <c r="V4" s="679" t="s">
        <v>2345</v>
      </c>
      <c r="W4" s="1391"/>
      <c r="X4" s="1391"/>
      <c r="Y4" s="1391"/>
      <c r="Z4" s="219">
        <v>0</v>
      </c>
    </row>
    <row r="5" spans="1:26" s="27" customFormat="1" ht="15.75" customHeight="1">
      <c r="A5" s="1452"/>
      <c r="B5" s="1616"/>
      <c r="C5" s="1452"/>
      <c r="D5" s="1452"/>
      <c r="E5" s="1452"/>
      <c r="F5" s="1452"/>
      <c r="G5" s="74">
        <v>40002351430</v>
      </c>
      <c r="H5" s="675" t="s">
        <v>249</v>
      </c>
      <c r="I5" s="1395"/>
      <c r="J5" s="680" t="s">
        <v>203</v>
      </c>
      <c r="K5" s="1391"/>
      <c r="L5" s="1489"/>
      <c r="M5" s="678" t="s">
        <v>2346</v>
      </c>
      <c r="N5" s="678" t="s">
        <v>2347</v>
      </c>
      <c r="O5" s="673" t="s">
        <v>43</v>
      </c>
      <c r="P5" s="1483"/>
      <c r="Q5" s="673" t="s">
        <v>43</v>
      </c>
      <c r="R5" s="679" t="s">
        <v>2348</v>
      </c>
      <c r="S5" s="673" t="s">
        <v>43</v>
      </c>
      <c r="T5" s="1395"/>
      <c r="U5" s="673" t="s">
        <v>43</v>
      </c>
      <c r="V5" s="679" t="s">
        <v>2349</v>
      </c>
      <c r="W5" s="1395"/>
      <c r="X5" s="1391"/>
      <c r="Y5" s="1391"/>
      <c r="Z5" s="219">
        <v>96000000</v>
      </c>
    </row>
    <row r="6" spans="1:26" s="27" customFormat="1" ht="15.75" customHeight="1">
      <c r="A6" s="1452"/>
      <c r="B6" s="1616"/>
      <c r="C6" s="1452"/>
      <c r="D6" s="1452"/>
      <c r="E6" s="1452"/>
      <c r="F6" s="1452"/>
      <c r="G6" s="673" t="s">
        <v>43</v>
      </c>
      <c r="H6" s="676" t="s">
        <v>84</v>
      </c>
      <c r="I6" s="675" t="s">
        <v>45</v>
      </c>
      <c r="J6" s="680" t="s">
        <v>201</v>
      </c>
      <c r="K6" s="1391"/>
      <c r="L6" s="1489"/>
      <c r="M6" s="678" t="s">
        <v>2350</v>
      </c>
      <c r="N6" s="678" t="s">
        <v>2351</v>
      </c>
      <c r="O6" s="673" t="s">
        <v>43</v>
      </c>
      <c r="P6" s="1483"/>
      <c r="Q6" s="673" t="s">
        <v>43</v>
      </c>
      <c r="R6" s="679" t="s">
        <v>2352</v>
      </c>
      <c r="S6" s="673" t="s">
        <v>43</v>
      </c>
      <c r="T6" s="673" t="s">
        <v>43</v>
      </c>
      <c r="U6" s="673" t="s">
        <v>43</v>
      </c>
      <c r="V6" s="679" t="s">
        <v>2353</v>
      </c>
      <c r="W6" s="675" t="s">
        <v>50</v>
      </c>
      <c r="X6" s="1391"/>
      <c r="Y6" s="1391"/>
      <c r="Z6" s="219">
        <v>6512400</v>
      </c>
    </row>
    <row r="7" spans="1:26" s="27" customFormat="1" ht="15.75" customHeight="1">
      <c r="A7" s="1452"/>
      <c r="B7" s="1616"/>
      <c r="C7" s="1452"/>
      <c r="D7" s="1452"/>
      <c r="E7" s="1452"/>
      <c r="F7" s="1452"/>
      <c r="G7" s="673" t="s">
        <v>43</v>
      </c>
      <c r="H7" s="776" t="s">
        <v>51</v>
      </c>
      <c r="I7" s="675" t="s">
        <v>45</v>
      </c>
      <c r="J7" s="680" t="s">
        <v>11886</v>
      </c>
      <c r="K7" s="1395"/>
      <c r="L7" s="1490"/>
      <c r="M7" s="678" t="s">
        <v>2354</v>
      </c>
      <c r="N7" s="675" t="s">
        <v>2761</v>
      </c>
      <c r="O7" s="673" t="s">
        <v>43</v>
      </c>
      <c r="P7" s="1484"/>
      <c r="Q7" s="673" t="s">
        <v>43</v>
      </c>
      <c r="R7" s="679" t="s">
        <v>2355</v>
      </c>
      <c r="S7" s="673" t="s">
        <v>43</v>
      </c>
      <c r="T7" s="673" t="s">
        <v>43</v>
      </c>
      <c r="U7" s="673" t="s">
        <v>43</v>
      </c>
      <c r="V7" s="679" t="s">
        <v>2356</v>
      </c>
      <c r="W7" s="675" t="s">
        <v>56</v>
      </c>
      <c r="X7" s="1395"/>
      <c r="Y7" s="1395"/>
      <c r="Z7" s="219">
        <v>0</v>
      </c>
    </row>
    <row r="8" spans="1:26" s="27" customFormat="1" ht="15.75" customHeight="1">
      <c r="A8" s="1452">
        <v>2</v>
      </c>
      <c r="B8" s="1581">
        <v>276</v>
      </c>
      <c r="C8" s="1452"/>
      <c r="D8" s="1452" t="s">
        <v>1610</v>
      </c>
      <c r="E8" s="1452" t="s">
        <v>1610</v>
      </c>
      <c r="F8" s="1452"/>
      <c r="G8" s="28">
        <v>540392</v>
      </c>
      <c r="H8" s="675" t="s">
        <v>1659</v>
      </c>
      <c r="I8" s="675" t="s">
        <v>108</v>
      </c>
      <c r="J8" s="680" t="s">
        <v>199</v>
      </c>
      <c r="K8" s="1390" t="s">
        <v>14292</v>
      </c>
      <c r="L8" s="1390" t="s">
        <v>14475</v>
      </c>
      <c r="M8" s="678" t="s">
        <v>14293</v>
      </c>
      <c r="N8" s="678" t="s">
        <v>15014</v>
      </c>
      <c r="O8" s="673" t="s">
        <v>43</v>
      </c>
      <c r="P8" s="1482" t="s">
        <v>2787</v>
      </c>
      <c r="Q8" s="673" t="s">
        <v>43</v>
      </c>
      <c r="R8" s="679" t="s">
        <v>315</v>
      </c>
      <c r="S8" s="679" t="s">
        <v>438</v>
      </c>
      <c r="T8" s="673" t="s">
        <v>43</v>
      </c>
      <c r="U8" s="673" t="s">
        <v>43</v>
      </c>
      <c r="V8" s="673" t="s">
        <v>43</v>
      </c>
      <c r="W8" s="675" t="s">
        <v>299</v>
      </c>
      <c r="X8" s="1390" t="s">
        <v>202</v>
      </c>
      <c r="Y8" s="1390" t="s">
        <v>65</v>
      </c>
      <c r="Z8" s="219">
        <v>12000000</v>
      </c>
    </row>
    <row r="9" spans="1:26" s="27" customFormat="1" ht="15.75" customHeight="1">
      <c r="A9" s="1452"/>
      <c r="B9" s="1581"/>
      <c r="C9" s="1452"/>
      <c r="D9" s="1452"/>
      <c r="E9" s="1452"/>
      <c r="F9" s="1452"/>
      <c r="G9" s="28">
        <v>587773</v>
      </c>
      <c r="H9" s="30" t="s">
        <v>195</v>
      </c>
      <c r="I9" s="675" t="s">
        <v>168</v>
      </c>
      <c r="J9" s="680" t="s">
        <v>199</v>
      </c>
      <c r="K9" s="1391"/>
      <c r="L9" s="1391"/>
      <c r="M9" s="678" t="s">
        <v>2357</v>
      </c>
      <c r="N9" s="675" t="s">
        <v>2735</v>
      </c>
      <c r="O9" s="673" t="s">
        <v>43</v>
      </c>
      <c r="P9" s="1483"/>
      <c r="Q9" s="673" t="s">
        <v>43</v>
      </c>
      <c r="R9" s="679" t="s">
        <v>68</v>
      </c>
      <c r="S9" s="673" t="s">
        <v>43</v>
      </c>
      <c r="T9" s="673" t="s">
        <v>43</v>
      </c>
      <c r="U9" s="673" t="s">
        <v>43</v>
      </c>
      <c r="V9" s="673" t="s">
        <v>43</v>
      </c>
      <c r="W9" s="675" t="s">
        <v>170</v>
      </c>
      <c r="X9" s="1391"/>
      <c r="Y9" s="1391"/>
      <c r="Z9" s="219">
        <v>20800000</v>
      </c>
    </row>
    <row r="10" spans="1:26" s="27" customFormat="1" ht="15.75" customHeight="1">
      <c r="A10" s="1452">
        <v>3</v>
      </c>
      <c r="B10" s="1581">
        <v>296</v>
      </c>
      <c r="C10" s="1452"/>
      <c r="D10" s="1452" t="s">
        <v>2326</v>
      </c>
      <c r="E10" s="1452" t="s">
        <v>2326</v>
      </c>
      <c r="F10" s="1452"/>
      <c r="G10" s="28" t="s">
        <v>2358</v>
      </c>
      <c r="H10" s="675" t="s">
        <v>59</v>
      </c>
      <c r="I10" s="675" t="s">
        <v>60</v>
      </c>
      <c r="J10" s="680" t="s">
        <v>199</v>
      </c>
      <c r="K10" s="1390" t="s">
        <v>14294</v>
      </c>
      <c r="L10" s="1390" t="s">
        <v>14476</v>
      </c>
      <c r="M10" s="675" t="s">
        <v>2359</v>
      </c>
      <c r="N10" s="675" t="s">
        <v>15017</v>
      </c>
      <c r="O10" s="673" t="s">
        <v>43</v>
      </c>
      <c r="P10" s="1482" t="s">
        <v>2788</v>
      </c>
      <c r="Q10" s="673" t="s">
        <v>43</v>
      </c>
      <c r="R10" s="679" t="s">
        <v>2360</v>
      </c>
      <c r="S10" s="673" t="s">
        <v>43</v>
      </c>
      <c r="T10" s="673" t="s">
        <v>43</v>
      </c>
      <c r="U10" s="673" t="s">
        <v>43</v>
      </c>
      <c r="V10" s="679" t="s">
        <v>2361</v>
      </c>
      <c r="W10" s="675" t="s">
        <v>2362</v>
      </c>
      <c r="X10" s="1390" t="s">
        <v>980</v>
      </c>
      <c r="Y10" s="1390" t="s">
        <v>65</v>
      </c>
      <c r="Z10" s="219">
        <v>17920000</v>
      </c>
    </row>
    <row r="11" spans="1:26" s="27" customFormat="1" ht="15.75" customHeight="1">
      <c r="A11" s="1452"/>
      <c r="B11" s="1581"/>
      <c r="C11" s="1452"/>
      <c r="D11" s="1452"/>
      <c r="E11" s="1452"/>
      <c r="F11" s="1452"/>
      <c r="G11" s="675">
        <v>25399112467</v>
      </c>
      <c r="H11" s="30" t="s">
        <v>195</v>
      </c>
      <c r="I11" s="675" t="s">
        <v>168</v>
      </c>
      <c r="J11" s="680" t="s">
        <v>199</v>
      </c>
      <c r="K11" s="1391"/>
      <c r="L11" s="1391"/>
      <c r="M11" s="675" t="s">
        <v>2363</v>
      </c>
      <c r="N11" s="675" t="s">
        <v>2736</v>
      </c>
      <c r="O11" s="673" t="s">
        <v>43</v>
      </c>
      <c r="P11" s="1483"/>
      <c r="Q11" s="673" t="s">
        <v>43</v>
      </c>
      <c r="R11" s="679" t="s">
        <v>246</v>
      </c>
      <c r="S11" s="673" t="s">
        <v>43</v>
      </c>
      <c r="T11" s="673" t="s">
        <v>43</v>
      </c>
      <c r="U11" s="673" t="s">
        <v>43</v>
      </c>
      <c r="V11" s="679" t="s">
        <v>1781</v>
      </c>
      <c r="W11" s="675" t="s">
        <v>170</v>
      </c>
      <c r="X11" s="1391"/>
      <c r="Y11" s="1391"/>
      <c r="Z11" s="219">
        <v>20800000</v>
      </c>
    </row>
    <row r="12" spans="1:26" s="27" customFormat="1" ht="15.75" customHeight="1">
      <c r="A12" s="1452">
        <v>4</v>
      </c>
      <c r="B12" s="1581">
        <v>297</v>
      </c>
      <c r="C12" s="1452"/>
      <c r="D12" s="1452" t="s">
        <v>2364</v>
      </c>
      <c r="E12" s="1452" t="s">
        <v>2364</v>
      </c>
      <c r="F12" s="1452"/>
      <c r="G12" s="28" t="s">
        <v>2365</v>
      </c>
      <c r="H12" s="675" t="s">
        <v>59</v>
      </c>
      <c r="I12" s="675" t="s">
        <v>60</v>
      </c>
      <c r="J12" s="680" t="s">
        <v>199</v>
      </c>
      <c r="K12" s="1390" t="s">
        <v>14295</v>
      </c>
      <c r="L12" s="1390" t="s">
        <v>14477</v>
      </c>
      <c r="M12" s="678" t="s">
        <v>2366</v>
      </c>
      <c r="N12" s="678" t="s">
        <v>15016</v>
      </c>
      <c r="O12" s="673" t="s">
        <v>43</v>
      </c>
      <c r="P12" s="1482" t="s">
        <v>2789</v>
      </c>
      <c r="Q12" s="673" t="s">
        <v>43</v>
      </c>
      <c r="R12" s="679" t="s">
        <v>2367</v>
      </c>
      <c r="S12" s="673" t="s">
        <v>43</v>
      </c>
      <c r="T12" s="673" t="s">
        <v>43</v>
      </c>
      <c r="U12" s="673" t="s">
        <v>43</v>
      </c>
      <c r="V12" s="679" t="s">
        <v>2361</v>
      </c>
      <c r="W12" s="675" t="s">
        <v>2362</v>
      </c>
      <c r="X12" s="1390" t="s">
        <v>202</v>
      </c>
      <c r="Y12" s="1390" t="s">
        <v>65</v>
      </c>
      <c r="Z12" s="219">
        <v>25600000</v>
      </c>
    </row>
    <row r="13" spans="1:26" s="27" customFormat="1" ht="15.75" customHeight="1">
      <c r="A13" s="1452"/>
      <c r="B13" s="1581"/>
      <c r="C13" s="1452"/>
      <c r="D13" s="1452"/>
      <c r="E13" s="1452"/>
      <c r="F13" s="1452"/>
      <c r="G13" s="28">
        <v>593170</v>
      </c>
      <c r="H13" s="30" t="s">
        <v>195</v>
      </c>
      <c r="I13" s="675" t="s">
        <v>168</v>
      </c>
      <c r="J13" s="680" t="s">
        <v>199</v>
      </c>
      <c r="K13" s="1391"/>
      <c r="L13" s="1391"/>
      <c r="M13" s="678" t="s">
        <v>2368</v>
      </c>
      <c r="N13" s="675" t="s">
        <v>2737</v>
      </c>
      <c r="O13" s="673" t="s">
        <v>43</v>
      </c>
      <c r="P13" s="1483"/>
      <c r="Q13" s="673" t="s">
        <v>43</v>
      </c>
      <c r="R13" s="679" t="s">
        <v>349</v>
      </c>
      <c r="S13" s="673" t="s">
        <v>43</v>
      </c>
      <c r="T13" s="673" t="s">
        <v>43</v>
      </c>
      <c r="U13" s="673" t="s">
        <v>43</v>
      </c>
      <c r="V13" s="673" t="s">
        <v>43</v>
      </c>
      <c r="W13" s="675" t="s">
        <v>170</v>
      </c>
      <c r="X13" s="1391"/>
      <c r="Y13" s="1391"/>
      <c r="Z13" s="219">
        <v>20800000</v>
      </c>
    </row>
    <row r="14" spans="1:26" s="27" customFormat="1" ht="15.75" customHeight="1">
      <c r="A14" s="1452"/>
      <c r="B14" s="1581"/>
      <c r="C14" s="1452"/>
      <c r="D14" s="1452"/>
      <c r="E14" s="1452"/>
      <c r="F14" s="1452"/>
      <c r="G14" s="673" t="s">
        <v>43</v>
      </c>
      <c r="H14" s="675" t="s">
        <v>44</v>
      </c>
      <c r="I14" s="675" t="s">
        <v>45</v>
      </c>
      <c r="J14" s="680" t="s">
        <v>201</v>
      </c>
      <c r="K14" s="1395"/>
      <c r="L14" s="1395"/>
      <c r="M14" s="675" t="s">
        <v>2369</v>
      </c>
      <c r="N14" s="675" t="s">
        <v>2370</v>
      </c>
      <c r="O14" s="673" t="s">
        <v>43</v>
      </c>
      <c r="P14" s="1484"/>
      <c r="Q14" s="673" t="s">
        <v>43</v>
      </c>
      <c r="R14" s="679" t="s">
        <v>48</v>
      </c>
      <c r="S14" s="673" t="s">
        <v>43</v>
      </c>
      <c r="T14" s="673" t="s">
        <v>43</v>
      </c>
      <c r="U14" s="673" t="s">
        <v>43</v>
      </c>
      <c r="V14" s="679" t="s">
        <v>1876</v>
      </c>
      <c r="W14" s="675" t="s">
        <v>50</v>
      </c>
      <c r="X14" s="1395"/>
      <c r="Y14" s="1395"/>
      <c r="Z14" s="219">
        <v>0</v>
      </c>
    </row>
    <row r="15" spans="1:26" s="27" customFormat="1" ht="15.75" customHeight="1">
      <c r="A15" s="1452">
        <v>5</v>
      </c>
      <c r="B15" s="1581">
        <v>298</v>
      </c>
      <c r="C15" s="1452"/>
      <c r="D15" s="1452" t="s">
        <v>2371</v>
      </c>
      <c r="E15" s="1452" t="s">
        <v>2371</v>
      </c>
      <c r="F15" s="1452"/>
      <c r="G15" s="28">
        <v>570391</v>
      </c>
      <c r="H15" s="675" t="s">
        <v>1659</v>
      </c>
      <c r="I15" s="675" t="s">
        <v>108</v>
      </c>
      <c r="J15" s="680" t="s">
        <v>205</v>
      </c>
      <c r="K15" s="1390" t="s">
        <v>14296</v>
      </c>
      <c r="L15" s="1390" t="s">
        <v>14478</v>
      </c>
      <c r="M15" s="678" t="s">
        <v>14297</v>
      </c>
      <c r="N15" s="678" t="s">
        <v>14298</v>
      </c>
      <c r="O15" s="673" t="s">
        <v>43</v>
      </c>
      <c r="P15" s="1396" t="s">
        <v>2790</v>
      </c>
      <c r="Q15" s="673" t="s">
        <v>43</v>
      </c>
      <c r="R15" s="679" t="s">
        <v>297</v>
      </c>
      <c r="S15" s="679" t="s">
        <v>438</v>
      </c>
      <c r="T15" s="673" t="s">
        <v>43</v>
      </c>
      <c r="U15" s="673" t="s">
        <v>43</v>
      </c>
      <c r="V15" s="673" t="s">
        <v>43</v>
      </c>
      <c r="W15" s="675" t="s">
        <v>299</v>
      </c>
      <c r="X15" s="1390" t="s">
        <v>202</v>
      </c>
      <c r="Y15" s="1390" t="s">
        <v>65</v>
      </c>
      <c r="Z15" s="219">
        <v>6000000</v>
      </c>
    </row>
    <row r="16" spans="1:26" s="27" customFormat="1" ht="15.75" customHeight="1">
      <c r="A16" s="1452"/>
      <c r="B16" s="1581"/>
      <c r="C16" s="1452"/>
      <c r="D16" s="1452"/>
      <c r="E16" s="1452"/>
      <c r="F16" s="1452"/>
      <c r="G16" s="28">
        <v>587774</v>
      </c>
      <c r="H16" s="30" t="s">
        <v>195</v>
      </c>
      <c r="I16" s="675" t="s">
        <v>168</v>
      </c>
      <c r="J16" s="680" t="s">
        <v>199</v>
      </c>
      <c r="K16" s="1391"/>
      <c r="L16" s="1391"/>
      <c r="M16" s="678" t="s">
        <v>2372</v>
      </c>
      <c r="N16" s="675" t="s">
        <v>2738</v>
      </c>
      <c r="O16" s="673" t="s">
        <v>43</v>
      </c>
      <c r="P16" s="1398"/>
      <c r="Q16" s="673" t="s">
        <v>43</v>
      </c>
      <c r="R16" s="679" t="s">
        <v>255</v>
      </c>
      <c r="S16" s="673" t="s">
        <v>43</v>
      </c>
      <c r="T16" s="673" t="s">
        <v>43</v>
      </c>
      <c r="U16" s="673" t="s">
        <v>43</v>
      </c>
      <c r="V16" s="679" t="s">
        <v>1510</v>
      </c>
      <c r="W16" s="675" t="s">
        <v>170</v>
      </c>
      <c r="X16" s="1391"/>
      <c r="Y16" s="1391"/>
      <c r="Z16" s="219">
        <v>20800000</v>
      </c>
    </row>
    <row r="17" spans="1:26" s="27" customFormat="1" ht="15.75" customHeight="1">
      <c r="A17" s="1452"/>
      <c r="B17" s="1581"/>
      <c r="C17" s="1452"/>
      <c r="D17" s="1452"/>
      <c r="E17" s="1452"/>
      <c r="F17" s="1452"/>
      <c r="G17" s="673" t="s">
        <v>43</v>
      </c>
      <c r="H17" s="675" t="s">
        <v>44</v>
      </c>
      <c r="I17" s="675" t="s">
        <v>45</v>
      </c>
      <c r="J17" s="680" t="s">
        <v>201</v>
      </c>
      <c r="K17" s="1395"/>
      <c r="L17" s="1395"/>
      <c r="M17" s="675" t="s">
        <v>2373</v>
      </c>
      <c r="N17" s="675" t="s">
        <v>14299</v>
      </c>
      <c r="O17" s="673" t="s">
        <v>43</v>
      </c>
      <c r="P17" s="1397"/>
      <c r="Q17" s="673" t="s">
        <v>43</v>
      </c>
      <c r="R17" s="679" t="s">
        <v>68</v>
      </c>
      <c r="S17" s="673" t="s">
        <v>43</v>
      </c>
      <c r="T17" s="673" t="s">
        <v>43</v>
      </c>
      <c r="U17" s="673" t="s">
        <v>43</v>
      </c>
      <c r="V17" s="673" t="s">
        <v>43</v>
      </c>
      <c r="W17" s="675" t="s">
        <v>50</v>
      </c>
      <c r="X17" s="1395"/>
      <c r="Y17" s="1395"/>
      <c r="Z17" s="219">
        <v>0</v>
      </c>
    </row>
    <row r="18" spans="1:26" s="27" customFormat="1" ht="15.75" customHeight="1">
      <c r="A18" s="1452">
        <v>6</v>
      </c>
      <c r="B18" s="1581">
        <v>321</v>
      </c>
      <c r="C18" s="1452"/>
      <c r="D18" s="1452" t="s">
        <v>2378</v>
      </c>
      <c r="E18" s="1452" t="s">
        <v>2378</v>
      </c>
      <c r="F18" s="1452"/>
      <c r="G18" s="75" t="s">
        <v>2379</v>
      </c>
      <c r="H18" s="675" t="s">
        <v>59</v>
      </c>
      <c r="I18" s="675" t="s">
        <v>60</v>
      </c>
      <c r="J18" s="680" t="s">
        <v>199</v>
      </c>
      <c r="K18" s="1390" t="s">
        <v>15022</v>
      </c>
      <c r="L18" s="1390" t="s">
        <v>15020</v>
      </c>
      <c r="M18" s="675" t="s">
        <v>2380</v>
      </c>
      <c r="N18" s="675" t="s">
        <v>15015</v>
      </c>
      <c r="O18" s="673" t="s">
        <v>43</v>
      </c>
      <c r="P18" s="1482" t="s">
        <v>2792</v>
      </c>
      <c r="Q18" s="673" t="s">
        <v>43</v>
      </c>
      <c r="R18" s="679" t="s">
        <v>397</v>
      </c>
      <c r="S18" s="673" t="s">
        <v>43</v>
      </c>
      <c r="T18" s="673" t="s">
        <v>43</v>
      </c>
      <c r="U18" s="673" t="s">
        <v>43</v>
      </c>
      <c r="V18" s="673" t="s">
        <v>43</v>
      </c>
      <c r="W18" s="675" t="s">
        <v>167</v>
      </c>
      <c r="X18" s="1390" t="s">
        <v>202</v>
      </c>
      <c r="Y18" s="1390" t="s">
        <v>65</v>
      </c>
      <c r="Z18" s="219">
        <v>25600000</v>
      </c>
    </row>
    <row r="19" spans="1:26" s="27" customFormat="1" ht="15.75" customHeight="1">
      <c r="A19" s="1452"/>
      <c r="B19" s="1581"/>
      <c r="C19" s="1452"/>
      <c r="D19" s="1452"/>
      <c r="E19" s="1452"/>
      <c r="F19" s="1452"/>
      <c r="G19" s="28">
        <v>587775</v>
      </c>
      <c r="H19" s="30" t="s">
        <v>195</v>
      </c>
      <c r="I19" s="675" t="s">
        <v>168</v>
      </c>
      <c r="J19" s="680" t="s">
        <v>199</v>
      </c>
      <c r="K19" s="1391"/>
      <c r="L19" s="1391"/>
      <c r="M19" s="678" t="s">
        <v>2381</v>
      </c>
      <c r="N19" s="675" t="s">
        <v>2751</v>
      </c>
      <c r="O19" s="673" t="s">
        <v>43</v>
      </c>
      <c r="P19" s="1483"/>
      <c r="Q19" s="673" t="s">
        <v>43</v>
      </c>
      <c r="R19" s="679" t="s">
        <v>349</v>
      </c>
      <c r="S19" s="673" t="s">
        <v>43</v>
      </c>
      <c r="T19" s="673" t="s">
        <v>43</v>
      </c>
      <c r="U19" s="673" t="s">
        <v>43</v>
      </c>
      <c r="V19" s="673" t="s">
        <v>43</v>
      </c>
      <c r="W19" s="675" t="s">
        <v>170</v>
      </c>
      <c r="X19" s="1391"/>
      <c r="Y19" s="1391"/>
      <c r="Z19" s="219">
        <v>20800000</v>
      </c>
    </row>
    <row r="20" spans="1:26" s="27" customFormat="1" ht="15.75" customHeight="1">
      <c r="A20" s="1452"/>
      <c r="B20" s="1581"/>
      <c r="C20" s="1452"/>
      <c r="D20" s="1452"/>
      <c r="E20" s="1452"/>
      <c r="F20" s="1452"/>
      <c r="G20" s="673" t="s">
        <v>43</v>
      </c>
      <c r="H20" s="675" t="s">
        <v>44</v>
      </c>
      <c r="I20" s="675" t="s">
        <v>45</v>
      </c>
      <c r="J20" s="680" t="s">
        <v>201</v>
      </c>
      <c r="K20" s="1395"/>
      <c r="L20" s="1395"/>
      <c r="M20" s="675" t="s">
        <v>2382</v>
      </c>
      <c r="N20" s="675" t="s">
        <v>2383</v>
      </c>
      <c r="O20" s="673" t="s">
        <v>43</v>
      </c>
      <c r="P20" s="1484"/>
      <c r="Q20" s="673" t="s">
        <v>43</v>
      </c>
      <c r="R20" s="679" t="s">
        <v>48</v>
      </c>
      <c r="S20" s="673" t="s">
        <v>43</v>
      </c>
      <c r="T20" s="673" t="s">
        <v>43</v>
      </c>
      <c r="U20" s="673" t="s">
        <v>43</v>
      </c>
      <c r="V20" s="679" t="s">
        <v>1876</v>
      </c>
      <c r="W20" s="675" t="s">
        <v>50</v>
      </c>
      <c r="X20" s="1395"/>
      <c r="Y20" s="1395"/>
      <c r="Z20" s="219">
        <v>0</v>
      </c>
    </row>
    <row r="21" spans="1:26" s="27" customFormat="1" ht="15.75" customHeight="1">
      <c r="A21" s="1452">
        <v>7</v>
      </c>
      <c r="B21" s="1581">
        <v>328</v>
      </c>
      <c r="C21" s="1452"/>
      <c r="D21" s="1452" t="s">
        <v>2384</v>
      </c>
      <c r="E21" s="1452" t="s">
        <v>2384</v>
      </c>
      <c r="F21" s="1452"/>
      <c r="G21" s="28">
        <v>540396</v>
      </c>
      <c r="H21" s="675" t="s">
        <v>1633</v>
      </c>
      <c r="I21" s="675" t="s">
        <v>108</v>
      </c>
      <c r="J21" s="680" t="s">
        <v>205</v>
      </c>
      <c r="K21" s="1390" t="s">
        <v>15023</v>
      </c>
      <c r="L21" s="1390" t="s">
        <v>15021</v>
      </c>
      <c r="M21" s="678" t="s">
        <v>15018</v>
      </c>
      <c r="N21" s="678" t="s">
        <v>15019</v>
      </c>
      <c r="O21" s="673" t="s">
        <v>43</v>
      </c>
      <c r="P21" s="1482" t="s">
        <v>2793</v>
      </c>
      <c r="Q21" s="673" t="s">
        <v>43</v>
      </c>
      <c r="R21" s="679" t="s">
        <v>315</v>
      </c>
      <c r="S21" s="679" t="s">
        <v>438</v>
      </c>
      <c r="T21" s="673" t="s">
        <v>43</v>
      </c>
      <c r="U21" s="673" t="s">
        <v>43</v>
      </c>
      <c r="V21" s="673" t="s">
        <v>43</v>
      </c>
      <c r="W21" s="675" t="s">
        <v>299</v>
      </c>
      <c r="X21" s="1390" t="s">
        <v>202</v>
      </c>
      <c r="Y21" s="1390" t="s">
        <v>65</v>
      </c>
      <c r="Z21" s="219">
        <v>6000000</v>
      </c>
    </row>
    <row r="22" spans="1:26" s="27" customFormat="1" ht="15.75" customHeight="1">
      <c r="A22" s="1452"/>
      <c r="B22" s="1581"/>
      <c r="C22" s="1452"/>
      <c r="D22" s="1452"/>
      <c r="E22" s="1452"/>
      <c r="F22" s="1452"/>
      <c r="G22" s="28">
        <v>589681</v>
      </c>
      <c r="H22" s="30" t="s">
        <v>195</v>
      </c>
      <c r="I22" s="675" t="s">
        <v>168</v>
      </c>
      <c r="J22" s="680" t="s">
        <v>199</v>
      </c>
      <c r="K22" s="1391"/>
      <c r="L22" s="1391"/>
      <c r="M22" s="678" t="s">
        <v>2385</v>
      </c>
      <c r="N22" s="675" t="s">
        <v>2750</v>
      </c>
      <c r="O22" s="673" t="s">
        <v>43</v>
      </c>
      <c r="P22" s="1483"/>
      <c r="Q22" s="673" t="s">
        <v>43</v>
      </c>
      <c r="R22" s="679" t="s">
        <v>246</v>
      </c>
      <c r="S22" s="673" t="s">
        <v>43</v>
      </c>
      <c r="T22" s="673" t="s">
        <v>43</v>
      </c>
      <c r="U22" s="673" t="s">
        <v>43</v>
      </c>
      <c r="V22" s="679" t="s">
        <v>1517</v>
      </c>
      <c r="W22" s="675" t="s">
        <v>170</v>
      </c>
      <c r="X22" s="1391"/>
      <c r="Y22" s="1391"/>
      <c r="Z22" s="219">
        <v>20800000</v>
      </c>
    </row>
    <row r="23" spans="1:26" s="27" customFormat="1" ht="19.5" customHeight="1">
      <c r="A23" s="1452"/>
      <c r="B23" s="1581"/>
      <c r="C23" s="1452"/>
      <c r="D23" s="1452"/>
      <c r="E23" s="1452"/>
      <c r="F23" s="1452"/>
      <c r="G23" s="673" t="s">
        <v>43</v>
      </c>
      <c r="H23" s="675" t="s">
        <v>44</v>
      </c>
      <c r="I23" s="675" t="s">
        <v>45</v>
      </c>
      <c r="J23" s="680" t="s">
        <v>201</v>
      </c>
      <c r="K23" s="1395"/>
      <c r="L23" s="1395"/>
      <c r="M23" s="678" t="s">
        <v>2386</v>
      </c>
      <c r="N23" s="678" t="s">
        <v>2387</v>
      </c>
      <c r="O23" s="673" t="s">
        <v>43</v>
      </c>
      <c r="P23" s="1484"/>
      <c r="Q23" s="673" t="s">
        <v>43</v>
      </c>
      <c r="R23" s="679" t="s">
        <v>119</v>
      </c>
      <c r="S23" s="673" t="s">
        <v>43</v>
      </c>
      <c r="T23" s="673" t="s">
        <v>43</v>
      </c>
      <c r="U23" s="673" t="s">
        <v>43</v>
      </c>
      <c r="V23" s="679" t="s">
        <v>1876</v>
      </c>
      <c r="W23" s="675" t="s">
        <v>50</v>
      </c>
      <c r="X23" s="1395"/>
      <c r="Y23" s="1395"/>
      <c r="Z23" s="219">
        <v>0</v>
      </c>
    </row>
    <row r="24" spans="1:26" s="27" customFormat="1" ht="15.75" customHeight="1">
      <c r="A24" s="1452">
        <v>8</v>
      </c>
      <c r="B24" s="1581">
        <v>334</v>
      </c>
      <c r="C24" s="1452"/>
      <c r="D24" s="1452" t="s">
        <v>2388</v>
      </c>
      <c r="E24" s="1452" t="s">
        <v>2388</v>
      </c>
      <c r="F24" s="1452"/>
      <c r="G24" s="28" t="s">
        <v>2389</v>
      </c>
      <c r="H24" s="675" t="s">
        <v>59</v>
      </c>
      <c r="I24" s="675" t="s">
        <v>60</v>
      </c>
      <c r="J24" s="680" t="s">
        <v>199</v>
      </c>
      <c r="K24" s="1390" t="s">
        <v>15024</v>
      </c>
      <c r="L24" s="1390" t="s">
        <v>15025</v>
      </c>
      <c r="M24" s="678" t="s">
        <v>2390</v>
      </c>
      <c r="N24" s="678" t="s">
        <v>15026</v>
      </c>
      <c r="O24" s="673" t="s">
        <v>43</v>
      </c>
      <c r="P24" s="1482" t="s">
        <v>2794</v>
      </c>
      <c r="Q24" s="673" t="s">
        <v>43</v>
      </c>
      <c r="R24" s="679" t="s">
        <v>2360</v>
      </c>
      <c r="S24" s="673" t="s">
        <v>43</v>
      </c>
      <c r="T24" s="673" t="s">
        <v>43</v>
      </c>
      <c r="U24" s="673" t="s">
        <v>43</v>
      </c>
      <c r="V24" s="679" t="s">
        <v>2391</v>
      </c>
      <c r="W24" s="675" t="s">
        <v>2362</v>
      </c>
      <c r="X24" s="1390" t="s">
        <v>202</v>
      </c>
      <c r="Y24" s="1390" t="s">
        <v>65</v>
      </c>
      <c r="Z24" s="219">
        <v>25600000</v>
      </c>
    </row>
    <row r="25" spans="1:26" s="27" customFormat="1" ht="15.75" customHeight="1">
      <c r="A25" s="1452"/>
      <c r="B25" s="1581"/>
      <c r="C25" s="1452"/>
      <c r="D25" s="1452"/>
      <c r="E25" s="1452"/>
      <c r="F25" s="1452"/>
      <c r="G25" s="28">
        <v>587776</v>
      </c>
      <c r="H25" s="30" t="s">
        <v>195</v>
      </c>
      <c r="I25" s="675" t="s">
        <v>168</v>
      </c>
      <c r="J25" s="680" t="s">
        <v>199</v>
      </c>
      <c r="K25" s="1391"/>
      <c r="L25" s="1391"/>
      <c r="M25" s="678" t="s">
        <v>2392</v>
      </c>
      <c r="N25" s="675" t="s">
        <v>2749</v>
      </c>
      <c r="O25" s="673" t="s">
        <v>43</v>
      </c>
      <c r="P25" s="1483"/>
      <c r="Q25" s="673" t="s">
        <v>43</v>
      </c>
      <c r="R25" s="679" t="s">
        <v>2393</v>
      </c>
      <c r="S25" s="673" t="s">
        <v>43</v>
      </c>
      <c r="T25" s="673" t="s">
        <v>43</v>
      </c>
      <c r="U25" s="673" t="s">
        <v>43</v>
      </c>
      <c r="V25" s="673" t="s">
        <v>43</v>
      </c>
      <c r="W25" s="675" t="s">
        <v>170</v>
      </c>
      <c r="X25" s="1391"/>
      <c r="Y25" s="1391"/>
      <c r="Z25" s="219">
        <v>20800000</v>
      </c>
    </row>
    <row r="26" spans="1:26" s="27" customFormat="1" ht="15.75" customHeight="1">
      <c r="A26" s="1452">
        <v>9</v>
      </c>
      <c r="B26" s="1470">
        <v>335</v>
      </c>
      <c r="C26" s="1452"/>
      <c r="D26" s="1452" t="s">
        <v>2394</v>
      </c>
      <c r="E26" s="1452" t="s">
        <v>2395</v>
      </c>
      <c r="F26" s="1452"/>
      <c r="G26" s="28">
        <v>540390</v>
      </c>
      <c r="H26" s="675" t="s">
        <v>1633</v>
      </c>
      <c r="I26" s="675" t="s">
        <v>108</v>
      </c>
      <c r="J26" s="680" t="s">
        <v>205</v>
      </c>
      <c r="K26" s="1392" t="s">
        <v>15028</v>
      </c>
      <c r="L26" s="1390" t="s">
        <v>15027</v>
      </c>
      <c r="M26" s="678" t="s">
        <v>2396</v>
      </c>
      <c r="N26" s="678" t="s">
        <v>2397</v>
      </c>
      <c r="O26" s="673" t="s">
        <v>43</v>
      </c>
      <c r="P26" s="1482" t="s">
        <v>2795</v>
      </c>
      <c r="Q26" s="673" t="s">
        <v>43</v>
      </c>
      <c r="R26" s="679" t="s">
        <v>315</v>
      </c>
      <c r="S26" s="679" t="s">
        <v>438</v>
      </c>
      <c r="T26" s="673" t="s">
        <v>43</v>
      </c>
      <c r="U26" s="673" t="s">
        <v>43</v>
      </c>
      <c r="V26" s="673" t="s">
        <v>43</v>
      </c>
      <c r="W26" s="675" t="s">
        <v>299</v>
      </c>
      <c r="X26" s="1390" t="s">
        <v>202</v>
      </c>
      <c r="Y26" s="1390" t="s">
        <v>65</v>
      </c>
      <c r="Z26" s="219">
        <v>6000000</v>
      </c>
    </row>
    <row r="27" spans="1:26" s="27" customFormat="1" ht="15.75" customHeight="1">
      <c r="A27" s="1452"/>
      <c r="B27" s="1470"/>
      <c r="C27" s="1452"/>
      <c r="D27" s="1452"/>
      <c r="E27" s="1452"/>
      <c r="F27" s="1452"/>
      <c r="G27" s="28" t="s">
        <v>2398</v>
      </c>
      <c r="H27" s="30" t="s">
        <v>195</v>
      </c>
      <c r="I27" s="772" t="s">
        <v>168</v>
      </c>
      <c r="J27" s="777" t="s">
        <v>199</v>
      </c>
      <c r="K27" s="1394"/>
      <c r="L27" s="1391"/>
      <c r="M27" s="774" t="s">
        <v>2399</v>
      </c>
      <c r="N27" s="772" t="s">
        <v>2748</v>
      </c>
      <c r="O27" s="773" t="s">
        <v>43</v>
      </c>
      <c r="P27" s="1483"/>
      <c r="Q27" s="773" t="s">
        <v>43</v>
      </c>
      <c r="R27" s="775" t="s">
        <v>68</v>
      </c>
      <c r="S27" s="773" t="s">
        <v>43</v>
      </c>
      <c r="T27" s="773" t="s">
        <v>43</v>
      </c>
      <c r="U27" s="773" t="s">
        <v>43</v>
      </c>
      <c r="V27" s="773" t="s">
        <v>43</v>
      </c>
      <c r="W27" s="772" t="s">
        <v>170</v>
      </c>
      <c r="X27" s="1391"/>
      <c r="Y27" s="1391"/>
      <c r="Z27" s="219">
        <v>20800000</v>
      </c>
    </row>
    <row r="28" spans="1:26" s="27" customFormat="1" ht="19.5" customHeight="1">
      <c r="A28" s="1452"/>
      <c r="B28" s="1470"/>
      <c r="C28" s="1452"/>
      <c r="D28" s="1452"/>
      <c r="E28" s="1452"/>
      <c r="F28" s="1452"/>
      <c r="G28" s="773" t="s">
        <v>43</v>
      </c>
      <c r="H28" s="772" t="s">
        <v>44</v>
      </c>
      <c r="I28" s="772" t="s">
        <v>45</v>
      </c>
      <c r="J28" s="777" t="s">
        <v>201</v>
      </c>
      <c r="K28" s="1394"/>
      <c r="L28" s="1391"/>
      <c r="M28" s="774" t="s">
        <v>15037</v>
      </c>
      <c r="N28" s="774" t="s">
        <v>15036</v>
      </c>
      <c r="O28" s="773" t="s">
        <v>43</v>
      </c>
      <c r="P28" s="1483"/>
      <c r="Q28" s="773" t="s">
        <v>43</v>
      </c>
      <c r="R28" s="775" t="s">
        <v>119</v>
      </c>
      <c r="S28" s="773" t="s">
        <v>43</v>
      </c>
      <c r="T28" s="773" t="s">
        <v>43</v>
      </c>
      <c r="U28" s="773" t="s">
        <v>43</v>
      </c>
      <c r="V28" s="775" t="s">
        <v>1876</v>
      </c>
      <c r="W28" s="772" t="s">
        <v>50</v>
      </c>
      <c r="X28" s="1391"/>
      <c r="Y28" s="1391"/>
      <c r="Z28" s="219">
        <v>0</v>
      </c>
    </row>
    <row r="29" spans="1:26" s="27" customFormat="1" ht="15.75" customHeight="1">
      <c r="A29" s="1452">
        <v>10</v>
      </c>
      <c r="B29" s="1581">
        <v>363</v>
      </c>
      <c r="C29" s="1452"/>
      <c r="D29" s="1452" t="s">
        <v>2400</v>
      </c>
      <c r="E29" s="1452" t="s">
        <v>2400</v>
      </c>
      <c r="F29" s="1452"/>
      <c r="G29" s="28">
        <v>540397</v>
      </c>
      <c r="H29" s="675" t="s">
        <v>1633</v>
      </c>
      <c r="I29" s="675" t="s">
        <v>168</v>
      </c>
      <c r="J29" s="680" t="s">
        <v>205</v>
      </c>
      <c r="K29" s="1390" t="s">
        <v>15038</v>
      </c>
      <c r="L29" s="1390" t="s">
        <v>15039</v>
      </c>
      <c r="M29" s="678" t="s">
        <v>15041</v>
      </c>
      <c r="N29" s="678" t="s">
        <v>15040</v>
      </c>
      <c r="O29" s="673" t="s">
        <v>43</v>
      </c>
      <c r="P29" s="1482" t="s">
        <v>2796</v>
      </c>
      <c r="Q29" s="673" t="s">
        <v>43</v>
      </c>
      <c r="R29" s="679" t="s">
        <v>160</v>
      </c>
      <c r="S29" s="673" t="s">
        <v>43</v>
      </c>
      <c r="T29" s="673" t="s">
        <v>43</v>
      </c>
      <c r="U29" s="673" t="s">
        <v>43</v>
      </c>
      <c r="V29" s="673" t="s">
        <v>43</v>
      </c>
      <c r="W29" s="675" t="s">
        <v>170</v>
      </c>
      <c r="X29" s="1390" t="s">
        <v>202</v>
      </c>
      <c r="Y29" s="1390" t="s">
        <v>65</v>
      </c>
      <c r="Z29" s="219">
        <v>6000000</v>
      </c>
    </row>
    <row r="30" spans="1:26" s="27" customFormat="1" ht="15.75" customHeight="1">
      <c r="A30" s="1452"/>
      <c r="B30" s="1581"/>
      <c r="C30" s="1452"/>
      <c r="D30" s="1452"/>
      <c r="E30" s="1452"/>
      <c r="F30" s="1452"/>
      <c r="G30" s="28">
        <v>589684</v>
      </c>
      <c r="H30" s="30" t="s">
        <v>195</v>
      </c>
      <c r="I30" s="675" t="s">
        <v>168</v>
      </c>
      <c r="J30" s="680" t="s">
        <v>199</v>
      </c>
      <c r="K30" s="1391"/>
      <c r="L30" s="1391"/>
      <c r="M30" s="678" t="s">
        <v>2401</v>
      </c>
      <c r="N30" s="675" t="s">
        <v>2747</v>
      </c>
      <c r="O30" s="673" t="s">
        <v>43</v>
      </c>
      <c r="P30" s="1483"/>
      <c r="Q30" s="673" t="s">
        <v>43</v>
      </c>
      <c r="R30" s="679" t="s">
        <v>68</v>
      </c>
      <c r="S30" s="673" t="s">
        <v>43</v>
      </c>
      <c r="T30" s="673" t="s">
        <v>43</v>
      </c>
      <c r="U30" s="673" t="s">
        <v>43</v>
      </c>
      <c r="V30" s="673" t="s">
        <v>43</v>
      </c>
      <c r="W30" s="675" t="s">
        <v>170</v>
      </c>
      <c r="X30" s="1391"/>
      <c r="Y30" s="1391"/>
      <c r="Z30" s="219">
        <v>20800000</v>
      </c>
    </row>
    <row r="31" spans="1:26" s="27" customFormat="1" ht="15.75" customHeight="1">
      <c r="A31" s="1452">
        <v>11</v>
      </c>
      <c r="B31" s="1470">
        <v>368</v>
      </c>
      <c r="C31" s="1452"/>
      <c r="D31" s="1452" t="s">
        <v>1610</v>
      </c>
      <c r="E31" s="1452" t="s">
        <v>2402</v>
      </c>
      <c r="F31" s="1452"/>
      <c r="G31" s="28" t="s">
        <v>2403</v>
      </c>
      <c r="H31" s="675" t="s">
        <v>1633</v>
      </c>
      <c r="I31" s="675" t="s">
        <v>108</v>
      </c>
      <c r="J31" s="680" t="s">
        <v>199</v>
      </c>
      <c r="K31" s="1390" t="s">
        <v>15045</v>
      </c>
      <c r="L31" s="1390" t="s">
        <v>15044</v>
      </c>
      <c r="M31" s="678" t="s">
        <v>15043</v>
      </c>
      <c r="N31" s="678" t="s">
        <v>15042</v>
      </c>
      <c r="O31" s="673" t="s">
        <v>43</v>
      </c>
      <c r="P31" s="1482" t="s">
        <v>2797</v>
      </c>
      <c r="Q31" s="673" t="s">
        <v>43</v>
      </c>
      <c r="R31" s="679" t="s">
        <v>297</v>
      </c>
      <c r="S31" s="679" t="s">
        <v>438</v>
      </c>
      <c r="T31" s="673" t="s">
        <v>43</v>
      </c>
      <c r="U31" s="673" t="s">
        <v>43</v>
      </c>
      <c r="V31" s="673" t="s">
        <v>43</v>
      </c>
      <c r="W31" s="675" t="s">
        <v>299</v>
      </c>
      <c r="X31" s="1390" t="s">
        <v>202</v>
      </c>
      <c r="Y31" s="1390" t="s">
        <v>65</v>
      </c>
      <c r="Z31" s="219">
        <v>12000000</v>
      </c>
    </row>
    <row r="32" spans="1:26" s="27" customFormat="1" ht="15.75" customHeight="1">
      <c r="A32" s="1452"/>
      <c r="B32" s="1470"/>
      <c r="C32" s="1452"/>
      <c r="D32" s="1452"/>
      <c r="E32" s="1452"/>
      <c r="F32" s="1452"/>
      <c r="G32" s="28" t="s">
        <v>2404</v>
      </c>
      <c r="H32" s="30" t="s">
        <v>195</v>
      </c>
      <c r="I32" s="958" t="s">
        <v>168</v>
      </c>
      <c r="J32" s="960" t="s">
        <v>199</v>
      </c>
      <c r="K32" s="1391"/>
      <c r="L32" s="1391"/>
      <c r="M32" s="961" t="s">
        <v>2405</v>
      </c>
      <c r="N32" s="958" t="s">
        <v>2746</v>
      </c>
      <c r="O32" s="959" t="s">
        <v>43</v>
      </c>
      <c r="P32" s="1483"/>
      <c r="Q32" s="959" t="s">
        <v>43</v>
      </c>
      <c r="R32" s="962" t="s">
        <v>68</v>
      </c>
      <c r="S32" s="959" t="s">
        <v>43</v>
      </c>
      <c r="T32" s="959" t="s">
        <v>43</v>
      </c>
      <c r="U32" s="959" t="s">
        <v>43</v>
      </c>
      <c r="V32" s="959" t="s">
        <v>43</v>
      </c>
      <c r="W32" s="958" t="s">
        <v>170</v>
      </c>
      <c r="X32" s="1391"/>
      <c r="Y32" s="1391"/>
      <c r="Z32" s="219">
        <v>20800000</v>
      </c>
    </row>
    <row r="33" spans="1:26" s="27" customFormat="1" ht="19.5" customHeight="1">
      <c r="A33" s="1452"/>
      <c r="B33" s="1470"/>
      <c r="C33" s="1452"/>
      <c r="D33" s="1452"/>
      <c r="E33" s="1452"/>
      <c r="F33" s="1452"/>
      <c r="G33" s="959" t="s">
        <v>43</v>
      </c>
      <c r="H33" s="958" t="s">
        <v>44</v>
      </c>
      <c r="I33" s="958" t="s">
        <v>45</v>
      </c>
      <c r="J33" s="960" t="s">
        <v>201</v>
      </c>
      <c r="K33" s="1391"/>
      <c r="L33" s="1391"/>
      <c r="M33" s="961" t="s">
        <v>2406</v>
      </c>
      <c r="N33" s="961" t="s">
        <v>15761</v>
      </c>
      <c r="O33" s="959" t="s">
        <v>43</v>
      </c>
      <c r="P33" s="1483"/>
      <c r="Q33" s="959" t="s">
        <v>43</v>
      </c>
      <c r="R33" s="962" t="s">
        <v>48</v>
      </c>
      <c r="S33" s="959" t="s">
        <v>43</v>
      </c>
      <c r="T33" s="959" t="s">
        <v>43</v>
      </c>
      <c r="U33" s="959" t="s">
        <v>43</v>
      </c>
      <c r="V33" s="962" t="s">
        <v>1876</v>
      </c>
      <c r="W33" s="958" t="s">
        <v>50</v>
      </c>
      <c r="X33" s="1391"/>
      <c r="Y33" s="1391"/>
      <c r="Z33" s="219">
        <v>0</v>
      </c>
    </row>
    <row r="34" spans="1:26" s="27" customFormat="1" ht="15.75" customHeight="1">
      <c r="A34" s="1452">
        <v>12</v>
      </c>
      <c r="B34" s="1581">
        <v>430</v>
      </c>
      <c r="C34" s="1452"/>
      <c r="D34" s="1452"/>
      <c r="E34" s="1452" t="s">
        <v>2408</v>
      </c>
      <c r="F34" s="1452"/>
      <c r="G34" s="28">
        <v>540395</v>
      </c>
      <c r="H34" s="675" t="s">
        <v>1633</v>
      </c>
      <c r="I34" s="675" t="s">
        <v>108</v>
      </c>
      <c r="J34" s="680" t="s">
        <v>205</v>
      </c>
      <c r="K34" s="1390" t="s">
        <v>15046</v>
      </c>
      <c r="L34" s="1390" t="s">
        <v>15047</v>
      </c>
      <c r="M34" s="678" t="s">
        <v>2409</v>
      </c>
      <c r="N34" s="678" t="s">
        <v>15048</v>
      </c>
      <c r="O34" s="673" t="s">
        <v>43</v>
      </c>
      <c r="P34" s="1482" t="s">
        <v>2798</v>
      </c>
      <c r="Q34" s="673" t="s">
        <v>43</v>
      </c>
      <c r="R34" s="679" t="s">
        <v>315</v>
      </c>
      <c r="S34" s="679" t="s">
        <v>438</v>
      </c>
      <c r="T34" s="673" t="s">
        <v>43</v>
      </c>
      <c r="U34" s="673" t="s">
        <v>43</v>
      </c>
      <c r="V34" s="673" t="s">
        <v>43</v>
      </c>
      <c r="W34" s="675" t="s">
        <v>299</v>
      </c>
      <c r="X34" s="1390" t="s">
        <v>202</v>
      </c>
      <c r="Y34" s="1390" t="s">
        <v>65</v>
      </c>
      <c r="Z34" s="219">
        <v>6000000</v>
      </c>
    </row>
    <row r="35" spans="1:26" s="27" customFormat="1" ht="15.75" customHeight="1">
      <c r="A35" s="1452"/>
      <c r="B35" s="1581"/>
      <c r="C35" s="1452"/>
      <c r="D35" s="1452"/>
      <c r="E35" s="1452"/>
      <c r="F35" s="1452"/>
      <c r="G35" s="28">
        <v>589687</v>
      </c>
      <c r="H35" s="30" t="s">
        <v>195</v>
      </c>
      <c r="I35" s="772" t="s">
        <v>168</v>
      </c>
      <c r="J35" s="777" t="s">
        <v>199</v>
      </c>
      <c r="K35" s="1391"/>
      <c r="L35" s="1391"/>
      <c r="M35" s="774" t="s">
        <v>2410</v>
      </c>
      <c r="N35" s="772" t="s">
        <v>2745</v>
      </c>
      <c r="O35" s="773" t="s">
        <v>43</v>
      </c>
      <c r="P35" s="1483"/>
      <c r="Q35" s="773" t="s">
        <v>43</v>
      </c>
      <c r="R35" s="775" t="s">
        <v>68</v>
      </c>
      <c r="S35" s="773" t="s">
        <v>43</v>
      </c>
      <c r="T35" s="773" t="s">
        <v>43</v>
      </c>
      <c r="U35" s="773" t="s">
        <v>43</v>
      </c>
      <c r="V35" s="773" t="s">
        <v>43</v>
      </c>
      <c r="W35" s="772" t="s">
        <v>170</v>
      </c>
      <c r="X35" s="1391"/>
      <c r="Y35" s="1391"/>
      <c r="Z35" s="219">
        <v>20800000</v>
      </c>
    </row>
    <row r="36" spans="1:26" s="27" customFormat="1" ht="19.5" customHeight="1">
      <c r="A36" s="1452"/>
      <c r="B36" s="1581"/>
      <c r="C36" s="1452"/>
      <c r="D36" s="1452"/>
      <c r="E36" s="1452"/>
      <c r="F36" s="1452"/>
      <c r="G36" s="773" t="s">
        <v>43</v>
      </c>
      <c r="H36" s="772" t="s">
        <v>44</v>
      </c>
      <c r="I36" s="772" t="s">
        <v>45</v>
      </c>
      <c r="J36" s="777" t="s">
        <v>201</v>
      </c>
      <c r="K36" s="1391"/>
      <c r="L36" s="1391"/>
      <c r="M36" s="774" t="s">
        <v>15049</v>
      </c>
      <c r="N36" s="774" t="s">
        <v>15050</v>
      </c>
      <c r="O36" s="773" t="s">
        <v>43</v>
      </c>
      <c r="P36" s="1483"/>
      <c r="Q36" s="773" t="s">
        <v>43</v>
      </c>
      <c r="R36" s="775" t="s">
        <v>119</v>
      </c>
      <c r="S36" s="773" t="s">
        <v>43</v>
      </c>
      <c r="T36" s="773" t="s">
        <v>43</v>
      </c>
      <c r="U36" s="773" t="s">
        <v>43</v>
      </c>
      <c r="V36" s="775" t="s">
        <v>1876</v>
      </c>
      <c r="W36" s="772" t="s">
        <v>50</v>
      </c>
      <c r="X36" s="1391"/>
      <c r="Y36" s="1391"/>
      <c r="Z36" s="219">
        <v>0</v>
      </c>
    </row>
    <row r="37" spans="1:26" s="27" customFormat="1" ht="15.75" customHeight="1">
      <c r="A37" s="1452">
        <v>13</v>
      </c>
      <c r="B37" s="1581">
        <v>432</v>
      </c>
      <c r="C37" s="1452"/>
      <c r="D37" s="1452" t="s">
        <v>2411</v>
      </c>
      <c r="E37" s="1504" t="s">
        <v>2411</v>
      </c>
      <c r="F37" s="1452"/>
      <c r="G37" s="28" t="s">
        <v>2412</v>
      </c>
      <c r="H37" s="772" t="s">
        <v>59</v>
      </c>
      <c r="I37" s="772" t="s">
        <v>60</v>
      </c>
      <c r="J37" s="680" t="s">
        <v>199</v>
      </c>
      <c r="K37" s="1390" t="s">
        <v>15051</v>
      </c>
      <c r="L37" s="1390" t="s">
        <v>15052</v>
      </c>
      <c r="M37" s="675" t="s">
        <v>15055</v>
      </c>
      <c r="N37" s="675" t="s">
        <v>15054</v>
      </c>
      <c r="O37" s="673" t="s">
        <v>43</v>
      </c>
      <c r="P37" s="1482" t="s">
        <v>2799</v>
      </c>
      <c r="Q37" s="673" t="s">
        <v>43</v>
      </c>
      <c r="R37" s="679" t="s">
        <v>315</v>
      </c>
      <c r="S37" s="679" t="s">
        <v>438</v>
      </c>
      <c r="T37" s="673" t="s">
        <v>43</v>
      </c>
      <c r="U37" s="673" t="s">
        <v>43</v>
      </c>
      <c r="V37" s="673" t="s">
        <v>43</v>
      </c>
      <c r="W37" s="675" t="s">
        <v>299</v>
      </c>
      <c r="X37" s="1390" t="s">
        <v>202</v>
      </c>
      <c r="Y37" s="1390" t="s">
        <v>65</v>
      </c>
      <c r="Z37" s="219">
        <v>12000000</v>
      </c>
    </row>
    <row r="38" spans="1:26" s="27" customFormat="1" ht="15.75" customHeight="1">
      <c r="A38" s="1452"/>
      <c r="B38" s="1581"/>
      <c r="C38" s="1452"/>
      <c r="D38" s="1452"/>
      <c r="E38" s="1504"/>
      <c r="F38" s="1452"/>
      <c r="G38" s="28" t="s">
        <v>2413</v>
      </c>
      <c r="H38" s="30" t="s">
        <v>195</v>
      </c>
      <c r="I38" s="675" t="s">
        <v>168</v>
      </c>
      <c r="J38" s="680" t="s">
        <v>199</v>
      </c>
      <c r="K38" s="1391"/>
      <c r="L38" s="1391"/>
      <c r="M38" s="678" t="s">
        <v>2414</v>
      </c>
      <c r="N38" s="675" t="s">
        <v>2744</v>
      </c>
      <c r="O38" s="673" t="s">
        <v>43</v>
      </c>
      <c r="P38" s="1483"/>
      <c r="Q38" s="673" t="s">
        <v>43</v>
      </c>
      <c r="R38" s="679" t="s">
        <v>68</v>
      </c>
      <c r="S38" s="673" t="s">
        <v>43</v>
      </c>
      <c r="T38" s="673" t="s">
        <v>43</v>
      </c>
      <c r="U38" s="673" t="s">
        <v>43</v>
      </c>
      <c r="V38" s="673" t="s">
        <v>43</v>
      </c>
      <c r="W38" s="675" t="s">
        <v>170</v>
      </c>
      <c r="X38" s="1391"/>
      <c r="Y38" s="1391"/>
      <c r="Z38" s="219">
        <v>20800000</v>
      </c>
    </row>
    <row r="39" spans="1:26" s="27" customFormat="1" ht="19.5" customHeight="1">
      <c r="A39" s="1452"/>
      <c r="B39" s="1581"/>
      <c r="C39" s="1452"/>
      <c r="D39" s="1452"/>
      <c r="E39" s="1504"/>
      <c r="F39" s="1452"/>
      <c r="G39" s="773" t="s">
        <v>43</v>
      </c>
      <c r="H39" s="772" t="s">
        <v>44</v>
      </c>
      <c r="I39" s="772" t="s">
        <v>45</v>
      </c>
      <c r="J39" s="777" t="s">
        <v>201</v>
      </c>
      <c r="K39" s="1395"/>
      <c r="L39" s="1395"/>
      <c r="M39" s="774" t="s">
        <v>2743</v>
      </c>
      <c r="N39" s="774" t="s">
        <v>15053</v>
      </c>
      <c r="O39" s="773" t="s">
        <v>43</v>
      </c>
      <c r="P39" s="1484"/>
      <c r="Q39" s="773" t="s">
        <v>43</v>
      </c>
      <c r="R39" s="775" t="s">
        <v>119</v>
      </c>
      <c r="S39" s="773" t="s">
        <v>43</v>
      </c>
      <c r="T39" s="773" t="s">
        <v>43</v>
      </c>
      <c r="U39" s="773" t="s">
        <v>43</v>
      </c>
      <c r="V39" s="775" t="s">
        <v>1876</v>
      </c>
      <c r="W39" s="772" t="s">
        <v>50</v>
      </c>
      <c r="X39" s="1395"/>
      <c r="Y39" s="1395"/>
      <c r="Z39" s="219">
        <v>0</v>
      </c>
    </row>
    <row r="40" spans="1:26" s="27" customFormat="1" ht="15.75" customHeight="1">
      <c r="A40" s="1452">
        <v>14</v>
      </c>
      <c r="B40" s="1470">
        <v>514</v>
      </c>
      <c r="C40" s="1452"/>
      <c r="D40" s="1452" t="s">
        <v>2326</v>
      </c>
      <c r="E40" s="1452" t="s">
        <v>2415</v>
      </c>
      <c r="F40" s="1452"/>
      <c r="G40" s="28">
        <v>540398</v>
      </c>
      <c r="H40" s="675" t="s">
        <v>1633</v>
      </c>
      <c r="I40" s="675" t="s">
        <v>108</v>
      </c>
      <c r="J40" s="680" t="s">
        <v>205</v>
      </c>
      <c r="K40" s="1390" t="s">
        <v>14985</v>
      </c>
      <c r="L40" s="1390" t="s">
        <v>14986</v>
      </c>
      <c r="M40" s="675" t="s">
        <v>14988</v>
      </c>
      <c r="N40" s="675" t="s">
        <v>14987</v>
      </c>
      <c r="O40" s="673" t="s">
        <v>43</v>
      </c>
      <c r="P40" s="1482" t="s">
        <v>2800</v>
      </c>
      <c r="Q40" s="673" t="s">
        <v>43</v>
      </c>
      <c r="R40" s="679" t="s">
        <v>2274</v>
      </c>
      <c r="S40" s="679" t="s">
        <v>438</v>
      </c>
      <c r="T40" s="673" t="s">
        <v>43</v>
      </c>
      <c r="U40" s="673" t="s">
        <v>43</v>
      </c>
      <c r="V40" s="673" t="s">
        <v>43</v>
      </c>
      <c r="W40" s="675" t="s">
        <v>299</v>
      </c>
      <c r="X40" s="1390" t="s">
        <v>202</v>
      </c>
      <c r="Y40" s="1390" t="s">
        <v>65</v>
      </c>
      <c r="Z40" s="219">
        <v>6000000</v>
      </c>
    </row>
    <row r="41" spans="1:26" s="27" customFormat="1" ht="15.75" customHeight="1">
      <c r="A41" s="1452"/>
      <c r="B41" s="1470"/>
      <c r="C41" s="1452"/>
      <c r="D41" s="1452"/>
      <c r="E41" s="1452"/>
      <c r="F41" s="1452"/>
      <c r="G41" s="679" t="s">
        <v>2416</v>
      </c>
      <c r="H41" s="30" t="s">
        <v>195</v>
      </c>
      <c r="I41" s="675" t="s">
        <v>168</v>
      </c>
      <c r="J41" s="680" t="s">
        <v>199</v>
      </c>
      <c r="K41" s="1391"/>
      <c r="L41" s="1391"/>
      <c r="M41" s="675" t="s">
        <v>2417</v>
      </c>
      <c r="N41" s="675" t="s">
        <v>2753</v>
      </c>
      <c r="O41" s="673" t="s">
        <v>43</v>
      </c>
      <c r="P41" s="1483"/>
      <c r="Q41" s="673" t="s">
        <v>43</v>
      </c>
      <c r="R41" s="679" t="s">
        <v>255</v>
      </c>
      <c r="S41" s="673" t="s">
        <v>43</v>
      </c>
      <c r="T41" s="673" t="s">
        <v>43</v>
      </c>
      <c r="U41" s="673" t="s">
        <v>43</v>
      </c>
      <c r="V41" s="679" t="s">
        <v>1510</v>
      </c>
      <c r="W41" s="675" t="s">
        <v>170</v>
      </c>
      <c r="X41" s="1391"/>
      <c r="Y41" s="1391"/>
      <c r="Z41" s="219">
        <v>20800000</v>
      </c>
    </row>
    <row r="42" spans="1:26" s="27" customFormat="1" ht="15.75" customHeight="1">
      <c r="A42" s="1452"/>
      <c r="B42" s="1470"/>
      <c r="C42" s="1452"/>
      <c r="D42" s="1452"/>
      <c r="E42" s="1452"/>
      <c r="F42" s="1452"/>
      <c r="G42" s="673" t="s">
        <v>43</v>
      </c>
      <c r="H42" s="675" t="s">
        <v>44</v>
      </c>
      <c r="I42" s="675" t="s">
        <v>45</v>
      </c>
      <c r="J42" s="680" t="s">
        <v>201</v>
      </c>
      <c r="K42" s="1395"/>
      <c r="L42" s="1395"/>
      <c r="M42" s="675" t="s">
        <v>2418</v>
      </c>
      <c r="N42" s="675" t="s">
        <v>2419</v>
      </c>
      <c r="O42" s="673" t="s">
        <v>43</v>
      </c>
      <c r="P42" s="1484"/>
      <c r="Q42" s="673" t="s">
        <v>43</v>
      </c>
      <c r="R42" s="679" t="s">
        <v>68</v>
      </c>
      <c r="S42" s="673" t="s">
        <v>43</v>
      </c>
      <c r="T42" s="673" t="s">
        <v>43</v>
      </c>
      <c r="U42" s="673" t="s">
        <v>43</v>
      </c>
      <c r="V42" s="673" t="s">
        <v>43</v>
      </c>
      <c r="W42" s="675" t="s">
        <v>50</v>
      </c>
      <c r="X42" s="1395"/>
      <c r="Y42" s="1395"/>
      <c r="Z42" s="219">
        <v>0</v>
      </c>
    </row>
    <row r="43" spans="1:26" s="27" customFormat="1" ht="15.75" customHeight="1">
      <c r="A43" s="1452">
        <v>15</v>
      </c>
      <c r="B43" s="1581">
        <v>538</v>
      </c>
      <c r="C43" s="1452"/>
      <c r="D43" s="1452" t="s">
        <v>2420</v>
      </c>
      <c r="E43" s="1452" t="s">
        <v>2420</v>
      </c>
      <c r="F43" s="1452"/>
      <c r="G43" s="679" t="s">
        <v>2421</v>
      </c>
      <c r="H43" s="675" t="s">
        <v>59</v>
      </c>
      <c r="I43" s="675" t="s">
        <v>60</v>
      </c>
      <c r="J43" s="680" t="s">
        <v>199</v>
      </c>
      <c r="K43" s="1390" t="s">
        <v>15057</v>
      </c>
      <c r="L43" s="1390" t="s">
        <v>15056</v>
      </c>
      <c r="M43" s="678" t="s">
        <v>2422</v>
      </c>
      <c r="N43" s="678" t="s">
        <v>15058</v>
      </c>
      <c r="O43" s="673" t="s">
        <v>43</v>
      </c>
      <c r="P43" s="1482" t="s">
        <v>2801</v>
      </c>
      <c r="Q43" s="673" t="s">
        <v>43</v>
      </c>
      <c r="R43" s="679" t="s">
        <v>2367</v>
      </c>
      <c r="S43" s="673" t="s">
        <v>43</v>
      </c>
      <c r="T43" s="673" t="s">
        <v>43</v>
      </c>
      <c r="U43" s="673" t="s">
        <v>43</v>
      </c>
      <c r="V43" s="679" t="s">
        <v>2423</v>
      </c>
      <c r="W43" s="675" t="s">
        <v>2362</v>
      </c>
      <c r="X43" s="1390" t="s">
        <v>202</v>
      </c>
      <c r="Y43" s="1390" t="s">
        <v>65</v>
      </c>
      <c r="Z43" s="219">
        <v>25600000</v>
      </c>
    </row>
    <row r="44" spans="1:26" s="27" customFormat="1" ht="15.75" customHeight="1">
      <c r="A44" s="1452"/>
      <c r="B44" s="1581"/>
      <c r="C44" s="1452"/>
      <c r="D44" s="1452"/>
      <c r="E44" s="1452"/>
      <c r="F44" s="1452"/>
      <c r="G44" s="679" t="s">
        <v>2424</v>
      </c>
      <c r="H44" s="30" t="s">
        <v>195</v>
      </c>
      <c r="I44" s="675" t="s">
        <v>168</v>
      </c>
      <c r="J44" s="680" t="s">
        <v>199</v>
      </c>
      <c r="K44" s="1391"/>
      <c r="L44" s="1391"/>
      <c r="M44" s="678" t="s">
        <v>2425</v>
      </c>
      <c r="N44" s="675" t="s">
        <v>2752</v>
      </c>
      <c r="O44" s="673" t="s">
        <v>43</v>
      </c>
      <c r="P44" s="1483"/>
      <c r="Q44" s="673" t="s">
        <v>43</v>
      </c>
      <c r="R44" s="679" t="s">
        <v>255</v>
      </c>
      <c r="S44" s="673" t="s">
        <v>43</v>
      </c>
      <c r="T44" s="673" t="s">
        <v>43</v>
      </c>
      <c r="U44" s="673" t="s">
        <v>43</v>
      </c>
      <c r="V44" s="679" t="s">
        <v>1510</v>
      </c>
      <c r="W44" s="675" t="s">
        <v>170</v>
      </c>
      <c r="X44" s="1391"/>
      <c r="Y44" s="1391"/>
      <c r="Z44" s="219">
        <v>20800000</v>
      </c>
    </row>
    <row r="45" spans="1:26" s="27" customFormat="1" ht="15.75" customHeight="1">
      <c r="A45" s="1452"/>
      <c r="B45" s="1581"/>
      <c r="C45" s="1452"/>
      <c r="D45" s="1452"/>
      <c r="E45" s="1452"/>
      <c r="F45" s="1452"/>
      <c r="G45" s="673" t="s">
        <v>43</v>
      </c>
      <c r="H45" s="675" t="s">
        <v>44</v>
      </c>
      <c r="I45" s="675" t="s">
        <v>45</v>
      </c>
      <c r="J45" s="680" t="s">
        <v>201</v>
      </c>
      <c r="K45" s="1395"/>
      <c r="L45" s="1395"/>
      <c r="M45" s="675" t="s">
        <v>2426</v>
      </c>
      <c r="N45" s="675" t="s">
        <v>2427</v>
      </c>
      <c r="O45" s="673" t="s">
        <v>43</v>
      </c>
      <c r="P45" s="1484"/>
      <c r="Q45" s="673" t="s">
        <v>43</v>
      </c>
      <c r="R45" s="679" t="s">
        <v>68</v>
      </c>
      <c r="S45" s="673" t="s">
        <v>43</v>
      </c>
      <c r="T45" s="673" t="s">
        <v>43</v>
      </c>
      <c r="U45" s="673" t="s">
        <v>43</v>
      </c>
      <c r="V45" s="673" t="s">
        <v>43</v>
      </c>
      <c r="W45" s="675" t="s">
        <v>50</v>
      </c>
      <c r="X45" s="1395"/>
      <c r="Y45" s="1395"/>
      <c r="Z45" s="219">
        <v>0</v>
      </c>
    </row>
    <row r="46" spans="1:26" s="27" customFormat="1" ht="15.75" customHeight="1">
      <c r="A46" s="1452">
        <v>16</v>
      </c>
      <c r="B46" s="1582">
        <v>547</v>
      </c>
      <c r="C46" s="1452"/>
      <c r="D46" s="1452" t="s">
        <v>2428</v>
      </c>
      <c r="E46" s="1452" t="s">
        <v>2428</v>
      </c>
      <c r="F46" s="1452"/>
      <c r="G46" s="28" t="s">
        <v>2429</v>
      </c>
      <c r="H46" s="675" t="s">
        <v>59</v>
      </c>
      <c r="I46" s="675" t="s">
        <v>60</v>
      </c>
      <c r="J46" s="680" t="s">
        <v>199</v>
      </c>
      <c r="K46" s="1390" t="s">
        <v>15060</v>
      </c>
      <c r="L46" s="1390" t="s">
        <v>15059</v>
      </c>
      <c r="M46" s="678" t="s">
        <v>2430</v>
      </c>
      <c r="N46" s="675" t="s">
        <v>15061</v>
      </c>
      <c r="O46" s="673" t="s">
        <v>43</v>
      </c>
      <c r="P46" s="1482" t="s">
        <v>2802</v>
      </c>
      <c r="Q46" s="673" t="s">
        <v>43</v>
      </c>
      <c r="R46" s="679" t="s">
        <v>2367</v>
      </c>
      <c r="S46" s="673" t="s">
        <v>43</v>
      </c>
      <c r="T46" s="673" t="s">
        <v>43</v>
      </c>
      <c r="U46" s="673" t="s">
        <v>43</v>
      </c>
      <c r="V46" s="679" t="s">
        <v>2361</v>
      </c>
      <c r="W46" s="675" t="s">
        <v>2362</v>
      </c>
      <c r="X46" s="1390" t="s">
        <v>202</v>
      </c>
      <c r="Y46" s="1390" t="s">
        <v>65</v>
      </c>
      <c r="Z46" s="219">
        <v>25600000</v>
      </c>
    </row>
    <row r="47" spans="1:26" s="27" customFormat="1" ht="15.75" customHeight="1">
      <c r="A47" s="1452"/>
      <c r="B47" s="1582"/>
      <c r="C47" s="1452"/>
      <c r="D47" s="1452"/>
      <c r="E47" s="1452"/>
      <c r="F47" s="1452"/>
      <c r="G47" s="673" t="s">
        <v>43</v>
      </c>
      <c r="H47" s="675" t="s">
        <v>44</v>
      </c>
      <c r="I47" s="675" t="s">
        <v>45</v>
      </c>
      <c r="J47" s="680" t="s">
        <v>199</v>
      </c>
      <c r="K47" s="1391"/>
      <c r="L47" s="1391"/>
      <c r="M47" s="678" t="s">
        <v>2431</v>
      </c>
      <c r="N47" s="678" t="s">
        <v>2755</v>
      </c>
      <c r="O47" s="673" t="s">
        <v>43</v>
      </c>
      <c r="P47" s="1483"/>
      <c r="Q47" s="673" t="s">
        <v>43</v>
      </c>
      <c r="R47" s="679" t="s">
        <v>48</v>
      </c>
      <c r="S47" s="673" t="s">
        <v>43</v>
      </c>
      <c r="T47" s="673" t="s">
        <v>43</v>
      </c>
      <c r="U47" s="673" t="s">
        <v>43</v>
      </c>
      <c r="V47" s="679" t="s">
        <v>1876</v>
      </c>
      <c r="W47" s="675" t="s">
        <v>50</v>
      </c>
      <c r="X47" s="1391"/>
      <c r="Y47" s="1391"/>
      <c r="Z47" s="219">
        <v>0</v>
      </c>
    </row>
    <row r="48" spans="1:26" s="27" customFormat="1" ht="15.75" customHeight="1">
      <c r="A48" s="1452">
        <v>17</v>
      </c>
      <c r="B48" s="1582">
        <v>549</v>
      </c>
      <c r="C48" s="1452"/>
      <c r="D48" s="1452" t="s">
        <v>2432</v>
      </c>
      <c r="E48" s="1452" t="s">
        <v>2432</v>
      </c>
      <c r="F48" s="1452"/>
      <c r="G48" s="28" t="s">
        <v>2433</v>
      </c>
      <c r="H48" s="675" t="s">
        <v>59</v>
      </c>
      <c r="I48" s="675" t="s">
        <v>60</v>
      </c>
      <c r="J48" s="680" t="s">
        <v>205</v>
      </c>
      <c r="K48" s="1390" t="s">
        <v>15062</v>
      </c>
      <c r="L48" s="1390" t="s">
        <v>15063</v>
      </c>
      <c r="M48" s="678" t="s">
        <v>2434</v>
      </c>
      <c r="N48" s="678" t="s">
        <v>2435</v>
      </c>
      <c r="O48" s="673" t="s">
        <v>43</v>
      </c>
      <c r="P48" s="1482" t="s">
        <v>2803</v>
      </c>
      <c r="Q48" s="673" t="s">
        <v>43</v>
      </c>
      <c r="R48" s="679" t="s">
        <v>397</v>
      </c>
      <c r="S48" s="673" t="s">
        <v>43</v>
      </c>
      <c r="T48" s="673" t="s">
        <v>43</v>
      </c>
      <c r="U48" s="673" t="s">
        <v>43</v>
      </c>
      <c r="V48" s="673" t="s">
        <v>43</v>
      </c>
      <c r="W48" s="675" t="s">
        <v>167</v>
      </c>
      <c r="X48" s="1390" t="s">
        <v>202</v>
      </c>
      <c r="Y48" s="1390" t="s">
        <v>65</v>
      </c>
      <c r="Z48" s="219">
        <v>25600000</v>
      </c>
    </row>
    <row r="49" spans="1:28" s="27" customFormat="1" ht="15.75" customHeight="1">
      <c r="A49" s="1452"/>
      <c r="B49" s="1582"/>
      <c r="C49" s="1452"/>
      <c r="D49" s="1452"/>
      <c r="E49" s="1452"/>
      <c r="F49" s="1452"/>
      <c r="G49" s="28" t="s">
        <v>2436</v>
      </c>
      <c r="H49" s="30" t="s">
        <v>195</v>
      </c>
      <c r="I49" s="675" t="s">
        <v>168</v>
      </c>
      <c r="J49" s="680" t="s">
        <v>199</v>
      </c>
      <c r="K49" s="1391"/>
      <c r="L49" s="1391"/>
      <c r="M49" s="675" t="s">
        <v>2437</v>
      </c>
      <c r="N49" s="675" t="s">
        <v>2756</v>
      </c>
      <c r="O49" s="673" t="s">
        <v>43</v>
      </c>
      <c r="P49" s="1483"/>
      <c r="Q49" s="673" t="s">
        <v>43</v>
      </c>
      <c r="R49" s="679" t="s">
        <v>246</v>
      </c>
      <c r="S49" s="673" t="s">
        <v>43</v>
      </c>
      <c r="T49" s="673" t="s">
        <v>43</v>
      </c>
      <c r="U49" s="673" t="s">
        <v>43</v>
      </c>
      <c r="V49" s="679" t="s">
        <v>1510</v>
      </c>
      <c r="W49" s="675" t="s">
        <v>170</v>
      </c>
      <c r="X49" s="1391"/>
      <c r="Y49" s="1391"/>
      <c r="Z49" s="219">
        <v>20800000</v>
      </c>
    </row>
    <row r="50" spans="1:28" s="27" customFormat="1" ht="15.75" customHeight="1">
      <c r="A50" s="1452">
        <v>19</v>
      </c>
      <c r="B50" s="1582">
        <v>551</v>
      </c>
      <c r="C50" s="1452"/>
      <c r="D50" s="1452" t="s">
        <v>2438</v>
      </c>
      <c r="E50" s="1452" t="s">
        <v>2438</v>
      </c>
      <c r="F50" s="1452"/>
      <c r="G50" s="28" t="s">
        <v>2439</v>
      </c>
      <c r="H50" s="675" t="s">
        <v>59</v>
      </c>
      <c r="I50" s="675" t="s">
        <v>60</v>
      </c>
      <c r="J50" s="680" t="s">
        <v>199</v>
      </c>
      <c r="K50" s="1452" t="s">
        <v>15064</v>
      </c>
      <c r="L50" s="1452" t="s">
        <v>15065</v>
      </c>
      <c r="M50" s="678" t="s">
        <v>2440</v>
      </c>
      <c r="N50" s="678" t="s">
        <v>15066</v>
      </c>
      <c r="O50" s="673" t="s">
        <v>43</v>
      </c>
      <c r="P50" s="1482" t="s">
        <v>2804</v>
      </c>
      <c r="Q50" s="673" t="s">
        <v>43</v>
      </c>
      <c r="R50" s="679" t="s">
        <v>2360</v>
      </c>
      <c r="S50" s="673" t="s">
        <v>43</v>
      </c>
      <c r="T50" s="673" t="s">
        <v>43</v>
      </c>
      <c r="U50" s="673" t="s">
        <v>43</v>
      </c>
      <c r="V50" s="679" t="s">
        <v>2441</v>
      </c>
      <c r="W50" s="675" t="s">
        <v>2362</v>
      </c>
      <c r="X50" s="1390" t="s">
        <v>202</v>
      </c>
      <c r="Y50" s="1390" t="s">
        <v>65</v>
      </c>
      <c r="Z50" s="219">
        <v>25600000</v>
      </c>
    </row>
    <row r="51" spans="1:28" s="27" customFormat="1" ht="15.75" customHeight="1">
      <c r="A51" s="1452"/>
      <c r="B51" s="1582"/>
      <c r="C51" s="1452"/>
      <c r="D51" s="1452"/>
      <c r="E51" s="1452"/>
      <c r="F51" s="1452"/>
      <c r="G51" s="28" t="s">
        <v>2442</v>
      </c>
      <c r="H51" s="30" t="s">
        <v>195</v>
      </c>
      <c r="I51" s="675" t="s">
        <v>168</v>
      </c>
      <c r="J51" s="680" t="s">
        <v>199</v>
      </c>
      <c r="K51" s="1452"/>
      <c r="L51" s="1452"/>
      <c r="M51" s="678" t="s">
        <v>2443</v>
      </c>
      <c r="N51" s="675" t="s">
        <v>2757</v>
      </c>
      <c r="O51" s="673" t="s">
        <v>43</v>
      </c>
      <c r="P51" s="1483"/>
      <c r="Q51" s="673" t="s">
        <v>43</v>
      </c>
      <c r="R51" s="679" t="s">
        <v>246</v>
      </c>
      <c r="S51" s="673" t="s">
        <v>43</v>
      </c>
      <c r="T51" s="673" t="s">
        <v>43</v>
      </c>
      <c r="U51" s="673" t="s">
        <v>43</v>
      </c>
      <c r="V51" s="679" t="s">
        <v>432</v>
      </c>
      <c r="W51" s="675" t="s">
        <v>170</v>
      </c>
      <c r="X51" s="1391"/>
      <c r="Y51" s="1391"/>
      <c r="Z51" s="219">
        <v>20800000</v>
      </c>
    </row>
    <row r="52" spans="1:28" ht="15" customHeight="1">
      <c r="Y52" s="289" t="s">
        <v>90</v>
      </c>
      <c r="Z52" s="320">
        <f>SUM(Z2:Z51)</f>
        <v>821432400</v>
      </c>
    </row>
    <row r="55" spans="1:28" ht="22.5">
      <c r="A55" s="1459" t="s">
        <v>14163</v>
      </c>
      <c r="B55" s="1459"/>
      <c r="C55" s="1459"/>
      <c r="D55" s="1459"/>
      <c r="E55" s="1459"/>
      <c r="F55" s="1459"/>
      <c r="G55" s="1459"/>
    </row>
    <row r="56" spans="1:28" s="12" customFormat="1" ht="19.5">
      <c r="A56" s="34" t="s">
        <v>0</v>
      </c>
      <c r="B56" s="34" t="s">
        <v>5</v>
      </c>
      <c r="C56" s="34" t="s">
        <v>2</v>
      </c>
      <c r="D56" s="34" t="s">
        <v>3</v>
      </c>
      <c r="E56" s="1445" t="s">
        <v>88</v>
      </c>
      <c r="F56" s="1446"/>
      <c r="G56" s="34" t="s">
        <v>6</v>
      </c>
      <c r="H56" s="34" t="s">
        <v>7</v>
      </c>
      <c r="I56" s="34" t="s">
        <v>8</v>
      </c>
      <c r="J56" s="34" t="s">
        <v>196</v>
      </c>
      <c r="K56" s="34" t="s">
        <v>9</v>
      </c>
      <c r="L56" s="34" t="s">
        <v>11</v>
      </c>
      <c r="M56" s="34" t="s">
        <v>12</v>
      </c>
      <c r="N56" s="34" t="s">
        <v>216</v>
      </c>
      <c r="O56" s="34" t="s">
        <v>13</v>
      </c>
      <c r="P56" s="35" t="s">
        <v>14</v>
      </c>
      <c r="Q56" s="35" t="s">
        <v>217</v>
      </c>
      <c r="R56" s="35" t="s">
        <v>16</v>
      </c>
      <c r="S56" s="34" t="s">
        <v>17</v>
      </c>
      <c r="T56" s="34" t="s">
        <v>218</v>
      </c>
      <c r="U56" s="34" t="s">
        <v>22</v>
      </c>
      <c r="V56" s="36" t="s">
        <v>23</v>
      </c>
      <c r="W56" s="34" t="s">
        <v>24</v>
      </c>
      <c r="X56" s="58" t="s">
        <v>257</v>
      </c>
      <c r="Z56" s="358" t="s">
        <v>9683</v>
      </c>
      <c r="AA56"/>
    </row>
    <row r="58" spans="1:28" ht="19.5">
      <c r="K58" s="677" t="s">
        <v>12013</v>
      </c>
      <c r="W58" s="289" t="s">
        <v>2280</v>
      </c>
      <c r="X58" s="290">
        <v>14624000</v>
      </c>
      <c r="AA58" s="27"/>
      <c r="AB58" s="27"/>
    </row>
    <row r="59" spans="1:28" ht="19.5">
      <c r="K59" s="48" t="s">
        <v>2444</v>
      </c>
      <c r="Z59" s="289" t="s">
        <v>90</v>
      </c>
      <c r="AA59" s="301" t="s">
        <v>43</v>
      </c>
    </row>
    <row r="60" spans="1:28" ht="21">
      <c r="K60" s="48" t="s">
        <v>2445</v>
      </c>
      <c r="M60" s="1008" t="s">
        <v>12013</v>
      </c>
    </row>
    <row r="61" spans="1:28" ht="21">
      <c r="K61" s="48" t="s">
        <v>2446</v>
      </c>
      <c r="M61" s="1009" t="s">
        <v>16120</v>
      </c>
    </row>
    <row r="62" spans="1:28" ht="18">
      <c r="K62" s="48" t="s">
        <v>2447</v>
      </c>
      <c r="M62" s="632"/>
    </row>
    <row r="63" spans="1:28" ht="18">
      <c r="K63" s="48" t="s">
        <v>2448</v>
      </c>
    </row>
  </sheetData>
  <mergeCells count="168">
    <mergeCell ref="A2:A7"/>
    <mergeCell ref="L34:L36"/>
    <mergeCell ref="K34:K36"/>
    <mergeCell ref="T2:T5"/>
    <mergeCell ref="W2:W5"/>
    <mergeCell ref="P34:P36"/>
    <mergeCell ref="P2:P7"/>
    <mergeCell ref="L2:L7"/>
    <mergeCell ref="X2:X7"/>
    <mergeCell ref="A12:A14"/>
    <mergeCell ref="A15:A17"/>
    <mergeCell ref="X34:X36"/>
    <mergeCell ref="B34:B36"/>
    <mergeCell ref="E34:E36"/>
    <mergeCell ref="A34:A36"/>
    <mergeCell ref="A10:A11"/>
    <mergeCell ref="L10:L11"/>
    <mergeCell ref="P10:P11"/>
    <mergeCell ref="B15:B17"/>
    <mergeCell ref="D15:D17"/>
    <mergeCell ref="E15:E17"/>
    <mergeCell ref="K15:K17"/>
    <mergeCell ref="L15:L17"/>
    <mergeCell ref="P15:P17"/>
    <mergeCell ref="Y2:Y7"/>
    <mergeCell ref="X8:X9"/>
    <mergeCell ref="Y8:Y9"/>
    <mergeCell ref="X10:X11"/>
    <mergeCell ref="Y10:Y11"/>
    <mergeCell ref="X12:X14"/>
    <mergeCell ref="Y12:Y14"/>
    <mergeCell ref="B2:B7"/>
    <mergeCell ref="D2:D7"/>
    <mergeCell ref="E2:E7"/>
    <mergeCell ref="I2:I5"/>
    <mergeCell ref="K2:K7"/>
    <mergeCell ref="B12:B14"/>
    <mergeCell ref="D12:D14"/>
    <mergeCell ref="E12:E14"/>
    <mergeCell ref="K12:K14"/>
    <mergeCell ref="L12:L14"/>
    <mergeCell ref="P12:P14"/>
    <mergeCell ref="L8:L9"/>
    <mergeCell ref="P8:P9"/>
    <mergeCell ref="B10:B11"/>
    <mergeCell ref="D10:D11"/>
    <mergeCell ref="E10:E11"/>
    <mergeCell ref="K10:K11"/>
    <mergeCell ref="X15:X17"/>
    <mergeCell ref="Y15:Y17"/>
    <mergeCell ref="C2:C51"/>
    <mergeCell ref="F2:F51"/>
    <mergeCell ref="A8:A9"/>
    <mergeCell ref="B8:B9"/>
    <mergeCell ref="D8:D9"/>
    <mergeCell ref="E8:E9"/>
    <mergeCell ref="K8:K9"/>
    <mergeCell ref="A18:A20"/>
    <mergeCell ref="B18:B20"/>
    <mergeCell ref="D18:D20"/>
    <mergeCell ref="E18:E20"/>
    <mergeCell ref="K18:K20"/>
    <mergeCell ref="L18:L20"/>
    <mergeCell ref="P18:P20"/>
    <mergeCell ref="X18:X20"/>
    <mergeCell ref="Y18:Y20"/>
    <mergeCell ref="A21:A23"/>
    <mergeCell ref="B21:B23"/>
    <mergeCell ref="D21:D23"/>
    <mergeCell ref="E21:E23"/>
    <mergeCell ref="K21:K23"/>
    <mergeCell ref="L21:L23"/>
    <mergeCell ref="P21:P23"/>
    <mergeCell ref="X21:X23"/>
    <mergeCell ref="Y21:Y23"/>
    <mergeCell ref="A24:A25"/>
    <mergeCell ref="B24:B25"/>
    <mergeCell ref="D24:D25"/>
    <mergeCell ref="E24:E25"/>
    <mergeCell ref="K24:K25"/>
    <mergeCell ref="L24:L25"/>
    <mergeCell ref="P24:P25"/>
    <mergeCell ref="X24:X25"/>
    <mergeCell ref="Y24:Y25"/>
    <mergeCell ref="A26:A28"/>
    <mergeCell ref="B26:B28"/>
    <mergeCell ref="D26:D28"/>
    <mergeCell ref="E26:E28"/>
    <mergeCell ref="K26:K28"/>
    <mergeCell ref="L26:L28"/>
    <mergeCell ref="P26:P28"/>
    <mergeCell ref="X26:X28"/>
    <mergeCell ref="Y26:Y28"/>
    <mergeCell ref="A29:A30"/>
    <mergeCell ref="B29:B30"/>
    <mergeCell ref="D29:D30"/>
    <mergeCell ref="E29:E30"/>
    <mergeCell ref="K29:K30"/>
    <mergeCell ref="L29:L30"/>
    <mergeCell ref="P29:P30"/>
    <mergeCell ref="X29:X30"/>
    <mergeCell ref="Y29:Y30"/>
    <mergeCell ref="A31:A33"/>
    <mergeCell ref="B31:B33"/>
    <mergeCell ref="D31:D36"/>
    <mergeCell ref="E31:E33"/>
    <mergeCell ref="K31:K33"/>
    <mergeCell ref="L31:L33"/>
    <mergeCell ref="P31:P33"/>
    <mergeCell ref="X31:X33"/>
    <mergeCell ref="Y31:Y33"/>
    <mergeCell ref="Y34:Y36"/>
    <mergeCell ref="A37:A39"/>
    <mergeCell ref="B37:B39"/>
    <mergeCell ref="D37:D39"/>
    <mergeCell ref="E37:E39"/>
    <mergeCell ref="K37:K39"/>
    <mergeCell ref="L37:L39"/>
    <mergeCell ref="P37:P39"/>
    <mergeCell ref="X37:X39"/>
    <mergeCell ref="Y37:Y39"/>
    <mergeCell ref="A40:A42"/>
    <mergeCell ref="B40:B42"/>
    <mergeCell ref="D40:D42"/>
    <mergeCell ref="E40:E42"/>
    <mergeCell ref="K40:K42"/>
    <mergeCell ref="L40:L42"/>
    <mergeCell ref="P40:P42"/>
    <mergeCell ref="X40:X42"/>
    <mergeCell ref="Y40:Y42"/>
    <mergeCell ref="A43:A45"/>
    <mergeCell ref="B43:B45"/>
    <mergeCell ref="D43:D45"/>
    <mergeCell ref="E43:E45"/>
    <mergeCell ref="K43:K45"/>
    <mergeCell ref="L43:L45"/>
    <mergeCell ref="P43:P45"/>
    <mergeCell ref="X43:X45"/>
    <mergeCell ref="Y43:Y45"/>
    <mergeCell ref="A46:A47"/>
    <mergeCell ref="B46:B47"/>
    <mergeCell ref="D46:D47"/>
    <mergeCell ref="E46:E47"/>
    <mergeCell ref="K46:K47"/>
    <mergeCell ref="L46:L47"/>
    <mergeCell ref="P46:P47"/>
    <mergeCell ref="X46:X47"/>
    <mergeCell ref="Y46:Y47"/>
    <mergeCell ref="X50:X51"/>
    <mergeCell ref="Y50:Y51"/>
    <mergeCell ref="A48:A49"/>
    <mergeCell ref="B48:B49"/>
    <mergeCell ref="D48:D49"/>
    <mergeCell ref="E48:E49"/>
    <mergeCell ref="K48:K49"/>
    <mergeCell ref="L48:L49"/>
    <mergeCell ref="P48:P49"/>
    <mergeCell ref="X48:X49"/>
    <mergeCell ref="Y48:Y49"/>
    <mergeCell ref="A55:G55"/>
    <mergeCell ref="E56:F56"/>
    <mergeCell ref="A50:A51"/>
    <mergeCell ref="B50:B51"/>
    <mergeCell ref="D50:D51"/>
    <mergeCell ref="E50:E51"/>
    <mergeCell ref="K50:K51"/>
    <mergeCell ref="L50:L51"/>
    <mergeCell ref="P50:P51"/>
  </mergeCells>
  <conditionalFormatting sqref="M8">
    <cfRule type="duplicateValues" dxfId="1566" priority="93"/>
  </conditionalFormatting>
  <conditionalFormatting sqref="M10">
    <cfRule type="duplicateValues" dxfId="1565" priority="95"/>
  </conditionalFormatting>
  <conditionalFormatting sqref="M12">
    <cfRule type="duplicateValues" dxfId="1564" priority="91"/>
  </conditionalFormatting>
  <conditionalFormatting sqref="M15">
    <cfRule type="duplicateValues" dxfId="1563" priority="89"/>
  </conditionalFormatting>
  <conditionalFormatting sqref="M18">
    <cfRule type="duplicateValues" dxfId="1562" priority="85"/>
  </conditionalFormatting>
  <conditionalFormatting sqref="M21">
    <cfRule type="duplicateValues" dxfId="1561" priority="83"/>
  </conditionalFormatting>
  <conditionalFormatting sqref="M24">
    <cfRule type="duplicateValues" dxfId="1560" priority="81"/>
  </conditionalFormatting>
  <conditionalFormatting sqref="M26">
    <cfRule type="duplicateValues" dxfId="1559" priority="79"/>
  </conditionalFormatting>
  <conditionalFormatting sqref="M29">
    <cfRule type="duplicateValues" dxfId="1558" priority="77"/>
  </conditionalFormatting>
  <conditionalFormatting sqref="M31">
    <cfRule type="duplicateValues" dxfId="1557" priority="75"/>
  </conditionalFormatting>
  <conditionalFormatting sqref="M34">
    <cfRule type="duplicateValues" dxfId="1556" priority="73"/>
  </conditionalFormatting>
  <conditionalFormatting sqref="M37">
    <cfRule type="duplicateValues" dxfId="1555" priority="71"/>
  </conditionalFormatting>
  <conditionalFormatting sqref="M41">
    <cfRule type="duplicateValues" dxfId="1554" priority="70"/>
  </conditionalFormatting>
  <conditionalFormatting sqref="M44">
    <cfRule type="duplicateValues" dxfId="1553" priority="97"/>
  </conditionalFormatting>
  <conditionalFormatting sqref="M47">
    <cfRule type="duplicateValues" dxfId="1552" priority="68"/>
  </conditionalFormatting>
  <conditionalFormatting sqref="N7">
    <cfRule type="duplicateValues" dxfId="1551" priority="42"/>
  </conditionalFormatting>
  <conditionalFormatting sqref="N8">
    <cfRule type="duplicateValues" dxfId="1550" priority="94"/>
  </conditionalFormatting>
  <conditionalFormatting sqref="N9">
    <cfRule type="duplicateValues" dxfId="1549" priority="67"/>
  </conditionalFormatting>
  <conditionalFormatting sqref="N10">
    <cfRule type="duplicateValues" dxfId="1548" priority="96"/>
  </conditionalFormatting>
  <conditionalFormatting sqref="N11">
    <cfRule type="duplicateValues" dxfId="1547" priority="66"/>
  </conditionalFormatting>
  <conditionalFormatting sqref="N12">
    <cfRule type="duplicateValues" dxfId="1546" priority="92"/>
  </conditionalFormatting>
  <conditionalFormatting sqref="N13">
    <cfRule type="duplicateValues" dxfId="1545" priority="65"/>
  </conditionalFormatting>
  <conditionalFormatting sqref="N15">
    <cfRule type="duplicateValues" dxfId="1544" priority="90"/>
  </conditionalFormatting>
  <conditionalFormatting sqref="N16">
    <cfRule type="duplicateValues" dxfId="1543" priority="64"/>
  </conditionalFormatting>
  <conditionalFormatting sqref="N18">
    <cfRule type="duplicateValues" dxfId="1542" priority="86"/>
  </conditionalFormatting>
  <conditionalFormatting sqref="N19">
    <cfRule type="duplicateValues" dxfId="1541" priority="62"/>
  </conditionalFormatting>
  <conditionalFormatting sqref="N21">
    <cfRule type="duplicateValues" dxfId="1540" priority="84"/>
  </conditionalFormatting>
  <conditionalFormatting sqref="N22">
    <cfRule type="duplicateValues" dxfId="1539" priority="61"/>
  </conditionalFormatting>
  <conditionalFormatting sqref="N24">
    <cfRule type="duplicateValues" dxfId="1538" priority="82"/>
  </conditionalFormatting>
  <conditionalFormatting sqref="N25">
    <cfRule type="duplicateValues" dxfId="1537" priority="60"/>
  </conditionalFormatting>
  <conditionalFormatting sqref="N26">
    <cfRule type="duplicateValues" dxfId="1536" priority="80"/>
  </conditionalFormatting>
  <conditionalFormatting sqref="N29">
    <cfRule type="duplicateValues" dxfId="1535" priority="78"/>
  </conditionalFormatting>
  <conditionalFormatting sqref="N30">
    <cfRule type="duplicateValues" dxfId="1534" priority="56"/>
  </conditionalFormatting>
  <conditionalFormatting sqref="N31">
    <cfRule type="duplicateValues" dxfId="1533" priority="76"/>
  </conditionalFormatting>
  <conditionalFormatting sqref="N34">
    <cfRule type="duplicateValues" dxfId="1532" priority="74"/>
  </conditionalFormatting>
  <conditionalFormatting sqref="N37">
    <cfRule type="duplicateValues" dxfId="1531" priority="72"/>
  </conditionalFormatting>
  <conditionalFormatting sqref="N38">
    <cfRule type="duplicateValues" dxfId="1530" priority="51"/>
  </conditionalFormatting>
  <conditionalFormatting sqref="N41">
    <cfRule type="duplicateValues" dxfId="1529" priority="49"/>
  </conditionalFormatting>
  <conditionalFormatting sqref="N44">
    <cfRule type="duplicateValues" dxfId="1528" priority="48"/>
  </conditionalFormatting>
  <conditionalFormatting sqref="N50 N48 N45:N46 N5:N6 N14 N17 N20 N23 N42:N43 N1:N3 N40">
    <cfRule type="duplicateValues" dxfId="1527" priority="101"/>
  </conditionalFormatting>
  <conditionalFormatting sqref="N47">
    <cfRule type="duplicateValues" dxfId="1526" priority="69"/>
  </conditionalFormatting>
  <conditionalFormatting sqref="N49">
    <cfRule type="duplicateValues" dxfId="1525" priority="46"/>
  </conditionalFormatting>
  <conditionalFormatting sqref="N51">
    <cfRule type="duplicateValues" dxfId="1524" priority="44"/>
  </conditionalFormatting>
  <conditionalFormatting sqref="K61">
    <cfRule type="duplicateValues" dxfId="1523" priority="41"/>
  </conditionalFormatting>
  <conditionalFormatting sqref="K61">
    <cfRule type="duplicateValues" dxfId="1522" priority="40"/>
  </conditionalFormatting>
  <conditionalFormatting sqref="K62">
    <cfRule type="duplicateValues" dxfId="1521" priority="39"/>
  </conditionalFormatting>
  <conditionalFormatting sqref="K63">
    <cfRule type="duplicateValues" dxfId="1520" priority="38"/>
  </conditionalFormatting>
  <conditionalFormatting sqref="N56">
    <cfRule type="duplicateValues" dxfId="1519" priority="27"/>
    <cfRule type="duplicateValues" dxfId="1518" priority="28"/>
    <cfRule type="duplicateValues" dxfId="1517" priority="29"/>
    <cfRule type="duplicateValues" dxfId="1516" priority="30"/>
  </conditionalFormatting>
  <conditionalFormatting sqref="E56">
    <cfRule type="duplicateValues" dxfId="1515" priority="31"/>
  </conditionalFormatting>
  <conditionalFormatting sqref="K56">
    <cfRule type="duplicateValues" dxfId="1514" priority="32"/>
  </conditionalFormatting>
  <conditionalFormatting sqref="L56">
    <cfRule type="duplicateValues" dxfId="1513" priority="33"/>
  </conditionalFormatting>
  <conditionalFormatting sqref="M56">
    <cfRule type="duplicateValues" dxfId="1512" priority="34"/>
    <cfRule type="duplicateValues" dxfId="1511" priority="35"/>
    <cfRule type="duplicateValues" dxfId="1510" priority="36"/>
    <cfRule type="duplicateValues" dxfId="1509" priority="37"/>
  </conditionalFormatting>
  <conditionalFormatting sqref="K59">
    <cfRule type="duplicateValues" dxfId="1508" priority="26"/>
  </conditionalFormatting>
  <conditionalFormatting sqref="K60">
    <cfRule type="duplicateValues" dxfId="1507" priority="25"/>
  </conditionalFormatting>
  <conditionalFormatting sqref="K60">
    <cfRule type="duplicateValues" dxfId="1506" priority="24"/>
  </conditionalFormatting>
  <conditionalFormatting sqref="K61">
    <cfRule type="duplicateValues" dxfId="1505" priority="23"/>
  </conditionalFormatting>
  <conditionalFormatting sqref="K62">
    <cfRule type="duplicateValues" dxfId="1504" priority="22"/>
  </conditionalFormatting>
  <conditionalFormatting sqref="K63">
    <cfRule type="duplicateValues" dxfId="1503" priority="21"/>
  </conditionalFormatting>
  <conditionalFormatting sqref="G27">
    <cfRule type="duplicateValues" dxfId="1502" priority="19"/>
  </conditionalFormatting>
  <conditionalFormatting sqref="N27">
    <cfRule type="duplicateValues" dxfId="1501" priority="18"/>
  </conditionalFormatting>
  <conditionalFormatting sqref="M27">
    <cfRule type="duplicateValues" dxfId="1500" priority="20"/>
  </conditionalFormatting>
  <conditionalFormatting sqref="M28">
    <cfRule type="duplicateValues" dxfId="1499" priority="16"/>
  </conditionalFormatting>
  <conditionalFormatting sqref="N28">
    <cfRule type="duplicateValues" dxfId="1498" priority="17"/>
  </conditionalFormatting>
  <conditionalFormatting sqref="M35">
    <cfRule type="duplicateValues" dxfId="1497" priority="15"/>
  </conditionalFormatting>
  <conditionalFormatting sqref="N35">
    <cfRule type="duplicateValues" dxfId="1496" priority="14"/>
  </conditionalFormatting>
  <conditionalFormatting sqref="M36">
    <cfRule type="duplicateValues" dxfId="1495" priority="12"/>
  </conditionalFormatting>
  <conditionalFormatting sqref="N36">
    <cfRule type="duplicateValues" dxfId="1494" priority="13"/>
  </conditionalFormatting>
  <conditionalFormatting sqref="M39">
    <cfRule type="duplicateValues" dxfId="1493" priority="10"/>
  </conditionalFormatting>
  <conditionalFormatting sqref="N39">
    <cfRule type="duplicateValues" dxfId="1492" priority="11"/>
  </conditionalFormatting>
  <conditionalFormatting sqref="M48:M51 M45:M46 M5:M6 M14 M9 M11 M16:M17 M19:M20 M22:M23 M25 M30 M38 M42:M43 M1:M3 M40">
    <cfRule type="duplicateValues" dxfId="1491" priority="4232"/>
  </conditionalFormatting>
  <conditionalFormatting sqref="N32">
    <cfRule type="duplicateValues" dxfId="1490" priority="6"/>
  </conditionalFormatting>
  <conditionalFormatting sqref="M32">
    <cfRule type="duplicateValues" dxfId="1489" priority="7"/>
  </conditionalFormatting>
  <conditionalFormatting sqref="M33">
    <cfRule type="duplicateValues" dxfId="1488" priority="4"/>
  </conditionalFormatting>
  <conditionalFormatting sqref="N33">
    <cfRule type="duplicateValues" dxfId="1487" priority="5"/>
  </conditionalFormatting>
  <conditionalFormatting sqref="M61">
    <cfRule type="duplicateValues" dxfId="1486" priority="2"/>
    <cfRule type="duplicateValues" dxfId="1485" priority="3"/>
  </conditionalFormatting>
  <conditionalFormatting sqref="M62">
    <cfRule type="duplicateValues" dxfId="1484" priority="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53"/>
  <sheetViews>
    <sheetView rightToLeft="1" zoomScale="115" zoomScaleNormal="115" workbookViewId="0">
      <pane xSplit="10" topLeftCell="K1" activePane="topRight" state="frozen"/>
      <selection pane="topRight" activeCell="C28" sqref="C28"/>
    </sheetView>
  </sheetViews>
  <sheetFormatPr defaultRowHeight="15"/>
  <cols>
    <col min="5" max="5" width="15.7109375" customWidth="1"/>
    <col min="6" max="6" width="22.42578125" customWidth="1"/>
    <col min="7" max="7" width="15.28515625" customWidth="1"/>
    <col min="8" max="8" width="21.42578125" customWidth="1"/>
    <col min="9" max="9" width="13" customWidth="1"/>
    <col min="11" max="11" width="57.5703125" customWidth="1"/>
    <col min="12" max="12" width="38.140625" customWidth="1"/>
    <col min="13" max="13" width="41.5703125" customWidth="1"/>
    <col min="14" max="14" width="68.28515625" customWidth="1"/>
    <col min="16" max="16" width="34" customWidth="1"/>
    <col min="18" max="18" width="37.85546875" customWidth="1"/>
    <col min="19" max="19" width="20.42578125" customWidth="1"/>
    <col min="20" max="20" width="17.42578125" customWidth="1"/>
    <col min="21" max="21" width="20.140625" customWidth="1"/>
    <col min="22" max="22" width="13.85546875" customWidth="1"/>
    <col min="23" max="23" width="29.28515625" customWidth="1"/>
    <col min="24" max="24" width="53.7109375" customWidth="1"/>
    <col min="25" max="25" width="17" customWidth="1"/>
    <col min="26" max="26" width="32.28515625" customWidth="1"/>
    <col min="27" max="27" width="16.85546875" customWidth="1"/>
    <col min="28" max="28" width="50.5703125" bestFit="1" customWidth="1"/>
    <col min="29" max="29" width="21.85546875" customWidth="1"/>
  </cols>
  <sheetData>
    <row r="1" spans="1:28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8" s="27" customFormat="1" ht="15.75" customHeight="1">
      <c r="A2" s="1390">
        <v>1</v>
      </c>
      <c r="B2" s="1492">
        <v>543</v>
      </c>
      <c r="C2" s="1452" t="s">
        <v>2592</v>
      </c>
      <c r="D2" s="1390" t="s">
        <v>2593</v>
      </c>
      <c r="E2" s="1390" t="s">
        <v>2768</v>
      </c>
      <c r="F2" s="1452" t="s">
        <v>2592</v>
      </c>
      <c r="G2" s="949" t="s">
        <v>2596</v>
      </c>
      <c r="H2" s="942" t="s">
        <v>28</v>
      </c>
      <c r="I2" s="1390" t="s">
        <v>270</v>
      </c>
      <c r="J2" s="948" t="s">
        <v>197</v>
      </c>
      <c r="K2" s="1488" t="s">
        <v>2594</v>
      </c>
      <c r="L2" s="1390" t="s">
        <v>2597</v>
      </c>
      <c r="M2" s="942" t="s">
        <v>2598</v>
      </c>
      <c r="N2" s="942" t="s">
        <v>2762</v>
      </c>
      <c r="O2" s="946" t="s">
        <v>43</v>
      </c>
      <c r="P2" s="1609" t="s">
        <v>2769</v>
      </c>
      <c r="Q2" s="946" t="s">
        <v>43</v>
      </c>
      <c r="R2" s="949" t="s">
        <v>2763</v>
      </c>
      <c r="S2" s="946" t="s">
        <v>43</v>
      </c>
      <c r="T2" s="1501" t="s">
        <v>2944</v>
      </c>
      <c r="U2" s="1450" t="s">
        <v>2947</v>
      </c>
      <c r="V2" s="1498" t="s">
        <v>1534</v>
      </c>
      <c r="W2" s="949" t="s">
        <v>2599</v>
      </c>
      <c r="X2" s="1450" t="s">
        <v>2925</v>
      </c>
      <c r="Y2" s="1390" t="s">
        <v>2772</v>
      </c>
      <c r="Z2" s="1390" t="s">
        <v>2782</v>
      </c>
      <c r="AA2" s="219">
        <v>50440000</v>
      </c>
    </row>
    <row r="3" spans="1:28" s="27" customFormat="1" ht="15.75" customHeight="1">
      <c r="A3" s="1391"/>
      <c r="B3" s="1493"/>
      <c r="C3" s="1566"/>
      <c r="D3" s="1391"/>
      <c r="E3" s="1391"/>
      <c r="F3" s="1566"/>
      <c r="G3" s="949" t="s">
        <v>9324</v>
      </c>
      <c r="H3" s="30" t="s">
        <v>195</v>
      </c>
      <c r="I3" s="1391"/>
      <c r="J3" s="948" t="s">
        <v>204</v>
      </c>
      <c r="K3" s="1489"/>
      <c r="L3" s="1391"/>
      <c r="M3" s="942" t="s">
        <v>2766</v>
      </c>
      <c r="N3" s="942" t="s">
        <v>2758</v>
      </c>
      <c r="O3" s="946" t="s">
        <v>43</v>
      </c>
      <c r="P3" s="1610"/>
      <c r="Q3" s="946" t="s">
        <v>43</v>
      </c>
      <c r="R3" s="949" t="s">
        <v>2764</v>
      </c>
      <c r="S3" s="946" t="s">
        <v>43</v>
      </c>
      <c r="T3" s="1502"/>
      <c r="U3" s="1451"/>
      <c r="V3" s="1499"/>
      <c r="W3" s="949" t="s">
        <v>2770</v>
      </c>
      <c r="X3" s="1451"/>
      <c r="Y3" s="1391"/>
      <c r="Z3" s="1391"/>
      <c r="AA3" s="219">
        <v>36400000</v>
      </c>
    </row>
    <row r="4" spans="1:28" s="27" customFormat="1" ht="14.25" customHeight="1">
      <c r="A4" s="1391"/>
      <c r="B4" s="1493"/>
      <c r="C4" s="1566"/>
      <c r="D4" s="1391"/>
      <c r="E4" s="1391"/>
      <c r="F4" s="1566"/>
      <c r="G4" s="949" t="s">
        <v>9325</v>
      </c>
      <c r="H4" s="30" t="s">
        <v>2767</v>
      </c>
      <c r="I4" s="1395"/>
      <c r="J4" s="948" t="s">
        <v>197</v>
      </c>
      <c r="K4" s="1489"/>
      <c r="L4" s="1391"/>
      <c r="M4" s="942" t="s">
        <v>2602</v>
      </c>
      <c r="N4" s="942" t="s">
        <v>2603</v>
      </c>
      <c r="O4" s="946" t="s">
        <v>43</v>
      </c>
      <c r="P4" s="1610"/>
      <c r="Q4" s="946" t="s">
        <v>43</v>
      </c>
      <c r="R4" s="949" t="s">
        <v>2765</v>
      </c>
      <c r="S4" s="946" t="s">
        <v>43</v>
      </c>
      <c r="T4" s="1503"/>
      <c r="U4" s="1619"/>
      <c r="V4" s="1500"/>
      <c r="W4" s="949" t="s">
        <v>2771</v>
      </c>
      <c r="X4" s="1619"/>
      <c r="Y4" s="1391"/>
      <c r="Z4" s="1391"/>
      <c r="AA4" s="219">
        <v>28000000</v>
      </c>
    </row>
    <row r="5" spans="1:28" s="27" customFormat="1" ht="15.75" customHeight="1">
      <c r="A5" s="1391"/>
      <c r="B5" s="1493"/>
      <c r="C5" s="1566"/>
      <c r="D5" s="1391"/>
      <c r="E5" s="1391"/>
      <c r="F5" s="1566"/>
      <c r="G5" s="576" t="s">
        <v>43</v>
      </c>
      <c r="H5" s="661" t="s">
        <v>15214</v>
      </c>
      <c r="I5" s="942" t="s">
        <v>45</v>
      </c>
      <c r="J5" s="948" t="s">
        <v>11886</v>
      </c>
      <c r="K5" s="1489"/>
      <c r="L5" s="1391"/>
      <c r="M5" s="942" t="s">
        <v>2759</v>
      </c>
      <c r="N5" s="942" t="s">
        <v>2992</v>
      </c>
      <c r="O5" s="946" t="s">
        <v>43</v>
      </c>
      <c r="P5" s="1611"/>
      <c r="Q5" s="946" t="s">
        <v>43</v>
      </c>
      <c r="R5" s="949" t="s">
        <v>1828</v>
      </c>
      <c r="S5" s="946" t="s">
        <v>43</v>
      </c>
      <c r="T5" s="946" t="s">
        <v>43</v>
      </c>
      <c r="U5" s="946" t="s">
        <v>43</v>
      </c>
      <c r="V5" s="946" t="s">
        <v>43</v>
      </c>
      <c r="W5" s="949" t="s">
        <v>2604</v>
      </c>
      <c r="X5" s="942" t="s">
        <v>56</v>
      </c>
      <c r="Y5" s="1391"/>
      <c r="Z5" s="1391"/>
      <c r="AA5" s="219">
        <v>0</v>
      </c>
      <c r="AB5" s="27" t="s">
        <v>9321</v>
      </c>
    </row>
    <row r="6" spans="1:28" s="27" customFormat="1" ht="15.75" customHeight="1">
      <c r="A6" s="1395"/>
      <c r="B6" s="1494"/>
      <c r="C6" s="1566"/>
      <c r="D6" s="1391"/>
      <c r="E6" s="1395"/>
      <c r="F6" s="1566"/>
      <c r="G6" s="576" t="s">
        <v>43</v>
      </c>
      <c r="H6" s="942" t="s">
        <v>44</v>
      </c>
      <c r="I6" s="942" t="s">
        <v>45</v>
      </c>
      <c r="J6" s="948" t="s">
        <v>205</v>
      </c>
      <c r="K6" s="1490"/>
      <c r="L6" s="1395"/>
      <c r="M6" s="942" t="s">
        <v>15757</v>
      </c>
      <c r="N6" s="942" t="s">
        <v>15758</v>
      </c>
      <c r="O6" s="946"/>
      <c r="P6" s="950"/>
      <c r="Q6" s="946"/>
      <c r="R6" s="949" t="s">
        <v>119</v>
      </c>
      <c r="S6" s="946"/>
      <c r="T6" s="946"/>
      <c r="U6" s="946"/>
      <c r="V6" s="946"/>
      <c r="W6" s="949" t="s">
        <v>1876</v>
      </c>
      <c r="X6" s="942" t="s">
        <v>50</v>
      </c>
      <c r="Y6" s="1395"/>
      <c r="Z6" s="1395"/>
      <c r="AA6" s="219">
        <v>0</v>
      </c>
    </row>
    <row r="7" spans="1:28" s="27" customFormat="1" ht="15.75" customHeight="1">
      <c r="A7" s="1390">
        <v>2</v>
      </c>
      <c r="B7" s="1480">
        <v>336</v>
      </c>
      <c r="C7" s="1566"/>
      <c r="D7" s="1391"/>
      <c r="E7" s="1390" t="s">
        <v>2593</v>
      </c>
      <c r="F7" s="1566"/>
      <c r="G7" s="946" t="s">
        <v>9326</v>
      </c>
      <c r="H7" s="30" t="s">
        <v>2779</v>
      </c>
      <c r="I7" s="942" t="s">
        <v>260</v>
      </c>
      <c r="J7" s="948" t="s">
        <v>199</v>
      </c>
      <c r="K7" s="1488" t="s">
        <v>15068</v>
      </c>
      <c r="L7" s="1390" t="s">
        <v>15069</v>
      </c>
      <c r="M7" s="942" t="s">
        <v>2781</v>
      </c>
      <c r="N7" s="942" t="s">
        <v>15067</v>
      </c>
      <c r="O7" s="946" t="s">
        <v>43</v>
      </c>
      <c r="P7" s="1482" t="s">
        <v>2774</v>
      </c>
      <c r="Q7" s="946" t="s">
        <v>43</v>
      </c>
      <c r="R7" s="949" t="s">
        <v>417</v>
      </c>
      <c r="S7" s="946" t="s">
        <v>43</v>
      </c>
      <c r="T7" s="946" t="s">
        <v>43</v>
      </c>
      <c r="U7" s="946" t="s">
        <v>43</v>
      </c>
      <c r="V7" s="946" t="s">
        <v>43</v>
      </c>
      <c r="W7" s="946" t="s">
        <v>43</v>
      </c>
      <c r="X7" s="942" t="s">
        <v>2595</v>
      </c>
      <c r="Y7" s="1390" t="s">
        <v>985</v>
      </c>
      <c r="Z7" s="1452" t="s">
        <v>65</v>
      </c>
      <c r="AA7" s="219">
        <v>8960000</v>
      </c>
    </row>
    <row r="8" spans="1:28" s="27" customFormat="1" ht="15.75" customHeight="1">
      <c r="A8" s="1395"/>
      <c r="B8" s="1491"/>
      <c r="C8" s="1566"/>
      <c r="D8" s="1391"/>
      <c r="E8" s="1395"/>
      <c r="F8" s="1566"/>
      <c r="G8" s="949" t="s">
        <v>9327</v>
      </c>
      <c r="H8" s="30" t="s">
        <v>195</v>
      </c>
      <c r="I8" s="942" t="s">
        <v>260</v>
      </c>
      <c r="J8" s="948" t="s">
        <v>199</v>
      </c>
      <c r="K8" s="1490"/>
      <c r="L8" s="1395"/>
      <c r="M8" s="942" t="s">
        <v>2601</v>
      </c>
      <c r="N8" s="942" t="s">
        <v>2773</v>
      </c>
      <c r="O8" s="946" t="s">
        <v>43</v>
      </c>
      <c r="P8" s="1484"/>
      <c r="Q8" s="946" t="s">
        <v>43</v>
      </c>
      <c r="R8" s="949" t="s">
        <v>984</v>
      </c>
      <c r="S8" s="946" t="s">
        <v>43</v>
      </c>
      <c r="T8" s="946" t="s">
        <v>43</v>
      </c>
      <c r="U8" s="946" t="s">
        <v>43</v>
      </c>
      <c r="V8" s="946" t="s">
        <v>43</v>
      </c>
      <c r="W8" s="949" t="s">
        <v>1510</v>
      </c>
      <c r="X8" s="942" t="s">
        <v>2595</v>
      </c>
      <c r="Y8" s="1395"/>
      <c r="Z8" s="1452"/>
      <c r="AA8" s="219">
        <v>28000000</v>
      </c>
    </row>
    <row r="9" spans="1:28" s="27" customFormat="1" ht="15.75" customHeight="1">
      <c r="A9" s="1390">
        <v>4</v>
      </c>
      <c r="B9" s="1480">
        <v>385</v>
      </c>
      <c r="C9" s="1566"/>
      <c r="D9" s="1390" t="s">
        <v>2609</v>
      </c>
      <c r="E9" s="1390" t="s">
        <v>2609</v>
      </c>
      <c r="F9" s="1566"/>
      <c r="G9" s="949" t="s">
        <v>2610</v>
      </c>
      <c r="H9" s="30" t="s">
        <v>2779</v>
      </c>
      <c r="I9" s="942" t="s">
        <v>260</v>
      </c>
      <c r="J9" s="948" t="s">
        <v>205</v>
      </c>
      <c r="K9" s="1390" t="s">
        <v>15074</v>
      </c>
      <c r="L9" s="1390" t="s">
        <v>15075</v>
      </c>
      <c r="M9" s="942" t="s">
        <v>2611</v>
      </c>
      <c r="N9" s="942" t="s">
        <v>15073</v>
      </c>
      <c r="O9" s="946" t="s">
        <v>43</v>
      </c>
      <c r="P9" s="1482" t="s">
        <v>2776</v>
      </c>
      <c r="Q9" s="946" t="s">
        <v>43</v>
      </c>
      <c r="R9" s="949" t="s">
        <v>68</v>
      </c>
      <c r="S9" s="946" t="s">
        <v>43</v>
      </c>
      <c r="T9" s="946" t="s">
        <v>43</v>
      </c>
      <c r="U9" s="946" t="s">
        <v>43</v>
      </c>
      <c r="V9" s="946" t="s">
        <v>43</v>
      </c>
      <c r="W9" s="946" t="s">
        <v>43</v>
      </c>
      <c r="X9" s="942" t="s">
        <v>2595</v>
      </c>
      <c r="Y9" s="1390" t="s">
        <v>202</v>
      </c>
      <c r="Z9" s="1452" t="s">
        <v>65</v>
      </c>
      <c r="AA9" s="219">
        <v>6400000</v>
      </c>
    </row>
    <row r="10" spans="1:28" s="27" customFormat="1" ht="15.75" customHeight="1">
      <c r="A10" s="1395"/>
      <c r="B10" s="1491"/>
      <c r="C10" s="1566"/>
      <c r="D10" s="1395"/>
      <c r="E10" s="1395"/>
      <c r="F10" s="1566"/>
      <c r="G10" s="949" t="s">
        <v>2612</v>
      </c>
      <c r="H10" s="30" t="s">
        <v>195</v>
      </c>
      <c r="I10" s="942" t="s">
        <v>260</v>
      </c>
      <c r="J10" s="948" t="s">
        <v>199</v>
      </c>
      <c r="K10" s="1395"/>
      <c r="L10" s="1395"/>
      <c r="M10" s="942" t="s">
        <v>2613</v>
      </c>
      <c r="N10" s="942" t="s">
        <v>2783</v>
      </c>
      <c r="O10" s="946" t="s">
        <v>43</v>
      </c>
      <c r="P10" s="1484"/>
      <c r="Q10" s="946" t="s">
        <v>43</v>
      </c>
      <c r="R10" s="949" t="s">
        <v>255</v>
      </c>
      <c r="S10" s="946" t="s">
        <v>43</v>
      </c>
      <c r="T10" s="946" t="s">
        <v>43</v>
      </c>
      <c r="U10" s="946" t="s">
        <v>43</v>
      </c>
      <c r="V10" s="946" t="s">
        <v>43</v>
      </c>
      <c r="W10" s="949" t="s">
        <v>432</v>
      </c>
      <c r="X10" s="942" t="s">
        <v>2595</v>
      </c>
      <c r="Y10" s="1395"/>
      <c r="Z10" s="1452"/>
      <c r="AA10" s="219">
        <v>20800000</v>
      </c>
    </row>
    <row r="11" spans="1:28" s="27" customFormat="1" ht="15.75" customHeight="1">
      <c r="A11" s="1390">
        <v>5</v>
      </c>
      <c r="B11" s="1480">
        <v>389</v>
      </c>
      <c r="C11" s="1566"/>
      <c r="D11" s="1390" t="s">
        <v>2614</v>
      </c>
      <c r="E11" s="1390" t="s">
        <v>2614</v>
      </c>
      <c r="F11" s="1566"/>
      <c r="G11" s="949" t="s">
        <v>2615</v>
      </c>
      <c r="H11" s="30" t="s">
        <v>2779</v>
      </c>
      <c r="I11" s="942" t="s">
        <v>260</v>
      </c>
      <c r="J11" s="948" t="s">
        <v>205</v>
      </c>
      <c r="K11" s="1390" t="s">
        <v>15076</v>
      </c>
      <c r="L11" s="1390" t="s">
        <v>15077</v>
      </c>
      <c r="M11" s="942" t="s">
        <v>2616</v>
      </c>
      <c r="N11" s="942" t="s">
        <v>15078</v>
      </c>
      <c r="O11" s="946" t="s">
        <v>43</v>
      </c>
      <c r="P11" s="1482" t="s">
        <v>2777</v>
      </c>
      <c r="Q11" s="946" t="s">
        <v>43</v>
      </c>
      <c r="R11" s="949" t="s">
        <v>2617</v>
      </c>
      <c r="S11" s="946" t="s">
        <v>43</v>
      </c>
      <c r="T11" s="946" t="s">
        <v>43</v>
      </c>
      <c r="U11" s="946" t="s">
        <v>43</v>
      </c>
      <c r="V11" s="946" t="s">
        <v>43</v>
      </c>
      <c r="W11" s="949" t="s">
        <v>2618</v>
      </c>
      <c r="X11" s="942" t="s">
        <v>2595</v>
      </c>
      <c r="Y11" s="1390" t="s">
        <v>202</v>
      </c>
      <c r="Z11" s="1390" t="s">
        <v>65</v>
      </c>
      <c r="AA11" s="219">
        <v>4480000</v>
      </c>
    </row>
    <row r="12" spans="1:28" s="27" customFormat="1" ht="15.75" customHeight="1">
      <c r="A12" s="1391"/>
      <c r="B12" s="1481"/>
      <c r="C12" s="1566"/>
      <c r="D12" s="1391"/>
      <c r="E12" s="1391"/>
      <c r="F12" s="1566"/>
      <c r="G12" s="949" t="s">
        <v>2619</v>
      </c>
      <c r="H12" s="30" t="s">
        <v>195</v>
      </c>
      <c r="I12" s="942" t="s">
        <v>260</v>
      </c>
      <c r="J12" s="948" t="s">
        <v>199</v>
      </c>
      <c r="K12" s="1391"/>
      <c r="L12" s="1391"/>
      <c r="M12" s="942" t="s">
        <v>2620</v>
      </c>
      <c r="N12" s="942" t="s">
        <v>2785</v>
      </c>
      <c r="O12" s="946" t="s">
        <v>43</v>
      </c>
      <c r="P12" s="1483"/>
      <c r="Q12" s="946" t="s">
        <v>43</v>
      </c>
      <c r="R12" s="949" t="s">
        <v>255</v>
      </c>
      <c r="S12" s="946" t="s">
        <v>43</v>
      </c>
      <c r="T12" s="946" t="s">
        <v>43</v>
      </c>
      <c r="U12" s="946" t="s">
        <v>43</v>
      </c>
      <c r="V12" s="946" t="s">
        <v>43</v>
      </c>
      <c r="W12" s="949" t="s">
        <v>432</v>
      </c>
      <c r="X12" s="942" t="s">
        <v>2595</v>
      </c>
      <c r="Y12" s="1391"/>
      <c r="Z12" s="1391"/>
      <c r="AA12" s="219">
        <v>20800000</v>
      </c>
    </row>
    <row r="13" spans="1:28" s="27" customFormat="1" ht="15.75" customHeight="1">
      <c r="A13" s="1390">
        <v>6</v>
      </c>
      <c r="B13" s="1480">
        <v>422</v>
      </c>
      <c r="C13" s="1566"/>
      <c r="D13" s="1390" t="s">
        <v>2621</v>
      </c>
      <c r="E13" s="1390" t="s">
        <v>2622</v>
      </c>
      <c r="F13" s="1566"/>
      <c r="G13" s="949" t="s">
        <v>2623</v>
      </c>
      <c r="H13" s="30" t="s">
        <v>2779</v>
      </c>
      <c r="I13" s="942" t="s">
        <v>260</v>
      </c>
      <c r="J13" s="948" t="s">
        <v>205</v>
      </c>
      <c r="K13" s="1390" t="s">
        <v>15079</v>
      </c>
      <c r="L13" s="1390" t="s">
        <v>15080</v>
      </c>
      <c r="M13" s="942" t="s">
        <v>2624</v>
      </c>
      <c r="N13" s="942" t="s">
        <v>15081</v>
      </c>
      <c r="O13" s="946" t="s">
        <v>43</v>
      </c>
      <c r="P13" s="1482" t="s">
        <v>2778</v>
      </c>
      <c r="Q13" s="946" t="s">
        <v>43</v>
      </c>
      <c r="R13" s="949" t="s">
        <v>68</v>
      </c>
      <c r="S13" s="946" t="s">
        <v>43</v>
      </c>
      <c r="T13" s="946" t="s">
        <v>43</v>
      </c>
      <c r="U13" s="946" t="s">
        <v>43</v>
      </c>
      <c r="V13" s="946" t="s">
        <v>43</v>
      </c>
      <c r="W13" s="946" t="s">
        <v>43</v>
      </c>
      <c r="X13" s="942" t="s">
        <v>2595</v>
      </c>
      <c r="Y13" s="1390" t="s">
        <v>202</v>
      </c>
      <c r="Z13" s="1452" t="s">
        <v>65</v>
      </c>
      <c r="AA13" s="219">
        <v>6400000</v>
      </c>
    </row>
    <row r="14" spans="1:28" s="27" customFormat="1" ht="15.75" customHeight="1">
      <c r="A14" s="1391"/>
      <c r="B14" s="1481"/>
      <c r="C14" s="1566"/>
      <c r="D14" s="1391"/>
      <c r="E14" s="1391"/>
      <c r="F14" s="1566"/>
      <c r="G14" s="949" t="s">
        <v>2625</v>
      </c>
      <c r="H14" s="30" t="s">
        <v>195</v>
      </c>
      <c r="I14" s="942" t="s">
        <v>260</v>
      </c>
      <c r="J14" s="948" t="s">
        <v>199</v>
      </c>
      <c r="K14" s="1391"/>
      <c r="L14" s="1391"/>
      <c r="M14" s="942" t="s">
        <v>2626</v>
      </c>
      <c r="N14" s="942" t="s">
        <v>2786</v>
      </c>
      <c r="O14" s="946" t="s">
        <v>43</v>
      </c>
      <c r="P14" s="1483"/>
      <c r="Q14" s="946" t="s">
        <v>43</v>
      </c>
      <c r="R14" s="949" t="s">
        <v>255</v>
      </c>
      <c r="S14" s="946" t="s">
        <v>43</v>
      </c>
      <c r="T14" s="946" t="s">
        <v>43</v>
      </c>
      <c r="U14" s="946" t="s">
        <v>43</v>
      </c>
      <c r="V14" s="946" t="s">
        <v>43</v>
      </c>
      <c r="W14" s="949" t="s">
        <v>432</v>
      </c>
      <c r="X14" s="942" t="s">
        <v>2595</v>
      </c>
      <c r="Y14" s="1391"/>
      <c r="Z14" s="1452"/>
      <c r="AA14" s="219">
        <v>20800000</v>
      </c>
    </row>
    <row r="15" spans="1:28" s="27" customFormat="1" ht="15.75" customHeight="1">
      <c r="A15" s="1395"/>
      <c r="B15" s="1491"/>
      <c r="C15" s="1566"/>
      <c r="D15" s="1395"/>
      <c r="E15" s="1395"/>
      <c r="F15" s="1566"/>
      <c r="G15" s="946" t="s">
        <v>43</v>
      </c>
      <c r="H15" s="942" t="s">
        <v>44</v>
      </c>
      <c r="I15" s="942" t="s">
        <v>45</v>
      </c>
      <c r="J15" s="948" t="s">
        <v>201</v>
      </c>
      <c r="K15" s="1395"/>
      <c r="L15" s="1395"/>
      <c r="M15" s="942" t="s">
        <v>15083</v>
      </c>
      <c r="N15" s="942" t="s">
        <v>15082</v>
      </c>
      <c r="O15" s="946" t="s">
        <v>43</v>
      </c>
      <c r="P15" s="1484"/>
      <c r="Q15" s="946" t="s">
        <v>43</v>
      </c>
      <c r="R15" s="949" t="s">
        <v>48</v>
      </c>
      <c r="S15" s="946" t="s">
        <v>43</v>
      </c>
      <c r="T15" s="946" t="s">
        <v>43</v>
      </c>
      <c r="U15" s="946" t="s">
        <v>43</v>
      </c>
      <c r="V15" s="946" t="s">
        <v>43</v>
      </c>
      <c r="W15" s="949" t="s">
        <v>2645</v>
      </c>
      <c r="X15" s="942" t="s">
        <v>50</v>
      </c>
      <c r="Y15" s="1395"/>
      <c r="Z15" s="1452"/>
      <c r="AA15" s="219">
        <v>0</v>
      </c>
      <c r="AB15" s="27" t="s">
        <v>9321</v>
      </c>
    </row>
    <row r="16" spans="1:28" s="27" customFormat="1" ht="15.75" customHeight="1">
      <c r="A16" s="1390">
        <v>7</v>
      </c>
      <c r="B16" s="1480">
        <v>436</v>
      </c>
      <c r="C16" s="1566"/>
      <c r="D16" s="1390" t="s">
        <v>2627</v>
      </c>
      <c r="E16" s="1390" t="s">
        <v>2627</v>
      </c>
      <c r="F16" s="1566"/>
      <c r="G16" s="949">
        <v>9902250431</v>
      </c>
      <c r="H16" s="30" t="s">
        <v>2779</v>
      </c>
      <c r="I16" s="942" t="s">
        <v>260</v>
      </c>
      <c r="J16" s="948" t="s">
        <v>205</v>
      </c>
      <c r="K16" s="1390" t="s">
        <v>15085</v>
      </c>
      <c r="L16" s="1390" t="s">
        <v>15086</v>
      </c>
      <c r="M16" s="942" t="s">
        <v>2629</v>
      </c>
      <c r="N16" s="942" t="s">
        <v>15084</v>
      </c>
      <c r="O16" s="946" t="s">
        <v>43</v>
      </c>
      <c r="P16" s="1482" t="s">
        <v>2909</v>
      </c>
      <c r="Q16" s="946" t="s">
        <v>43</v>
      </c>
      <c r="R16" s="949" t="s">
        <v>68</v>
      </c>
      <c r="S16" s="946" t="s">
        <v>43</v>
      </c>
      <c r="T16" s="946" t="s">
        <v>43</v>
      </c>
      <c r="U16" s="946" t="s">
        <v>43</v>
      </c>
      <c r="V16" s="946" t="s">
        <v>43</v>
      </c>
      <c r="W16" s="946" t="s">
        <v>43</v>
      </c>
      <c r="X16" s="942" t="s">
        <v>2595</v>
      </c>
      <c r="Y16" s="1390" t="s">
        <v>202</v>
      </c>
      <c r="Z16" s="1452" t="s">
        <v>65</v>
      </c>
      <c r="AA16" s="219">
        <v>6400000</v>
      </c>
    </row>
    <row r="17" spans="1:29" s="27" customFormat="1" ht="15.75" customHeight="1">
      <c r="A17" s="1395"/>
      <c r="B17" s="1491"/>
      <c r="C17" s="1566"/>
      <c r="D17" s="1395"/>
      <c r="E17" s="1395"/>
      <c r="F17" s="1566"/>
      <c r="G17" s="949" t="s">
        <v>2630</v>
      </c>
      <c r="H17" s="30" t="s">
        <v>195</v>
      </c>
      <c r="I17" s="942" t="s">
        <v>260</v>
      </c>
      <c r="J17" s="948" t="s">
        <v>199</v>
      </c>
      <c r="K17" s="1395"/>
      <c r="L17" s="1395"/>
      <c r="M17" s="942" t="s">
        <v>2631</v>
      </c>
      <c r="N17" s="942" t="s">
        <v>2908</v>
      </c>
      <c r="O17" s="946" t="s">
        <v>43</v>
      </c>
      <c r="P17" s="1484"/>
      <c r="Q17" s="946" t="s">
        <v>43</v>
      </c>
      <c r="R17" s="949" t="s">
        <v>255</v>
      </c>
      <c r="S17" s="946" t="s">
        <v>43</v>
      </c>
      <c r="T17" s="946" t="s">
        <v>43</v>
      </c>
      <c r="U17" s="946" t="s">
        <v>43</v>
      </c>
      <c r="V17" s="946" t="s">
        <v>43</v>
      </c>
      <c r="W17" s="949" t="s">
        <v>432</v>
      </c>
      <c r="X17" s="942" t="s">
        <v>2595</v>
      </c>
      <c r="Y17" s="1395"/>
      <c r="Z17" s="1452"/>
      <c r="AA17" s="219">
        <v>20800000</v>
      </c>
    </row>
    <row r="18" spans="1:29" s="27" customFormat="1" ht="15.75" customHeight="1">
      <c r="A18" s="1390">
        <v>8</v>
      </c>
      <c r="B18" s="1480">
        <v>439</v>
      </c>
      <c r="C18" s="1566"/>
      <c r="D18" s="1390" t="s">
        <v>2593</v>
      </c>
      <c r="E18" s="1390" t="s">
        <v>2632</v>
      </c>
      <c r="F18" s="1566"/>
      <c r="G18" s="949" t="s">
        <v>2628</v>
      </c>
      <c r="H18" s="30" t="s">
        <v>2779</v>
      </c>
      <c r="I18" s="942" t="s">
        <v>260</v>
      </c>
      <c r="J18" s="948" t="s">
        <v>205</v>
      </c>
      <c r="K18" s="1390" t="s">
        <v>15088</v>
      </c>
      <c r="L18" s="1390" t="s">
        <v>15089</v>
      </c>
      <c r="M18" s="942" t="s">
        <v>2633</v>
      </c>
      <c r="N18" s="942" t="s">
        <v>15087</v>
      </c>
      <c r="O18" s="946" t="s">
        <v>43</v>
      </c>
      <c r="P18" s="1482" t="s">
        <v>2910</v>
      </c>
      <c r="Q18" s="946" t="s">
        <v>43</v>
      </c>
      <c r="R18" s="949" t="s">
        <v>68</v>
      </c>
      <c r="S18" s="946" t="s">
        <v>43</v>
      </c>
      <c r="T18" s="946" t="s">
        <v>43</v>
      </c>
      <c r="U18" s="946" t="s">
        <v>43</v>
      </c>
      <c r="V18" s="946" t="s">
        <v>43</v>
      </c>
      <c r="W18" s="946" t="s">
        <v>43</v>
      </c>
      <c r="X18" s="942" t="s">
        <v>2595</v>
      </c>
      <c r="Y18" s="1390" t="s">
        <v>202</v>
      </c>
      <c r="Z18" s="1452" t="s">
        <v>65</v>
      </c>
      <c r="AA18" s="219">
        <v>4480000</v>
      </c>
    </row>
    <row r="19" spans="1:29" s="27" customFormat="1" ht="15.75" customHeight="1">
      <c r="A19" s="1395"/>
      <c r="B19" s="1491"/>
      <c r="C19" s="1566"/>
      <c r="D19" s="1395"/>
      <c r="E19" s="1395"/>
      <c r="F19" s="1566"/>
      <c r="G19" s="949" t="s">
        <v>2634</v>
      </c>
      <c r="H19" s="30" t="s">
        <v>195</v>
      </c>
      <c r="I19" s="942" t="s">
        <v>260</v>
      </c>
      <c r="J19" s="948" t="s">
        <v>199</v>
      </c>
      <c r="K19" s="1395"/>
      <c r="L19" s="1395"/>
      <c r="M19" s="942" t="s">
        <v>2635</v>
      </c>
      <c r="N19" s="942" t="s">
        <v>2914</v>
      </c>
      <c r="O19" s="946" t="s">
        <v>43</v>
      </c>
      <c r="P19" s="1484"/>
      <c r="Q19" s="946" t="s">
        <v>43</v>
      </c>
      <c r="R19" s="949" t="s">
        <v>255</v>
      </c>
      <c r="S19" s="946" t="s">
        <v>43</v>
      </c>
      <c r="T19" s="946" t="s">
        <v>43</v>
      </c>
      <c r="U19" s="946" t="s">
        <v>43</v>
      </c>
      <c r="V19" s="946" t="s">
        <v>43</v>
      </c>
      <c r="W19" s="949" t="s">
        <v>432</v>
      </c>
      <c r="X19" s="942" t="s">
        <v>2595</v>
      </c>
      <c r="Y19" s="1395"/>
      <c r="Z19" s="1452"/>
      <c r="AA19" s="219">
        <v>20800000</v>
      </c>
    </row>
    <row r="20" spans="1:29" s="27" customFormat="1" ht="15.75" customHeight="1">
      <c r="A20" s="1390">
        <v>9</v>
      </c>
      <c r="B20" s="1471">
        <v>448</v>
      </c>
      <c r="C20" s="1566"/>
      <c r="D20" s="1390" t="s">
        <v>2636</v>
      </c>
      <c r="E20" s="1390" t="s">
        <v>2636</v>
      </c>
      <c r="F20" s="1566"/>
      <c r="G20" s="949" t="s">
        <v>2637</v>
      </c>
      <c r="H20" s="30" t="s">
        <v>2779</v>
      </c>
      <c r="I20" s="942" t="s">
        <v>260</v>
      </c>
      <c r="J20" s="948" t="s">
        <v>205</v>
      </c>
      <c r="K20" s="1390" t="s">
        <v>15090</v>
      </c>
      <c r="L20" s="1390" t="s">
        <v>15091</v>
      </c>
      <c r="M20" s="942" t="s">
        <v>2638</v>
      </c>
      <c r="N20" s="942" t="s">
        <v>15094</v>
      </c>
      <c r="O20" s="946" t="s">
        <v>43</v>
      </c>
      <c r="P20" s="1482" t="s">
        <v>2911</v>
      </c>
      <c r="Q20" s="946" t="s">
        <v>43</v>
      </c>
      <c r="R20" s="949" t="s">
        <v>68</v>
      </c>
      <c r="S20" s="946" t="s">
        <v>43</v>
      </c>
      <c r="T20" s="946" t="s">
        <v>43</v>
      </c>
      <c r="U20" s="946" t="s">
        <v>43</v>
      </c>
      <c r="V20" s="946" t="s">
        <v>43</v>
      </c>
      <c r="W20" s="946" t="s">
        <v>43</v>
      </c>
      <c r="X20" s="942" t="s">
        <v>2595</v>
      </c>
      <c r="Y20" s="1390" t="s">
        <v>202</v>
      </c>
      <c r="Z20" s="1452" t="s">
        <v>65</v>
      </c>
      <c r="AA20" s="219">
        <v>6400000</v>
      </c>
    </row>
    <row r="21" spans="1:29" s="27" customFormat="1" ht="15.75" customHeight="1">
      <c r="A21" s="1395"/>
      <c r="B21" s="1472"/>
      <c r="C21" s="1566"/>
      <c r="D21" s="1395"/>
      <c r="E21" s="1395"/>
      <c r="F21" s="1566"/>
      <c r="G21" s="949" t="s">
        <v>2639</v>
      </c>
      <c r="H21" s="30" t="s">
        <v>195</v>
      </c>
      <c r="I21" s="942" t="s">
        <v>260</v>
      </c>
      <c r="J21" s="948" t="s">
        <v>199</v>
      </c>
      <c r="K21" s="1395"/>
      <c r="L21" s="1395"/>
      <c r="M21" s="942" t="s">
        <v>2640</v>
      </c>
      <c r="N21" s="942" t="s">
        <v>2915</v>
      </c>
      <c r="O21" s="946" t="s">
        <v>43</v>
      </c>
      <c r="P21" s="1484"/>
      <c r="Q21" s="946" t="s">
        <v>43</v>
      </c>
      <c r="R21" s="949" t="s">
        <v>255</v>
      </c>
      <c r="S21" s="946" t="s">
        <v>43</v>
      </c>
      <c r="T21" s="946" t="s">
        <v>43</v>
      </c>
      <c r="U21" s="946" t="s">
        <v>43</v>
      </c>
      <c r="V21" s="946" t="s">
        <v>43</v>
      </c>
      <c r="W21" s="949" t="s">
        <v>432</v>
      </c>
      <c r="X21" s="942" t="s">
        <v>2595</v>
      </c>
      <c r="Y21" s="1395"/>
      <c r="Z21" s="1452"/>
      <c r="AA21" s="219">
        <v>20800000</v>
      </c>
    </row>
    <row r="22" spans="1:29" s="27" customFormat="1" ht="15.75" customHeight="1">
      <c r="A22" s="941">
        <v>11</v>
      </c>
      <c r="B22" s="943">
        <v>542</v>
      </c>
      <c r="C22" s="1566"/>
      <c r="D22" s="941" t="s">
        <v>2593</v>
      </c>
      <c r="E22" s="941" t="s">
        <v>1543</v>
      </c>
      <c r="F22" s="1566"/>
      <c r="G22" s="946" t="s">
        <v>43</v>
      </c>
      <c r="H22" s="942" t="s">
        <v>44</v>
      </c>
      <c r="I22" s="942" t="s">
        <v>45</v>
      </c>
      <c r="J22" s="948" t="s">
        <v>204</v>
      </c>
      <c r="K22" s="941" t="s">
        <v>15178</v>
      </c>
      <c r="L22" s="941" t="s">
        <v>15177</v>
      </c>
      <c r="M22" s="942" t="s">
        <v>2644</v>
      </c>
      <c r="N22" s="942" t="s">
        <v>2917</v>
      </c>
      <c r="O22" s="946" t="s">
        <v>43</v>
      </c>
      <c r="P22" s="944" t="s">
        <v>2913</v>
      </c>
      <c r="Q22" s="946" t="s">
        <v>43</v>
      </c>
      <c r="R22" s="949" t="s">
        <v>1616</v>
      </c>
      <c r="S22" s="946" t="s">
        <v>43</v>
      </c>
      <c r="T22" s="946" t="s">
        <v>43</v>
      </c>
      <c r="U22" s="946" t="s">
        <v>43</v>
      </c>
      <c r="V22" s="946" t="s">
        <v>43</v>
      </c>
      <c r="W22" s="949" t="s">
        <v>2645</v>
      </c>
      <c r="X22" s="942" t="s">
        <v>50</v>
      </c>
      <c r="Y22" s="941" t="s">
        <v>202</v>
      </c>
      <c r="Z22" s="942" t="s">
        <v>65</v>
      </c>
      <c r="AA22" s="219">
        <v>0</v>
      </c>
      <c r="AB22" s="27" t="s">
        <v>9321</v>
      </c>
    </row>
    <row r="23" spans="1:29" s="27" customFormat="1" ht="15.75" customHeight="1">
      <c r="A23" s="1390">
        <v>12</v>
      </c>
      <c r="B23" s="1480" t="s">
        <v>5</v>
      </c>
      <c r="C23" s="1566"/>
      <c r="D23" s="1390" t="s">
        <v>5</v>
      </c>
      <c r="E23" s="1390" t="s">
        <v>2593</v>
      </c>
      <c r="F23" s="1566"/>
      <c r="G23" s="947" t="s">
        <v>15715</v>
      </c>
      <c r="H23" s="30" t="s">
        <v>2779</v>
      </c>
      <c r="I23" s="1390" t="s">
        <v>270</v>
      </c>
      <c r="J23" s="948" t="s">
        <v>199</v>
      </c>
      <c r="K23" s="1390" t="s">
        <v>15095</v>
      </c>
      <c r="L23" s="1390" t="s">
        <v>15096</v>
      </c>
      <c r="M23" s="942" t="s">
        <v>2919</v>
      </c>
      <c r="N23" s="942" t="s">
        <v>2918</v>
      </c>
      <c r="O23" s="946" t="s">
        <v>43</v>
      </c>
      <c r="P23" s="1482" t="s">
        <v>2921</v>
      </c>
      <c r="Q23" s="946" t="s">
        <v>43</v>
      </c>
      <c r="R23" s="949" t="s">
        <v>2923</v>
      </c>
      <c r="S23" s="946" t="s">
        <v>43</v>
      </c>
      <c r="T23" s="1501" t="s">
        <v>2945</v>
      </c>
      <c r="U23" s="1501" t="s">
        <v>2947</v>
      </c>
      <c r="V23" s="1501" t="s">
        <v>1534</v>
      </c>
      <c r="W23" s="949" t="s">
        <v>2948</v>
      </c>
      <c r="X23" s="1390" t="s">
        <v>2925</v>
      </c>
      <c r="Y23" s="1390" t="s">
        <v>202</v>
      </c>
      <c r="Z23" s="1452" t="s">
        <v>2946</v>
      </c>
      <c r="AA23" s="219">
        <v>8960000</v>
      </c>
      <c r="AB23" s="306" t="s">
        <v>9322</v>
      </c>
      <c r="AC23" s="27" t="s">
        <v>11826</v>
      </c>
    </row>
    <row r="24" spans="1:29" s="27" customFormat="1" ht="15.75" customHeight="1">
      <c r="A24" s="1395"/>
      <c r="B24" s="1491"/>
      <c r="C24" s="1566"/>
      <c r="D24" s="1395"/>
      <c r="E24" s="1395"/>
      <c r="F24" s="1566"/>
      <c r="G24" s="947" t="s">
        <v>15716</v>
      </c>
      <c r="H24" s="30" t="s">
        <v>195</v>
      </c>
      <c r="I24" s="1395"/>
      <c r="J24" s="948" t="s">
        <v>204</v>
      </c>
      <c r="K24" s="1395"/>
      <c r="L24" s="1395"/>
      <c r="M24" s="942" t="s">
        <v>2922</v>
      </c>
      <c r="N24" s="942" t="s">
        <v>2920</v>
      </c>
      <c r="O24" s="946" t="s">
        <v>43</v>
      </c>
      <c r="P24" s="1484"/>
      <c r="Q24" s="946" t="s">
        <v>43</v>
      </c>
      <c r="R24" s="949" t="s">
        <v>2924</v>
      </c>
      <c r="S24" s="946" t="s">
        <v>43</v>
      </c>
      <c r="T24" s="1503"/>
      <c r="U24" s="1503"/>
      <c r="V24" s="1503"/>
      <c r="W24" s="949" t="s">
        <v>2949</v>
      </c>
      <c r="X24" s="1395"/>
      <c r="Y24" s="1395"/>
      <c r="Z24" s="1452"/>
      <c r="AA24" s="219">
        <v>36400000</v>
      </c>
      <c r="AB24" s="306" t="s">
        <v>9322</v>
      </c>
    </row>
    <row r="25" spans="1:29" ht="15.75">
      <c r="G25" s="113"/>
      <c r="J25" s="214" t="s">
        <v>90</v>
      </c>
      <c r="K25" s="357">
        <v>65280000</v>
      </c>
      <c r="Z25" s="214" t="s">
        <v>90</v>
      </c>
      <c r="AA25" s="357">
        <v>411240000</v>
      </c>
    </row>
    <row r="27" spans="1:29">
      <c r="K27" s="73" t="s">
        <v>2784</v>
      </c>
    </row>
    <row r="31" spans="1:29" ht="22.5">
      <c r="A31" s="1459" t="s">
        <v>14163</v>
      </c>
      <c r="B31" s="1459"/>
      <c r="C31" s="1459"/>
      <c r="D31" s="1459"/>
      <c r="E31" s="1459"/>
      <c r="F31" s="1459"/>
      <c r="G31" s="1459"/>
    </row>
    <row r="32" spans="1:29" s="12" customFormat="1" ht="19.5">
      <c r="A32" s="34" t="s">
        <v>0</v>
      </c>
      <c r="B32" s="34" t="s">
        <v>5</v>
      </c>
      <c r="C32" s="34" t="s">
        <v>2</v>
      </c>
      <c r="D32" s="34" t="s">
        <v>3</v>
      </c>
      <c r="E32" s="1445" t="s">
        <v>88</v>
      </c>
      <c r="F32" s="1446"/>
      <c r="G32" s="34" t="s">
        <v>6</v>
      </c>
      <c r="H32" s="34" t="s">
        <v>7</v>
      </c>
      <c r="I32" s="34" t="s">
        <v>8</v>
      </c>
      <c r="J32" s="34" t="s">
        <v>196</v>
      </c>
      <c r="K32" s="34" t="s">
        <v>9</v>
      </c>
      <c r="L32" s="34" t="s">
        <v>11</v>
      </c>
      <c r="M32" s="34" t="s">
        <v>12</v>
      </c>
      <c r="N32" s="34" t="s">
        <v>216</v>
      </c>
      <c r="O32" s="34" t="s">
        <v>13</v>
      </c>
      <c r="P32" s="35" t="s">
        <v>14</v>
      </c>
      <c r="Q32" s="35" t="s">
        <v>217</v>
      </c>
      <c r="R32" s="35" t="s">
        <v>16</v>
      </c>
      <c r="S32" s="34" t="s">
        <v>17</v>
      </c>
      <c r="T32" s="34" t="s">
        <v>218</v>
      </c>
      <c r="U32" s="34" t="s">
        <v>22</v>
      </c>
      <c r="V32" s="36" t="s">
        <v>23</v>
      </c>
      <c r="W32" s="34" t="s">
        <v>24</v>
      </c>
      <c r="X32" s="58" t="s">
        <v>257</v>
      </c>
      <c r="Y32" s="49" t="s">
        <v>9184</v>
      </c>
      <c r="Z32"/>
      <c r="AA32"/>
    </row>
    <row r="33" spans="1:27" s="83" customFormat="1" ht="19.5" customHeight="1">
      <c r="A33" s="953">
        <v>1</v>
      </c>
      <c r="B33" s="1620" t="s">
        <v>2592</v>
      </c>
      <c r="C33" s="1620" t="s">
        <v>2592</v>
      </c>
      <c r="D33" s="84" t="s">
        <v>2641</v>
      </c>
      <c r="E33" s="1617" t="s">
        <v>2647</v>
      </c>
      <c r="F33" s="1618"/>
      <c r="G33" s="85">
        <v>648429</v>
      </c>
      <c r="H33" s="953" t="s">
        <v>107</v>
      </c>
      <c r="I33" s="953" t="s">
        <v>108</v>
      </c>
      <c r="J33" s="84" t="s">
        <v>205</v>
      </c>
      <c r="K33" s="84" t="s">
        <v>2648</v>
      </c>
      <c r="L33" s="84" t="s">
        <v>14165</v>
      </c>
      <c r="M33" s="84" t="s">
        <v>2649</v>
      </c>
      <c r="N33" s="947" t="s">
        <v>43</v>
      </c>
      <c r="O33" s="947" t="s">
        <v>43</v>
      </c>
      <c r="P33" s="947" t="s">
        <v>43</v>
      </c>
      <c r="Q33" s="947" t="s">
        <v>43</v>
      </c>
      <c r="R33" s="947" t="s">
        <v>43</v>
      </c>
      <c r="S33" s="947" t="s">
        <v>43</v>
      </c>
      <c r="T33" s="86" t="s">
        <v>68</v>
      </c>
      <c r="U33" s="953" t="s">
        <v>2595</v>
      </c>
      <c r="V33" s="954" t="s">
        <v>202</v>
      </c>
      <c r="W33" s="947" t="s">
        <v>43</v>
      </c>
      <c r="X33" s="219">
        <v>10400000</v>
      </c>
      <c r="Y33" s="219">
        <v>10400000</v>
      </c>
      <c r="AA33" s="113"/>
    </row>
    <row r="34" spans="1:27" s="83" customFormat="1" ht="19.5" customHeight="1">
      <c r="A34" s="953">
        <v>2</v>
      </c>
      <c r="B34" s="1620"/>
      <c r="C34" s="1620"/>
      <c r="D34" s="84" t="s">
        <v>2614</v>
      </c>
      <c r="E34" s="1617" t="s">
        <v>2651</v>
      </c>
      <c r="F34" s="1618"/>
      <c r="G34" s="87" t="s">
        <v>11123</v>
      </c>
      <c r="H34" s="953" t="s">
        <v>107</v>
      </c>
      <c r="I34" s="953" t="s">
        <v>108</v>
      </c>
      <c r="J34" s="84" t="s">
        <v>201</v>
      </c>
      <c r="K34" s="84" t="s">
        <v>2652</v>
      </c>
      <c r="L34" s="84" t="s">
        <v>2653</v>
      </c>
      <c r="M34" s="84" t="s">
        <v>2654</v>
      </c>
      <c r="N34" s="946" t="s">
        <v>43</v>
      </c>
      <c r="O34" s="946" t="s">
        <v>43</v>
      </c>
      <c r="P34" s="946" t="s">
        <v>43</v>
      </c>
      <c r="Q34" s="946" t="s">
        <v>43</v>
      </c>
      <c r="R34" s="946" t="s">
        <v>43</v>
      </c>
      <c r="S34" s="946" t="s">
        <v>43</v>
      </c>
      <c r="T34" s="86" t="s">
        <v>68</v>
      </c>
      <c r="U34" s="953" t="s">
        <v>2595</v>
      </c>
      <c r="V34" s="954" t="s">
        <v>202</v>
      </c>
      <c r="W34" s="946" t="s">
        <v>43</v>
      </c>
      <c r="X34" s="946" t="s">
        <v>43</v>
      </c>
      <c r="Y34" s="219">
        <v>2600000</v>
      </c>
      <c r="AA34"/>
    </row>
    <row r="35" spans="1:27" s="83" customFormat="1" ht="19.5" customHeight="1">
      <c r="A35" s="953">
        <v>3</v>
      </c>
      <c r="B35" s="1620"/>
      <c r="C35" s="1620"/>
      <c r="D35" s="84" t="s">
        <v>2609</v>
      </c>
      <c r="E35" s="1617" t="s">
        <v>2659</v>
      </c>
      <c r="F35" s="1618"/>
      <c r="G35" s="87">
        <v>651552</v>
      </c>
      <c r="H35" s="953" t="s">
        <v>107</v>
      </c>
      <c r="I35" s="953" t="s">
        <v>108</v>
      </c>
      <c r="J35" s="84" t="s">
        <v>205</v>
      </c>
      <c r="K35" s="84" t="s">
        <v>2660</v>
      </c>
      <c r="L35" s="84" t="s">
        <v>2661</v>
      </c>
      <c r="M35" s="84" t="s">
        <v>2662</v>
      </c>
      <c r="N35" s="946" t="s">
        <v>43</v>
      </c>
      <c r="O35" s="946" t="s">
        <v>43</v>
      </c>
      <c r="P35" s="946" t="s">
        <v>43</v>
      </c>
      <c r="Q35" s="946" t="s">
        <v>43</v>
      </c>
      <c r="R35" s="946" t="s">
        <v>43</v>
      </c>
      <c r="S35" s="946" t="s">
        <v>43</v>
      </c>
      <c r="T35" s="86" t="s">
        <v>68</v>
      </c>
      <c r="U35" s="953" t="s">
        <v>2595</v>
      </c>
      <c r="V35" s="954" t="s">
        <v>202</v>
      </c>
      <c r="W35" s="946" t="s">
        <v>43</v>
      </c>
      <c r="X35" s="946" t="s">
        <v>43</v>
      </c>
      <c r="Y35" s="219">
        <v>10400000</v>
      </c>
      <c r="AA35"/>
    </row>
    <row r="36" spans="1:27" s="83" customFormat="1" ht="19.5" customHeight="1">
      <c r="A36" s="1004">
        <v>4</v>
      </c>
      <c r="B36" s="1620"/>
      <c r="C36" s="1620"/>
      <c r="D36" s="84" t="s">
        <v>2627</v>
      </c>
      <c r="E36" s="1617" t="s">
        <v>2673</v>
      </c>
      <c r="F36" s="1618"/>
      <c r="G36" s="87">
        <v>656867</v>
      </c>
      <c r="H36" s="953" t="s">
        <v>107</v>
      </c>
      <c r="I36" s="953" t="s">
        <v>108</v>
      </c>
      <c r="J36" s="84" t="s">
        <v>205</v>
      </c>
      <c r="K36" s="84" t="s">
        <v>2674</v>
      </c>
      <c r="L36" s="84" t="s">
        <v>2675</v>
      </c>
      <c r="M36" s="84" t="s">
        <v>2676</v>
      </c>
      <c r="N36" s="946" t="s">
        <v>43</v>
      </c>
      <c r="O36" s="946" t="s">
        <v>43</v>
      </c>
      <c r="P36" s="946" t="s">
        <v>43</v>
      </c>
      <c r="Q36" s="946" t="s">
        <v>43</v>
      </c>
      <c r="R36" s="946" t="s">
        <v>43</v>
      </c>
      <c r="S36" s="946" t="s">
        <v>43</v>
      </c>
      <c r="T36" s="86" t="s">
        <v>68</v>
      </c>
      <c r="U36" s="953" t="s">
        <v>2595</v>
      </c>
      <c r="V36" s="954" t="s">
        <v>202</v>
      </c>
      <c r="W36" s="946" t="s">
        <v>43</v>
      </c>
      <c r="X36" s="946" t="s">
        <v>43</v>
      </c>
      <c r="Y36" s="219">
        <v>10400000</v>
      </c>
      <c r="AA36"/>
    </row>
    <row r="37" spans="1:27" s="83" customFormat="1" ht="19.5" customHeight="1">
      <c r="A37" s="1011">
        <v>5</v>
      </c>
      <c r="B37" s="1620"/>
      <c r="C37" s="1620"/>
      <c r="D37" s="84" t="s">
        <v>2609</v>
      </c>
      <c r="E37" s="1617" t="s">
        <v>2679</v>
      </c>
      <c r="F37" s="1618"/>
      <c r="G37" s="87">
        <v>651554</v>
      </c>
      <c r="H37" s="1011" t="s">
        <v>107</v>
      </c>
      <c r="I37" s="1011" t="s">
        <v>108</v>
      </c>
      <c r="J37" s="84" t="s">
        <v>205</v>
      </c>
      <c r="K37" s="84" t="s">
        <v>2680</v>
      </c>
      <c r="L37" s="84" t="s">
        <v>2681</v>
      </c>
      <c r="M37" s="84" t="s">
        <v>2682</v>
      </c>
      <c r="N37" s="1010" t="s">
        <v>43</v>
      </c>
      <c r="O37" s="1010" t="s">
        <v>43</v>
      </c>
      <c r="P37" s="1010" t="s">
        <v>43</v>
      </c>
      <c r="Q37" s="1010" t="s">
        <v>43</v>
      </c>
      <c r="R37" s="1010" t="s">
        <v>43</v>
      </c>
      <c r="S37" s="1010" t="s">
        <v>43</v>
      </c>
      <c r="T37" s="86" t="s">
        <v>68</v>
      </c>
      <c r="U37" s="1011" t="s">
        <v>2595</v>
      </c>
      <c r="V37" s="1012" t="s">
        <v>202</v>
      </c>
      <c r="W37" s="1010" t="s">
        <v>43</v>
      </c>
      <c r="X37" s="1010" t="s">
        <v>43</v>
      </c>
      <c r="Y37" s="219">
        <v>10400000</v>
      </c>
      <c r="AA37" s="113"/>
    </row>
    <row r="38" spans="1:27" s="83" customFormat="1" ht="19.5" customHeight="1">
      <c r="A38" s="1004">
        <v>6</v>
      </c>
      <c r="B38" s="1620"/>
      <c r="C38" s="1620"/>
      <c r="D38" s="84" t="s">
        <v>2609</v>
      </c>
      <c r="E38" s="1617" t="s">
        <v>2683</v>
      </c>
      <c r="F38" s="1618"/>
      <c r="G38" s="87">
        <v>652850</v>
      </c>
      <c r="H38" s="953" t="s">
        <v>107</v>
      </c>
      <c r="I38" s="953" t="s">
        <v>108</v>
      </c>
      <c r="J38" s="84" t="s">
        <v>205</v>
      </c>
      <c r="K38" s="84" t="s">
        <v>2684</v>
      </c>
      <c r="L38" s="84" t="s">
        <v>2685</v>
      </c>
      <c r="M38" s="84" t="s">
        <v>2686</v>
      </c>
      <c r="N38" s="946" t="s">
        <v>43</v>
      </c>
      <c r="O38" s="946" t="s">
        <v>43</v>
      </c>
      <c r="P38" s="946" t="s">
        <v>43</v>
      </c>
      <c r="Q38" s="946" t="s">
        <v>43</v>
      </c>
      <c r="R38" s="946" t="s">
        <v>43</v>
      </c>
      <c r="S38" s="946" t="s">
        <v>43</v>
      </c>
      <c r="T38" s="86" t="s">
        <v>68</v>
      </c>
      <c r="U38" s="953" t="s">
        <v>2595</v>
      </c>
      <c r="V38" s="954" t="s">
        <v>202</v>
      </c>
      <c r="W38" s="946" t="s">
        <v>43</v>
      </c>
      <c r="X38" s="946" t="s">
        <v>43</v>
      </c>
      <c r="Y38" s="219">
        <v>10400000</v>
      </c>
      <c r="AA38"/>
    </row>
    <row r="39" spans="1:27" ht="19.5" customHeight="1"/>
    <row r="40" spans="1:27" ht="19.5" customHeight="1"/>
    <row r="42" spans="1:27" ht="15" customHeight="1">
      <c r="F42" s="271" t="s">
        <v>12013</v>
      </c>
    </row>
    <row r="43" spans="1:27" ht="15" customHeight="1">
      <c r="F43" s="956" t="s">
        <v>16137</v>
      </c>
    </row>
    <row r="44" spans="1:27" ht="15" customHeight="1">
      <c r="F44" s="912" t="s">
        <v>2646</v>
      </c>
    </row>
    <row r="45" spans="1:27" ht="15" customHeight="1">
      <c r="F45" s="912" t="s">
        <v>2650</v>
      </c>
    </row>
    <row r="46" spans="1:27" ht="15" customHeight="1">
      <c r="F46" s="912" t="s">
        <v>16129</v>
      </c>
    </row>
    <row r="47" spans="1:27" ht="15" customHeight="1">
      <c r="F47" s="956" t="s">
        <v>16130</v>
      </c>
    </row>
    <row r="48" spans="1:27">
      <c r="F48" s="956" t="s">
        <v>2663</v>
      </c>
    </row>
    <row r="49" spans="6:6">
      <c r="F49" s="912" t="s">
        <v>2668</v>
      </c>
    </row>
    <row r="50" spans="6:6">
      <c r="F50" s="912" t="s">
        <v>15626</v>
      </c>
    </row>
    <row r="51" spans="6:6">
      <c r="F51" s="912" t="s">
        <v>16133</v>
      </c>
    </row>
    <row r="52" spans="6:6">
      <c r="F52" s="912" t="s">
        <v>15628</v>
      </c>
    </row>
    <row r="53" spans="6:6">
      <c r="F53" s="912" t="s">
        <v>15631</v>
      </c>
    </row>
  </sheetData>
  <mergeCells count="102">
    <mergeCell ref="B20:B21"/>
    <mergeCell ref="B13:B15"/>
    <mergeCell ref="B7:B8"/>
    <mergeCell ref="P2:P5"/>
    <mergeCell ref="B33:B38"/>
    <mergeCell ref="C33:C38"/>
    <mergeCell ref="P7:P8"/>
    <mergeCell ref="K2:K6"/>
    <mergeCell ref="K13:K15"/>
    <mergeCell ref="K16:K17"/>
    <mergeCell ref="B2:B6"/>
    <mergeCell ref="B9:B10"/>
    <mergeCell ref="B11:B12"/>
    <mergeCell ref="K23:K24"/>
    <mergeCell ref="L23:L24"/>
    <mergeCell ref="P23:P24"/>
    <mergeCell ref="E35:F35"/>
    <mergeCell ref="L2:L6"/>
    <mergeCell ref="E20:E21"/>
    <mergeCell ref="D20:D21"/>
    <mergeCell ref="E13:E15"/>
    <mergeCell ref="E16:E17"/>
    <mergeCell ref="L11:L12"/>
    <mergeCell ref="P11:P12"/>
    <mergeCell ref="Y20:Y21"/>
    <mergeCell ref="Z20:Z21"/>
    <mergeCell ref="Y7:Y8"/>
    <mergeCell ref="Z7:Z8"/>
    <mergeCell ref="Y9:Y10"/>
    <mergeCell ref="Z9:Z10"/>
    <mergeCell ref="Y11:Y12"/>
    <mergeCell ref="T2:T4"/>
    <mergeCell ref="U2:U4"/>
    <mergeCell ref="V2:V4"/>
    <mergeCell ref="Y2:Y6"/>
    <mergeCell ref="X2:X4"/>
    <mergeCell ref="Y13:Y15"/>
    <mergeCell ref="Z13:Z15"/>
    <mergeCell ref="Y16:Y17"/>
    <mergeCell ref="Z16:Z17"/>
    <mergeCell ref="Y18:Y19"/>
    <mergeCell ref="Z18:Z19"/>
    <mergeCell ref="Z11:Z12"/>
    <mergeCell ref="L18:L19"/>
    <mergeCell ref="P18:P19"/>
    <mergeCell ref="K7:K8"/>
    <mergeCell ref="L7:L8"/>
    <mergeCell ref="K9:K10"/>
    <mergeCell ref="L9:L10"/>
    <mergeCell ref="P9:P10"/>
    <mergeCell ref="K11:K12"/>
    <mergeCell ref="Z2:Z6"/>
    <mergeCell ref="L13:L15"/>
    <mergeCell ref="P13:P15"/>
    <mergeCell ref="L16:L17"/>
    <mergeCell ref="P16:P17"/>
    <mergeCell ref="E2:E6"/>
    <mergeCell ref="A7:A8"/>
    <mergeCell ref="D13:D15"/>
    <mergeCell ref="D16:D17"/>
    <mergeCell ref="D18:D19"/>
    <mergeCell ref="K18:K19"/>
    <mergeCell ref="B16:B17"/>
    <mergeCell ref="B18:B19"/>
    <mergeCell ref="A13:A15"/>
    <mergeCell ref="A16:A17"/>
    <mergeCell ref="A18:A19"/>
    <mergeCell ref="A20:A21"/>
    <mergeCell ref="E18:E19"/>
    <mergeCell ref="Y23:Y24"/>
    <mergeCell ref="Z23:Z24"/>
    <mergeCell ref="C2:C24"/>
    <mergeCell ref="F2:F24"/>
    <mergeCell ref="I2:I4"/>
    <mergeCell ref="I23:I24"/>
    <mergeCell ref="T23:T24"/>
    <mergeCell ref="U23:U24"/>
    <mergeCell ref="V23:V24"/>
    <mergeCell ref="X23:X24"/>
    <mergeCell ref="K20:K21"/>
    <mergeCell ref="L20:L21"/>
    <mergeCell ref="P20:P21"/>
    <mergeCell ref="D2:D8"/>
    <mergeCell ref="E7:E8"/>
    <mergeCell ref="A2:A6"/>
    <mergeCell ref="A9:A10"/>
    <mergeCell ref="A11:A12"/>
    <mergeCell ref="E9:E10"/>
    <mergeCell ref="E11:E12"/>
    <mergeCell ref="D9:D10"/>
    <mergeCell ref="D11:D12"/>
    <mergeCell ref="E36:F36"/>
    <mergeCell ref="E38:F38"/>
    <mergeCell ref="E37:F37"/>
    <mergeCell ref="A23:A24"/>
    <mergeCell ref="B23:B24"/>
    <mergeCell ref="D23:D24"/>
    <mergeCell ref="E23:E24"/>
    <mergeCell ref="A31:G31"/>
    <mergeCell ref="E32:F32"/>
    <mergeCell ref="E33:F33"/>
    <mergeCell ref="E34:F34"/>
  </mergeCells>
  <conditionalFormatting sqref="M7">
    <cfRule type="duplicateValues" dxfId="1483" priority="95"/>
  </conditionalFormatting>
  <conditionalFormatting sqref="M8">
    <cfRule type="duplicateValues" dxfId="1482" priority="97"/>
  </conditionalFormatting>
  <conditionalFormatting sqref="M9">
    <cfRule type="duplicateValues" dxfId="1481" priority="106"/>
  </conditionalFormatting>
  <conditionalFormatting sqref="M16">
    <cfRule type="duplicateValues" dxfId="1480" priority="104"/>
  </conditionalFormatting>
  <conditionalFormatting sqref="M18">
    <cfRule type="duplicateValues" dxfId="1479" priority="102"/>
  </conditionalFormatting>
  <conditionalFormatting sqref="M20">
    <cfRule type="duplicateValues" dxfId="1478" priority="100"/>
  </conditionalFormatting>
  <conditionalFormatting sqref="M21">
    <cfRule type="duplicateValues" dxfId="1477" priority="110"/>
  </conditionalFormatting>
  <conditionalFormatting sqref="M22">
    <cfRule type="duplicateValues" dxfId="1476" priority="98"/>
  </conditionalFormatting>
  <conditionalFormatting sqref="M23">
    <cfRule type="duplicateValues" dxfId="1475" priority="84"/>
    <cfRule type="duplicateValues" dxfId="1474" priority="86"/>
  </conditionalFormatting>
  <conditionalFormatting sqref="M24">
    <cfRule type="duplicateValues" dxfId="1473" priority="83"/>
  </conditionalFormatting>
  <conditionalFormatting sqref="N7">
    <cfRule type="duplicateValues" dxfId="1472" priority="96"/>
  </conditionalFormatting>
  <conditionalFormatting sqref="N8">
    <cfRule type="duplicateValues" dxfId="1471" priority="94"/>
  </conditionalFormatting>
  <conditionalFormatting sqref="N9">
    <cfRule type="duplicateValues" dxfId="1470" priority="107"/>
  </conditionalFormatting>
  <conditionalFormatting sqref="N10">
    <cfRule type="duplicateValues" dxfId="1469" priority="92"/>
  </conditionalFormatting>
  <conditionalFormatting sqref="N12">
    <cfRule type="duplicateValues" dxfId="1468" priority="91"/>
  </conditionalFormatting>
  <conditionalFormatting sqref="N16">
    <cfRule type="duplicateValues" dxfId="1467" priority="105"/>
  </conditionalFormatting>
  <conditionalFormatting sqref="N17">
    <cfRule type="duplicateValues" dxfId="1466" priority="90"/>
  </conditionalFormatting>
  <conditionalFormatting sqref="N18">
    <cfRule type="duplicateValues" dxfId="1465" priority="103"/>
  </conditionalFormatting>
  <conditionalFormatting sqref="N19">
    <cfRule type="duplicateValues" dxfId="1464" priority="89"/>
  </conditionalFormatting>
  <conditionalFormatting sqref="N20">
    <cfRule type="duplicateValues" dxfId="1463" priority="101"/>
  </conditionalFormatting>
  <conditionalFormatting sqref="N21">
    <cfRule type="duplicateValues" dxfId="1462" priority="88"/>
  </conditionalFormatting>
  <conditionalFormatting sqref="N22 N11 N1 N13">
    <cfRule type="duplicateValues" dxfId="1461" priority="112"/>
  </conditionalFormatting>
  <conditionalFormatting sqref="N23">
    <cfRule type="duplicateValues" dxfId="1460" priority="85"/>
  </conditionalFormatting>
  <conditionalFormatting sqref="N24">
    <cfRule type="duplicateValues" dxfId="1459" priority="82"/>
  </conditionalFormatting>
  <conditionalFormatting sqref="N32">
    <cfRule type="duplicateValues" dxfId="1458" priority="71"/>
    <cfRule type="duplicateValues" dxfId="1457" priority="72"/>
    <cfRule type="duplicateValues" dxfId="1456" priority="73"/>
    <cfRule type="duplicateValues" dxfId="1455" priority="74"/>
  </conditionalFormatting>
  <conditionalFormatting sqref="E32">
    <cfRule type="duplicateValues" dxfId="1454" priority="75"/>
  </conditionalFormatting>
  <conditionalFormatting sqref="K32">
    <cfRule type="duplicateValues" dxfId="1453" priority="76"/>
  </conditionalFormatting>
  <conditionalFormatting sqref="L32">
    <cfRule type="duplicateValues" dxfId="1452" priority="77"/>
  </conditionalFormatting>
  <conditionalFormatting sqref="M32">
    <cfRule type="duplicateValues" dxfId="1451" priority="78"/>
    <cfRule type="duplicateValues" dxfId="1450" priority="79"/>
    <cfRule type="duplicateValues" dxfId="1449" priority="80"/>
    <cfRule type="duplicateValues" dxfId="1448" priority="81"/>
  </conditionalFormatting>
  <conditionalFormatting sqref="E33">
    <cfRule type="duplicateValues" dxfId="1447" priority="70"/>
  </conditionalFormatting>
  <conditionalFormatting sqref="K33">
    <cfRule type="duplicateValues" dxfId="1446" priority="63"/>
  </conditionalFormatting>
  <conditionalFormatting sqref="K33">
    <cfRule type="duplicateValues" dxfId="1445" priority="69"/>
  </conditionalFormatting>
  <conditionalFormatting sqref="L33">
    <cfRule type="duplicateValues" dxfId="1444" priority="68"/>
  </conditionalFormatting>
  <conditionalFormatting sqref="M33">
    <cfRule type="duplicateValues" dxfId="1443" priority="64"/>
    <cfRule type="duplicateValues" dxfId="1442" priority="65"/>
    <cfRule type="duplicateValues" dxfId="1441" priority="66"/>
    <cfRule type="duplicateValues" dxfId="1440" priority="67"/>
  </conditionalFormatting>
  <conditionalFormatting sqref="E34">
    <cfRule type="duplicateValues" dxfId="1439" priority="62"/>
  </conditionalFormatting>
  <conditionalFormatting sqref="K34">
    <cfRule type="duplicateValues" dxfId="1438" priority="56"/>
  </conditionalFormatting>
  <conditionalFormatting sqref="L34">
    <cfRule type="duplicateValues" dxfId="1437" priority="61"/>
  </conditionalFormatting>
  <conditionalFormatting sqref="M34">
    <cfRule type="duplicateValues" dxfId="1436" priority="57"/>
    <cfRule type="duplicateValues" dxfId="1435" priority="58"/>
    <cfRule type="duplicateValues" dxfId="1434" priority="59"/>
    <cfRule type="duplicateValues" dxfId="1433" priority="60"/>
  </conditionalFormatting>
  <conditionalFormatting sqref="E35">
    <cfRule type="duplicateValues" dxfId="1432" priority="48"/>
  </conditionalFormatting>
  <conditionalFormatting sqref="K35">
    <cfRule type="duplicateValues" dxfId="1431" priority="42"/>
  </conditionalFormatting>
  <conditionalFormatting sqref="L35">
    <cfRule type="duplicateValues" dxfId="1430" priority="47"/>
  </conditionalFormatting>
  <conditionalFormatting sqref="M35">
    <cfRule type="duplicateValues" dxfId="1429" priority="43"/>
    <cfRule type="duplicateValues" dxfId="1428" priority="44"/>
    <cfRule type="duplicateValues" dxfId="1427" priority="45"/>
    <cfRule type="duplicateValues" dxfId="1426" priority="46"/>
  </conditionalFormatting>
  <conditionalFormatting sqref="E36">
    <cfRule type="duplicateValues" dxfId="1425" priority="41"/>
  </conditionalFormatting>
  <conditionalFormatting sqref="K36">
    <cfRule type="duplicateValues" dxfId="1424" priority="35"/>
  </conditionalFormatting>
  <conditionalFormatting sqref="L36">
    <cfRule type="duplicateValues" dxfId="1423" priority="40"/>
  </conditionalFormatting>
  <conditionalFormatting sqref="M36">
    <cfRule type="duplicateValues" dxfId="1422" priority="36"/>
    <cfRule type="duplicateValues" dxfId="1421" priority="37"/>
    <cfRule type="duplicateValues" dxfId="1420" priority="38"/>
    <cfRule type="duplicateValues" dxfId="1419" priority="39"/>
  </conditionalFormatting>
  <conditionalFormatting sqref="E37">
    <cfRule type="duplicateValues" dxfId="1418" priority="34"/>
  </conditionalFormatting>
  <conditionalFormatting sqref="K37">
    <cfRule type="duplicateValues" dxfId="1417" priority="28"/>
  </conditionalFormatting>
  <conditionalFormatting sqref="L37">
    <cfRule type="duplicateValues" dxfId="1416" priority="33"/>
  </conditionalFormatting>
  <conditionalFormatting sqref="M37">
    <cfRule type="duplicateValues" dxfId="1415" priority="29"/>
    <cfRule type="duplicateValues" dxfId="1414" priority="30"/>
    <cfRule type="duplicateValues" dxfId="1413" priority="31"/>
    <cfRule type="duplicateValues" dxfId="1412" priority="32"/>
  </conditionalFormatting>
  <conditionalFormatting sqref="E38">
    <cfRule type="duplicateValues" dxfId="1411" priority="114"/>
  </conditionalFormatting>
  <conditionalFormatting sqref="K38">
    <cfRule type="duplicateValues" dxfId="1410" priority="115"/>
  </conditionalFormatting>
  <conditionalFormatting sqref="L38">
    <cfRule type="duplicateValues" dxfId="1409" priority="116"/>
  </conditionalFormatting>
  <conditionalFormatting sqref="M38">
    <cfRule type="duplicateValues" dxfId="1408" priority="117"/>
    <cfRule type="duplicateValues" dxfId="1407" priority="118"/>
    <cfRule type="duplicateValues" dxfId="1406" priority="119"/>
    <cfRule type="duplicateValues" dxfId="1405" priority="120"/>
  </conditionalFormatting>
  <conditionalFormatting sqref="F44">
    <cfRule type="duplicateValues" dxfId="1404" priority="27"/>
  </conditionalFormatting>
  <conditionalFormatting sqref="F45">
    <cfRule type="duplicateValues" dxfId="1403" priority="26"/>
  </conditionalFormatting>
  <conditionalFormatting sqref="F46">
    <cfRule type="duplicateValues" dxfId="1402" priority="25"/>
  </conditionalFormatting>
  <conditionalFormatting sqref="M14">
    <cfRule type="duplicateValues" dxfId="1401" priority="20"/>
  </conditionalFormatting>
  <conditionalFormatting sqref="N14">
    <cfRule type="duplicateValues" dxfId="1400" priority="19"/>
  </conditionalFormatting>
  <conditionalFormatting sqref="M15">
    <cfRule type="duplicateValues" dxfId="1399" priority="16"/>
  </conditionalFormatting>
  <conditionalFormatting sqref="M15">
    <cfRule type="duplicateValues" dxfId="1398" priority="18"/>
  </conditionalFormatting>
  <conditionalFormatting sqref="N15">
    <cfRule type="duplicateValues" dxfId="1397" priority="17"/>
  </conditionalFormatting>
  <conditionalFormatting sqref="F53">
    <cfRule type="duplicateValues" dxfId="1396" priority="15"/>
  </conditionalFormatting>
  <conditionalFormatting sqref="M2">
    <cfRule type="duplicateValues" dxfId="1395" priority="6"/>
    <cfRule type="duplicateValues" dxfId="1394" priority="8"/>
  </conditionalFormatting>
  <conditionalFormatting sqref="M3">
    <cfRule type="duplicateValues" dxfId="1393" priority="14"/>
  </conditionalFormatting>
  <conditionalFormatting sqref="M4">
    <cfRule type="duplicateValues" dxfId="1392" priority="11"/>
  </conditionalFormatting>
  <conditionalFormatting sqref="M5:M6 M3">
    <cfRule type="duplicateValues" dxfId="1391" priority="13"/>
  </conditionalFormatting>
  <conditionalFormatting sqref="N2">
    <cfRule type="duplicateValues" dxfId="1390" priority="7"/>
  </conditionalFormatting>
  <conditionalFormatting sqref="N3">
    <cfRule type="duplicateValues" dxfId="1389" priority="10"/>
  </conditionalFormatting>
  <conditionalFormatting sqref="N4">
    <cfRule type="duplicateValues" dxfId="1388" priority="12"/>
  </conditionalFormatting>
  <conditionalFormatting sqref="N5:N6">
    <cfRule type="duplicateValues" dxfId="1387" priority="9"/>
  </conditionalFormatting>
  <conditionalFormatting sqref="F49">
    <cfRule type="duplicateValues" dxfId="1386" priority="4"/>
  </conditionalFormatting>
  <conditionalFormatting sqref="F50">
    <cfRule type="duplicateValues" dxfId="1385" priority="3"/>
  </conditionalFormatting>
  <conditionalFormatting sqref="F51">
    <cfRule type="duplicateValues" dxfId="1384" priority="2"/>
  </conditionalFormatting>
  <conditionalFormatting sqref="F52">
    <cfRule type="duplicateValues" dxfId="1383" priority="1"/>
  </conditionalFormatting>
  <conditionalFormatting sqref="M22 M10:M13 M17 M19 M1">
    <cfRule type="duplicateValues" dxfId="1382" priority="4444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19"/>
  <sheetViews>
    <sheetView rightToLeft="1" zoomScale="85" zoomScaleNormal="85" workbookViewId="0">
      <pane xSplit="10" topLeftCell="K1" activePane="topRight" state="frozen"/>
      <selection pane="topRight" activeCell="M21" sqref="M21"/>
    </sheetView>
  </sheetViews>
  <sheetFormatPr defaultRowHeight="15"/>
  <cols>
    <col min="1" max="1" width="5.7109375" customWidth="1"/>
    <col min="2" max="3" width="6.85546875" customWidth="1"/>
    <col min="4" max="4" width="6.5703125" customWidth="1"/>
    <col min="5" max="5" width="17.42578125" customWidth="1"/>
    <col min="7" max="7" width="9.28515625" bestFit="1" customWidth="1"/>
    <col min="8" max="8" width="17.85546875" customWidth="1"/>
    <col min="9" max="9" width="14.85546875" customWidth="1"/>
    <col min="10" max="10" width="9.28515625" bestFit="1" customWidth="1"/>
    <col min="11" max="11" width="25.140625" customWidth="1"/>
    <col min="12" max="12" width="21.85546875" customWidth="1"/>
    <col min="13" max="13" width="35.85546875" customWidth="1"/>
    <col min="14" max="14" width="60" customWidth="1"/>
    <col min="16" max="16" width="19.85546875" customWidth="1"/>
    <col min="17" max="17" width="16.42578125" customWidth="1"/>
    <col min="18" max="18" width="22.5703125" customWidth="1"/>
    <col min="20" max="20" width="21.140625" customWidth="1"/>
    <col min="21" max="21" width="21.85546875" customWidth="1"/>
    <col min="22" max="22" width="14.5703125" customWidth="1"/>
    <col min="23" max="23" width="23.85546875" customWidth="1"/>
    <col min="24" max="24" width="38" customWidth="1"/>
    <col min="25" max="25" width="22.85546875" customWidth="1"/>
    <col min="26" max="26" width="28" customWidth="1"/>
    <col min="27" max="27" width="13.7109375" bestFit="1" customWidth="1"/>
  </cols>
  <sheetData>
    <row r="1" spans="1:27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27" customFormat="1" ht="15.75" customHeight="1">
      <c r="A2" s="1422">
        <v>1</v>
      </c>
      <c r="B2" s="1523">
        <v>332</v>
      </c>
      <c r="C2" s="1422" t="s">
        <v>2969</v>
      </c>
      <c r="D2" s="1422" t="s">
        <v>2969</v>
      </c>
      <c r="E2" s="1422" t="s">
        <v>2969</v>
      </c>
      <c r="F2" s="1422" t="s">
        <v>2970</v>
      </c>
      <c r="G2" s="63" t="s">
        <v>9148</v>
      </c>
      <c r="H2" s="21" t="s">
        <v>28</v>
      </c>
      <c r="I2" s="1422" t="s">
        <v>29</v>
      </c>
      <c r="J2" s="47" t="s">
        <v>204</v>
      </c>
      <c r="K2" s="1517" t="s">
        <v>2971</v>
      </c>
      <c r="L2" s="1422" t="s">
        <v>2972</v>
      </c>
      <c r="M2" s="32" t="s">
        <v>2994</v>
      </c>
      <c r="N2" s="32" t="s">
        <v>2990</v>
      </c>
      <c r="O2" s="46" t="s">
        <v>43</v>
      </c>
      <c r="P2" s="1622" t="s">
        <v>2973</v>
      </c>
      <c r="Q2" s="46" t="s">
        <v>43</v>
      </c>
      <c r="R2" s="63" t="s">
        <v>2974</v>
      </c>
      <c r="S2" s="46" t="s">
        <v>43</v>
      </c>
      <c r="T2" s="1517">
        <v>40106434456</v>
      </c>
      <c r="U2" s="46" t="s">
        <v>43</v>
      </c>
      <c r="V2" s="1422" t="s">
        <v>43</v>
      </c>
      <c r="W2" s="63" t="s">
        <v>2975</v>
      </c>
      <c r="X2" s="1517" t="s">
        <v>2976</v>
      </c>
      <c r="Y2" s="1529" t="s">
        <v>93</v>
      </c>
      <c r="Z2" s="1529" t="s">
        <v>242</v>
      </c>
      <c r="AA2" s="355">
        <v>15680000</v>
      </c>
    </row>
    <row r="3" spans="1:27" s="27" customFormat="1" ht="15.75" customHeight="1">
      <c r="A3" s="1423"/>
      <c r="B3" s="1524"/>
      <c r="C3" s="1423"/>
      <c r="D3" s="1423"/>
      <c r="E3" s="1423"/>
      <c r="F3" s="1423"/>
      <c r="G3" s="63" t="s">
        <v>11853</v>
      </c>
      <c r="H3" s="30" t="s">
        <v>195</v>
      </c>
      <c r="I3" s="1423"/>
      <c r="J3" s="47" t="s">
        <v>199</v>
      </c>
      <c r="K3" s="1518"/>
      <c r="L3" s="1423"/>
      <c r="M3" s="89" t="s">
        <v>2993</v>
      </c>
      <c r="N3" s="21" t="s">
        <v>2998</v>
      </c>
      <c r="O3" s="46" t="s">
        <v>43</v>
      </c>
      <c r="P3" s="1623"/>
      <c r="Q3" s="46" t="s">
        <v>43</v>
      </c>
      <c r="R3" s="63" t="s">
        <v>246</v>
      </c>
      <c r="S3" s="46" t="s">
        <v>43</v>
      </c>
      <c r="T3" s="1518"/>
      <c r="U3" s="46" t="s">
        <v>43</v>
      </c>
      <c r="V3" s="1423"/>
      <c r="W3" s="63" t="s">
        <v>432</v>
      </c>
      <c r="X3" s="1518"/>
      <c r="Y3" s="1530"/>
      <c r="Z3" s="1530"/>
      <c r="AA3" s="356">
        <v>20800000</v>
      </c>
    </row>
    <row r="4" spans="1:27" s="27" customFormat="1" ht="15.75" customHeight="1">
      <c r="A4" s="1423"/>
      <c r="B4" s="1524"/>
      <c r="C4" s="1423"/>
      <c r="D4" s="1423"/>
      <c r="E4" s="1423"/>
      <c r="F4" s="1423"/>
      <c r="G4" s="63" t="s">
        <v>11854</v>
      </c>
      <c r="H4" s="32" t="s">
        <v>40</v>
      </c>
      <c r="I4" s="1508"/>
      <c r="J4" s="47" t="s">
        <v>199</v>
      </c>
      <c r="K4" s="1518"/>
      <c r="L4" s="1423"/>
      <c r="M4" s="32" t="s">
        <v>2977</v>
      </c>
      <c r="N4" s="32" t="s">
        <v>2978</v>
      </c>
      <c r="O4" s="46" t="s">
        <v>43</v>
      </c>
      <c r="P4" s="1623"/>
      <c r="Q4" s="46" t="s">
        <v>43</v>
      </c>
      <c r="R4" s="63" t="s">
        <v>2979</v>
      </c>
      <c r="S4" s="46" t="s">
        <v>43</v>
      </c>
      <c r="T4" s="1519"/>
      <c r="U4" s="46" t="s">
        <v>43</v>
      </c>
      <c r="V4" s="1508"/>
      <c r="W4" s="63" t="s">
        <v>2980</v>
      </c>
      <c r="X4" s="1519"/>
      <c r="Y4" s="1530"/>
      <c r="Z4" s="1530"/>
      <c r="AA4" s="356">
        <v>0</v>
      </c>
    </row>
    <row r="5" spans="1:27" s="27" customFormat="1" ht="15.75" customHeight="1">
      <c r="A5" s="1508"/>
      <c r="B5" s="1525"/>
      <c r="C5" s="1423"/>
      <c r="D5" s="1423"/>
      <c r="E5" s="1508"/>
      <c r="F5" s="1423"/>
      <c r="G5" s="46" t="s">
        <v>43</v>
      </c>
      <c r="H5" s="32" t="s">
        <v>51</v>
      </c>
      <c r="I5" s="32" t="s">
        <v>45</v>
      </c>
      <c r="J5" s="47" t="s">
        <v>11886</v>
      </c>
      <c r="K5" s="1519"/>
      <c r="L5" s="1508"/>
      <c r="M5" s="32" t="s">
        <v>2981</v>
      </c>
      <c r="N5" s="21" t="s">
        <v>2991</v>
      </c>
      <c r="O5" s="46" t="s">
        <v>43</v>
      </c>
      <c r="P5" s="1624"/>
      <c r="Q5" s="46" t="s">
        <v>43</v>
      </c>
      <c r="R5" s="63" t="s">
        <v>54</v>
      </c>
      <c r="S5" s="46" t="s">
        <v>43</v>
      </c>
      <c r="T5" s="46" t="s">
        <v>43</v>
      </c>
      <c r="U5" s="46" t="s">
        <v>43</v>
      </c>
      <c r="V5" s="46" t="s">
        <v>43</v>
      </c>
      <c r="W5" s="63" t="s">
        <v>1518</v>
      </c>
      <c r="X5" s="32" t="s">
        <v>56</v>
      </c>
      <c r="Y5" s="1531"/>
      <c r="Z5" s="1531"/>
      <c r="AA5" s="356">
        <v>0</v>
      </c>
    </row>
    <row r="6" spans="1:27" s="27" customFormat="1" ht="15.75" customHeight="1">
      <c r="A6" s="1422">
        <v>2</v>
      </c>
      <c r="B6" s="1512">
        <v>357</v>
      </c>
      <c r="C6" s="1423"/>
      <c r="D6" s="1423"/>
      <c r="E6" s="1422" t="s">
        <v>2982</v>
      </c>
      <c r="F6" s="1423"/>
      <c r="G6" s="63" t="s">
        <v>2983</v>
      </c>
      <c r="H6" s="32" t="s">
        <v>1659</v>
      </c>
      <c r="I6" s="32" t="s">
        <v>108</v>
      </c>
      <c r="J6" s="47" t="s">
        <v>199</v>
      </c>
      <c r="K6" s="1422" t="s">
        <v>2984</v>
      </c>
      <c r="L6" s="1422" t="s">
        <v>2985</v>
      </c>
      <c r="M6" s="32" t="s">
        <v>2986</v>
      </c>
      <c r="N6" s="32" t="s">
        <v>2987</v>
      </c>
      <c r="O6" s="46" t="s">
        <v>43</v>
      </c>
      <c r="P6" s="1520" t="s">
        <v>2995</v>
      </c>
      <c r="Q6" s="46" t="s">
        <v>43</v>
      </c>
      <c r="R6" s="63" t="s">
        <v>297</v>
      </c>
      <c r="S6" s="63" t="s">
        <v>438</v>
      </c>
      <c r="T6" s="46" t="s">
        <v>43</v>
      </c>
      <c r="U6" s="46" t="s">
        <v>43</v>
      </c>
      <c r="V6" s="46" t="s">
        <v>43</v>
      </c>
      <c r="W6" s="46" t="s">
        <v>43</v>
      </c>
      <c r="X6" s="32" t="s">
        <v>299</v>
      </c>
      <c r="Y6" s="1422" t="s">
        <v>202</v>
      </c>
      <c r="Z6" s="1528" t="s">
        <v>65</v>
      </c>
      <c r="AA6" s="356">
        <v>8000000</v>
      </c>
    </row>
    <row r="7" spans="1:27" s="27" customFormat="1" ht="15.75" customHeight="1">
      <c r="A7" s="1423"/>
      <c r="B7" s="1621"/>
      <c r="C7" s="1423"/>
      <c r="D7" s="1423"/>
      <c r="E7" s="1423"/>
      <c r="F7" s="1423"/>
      <c r="G7" s="63" t="s">
        <v>2988</v>
      </c>
      <c r="H7" s="30" t="s">
        <v>195</v>
      </c>
      <c r="I7" s="32" t="s">
        <v>108</v>
      </c>
      <c r="J7" s="47" t="s">
        <v>199</v>
      </c>
      <c r="K7" s="1423"/>
      <c r="L7" s="1423"/>
      <c r="M7" s="32" t="s">
        <v>2989</v>
      </c>
      <c r="N7" s="21" t="s">
        <v>2997</v>
      </c>
      <c r="O7" s="46" t="s">
        <v>43</v>
      </c>
      <c r="P7" s="1521"/>
      <c r="Q7" s="46" t="s">
        <v>43</v>
      </c>
      <c r="R7" s="63" t="s">
        <v>315</v>
      </c>
      <c r="S7" s="63" t="s">
        <v>438</v>
      </c>
      <c r="T7" s="32"/>
      <c r="U7" s="46" t="s">
        <v>43</v>
      </c>
      <c r="V7" s="46" t="s">
        <v>43</v>
      </c>
      <c r="W7" s="46" t="s">
        <v>43</v>
      </c>
      <c r="X7" s="32" t="s">
        <v>299</v>
      </c>
      <c r="Y7" s="1423"/>
      <c r="Z7" s="1528"/>
      <c r="AA7" s="356">
        <v>20800000</v>
      </c>
    </row>
    <row r="8" spans="1:27" s="27" customFormat="1" ht="15.75" customHeight="1">
      <c r="A8" s="1508"/>
      <c r="B8" s="1513"/>
      <c r="C8" s="1508"/>
      <c r="D8" s="1508"/>
      <c r="E8" s="1508"/>
      <c r="F8" s="1508"/>
      <c r="G8" s="46" t="s">
        <v>43</v>
      </c>
      <c r="H8" s="32" t="s">
        <v>84</v>
      </c>
      <c r="I8" s="21" t="s">
        <v>45</v>
      </c>
      <c r="J8" s="24" t="s">
        <v>201</v>
      </c>
      <c r="K8" s="1508"/>
      <c r="L8" s="1508"/>
      <c r="M8" s="32" t="s">
        <v>2999</v>
      </c>
      <c r="N8" s="32" t="s">
        <v>2996</v>
      </c>
      <c r="O8" s="46" t="s">
        <v>43</v>
      </c>
      <c r="P8" s="1522"/>
      <c r="Q8" s="46" t="s">
        <v>43</v>
      </c>
      <c r="R8" s="63" t="s">
        <v>48</v>
      </c>
      <c r="S8" s="46" t="s">
        <v>43</v>
      </c>
      <c r="T8" s="32"/>
      <c r="U8" s="46" t="s">
        <v>43</v>
      </c>
      <c r="V8" s="46" t="s">
        <v>43</v>
      </c>
      <c r="W8" s="63" t="s">
        <v>1876</v>
      </c>
      <c r="X8" s="21" t="s">
        <v>50</v>
      </c>
      <c r="Y8" s="1508"/>
      <c r="Z8" s="1528"/>
      <c r="AA8" s="356">
        <v>0</v>
      </c>
    </row>
    <row r="9" spans="1:27" ht="15.75">
      <c r="Z9" s="214" t="s">
        <v>90</v>
      </c>
      <c r="AA9" s="357">
        <v>65280000</v>
      </c>
    </row>
    <row r="13" spans="1:27" ht="22.5">
      <c r="A13" s="1459" t="s">
        <v>14163</v>
      </c>
      <c r="B13" s="1459"/>
      <c r="C13" s="1459"/>
      <c r="D13" s="1459"/>
      <c r="E13" s="1459"/>
      <c r="F13" s="1459"/>
      <c r="G13" s="1459"/>
    </row>
    <row r="14" spans="1:27" s="12" customFormat="1" ht="19.5">
      <c r="A14" s="34" t="s">
        <v>0</v>
      </c>
      <c r="B14" s="34" t="s">
        <v>5</v>
      </c>
      <c r="C14" s="34" t="s">
        <v>2</v>
      </c>
      <c r="D14" s="34" t="s">
        <v>3</v>
      </c>
      <c r="E14" s="1445" t="s">
        <v>88</v>
      </c>
      <c r="F14" s="1446"/>
      <c r="G14" s="34" t="s">
        <v>6</v>
      </c>
      <c r="H14" s="34" t="s">
        <v>7</v>
      </c>
      <c r="I14" s="34" t="s">
        <v>8</v>
      </c>
      <c r="J14" s="34" t="s">
        <v>196</v>
      </c>
      <c r="K14" s="34" t="s">
        <v>9</v>
      </c>
      <c r="L14" s="34" t="s">
        <v>11</v>
      </c>
      <c r="M14" s="34" t="s">
        <v>12</v>
      </c>
      <c r="N14" s="34" t="s">
        <v>216</v>
      </c>
      <c r="O14" s="34" t="s">
        <v>13</v>
      </c>
      <c r="P14" s="35" t="s">
        <v>14</v>
      </c>
      <c r="Q14" s="35" t="s">
        <v>217</v>
      </c>
      <c r="R14" s="35" t="s">
        <v>16</v>
      </c>
      <c r="S14" s="34" t="s">
        <v>17</v>
      </c>
      <c r="T14" s="34" t="s">
        <v>218</v>
      </c>
      <c r="U14" s="34" t="s">
        <v>22</v>
      </c>
      <c r="V14" s="36" t="s">
        <v>23</v>
      </c>
      <c r="W14" s="34" t="s">
        <v>24</v>
      </c>
      <c r="X14" s="58" t="s">
        <v>257</v>
      </c>
      <c r="Z14"/>
      <c r="AA14"/>
    </row>
    <row r="17" spans="11:11" ht="15.75">
      <c r="K17" s="1013" t="s">
        <v>12013</v>
      </c>
    </row>
    <row r="18" spans="11:11" ht="15.75">
      <c r="K18" s="1014" t="s">
        <v>16138</v>
      </c>
    </row>
    <row r="19" spans="11:11" ht="15.75">
      <c r="K19" s="1014" t="s">
        <v>3000</v>
      </c>
    </row>
  </sheetData>
  <mergeCells count="25">
    <mergeCell ref="K6:K8"/>
    <mergeCell ref="E14:F14"/>
    <mergeCell ref="V2:V4"/>
    <mergeCell ref="X2:X4"/>
    <mergeCell ref="L2:L5"/>
    <mergeCell ref="L6:L8"/>
    <mergeCell ref="P2:P5"/>
    <mergeCell ref="P6:P8"/>
    <mergeCell ref="A13:G13"/>
    <mergeCell ref="Y2:Y5"/>
    <mergeCell ref="Z2:Z5"/>
    <mergeCell ref="Y6:Y8"/>
    <mergeCell ref="Z6:Z8"/>
    <mergeCell ref="A2:A5"/>
    <mergeCell ref="A6:A8"/>
    <mergeCell ref="B2:B5"/>
    <mergeCell ref="B6:B8"/>
    <mergeCell ref="C2:C8"/>
    <mergeCell ref="D2:D8"/>
    <mergeCell ref="T2:T4"/>
    <mergeCell ref="E2:E5"/>
    <mergeCell ref="E6:E8"/>
    <mergeCell ref="F2:F8"/>
    <mergeCell ref="I2:I4"/>
    <mergeCell ref="K2:K5"/>
  </mergeCells>
  <conditionalFormatting sqref="M5">
    <cfRule type="duplicateValues" dxfId="1381" priority="68"/>
  </conditionalFormatting>
  <conditionalFormatting sqref="M6">
    <cfRule type="duplicateValues" dxfId="1380" priority="66"/>
  </conditionalFormatting>
  <conditionalFormatting sqref="M7">
    <cfRule type="duplicateValues" dxfId="1379" priority="61"/>
    <cfRule type="duplicateValues" dxfId="1378" priority="63"/>
  </conditionalFormatting>
  <conditionalFormatting sqref="M8 M1:M4">
    <cfRule type="duplicateValues" dxfId="1377" priority="70"/>
  </conditionalFormatting>
  <conditionalFormatting sqref="M8">
    <cfRule type="duplicateValues" dxfId="1376" priority="72"/>
  </conditionalFormatting>
  <conditionalFormatting sqref="N3">
    <cfRule type="duplicateValues" dxfId="1375" priority="65"/>
  </conditionalFormatting>
  <conditionalFormatting sqref="N5">
    <cfRule type="duplicateValues" dxfId="1374" priority="64"/>
  </conditionalFormatting>
  <conditionalFormatting sqref="N6">
    <cfRule type="duplicateValues" dxfId="1373" priority="67"/>
  </conditionalFormatting>
  <conditionalFormatting sqref="N7">
    <cfRule type="duplicateValues" dxfId="1372" priority="60"/>
  </conditionalFormatting>
  <conditionalFormatting sqref="N8 N1:N2 N4">
    <cfRule type="duplicateValues" dxfId="1371" priority="71"/>
  </conditionalFormatting>
  <conditionalFormatting sqref="N14">
    <cfRule type="duplicateValues" dxfId="1370" priority="2"/>
    <cfRule type="duplicateValues" dxfId="1369" priority="3"/>
    <cfRule type="duplicateValues" dxfId="1368" priority="4"/>
    <cfRule type="duplicateValues" dxfId="1367" priority="5"/>
  </conditionalFormatting>
  <conditionalFormatting sqref="E14">
    <cfRule type="duplicateValues" dxfId="1366" priority="6"/>
  </conditionalFormatting>
  <conditionalFormatting sqref="K14">
    <cfRule type="duplicateValues" dxfId="1365" priority="7"/>
  </conditionalFormatting>
  <conditionalFormatting sqref="L14">
    <cfRule type="duplicateValues" dxfId="1364" priority="8"/>
  </conditionalFormatting>
  <conditionalFormatting sqref="M14">
    <cfRule type="duplicateValues" dxfId="1363" priority="9"/>
    <cfRule type="duplicateValues" dxfId="1362" priority="10"/>
    <cfRule type="duplicateValues" dxfId="1361" priority="11"/>
    <cfRule type="duplicateValues" dxfId="1360" priority="12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6"/>
  <sheetViews>
    <sheetView rightToLeft="1" zoomScaleNormal="100" workbookViewId="0">
      <pane xSplit="10" topLeftCell="K1" activePane="topRight" state="frozen"/>
      <selection pane="topRight" activeCell="K20" sqref="K20:K21"/>
    </sheetView>
  </sheetViews>
  <sheetFormatPr defaultRowHeight="15"/>
  <cols>
    <col min="6" max="6" width="12.28515625" customWidth="1"/>
    <col min="8" max="8" width="16.85546875" customWidth="1"/>
    <col min="9" max="9" width="15.28515625" customWidth="1"/>
    <col min="11" max="12" width="23" customWidth="1"/>
    <col min="13" max="13" width="44.85546875" customWidth="1"/>
    <col min="14" max="14" width="59.5703125" customWidth="1"/>
    <col min="15" max="15" width="13.42578125" customWidth="1"/>
    <col min="16" max="16" width="32.5703125" customWidth="1"/>
    <col min="17" max="17" width="14" customWidth="1"/>
    <col min="18" max="18" width="20.28515625" customWidth="1"/>
    <col min="20" max="20" width="17.140625" customWidth="1"/>
    <col min="21" max="21" width="17.42578125" customWidth="1"/>
    <col min="22" max="22" width="13.85546875" customWidth="1"/>
    <col min="23" max="23" width="23.7109375" customWidth="1"/>
    <col min="24" max="24" width="35" customWidth="1"/>
    <col min="25" max="25" width="23" customWidth="1"/>
    <col min="26" max="26" width="23.42578125" customWidth="1"/>
    <col min="27" max="27" width="13.7109375" bestFit="1" customWidth="1"/>
  </cols>
  <sheetData>
    <row r="1" spans="1:27" s="83" customFormat="1" ht="19.5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1" t="s">
        <v>6</v>
      </c>
      <c r="H1" s="90" t="s">
        <v>7</v>
      </c>
      <c r="I1" s="90" t="s">
        <v>8</v>
      </c>
      <c r="J1" s="92" t="s">
        <v>196</v>
      </c>
      <c r="K1" s="90" t="s">
        <v>9</v>
      </c>
      <c r="L1" s="90" t="s">
        <v>10</v>
      </c>
      <c r="M1" s="90" t="s">
        <v>11</v>
      </c>
      <c r="N1" s="90" t="s">
        <v>12</v>
      </c>
      <c r="O1" s="90" t="s">
        <v>13</v>
      </c>
      <c r="P1" s="92" t="s">
        <v>14</v>
      </c>
      <c r="Q1" s="91" t="s">
        <v>15</v>
      </c>
      <c r="R1" s="91" t="s">
        <v>16</v>
      </c>
      <c r="S1" s="91" t="s">
        <v>17</v>
      </c>
      <c r="T1" s="90" t="s">
        <v>18</v>
      </c>
      <c r="U1" s="90" t="s">
        <v>19</v>
      </c>
      <c r="V1" s="90" t="s">
        <v>20</v>
      </c>
      <c r="W1" s="91" t="s">
        <v>21</v>
      </c>
      <c r="X1" s="90" t="s">
        <v>22</v>
      </c>
      <c r="Y1" s="91" t="s">
        <v>23</v>
      </c>
      <c r="Z1" s="91" t="s">
        <v>24</v>
      </c>
      <c r="AA1" s="49" t="s">
        <v>9184</v>
      </c>
    </row>
    <row r="2" spans="1:27" s="83" customFormat="1" ht="15.75" customHeight="1">
      <c r="A2" s="1450">
        <v>1</v>
      </c>
      <c r="B2" s="1631">
        <v>359</v>
      </c>
      <c r="C2" s="1625" t="s">
        <v>3001</v>
      </c>
      <c r="D2" s="1625" t="s">
        <v>3002</v>
      </c>
      <c r="E2" s="1625" t="s">
        <v>3001</v>
      </c>
      <c r="F2" s="1625" t="s">
        <v>235</v>
      </c>
      <c r="G2" s="95" t="s">
        <v>3003</v>
      </c>
      <c r="H2" s="4" t="s">
        <v>28</v>
      </c>
      <c r="I2" s="93" t="s">
        <v>260</v>
      </c>
      <c r="J2" s="99" t="s">
        <v>199</v>
      </c>
      <c r="K2" s="1637" t="s">
        <v>15497</v>
      </c>
      <c r="L2" s="1450" t="s">
        <v>15498</v>
      </c>
      <c r="M2" s="97" t="s">
        <v>3016</v>
      </c>
      <c r="N2" s="94" t="s">
        <v>3012</v>
      </c>
      <c r="O2" s="46" t="s">
        <v>43</v>
      </c>
      <c r="P2" s="1634" t="s">
        <v>3004</v>
      </c>
      <c r="Q2" s="46" t="s">
        <v>43</v>
      </c>
      <c r="R2" s="98" t="s">
        <v>315</v>
      </c>
      <c r="S2" s="46" t="s">
        <v>43</v>
      </c>
      <c r="T2" s="46" t="s">
        <v>43</v>
      </c>
      <c r="U2" s="46" t="s">
        <v>43</v>
      </c>
      <c r="V2" s="46" t="s">
        <v>43</v>
      </c>
      <c r="W2" s="46" t="s">
        <v>43</v>
      </c>
      <c r="X2" s="93" t="s">
        <v>299</v>
      </c>
      <c r="Y2" s="1628" t="s">
        <v>93</v>
      </c>
      <c r="Z2" s="1628" t="s">
        <v>65</v>
      </c>
      <c r="AA2" s="230">
        <v>20800000</v>
      </c>
    </row>
    <row r="3" spans="1:27" s="83" customFormat="1" ht="15.75" customHeight="1">
      <c r="A3" s="1451"/>
      <c r="B3" s="1632"/>
      <c r="C3" s="1627"/>
      <c r="D3" s="1627"/>
      <c r="E3" s="1627"/>
      <c r="F3" s="1627"/>
      <c r="G3" s="95">
        <v>612786</v>
      </c>
      <c r="H3" s="30" t="s">
        <v>195</v>
      </c>
      <c r="I3" s="95" t="s">
        <v>260</v>
      </c>
      <c r="J3" s="99" t="s">
        <v>199</v>
      </c>
      <c r="K3" s="1638"/>
      <c r="L3" s="1451"/>
      <c r="M3" s="94" t="s">
        <v>3005</v>
      </c>
      <c r="N3" s="21" t="s">
        <v>3013</v>
      </c>
      <c r="O3" s="46" t="s">
        <v>43</v>
      </c>
      <c r="P3" s="1635"/>
      <c r="Q3" s="46" t="s">
        <v>43</v>
      </c>
      <c r="R3" s="98" t="s">
        <v>246</v>
      </c>
      <c r="S3" s="46" t="s">
        <v>43</v>
      </c>
      <c r="T3" s="46" t="s">
        <v>43</v>
      </c>
      <c r="U3" s="46" t="s">
        <v>43</v>
      </c>
      <c r="V3" s="46" t="s">
        <v>43</v>
      </c>
      <c r="W3" s="98" t="s">
        <v>1510</v>
      </c>
      <c r="X3" s="93" t="s">
        <v>170</v>
      </c>
      <c r="Y3" s="1629"/>
      <c r="Z3" s="1629"/>
      <c r="AA3" s="230">
        <v>20800000</v>
      </c>
    </row>
    <row r="4" spans="1:27" s="83" customFormat="1" ht="15.75" customHeight="1">
      <c r="A4" s="1451"/>
      <c r="B4" s="1632"/>
      <c r="C4" s="1627"/>
      <c r="D4" s="1627"/>
      <c r="E4" s="1627"/>
      <c r="F4" s="1627"/>
      <c r="G4" s="95" t="s">
        <v>11852</v>
      </c>
      <c r="H4" s="4" t="s">
        <v>249</v>
      </c>
      <c r="I4" s="93" t="s">
        <v>260</v>
      </c>
      <c r="J4" s="96" t="s">
        <v>205</v>
      </c>
      <c r="K4" s="1638"/>
      <c r="L4" s="1451"/>
      <c r="M4" s="100" t="s">
        <v>15501</v>
      </c>
      <c r="N4" s="100" t="s">
        <v>15493</v>
      </c>
      <c r="O4" s="46" t="s">
        <v>43</v>
      </c>
      <c r="P4" s="1635"/>
      <c r="Q4" s="46" t="s">
        <v>43</v>
      </c>
      <c r="R4" s="98" t="s">
        <v>156</v>
      </c>
      <c r="S4" s="46" t="s">
        <v>43</v>
      </c>
      <c r="T4" s="46" t="s">
        <v>43</v>
      </c>
      <c r="U4" s="46" t="s">
        <v>43</v>
      </c>
      <c r="V4" s="46" t="s">
        <v>43</v>
      </c>
      <c r="W4" s="46" t="s">
        <v>43</v>
      </c>
      <c r="X4" s="93" t="s">
        <v>151</v>
      </c>
      <c r="Y4" s="1629"/>
      <c r="Z4" s="1629"/>
      <c r="AA4" s="230">
        <v>8960000</v>
      </c>
    </row>
    <row r="5" spans="1:27" s="83" customFormat="1" ht="15.75" customHeight="1">
      <c r="A5" s="1619"/>
      <c r="B5" s="1633"/>
      <c r="C5" s="1627"/>
      <c r="D5" s="1626"/>
      <c r="E5" s="1626"/>
      <c r="F5" s="1627"/>
      <c r="G5" s="46" t="s">
        <v>43</v>
      </c>
      <c r="H5" s="852" t="s">
        <v>15212</v>
      </c>
      <c r="I5" s="93" t="s">
        <v>45</v>
      </c>
      <c r="J5" s="96" t="s">
        <v>11886</v>
      </c>
      <c r="K5" s="1639"/>
      <c r="L5" s="1619"/>
      <c r="M5" s="94" t="s">
        <v>3007</v>
      </c>
      <c r="N5" s="21" t="s">
        <v>3017</v>
      </c>
      <c r="O5" s="46" t="s">
        <v>43</v>
      </c>
      <c r="P5" s="1636"/>
      <c r="Q5" s="46" t="s">
        <v>43</v>
      </c>
      <c r="R5" s="98" t="s">
        <v>54</v>
      </c>
      <c r="S5" s="46" t="s">
        <v>43</v>
      </c>
      <c r="T5" s="46" t="s">
        <v>43</v>
      </c>
      <c r="U5" s="46" t="s">
        <v>43</v>
      </c>
      <c r="V5" s="46" t="s">
        <v>43</v>
      </c>
      <c r="W5" s="98" t="s">
        <v>1512</v>
      </c>
      <c r="X5" s="93" t="s">
        <v>56</v>
      </c>
      <c r="Y5" s="1630"/>
      <c r="Z5" s="1630"/>
      <c r="AA5" s="219">
        <v>0</v>
      </c>
    </row>
    <row r="6" spans="1:27" s="83" customFormat="1" ht="15.75" customHeight="1">
      <c r="A6" s="1450">
        <v>2</v>
      </c>
      <c r="B6" s="1471">
        <v>444</v>
      </c>
      <c r="C6" s="1627"/>
      <c r="D6" s="1625" t="s">
        <v>3008</v>
      </c>
      <c r="E6" s="1625" t="s">
        <v>3008</v>
      </c>
      <c r="F6" s="1627"/>
      <c r="G6" s="95" t="s">
        <v>3009</v>
      </c>
      <c r="H6" s="93" t="s">
        <v>1514</v>
      </c>
      <c r="I6" s="93" t="s">
        <v>60</v>
      </c>
      <c r="J6" s="96" t="s">
        <v>205</v>
      </c>
      <c r="K6" s="1450" t="s">
        <v>15496</v>
      </c>
      <c r="L6" s="1450" t="s">
        <v>15495</v>
      </c>
      <c r="M6" s="94" t="s">
        <v>221</v>
      </c>
      <c r="N6" s="93" t="s">
        <v>15494</v>
      </c>
      <c r="O6" s="46" t="s">
        <v>43</v>
      </c>
      <c r="P6" s="1634" t="s">
        <v>3015</v>
      </c>
      <c r="Q6" s="98" t="s">
        <v>401</v>
      </c>
      <c r="R6" s="98" t="s">
        <v>166</v>
      </c>
      <c r="S6" s="46" t="s">
        <v>43</v>
      </c>
      <c r="T6" s="46" t="s">
        <v>43</v>
      </c>
      <c r="U6" s="46" t="s">
        <v>43</v>
      </c>
      <c r="V6" s="46" t="s">
        <v>43</v>
      </c>
      <c r="W6" s="46" t="s">
        <v>43</v>
      </c>
      <c r="X6" s="93" t="s">
        <v>1726</v>
      </c>
      <c r="Y6" s="1450" t="s">
        <v>202</v>
      </c>
      <c r="Z6" s="1505" t="s">
        <v>65</v>
      </c>
      <c r="AA6" s="219">
        <v>12800000</v>
      </c>
    </row>
    <row r="7" spans="1:27" s="83" customFormat="1" ht="15.75" customHeight="1">
      <c r="A7" s="1619"/>
      <c r="B7" s="1472"/>
      <c r="C7" s="1626"/>
      <c r="D7" s="1626"/>
      <c r="E7" s="1626"/>
      <c r="F7" s="1626"/>
      <c r="G7" s="95" t="s">
        <v>3010</v>
      </c>
      <c r="H7" s="30" t="s">
        <v>195</v>
      </c>
      <c r="I7" s="93" t="s">
        <v>168</v>
      </c>
      <c r="J7" s="99" t="s">
        <v>199</v>
      </c>
      <c r="K7" s="1619"/>
      <c r="L7" s="1619"/>
      <c r="M7" s="94" t="s">
        <v>3011</v>
      </c>
      <c r="N7" s="21" t="s">
        <v>3014</v>
      </c>
      <c r="O7" s="46" t="s">
        <v>43</v>
      </c>
      <c r="P7" s="1636"/>
      <c r="Q7" s="46" t="s">
        <v>43</v>
      </c>
      <c r="R7" s="98" t="s">
        <v>68</v>
      </c>
      <c r="S7" s="46" t="s">
        <v>43</v>
      </c>
      <c r="T7" s="46" t="s">
        <v>43</v>
      </c>
      <c r="U7" s="46" t="s">
        <v>43</v>
      </c>
      <c r="V7" s="46" t="s">
        <v>43</v>
      </c>
      <c r="W7" s="46" t="s">
        <v>43</v>
      </c>
      <c r="X7" s="93" t="s">
        <v>170</v>
      </c>
      <c r="Y7" s="1619"/>
      <c r="Z7" s="1505"/>
      <c r="AA7" s="230">
        <v>20800000</v>
      </c>
    </row>
    <row r="8" spans="1:27">
      <c r="Z8" s="214" t="s">
        <v>90</v>
      </c>
      <c r="AA8" s="290">
        <v>84160000</v>
      </c>
    </row>
    <row r="9" spans="1:27">
      <c r="AA9" s="322"/>
    </row>
    <row r="16" spans="1:27" ht="22.5">
      <c r="A16" s="1459" t="s">
        <v>14163</v>
      </c>
      <c r="B16" s="1459"/>
      <c r="C16" s="1459"/>
      <c r="D16" s="1459"/>
      <c r="E16" s="1459"/>
      <c r="F16" s="1459"/>
      <c r="G16" s="1459"/>
    </row>
    <row r="17" spans="1:27" s="12" customFormat="1" ht="19.5">
      <c r="A17" s="34" t="s">
        <v>0</v>
      </c>
      <c r="B17" s="34" t="s">
        <v>5</v>
      </c>
      <c r="C17" s="34" t="s">
        <v>2</v>
      </c>
      <c r="D17" s="34" t="s">
        <v>3</v>
      </c>
      <c r="E17" s="1445" t="s">
        <v>88</v>
      </c>
      <c r="F17" s="1446"/>
      <c r="G17" s="34" t="s">
        <v>6</v>
      </c>
      <c r="H17" s="34" t="s">
        <v>7</v>
      </c>
      <c r="I17" s="34" t="s">
        <v>8</v>
      </c>
      <c r="J17" s="34" t="s">
        <v>196</v>
      </c>
      <c r="K17" s="34" t="s">
        <v>9</v>
      </c>
      <c r="L17" s="34" t="s">
        <v>11</v>
      </c>
      <c r="M17" s="34" t="s">
        <v>12</v>
      </c>
      <c r="N17" s="34" t="s">
        <v>216</v>
      </c>
      <c r="O17" s="34" t="s">
        <v>13</v>
      </c>
      <c r="P17" s="35" t="s">
        <v>14</v>
      </c>
      <c r="Q17" s="35" t="s">
        <v>217</v>
      </c>
      <c r="R17" s="35" t="s">
        <v>16</v>
      </c>
      <c r="S17" s="34" t="s">
        <v>17</v>
      </c>
      <c r="T17" s="34" t="s">
        <v>218</v>
      </c>
      <c r="U17" s="34" t="s">
        <v>22</v>
      </c>
      <c r="V17" s="36" t="s">
        <v>23</v>
      </c>
      <c r="W17" s="34" t="s">
        <v>24</v>
      </c>
      <c r="X17" s="58" t="s">
        <v>257</v>
      </c>
      <c r="Z17"/>
      <c r="AA17"/>
    </row>
    <row r="20" spans="1:27">
      <c r="K20" s="637"/>
    </row>
    <row r="21" spans="1:27">
      <c r="K21" s="352"/>
    </row>
    <row r="22" spans="1:27" ht="5.25" customHeight="1"/>
    <row r="25" spans="1:27" ht="18">
      <c r="AA25" s="27"/>
    </row>
    <row r="26" spans="1:27" ht="18">
      <c r="AA26" s="27"/>
    </row>
  </sheetData>
  <mergeCells count="22">
    <mergeCell ref="Y2:Y5"/>
    <mergeCell ref="Z2:Z5"/>
    <mergeCell ref="Y6:Y7"/>
    <mergeCell ref="Z6:Z7"/>
    <mergeCell ref="A2:A5"/>
    <mergeCell ref="A6:A7"/>
    <mergeCell ref="B2:B5"/>
    <mergeCell ref="B6:B7"/>
    <mergeCell ref="C2:C7"/>
    <mergeCell ref="D2:D5"/>
    <mergeCell ref="L2:L5"/>
    <mergeCell ref="L6:L7"/>
    <mergeCell ref="P2:P5"/>
    <mergeCell ref="P6:P7"/>
    <mergeCell ref="K2:K5"/>
    <mergeCell ref="K6:K7"/>
    <mergeCell ref="E17:F17"/>
    <mergeCell ref="D6:D7"/>
    <mergeCell ref="E2:E5"/>
    <mergeCell ref="E6:E7"/>
    <mergeCell ref="F2:F7"/>
    <mergeCell ref="A16:G16"/>
  </mergeCells>
  <conditionalFormatting sqref="M6">
    <cfRule type="duplicateValues" dxfId="1359" priority="49"/>
  </conditionalFormatting>
  <conditionalFormatting sqref="M7 M1:M5">
    <cfRule type="duplicateValues" dxfId="1358" priority="50"/>
    <cfRule type="duplicateValues" dxfId="1357" priority="52"/>
  </conditionalFormatting>
  <conditionalFormatting sqref="N1:N2 N4 N6">
    <cfRule type="duplicateValues" dxfId="1356" priority="51"/>
  </conditionalFormatting>
  <conditionalFormatting sqref="N3">
    <cfRule type="duplicateValues" dxfId="1355" priority="48"/>
  </conditionalFormatting>
  <conditionalFormatting sqref="N5">
    <cfRule type="duplicateValues" dxfId="1354" priority="47"/>
  </conditionalFormatting>
  <conditionalFormatting sqref="N7">
    <cfRule type="duplicateValues" dxfId="1353" priority="46"/>
  </conditionalFormatting>
  <conditionalFormatting sqref="N17">
    <cfRule type="duplicateValues" dxfId="1352" priority="1"/>
    <cfRule type="duplicateValues" dxfId="1351" priority="2"/>
    <cfRule type="duplicateValues" dxfId="1350" priority="3"/>
    <cfRule type="duplicateValues" dxfId="1349" priority="4"/>
  </conditionalFormatting>
  <conditionalFormatting sqref="E17">
    <cfRule type="duplicateValues" dxfId="1348" priority="5"/>
  </conditionalFormatting>
  <conditionalFormatting sqref="K17">
    <cfRule type="duplicateValues" dxfId="1347" priority="6"/>
  </conditionalFormatting>
  <conditionalFormatting sqref="L17">
    <cfRule type="duplicateValues" dxfId="1346" priority="7"/>
  </conditionalFormatting>
  <conditionalFormatting sqref="M17">
    <cfRule type="duplicateValues" dxfId="1345" priority="8"/>
    <cfRule type="duplicateValues" dxfId="1344" priority="9"/>
    <cfRule type="duplicateValues" dxfId="1343" priority="10"/>
    <cfRule type="duplicateValues" dxfId="1342" priority="11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3"/>
  <sheetViews>
    <sheetView rightToLeft="1"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28" sqref="A28"/>
    </sheetView>
  </sheetViews>
  <sheetFormatPr defaultRowHeight="15"/>
  <cols>
    <col min="6" max="6" width="47.7109375" customWidth="1"/>
    <col min="7" max="7" width="11" bestFit="1" customWidth="1"/>
    <col min="8" max="8" width="16.5703125" customWidth="1"/>
    <col min="9" max="9" width="16" customWidth="1"/>
    <col min="10" max="10" width="30" customWidth="1"/>
    <col min="11" max="11" width="59.28515625" customWidth="1"/>
    <col min="12" max="12" width="29.85546875" customWidth="1"/>
    <col min="13" max="13" width="47" customWidth="1"/>
    <col min="14" max="14" width="74.28515625" customWidth="1"/>
    <col min="15" max="15" width="13.7109375" customWidth="1"/>
    <col min="16" max="16" width="23.140625" customWidth="1"/>
    <col min="17" max="17" width="18" customWidth="1"/>
    <col min="18" max="18" width="26.140625" customWidth="1"/>
    <col min="20" max="20" width="37.140625" customWidth="1"/>
    <col min="21" max="21" width="18.140625" customWidth="1"/>
    <col min="22" max="22" width="23.7109375" customWidth="1"/>
    <col min="23" max="23" width="34.7109375" customWidth="1"/>
    <col min="24" max="24" width="70.85546875" customWidth="1"/>
    <col min="25" max="25" width="25.7109375" customWidth="1"/>
    <col min="26" max="26" width="22.85546875" customWidth="1"/>
    <col min="27" max="27" width="13.7109375" bestFit="1" customWidth="1"/>
    <col min="28" max="28" width="10.42578125" bestFit="1" customWidth="1"/>
    <col min="29" max="29" width="11.140625" customWidth="1"/>
    <col min="30" max="30" width="38.28515625" bestFit="1" customWidth="1"/>
  </cols>
  <sheetData>
    <row r="1" spans="1:29" s="12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9" s="12" customFormat="1" ht="15.75" customHeight="1">
      <c r="A2" s="1533">
        <v>1</v>
      </c>
      <c r="B2" s="1523">
        <v>401</v>
      </c>
      <c r="C2" s="1533" t="s">
        <v>3467</v>
      </c>
      <c r="D2" s="1533" t="s">
        <v>3468</v>
      </c>
      <c r="E2" s="1533" t="s">
        <v>3468</v>
      </c>
      <c r="F2" s="1533" t="s">
        <v>2970</v>
      </c>
      <c r="G2" s="103" t="s">
        <v>3469</v>
      </c>
      <c r="H2" s="4" t="s">
        <v>28</v>
      </c>
      <c r="I2" s="1533" t="s">
        <v>2329</v>
      </c>
      <c r="J2" s="82" t="s">
        <v>197</v>
      </c>
      <c r="K2" s="1648" t="s">
        <v>3470</v>
      </c>
      <c r="L2" s="1533" t="s">
        <v>3520</v>
      </c>
      <c r="M2" s="81" t="s">
        <v>3471</v>
      </c>
      <c r="N2" s="81" t="s">
        <v>3521</v>
      </c>
      <c r="O2" s="46" t="s">
        <v>43</v>
      </c>
      <c r="P2" s="1654" t="s">
        <v>3472</v>
      </c>
      <c r="Q2" s="46" t="s">
        <v>43</v>
      </c>
      <c r="R2" s="103" t="s">
        <v>3473</v>
      </c>
      <c r="S2" s="46" t="s">
        <v>43</v>
      </c>
      <c r="T2" s="1648" t="s">
        <v>3474</v>
      </c>
      <c r="U2" s="1648" t="s">
        <v>3475</v>
      </c>
      <c r="V2" s="1641" t="s">
        <v>1534</v>
      </c>
      <c r="W2" s="103" t="s">
        <v>3476</v>
      </c>
      <c r="X2" s="1533" t="s">
        <v>3477</v>
      </c>
      <c r="Y2" s="1641" t="s">
        <v>93</v>
      </c>
      <c r="Z2" s="1641" t="s">
        <v>242</v>
      </c>
      <c r="AA2" s="230">
        <v>50440000</v>
      </c>
    </row>
    <row r="3" spans="1:29" s="12" customFormat="1" ht="15.75" customHeight="1">
      <c r="A3" s="1647"/>
      <c r="B3" s="1524"/>
      <c r="C3" s="1647"/>
      <c r="D3" s="1647"/>
      <c r="E3" s="1647"/>
      <c r="F3" s="1647"/>
      <c r="G3" s="103" t="s">
        <v>3478</v>
      </c>
      <c r="H3" s="30" t="s">
        <v>195</v>
      </c>
      <c r="I3" s="1647"/>
      <c r="J3" s="82" t="s">
        <v>204</v>
      </c>
      <c r="K3" s="1649"/>
      <c r="L3" s="1647"/>
      <c r="M3" s="81" t="s">
        <v>3479</v>
      </c>
      <c r="N3" s="21" t="s">
        <v>3522</v>
      </c>
      <c r="O3" s="46" t="s">
        <v>43</v>
      </c>
      <c r="P3" s="1655"/>
      <c r="Q3" s="46" t="s">
        <v>43</v>
      </c>
      <c r="R3" s="103" t="s">
        <v>3480</v>
      </c>
      <c r="S3" s="46" t="s">
        <v>43</v>
      </c>
      <c r="T3" s="1649"/>
      <c r="U3" s="1649"/>
      <c r="V3" s="1642"/>
      <c r="W3" s="103" t="s">
        <v>3481</v>
      </c>
      <c r="X3" s="1647"/>
      <c r="Y3" s="1642"/>
      <c r="Z3" s="1642"/>
      <c r="AA3" s="230">
        <v>36400000</v>
      </c>
    </row>
    <row r="4" spans="1:29" s="12" customFormat="1" ht="15.75" customHeight="1">
      <c r="A4" s="1647"/>
      <c r="B4" s="1524"/>
      <c r="C4" s="1647"/>
      <c r="D4" s="1647"/>
      <c r="E4" s="1647"/>
      <c r="F4" s="1647"/>
      <c r="G4" s="12">
        <v>40102372030</v>
      </c>
      <c r="H4" s="218" t="s">
        <v>7763</v>
      </c>
      <c r="I4" s="1534"/>
      <c r="J4" s="506" t="s">
        <v>204</v>
      </c>
      <c r="K4" s="1649"/>
      <c r="L4" s="1647"/>
      <c r="M4" s="81" t="s">
        <v>15163</v>
      </c>
      <c r="N4" s="111" t="s">
        <v>15166</v>
      </c>
      <c r="O4" s="46" t="s">
        <v>43</v>
      </c>
      <c r="P4" s="1655"/>
      <c r="Q4" s="46" t="s">
        <v>43</v>
      </c>
      <c r="R4" s="103" t="s">
        <v>3482</v>
      </c>
      <c r="S4" s="46" t="s">
        <v>43</v>
      </c>
      <c r="T4" s="1650"/>
      <c r="U4" s="1650"/>
      <c r="V4" s="1643"/>
      <c r="W4" s="103" t="s">
        <v>3483</v>
      </c>
      <c r="X4" s="1534"/>
      <c r="Y4" s="1642"/>
      <c r="Z4" s="1642"/>
      <c r="AA4" s="230">
        <v>44800000</v>
      </c>
      <c r="AC4" s="230"/>
    </row>
    <row r="5" spans="1:29" s="12" customFormat="1" ht="15.75" customHeight="1">
      <c r="A5" s="1647"/>
      <c r="B5" s="1524"/>
      <c r="C5" s="1647"/>
      <c r="D5" s="1647"/>
      <c r="E5" s="1647"/>
      <c r="F5" s="1647"/>
      <c r="G5" s="103" t="s">
        <v>3484</v>
      </c>
      <c r="H5" s="4" t="s">
        <v>249</v>
      </c>
      <c r="I5" s="81" t="s">
        <v>60</v>
      </c>
      <c r="J5" s="82" t="s">
        <v>204</v>
      </c>
      <c r="K5" s="1649"/>
      <c r="L5" s="1647"/>
      <c r="M5" s="1648" t="s">
        <v>15165</v>
      </c>
      <c r="N5" s="1648" t="s">
        <v>15164</v>
      </c>
      <c r="O5" s="46" t="s">
        <v>43</v>
      </c>
      <c r="P5" s="1655"/>
      <c r="Q5" s="103" t="s">
        <v>149</v>
      </c>
      <c r="R5" s="103" t="s">
        <v>156</v>
      </c>
      <c r="S5" s="46" t="s">
        <v>43</v>
      </c>
      <c r="T5" s="46" t="s">
        <v>43</v>
      </c>
      <c r="U5" s="46" t="s">
        <v>43</v>
      </c>
      <c r="V5" s="46" t="s">
        <v>43</v>
      </c>
      <c r="W5" s="46" t="s">
        <v>43</v>
      </c>
      <c r="X5" s="81" t="s">
        <v>3485</v>
      </c>
      <c r="Y5" s="1642"/>
      <c r="Z5" s="1642"/>
      <c r="AA5" s="230">
        <v>44800000</v>
      </c>
    </row>
    <row r="6" spans="1:29" s="12" customFormat="1" ht="15.75" customHeight="1">
      <c r="A6" s="1647"/>
      <c r="B6" s="1524"/>
      <c r="C6" s="1647"/>
      <c r="D6" s="1647"/>
      <c r="E6" s="1647"/>
      <c r="F6" s="1647"/>
      <c r="G6" s="134" t="s">
        <v>3486</v>
      </c>
      <c r="H6" s="4" t="s">
        <v>249</v>
      </c>
      <c r="I6" s="81" t="s">
        <v>60</v>
      </c>
      <c r="J6" s="106" t="s">
        <v>11851</v>
      </c>
      <c r="K6" s="1649"/>
      <c r="L6" s="1647"/>
      <c r="M6" s="1650"/>
      <c r="N6" s="1650"/>
      <c r="O6" s="46" t="s">
        <v>43</v>
      </c>
      <c r="P6" s="1655"/>
      <c r="Q6" s="103" t="s">
        <v>149</v>
      </c>
      <c r="R6" s="103" t="s">
        <v>158</v>
      </c>
      <c r="S6" s="46" t="s">
        <v>43</v>
      </c>
      <c r="T6" s="46" t="s">
        <v>43</v>
      </c>
      <c r="U6" s="46" t="s">
        <v>43</v>
      </c>
      <c r="V6" s="46" t="s">
        <v>43</v>
      </c>
      <c r="W6" s="46" t="s">
        <v>43</v>
      </c>
      <c r="X6" s="81" t="s">
        <v>3485</v>
      </c>
      <c r="Y6" s="1642"/>
      <c r="Z6" s="1642"/>
      <c r="AA6" s="230">
        <v>0</v>
      </c>
    </row>
    <row r="7" spans="1:29" s="12" customFormat="1" ht="15.75" customHeight="1">
      <c r="A7" s="1534"/>
      <c r="B7" s="1525"/>
      <c r="C7" s="1647"/>
      <c r="D7" s="1534"/>
      <c r="E7" s="1534"/>
      <c r="F7" s="1647"/>
      <c r="G7" s="46" t="s">
        <v>43</v>
      </c>
      <c r="H7" s="32" t="s">
        <v>84</v>
      </c>
      <c r="I7" s="21" t="s">
        <v>45</v>
      </c>
      <c r="J7" s="24" t="s">
        <v>201</v>
      </c>
      <c r="K7" s="1650"/>
      <c r="L7" s="1534"/>
      <c r="M7" s="81" t="s">
        <v>3488</v>
      </c>
      <c r="N7" s="81" t="s">
        <v>3530</v>
      </c>
      <c r="O7" s="46" t="s">
        <v>43</v>
      </c>
      <c r="P7" s="1656"/>
      <c r="Q7" s="46" t="s">
        <v>43</v>
      </c>
      <c r="R7" s="103" t="s">
        <v>48</v>
      </c>
      <c r="S7" s="46" t="s">
        <v>43</v>
      </c>
      <c r="T7" s="46" t="s">
        <v>43</v>
      </c>
      <c r="U7" s="46" t="s">
        <v>43</v>
      </c>
      <c r="V7" s="46" t="s">
        <v>43</v>
      </c>
      <c r="W7" s="103" t="s">
        <v>3177</v>
      </c>
      <c r="X7" s="81" t="s">
        <v>50</v>
      </c>
      <c r="Y7" s="1643"/>
      <c r="Z7" s="1643"/>
      <c r="AA7" s="230">
        <v>0</v>
      </c>
    </row>
    <row r="8" spans="1:29" s="12" customFormat="1" ht="15.75" customHeight="1">
      <c r="A8" s="1533">
        <v>2</v>
      </c>
      <c r="B8" s="1644">
        <v>320</v>
      </c>
      <c r="C8" s="1647"/>
      <c r="D8" s="1533" t="s">
        <v>3489</v>
      </c>
      <c r="E8" s="1533" t="s">
        <v>3489</v>
      </c>
      <c r="F8" s="1647"/>
      <c r="G8" s="103" t="s">
        <v>11849</v>
      </c>
      <c r="H8" s="81" t="s">
        <v>1514</v>
      </c>
      <c r="I8" s="81" t="s">
        <v>60</v>
      </c>
      <c r="J8" s="82" t="s">
        <v>205</v>
      </c>
      <c r="K8" s="1533" t="s">
        <v>15147</v>
      </c>
      <c r="L8" s="1533" t="s">
        <v>15148</v>
      </c>
      <c r="M8" s="84" t="s">
        <v>221</v>
      </c>
      <c r="N8" s="81" t="s">
        <v>15152</v>
      </c>
      <c r="O8" s="46" t="s">
        <v>43</v>
      </c>
      <c r="P8" s="1651" t="s">
        <v>3523</v>
      </c>
      <c r="Q8" s="103" t="s">
        <v>3490</v>
      </c>
      <c r="R8" s="103" t="s">
        <v>166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81" t="s">
        <v>167</v>
      </c>
      <c r="Y8" s="1641" t="s">
        <v>202</v>
      </c>
      <c r="Z8" s="1641" t="s">
        <v>65</v>
      </c>
      <c r="AA8" s="219">
        <v>12800000</v>
      </c>
    </row>
    <row r="9" spans="1:29" s="12" customFormat="1" ht="15.75" customHeight="1">
      <c r="A9" s="1534"/>
      <c r="B9" s="1645"/>
      <c r="C9" s="1647"/>
      <c r="D9" s="1534"/>
      <c r="E9" s="1534"/>
      <c r="F9" s="1647"/>
      <c r="G9" s="103" t="s">
        <v>3491</v>
      </c>
      <c r="H9" s="30" t="s">
        <v>195</v>
      </c>
      <c r="I9" s="81" t="s">
        <v>168</v>
      </c>
      <c r="J9" s="82" t="s">
        <v>205</v>
      </c>
      <c r="K9" s="1534"/>
      <c r="L9" s="1534"/>
      <c r="M9" s="81" t="s">
        <v>3492</v>
      </c>
      <c r="N9" s="21" t="s">
        <v>3531</v>
      </c>
      <c r="O9" s="46" t="s">
        <v>43</v>
      </c>
      <c r="P9" s="1652"/>
      <c r="Q9" s="46" t="s">
        <v>43</v>
      </c>
      <c r="R9" s="103" t="s">
        <v>68</v>
      </c>
      <c r="S9" s="46" t="s">
        <v>43</v>
      </c>
      <c r="T9" s="46" t="s">
        <v>43</v>
      </c>
      <c r="U9" s="46" t="s">
        <v>43</v>
      </c>
      <c r="V9" s="46" t="s">
        <v>43</v>
      </c>
      <c r="W9" s="46" t="s">
        <v>43</v>
      </c>
      <c r="X9" s="81" t="s">
        <v>170</v>
      </c>
      <c r="Y9" s="1642"/>
      <c r="Z9" s="1642"/>
      <c r="AA9" s="219">
        <v>10400000</v>
      </c>
    </row>
    <row r="10" spans="1:29" s="12" customFormat="1" ht="15.75" customHeight="1">
      <c r="A10" s="1533">
        <v>3</v>
      </c>
      <c r="B10" s="1644">
        <v>364</v>
      </c>
      <c r="C10" s="1647"/>
      <c r="D10" s="1533" t="s">
        <v>3493</v>
      </c>
      <c r="E10" s="1533" t="s">
        <v>3493</v>
      </c>
      <c r="F10" s="1647"/>
      <c r="G10" s="103" t="s">
        <v>3494</v>
      </c>
      <c r="H10" s="81" t="s">
        <v>1514</v>
      </c>
      <c r="I10" s="81" t="s">
        <v>60</v>
      </c>
      <c r="J10" s="82" t="s">
        <v>199</v>
      </c>
      <c r="K10" s="1533" t="s">
        <v>15149</v>
      </c>
      <c r="L10" s="1533" t="s">
        <v>15150</v>
      </c>
      <c r="M10" s="84" t="s">
        <v>221</v>
      </c>
      <c r="N10" s="81" t="s">
        <v>15151</v>
      </c>
      <c r="O10" s="46" t="s">
        <v>43</v>
      </c>
      <c r="P10" s="1651" t="s">
        <v>3524</v>
      </c>
      <c r="Q10" s="103" t="s">
        <v>3487</v>
      </c>
      <c r="R10" s="103" t="s">
        <v>166</v>
      </c>
      <c r="S10" s="46" t="s">
        <v>43</v>
      </c>
      <c r="T10" s="46" t="s">
        <v>43</v>
      </c>
      <c r="U10" s="46" t="s">
        <v>43</v>
      </c>
      <c r="V10" s="46" t="s">
        <v>43</v>
      </c>
      <c r="W10" s="46" t="s">
        <v>43</v>
      </c>
      <c r="X10" s="81" t="s">
        <v>167</v>
      </c>
      <c r="Y10" s="1641" t="s">
        <v>202</v>
      </c>
      <c r="Z10" s="1641" t="s">
        <v>65</v>
      </c>
      <c r="AA10" s="219">
        <v>25600000</v>
      </c>
    </row>
    <row r="11" spans="1:29" s="12" customFormat="1" ht="15.75" customHeight="1">
      <c r="A11" s="1647"/>
      <c r="B11" s="1646"/>
      <c r="C11" s="1647"/>
      <c r="D11" s="1647"/>
      <c r="E11" s="1647"/>
      <c r="F11" s="1647"/>
      <c r="G11" s="935" t="s">
        <v>15153</v>
      </c>
      <c r="H11" s="30" t="s">
        <v>195</v>
      </c>
      <c r="I11" s="934" t="s">
        <v>168</v>
      </c>
      <c r="J11" s="936" t="s">
        <v>205</v>
      </c>
      <c r="K11" s="1647"/>
      <c r="L11" s="1647"/>
      <c r="M11" s="934" t="s">
        <v>3495</v>
      </c>
      <c r="N11" s="931" t="s">
        <v>3532</v>
      </c>
      <c r="O11" s="932" t="s">
        <v>43</v>
      </c>
      <c r="P11" s="1653"/>
      <c r="Q11" s="932" t="s">
        <v>43</v>
      </c>
      <c r="R11" s="935" t="s">
        <v>68</v>
      </c>
      <c r="S11" s="932" t="s">
        <v>43</v>
      </c>
      <c r="T11" s="932" t="s">
        <v>43</v>
      </c>
      <c r="U11" s="932" t="s">
        <v>43</v>
      </c>
      <c r="V11" s="932" t="s">
        <v>43</v>
      </c>
      <c r="W11" s="932" t="s">
        <v>43</v>
      </c>
      <c r="X11" s="934" t="s">
        <v>170</v>
      </c>
      <c r="Y11" s="1642"/>
      <c r="Z11" s="1642"/>
      <c r="AA11" s="219">
        <v>10400000</v>
      </c>
    </row>
    <row r="12" spans="1:29" s="12" customFormat="1" ht="15.75" customHeight="1">
      <c r="A12" s="1534"/>
      <c r="B12" s="1645"/>
      <c r="C12" s="1647"/>
      <c r="D12" s="1534"/>
      <c r="E12" s="1534"/>
      <c r="F12" s="1647"/>
      <c r="G12" s="932" t="s">
        <v>43</v>
      </c>
      <c r="H12" s="934" t="s">
        <v>44</v>
      </c>
      <c r="I12" s="934" t="s">
        <v>45</v>
      </c>
      <c r="J12" s="933" t="s">
        <v>201</v>
      </c>
      <c r="K12" s="1534"/>
      <c r="L12" s="1534"/>
      <c r="M12" s="934" t="s">
        <v>15725</v>
      </c>
      <c r="N12" s="934" t="s">
        <v>15724</v>
      </c>
      <c r="O12" s="932" t="s">
        <v>43</v>
      </c>
      <c r="P12" s="1652"/>
      <c r="Q12" s="932" t="s">
        <v>43</v>
      </c>
      <c r="R12" s="935" t="s">
        <v>48</v>
      </c>
      <c r="S12" s="932" t="s">
        <v>43</v>
      </c>
      <c r="T12" s="932" t="s">
        <v>43</v>
      </c>
      <c r="U12" s="932" t="s">
        <v>43</v>
      </c>
      <c r="V12" s="932" t="s">
        <v>43</v>
      </c>
      <c r="W12" s="935" t="s">
        <v>1876</v>
      </c>
      <c r="X12" s="934" t="s">
        <v>50</v>
      </c>
      <c r="Y12" s="1642"/>
      <c r="Z12" s="1643"/>
      <c r="AA12" s="230">
        <v>0</v>
      </c>
    </row>
    <row r="13" spans="1:29" s="12" customFormat="1" ht="15.75" customHeight="1">
      <c r="A13" s="1533">
        <v>4</v>
      </c>
      <c r="B13" s="1644">
        <v>415</v>
      </c>
      <c r="C13" s="1647"/>
      <c r="D13" s="1533" t="s">
        <v>3496</v>
      </c>
      <c r="E13" s="1533" t="s">
        <v>3496</v>
      </c>
      <c r="F13" s="1647"/>
      <c r="G13" s="103">
        <v>543145</v>
      </c>
      <c r="H13" s="81" t="s">
        <v>1514</v>
      </c>
      <c r="I13" s="81" t="s">
        <v>60</v>
      </c>
      <c r="J13" s="82" t="s">
        <v>199</v>
      </c>
      <c r="K13" s="1533" t="s">
        <v>15154</v>
      </c>
      <c r="L13" s="1533" t="s">
        <v>15155</v>
      </c>
      <c r="M13" s="84" t="s">
        <v>221</v>
      </c>
      <c r="N13" s="81" t="s">
        <v>15159</v>
      </c>
      <c r="O13" s="46" t="s">
        <v>43</v>
      </c>
      <c r="P13" s="1651" t="s">
        <v>3525</v>
      </c>
      <c r="Q13" s="103" t="s">
        <v>3497</v>
      </c>
      <c r="R13" s="103" t="s">
        <v>166</v>
      </c>
      <c r="S13" s="46" t="s">
        <v>43</v>
      </c>
      <c r="T13" s="46" t="s">
        <v>43</v>
      </c>
      <c r="U13" s="46" t="s">
        <v>43</v>
      </c>
      <c r="V13" s="46" t="s">
        <v>43</v>
      </c>
      <c r="W13" s="46" t="s">
        <v>43</v>
      </c>
      <c r="X13" s="81" t="s">
        <v>167</v>
      </c>
      <c r="Y13" s="1641" t="s">
        <v>202</v>
      </c>
      <c r="Z13" s="1641" t="s">
        <v>65</v>
      </c>
      <c r="AA13" s="219">
        <v>25600000</v>
      </c>
    </row>
    <row r="14" spans="1:29" s="12" customFormat="1" ht="15.75" customHeight="1">
      <c r="A14" s="1534"/>
      <c r="B14" s="1645"/>
      <c r="C14" s="1647"/>
      <c r="D14" s="1534"/>
      <c r="E14" s="1534"/>
      <c r="F14" s="1647"/>
      <c r="G14" s="103">
        <v>592061</v>
      </c>
      <c r="H14" s="30" t="s">
        <v>195</v>
      </c>
      <c r="I14" s="81" t="s">
        <v>168</v>
      </c>
      <c r="J14" s="82" t="s">
        <v>205</v>
      </c>
      <c r="K14" s="1534"/>
      <c r="L14" s="1534"/>
      <c r="M14" s="81" t="s">
        <v>3498</v>
      </c>
      <c r="N14" s="21" t="s">
        <v>3533</v>
      </c>
      <c r="O14" s="46" t="s">
        <v>43</v>
      </c>
      <c r="P14" s="1652"/>
      <c r="Q14" s="46" t="s">
        <v>43</v>
      </c>
      <c r="R14" s="103" t="s">
        <v>68</v>
      </c>
      <c r="S14" s="46" t="s">
        <v>43</v>
      </c>
      <c r="T14" s="46" t="s">
        <v>43</v>
      </c>
      <c r="U14" s="46" t="s">
        <v>43</v>
      </c>
      <c r="V14" s="46" t="s">
        <v>43</v>
      </c>
      <c r="W14" s="46" t="s">
        <v>43</v>
      </c>
      <c r="X14" s="81" t="s">
        <v>170</v>
      </c>
      <c r="Y14" s="1642"/>
      <c r="Z14" s="1643"/>
      <c r="AA14" s="219">
        <v>10400000</v>
      </c>
    </row>
    <row r="15" spans="1:29" s="12" customFormat="1" ht="15.75" customHeight="1">
      <c r="A15" s="1533">
        <v>5</v>
      </c>
      <c r="B15" s="1644">
        <v>416</v>
      </c>
      <c r="C15" s="1647"/>
      <c r="D15" s="1533" t="s">
        <v>3499</v>
      </c>
      <c r="E15" s="1533" t="s">
        <v>3499</v>
      </c>
      <c r="F15" s="1647"/>
      <c r="G15" s="103">
        <v>547458</v>
      </c>
      <c r="H15" s="81" t="s">
        <v>1514</v>
      </c>
      <c r="I15" s="81" t="s">
        <v>60</v>
      </c>
      <c r="J15" s="82" t="s">
        <v>205</v>
      </c>
      <c r="K15" s="1533" t="s">
        <v>15157</v>
      </c>
      <c r="L15" s="1533" t="s">
        <v>15156</v>
      </c>
      <c r="M15" s="84" t="s">
        <v>221</v>
      </c>
      <c r="N15" s="81" t="s">
        <v>15158</v>
      </c>
      <c r="O15" s="46" t="s">
        <v>43</v>
      </c>
      <c r="P15" s="1651" t="s">
        <v>3526</v>
      </c>
      <c r="Q15" s="103" t="s">
        <v>3500</v>
      </c>
      <c r="R15" s="103" t="s">
        <v>166</v>
      </c>
      <c r="S15" s="46" t="s">
        <v>43</v>
      </c>
      <c r="T15" s="46" t="s">
        <v>43</v>
      </c>
      <c r="U15" s="46" t="s">
        <v>43</v>
      </c>
      <c r="V15" s="46" t="s">
        <v>43</v>
      </c>
      <c r="W15" s="46" t="s">
        <v>43</v>
      </c>
      <c r="X15" s="81" t="s">
        <v>167</v>
      </c>
      <c r="Y15" s="1641" t="s">
        <v>202</v>
      </c>
      <c r="Z15" s="1641" t="s">
        <v>65</v>
      </c>
      <c r="AA15" s="219">
        <v>12800000</v>
      </c>
    </row>
    <row r="16" spans="1:29" s="12" customFormat="1" ht="15.75" customHeight="1">
      <c r="A16" s="1534"/>
      <c r="B16" s="1645"/>
      <c r="C16" s="1647"/>
      <c r="D16" s="1534"/>
      <c r="E16" s="1534"/>
      <c r="F16" s="1647"/>
      <c r="G16" s="103">
        <v>592063</v>
      </c>
      <c r="H16" s="30" t="s">
        <v>195</v>
      </c>
      <c r="I16" s="81" t="s">
        <v>168</v>
      </c>
      <c r="J16" s="82" t="s">
        <v>205</v>
      </c>
      <c r="K16" s="1534"/>
      <c r="L16" s="1534"/>
      <c r="M16" s="81" t="s">
        <v>3501</v>
      </c>
      <c r="N16" s="21" t="s">
        <v>3534</v>
      </c>
      <c r="O16" s="46" t="s">
        <v>43</v>
      </c>
      <c r="P16" s="1652"/>
      <c r="Q16" s="46" t="s">
        <v>43</v>
      </c>
      <c r="R16" s="103" t="s">
        <v>68</v>
      </c>
      <c r="S16" s="46" t="s">
        <v>43</v>
      </c>
      <c r="T16" s="46" t="s">
        <v>43</v>
      </c>
      <c r="U16" s="46" t="s">
        <v>43</v>
      </c>
      <c r="V16" s="46" t="s">
        <v>43</v>
      </c>
      <c r="W16" s="46" t="s">
        <v>43</v>
      </c>
      <c r="X16" s="81" t="s">
        <v>170</v>
      </c>
      <c r="Y16" s="1642"/>
      <c r="Z16" s="1643"/>
      <c r="AA16" s="219">
        <v>10400000</v>
      </c>
    </row>
    <row r="17" spans="1:27" s="12" customFormat="1" ht="15.75" customHeight="1">
      <c r="A17" s="1533">
        <v>7</v>
      </c>
      <c r="B17" s="1644">
        <v>488</v>
      </c>
      <c r="C17" s="1647"/>
      <c r="D17" s="1533" t="s">
        <v>3489</v>
      </c>
      <c r="E17" s="1533" t="s">
        <v>3509</v>
      </c>
      <c r="F17" s="1647"/>
      <c r="G17" s="103">
        <v>543647</v>
      </c>
      <c r="H17" s="81" t="s">
        <v>1514</v>
      </c>
      <c r="I17" s="81" t="s">
        <v>60</v>
      </c>
      <c r="J17" s="82" t="s">
        <v>205</v>
      </c>
      <c r="K17" s="1533" t="s">
        <v>3510</v>
      </c>
      <c r="L17" s="1533" t="s">
        <v>3511</v>
      </c>
      <c r="M17" s="84" t="s">
        <v>221</v>
      </c>
      <c r="N17" s="81" t="s">
        <v>15162</v>
      </c>
      <c r="O17" s="46" t="s">
        <v>43</v>
      </c>
      <c r="P17" s="1651" t="s">
        <v>3528</v>
      </c>
      <c r="Q17" s="103" t="s">
        <v>3512</v>
      </c>
      <c r="R17" s="103" t="s">
        <v>166</v>
      </c>
      <c r="S17" s="46" t="s">
        <v>43</v>
      </c>
      <c r="T17" s="46" t="s">
        <v>43</v>
      </c>
      <c r="U17" s="46" t="s">
        <v>43</v>
      </c>
      <c r="V17" s="46" t="s">
        <v>43</v>
      </c>
      <c r="W17" s="46" t="s">
        <v>43</v>
      </c>
      <c r="X17" s="81" t="s">
        <v>167</v>
      </c>
      <c r="Y17" s="1641" t="s">
        <v>202</v>
      </c>
      <c r="Z17" s="1641" t="s">
        <v>65</v>
      </c>
      <c r="AA17" s="219">
        <v>12800000</v>
      </c>
    </row>
    <row r="18" spans="1:27" s="12" customFormat="1" ht="15.75" customHeight="1">
      <c r="A18" s="1534"/>
      <c r="B18" s="1645"/>
      <c r="C18" s="1647"/>
      <c r="D18" s="1534"/>
      <c r="E18" s="1534"/>
      <c r="F18" s="1647"/>
      <c r="G18" s="103">
        <v>592066</v>
      </c>
      <c r="H18" s="30" t="s">
        <v>195</v>
      </c>
      <c r="I18" s="81" t="s">
        <v>168</v>
      </c>
      <c r="J18" s="82" t="s">
        <v>205</v>
      </c>
      <c r="K18" s="1534"/>
      <c r="L18" s="1534"/>
      <c r="M18" s="81" t="s">
        <v>3513</v>
      </c>
      <c r="N18" s="21" t="s">
        <v>3536</v>
      </c>
      <c r="O18" s="46" t="s">
        <v>43</v>
      </c>
      <c r="P18" s="1652"/>
      <c r="Q18" s="46" t="s">
        <v>43</v>
      </c>
      <c r="R18" s="103" t="s">
        <v>68</v>
      </c>
      <c r="S18" s="46" t="s">
        <v>43</v>
      </c>
      <c r="T18" s="46" t="s">
        <v>43</v>
      </c>
      <c r="U18" s="46" t="s">
        <v>43</v>
      </c>
      <c r="V18" s="46" t="s">
        <v>43</v>
      </c>
      <c r="W18" s="46" t="s">
        <v>43</v>
      </c>
      <c r="X18" s="81" t="s">
        <v>170</v>
      </c>
      <c r="Y18" s="1642"/>
      <c r="Z18" s="1643"/>
      <c r="AA18" s="219">
        <v>10400000</v>
      </c>
    </row>
    <row r="19" spans="1:27">
      <c r="Z19" s="214" t="s">
        <v>90</v>
      </c>
      <c r="AA19" s="290">
        <v>359200000</v>
      </c>
    </row>
    <row r="20" spans="1:27" ht="18">
      <c r="AA20" s="27"/>
    </row>
    <row r="21" spans="1:27" ht="18">
      <c r="AA21" s="27"/>
    </row>
    <row r="22" spans="1:27" ht="22.5">
      <c r="A22" s="1459" t="s">
        <v>14163</v>
      </c>
      <c r="B22" s="1459"/>
      <c r="C22" s="1459"/>
      <c r="D22" s="1459"/>
      <c r="E22" s="1459"/>
      <c r="F22" s="1459"/>
      <c r="G22" s="1459"/>
    </row>
    <row r="23" spans="1:27" s="12" customFormat="1" ht="19.5">
      <c r="A23" s="34" t="s">
        <v>0</v>
      </c>
      <c r="B23" s="34" t="s">
        <v>5</v>
      </c>
      <c r="C23" s="34" t="s">
        <v>2</v>
      </c>
      <c r="D23" s="34" t="s">
        <v>3</v>
      </c>
      <c r="E23" s="1445" t="s">
        <v>88</v>
      </c>
      <c r="F23" s="1446"/>
      <c r="G23" s="34" t="s">
        <v>6</v>
      </c>
      <c r="H23" s="34" t="s">
        <v>7</v>
      </c>
      <c r="I23" s="34" t="s">
        <v>8</v>
      </c>
      <c r="J23" s="34" t="s">
        <v>196</v>
      </c>
      <c r="K23" s="34" t="s">
        <v>9</v>
      </c>
      <c r="L23" s="34" t="s">
        <v>11</v>
      </c>
      <c r="M23" s="34" t="s">
        <v>12</v>
      </c>
      <c r="N23" s="34" t="s">
        <v>216</v>
      </c>
      <c r="O23" s="34" t="s">
        <v>13</v>
      </c>
      <c r="P23" s="35" t="s">
        <v>14</v>
      </c>
      <c r="Q23" s="35" t="s">
        <v>217</v>
      </c>
      <c r="R23" s="35" t="s">
        <v>16</v>
      </c>
      <c r="S23" s="34" t="s">
        <v>17</v>
      </c>
      <c r="T23" s="34" t="s">
        <v>218</v>
      </c>
      <c r="U23" s="34" t="s">
        <v>22</v>
      </c>
      <c r="V23" s="36" t="s">
        <v>23</v>
      </c>
      <c r="W23" s="34" t="s">
        <v>24</v>
      </c>
      <c r="X23" s="58" t="s">
        <v>257</v>
      </c>
      <c r="Z23"/>
      <c r="AA23"/>
    </row>
    <row r="24" spans="1:27" s="102" customFormat="1" ht="18">
      <c r="A24" s="872">
        <v>1</v>
      </c>
      <c r="B24" s="875" t="s">
        <v>3467</v>
      </c>
      <c r="C24" s="875" t="s">
        <v>3467</v>
      </c>
      <c r="D24" s="873" t="s">
        <v>3489</v>
      </c>
      <c r="E24" s="1640" t="s">
        <v>3538</v>
      </c>
      <c r="F24" s="1640"/>
      <c r="G24" s="872">
        <v>9702087220</v>
      </c>
      <c r="H24" s="872" t="s">
        <v>335</v>
      </c>
      <c r="I24" s="872" t="s">
        <v>168</v>
      </c>
      <c r="J24" s="874" t="s">
        <v>7738</v>
      </c>
      <c r="K24" s="872" t="s">
        <v>3539</v>
      </c>
      <c r="L24" s="873" t="s">
        <v>3540</v>
      </c>
      <c r="M24" s="873" t="s">
        <v>3541</v>
      </c>
      <c r="N24" s="835" t="s">
        <v>43</v>
      </c>
      <c r="O24" s="835" t="s">
        <v>43</v>
      </c>
      <c r="P24" s="835" t="s">
        <v>43</v>
      </c>
      <c r="Q24" s="835" t="s">
        <v>43</v>
      </c>
      <c r="R24" s="835" t="s">
        <v>43</v>
      </c>
      <c r="S24" s="835" t="s">
        <v>43</v>
      </c>
      <c r="T24" s="872" t="s">
        <v>68</v>
      </c>
      <c r="U24" s="872" t="s">
        <v>1504</v>
      </c>
      <c r="V24" s="876" t="s">
        <v>202</v>
      </c>
      <c r="W24" s="835" t="s">
        <v>43</v>
      </c>
      <c r="X24" s="230">
        <v>6000000</v>
      </c>
      <c r="Z24"/>
      <c r="AA24"/>
    </row>
    <row r="25" spans="1:27">
      <c r="J25" s="877" t="s">
        <v>90</v>
      </c>
      <c r="X25" s="255">
        <f>SUM(X24:X24)</f>
        <v>6000000</v>
      </c>
    </row>
    <row r="27" spans="1:27" ht="15.75">
      <c r="X27" s="46"/>
    </row>
    <row r="30" spans="1:27">
      <c r="F30" s="637" t="s">
        <v>12013</v>
      </c>
    </row>
    <row r="31" spans="1:27">
      <c r="F31" s="912" t="s">
        <v>15618</v>
      </c>
    </row>
    <row r="32" spans="1:27">
      <c r="F32" s="912" t="s">
        <v>16121</v>
      </c>
    </row>
    <row r="33" spans="6:6">
      <c r="F33" s="636"/>
    </row>
  </sheetData>
  <mergeCells count="66">
    <mergeCell ref="V2:V4"/>
    <mergeCell ref="X2:X4"/>
    <mergeCell ref="M5:M6"/>
    <mergeCell ref="N5:N6"/>
    <mergeCell ref="T2:T4"/>
    <mergeCell ref="U2:U4"/>
    <mergeCell ref="P2:P7"/>
    <mergeCell ref="P15:P16"/>
    <mergeCell ref="K17:K18"/>
    <mergeCell ref="L15:L16"/>
    <mergeCell ref="L17:L18"/>
    <mergeCell ref="P17:P18"/>
    <mergeCell ref="K15:K16"/>
    <mergeCell ref="L2:L7"/>
    <mergeCell ref="L10:L12"/>
    <mergeCell ref="L13:L14"/>
    <mergeCell ref="L8:L9"/>
    <mergeCell ref="P8:P9"/>
    <mergeCell ref="P10:P12"/>
    <mergeCell ref="P13:P14"/>
    <mergeCell ref="E2:E7"/>
    <mergeCell ref="E8:E9"/>
    <mergeCell ref="E10:E12"/>
    <mergeCell ref="E15:E16"/>
    <mergeCell ref="E13:E14"/>
    <mergeCell ref="B17:B18"/>
    <mergeCell ref="A2:A7"/>
    <mergeCell ref="A8:A9"/>
    <mergeCell ref="A10:A12"/>
    <mergeCell ref="A13:A14"/>
    <mergeCell ref="A15:A16"/>
    <mergeCell ref="A17:A18"/>
    <mergeCell ref="B13:B14"/>
    <mergeCell ref="B15:B16"/>
    <mergeCell ref="Y15:Y16"/>
    <mergeCell ref="Z15:Z16"/>
    <mergeCell ref="C2:C18"/>
    <mergeCell ref="D2:D7"/>
    <mergeCell ref="D8:D9"/>
    <mergeCell ref="D10:D12"/>
    <mergeCell ref="D13:D14"/>
    <mergeCell ref="D15:D16"/>
    <mergeCell ref="D17:D18"/>
    <mergeCell ref="E17:E18"/>
    <mergeCell ref="F2:F18"/>
    <mergeCell ref="I2:I4"/>
    <mergeCell ref="K2:K7"/>
    <mergeCell ref="K8:K9"/>
    <mergeCell ref="K10:K12"/>
    <mergeCell ref="K13:K14"/>
    <mergeCell ref="A22:G22"/>
    <mergeCell ref="E23:F23"/>
    <mergeCell ref="E24:F24"/>
    <mergeCell ref="Y2:Y7"/>
    <mergeCell ref="Z2:Z7"/>
    <mergeCell ref="Y8:Y9"/>
    <mergeCell ref="Z8:Z9"/>
    <mergeCell ref="Y10:Y12"/>
    <mergeCell ref="Z10:Z12"/>
    <mergeCell ref="Y17:Y18"/>
    <mergeCell ref="Z17:Z18"/>
    <mergeCell ref="B2:B7"/>
    <mergeCell ref="B8:B9"/>
    <mergeCell ref="B10:B12"/>
    <mergeCell ref="Y13:Y14"/>
    <mergeCell ref="Z13:Z14"/>
  </mergeCells>
  <conditionalFormatting sqref="N3">
    <cfRule type="duplicateValues" dxfId="1341" priority="88"/>
  </conditionalFormatting>
  <conditionalFormatting sqref="N8">
    <cfRule type="duplicateValues" dxfId="1340" priority="97"/>
  </conditionalFormatting>
  <conditionalFormatting sqref="N9">
    <cfRule type="duplicateValues" dxfId="1339" priority="87"/>
  </conditionalFormatting>
  <conditionalFormatting sqref="N10">
    <cfRule type="duplicateValues" dxfId="1338" priority="96"/>
  </conditionalFormatting>
  <conditionalFormatting sqref="N13">
    <cfRule type="duplicateValues" dxfId="1337" priority="95"/>
  </conditionalFormatting>
  <conditionalFormatting sqref="N14">
    <cfRule type="duplicateValues" dxfId="1336" priority="85"/>
  </conditionalFormatting>
  <conditionalFormatting sqref="N15">
    <cfRule type="duplicateValues" dxfId="1335" priority="94"/>
  </conditionalFormatting>
  <conditionalFormatting sqref="N16">
    <cfRule type="duplicateValues" dxfId="1334" priority="84"/>
  </conditionalFormatting>
  <conditionalFormatting sqref="N17">
    <cfRule type="duplicateValues" dxfId="1333" priority="91"/>
  </conditionalFormatting>
  <conditionalFormatting sqref="N18">
    <cfRule type="duplicateValues" dxfId="1332" priority="81"/>
  </conditionalFormatting>
  <conditionalFormatting sqref="N23">
    <cfRule type="duplicateValues" dxfId="1331" priority="27"/>
    <cfRule type="duplicateValues" dxfId="1330" priority="28"/>
    <cfRule type="duplicateValues" dxfId="1329" priority="29"/>
    <cfRule type="duplicateValues" dxfId="1328" priority="30"/>
  </conditionalFormatting>
  <conditionalFormatting sqref="E23">
    <cfRule type="duplicateValues" dxfId="1327" priority="31"/>
  </conditionalFormatting>
  <conditionalFormatting sqref="K23">
    <cfRule type="duplicateValues" dxfId="1326" priority="32"/>
  </conditionalFormatting>
  <conditionalFormatting sqref="L23">
    <cfRule type="duplicateValues" dxfId="1325" priority="33"/>
  </conditionalFormatting>
  <conditionalFormatting sqref="M23">
    <cfRule type="duplicateValues" dxfId="1324" priority="34"/>
    <cfRule type="duplicateValues" dxfId="1323" priority="35"/>
    <cfRule type="duplicateValues" dxfId="1322" priority="36"/>
    <cfRule type="duplicateValues" dxfId="1321" priority="37"/>
  </conditionalFormatting>
  <conditionalFormatting sqref="E24">
    <cfRule type="duplicateValues" dxfId="1320" priority="26"/>
  </conditionalFormatting>
  <conditionalFormatting sqref="K24">
    <cfRule type="duplicateValues" dxfId="1319" priority="20"/>
  </conditionalFormatting>
  <conditionalFormatting sqref="L24">
    <cfRule type="duplicateValues" dxfId="1318" priority="25"/>
  </conditionalFormatting>
  <conditionalFormatting sqref="M24">
    <cfRule type="duplicateValues" dxfId="1317" priority="21"/>
    <cfRule type="duplicateValues" dxfId="1316" priority="22"/>
    <cfRule type="duplicateValues" dxfId="1315" priority="23"/>
    <cfRule type="duplicateValues" dxfId="1314" priority="24"/>
  </conditionalFormatting>
  <conditionalFormatting sqref="F31">
    <cfRule type="duplicateValues" dxfId="1313" priority="11"/>
  </conditionalFormatting>
  <conditionalFormatting sqref="F33">
    <cfRule type="duplicateValues" dxfId="1312" priority="8"/>
  </conditionalFormatting>
  <conditionalFormatting sqref="M11">
    <cfRule type="duplicateValues" dxfId="1311" priority="6"/>
    <cfRule type="duplicateValues" dxfId="1310" priority="7"/>
  </conditionalFormatting>
  <conditionalFormatting sqref="N11">
    <cfRule type="duplicateValues" dxfId="1309" priority="5"/>
  </conditionalFormatting>
  <conditionalFormatting sqref="M12">
    <cfRule type="duplicateValues" dxfId="1308" priority="2"/>
    <cfRule type="duplicateValues" dxfId="1307" priority="4"/>
  </conditionalFormatting>
  <conditionalFormatting sqref="N12">
    <cfRule type="duplicateValues" dxfId="1306" priority="3"/>
  </conditionalFormatting>
  <conditionalFormatting sqref="F32">
    <cfRule type="duplicateValues" dxfId="1305" priority="1"/>
  </conditionalFormatting>
  <conditionalFormatting sqref="M18 M9 M14 M16 M1:M5 M7">
    <cfRule type="duplicateValues" dxfId="1304" priority="4429"/>
    <cfRule type="duplicateValues" dxfId="1303" priority="4430"/>
  </conditionalFormatting>
  <conditionalFormatting sqref="N1:N2 N4:N5 N7">
    <cfRule type="duplicateValues" dxfId="1302" priority="4443"/>
  </conditionalFormatting>
  <pageMargins left="0.7" right="0.7" top="0.75" bottom="0.75" header="0.3" footer="0.3"/>
  <pageSetup orientation="portrait" r:id="rId1"/>
  <colBreaks count="1" manualBreakCount="1">
    <brk id="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4"/>
  <sheetViews>
    <sheetView rightToLeft="1" zoomScaleNormal="100" workbookViewId="0">
      <pane xSplit="10" topLeftCell="M1" activePane="topRight" state="frozen"/>
      <selection pane="topRight" activeCell="G7" sqref="A6:XFD7"/>
    </sheetView>
  </sheetViews>
  <sheetFormatPr defaultRowHeight="15"/>
  <cols>
    <col min="5" max="5" width="17.7109375" customWidth="1"/>
    <col min="8" max="8" width="14.42578125" customWidth="1"/>
    <col min="9" max="9" width="20.140625" customWidth="1"/>
    <col min="11" max="13" width="32.7109375" customWidth="1"/>
    <col min="14" max="14" width="98.85546875" customWidth="1"/>
    <col min="15" max="15" width="10.85546875" customWidth="1"/>
    <col min="16" max="16" width="27.140625" customWidth="1"/>
    <col min="17" max="17" width="20.42578125" customWidth="1"/>
    <col min="18" max="18" width="24.140625" customWidth="1"/>
    <col min="19" max="19" width="17" customWidth="1"/>
    <col min="20" max="20" width="23.140625" customWidth="1"/>
    <col min="21" max="21" width="21.140625" customWidth="1"/>
    <col min="22" max="22" width="17.28515625" customWidth="1"/>
    <col min="23" max="23" width="25.140625" customWidth="1"/>
    <col min="24" max="24" width="37.42578125" customWidth="1"/>
    <col min="25" max="25" width="19.7109375" customWidth="1"/>
    <col min="26" max="26" width="24.140625" customWidth="1"/>
    <col min="27" max="27" width="13.7109375" bestFit="1" customWidth="1"/>
  </cols>
  <sheetData>
    <row r="1" spans="1:27" s="27" customFormat="1" ht="19.5">
      <c r="A1" s="32" t="s">
        <v>0</v>
      </c>
      <c r="B1" s="158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63" t="s">
        <v>6</v>
      </c>
      <c r="H1" s="32" t="s">
        <v>7</v>
      </c>
      <c r="I1" s="32" t="s">
        <v>8</v>
      </c>
      <c r="J1" s="47" t="s">
        <v>233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  <c r="P1" s="47" t="s">
        <v>14</v>
      </c>
      <c r="Q1" s="63" t="s">
        <v>15</v>
      </c>
      <c r="R1" s="63" t="s">
        <v>16</v>
      </c>
      <c r="S1" s="63" t="s">
        <v>17</v>
      </c>
      <c r="T1" s="32" t="s">
        <v>18</v>
      </c>
      <c r="U1" s="32" t="s">
        <v>19</v>
      </c>
      <c r="V1" s="32" t="s">
        <v>20</v>
      </c>
      <c r="W1" s="63" t="s">
        <v>21</v>
      </c>
      <c r="X1" s="32" t="s">
        <v>22</v>
      </c>
      <c r="Y1" s="63" t="s">
        <v>23</v>
      </c>
      <c r="Z1" s="63" t="s">
        <v>24</v>
      </c>
      <c r="AA1" s="49" t="s">
        <v>9184</v>
      </c>
    </row>
    <row r="2" spans="1:27" s="27" customFormat="1" ht="15.75" customHeight="1">
      <c r="A2" s="1422">
        <v>1</v>
      </c>
      <c r="B2" s="1523">
        <v>372</v>
      </c>
      <c r="C2" s="1422" t="s">
        <v>3742</v>
      </c>
      <c r="D2" s="1422" t="s">
        <v>3742</v>
      </c>
      <c r="E2" s="1422" t="s">
        <v>3742</v>
      </c>
      <c r="F2" s="1657" t="s">
        <v>235</v>
      </c>
      <c r="G2" s="64" t="s">
        <v>4765</v>
      </c>
      <c r="H2" s="32" t="s">
        <v>28</v>
      </c>
      <c r="I2" s="32" t="s">
        <v>60</v>
      </c>
      <c r="J2" s="82" t="s">
        <v>204</v>
      </c>
      <c r="K2" s="1517" t="s">
        <v>15174</v>
      </c>
      <c r="L2" s="1422" t="s">
        <v>15175</v>
      </c>
      <c r="M2" s="48" t="s">
        <v>4766</v>
      </c>
      <c r="N2" s="48" t="s">
        <v>4788</v>
      </c>
      <c r="O2" s="46" t="s">
        <v>43</v>
      </c>
      <c r="P2" s="1665" t="s">
        <v>4767</v>
      </c>
      <c r="Q2" s="46" t="s">
        <v>43</v>
      </c>
      <c r="R2" s="63" t="s">
        <v>4768</v>
      </c>
      <c r="S2" s="46" t="s">
        <v>43</v>
      </c>
      <c r="T2" s="46" t="s">
        <v>43</v>
      </c>
      <c r="U2" s="46" t="s">
        <v>43</v>
      </c>
      <c r="V2" s="46" t="s">
        <v>43</v>
      </c>
      <c r="W2" s="63" t="s">
        <v>4769</v>
      </c>
      <c r="X2" s="32" t="s">
        <v>170</v>
      </c>
      <c r="Y2" s="1422" t="s">
        <v>93</v>
      </c>
      <c r="Z2" s="1529" t="s">
        <v>242</v>
      </c>
      <c r="AA2" s="230">
        <v>36400000</v>
      </c>
    </row>
    <row r="3" spans="1:27" s="27" customFormat="1" ht="15.75" customHeight="1">
      <c r="A3" s="1423"/>
      <c r="B3" s="1524"/>
      <c r="C3" s="1423"/>
      <c r="D3" s="1423"/>
      <c r="E3" s="1423"/>
      <c r="F3" s="1658"/>
      <c r="G3" s="64" t="s">
        <v>4770</v>
      </c>
      <c r="H3" s="30" t="s">
        <v>195</v>
      </c>
      <c r="I3" s="32" t="s">
        <v>108</v>
      </c>
      <c r="J3" s="47" t="s">
        <v>199</v>
      </c>
      <c r="K3" s="1518"/>
      <c r="L3" s="1423"/>
      <c r="M3" s="48" t="s">
        <v>4771</v>
      </c>
      <c r="N3" s="21" t="s">
        <v>4789</v>
      </c>
      <c r="O3" s="46" t="s">
        <v>43</v>
      </c>
      <c r="P3" s="1666"/>
      <c r="Q3" s="46" t="s">
        <v>43</v>
      </c>
      <c r="R3" s="63" t="s">
        <v>246</v>
      </c>
      <c r="S3" s="46" t="s">
        <v>43</v>
      </c>
      <c r="T3" s="46" t="s">
        <v>43</v>
      </c>
      <c r="U3" s="46" t="s">
        <v>43</v>
      </c>
      <c r="V3" s="46" t="s">
        <v>43</v>
      </c>
      <c r="W3" s="63" t="s">
        <v>1510</v>
      </c>
      <c r="X3" s="32" t="s">
        <v>170</v>
      </c>
      <c r="Y3" s="1423"/>
      <c r="Z3" s="1530"/>
      <c r="AA3" s="230">
        <v>20800000</v>
      </c>
    </row>
    <row r="4" spans="1:27" s="27" customFormat="1" ht="15.75" customHeight="1">
      <c r="A4" s="1423"/>
      <c r="B4" s="1524"/>
      <c r="C4" s="1423"/>
      <c r="D4" s="1423"/>
      <c r="E4" s="1423"/>
      <c r="F4" s="1658"/>
      <c r="G4" s="64" t="s">
        <v>4772</v>
      </c>
      <c r="H4" s="32" t="s">
        <v>40</v>
      </c>
      <c r="I4" s="32" t="s">
        <v>108</v>
      </c>
      <c r="J4" s="82" t="s">
        <v>204</v>
      </c>
      <c r="K4" s="1518"/>
      <c r="L4" s="1423"/>
      <c r="M4" s="48" t="s">
        <v>15170</v>
      </c>
      <c r="N4" s="101" t="s">
        <v>4792</v>
      </c>
      <c r="O4" s="46" t="s">
        <v>43</v>
      </c>
      <c r="P4" s="1666"/>
      <c r="Q4" s="46" t="s">
        <v>43</v>
      </c>
      <c r="R4" s="63" t="s">
        <v>315</v>
      </c>
      <c r="S4" s="63" t="s">
        <v>438</v>
      </c>
      <c r="T4" s="46" t="s">
        <v>43</v>
      </c>
      <c r="U4" s="46" t="s">
        <v>43</v>
      </c>
      <c r="V4" s="46" t="s">
        <v>43</v>
      </c>
      <c r="W4" s="46" t="s">
        <v>43</v>
      </c>
      <c r="X4" s="32" t="s">
        <v>299</v>
      </c>
      <c r="Y4" s="1423"/>
      <c r="Z4" s="1530"/>
      <c r="AA4" s="230">
        <v>0</v>
      </c>
    </row>
    <row r="5" spans="1:27" s="27" customFormat="1" ht="15.75" customHeight="1">
      <c r="A5" s="1508"/>
      <c r="B5" s="1525"/>
      <c r="C5" s="1423"/>
      <c r="D5" s="1423"/>
      <c r="E5" s="1508"/>
      <c r="F5" s="1658"/>
      <c r="G5" s="46" t="s">
        <v>43</v>
      </c>
      <c r="H5" s="795" t="s">
        <v>15176</v>
      </c>
      <c r="I5" s="32" t="s">
        <v>45</v>
      </c>
      <c r="J5" s="47" t="s">
        <v>11886</v>
      </c>
      <c r="K5" s="1519"/>
      <c r="L5" s="1508"/>
      <c r="M5" s="48" t="s">
        <v>4773</v>
      </c>
      <c r="N5" s="21" t="s">
        <v>4793</v>
      </c>
      <c r="O5" s="46" t="s">
        <v>43</v>
      </c>
      <c r="P5" s="1667"/>
      <c r="Q5" s="46" t="s">
        <v>43</v>
      </c>
      <c r="R5" s="63" t="s">
        <v>2711</v>
      </c>
      <c r="S5" s="46" t="s">
        <v>43</v>
      </c>
      <c r="T5" s="46" t="s">
        <v>43</v>
      </c>
      <c r="U5" s="46" t="s">
        <v>43</v>
      </c>
      <c r="V5" s="46" t="s">
        <v>43</v>
      </c>
      <c r="W5" s="46" t="s">
        <v>43</v>
      </c>
      <c r="X5" s="32" t="s">
        <v>56</v>
      </c>
      <c r="Y5" s="1508"/>
      <c r="Z5" s="1531"/>
      <c r="AA5" s="230">
        <v>0</v>
      </c>
    </row>
    <row r="6" spans="1:27" s="27" customFormat="1" ht="15.75" customHeight="1">
      <c r="A6" s="1422">
        <v>3</v>
      </c>
      <c r="B6" s="1660">
        <v>495</v>
      </c>
      <c r="C6" s="1423"/>
      <c r="D6" s="1657" t="s">
        <v>4775</v>
      </c>
      <c r="E6" s="1663" t="s">
        <v>4776</v>
      </c>
      <c r="F6" s="1658"/>
      <c r="G6" s="64" t="s">
        <v>4777</v>
      </c>
      <c r="H6" s="32" t="s">
        <v>1659</v>
      </c>
      <c r="I6" s="32" t="s">
        <v>108</v>
      </c>
      <c r="J6" s="47" t="s">
        <v>205</v>
      </c>
      <c r="K6" s="1422" t="s">
        <v>15171</v>
      </c>
      <c r="L6" s="1422" t="s">
        <v>15172</v>
      </c>
      <c r="M6" s="32" t="s">
        <v>15169</v>
      </c>
      <c r="N6" s="32" t="s">
        <v>4778</v>
      </c>
      <c r="O6" s="46" t="s">
        <v>43</v>
      </c>
      <c r="P6" s="1520" t="s">
        <v>4790</v>
      </c>
      <c r="Q6" s="46" t="s">
        <v>43</v>
      </c>
      <c r="R6" s="63" t="s">
        <v>315</v>
      </c>
      <c r="S6" s="63" t="s">
        <v>438</v>
      </c>
      <c r="T6" s="46" t="s">
        <v>43</v>
      </c>
      <c r="U6" s="46" t="s">
        <v>43</v>
      </c>
      <c r="V6" s="46" t="s">
        <v>43</v>
      </c>
      <c r="W6" s="46" t="s">
        <v>43</v>
      </c>
      <c r="X6" s="32" t="s">
        <v>299</v>
      </c>
      <c r="Y6" s="1529" t="s">
        <v>202</v>
      </c>
      <c r="Z6" s="1529" t="s">
        <v>242</v>
      </c>
      <c r="AA6" s="219">
        <v>12000000</v>
      </c>
    </row>
    <row r="7" spans="1:27" s="27" customFormat="1" ht="15.75" customHeight="1">
      <c r="A7" s="1423"/>
      <c r="B7" s="1661"/>
      <c r="C7" s="1423"/>
      <c r="D7" s="1658"/>
      <c r="E7" s="1664"/>
      <c r="F7" s="1658"/>
      <c r="G7" s="64">
        <v>597168</v>
      </c>
      <c r="H7" s="30" t="s">
        <v>195</v>
      </c>
      <c r="I7" s="32" t="s">
        <v>168</v>
      </c>
      <c r="J7" s="47" t="s">
        <v>199</v>
      </c>
      <c r="K7" s="1423"/>
      <c r="L7" s="1423"/>
      <c r="M7" s="48" t="s">
        <v>4779</v>
      </c>
      <c r="N7" s="21" t="s">
        <v>4795</v>
      </c>
      <c r="O7" s="46" t="s">
        <v>43</v>
      </c>
      <c r="P7" s="1521"/>
      <c r="Q7" s="46" t="s">
        <v>43</v>
      </c>
      <c r="R7" s="63" t="s">
        <v>246</v>
      </c>
      <c r="S7" s="46" t="s">
        <v>43</v>
      </c>
      <c r="T7" s="46" t="s">
        <v>43</v>
      </c>
      <c r="U7" s="46" t="s">
        <v>43</v>
      </c>
      <c r="V7" s="46" t="s">
        <v>43</v>
      </c>
      <c r="W7" s="63" t="s">
        <v>1517</v>
      </c>
      <c r="X7" s="32" t="s">
        <v>170</v>
      </c>
      <c r="Y7" s="1530"/>
      <c r="Z7" s="1530"/>
      <c r="AA7" s="230">
        <v>20800000</v>
      </c>
    </row>
    <row r="8" spans="1:27" s="27" customFormat="1" ht="15.75" customHeight="1">
      <c r="A8" s="1422">
        <v>4</v>
      </c>
      <c r="B8" s="1660">
        <v>541</v>
      </c>
      <c r="C8" s="1423"/>
      <c r="D8" s="1657" t="s">
        <v>4780</v>
      </c>
      <c r="E8" s="1657" t="s">
        <v>4780</v>
      </c>
      <c r="F8" s="1658"/>
      <c r="G8" s="64">
        <v>598955</v>
      </c>
      <c r="H8" s="32" t="s">
        <v>1659</v>
      </c>
      <c r="I8" s="32" t="s">
        <v>108</v>
      </c>
      <c r="J8" s="47" t="s">
        <v>205</v>
      </c>
      <c r="K8" s="1422" t="s">
        <v>15167</v>
      </c>
      <c r="L8" s="1422" t="s">
        <v>15173</v>
      </c>
      <c r="M8" s="48" t="s">
        <v>15168</v>
      </c>
      <c r="N8" s="48" t="s">
        <v>4781</v>
      </c>
      <c r="O8" s="46" t="s">
        <v>43</v>
      </c>
      <c r="P8" s="1520" t="s">
        <v>4791</v>
      </c>
      <c r="Q8" s="46" t="s">
        <v>43</v>
      </c>
      <c r="R8" s="63" t="s">
        <v>4782</v>
      </c>
      <c r="S8" s="46" t="s">
        <v>43</v>
      </c>
      <c r="T8" s="46" t="s">
        <v>43</v>
      </c>
      <c r="U8" s="46" t="s">
        <v>43</v>
      </c>
      <c r="V8" s="46" t="s">
        <v>43</v>
      </c>
      <c r="W8" s="63" t="s">
        <v>4783</v>
      </c>
      <c r="X8" s="32" t="s">
        <v>170</v>
      </c>
      <c r="Y8" s="1529" t="s">
        <v>202</v>
      </c>
      <c r="Z8" s="1529" t="s">
        <v>65</v>
      </c>
      <c r="AA8" s="219">
        <v>6000000</v>
      </c>
    </row>
    <row r="9" spans="1:27" s="27" customFormat="1" ht="15.75" customHeight="1">
      <c r="A9" s="1423"/>
      <c r="B9" s="1661"/>
      <c r="C9" s="1423"/>
      <c r="D9" s="1658"/>
      <c r="E9" s="1658"/>
      <c r="F9" s="1658"/>
      <c r="G9" s="64" t="s">
        <v>4784</v>
      </c>
      <c r="H9" s="30" t="s">
        <v>195</v>
      </c>
      <c r="I9" s="32" t="s">
        <v>168</v>
      </c>
      <c r="J9" s="47" t="s">
        <v>199</v>
      </c>
      <c r="K9" s="1423"/>
      <c r="L9" s="1423"/>
      <c r="M9" s="48" t="s">
        <v>4785</v>
      </c>
      <c r="N9" s="21" t="s">
        <v>4796</v>
      </c>
      <c r="O9" s="46" t="s">
        <v>43</v>
      </c>
      <c r="P9" s="1521"/>
      <c r="Q9" s="46" t="s">
        <v>43</v>
      </c>
      <c r="R9" s="63" t="s">
        <v>68</v>
      </c>
      <c r="S9" s="46" t="s">
        <v>43</v>
      </c>
      <c r="T9" s="46" t="s">
        <v>43</v>
      </c>
      <c r="U9" s="46" t="s">
        <v>43</v>
      </c>
      <c r="V9" s="46" t="s">
        <v>43</v>
      </c>
      <c r="W9" s="46" t="s">
        <v>43</v>
      </c>
      <c r="X9" s="32" t="s">
        <v>170</v>
      </c>
      <c r="Y9" s="1530"/>
      <c r="Z9" s="1530"/>
      <c r="AA9" s="230">
        <v>20800000</v>
      </c>
    </row>
    <row r="10" spans="1:27" s="27" customFormat="1" ht="19.5" customHeight="1">
      <c r="A10" s="1508"/>
      <c r="B10" s="1662"/>
      <c r="C10" s="1508"/>
      <c r="D10" s="1659"/>
      <c r="E10" s="1659"/>
      <c r="F10" s="1659"/>
      <c r="G10" s="46" t="s">
        <v>43</v>
      </c>
      <c r="H10" s="32" t="s">
        <v>84</v>
      </c>
      <c r="I10" s="21" t="s">
        <v>45</v>
      </c>
      <c r="J10" s="24" t="s">
        <v>201</v>
      </c>
      <c r="K10" s="1508"/>
      <c r="L10" s="1508"/>
      <c r="M10" s="48" t="s">
        <v>4797</v>
      </c>
      <c r="N10" s="48" t="s">
        <v>4786</v>
      </c>
      <c r="O10" s="46" t="s">
        <v>43</v>
      </c>
      <c r="P10" s="1522"/>
      <c r="Q10" s="46" t="s">
        <v>43</v>
      </c>
      <c r="R10" s="63" t="s">
        <v>48</v>
      </c>
      <c r="S10" s="46" t="s">
        <v>43</v>
      </c>
      <c r="T10" s="46" t="s">
        <v>43</v>
      </c>
      <c r="U10" s="46" t="s">
        <v>43</v>
      </c>
      <c r="V10" s="46" t="s">
        <v>43</v>
      </c>
      <c r="W10" s="63" t="s">
        <v>4787</v>
      </c>
      <c r="X10" s="32" t="s">
        <v>50</v>
      </c>
      <c r="Y10" s="1531"/>
      <c r="Z10" s="1531"/>
      <c r="AA10" s="230">
        <v>0</v>
      </c>
    </row>
    <row r="11" spans="1:27">
      <c r="Z11" s="214" t="s">
        <v>90</v>
      </c>
      <c r="AA11" s="290">
        <v>145600000</v>
      </c>
    </row>
    <row r="12" spans="1:27">
      <c r="AA12" s="322"/>
    </row>
    <row r="13" spans="1:27">
      <c r="AA13" s="322"/>
    </row>
    <row r="14" spans="1:27">
      <c r="AA14" s="322"/>
    </row>
    <row r="15" spans="1:27">
      <c r="AA15" s="322"/>
    </row>
    <row r="16" spans="1:27" ht="18">
      <c r="K16" s="73" t="s">
        <v>4794</v>
      </c>
      <c r="L16" s="84"/>
      <c r="AA16" s="322"/>
    </row>
    <row r="17" spans="1:27">
      <c r="AA17" s="322"/>
    </row>
    <row r="18" spans="1:27">
      <c r="AA18" s="322"/>
    </row>
    <row r="19" spans="1:27" ht="22.5">
      <c r="A19" s="1459" t="s">
        <v>14163</v>
      </c>
      <c r="B19" s="1459"/>
      <c r="C19" s="1459"/>
      <c r="D19" s="1459"/>
      <c r="E19" s="1459"/>
      <c r="F19" s="1459"/>
      <c r="G19" s="1459"/>
    </row>
    <row r="20" spans="1:27" s="12" customFormat="1" ht="19.5">
      <c r="A20" s="34" t="s">
        <v>0</v>
      </c>
      <c r="B20" s="34" t="s">
        <v>5</v>
      </c>
      <c r="C20" s="34" t="s">
        <v>2</v>
      </c>
      <c r="D20" s="34" t="s">
        <v>3</v>
      </c>
      <c r="E20" s="1445" t="s">
        <v>88</v>
      </c>
      <c r="F20" s="1446"/>
      <c r="G20" s="34" t="s">
        <v>6</v>
      </c>
      <c r="H20" s="34" t="s">
        <v>7</v>
      </c>
      <c r="I20" s="34" t="s">
        <v>8</v>
      </c>
      <c r="J20" s="34" t="s">
        <v>196</v>
      </c>
      <c r="K20" s="34" t="s">
        <v>9</v>
      </c>
      <c r="L20" s="34" t="s">
        <v>11</v>
      </c>
      <c r="M20" s="34" t="s">
        <v>12</v>
      </c>
      <c r="N20" s="34" t="s">
        <v>216</v>
      </c>
      <c r="O20" s="34" t="s">
        <v>13</v>
      </c>
      <c r="P20" s="35" t="s">
        <v>14</v>
      </c>
      <c r="Q20" s="35" t="s">
        <v>217</v>
      </c>
      <c r="R20" s="35" t="s">
        <v>16</v>
      </c>
      <c r="S20" s="34" t="s">
        <v>17</v>
      </c>
      <c r="T20" s="34" t="s">
        <v>218</v>
      </c>
      <c r="U20" s="34" t="s">
        <v>22</v>
      </c>
      <c r="V20" s="36" t="s">
        <v>23</v>
      </c>
      <c r="W20" s="34" t="s">
        <v>24</v>
      </c>
      <c r="X20" s="58" t="s">
        <v>257</v>
      </c>
      <c r="Z20"/>
      <c r="AA20"/>
    </row>
    <row r="21" spans="1:27">
      <c r="X21" s="219"/>
    </row>
    <row r="22" spans="1:27">
      <c r="X22" s="219"/>
    </row>
    <row r="23" spans="1:27">
      <c r="I23" s="637" t="s">
        <v>12013</v>
      </c>
      <c r="X23" s="219"/>
    </row>
    <row r="24" spans="1:27">
      <c r="I24" s="912" t="s">
        <v>14167</v>
      </c>
    </row>
  </sheetData>
  <mergeCells count="31">
    <mergeCell ref="Y8:Y10"/>
    <mergeCell ref="Z8:Z10"/>
    <mergeCell ref="E2:E5"/>
    <mergeCell ref="E6:E7"/>
    <mergeCell ref="E8:E10"/>
    <mergeCell ref="Y2:Y5"/>
    <mergeCell ref="Z2:Z5"/>
    <mergeCell ref="Y6:Y7"/>
    <mergeCell ref="Z6:Z7"/>
    <mergeCell ref="P2:P5"/>
    <mergeCell ref="B6:B7"/>
    <mergeCell ref="B8:B10"/>
    <mergeCell ref="D2:D5"/>
    <mergeCell ref="D6:D7"/>
    <mergeCell ref="D8:D10"/>
    <mergeCell ref="A19:G19"/>
    <mergeCell ref="E20:F20"/>
    <mergeCell ref="P6:P7"/>
    <mergeCell ref="P8:P10"/>
    <mergeCell ref="F2:F10"/>
    <mergeCell ref="K2:K5"/>
    <mergeCell ref="L2:L5"/>
    <mergeCell ref="K6:K7"/>
    <mergeCell ref="L6:L7"/>
    <mergeCell ref="K8:K10"/>
    <mergeCell ref="L8:L10"/>
    <mergeCell ref="A2:A5"/>
    <mergeCell ref="A6:A7"/>
    <mergeCell ref="A8:A10"/>
    <mergeCell ref="C2:C10"/>
    <mergeCell ref="B2:B5"/>
  </mergeCells>
  <conditionalFormatting sqref="M8">
    <cfRule type="duplicateValues" dxfId="1301" priority="71"/>
  </conditionalFormatting>
  <conditionalFormatting sqref="N1:N2 N4">
    <cfRule type="duplicateValues" dxfId="1300" priority="77"/>
  </conditionalFormatting>
  <conditionalFormatting sqref="N3">
    <cfRule type="duplicateValues" dxfId="1299" priority="70"/>
  </conditionalFormatting>
  <conditionalFormatting sqref="N5">
    <cfRule type="duplicateValues" dxfId="1298" priority="68"/>
  </conditionalFormatting>
  <conditionalFormatting sqref="N6">
    <cfRule type="duplicateValues" dxfId="1297" priority="73"/>
  </conditionalFormatting>
  <conditionalFormatting sqref="N7">
    <cfRule type="duplicateValues" dxfId="1296" priority="65"/>
  </conditionalFormatting>
  <conditionalFormatting sqref="N8">
    <cfRule type="duplicateValues" dxfId="1295" priority="72"/>
  </conditionalFormatting>
  <conditionalFormatting sqref="N9">
    <cfRule type="duplicateValues" dxfId="1294" priority="63"/>
  </conditionalFormatting>
  <conditionalFormatting sqref="N10 M9 M7 M1:M5">
    <cfRule type="duplicateValues" dxfId="1293" priority="76"/>
    <cfRule type="duplicateValues" dxfId="1292" priority="78"/>
  </conditionalFormatting>
  <conditionalFormatting sqref="L16">
    <cfRule type="duplicateValues" dxfId="1291" priority="13"/>
  </conditionalFormatting>
  <conditionalFormatting sqref="N20">
    <cfRule type="duplicateValues" dxfId="1290" priority="4081"/>
    <cfRule type="duplicateValues" dxfId="1289" priority="4082"/>
    <cfRule type="duplicateValues" dxfId="1288" priority="4083"/>
    <cfRule type="duplicateValues" dxfId="1287" priority="4084"/>
  </conditionalFormatting>
  <conditionalFormatting sqref="E20">
    <cfRule type="duplicateValues" dxfId="1286" priority="4085"/>
  </conditionalFormatting>
  <conditionalFormatting sqref="K20">
    <cfRule type="duplicateValues" dxfId="1285" priority="4086"/>
  </conditionalFormatting>
  <conditionalFormatting sqref="L20">
    <cfRule type="duplicateValues" dxfId="1284" priority="4087"/>
  </conditionalFormatting>
  <conditionalFormatting sqref="M20">
    <cfRule type="duplicateValues" dxfId="1283" priority="4088"/>
    <cfRule type="duplicateValues" dxfId="1282" priority="4089"/>
    <cfRule type="duplicateValues" dxfId="1281" priority="4090"/>
    <cfRule type="duplicateValues" dxfId="1280" priority="4091"/>
  </conditionalFormatting>
  <conditionalFormatting sqref="I24">
    <cfRule type="duplicateValues" dxfId="1279" priority="1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9"/>
  <sheetViews>
    <sheetView rightToLeft="1" workbookViewId="0">
      <pane xSplit="10" topLeftCell="M1" activePane="topRight" state="frozen"/>
      <selection pane="topRight" activeCell="I28" sqref="I28:I29"/>
    </sheetView>
  </sheetViews>
  <sheetFormatPr defaultRowHeight="15"/>
  <cols>
    <col min="8" max="8" width="15.85546875" customWidth="1"/>
    <col min="9" max="9" width="19.85546875" customWidth="1"/>
    <col min="10" max="10" width="24.7109375" customWidth="1"/>
    <col min="11" max="11" width="56.5703125" customWidth="1"/>
    <col min="12" max="12" width="34.140625" customWidth="1"/>
    <col min="13" max="13" width="43" customWidth="1"/>
    <col min="14" max="14" width="68.5703125" customWidth="1"/>
    <col min="16" max="16" width="25.42578125" customWidth="1"/>
    <col min="17" max="17" width="21.42578125" customWidth="1"/>
    <col min="18" max="18" width="40.5703125" customWidth="1"/>
    <col min="19" max="19" width="19.85546875" customWidth="1"/>
    <col min="20" max="20" width="20.7109375" customWidth="1"/>
    <col min="21" max="21" width="16.5703125" customWidth="1"/>
    <col min="22" max="22" width="25.85546875" customWidth="1"/>
    <col min="23" max="23" width="31.140625" customWidth="1"/>
    <col min="24" max="24" width="71" customWidth="1"/>
    <col min="25" max="25" width="25.5703125" customWidth="1"/>
    <col min="26" max="26" width="22.5703125" customWidth="1"/>
    <col min="27" max="27" width="13.7109375" bestFit="1" customWidth="1"/>
  </cols>
  <sheetData>
    <row r="1" spans="1:27" s="83" customFormat="1" ht="19.5">
      <c r="A1" s="81" t="s">
        <v>0</v>
      </c>
      <c r="B1" s="159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103" t="s">
        <v>6</v>
      </c>
      <c r="H1" s="81" t="s">
        <v>7</v>
      </c>
      <c r="I1" s="81" t="s">
        <v>8</v>
      </c>
      <c r="J1" s="82" t="s">
        <v>233</v>
      </c>
      <c r="K1" s="81" t="s">
        <v>9</v>
      </c>
      <c r="L1" s="81" t="s">
        <v>10</v>
      </c>
      <c r="M1" s="81" t="s">
        <v>11</v>
      </c>
      <c r="N1" s="81" t="s">
        <v>12</v>
      </c>
      <c r="O1" s="81" t="s">
        <v>13</v>
      </c>
      <c r="P1" s="82" t="s">
        <v>14</v>
      </c>
      <c r="Q1" s="103" t="s">
        <v>4861</v>
      </c>
      <c r="R1" s="103" t="s">
        <v>16</v>
      </c>
      <c r="S1" s="103" t="s">
        <v>17</v>
      </c>
      <c r="T1" s="81" t="s">
        <v>18</v>
      </c>
      <c r="U1" s="81" t="s">
        <v>19</v>
      </c>
      <c r="V1" s="81" t="s">
        <v>20</v>
      </c>
      <c r="W1" s="103" t="s">
        <v>21</v>
      </c>
      <c r="X1" s="81" t="s">
        <v>22</v>
      </c>
      <c r="Y1" s="103" t="s">
        <v>23</v>
      </c>
      <c r="Z1" s="103" t="s">
        <v>24</v>
      </c>
      <c r="AA1" s="49" t="s">
        <v>9184</v>
      </c>
    </row>
    <row r="2" spans="1:27" s="83" customFormat="1" ht="15.75" customHeight="1">
      <c r="A2" s="1668">
        <v>1</v>
      </c>
      <c r="B2" s="1669">
        <v>580</v>
      </c>
      <c r="C2" s="1668" t="s">
        <v>2970</v>
      </c>
      <c r="D2" s="1668" t="s">
        <v>4814</v>
      </c>
      <c r="E2" s="1668" t="s">
        <v>4815</v>
      </c>
      <c r="F2" s="1533" t="s">
        <v>2970</v>
      </c>
      <c r="G2" s="103" t="s">
        <v>9150</v>
      </c>
      <c r="H2" s="81" t="s">
        <v>28</v>
      </c>
      <c r="I2" s="81" t="s">
        <v>260</v>
      </c>
      <c r="J2" s="82" t="s">
        <v>204</v>
      </c>
      <c r="K2" s="1648" t="s">
        <v>4816</v>
      </c>
      <c r="L2" s="1533" t="s">
        <v>4817</v>
      </c>
      <c r="M2" s="81" t="s">
        <v>4818</v>
      </c>
      <c r="N2" s="81" t="s">
        <v>4851</v>
      </c>
      <c r="O2" s="46" t="s">
        <v>43</v>
      </c>
      <c r="P2" s="1654" t="s">
        <v>4819</v>
      </c>
      <c r="Q2" s="46" t="s">
        <v>43</v>
      </c>
      <c r="R2" s="103" t="s">
        <v>4768</v>
      </c>
      <c r="S2" s="46" t="s">
        <v>43</v>
      </c>
      <c r="T2" s="46" t="s">
        <v>43</v>
      </c>
      <c r="U2" s="46" t="s">
        <v>43</v>
      </c>
      <c r="V2" s="46" t="s">
        <v>43</v>
      </c>
      <c r="W2" s="103" t="s">
        <v>382</v>
      </c>
      <c r="X2" s="81" t="s">
        <v>3236</v>
      </c>
      <c r="Y2" s="1641" t="s">
        <v>93</v>
      </c>
      <c r="Z2" s="1641" t="s">
        <v>242</v>
      </c>
      <c r="AA2" s="230">
        <v>36400000</v>
      </c>
    </row>
    <row r="3" spans="1:27" s="83" customFormat="1" ht="15.75" customHeight="1">
      <c r="A3" s="1668"/>
      <c r="B3" s="1669"/>
      <c r="C3" s="1668"/>
      <c r="D3" s="1668"/>
      <c r="E3" s="1668"/>
      <c r="F3" s="1647"/>
      <c r="G3" s="103" t="s">
        <v>11845</v>
      </c>
      <c r="H3" s="30" t="s">
        <v>195</v>
      </c>
      <c r="I3" s="81" t="s">
        <v>260</v>
      </c>
      <c r="J3" s="82" t="s">
        <v>204</v>
      </c>
      <c r="K3" s="1649"/>
      <c r="L3" s="1647"/>
      <c r="M3" s="81" t="s">
        <v>4820</v>
      </c>
      <c r="N3" s="21" t="s">
        <v>4860</v>
      </c>
      <c r="O3" s="46" t="s">
        <v>43</v>
      </c>
      <c r="P3" s="1655"/>
      <c r="Q3" s="46" t="s">
        <v>43</v>
      </c>
      <c r="R3" s="103" t="s">
        <v>246</v>
      </c>
      <c r="S3" s="46" t="s">
        <v>43</v>
      </c>
      <c r="T3" s="46" t="s">
        <v>43</v>
      </c>
      <c r="U3" s="46" t="s">
        <v>43</v>
      </c>
      <c r="V3" s="46" t="s">
        <v>43</v>
      </c>
      <c r="W3" s="103" t="s">
        <v>1952</v>
      </c>
      <c r="X3" s="81" t="s">
        <v>3236</v>
      </c>
      <c r="Y3" s="1642"/>
      <c r="Z3" s="1642"/>
      <c r="AA3" s="230">
        <v>36400000</v>
      </c>
    </row>
    <row r="4" spans="1:27" s="83" customFormat="1" ht="15.75" customHeight="1">
      <c r="A4" s="1668"/>
      <c r="B4" s="1669"/>
      <c r="C4" s="1668"/>
      <c r="D4" s="1668"/>
      <c r="E4" s="1668"/>
      <c r="F4" s="1647"/>
      <c r="G4" s="103" t="s">
        <v>11846</v>
      </c>
      <c r="H4" s="218" t="s">
        <v>7763</v>
      </c>
      <c r="I4" s="81" t="s">
        <v>60</v>
      </c>
      <c r="J4" s="82" t="s">
        <v>9330</v>
      </c>
      <c r="K4" s="1649"/>
      <c r="L4" s="1647"/>
      <c r="M4" s="81" t="s">
        <v>4821</v>
      </c>
      <c r="N4" s="81" t="s">
        <v>15207</v>
      </c>
      <c r="O4" s="46" t="s">
        <v>43</v>
      </c>
      <c r="P4" s="1655"/>
      <c r="Q4" s="46" t="s">
        <v>388</v>
      </c>
      <c r="R4" s="103" t="s">
        <v>251</v>
      </c>
      <c r="S4" s="46" t="s">
        <v>43</v>
      </c>
      <c r="T4" s="46" t="s">
        <v>43</v>
      </c>
      <c r="U4" s="46" t="s">
        <v>43</v>
      </c>
      <c r="V4" s="46" t="s">
        <v>43</v>
      </c>
      <c r="W4" s="46" t="s">
        <v>43</v>
      </c>
      <c r="X4" s="81" t="s">
        <v>3485</v>
      </c>
      <c r="Y4" s="1642"/>
      <c r="Z4" s="1642"/>
      <c r="AA4" s="230">
        <v>24640000</v>
      </c>
    </row>
    <row r="5" spans="1:27" s="83" customFormat="1" ht="15.75" customHeight="1">
      <c r="A5" s="1668"/>
      <c r="B5" s="1669"/>
      <c r="C5" s="1668"/>
      <c r="D5" s="1668"/>
      <c r="E5" s="1668"/>
      <c r="F5" s="1647"/>
      <c r="G5" s="103" t="s">
        <v>11847</v>
      </c>
      <c r="H5" s="81" t="s">
        <v>40</v>
      </c>
      <c r="I5" s="81" t="s">
        <v>260</v>
      </c>
      <c r="J5" s="82" t="s">
        <v>204</v>
      </c>
      <c r="K5" s="1649"/>
      <c r="L5" s="1647"/>
      <c r="M5" s="111" t="s">
        <v>4822</v>
      </c>
      <c r="N5" s="111" t="s">
        <v>4823</v>
      </c>
      <c r="O5" s="46" t="s">
        <v>43</v>
      </c>
      <c r="P5" s="1655"/>
      <c r="Q5" s="46" t="s">
        <v>43</v>
      </c>
      <c r="R5" s="103" t="s">
        <v>4824</v>
      </c>
      <c r="S5" s="103" t="s">
        <v>4825</v>
      </c>
      <c r="T5" s="46" t="s">
        <v>43</v>
      </c>
      <c r="U5" s="46" t="s">
        <v>43</v>
      </c>
      <c r="V5" s="46" t="s">
        <v>43</v>
      </c>
      <c r="W5" s="46" t="s">
        <v>43</v>
      </c>
      <c r="X5" s="81" t="s">
        <v>299</v>
      </c>
      <c r="Y5" s="1642"/>
      <c r="Z5" s="1642"/>
      <c r="AA5" s="230">
        <v>0</v>
      </c>
    </row>
    <row r="6" spans="1:27" s="83" customFormat="1" ht="15.75" customHeight="1">
      <c r="A6" s="1668"/>
      <c r="B6" s="1669"/>
      <c r="C6" s="1668"/>
      <c r="D6" s="1668"/>
      <c r="E6" s="1668"/>
      <c r="F6" s="1647"/>
      <c r="G6" s="46" t="s">
        <v>43</v>
      </c>
      <c r="H6" s="801" t="s">
        <v>15212</v>
      </c>
      <c r="I6" s="81" t="s">
        <v>45</v>
      </c>
      <c r="J6" s="82" t="s">
        <v>11886</v>
      </c>
      <c r="K6" s="1650"/>
      <c r="L6" s="1534"/>
      <c r="M6" s="81" t="s">
        <v>4826</v>
      </c>
      <c r="N6" s="21" t="s">
        <v>4859</v>
      </c>
      <c r="O6" s="46" t="s">
        <v>43</v>
      </c>
      <c r="P6" s="1656"/>
      <c r="Q6" s="46" t="s">
        <v>43</v>
      </c>
      <c r="R6" s="103" t="s">
        <v>1828</v>
      </c>
      <c r="S6" s="46" t="s">
        <v>43</v>
      </c>
      <c r="T6" s="46" t="s">
        <v>43</v>
      </c>
      <c r="U6" s="46" t="s">
        <v>43</v>
      </c>
      <c r="V6" s="46" t="s">
        <v>43</v>
      </c>
      <c r="W6" s="103" t="s">
        <v>4827</v>
      </c>
      <c r="X6" s="81" t="s">
        <v>56</v>
      </c>
      <c r="Y6" s="1643"/>
      <c r="Z6" s="1643"/>
      <c r="AA6" s="230">
        <v>0</v>
      </c>
    </row>
    <row r="7" spans="1:27" s="83" customFormat="1" ht="15.75" customHeight="1">
      <c r="A7" s="1668">
        <v>2</v>
      </c>
      <c r="B7" s="1620">
        <v>330</v>
      </c>
      <c r="C7" s="1668"/>
      <c r="D7" s="1668"/>
      <c r="E7" s="1668" t="s">
        <v>2970</v>
      </c>
      <c r="F7" s="1647"/>
      <c r="G7" s="103" t="s">
        <v>4848</v>
      </c>
      <c r="H7" s="218" t="s">
        <v>1659</v>
      </c>
      <c r="I7" s="81" t="s">
        <v>29</v>
      </c>
      <c r="J7" s="47" t="s">
        <v>199</v>
      </c>
      <c r="K7" s="1533" t="s">
        <v>15197</v>
      </c>
      <c r="L7" s="1533" t="s">
        <v>15198</v>
      </c>
      <c r="M7" s="84" t="s">
        <v>7722</v>
      </c>
      <c r="N7" s="81" t="s">
        <v>7723</v>
      </c>
      <c r="O7" s="46" t="s">
        <v>43</v>
      </c>
      <c r="P7" s="1651" t="s">
        <v>4852</v>
      </c>
      <c r="Q7" s="103" t="s">
        <v>43</v>
      </c>
      <c r="R7" s="103" t="s">
        <v>7724</v>
      </c>
      <c r="S7" s="46" t="s">
        <v>43</v>
      </c>
      <c r="T7" s="46" t="s">
        <v>43</v>
      </c>
      <c r="U7" s="46" t="s">
        <v>43</v>
      </c>
      <c r="V7" s="46" t="s">
        <v>43</v>
      </c>
      <c r="W7" s="46" t="s">
        <v>7725</v>
      </c>
      <c r="X7" s="81" t="s">
        <v>37</v>
      </c>
      <c r="Y7" s="1533" t="s">
        <v>202</v>
      </c>
      <c r="Z7" s="1641" t="s">
        <v>65</v>
      </c>
      <c r="AA7" s="230">
        <v>8960000</v>
      </c>
    </row>
    <row r="8" spans="1:27" s="83" customFormat="1" ht="15.75" customHeight="1">
      <c r="A8" s="1668"/>
      <c r="B8" s="1620"/>
      <c r="C8" s="1668"/>
      <c r="D8" s="1668"/>
      <c r="E8" s="1668"/>
      <c r="F8" s="1647"/>
      <c r="G8" s="103" t="s">
        <v>4849</v>
      </c>
      <c r="H8" s="30" t="s">
        <v>195</v>
      </c>
      <c r="I8" s="81" t="s">
        <v>29</v>
      </c>
      <c r="J8" s="47" t="s">
        <v>199</v>
      </c>
      <c r="K8" s="1647"/>
      <c r="L8" s="1647"/>
      <c r="M8" s="81" t="s">
        <v>4850</v>
      </c>
      <c r="N8" s="21" t="s">
        <v>4862</v>
      </c>
      <c r="O8" s="46" t="s">
        <v>43</v>
      </c>
      <c r="P8" s="1653"/>
      <c r="Q8" s="46" t="s">
        <v>43</v>
      </c>
      <c r="R8" s="103" t="s">
        <v>68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81" t="s">
        <v>37</v>
      </c>
      <c r="Y8" s="1647"/>
      <c r="Z8" s="1642"/>
      <c r="AA8" s="219">
        <v>20800000</v>
      </c>
    </row>
    <row r="9" spans="1:27" s="83" customFormat="1" ht="15.75" customHeight="1">
      <c r="A9" s="1668">
        <v>3</v>
      </c>
      <c r="B9" s="1620">
        <v>351</v>
      </c>
      <c r="C9" s="1668"/>
      <c r="D9" s="1668" t="s">
        <v>4842</v>
      </c>
      <c r="E9" s="1668" t="s">
        <v>4842</v>
      </c>
      <c r="F9" s="1647"/>
      <c r="G9" s="103">
        <v>548451</v>
      </c>
      <c r="H9" s="218" t="s">
        <v>7763</v>
      </c>
      <c r="I9" s="81" t="s">
        <v>108</v>
      </c>
      <c r="J9" s="47" t="s">
        <v>205</v>
      </c>
      <c r="K9" s="1533" t="s">
        <v>15199</v>
      </c>
      <c r="L9" s="1533" t="s">
        <v>15200</v>
      </c>
      <c r="M9" s="81" t="s">
        <v>4843</v>
      </c>
      <c r="N9" s="81" t="s">
        <v>4844</v>
      </c>
      <c r="O9" s="46" t="s">
        <v>43</v>
      </c>
      <c r="P9" s="1651" t="s">
        <v>4854</v>
      </c>
      <c r="Q9" s="46" t="s">
        <v>43</v>
      </c>
      <c r="R9" s="103" t="s">
        <v>315</v>
      </c>
      <c r="S9" s="103" t="s">
        <v>4845</v>
      </c>
      <c r="T9" s="46" t="s">
        <v>43</v>
      </c>
      <c r="U9" s="46" t="s">
        <v>43</v>
      </c>
      <c r="V9" s="46" t="s">
        <v>43</v>
      </c>
      <c r="W9" s="46" t="s">
        <v>43</v>
      </c>
      <c r="X9" s="81" t="s">
        <v>299</v>
      </c>
      <c r="Y9" s="1533" t="s">
        <v>202</v>
      </c>
      <c r="Z9" s="1641" t="s">
        <v>65</v>
      </c>
      <c r="AA9" s="230">
        <v>12000000</v>
      </c>
    </row>
    <row r="10" spans="1:27" s="83" customFormat="1" ht="15.75" customHeight="1">
      <c r="A10" s="1668"/>
      <c r="B10" s="1620"/>
      <c r="C10" s="1668"/>
      <c r="D10" s="1668"/>
      <c r="E10" s="1668"/>
      <c r="F10" s="1647"/>
      <c r="G10" s="103" t="s">
        <v>4846</v>
      </c>
      <c r="H10" s="30" t="s">
        <v>195</v>
      </c>
      <c r="I10" s="81" t="s">
        <v>108</v>
      </c>
      <c r="J10" s="47" t="s">
        <v>199</v>
      </c>
      <c r="K10" s="1534"/>
      <c r="L10" s="1534"/>
      <c r="M10" s="81" t="s">
        <v>4847</v>
      </c>
      <c r="N10" s="21" t="s">
        <v>4863</v>
      </c>
      <c r="O10" s="46" t="s">
        <v>43</v>
      </c>
      <c r="P10" s="1652"/>
      <c r="Q10" s="46" t="s">
        <v>43</v>
      </c>
      <c r="R10" s="103" t="s">
        <v>68</v>
      </c>
      <c r="S10" s="46" t="s">
        <v>43</v>
      </c>
      <c r="T10" s="46" t="s">
        <v>43</v>
      </c>
      <c r="U10" s="46" t="s">
        <v>43</v>
      </c>
      <c r="V10" s="46" t="s">
        <v>43</v>
      </c>
      <c r="W10" s="46" t="s">
        <v>43</v>
      </c>
      <c r="X10" s="81" t="s">
        <v>3236</v>
      </c>
      <c r="Y10" s="1534"/>
      <c r="Z10" s="1643"/>
      <c r="AA10" s="219">
        <v>20800000</v>
      </c>
    </row>
    <row r="11" spans="1:27" s="83" customFormat="1" ht="15.75" customHeight="1">
      <c r="A11" s="1668">
        <v>4</v>
      </c>
      <c r="B11" s="1620">
        <v>354</v>
      </c>
      <c r="C11" s="1668"/>
      <c r="D11" s="1668" t="s">
        <v>4837</v>
      </c>
      <c r="E11" s="1668" t="s">
        <v>4837</v>
      </c>
      <c r="F11" s="1647"/>
      <c r="G11" s="103">
        <v>548450</v>
      </c>
      <c r="H11" s="218" t="s">
        <v>7763</v>
      </c>
      <c r="I11" s="81" t="s">
        <v>108</v>
      </c>
      <c r="J11" s="47" t="s">
        <v>205</v>
      </c>
      <c r="K11" s="1533" t="s">
        <v>15201</v>
      </c>
      <c r="L11" s="1533" t="s">
        <v>15202</v>
      </c>
      <c r="M11" s="81" t="s">
        <v>4838</v>
      </c>
      <c r="N11" s="81" t="s">
        <v>4839</v>
      </c>
      <c r="O11" s="46" t="s">
        <v>43</v>
      </c>
      <c r="P11" s="1651" t="s">
        <v>4855</v>
      </c>
      <c r="Q11" s="46" t="s">
        <v>43</v>
      </c>
      <c r="R11" s="103" t="s">
        <v>315</v>
      </c>
      <c r="S11" s="103" t="s">
        <v>4840</v>
      </c>
      <c r="T11" s="46" t="s">
        <v>43</v>
      </c>
      <c r="U11" s="46" t="s">
        <v>43</v>
      </c>
      <c r="V11" s="46" t="s">
        <v>43</v>
      </c>
      <c r="W11" s="46" t="s">
        <v>43</v>
      </c>
      <c r="X11" s="81" t="s">
        <v>299</v>
      </c>
      <c r="Y11" s="1533" t="s">
        <v>202</v>
      </c>
      <c r="Z11" s="1641" t="s">
        <v>65</v>
      </c>
      <c r="AA11" s="230">
        <v>6000000</v>
      </c>
    </row>
    <row r="12" spans="1:27" s="83" customFormat="1" ht="15.75" customHeight="1">
      <c r="A12" s="1668"/>
      <c r="B12" s="1620"/>
      <c r="C12" s="1668"/>
      <c r="D12" s="1668"/>
      <c r="E12" s="1668"/>
      <c r="F12" s="1647"/>
      <c r="G12" s="103">
        <v>613180</v>
      </c>
      <c r="H12" s="30" t="s">
        <v>195</v>
      </c>
      <c r="I12" s="81" t="s">
        <v>108</v>
      </c>
      <c r="J12" s="47" t="s">
        <v>199</v>
      </c>
      <c r="K12" s="1534"/>
      <c r="L12" s="1534"/>
      <c r="M12" s="81" t="s">
        <v>4841</v>
      </c>
      <c r="N12" s="21" t="s">
        <v>4864</v>
      </c>
      <c r="O12" s="46" t="s">
        <v>43</v>
      </c>
      <c r="P12" s="1652"/>
      <c r="Q12" s="46" t="s">
        <v>43</v>
      </c>
      <c r="R12" s="103" t="s">
        <v>68</v>
      </c>
      <c r="S12" s="46" t="s">
        <v>43</v>
      </c>
      <c r="T12" s="46" t="s">
        <v>43</v>
      </c>
      <c r="U12" s="46" t="s">
        <v>43</v>
      </c>
      <c r="V12" s="46" t="s">
        <v>43</v>
      </c>
      <c r="W12" s="46" t="s">
        <v>43</v>
      </c>
      <c r="X12" s="81" t="s">
        <v>3236</v>
      </c>
      <c r="Y12" s="1534"/>
      <c r="Z12" s="1643"/>
      <c r="AA12" s="219">
        <v>20800000</v>
      </c>
    </row>
    <row r="13" spans="1:27" s="83" customFormat="1" ht="15.75" customHeight="1">
      <c r="A13" s="1668">
        <v>5</v>
      </c>
      <c r="B13" s="1620">
        <v>362</v>
      </c>
      <c r="C13" s="1668"/>
      <c r="D13" s="1668" t="s">
        <v>4832</v>
      </c>
      <c r="E13" s="1668" t="s">
        <v>4832</v>
      </c>
      <c r="F13" s="1647"/>
      <c r="G13" s="103">
        <v>548452</v>
      </c>
      <c r="H13" s="218" t="s">
        <v>7763</v>
      </c>
      <c r="I13" s="81" t="s">
        <v>108</v>
      </c>
      <c r="J13" s="47" t="s">
        <v>205</v>
      </c>
      <c r="K13" s="1533" t="s">
        <v>15203</v>
      </c>
      <c r="L13" s="1533" t="s">
        <v>15204</v>
      </c>
      <c r="M13" s="81" t="s">
        <v>4833</v>
      </c>
      <c r="N13" s="81" t="s">
        <v>4834</v>
      </c>
      <c r="O13" s="46" t="s">
        <v>43</v>
      </c>
      <c r="P13" s="1651" t="s">
        <v>4853</v>
      </c>
      <c r="Q13" s="46" t="s">
        <v>43</v>
      </c>
      <c r="R13" s="103" t="s">
        <v>315</v>
      </c>
      <c r="S13" s="103" t="s">
        <v>4835</v>
      </c>
      <c r="T13" s="46" t="s">
        <v>43</v>
      </c>
      <c r="U13" s="46" t="s">
        <v>43</v>
      </c>
      <c r="V13" s="46" t="s">
        <v>43</v>
      </c>
      <c r="W13" s="46" t="s">
        <v>43</v>
      </c>
      <c r="X13" s="81" t="s">
        <v>299</v>
      </c>
      <c r="Y13" s="1533" t="s">
        <v>202</v>
      </c>
      <c r="Z13" s="1641" t="s">
        <v>65</v>
      </c>
      <c r="AA13" s="230">
        <v>6000000</v>
      </c>
    </row>
    <row r="14" spans="1:27" s="83" customFormat="1" ht="15.75" customHeight="1">
      <c r="A14" s="1668"/>
      <c r="B14" s="1620"/>
      <c r="C14" s="1668"/>
      <c r="D14" s="1668"/>
      <c r="E14" s="1668"/>
      <c r="F14" s="1647"/>
      <c r="G14" s="103">
        <v>607616</v>
      </c>
      <c r="H14" s="30" t="s">
        <v>195</v>
      </c>
      <c r="I14" s="81" t="s">
        <v>108</v>
      </c>
      <c r="J14" s="47" t="s">
        <v>199</v>
      </c>
      <c r="K14" s="1534"/>
      <c r="L14" s="1534"/>
      <c r="M14" s="81" t="s">
        <v>4836</v>
      </c>
      <c r="N14" s="21" t="s">
        <v>4865</v>
      </c>
      <c r="O14" s="46" t="s">
        <v>43</v>
      </c>
      <c r="P14" s="1652"/>
      <c r="Q14" s="46" t="s">
        <v>43</v>
      </c>
      <c r="R14" s="103" t="s">
        <v>68</v>
      </c>
      <c r="S14" s="46" t="s">
        <v>43</v>
      </c>
      <c r="T14" s="46" t="s">
        <v>43</v>
      </c>
      <c r="U14" s="46" t="s">
        <v>43</v>
      </c>
      <c r="V14" s="46" t="s">
        <v>43</v>
      </c>
      <c r="W14" s="46" t="s">
        <v>43</v>
      </c>
      <c r="X14" s="81" t="s">
        <v>3236</v>
      </c>
      <c r="Y14" s="1534"/>
      <c r="Z14" s="1643"/>
      <c r="AA14" s="219">
        <v>20800000</v>
      </c>
    </row>
    <row r="15" spans="1:27" s="83" customFormat="1" ht="15.75" customHeight="1">
      <c r="A15" s="1668">
        <v>6</v>
      </c>
      <c r="B15" s="1620">
        <v>373</v>
      </c>
      <c r="C15" s="1668"/>
      <c r="D15" s="1668"/>
      <c r="E15" s="1668" t="s">
        <v>1538</v>
      </c>
      <c r="F15" s="1647"/>
      <c r="G15" s="103" t="s">
        <v>11848</v>
      </c>
      <c r="H15" s="218" t="s">
        <v>7763</v>
      </c>
      <c r="I15" s="81" t="s">
        <v>60</v>
      </c>
      <c r="J15" s="47" t="s">
        <v>205</v>
      </c>
      <c r="K15" s="1533" t="s">
        <v>15208</v>
      </c>
      <c r="L15" s="1533" t="s">
        <v>15209</v>
      </c>
      <c r="M15" s="84" t="s">
        <v>221</v>
      </c>
      <c r="N15" s="81" t="s">
        <v>15205</v>
      </c>
      <c r="O15" s="46" t="s">
        <v>43</v>
      </c>
      <c r="P15" s="1651" t="s">
        <v>4856</v>
      </c>
      <c r="Q15" s="103" t="s">
        <v>176</v>
      </c>
      <c r="R15" s="103" t="s">
        <v>397</v>
      </c>
      <c r="S15" s="46" t="s">
        <v>43</v>
      </c>
      <c r="T15" s="46" t="s">
        <v>43</v>
      </c>
      <c r="U15" s="46" t="s">
        <v>43</v>
      </c>
      <c r="V15" s="46" t="s">
        <v>43</v>
      </c>
      <c r="W15" s="46" t="s">
        <v>43</v>
      </c>
      <c r="X15" s="81" t="s">
        <v>167</v>
      </c>
      <c r="Y15" s="1533" t="s">
        <v>202</v>
      </c>
      <c r="Z15" s="1641" t="s">
        <v>65</v>
      </c>
      <c r="AA15" s="230">
        <v>8960000</v>
      </c>
    </row>
    <row r="16" spans="1:27" s="83" customFormat="1" ht="15.75" customHeight="1">
      <c r="A16" s="1668"/>
      <c r="B16" s="1620"/>
      <c r="C16" s="1668"/>
      <c r="D16" s="1668"/>
      <c r="E16" s="1668"/>
      <c r="F16" s="1647"/>
      <c r="G16" s="103">
        <v>627735</v>
      </c>
      <c r="H16" s="30" t="s">
        <v>195</v>
      </c>
      <c r="I16" s="81" t="s">
        <v>108</v>
      </c>
      <c r="J16" s="47" t="s">
        <v>199</v>
      </c>
      <c r="K16" s="1534"/>
      <c r="L16" s="1534"/>
      <c r="M16" s="81" t="s">
        <v>4831</v>
      </c>
      <c r="N16" s="21" t="s">
        <v>4866</v>
      </c>
      <c r="O16" s="46" t="s">
        <v>43</v>
      </c>
      <c r="P16" s="1652"/>
      <c r="Q16" s="46" t="s">
        <v>43</v>
      </c>
      <c r="R16" s="103" t="s">
        <v>68</v>
      </c>
      <c r="S16" s="46" t="s">
        <v>43</v>
      </c>
      <c r="T16" s="46" t="s">
        <v>43</v>
      </c>
      <c r="U16" s="46" t="s">
        <v>43</v>
      </c>
      <c r="V16" s="46" t="s">
        <v>43</v>
      </c>
      <c r="W16" s="46" t="s">
        <v>43</v>
      </c>
      <c r="X16" s="81" t="s">
        <v>3236</v>
      </c>
      <c r="Y16" s="1534"/>
      <c r="Z16" s="1643"/>
      <c r="AA16" s="219">
        <v>20800000</v>
      </c>
    </row>
    <row r="17" spans="1:27" s="83" customFormat="1" ht="15.75" customHeight="1">
      <c r="A17" s="1668">
        <v>7</v>
      </c>
      <c r="B17" s="1620">
        <v>442</v>
      </c>
      <c r="C17" s="1668"/>
      <c r="D17" s="1668"/>
      <c r="E17" s="1668" t="s">
        <v>1591</v>
      </c>
      <c r="F17" s="1647"/>
      <c r="G17" s="103" t="s">
        <v>4828</v>
      </c>
      <c r="H17" s="218" t="s">
        <v>7763</v>
      </c>
      <c r="I17" s="81" t="s">
        <v>60</v>
      </c>
      <c r="J17" s="47" t="s">
        <v>205</v>
      </c>
      <c r="K17" s="1533" t="s">
        <v>15210</v>
      </c>
      <c r="L17" s="1533" t="s">
        <v>15211</v>
      </c>
      <c r="M17" s="84" t="s">
        <v>221</v>
      </c>
      <c r="N17" s="81" t="s">
        <v>15206</v>
      </c>
      <c r="O17" s="46" t="s">
        <v>43</v>
      </c>
      <c r="P17" s="1651" t="s">
        <v>4857</v>
      </c>
      <c r="Q17" s="103" t="s">
        <v>172</v>
      </c>
      <c r="R17" s="103" t="s">
        <v>166</v>
      </c>
      <c r="S17" s="46" t="s">
        <v>43</v>
      </c>
      <c r="T17" s="46" t="s">
        <v>43</v>
      </c>
      <c r="U17" s="46" t="s">
        <v>43</v>
      </c>
      <c r="V17" s="46" t="s">
        <v>43</v>
      </c>
      <c r="W17" s="46" t="s">
        <v>43</v>
      </c>
      <c r="X17" s="81" t="s">
        <v>167</v>
      </c>
      <c r="Y17" s="1533" t="s">
        <v>202</v>
      </c>
      <c r="Z17" s="1641" t="s">
        <v>65</v>
      </c>
      <c r="AA17" s="230">
        <v>8960000</v>
      </c>
    </row>
    <row r="18" spans="1:27" s="83" customFormat="1" ht="15.75" customHeight="1">
      <c r="A18" s="1668"/>
      <c r="B18" s="1620"/>
      <c r="C18" s="1668"/>
      <c r="D18" s="1668"/>
      <c r="E18" s="1668"/>
      <c r="F18" s="1534"/>
      <c r="G18" s="103" t="s">
        <v>4829</v>
      </c>
      <c r="H18" s="30" t="s">
        <v>195</v>
      </c>
      <c r="I18" s="81" t="s">
        <v>108</v>
      </c>
      <c r="J18" s="47" t="s">
        <v>199</v>
      </c>
      <c r="K18" s="1534"/>
      <c r="L18" s="1534"/>
      <c r="M18" s="81" t="s">
        <v>4830</v>
      </c>
      <c r="N18" s="21" t="s">
        <v>4867</v>
      </c>
      <c r="O18" s="46" t="s">
        <v>43</v>
      </c>
      <c r="P18" s="1652"/>
      <c r="Q18" s="46" t="s">
        <v>43</v>
      </c>
      <c r="R18" s="103" t="s">
        <v>68</v>
      </c>
      <c r="S18" s="46" t="s">
        <v>43</v>
      </c>
      <c r="T18" s="46" t="s">
        <v>43</v>
      </c>
      <c r="U18" s="46" t="s">
        <v>43</v>
      </c>
      <c r="V18" s="46" t="s">
        <v>43</v>
      </c>
      <c r="W18" s="46" t="s">
        <v>43</v>
      </c>
      <c r="X18" s="81" t="s">
        <v>3236</v>
      </c>
      <c r="Y18" s="1534"/>
      <c r="Z18" s="1643"/>
      <c r="AA18" s="219">
        <v>20800000</v>
      </c>
    </row>
    <row r="19" spans="1:27">
      <c r="Z19" s="214" t="s">
        <v>90</v>
      </c>
      <c r="AA19" s="290">
        <v>273120000</v>
      </c>
    </row>
    <row r="23" spans="1:27" ht="22.5">
      <c r="A23" s="1459" t="s">
        <v>14163</v>
      </c>
      <c r="B23" s="1459"/>
      <c r="C23" s="1459"/>
      <c r="D23" s="1459"/>
      <c r="E23" s="1459"/>
      <c r="F23" s="1459"/>
      <c r="G23" s="1459"/>
    </row>
    <row r="24" spans="1:27" s="12" customFormat="1" ht="19.5">
      <c r="A24" s="34" t="s">
        <v>0</v>
      </c>
      <c r="B24" s="34" t="s">
        <v>5</v>
      </c>
      <c r="C24" s="34" t="s">
        <v>2</v>
      </c>
      <c r="D24" s="34" t="s">
        <v>3</v>
      </c>
      <c r="E24" s="1445" t="s">
        <v>88</v>
      </c>
      <c r="F24" s="1446"/>
      <c r="G24" s="34" t="s">
        <v>6</v>
      </c>
      <c r="H24" s="34" t="s">
        <v>7</v>
      </c>
      <c r="I24" s="34" t="s">
        <v>8</v>
      </c>
      <c r="J24" s="34" t="s">
        <v>196</v>
      </c>
      <c r="K24" s="34" t="s">
        <v>9</v>
      </c>
      <c r="L24" s="34" t="s">
        <v>11</v>
      </c>
      <c r="M24" s="34" t="s">
        <v>12</v>
      </c>
      <c r="N24" s="34" t="s">
        <v>216</v>
      </c>
      <c r="O24" s="34" t="s">
        <v>13</v>
      </c>
      <c r="P24" s="35" t="s">
        <v>14</v>
      </c>
      <c r="Q24" s="35" t="s">
        <v>217</v>
      </c>
      <c r="R24" s="35" t="s">
        <v>16</v>
      </c>
      <c r="S24" s="34" t="s">
        <v>17</v>
      </c>
      <c r="T24" s="34" t="s">
        <v>218</v>
      </c>
      <c r="U24" s="34" t="s">
        <v>22</v>
      </c>
      <c r="V24" s="36" t="s">
        <v>23</v>
      </c>
      <c r="W24" s="34" t="s">
        <v>24</v>
      </c>
      <c r="X24" s="58" t="s">
        <v>257</v>
      </c>
      <c r="Z24"/>
      <c r="AA24"/>
    </row>
    <row r="25" spans="1:27">
      <c r="X25" s="219"/>
    </row>
    <row r="26" spans="1:27">
      <c r="X26" s="219"/>
    </row>
    <row r="27" spans="1:27">
      <c r="I27" s="637" t="s">
        <v>12013</v>
      </c>
      <c r="X27" s="219"/>
    </row>
    <row r="28" spans="1:27">
      <c r="I28" s="912" t="s">
        <v>15616</v>
      </c>
    </row>
    <row r="29" spans="1:27">
      <c r="I29" s="912" t="s">
        <v>15617</v>
      </c>
    </row>
  </sheetData>
  <mergeCells count="65">
    <mergeCell ref="E2:E6"/>
    <mergeCell ref="E7:E8"/>
    <mergeCell ref="E11:E12"/>
    <mergeCell ref="B9:B10"/>
    <mergeCell ref="D9:D10"/>
    <mergeCell ref="E9:E10"/>
    <mergeCell ref="K11:K12"/>
    <mergeCell ref="L9:L10"/>
    <mergeCell ref="L11:L12"/>
    <mergeCell ref="L7:L8"/>
    <mergeCell ref="B11:B12"/>
    <mergeCell ref="D11:D12"/>
    <mergeCell ref="E24:F24"/>
    <mergeCell ref="Z11:Z12"/>
    <mergeCell ref="Z2:Z6"/>
    <mergeCell ref="Z7:Z8"/>
    <mergeCell ref="Z13:Z14"/>
    <mergeCell ref="P7:P8"/>
    <mergeCell ref="P9:P10"/>
    <mergeCell ref="P11:P12"/>
    <mergeCell ref="Z9:Z10"/>
    <mergeCell ref="E15:E16"/>
    <mergeCell ref="K9:K10"/>
    <mergeCell ref="Y9:Y10"/>
    <mergeCell ref="P2:P6"/>
    <mergeCell ref="Y11:Y12"/>
    <mergeCell ref="Y2:Y6"/>
    <mergeCell ref="Y7:Y8"/>
    <mergeCell ref="A13:A14"/>
    <mergeCell ref="B13:B14"/>
    <mergeCell ref="D13:D14"/>
    <mergeCell ref="E13:E14"/>
    <mergeCell ref="K13:K14"/>
    <mergeCell ref="C2:C18"/>
    <mergeCell ref="D2:D8"/>
    <mergeCell ref="A17:A18"/>
    <mergeCell ref="B17:B18"/>
    <mergeCell ref="A2:A6"/>
    <mergeCell ref="A7:A8"/>
    <mergeCell ref="A11:A12"/>
    <mergeCell ref="A15:A16"/>
    <mergeCell ref="A9:A10"/>
    <mergeCell ref="B2:B6"/>
    <mergeCell ref="B7:B8"/>
    <mergeCell ref="Z15:Z16"/>
    <mergeCell ref="D15:D18"/>
    <mergeCell ref="Z17:Z18"/>
    <mergeCell ref="Y17:Y18"/>
    <mergeCell ref="L17:L18"/>
    <mergeCell ref="P15:P16"/>
    <mergeCell ref="P17:P18"/>
    <mergeCell ref="F2:F18"/>
    <mergeCell ref="L2:L6"/>
    <mergeCell ref="E17:E18"/>
    <mergeCell ref="K17:K18"/>
    <mergeCell ref="L13:L14"/>
    <mergeCell ref="Y13:Y14"/>
    <mergeCell ref="P13:P14"/>
    <mergeCell ref="K2:K6"/>
    <mergeCell ref="K7:K8"/>
    <mergeCell ref="A23:G23"/>
    <mergeCell ref="B15:B16"/>
    <mergeCell ref="K15:K16"/>
    <mergeCell ref="L15:L16"/>
    <mergeCell ref="Y15:Y16"/>
  </mergeCells>
  <conditionalFormatting sqref="M8">
    <cfRule type="duplicateValues" dxfId="1278" priority="22"/>
    <cfRule type="duplicateValues" dxfId="1277" priority="24"/>
  </conditionalFormatting>
  <conditionalFormatting sqref="M9">
    <cfRule type="duplicateValues" dxfId="1276" priority="90"/>
  </conditionalFormatting>
  <conditionalFormatting sqref="M10">
    <cfRule type="duplicateValues" dxfId="1275" priority="92"/>
  </conditionalFormatting>
  <conditionalFormatting sqref="M11">
    <cfRule type="duplicateValues" dxfId="1274" priority="98"/>
  </conditionalFormatting>
  <conditionalFormatting sqref="M12 M1:M6">
    <cfRule type="duplicateValues" dxfId="1273" priority="2566"/>
  </conditionalFormatting>
  <conditionalFormatting sqref="M13">
    <cfRule type="duplicateValues" dxfId="1272" priority="25"/>
  </conditionalFormatting>
  <conditionalFormatting sqref="M14">
    <cfRule type="duplicateValues" dxfId="1271" priority="27"/>
  </conditionalFormatting>
  <conditionalFormatting sqref="M16">
    <cfRule type="duplicateValues" dxfId="1270" priority="85"/>
  </conditionalFormatting>
  <conditionalFormatting sqref="M18">
    <cfRule type="duplicateValues" dxfId="1269" priority="88"/>
  </conditionalFormatting>
  <conditionalFormatting sqref="N1:N2 N4:N5">
    <cfRule type="duplicateValues" dxfId="1268" priority="2569"/>
  </conditionalFormatting>
  <conditionalFormatting sqref="N3">
    <cfRule type="duplicateValues" dxfId="1267" priority="79"/>
  </conditionalFormatting>
  <conditionalFormatting sqref="N6">
    <cfRule type="duplicateValues" dxfId="1266" priority="78"/>
  </conditionalFormatting>
  <conditionalFormatting sqref="N7">
    <cfRule type="duplicateValues" dxfId="1265" priority="80"/>
  </conditionalFormatting>
  <conditionalFormatting sqref="N8">
    <cfRule type="duplicateValues" dxfId="1264" priority="21"/>
  </conditionalFormatting>
  <conditionalFormatting sqref="N9">
    <cfRule type="duplicateValues" dxfId="1263" priority="91"/>
  </conditionalFormatting>
  <conditionalFormatting sqref="N10">
    <cfRule type="duplicateValues" dxfId="1262" priority="20"/>
  </conditionalFormatting>
  <conditionalFormatting sqref="N11">
    <cfRule type="duplicateValues" dxfId="1261" priority="99"/>
  </conditionalFormatting>
  <conditionalFormatting sqref="N12">
    <cfRule type="duplicateValues" dxfId="1260" priority="19"/>
  </conditionalFormatting>
  <conditionalFormatting sqref="N13">
    <cfRule type="duplicateValues" dxfId="1259" priority="26"/>
  </conditionalFormatting>
  <conditionalFormatting sqref="N14">
    <cfRule type="duplicateValues" dxfId="1258" priority="18"/>
  </conditionalFormatting>
  <conditionalFormatting sqref="N15">
    <cfRule type="duplicateValues" dxfId="1257" priority="84"/>
  </conditionalFormatting>
  <conditionalFormatting sqref="N16">
    <cfRule type="duplicateValues" dxfId="1256" priority="17"/>
  </conditionalFormatting>
  <conditionalFormatting sqref="N17">
    <cfRule type="duplicateValues" dxfId="1255" priority="87"/>
  </conditionalFormatting>
  <conditionalFormatting sqref="N18">
    <cfRule type="duplicateValues" dxfId="1254" priority="16"/>
  </conditionalFormatting>
  <conditionalFormatting sqref="N24">
    <cfRule type="duplicateValues" dxfId="1253" priority="3"/>
    <cfRule type="duplicateValues" dxfId="1252" priority="4"/>
    <cfRule type="duplicateValues" dxfId="1251" priority="5"/>
    <cfRule type="duplicateValues" dxfId="1250" priority="6"/>
  </conditionalFormatting>
  <conditionalFormatting sqref="E24">
    <cfRule type="duplicateValues" dxfId="1249" priority="7"/>
  </conditionalFormatting>
  <conditionalFormatting sqref="K24">
    <cfRule type="duplicateValues" dxfId="1248" priority="8"/>
  </conditionalFormatting>
  <conditionalFormatting sqref="L24">
    <cfRule type="duplicateValues" dxfId="1247" priority="9"/>
  </conditionalFormatting>
  <conditionalFormatting sqref="M24">
    <cfRule type="duplicateValues" dxfId="1246" priority="10"/>
    <cfRule type="duplicateValues" dxfId="1245" priority="11"/>
    <cfRule type="duplicateValues" dxfId="1244" priority="12"/>
    <cfRule type="duplicateValues" dxfId="1243" priority="13"/>
  </conditionalFormatting>
  <conditionalFormatting sqref="I28">
    <cfRule type="duplicateValues" dxfId="1242" priority="2"/>
  </conditionalFormatting>
  <conditionalFormatting sqref="I29">
    <cfRule type="duplicateValues" dxfId="1241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8"/>
  <sheetViews>
    <sheetView rightToLeft="1" workbookViewId="0">
      <pane xSplit="10" topLeftCell="K1" activePane="topRight" state="frozen"/>
      <selection pane="topRight" activeCell="B18" sqref="B18"/>
    </sheetView>
  </sheetViews>
  <sheetFormatPr defaultRowHeight="15"/>
  <cols>
    <col min="6" max="6" width="16.28515625" customWidth="1"/>
    <col min="7" max="7" width="13.5703125" customWidth="1"/>
    <col min="8" max="8" width="18.140625" customWidth="1"/>
    <col min="9" max="9" width="20.85546875" customWidth="1"/>
    <col min="10" max="10" width="25.7109375" customWidth="1"/>
    <col min="11" max="11" width="75.140625" customWidth="1"/>
    <col min="12" max="12" width="33.85546875" customWidth="1"/>
    <col min="13" max="13" width="48.5703125" customWidth="1"/>
    <col min="14" max="14" width="64.28515625" customWidth="1"/>
    <col min="16" max="16" width="30.140625" customWidth="1"/>
    <col min="18" max="18" width="20.28515625" customWidth="1"/>
    <col min="20" max="20" width="18" customWidth="1"/>
    <col min="21" max="21" width="57.28515625" customWidth="1"/>
    <col min="22" max="22" width="15.5703125" customWidth="1"/>
    <col min="23" max="23" width="25.7109375" customWidth="1"/>
    <col min="24" max="24" width="48" customWidth="1"/>
    <col min="25" max="25" width="15.85546875" customWidth="1"/>
    <col min="26" max="26" width="24.28515625" customWidth="1"/>
    <col min="27" max="27" width="13.7109375" bestFit="1" customWidth="1"/>
  </cols>
  <sheetData>
    <row r="1" spans="1:27" s="102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102" customFormat="1" ht="15.75" customHeight="1">
      <c r="A2" s="1450">
        <v>1</v>
      </c>
      <c r="B2" s="1492">
        <v>443</v>
      </c>
      <c r="C2" s="1625" t="s">
        <v>235</v>
      </c>
      <c r="D2" s="1625" t="s">
        <v>235</v>
      </c>
      <c r="E2" s="1675" t="s">
        <v>3124</v>
      </c>
      <c r="F2" s="1625" t="s">
        <v>235</v>
      </c>
      <c r="G2" s="95" t="s">
        <v>3125</v>
      </c>
      <c r="H2" s="21" t="s">
        <v>28</v>
      </c>
      <c r="I2" s="93" t="s">
        <v>108</v>
      </c>
      <c r="J2" s="96" t="s">
        <v>204</v>
      </c>
      <c r="K2" s="1637" t="s">
        <v>3151</v>
      </c>
      <c r="L2" s="1450" t="s">
        <v>3126</v>
      </c>
      <c r="M2" s="94" t="s">
        <v>3127</v>
      </c>
      <c r="N2" s="94" t="s">
        <v>3152</v>
      </c>
      <c r="O2" s="46" t="s">
        <v>43</v>
      </c>
      <c r="P2" s="1672" t="s">
        <v>3128</v>
      </c>
      <c r="Q2" s="46" t="s">
        <v>43</v>
      </c>
      <c r="R2" s="98" t="s">
        <v>1839</v>
      </c>
      <c r="S2" s="98" t="s">
        <v>3129</v>
      </c>
      <c r="T2" s="46" t="s">
        <v>43</v>
      </c>
      <c r="U2" s="46" t="s">
        <v>43</v>
      </c>
      <c r="V2" s="46" t="s">
        <v>43</v>
      </c>
      <c r="W2" s="46" t="s">
        <v>43</v>
      </c>
      <c r="X2" s="93" t="s">
        <v>299</v>
      </c>
      <c r="Y2" s="1628" t="s">
        <v>93</v>
      </c>
      <c r="Z2" s="1628" t="s">
        <v>484</v>
      </c>
      <c r="AA2" s="230">
        <v>36400000</v>
      </c>
    </row>
    <row r="3" spans="1:27" s="102" customFormat="1" ht="19.5" customHeight="1">
      <c r="A3" s="1451"/>
      <c r="B3" s="1493"/>
      <c r="C3" s="1627"/>
      <c r="D3" s="1627"/>
      <c r="E3" s="1676"/>
      <c r="F3" s="1627"/>
      <c r="G3" s="95" t="s">
        <v>11843</v>
      </c>
      <c r="H3" s="30" t="s">
        <v>195</v>
      </c>
      <c r="I3" s="93" t="s">
        <v>108</v>
      </c>
      <c r="J3" s="96" t="s">
        <v>9691</v>
      </c>
      <c r="K3" s="1638"/>
      <c r="L3" s="1451"/>
      <c r="M3" s="94" t="s">
        <v>3130</v>
      </c>
      <c r="N3" s="94" t="s">
        <v>3153</v>
      </c>
      <c r="O3" s="46" t="s">
        <v>43</v>
      </c>
      <c r="P3" s="1673"/>
      <c r="Q3" s="46" t="s">
        <v>43</v>
      </c>
      <c r="R3" s="98" t="s">
        <v>297</v>
      </c>
      <c r="S3" s="98" t="s">
        <v>3129</v>
      </c>
      <c r="T3" s="46" t="s">
        <v>43</v>
      </c>
      <c r="U3" s="46" t="s">
        <v>43</v>
      </c>
      <c r="V3" s="46" t="s">
        <v>43</v>
      </c>
      <c r="W3" s="46" t="s">
        <v>43</v>
      </c>
      <c r="X3" s="93" t="s">
        <v>299</v>
      </c>
      <c r="Y3" s="1629"/>
      <c r="Z3" s="1629"/>
      <c r="AA3" s="230">
        <v>36400000</v>
      </c>
    </row>
    <row r="4" spans="1:27" s="102" customFormat="1" ht="15.75" customHeight="1">
      <c r="A4" s="1451"/>
      <c r="B4" s="1493"/>
      <c r="C4" s="1627"/>
      <c r="D4" s="1627"/>
      <c r="E4" s="1676"/>
      <c r="F4" s="1627"/>
      <c r="G4" s="95" t="s">
        <v>3131</v>
      </c>
      <c r="H4" s="4" t="s">
        <v>249</v>
      </c>
      <c r="I4" s="218" t="s">
        <v>7763</v>
      </c>
      <c r="J4" s="96" t="s">
        <v>2278</v>
      </c>
      <c r="K4" s="1638"/>
      <c r="L4" s="1451"/>
      <c r="M4" s="1670" t="s">
        <v>3132</v>
      </c>
      <c r="N4" s="1670" t="s">
        <v>3133</v>
      </c>
      <c r="O4" s="46" t="s">
        <v>43</v>
      </c>
      <c r="P4" s="1673"/>
      <c r="Q4" s="95" t="s">
        <v>3134</v>
      </c>
      <c r="R4" s="95" t="s">
        <v>156</v>
      </c>
      <c r="S4" s="46" t="s">
        <v>43</v>
      </c>
      <c r="T4" s="46" t="s">
        <v>43</v>
      </c>
      <c r="U4" s="46" t="s">
        <v>43</v>
      </c>
      <c r="V4" s="46" t="s">
        <v>43</v>
      </c>
      <c r="W4" s="46" t="s">
        <v>43</v>
      </c>
      <c r="X4" s="93" t="s">
        <v>151</v>
      </c>
      <c r="Y4" s="1629"/>
      <c r="Z4" s="1629"/>
      <c r="AA4" s="230">
        <v>37600000</v>
      </c>
    </row>
    <row r="5" spans="1:27" s="102" customFormat="1" ht="15.75" customHeight="1">
      <c r="A5" s="1451"/>
      <c r="B5" s="1493"/>
      <c r="C5" s="1627"/>
      <c r="D5" s="1627"/>
      <c r="E5" s="1676"/>
      <c r="F5" s="1627"/>
      <c r="G5" s="95" t="s">
        <v>11844</v>
      </c>
      <c r="H5" s="4" t="s">
        <v>249</v>
      </c>
      <c r="I5" s="218" t="s">
        <v>7763</v>
      </c>
      <c r="J5" s="96" t="s">
        <v>9331</v>
      </c>
      <c r="K5" s="1638"/>
      <c r="L5" s="1451"/>
      <c r="M5" s="1671"/>
      <c r="N5" s="1671"/>
      <c r="O5" s="46" t="s">
        <v>43</v>
      </c>
      <c r="P5" s="1673"/>
      <c r="Q5" s="95" t="s">
        <v>3135</v>
      </c>
      <c r="R5" s="95" t="s">
        <v>158</v>
      </c>
      <c r="S5" s="46" t="s">
        <v>43</v>
      </c>
      <c r="T5" s="46" t="s">
        <v>43</v>
      </c>
      <c r="U5" s="46" t="s">
        <v>43</v>
      </c>
      <c r="V5" s="46" t="s">
        <v>43</v>
      </c>
      <c r="W5" s="46" t="s">
        <v>43</v>
      </c>
      <c r="X5" s="93" t="s">
        <v>151</v>
      </c>
      <c r="Y5" s="1629"/>
      <c r="Z5" s="1629"/>
      <c r="AA5" s="230">
        <v>22400000</v>
      </c>
    </row>
    <row r="6" spans="1:27" s="102" customFormat="1" ht="19.5" customHeight="1">
      <c r="A6" s="1451"/>
      <c r="B6" s="1493"/>
      <c r="C6" s="1627"/>
      <c r="D6" s="1627"/>
      <c r="E6" s="1676"/>
      <c r="F6" s="1627"/>
      <c r="G6" s="784" t="s">
        <v>43</v>
      </c>
      <c r="H6" s="785" t="s">
        <v>84</v>
      </c>
      <c r="I6" s="786" t="s">
        <v>45</v>
      </c>
      <c r="J6" s="96" t="s">
        <v>201</v>
      </c>
      <c r="K6" s="1638"/>
      <c r="L6" s="1451"/>
      <c r="M6" s="787" t="s">
        <v>15121</v>
      </c>
      <c r="N6" s="786" t="s">
        <v>15122</v>
      </c>
      <c r="O6" s="784" t="s">
        <v>43</v>
      </c>
      <c r="P6" s="1673"/>
      <c r="Q6" s="784" t="s">
        <v>43</v>
      </c>
      <c r="R6" s="95" t="s">
        <v>48</v>
      </c>
      <c r="S6" s="784" t="s">
        <v>43</v>
      </c>
      <c r="T6" s="784" t="s">
        <v>43</v>
      </c>
      <c r="U6" s="784" t="s">
        <v>43</v>
      </c>
      <c r="V6" s="784" t="s">
        <v>43</v>
      </c>
      <c r="W6" s="98" t="s">
        <v>3138</v>
      </c>
      <c r="X6" s="786" t="s">
        <v>50</v>
      </c>
      <c r="Y6" s="1629"/>
      <c r="Z6" s="1629"/>
      <c r="AA6" s="230">
        <v>0</v>
      </c>
    </row>
    <row r="7" spans="1:27" s="102" customFormat="1" ht="15.75" customHeight="1">
      <c r="A7" s="1619"/>
      <c r="B7" s="1494"/>
      <c r="C7" s="1627"/>
      <c r="D7" s="1627"/>
      <c r="E7" s="1677"/>
      <c r="F7" s="1627"/>
      <c r="G7" s="46" t="s">
        <v>43</v>
      </c>
      <c r="H7" s="731" t="s">
        <v>14942</v>
      </c>
      <c r="I7" s="93" t="s">
        <v>45</v>
      </c>
      <c r="J7" s="96" t="s">
        <v>11886</v>
      </c>
      <c r="K7" s="1639"/>
      <c r="L7" s="1619"/>
      <c r="M7" s="94" t="s">
        <v>3136</v>
      </c>
      <c r="N7" s="21" t="s">
        <v>4868</v>
      </c>
      <c r="O7" s="46" t="s">
        <v>43</v>
      </c>
      <c r="P7" s="1674"/>
      <c r="Q7" s="46" t="s">
        <v>43</v>
      </c>
      <c r="R7" s="98" t="s">
        <v>338</v>
      </c>
      <c r="S7" s="46" t="s">
        <v>43</v>
      </c>
      <c r="T7" s="46" t="s">
        <v>43</v>
      </c>
      <c r="U7" s="46" t="s">
        <v>43</v>
      </c>
      <c r="V7" s="46" t="s">
        <v>43</v>
      </c>
      <c r="W7" s="98" t="s">
        <v>1518</v>
      </c>
      <c r="X7" s="93" t="s">
        <v>56</v>
      </c>
      <c r="Y7" s="1630"/>
      <c r="Z7" s="1630"/>
      <c r="AA7" s="230">
        <v>0</v>
      </c>
    </row>
    <row r="8" spans="1:27" s="102" customFormat="1" ht="15.75" customHeight="1">
      <c r="A8" s="1450">
        <v>3</v>
      </c>
      <c r="B8" s="1471">
        <v>504</v>
      </c>
      <c r="C8" s="1627"/>
      <c r="D8" s="1625" t="s">
        <v>235</v>
      </c>
      <c r="E8" s="1625" t="s">
        <v>3139</v>
      </c>
      <c r="F8" s="1627"/>
      <c r="G8" s="95">
        <v>609856</v>
      </c>
      <c r="H8" s="93" t="s">
        <v>1514</v>
      </c>
      <c r="I8" s="218" t="s">
        <v>7763</v>
      </c>
      <c r="J8" s="96" t="s">
        <v>205</v>
      </c>
      <c r="K8" s="1450" t="s">
        <v>14935</v>
      </c>
      <c r="L8" s="1450" t="s">
        <v>14936</v>
      </c>
      <c r="M8" s="94" t="s">
        <v>221</v>
      </c>
      <c r="N8" s="94" t="s">
        <v>14937</v>
      </c>
      <c r="O8" s="46" t="s">
        <v>43</v>
      </c>
      <c r="P8" s="1634" t="s">
        <v>3155</v>
      </c>
      <c r="Q8" s="95" t="s">
        <v>176</v>
      </c>
      <c r="R8" s="95" t="s">
        <v>397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93" t="s">
        <v>167</v>
      </c>
      <c r="Y8" s="1450" t="s">
        <v>202</v>
      </c>
      <c r="Z8" s="1505" t="s">
        <v>65</v>
      </c>
      <c r="AA8" s="230">
        <v>8960000</v>
      </c>
    </row>
    <row r="9" spans="1:27" s="102" customFormat="1" ht="15.75" customHeight="1">
      <c r="A9" s="1619"/>
      <c r="B9" s="1472"/>
      <c r="C9" s="1627"/>
      <c r="D9" s="1626"/>
      <c r="E9" s="1626"/>
      <c r="F9" s="1627"/>
      <c r="G9" s="95">
        <v>590202</v>
      </c>
      <c r="H9" s="30" t="s">
        <v>195</v>
      </c>
      <c r="I9" s="93" t="s">
        <v>108</v>
      </c>
      <c r="J9" s="96" t="s">
        <v>199</v>
      </c>
      <c r="K9" s="1619"/>
      <c r="L9" s="1619"/>
      <c r="M9" s="94" t="s">
        <v>3140</v>
      </c>
      <c r="N9" s="94" t="s">
        <v>11417</v>
      </c>
      <c r="O9" s="46" t="s">
        <v>43</v>
      </c>
      <c r="P9" s="1636"/>
      <c r="Q9" s="46" t="s">
        <v>43</v>
      </c>
      <c r="R9" s="98" t="s">
        <v>315</v>
      </c>
      <c r="S9" s="98" t="s">
        <v>438</v>
      </c>
      <c r="T9" s="46" t="s">
        <v>43</v>
      </c>
      <c r="U9" s="46" t="s">
        <v>43</v>
      </c>
      <c r="V9" s="46" t="s">
        <v>43</v>
      </c>
      <c r="W9" s="46" t="s">
        <v>43</v>
      </c>
      <c r="X9" s="93" t="s">
        <v>299</v>
      </c>
      <c r="Y9" s="1619"/>
      <c r="Z9" s="1505"/>
      <c r="AA9" s="219">
        <v>20800000</v>
      </c>
    </row>
    <row r="10" spans="1:27" s="102" customFormat="1" ht="15.75" customHeight="1">
      <c r="A10" s="1450">
        <v>4</v>
      </c>
      <c r="B10" s="1471">
        <v>521</v>
      </c>
      <c r="C10" s="1627"/>
      <c r="D10" s="1625" t="s">
        <v>3141</v>
      </c>
      <c r="E10" s="1675" t="s">
        <v>3142</v>
      </c>
      <c r="F10" s="1627"/>
      <c r="G10" s="95" t="s">
        <v>3143</v>
      </c>
      <c r="H10" s="93" t="s">
        <v>1514</v>
      </c>
      <c r="I10" s="218" t="s">
        <v>7763</v>
      </c>
      <c r="J10" s="96" t="s">
        <v>205</v>
      </c>
      <c r="K10" s="1450" t="s">
        <v>14939</v>
      </c>
      <c r="L10" s="1450" t="s">
        <v>14940</v>
      </c>
      <c r="M10" s="94" t="s">
        <v>221</v>
      </c>
      <c r="N10" s="93" t="s">
        <v>14938</v>
      </c>
      <c r="O10" s="46" t="s">
        <v>43</v>
      </c>
      <c r="P10" s="1634" t="s">
        <v>3156</v>
      </c>
      <c r="Q10" s="95" t="s">
        <v>3144</v>
      </c>
      <c r="R10" s="95" t="s">
        <v>166</v>
      </c>
      <c r="S10" s="46" t="s">
        <v>43</v>
      </c>
      <c r="T10" s="46" t="s">
        <v>43</v>
      </c>
      <c r="U10" s="46" t="s">
        <v>43</v>
      </c>
      <c r="V10" s="46" t="s">
        <v>43</v>
      </c>
      <c r="W10" s="46" t="s">
        <v>43</v>
      </c>
      <c r="X10" s="93" t="s">
        <v>167</v>
      </c>
      <c r="Y10" s="1450" t="s">
        <v>202</v>
      </c>
      <c r="Z10" s="1505" t="s">
        <v>65</v>
      </c>
      <c r="AA10" s="230">
        <v>12800000</v>
      </c>
    </row>
    <row r="11" spans="1:27" s="102" customFormat="1" ht="15.75" customHeight="1">
      <c r="A11" s="1619"/>
      <c r="B11" s="1472"/>
      <c r="C11" s="1626"/>
      <c r="D11" s="1626"/>
      <c r="E11" s="1677"/>
      <c r="F11" s="1626"/>
      <c r="G11" s="95">
        <v>593970</v>
      </c>
      <c r="H11" s="30" t="s">
        <v>195</v>
      </c>
      <c r="I11" s="93" t="s">
        <v>108</v>
      </c>
      <c r="J11" s="96" t="s">
        <v>199</v>
      </c>
      <c r="K11" s="1619"/>
      <c r="L11" s="1619"/>
      <c r="M11" s="94" t="s">
        <v>3145</v>
      </c>
      <c r="N11" s="94" t="s">
        <v>11418</v>
      </c>
      <c r="O11" s="46" t="s">
        <v>43</v>
      </c>
      <c r="P11" s="1636"/>
      <c r="Q11" s="46" t="s">
        <v>43</v>
      </c>
      <c r="R11" s="98" t="s">
        <v>297</v>
      </c>
      <c r="S11" s="98" t="s">
        <v>438</v>
      </c>
      <c r="T11" s="46" t="s">
        <v>43</v>
      </c>
      <c r="U11" s="46" t="s">
        <v>43</v>
      </c>
      <c r="V11" s="46" t="s">
        <v>43</v>
      </c>
      <c r="W11" s="46" t="s">
        <v>43</v>
      </c>
      <c r="X11" s="93" t="s">
        <v>299</v>
      </c>
      <c r="Y11" s="1619"/>
      <c r="Z11" s="1505"/>
      <c r="AA11" s="219">
        <v>20800000</v>
      </c>
    </row>
    <row r="12" spans="1:27">
      <c r="Z12" s="214" t="s">
        <v>90</v>
      </c>
      <c r="AA12" s="290">
        <v>261920000</v>
      </c>
    </row>
    <row r="13" spans="1:27">
      <c r="AA13" s="322"/>
    </row>
    <row r="14" spans="1:27">
      <c r="AA14" s="354"/>
    </row>
    <row r="15" spans="1:27">
      <c r="AA15" s="322"/>
    </row>
    <row r="17" spans="1:27">
      <c r="F17" s="73" t="s">
        <v>4929</v>
      </c>
    </row>
    <row r="19" spans="1:27" ht="22.5">
      <c r="A19" s="1459" t="s">
        <v>14163</v>
      </c>
      <c r="B19" s="1459"/>
      <c r="C19" s="1459"/>
      <c r="D19" s="1459"/>
      <c r="E19" s="1459"/>
      <c r="F19" s="1459"/>
      <c r="G19" s="1459"/>
    </row>
    <row r="20" spans="1:27" s="12" customFormat="1" ht="19.5">
      <c r="A20" s="34" t="s">
        <v>0</v>
      </c>
      <c r="B20" s="34" t="s">
        <v>5</v>
      </c>
      <c r="C20" s="34" t="s">
        <v>2</v>
      </c>
      <c r="D20" s="34" t="s">
        <v>3</v>
      </c>
      <c r="E20" s="1445" t="s">
        <v>88</v>
      </c>
      <c r="F20" s="1446"/>
      <c r="G20" s="34" t="s">
        <v>6</v>
      </c>
      <c r="H20" s="34" t="s">
        <v>7</v>
      </c>
      <c r="I20" s="34" t="s">
        <v>8</v>
      </c>
      <c r="J20" s="34" t="s">
        <v>196</v>
      </c>
      <c r="K20" s="34" t="s">
        <v>9</v>
      </c>
      <c r="L20" s="34" t="s">
        <v>11</v>
      </c>
      <c r="M20" s="34" t="s">
        <v>12</v>
      </c>
      <c r="N20" s="34" t="s">
        <v>216</v>
      </c>
      <c r="O20" s="34" t="s">
        <v>13</v>
      </c>
      <c r="P20" s="35" t="s">
        <v>14</v>
      </c>
      <c r="Q20" s="35" t="s">
        <v>217</v>
      </c>
      <c r="R20" s="35" t="s">
        <v>16</v>
      </c>
      <c r="S20" s="34" t="s">
        <v>17</v>
      </c>
      <c r="T20" s="34" t="s">
        <v>218</v>
      </c>
      <c r="U20" s="34" t="s">
        <v>22</v>
      </c>
      <c r="V20" s="36" t="s">
        <v>23</v>
      </c>
      <c r="W20" s="34" t="s">
        <v>24</v>
      </c>
      <c r="X20" s="58" t="s">
        <v>257</v>
      </c>
      <c r="Z20"/>
      <c r="AA20"/>
    </row>
    <row r="21" spans="1:27">
      <c r="X21" s="219"/>
    </row>
    <row r="22" spans="1:27">
      <c r="X22" s="219"/>
    </row>
    <row r="23" spans="1:27">
      <c r="J23" s="637" t="s">
        <v>12013</v>
      </c>
      <c r="X23" s="230"/>
    </row>
    <row r="24" spans="1:27">
      <c r="J24" s="912" t="s">
        <v>15640</v>
      </c>
      <c r="X24" s="219"/>
    </row>
    <row r="25" spans="1:27">
      <c r="J25" s="912" t="s">
        <v>15641</v>
      </c>
      <c r="X25" s="230"/>
    </row>
    <row r="26" spans="1:27">
      <c r="X26" s="219"/>
    </row>
    <row r="27" spans="1:27">
      <c r="X27" s="230"/>
    </row>
    <row r="28" spans="1:27">
      <c r="X28" s="219"/>
    </row>
  </sheetData>
  <mergeCells count="33">
    <mergeCell ref="Y10:Y11"/>
    <mergeCell ref="Z10:Z11"/>
    <mergeCell ref="D2:D7"/>
    <mergeCell ref="Y2:Y7"/>
    <mergeCell ref="Z2:Z7"/>
    <mergeCell ref="Y8:Y9"/>
    <mergeCell ref="Z8:Z9"/>
    <mergeCell ref="D8:D9"/>
    <mergeCell ref="D10:D11"/>
    <mergeCell ref="E2:E7"/>
    <mergeCell ref="E8:E9"/>
    <mergeCell ref="E10:E11"/>
    <mergeCell ref="F2:F11"/>
    <mergeCell ref="B2:B7"/>
    <mergeCell ref="B8:B9"/>
    <mergeCell ref="B10:B11"/>
    <mergeCell ref="C2:C11"/>
    <mergeCell ref="A19:G19"/>
    <mergeCell ref="A2:A7"/>
    <mergeCell ref="A8:A9"/>
    <mergeCell ref="A10:A11"/>
    <mergeCell ref="E20:F20"/>
    <mergeCell ref="P10:P11"/>
    <mergeCell ref="L2:L7"/>
    <mergeCell ref="L8:L9"/>
    <mergeCell ref="L10:L11"/>
    <mergeCell ref="M4:M5"/>
    <mergeCell ref="N4:N5"/>
    <mergeCell ref="P2:P7"/>
    <mergeCell ref="P8:P9"/>
    <mergeCell ref="K2:K7"/>
    <mergeCell ref="K8:K9"/>
    <mergeCell ref="K10:K11"/>
  </mergeCells>
  <conditionalFormatting sqref="M9 M11 M1:M4 M7">
    <cfRule type="duplicateValues" dxfId="1240" priority="95"/>
  </conditionalFormatting>
  <conditionalFormatting sqref="M8">
    <cfRule type="duplicateValues" dxfId="1239" priority="89"/>
  </conditionalFormatting>
  <conditionalFormatting sqref="M10">
    <cfRule type="duplicateValues" dxfId="1238" priority="87"/>
  </conditionalFormatting>
  <conditionalFormatting sqref="N1:N3">
    <cfRule type="duplicateValues" dxfId="1237" priority="96"/>
  </conditionalFormatting>
  <conditionalFormatting sqref="N9 N4 N11">
    <cfRule type="duplicateValues" dxfId="1236" priority="26"/>
  </conditionalFormatting>
  <conditionalFormatting sqref="N7">
    <cfRule type="duplicateValues" dxfId="1235" priority="21"/>
  </conditionalFormatting>
  <conditionalFormatting sqref="N8">
    <cfRule type="duplicateValues" dxfId="1234" priority="23"/>
  </conditionalFormatting>
  <conditionalFormatting sqref="N10">
    <cfRule type="duplicateValues" dxfId="1233" priority="22"/>
  </conditionalFormatting>
  <conditionalFormatting sqref="N20">
    <cfRule type="duplicateValues" dxfId="1232" priority="8"/>
    <cfRule type="duplicateValues" dxfId="1231" priority="9"/>
    <cfRule type="duplicateValues" dxfId="1230" priority="10"/>
    <cfRule type="duplicateValues" dxfId="1229" priority="11"/>
  </conditionalFormatting>
  <conditionalFormatting sqref="E20">
    <cfRule type="duplicateValues" dxfId="1228" priority="12"/>
  </conditionalFormatting>
  <conditionalFormatting sqref="K20">
    <cfRule type="duplicateValues" dxfId="1227" priority="13"/>
  </conditionalFormatting>
  <conditionalFormatting sqref="L20">
    <cfRule type="duplicateValues" dxfId="1226" priority="14"/>
  </conditionalFormatting>
  <conditionalFormatting sqref="M20">
    <cfRule type="duplicateValues" dxfId="1225" priority="15"/>
    <cfRule type="duplicateValues" dxfId="1224" priority="16"/>
    <cfRule type="duplicateValues" dxfId="1223" priority="17"/>
    <cfRule type="duplicateValues" dxfId="1222" priority="18"/>
  </conditionalFormatting>
  <conditionalFormatting sqref="J24">
    <cfRule type="duplicateValues" dxfId="1221" priority="5"/>
  </conditionalFormatting>
  <conditionalFormatting sqref="J25">
    <cfRule type="duplicateValues" dxfId="1220" priority="4"/>
  </conditionalFormatting>
  <conditionalFormatting sqref="M6">
    <cfRule type="duplicateValues" dxfId="1219" priority="3"/>
  </conditionalFormatting>
  <conditionalFormatting sqref="M6">
    <cfRule type="duplicateValues" dxfId="1218" priority="2"/>
  </conditionalFormatting>
  <conditionalFormatting sqref="N6">
    <cfRule type="duplicateValues" dxfId="1217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0"/>
  <sheetViews>
    <sheetView rightToLeft="1" workbookViewId="0">
      <pane xSplit="10" topLeftCell="K1" activePane="topRight" state="frozen"/>
      <selection pane="topRight" activeCell="H27" sqref="H27"/>
    </sheetView>
  </sheetViews>
  <sheetFormatPr defaultRowHeight="15"/>
  <cols>
    <col min="6" max="6" width="15.7109375" customWidth="1"/>
    <col min="8" max="8" width="18" customWidth="1"/>
    <col min="9" max="9" width="16.85546875" customWidth="1"/>
    <col min="10" max="10" width="25.28515625" customWidth="1"/>
    <col min="11" max="11" width="42.42578125" customWidth="1"/>
    <col min="12" max="12" width="26.5703125" customWidth="1"/>
    <col min="13" max="13" width="25.140625" customWidth="1"/>
    <col min="14" max="14" width="72" customWidth="1"/>
    <col min="15" max="15" width="28.140625" customWidth="1"/>
    <col min="16" max="16" width="34.140625" customWidth="1"/>
    <col min="17" max="17" width="17.42578125" customWidth="1"/>
    <col min="18" max="18" width="26.5703125" customWidth="1"/>
    <col min="19" max="19" width="19.7109375" customWidth="1"/>
    <col min="20" max="20" width="30.7109375" customWidth="1"/>
    <col min="21" max="21" width="23.28515625" customWidth="1"/>
    <col min="22" max="22" width="22" customWidth="1"/>
    <col min="23" max="23" width="27.85546875" customWidth="1"/>
    <col min="24" max="24" width="33.5703125" customWidth="1"/>
    <col min="25" max="25" width="33.85546875" customWidth="1"/>
    <col min="26" max="26" width="22.140625" customWidth="1"/>
    <col min="27" max="27" width="13.7109375" bestFit="1" customWidth="1"/>
  </cols>
  <sheetData>
    <row r="1" spans="1:27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27" customFormat="1" ht="15.75" customHeight="1">
      <c r="A2" s="1390">
        <v>1</v>
      </c>
      <c r="B2" s="1492">
        <v>345</v>
      </c>
      <c r="C2" s="1390" t="s">
        <v>334</v>
      </c>
      <c r="D2" s="1390" t="s">
        <v>334</v>
      </c>
      <c r="E2" s="1678" t="s">
        <v>2695</v>
      </c>
      <c r="F2" s="1390" t="s">
        <v>334</v>
      </c>
      <c r="G2" s="28" t="s">
        <v>9151</v>
      </c>
      <c r="H2" s="21" t="s">
        <v>28</v>
      </c>
      <c r="I2" s="1390" t="s">
        <v>108</v>
      </c>
      <c r="J2" s="24" t="s">
        <v>9333</v>
      </c>
      <c r="K2" s="1488" t="s">
        <v>2937</v>
      </c>
      <c r="L2" s="1390" t="s">
        <v>2696</v>
      </c>
      <c r="M2" s="21" t="s">
        <v>2697</v>
      </c>
      <c r="N2" s="21" t="s">
        <v>2934</v>
      </c>
      <c r="O2" s="46" t="s">
        <v>43</v>
      </c>
      <c r="P2" s="1482" t="s">
        <v>2698</v>
      </c>
      <c r="Q2" s="46" t="s">
        <v>43</v>
      </c>
      <c r="R2" s="26" t="s">
        <v>2699</v>
      </c>
      <c r="S2" s="46" t="s">
        <v>43</v>
      </c>
      <c r="T2" s="46" t="s">
        <v>43</v>
      </c>
      <c r="U2" s="46" t="s">
        <v>43</v>
      </c>
      <c r="V2" s="46" t="s">
        <v>43</v>
      </c>
      <c r="W2" s="26" t="s">
        <v>2700</v>
      </c>
      <c r="X2" s="21" t="s">
        <v>2701</v>
      </c>
      <c r="Y2" s="1495" t="s">
        <v>93</v>
      </c>
      <c r="Z2" s="1495" t="s">
        <v>484</v>
      </c>
      <c r="AA2" s="219">
        <v>39442000</v>
      </c>
    </row>
    <row r="3" spans="1:27" s="27" customFormat="1" ht="15.75" customHeight="1">
      <c r="A3" s="1391"/>
      <c r="B3" s="1493"/>
      <c r="C3" s="1391"/>
      <c r="D3" s="1391"/>
      <c r="E3" s="1679"/>
      <c r="F3" s="1391"/>
      <c r="G3" s="28" t="s">
        <v>2702</v>
      </c>
      <c r="H3" s="30" t="s">
        <v>195</v>
      </c>
      <c r="I3" s="1391"/>
      <c r="J3" s="24" t="s">
        <v>204</v>
      </c>
      <c r="K3" s="1489"/>
      <c r="L3" s="1391"/>
      <c r="M3" s="21" t="s">
        <v>2703</v>
      </c>
      <c r="N3" s="21" t="s">
        <v>2935</v>
      </c>
      <c r="O3" s="46" t="s">
        <v>43</v>
      </c>
      <c r="P3" s="1483"/>
      <c r="Q3" s="46" t="s">
        <v>43</v>
      </c>
      <c r="R3" s="26" t="s">
        <v>246</v>
      </c>
      <c r="S3" s="46" t="s">
        <v>43</v>
      </c>
      <c r="T3" s="46" t="s">
        <v>43</v>
      </c>
      <c r="U3" s="46" t="s">
        <v>43</v>
      </c>
      <c r="V3" s="46" t="s">
        <v>43</v>
      </c>
      <c r="W3" s="26" t="s">
        <v>1957</v>
      </c>
      <c r="X3" s="21" t="s">
        <v>2701</v>
      </c>
      <c r="Y3" s="1497"/>
      <c r="Z3" s="1497"/>
      <c r="AA3" s="219">
        <v>36400000</v>
      </c>
    </row>
    <row r="4" spans="1:27" s="27" customFormat="1" ht="15.75" customHeight="1">
      <c r="A4" s="1391"/>
      <c r="B4" s="1493"/>
      <c r="C4" s="1391"/>
      <c r="D4" s="1391"/>
      <c r="E4" s="1679"/>
      <c r="F4" s="1391"/>
      <c r="G4" s="28" t="s">
        <v>11839</v>
      </c>
      <c r="H4" s="30" t="s">
        <v>2933</v>
      </c>
      <c r="I4" s="1391"/>
      <c r="J4" s="24" t="s">
        <v>204</v>
      </c>
      <c r="K4" s="1489"/>
      <c r="L4" s="1391"/>
      <c r="M4" s="21" t="s">
        <v>2704</v>
      </c>
      <c r="N4" s="21" t="s">
        <v>2705</v>
      </c>
      <c r="O4" s="46" t="s">
        <v>43</v>
      </c>
      <c r="P4" s="1483"/>
      <c r="Q4" s="46" t="s">
        <v>43</v>
      </c>
      <c r="R4" s="26" t="s">
        <v>315</v>
      </c>
      <c r="S4" s="1495" t="s">
        <v>2706</v>
      </c>
      <c r="T4" s="46" t="s">
        <v>43</v>
      </c>
      <c r="U4" s="46" t="s">
        <v>43</v>
      </c>
      <c r="V4" s="46" t="s">
        <v>43</v>
      </c>
      <c r="W4" s="46" t="s">
        <v>43</v>
      </c>
      <c r="X4" s="21" t="s">
        <v>299</v>
      </c>
      <c r="Y4" s="1497"/>
      <c r="Z4" s="1497"/>
      <c r="AA4" s="219">
        <v>0</v>
      </c>
    </row>
    <row r="5" spans="1:27" s="27" customFormat="1" ht="15.75" customHeight="1">
      <c r="A5" s="1391"/>
      <c r="B5" s="1493"/>
      <c r="C5" s="1391"/>
      <c r="D5" s="1391"/>
      <c r="E5" s="1679"/>
      <c r="F5" s="1391"/>
      <c r="G5" s="26" t="s">
        <v>11840</v>
      </c>
      <c r="H5" s="30" t="s">
        <v>2933</v>
      </c>
      <c r="I5" s="1391"/>
      <c r="J5" s="24" t="s">
        <v>204</v>
      </c>
      <c r="K5" s="1489"/>
      <c r="L5" s="1391"/>
      <c r="M5" s="21" t="s">
        <v>2707</v>
      </c>
      <c r="N5" s="21" t="s">
        <v>14890</v>
      </c>
      <c r="O5" s="46" t="s">
        <v>43</v>
      </c>
      <c r="P5" s="1483"/>
      <c r="Q5" s="46" t="s">
        <v>43</v>
      </c>
      <c r="R5" s="26" t="s">
        <v>297</v>
      </c>
      <c r="S5" s="1497"/>
      <c r="T5" s="46" t="s">
        <v>43</v>
      </c>
      <c r="U5" s="46" t="s">
        <v>43</v>
      </c>
      <c r="V5" s="46" t="s">
        <v>43</v>
      </c>
      <c r="W5" s="46" t="s">
        <v>43</v>
      </c>
      <c r="X5" s="21" t="s">
        <v>299</v>
      </c>
      <c r="Y5" s="1497"/>
      <c r="Z5" s="1497"/>
      <c r="AA5" s="219">
        <v>0</v>
      </c>
    </row>
    <row r="6" spans="1:27" s="27" customFormat="1" ht="15.75" customHeight="1">
      <c r="A6" s="1395"/>
      <c r="B6" s="1494"/>
      <c r="C6" s="1391"/>
      <c r="D6" s="1391"/>
      <c r="E6" s="1680"/>
      <c r="F6" s="1391"/>
      <c r="G6" s="28" t="s">
        <v>43</v>
      </c>
      <c r="H6" s="721" t="s">
        <v>14892</v>
      </c>
      <c r="I6" s="21" t="s">
        <v>45</v>
      </c>
      <c r="J6" s="24" t="s">
        <v>11886</v>
      </c>
      <c r="K6" s="1490"/>
      <c r="L6" s="1395"/>
      <c r="M6" s="21" t="s">
        <v>2710</v>
      </c>
      <c r="N6" s="21" t="s">
        <v>2936</v>
      </c>
      <c r="O6" s="46" t="s">
        <v>43</v>
      </c>
      <c r="P6" s="1484"/>
      <c r="Q6" s="46" t="s">
        <v>43</v>
      </c>
      <c r="R6" s="26" t="s">
        <v>2711</v>
      </c>
      <c r="S6" s="46" t="s">
        <v>43</v>
      </c>
      <c r="T6" s="46" t="s">
        <v>43</v>
      </c>
      <c r="U6" s="46" t="s">
        <v>43</v>
      </c>
      <c r="V6" s="46" t="s">
        <v>43</v>
      </c>
      <c r="W6" s="46" t="s">
        <v>43</v>
      </c>
      <c r="X6" s="21" t="s">
        <v>56</v>
      </c>
      <c r="Y6" s="1496"/>
      <c r="Z6" s="1496"/>
      <c r="AA6" s="219">
        <v>0</v>
      </c>
    </row>
    <row r="7" spans="1:27" s="27" customFormat="1" ht="15.75" customHeight="1">
      <c r="A7" s="1390">
        <v>2</v>
      </c>
      <c r="B7" s="1480">
        <v>319</v>
      </c>
      <c r="C7" s="1391"/>
      <c r="D7" s="1391"/>
      <c r="E7" s="1390" t="s">
        <v>2712</v>
      </c>
      <c r="F7" s="1391"/>
      <c r="G7" s="28">
        <v>547269</v>
      </c>
      <c r="H7" s="21" t="s">
        <v>1659</v>
      </c>
      <c r="I7" s="21" t="s">
        <v>108</v>
      </c>
      <c r="J7" s="24" t="s">
        <v>199</v>
      </c>
      <c r="K7" s="1390" t="s">
        <v>14886</v>
      </c>
      <c r="L7" s="1390" t="s">
        <v>14887</v>
      </c>
      <c r="M7" s="21" t="s">
        <v>14888</v>
      </c>
      <c r="N7" s="21" t="s">
        <v>14889</v>
      </c>
      <c r="O7" s="46" t="s">
        <v>43</v>
      </c>
      <c r="P7" s="1482" t="s">
        <v>2713</v>
      </c>
      <c r="Q7" s="46" t="s">
        <v>43</v>
      </c>
      <c r="R7" s="26" t="s">
        <v>315</v>
      </c>
      <c r="S7" s="1495" t="s">
        <v>2706</v>
      </c>
      <c r="T7" s="46" t="s">
        <v>43</v>
      </c>
      <c r="U7" s="46" t="s">
        <v>43</v>
      </c>
      <c r="V7" s="46" t="s">
        <v>43</v>
      </c>
      <c r="W7" s="46" t="s">
        <v>43</v>
      </c>
      <c r="X7" s="21" t="s">
        <v>299</v>
      </c>
      <c r="Y7" s="1390" t="s">
        <v>202</v>
      </c>
      <c r="Z7" s="1452" t="s">
        <v>65</v>
      </c>
      <c r="AA7" s="219">
        <v>8000000</v>
      </c>
    </row>
    <row r="8" spans="1:27" s="27" customFormat="1" ht="15.75" customHeight="1">
      <c r="A8" s="1395"/>
      <c r="B8" s="1491"/>
      <c r="C8" s="1391"/>
      <c r="D8" s="1391"/>
      <c r="E8" s="1395"/>
      <c r="F8" s="1391"/>
      <c r="G8" s="28">
        <v>621852</v>
      </c>
      <c r="H8" s="21" t="s">
        <v>107</v>
      </c>
      <c r="I8" s="21" t="s">
        <v>108</v>
      </c>
      <c r="J8" s="24" t="s">
        <v>199</v>
      </c>
      <c r="K8" s="1395"/>
      <c r="L8" s="1395"/>
      <c r="M8" s="21" t="s">
        <v>2714</v>
      </c>
      <c r="N8" s="21" t="s">
        <v>2939</v>
      </c>
      <c r="O8" s="46" t="s">
        <v>43</v>
      </c>
      <c r="P8" s="1484"/>
      <c r="Q8" s="46" t="s">
        <v>43</v>
      </c>
      <c r="R8" s="26" t="s">
        <v>297</v>
      </c>
      <c r="S8" s="1497"/>
      <c r="T8" s="46" t="s">
        <v>43</v>
      </c>
      <c r="U8" s="46" t="s">
        <v>43</v>
      </c>
      <c r="V8" s="46" t="s">
        <v>43</v>
      </c>
      <c r="W8" s="46" t="s">
        <v>43</v>
      </c>
      <c r="X8" s="21" t="s">
        <v>299</v>
      </c>
      <c r="Y8" s="1395"/>
      <c r="Z8" s="1452"/>
      <c r="AA8" s="219">
        <v>20800000</v>
      </c>
    </row>
    <row r="9" spans="1:27" s="27" customFormat="1" ht="15.75" customHeight="1">
      <c r="A9" s="1390">
        <v>3</v>
      </c>
      <c r="B9" s="1480">
        <v>338</v>
      </c>
      <c r="C9" s="1391"/>
      <c r="D9" s="1391"/>
      <c r="E9" s="1390" t="s">
        <v>2715</v>
      </c>
      <c r="F9" s="1391"/>
      <c r="G9" s="28">
        <v>547268</v>
      </c>
      <c r="H9" s="21" t="s">
        <v>1659</v>
      </c>
      <c r="I9" s="21" t="s">
        <v>108</v>
      </c>
      <c r="J9" s="24" t="s">
        <v>205</v>
      </c>
      <c r="K9" s="1390" t="s">
        <v>14893</v>
      </c>
      <c r="L9" s="1390" t="s">
        <v>14894</v>
      </c>
      <c r="M9" s="21" t="s">
        <v>14895</v>
      </c>
      <c r="N9" s="21" t="s">
        <v>14896</v>
      </c>
      <c r="O9" s="46" t="s">
        <v>43</v>
      </c>
      <c r="P9" s="1482" t="s">
        <v>2716</v>
      </c>
      <c r="Q9" s="46" t="s">
        <v>43</v>
      </c>
      <c r="R9" s="26" t="s">
        <v>315</v>
      </c>
      <c r="S9" s="1497"/>
      <c r="T9" s="46" t="s">
        <v>43</v>
      </c>
      <c r="U9" s="46" t="s">
        <v>43</v>
      </c>
      <c r="V9" s="46" t="s">
        <v>43</v>
      </c>
      <c r="W9" s="46" t="s">
        <v>43</v>
      </c>
      <c r="X9" s="21" t="s">
        <v>299</v>
      </c>
      <c r="Y9" s="1390" t="s">
        <v>202</v>
      </c>
      <c r="Z9" s="1452" t="s">
        <v>65</v>
      </c>
      <c r="AA9" s="219">
        <v>4000000</v>
      </c>
    </row>
    <row r="10" spans="1:27" s="27" customFormat="1" ht="15.75" customHeight="1">
      <c r="A10" s="1395"/>
      <c r="B10" s="1491"/>
      <c r="C10" s="1391"/>
      <c r="D10" s="1395"/>
      <c r="E10" s="1395"/>
      <c r="F10" s="1391"/>
      <c r="G10" s="28">
        <v>595211</v>
      </c>
      <c r="H10" s="21" t="s">
        <v>107</v>
      </c>
      <c r="I10" s="21" t="s">
        <v>108</v>
      </c>
      <c r="J10" s="24" t="s">
        <v>199</v>
      </c>
      <c r="K10" s="1395"/>
      <c r="L10" s="1395"/>
      <c r="M10" s="21" t="s">
        <v>2717</v>
      </c>
      <c r="N10" s="21" t="s">
        <v>2940</v>
      </c>
      <c r="O10" s="46" t="s">
        <v>43</v>
      </c>
      <c r="P10" s="1484"/>
      <c r="Q10" s="46" t="s">
        <v>43</v>
      </c>
      <c r="R10" s="26" t="s">
        <v>297</v>
      </c>
      <c r="S10" s="1497"/>
      <c r="T10" s="46" t="s">
        <v>43</v>
      </c>
      <c r="U10" s="46" t="s">
        <v>43</v>
      </c>
      <c r="V10" s="46" t="s">
        <v>43</v>
      </c>
      <c r="W10" s="46" t="s">
        <v>43</v>
      </c>
      <c r="X10" s="21" t="s">
        <v>299</v>
      </c>
      <c r="Y10" s="1395"/>
      <c r="Z10" s="1452"/>
      <c r="AA10" s="219">
        <v>20800000</v>
      </c>
    </row>
    <row r="11" spans="1:27" s="27" customFormat="1" ht="15.75" customHeight="1">
      <c r="A11" s="1390">
        <v>4</v>
      </c>
      <c r="B11" s="1471">
        <v>376</v>
      </c>
      <c r="C11" s="1391"/>
      <c r="D11" s="1390" t="s">
        <v>2718</v>
      </c>
      <c r="E11" s="1390" t="s">
        <v>2718</v>
      </c>
      <c r="F11" s="1391"/>
      <c r="G11" s="28" t="s">
        <v>2719</v>
      </c>
      <c r="H11" s="21" t="s">
        <v>1659</v>
      </c>
      <c r="I11" s="21" t="s">
        <v>108</v>
      </c>
      <c r="J11" s="24" t="s">
        <v>199</v>
      </c>
      <c r="K11" s="1390" t="s">
        <v>14898</v>
      </c>
      <c r="L11" s="1390" t="s">
        <v>14897</v>
      </c>
      <c r="M11" s="21" t="s">
        <v>14899</v>
      </c>
      <c r="N11" s="21" t="s">
        <v>14900</v>
      </c>
      <c r="O11" s="46" t="s">
        <v>43</v>
      </c>
      <c r="P11" s="1482" t="s">
        <v>2720</v>
      </c>
      <c r="Q11" s="46" t="s">
        <v>43</v>
      </c>
      <c r="R11" s="26" t="s">
        <v>315</v>
      </c>
      <c r="S11" s="1497"/>
      <c r="T11" s="46" t="s">
        <v>43</v>
      </c>
      <c r="U11" s="46" t="s">
        <v>43</v>
      </c>
      <c r="V11" s="46" t="s">
        <v>43</v>
      </c>
      <c r="W11" s="46" t="s">
        <v>43</v>
      </c>
      <c r="X11" s="21" t="s">
        <v>299</v>
      </c>
      <c r="Y11" s="1390" t="s">
        <v>202</v>
      </c>
      <c r="Z11" s="1452" t="s">
        <v>65</v>
      </c>
      <c r="AA11" s="219">
        <v>12000000</v>
      </c>
    </row>
    <row r="12" spans="1:27" s="27" customFormat="1" ht="15.75" customHeight="1">
      <c r="A12" s="1395"/>
      <c r="B12" s="1472"/>
      <c r="C12" s="1391"/>
      <c r="D12" s="1395"/>
      <c r="E12" s="1395"/>
      <c r="F12" s="1391"/>
      <c r="G12" s="28" t="s">
        <v>2721</v>
      </c>
      <c r="H12" s="21" t="s">
        <v>107</v>
      </c>
      <c r="I12" s="21" t="s">
        <v>108</v>
      </c>
      <c r="J12" s="24" t="s">
        <v>199</v>
      </c>
      <c r="K12" s="1395"/>
      <c r="L12" s="1395"/>
      <c r="M12" s="21" t="s">
        <v>2722</v>
      </c>
      <c r="N12" s="21" t="s">
        <v>2941</v>
      </c>
      <c r="O12" s="46" t="s">
        <v>43</v>
      </c>
      <c r="P12" s="1484"/>
      <c r="Q12" s="46" t="s">
        <v>43</v>
      </c>
      <c r="R12" s="26" t="s">
        <v>297</v>
      </c>
      <c r="S12" s="1497"/>
      <c r="T12" s="46" t="s">
        <v>43</v>
      </c>
      <c r="U12" s="46" t="s">
        <v>43</v>
      </c>
      <c r="V12" s="46" t="s">
        <v>43</v>
      </c>
      <c r="W12" s="46" t="s">
        <v>43</v>
      </c>
      <c r="X12" s="21" t="s">
        <v>299</v>
      </c>
      <c r="Y12" s="1395"/>
      <c r="Z12" s="1452"/>
      <c r="AA12" s="219">
        <v>20800000</v>
      </c>
    </row>
    <row r="13" spans="1:27" s="27" customFormat="1" ht="15.75" customHeight="1">
      <c r="A13" s="1390">
        <v>5</v>
      </c>
      <c r="B13" s="1480">
        <v>437</v>
      </c>
      <c r="C13" s="1391"/>
      <c r="D13" s="1390" t="s">
        <v>2723</v>
      </c>
      <c r="E13" s="1390" t="s">
        <v>2723</v>
      </c>
      <c r="F13" s="1391"/>
      <c r="G13" s="28">
        <v>535517</v>
      </c>
      <c r="H13" s="21" t="s">
        <v>1659</v>
      </c>
      <c r="I13" s="21" t="s">
        <v>108</v>
      </c>
      <c r="J13" s="24" t="s">
        <v>205</v>
      </c>
      <c r="K13" s="1390" t="s">
        <v>14902</v>
      </c>
      <c r="L13" s="1390" t="s">
        <v>14901</v>
      </c>
      <c r="M13" s="21" t="s">
        <v>14903</v>
      </c>
      <c r="N13" s="21" t="s">
        <v>14904</v>
      </c>
      <c r="O13" s="46" t="s">
        <v>43</v>
      </c>
      <c r="P13" s="1482" t="s">
        <v>2724</v>
      </c>
      <c r="Q13" s="46" t="s">
        <v>43</v>
      </c>
      <c r="R13" s="26" t="s">
        <v>315</v>
      </c>
      <c r="S13" s="1497"/>
      <c r="T13" s="46" t="s">
        <v>43</v>
      </c>
      <c r="U13" s="46" t="s">
        <v>43</v>
      </c>
      <c r="V13" s="46" t="s">
        <v>43</v>
      </c>
      <c r="W13" s="46" t="s">
        <v>43</v>
      </c>
      <c r="X13" s="21" t="s">
        <v>299</v>
      </c>
      <c r="Y13" s="1390" t="s">
        <v>202</v>
      </c>
      <c r="Z13" s="1452" t="s">
        <v>65</v>
      </c>
      <c r="AA13" s="219">
        <v>6000000</v>
      </c>
    </row>
    <row r="14" spans="1:27" s="27" customFormat="1" ht="15.75" customHeight="1">
      <c r="A14" s="1395"/>
      <c r="B14" s="1491"/>
      <c r="C14" s="1391"/>
      <c r="D14" s="1395"/>
      <c r="E14" s="1395"/>
      <c r="F14" s="1391"/>
      <c r="G14" s="28">
        <v>595215</v>
      </c>
      <c r="H14" s="21" t="s">
        <v>107</v>
      </c>
      <c r="I14" s="21" t="s">
        <v>108</v>
      </c>
      <c r="J14" s="24" t="s">
        <v>199</v>
      </c>
      <c r="K14" s="1395"/>
      <c r="L14" s="1395"/>
      <c r="M14" s="21" t="s">
        <v>2725</v>
      </c>
      <c r="N14" s="21" t="s">
        <v>2942</v>
      </c>
      <c r="O14" s="46" t="s">
        <v>43</v>
      </c>
      <c r="P14" s="1484"/>
      <c r="Q14" s="46" t="s">
        <v>43</v>
      </c>
      <c r="R14" s="26" t="s">
        <v>297</v>
      </c>
      <c r="S14" s="1497"/>
      <c r="T14" s="46" t="s">
        <v>43</v>
      </c>
      <c r="U14" s="46" t="s">
        <v>43</v>
      </c>
      <c r="V14" s="46" t="s">
        <v>43</v>
      </c>
      <c r="W14" s="46" t="s">
        <v>43</v>
      </c>
      <c r="X14" s="21" t="s">
        <v>299</v>
      </c>
      <c r="Y14" s="1395"/>
      <c r="Z14" s="1452"/>
      <c r="AA14" s="219">
        <v>20800000</v>
      </c>
    </row>
    <row r="15" spans="1:27" s="27" customFormat="1" ht="15.75" customHeight="1">
      <c r="A15" s="1390">
        <v>6</v>
      </c>
      <c r="B15" s="1480">
        <v>441</v>
      </c>
      <c r="C15" s="1391"/>
      <c r="D15" s="1390" t="s">
        <v>2726</v>
      </c>
      <c r="E15" s="1390" t="s">
        <v>2726</v>
      </c>
      <c r="F15" s="1391"/>
      <c r="G15" s="28">
        <v>535527</v>
      </c>
      <c r="H15" s="21" t="s">
        <v>1659</v>
      </c>
      <c r="I15" s="21" t="s">
        <v>108</v>
      </c>
      <c r="J15" s="24" t="s">
        <v>205</v>
      </c>
      <c r="K15" s="1390" t="s">
        <v>14906</v>
      </c>
      <c r="L15" s="1390" t="s">
        <v>14905</v>
      </c>
      <c r="M15" s="21" t="s">
        <v>14907</v>
      </c>
      <c r="N15" s="21" t="s">
        <v>14908</v>
      </c>
      <c r="O15" s="46" t="s">
        <v>43</v>
      </c>
      <c r="P15" s="1482" t="s">
        <v>2727</v>
      </c>
      <c r="Q15" s="46" t="s">
        <v>43</v>
      </c>
      <c r="R15" s="26" t="s">
        <v>315</v>
      </c>
      <c r="S15" s="1497"/>
      <c r="T15" s="46" t="s">
        <v>43</v>
      </c>
      <c r="U15" s="46" t="s">
        <v>43</v>
      </c>
      <c r="V15" s="46" t="s">
        <v>43</v>
      </c>
      <c r="W15" s="46" t="s">
        <v>43</v>
      </c>
      <c r="X15" s="21" t="s">
        <v>299</v>
      </c>
      <c r="Y15" s="1390" t="s">
        <v>202</v>
      </c>
      <c r="Z15" s="1452" t="s">
        <v>65</v>
      </c>
      <c r="AA15" s="219">
        <v>6000000</v>
      </c>
    </row>
    <row r="16" spans="1:27" s="27" customFormat="1" ht="15.75" customHeight="1">
      <c r="A16" s="1395"/>
      <c r="B16" s="1491"/>
      <c r="C16" s="1391"/>
      <c r="D16" s="1395"/>
      <c r="E16" s="1395"/>
      <c r="F16" s="1391"/>
      <c r="G16" s="28">
        <v>595216</v>
      </c>
      <c r="H16" s="21" t="s">
        <v>107</v>
      </c>
      <c r="I16" s="21" t="s">
        <v>108</v>
      </c>
      <c r="J16" s="24" t="s">
        <v>199</v>
      </c>
      <c r="K16" s="1395"/>
      <c r="L16" s="1395"/>
      <c r="M16" s="21" t="s">
        <v>2728</v>
      </c>
      <c r="N16" s="21" t="s">
        <v>2943</v>
      </c>
      <c r="O16" s="46" t="s">
        <v>43</v>
      </c>
      <c r="P16" s="1484"/>
      <c r="Q16" s="46" t="s">
        <v>43</v>
      </c>
      <c r="R16" s="26" t="s">
        <v>297</v>
      </c>
      <c r="S16" s="1497"/>
      <c r="T16" s="46" t="s">
        <v>43</v>
      </c>
      <c r="U16" s="46" t="s">
        <v>43</v>
      </c>
      <c r="V16" s="46" t="s">
        <v>43</v>
      </c>
      <c r="W16" s="46" t="s">
        <v>43</v>
      </c>
      <c r="X16" s="21" t="s">
        <v>299</v>
      </c>
      <c r="Y16" s="1395"/>
      <c r="Z16" s="1452"/>
      <c r="AA16" s="219">
        <v>20800000</v>
      </c>
    </row>
    <row r="17" spans="1:27" s="27" customFormat="1" ht="19.5">
      <c r="B17" s="78"/>
      <c r="G17" s="79"/>
      <c r="J17" s="80"/>
      <c r="P17" s="80"/>
      <c r="Q17" s="79"/>
      <c r="R17" s="79"/>
      <c r="S17" s="79"/>
      <c r="T17" s="46"/>
      <c r="U17" s="46"/>
      <c r="V17" s="46"/>
      <c r="W17" s="79"/>
      <c r="Z17" s="214" t="s">
        <v>90</v>
      </c>
      <c r="AA17" s="290">
        <v>240642000</v>
      </c>
    </row>
    <row r="19" spans="1:27">
      <c r="K19" s="73" t="s">
        <v>2938</v>
      </c>
    </row>
    <row r="21" spans="1:27" ht="22.5">
      <c r="A21" s="1459" t="s">
        <v>14163</v>
      </c>
      <c r="B21" s="1459"/>
      <c r="C21" s="1459"/>
      <c r="D21" s="1459"/>
      <c r="E21" s="1459"/>
      <c r="F21" s="1459"/>
      <c r="G21" s="1459"/>
    </row>
    <row r="22" spans="1:27" s="12" customFormat="1" ht="19.5">
      <c r="A22" s="34" t="s">
        <v>0</v>
      </c>
      <c r="B22" s="34" t="s">
        <v>5</v>
      </c>
      <c r="C22" s="34" t="s">
        <v>2</v>
      </c>
      <c r="D22" s="34" t="s">
        <v>3</v>
      </c>
      <c r="E22" s="1445" t="s">
        <v>88</v>
      </c>
      <c r="F22" s="1446"/>
      <c r="G22" s="34" t="s">
        <v>6</v>
      </c>
      <c r="H22" s="34" t="s">
        <v>7</v>
      </c>
      <c r="I22" s="34" t="s">
        <v>8</v>
      </c>
      <c r="J22" s="34" t="s">
        <v>196</v>
      </c>
      <c r="K22" s="34" t="s">
        <v>9</v>
      </c>
      <c r="L22" s="34" t="s">
        <v>11</v>
      </c>
      <c r="M22" s="34" t="s">
        <v>12</v>
      </c>
      <c r="N22" s="34" t="s">
        <v>216</v>
      </c>
      <c r="O22" s="34" t="s">
        <v>13</v>
      </c>
      <c r="P22" s="35" t="s">
        <v>14</v>
      </c>
      <c r="Q22" s="35" t="s">
        <v>217</v>
      </c>
      <c r="R22" s="35" t="s">
        <v>16</v>
      </c>
      <c r="S22" s="34" t="s">
        <v>17</v>
      </c>
      <c r="T22" s="34" t="s">
        <v>218</v>
      </c>
      <c r="U22" s="34" t="s">
        <v>22</v>
      </c>
      <c r="V22" s="36" t="s">
        <v>23</v>
      </c>
      <c r="W22" s="34" t="s">
        <v>24</v>
      </c>
      <c r="X22" s="58" t="s">
        <v>257</v>
      </c>
      <c r="Z22"/>
      <c r="AA22"/>
    </row>
    <row r="23" spans="1:27" ht="18">
      <c r="AA23" s="83"/>
    </row>
    <row r="24" spans="1:27" ht="18">
      <c r="AA24" s="83"/>
    </row>
    <row r="25" spans="1:27">
      <c r="J25" s="637" t="s">
        <v>12013</v>
      </c>
      <c r="X25" s="219"/>
    </row>
    <row r="26" spans="1:27">
      <c r="J26" s="912" t="s">
        <v>2734</v>
      </c>
      <c r="X26" s="219"/>
    </row>
    <row r="27" spans="1:27">
      <c r="X27" s="230"/>
    </row>
    <row r="28" spans="1:27">
      <c r="X28" s="219"/>
    </row>
    <row r="29" spans="1:27">
      <c r="X29" s="230"/>
    </row>
    <row r="30" spans="1:27">
      <c r="X30" s="219"/>
    </row>
  </sheetData>
  <mergeCells count="59">
    <mergeCell ref="S4:S5"/>
    <mergeCell ref="S7:S16"/>
    <mergeCell ref="K2:K6"/>
    <mergeCell ref="L2:L6"/>
    <mergeCell ref="P2:P6"/>
    <mergeCell ref="P9:P10"/>
    <mergeCell ref="P7:P8"/>
    <mergeCell ref="P11:P12"/>
    <mergeCell ref="P13:P14"/>
    <mergeCell ref="P15:P16"/>
    <mergeCell ref="K11:K12"/>
    <mergeCell ref="L11:L12"/>
    <mergeCell ref="K13:K14"/>
    <mergeCell ref="L13:L14"/>
    <mergeCell ref="K15:K16"/>
    <mergeCell ref="L15:L16"/>
    <mergeCell ref="Y7:Y8"/>
    <mergeCell ref="Z7:Z8"/>
    <mergeCell ref="Y9:Y10"/>
    <mergeCell ref="Z9:Z10"/>
    <mergeCell ref="K7:K8"/>
    <mergeCell ref="L7:L8"/>
    <mergeCell ref="K9:K10"/>
    <mergeCell ref="L9:L10"/>
    <mergeCell ref="A2:A6"/>
    <mergeCell ref="B15:B16"/>
    <mergeCell ref="C2:C16"/>
    <mergeCell ref="Y11:Y12"/>
    <mergeCell ref="Z11:Z12"/>
    <mergeCell ref="Y13:Y14"/>
    <mergeCell ref="Z13:Z14"/>
    <mergeCell ref="Y15:Y16"/>
    <mergeCell ref="Z15:Z16"/>
    <mergeCell ref="B2:B6"/>
    <mergeCell ref="B7:B8"/>
    <mergeCell ref="B9:B10"/>
    <mergeCell ref="B11:B12"/>
    <mergeCell ref="B13:B14"/>
    <mergeCell ref="Y2:Y6"/>
    <mergeCell ref="Z2:Z6"/>
    <mergeCell ref="I2:I5"/>
    <mergeCell ref="D2:D10"/>
    <mergeCell ref="D11:D12"/>
    <mergeCell ref="D13:D14"/>
    <mergeCell ref="D15:D16"/>
    <mergeCell ref="E2:E6"/>
    <mergeCell ref="E7:E8"/>
    <mergeCell ref="E9:E10"/>
    <mergeCell ref="E11:E12"/>
    <mergeCell ref="E15:E16"/>
    <mergeCell ref="F2:F16"/>
    <mergeCell ref="E13:E14"/>
    <mergeCell ref="A7:A8"/>
    <mergeCell ref="A9:A10"/>
    <mergeCell ref="A11:A12"/>
    <mergeCell ref="A13:A14"/>
    <mergeCell ref="E22:F22"/>
    <mergeCell ref="A21:G21"/>
    <mergeCell ref="A15:A16"/>
  </mergeCells>
  <conditionalFormatting sqref="M7">
    <cfRule type="duplicateValues" dxfId="1216" priority="73"/>
  </conditionalFormatting>
  <conditionalFormatting sqref="M9">
    <cfRule type="duplicateValues" dxfId="1215" priority="71"/>
  </conditionalFormatting>
  <conditionalFormatting sqref="M11">
    <cfRule type="duplicateValues" dxfId="1214" priority="69"/>
  </conditionalFormatting>
  <conditionalFormatting sqref="M13">
    <cfRule type="duplicateValues" dxfId="1213" priority="67"/>
  </conditionalFormatting>
  <conditionalFormatting sqref="M15">
    <cfRule type="duplicateValues" dxfId="1212" priority="65"/>
  </conditionalFormatting>
  <conditionalFormatting sqref="N3">
    <cfRule type="duplicateValues" dxfId="1211" priority="25"/>
  </conditionalFormatting>
  <conditionalFormatting sqref="N6">
    <cfRule type="duplicateValues" dxfId="1210" priority="24"/>
  </conditionalFormatting>
  <conditionalFormatting sqref="N7">
    <cfRule type="duplicateValues" dxfId="1209" priority="74"/>
  </conditionalFormatting>
  <conditionalFormatting sqref="N8">
    <cfRule type="duplicateValues" dxfId="1208" priority="23"/>
  </conditionalFormatting>
  <conditionalFormatting sqref="N9">
    <cfRule type="duplicateValues" dxfId="1207" priority="72"/>
  </conditionalFormatting>
  <conditionalFormatting sqref="N10">
    <cfRule type="duplicateValues" dxfId="1206" priority="22"/>
  </conditionalFormatting>
  <conditionalFormatting sqref="N11">
    <cfRule type="duplicateValues" dxfId="1205" priority="70"/>
  </conditionalFormatting>
  <conditionalFormatting sqref="N12">
    <cfRule type="duplicateValues" dxfId="1204" priority="21"/>
  </conditionalFormatting>
  <conditionalFormatting sqref="N13">
    <cfRule type="duplicateValues" dxfId="1203" priority="68"/>
  </conditionalFormatting>
  <conditionalFormatting sqref="N14">
    <cfRule type="duplicateValues" dxfId="1202" priority="20"/>
  </conditionalFormatting>
  <conditionalFormatting sqref="N15">
    <cfRule type="duplicateValues" dxfId="1201" priority="66"/>
  </conditionalFormatting>
  <conditionalFormatting sqref="N16">
    <cfRule type="duplicateValues" dxfId="1200" priority="19"/>
  </conditionalFormatting>
  <conditionalFormatting sqref="N22">
    <cfRule type="duplicateValues" dxfId="1199" priority="7"/>
    <cfRule type="duplicateValues" dxfId="1198" priority="8"/>
    <cfRule type="duplicateValues" dxfId="1197" priority="9"/>
    <cfRule type="duplicateValues" dxfId="1196" priority="10"/>
  </conditionalFormatting>
  <conditionalFormatting sqref="E22">
    <cfRule type="duplicateValues" dxfId="1195" priority="11"/>
  </conditionalFormatting>
  <conditionalFormatting sqref="K22">
    <cfRule type="duplicateValues" dxfId="1194" priority="12"/>
  </conditionalFormatting>
  <conditionalFormatting sqref="L22">
    <cfRule type="duplicateValues" dxfId="1193" priority="13"/>
  </conditionalFormatting>
  <conditionalFormatting sqref="M22">
    <cfRule type="duplicateValues" dxfId="1192" priority="14"/>
    <cfRule type="duplicateValues" dxfId="1191" priority="15"/>
    <cfRule type="duplicateValues" dxfId="1190" priority="16"/>
    <cfRule type="duplicateValues" dxfId="1189" priority="17"/>
  </conditionalFormatting>
  <conditionalFormatting sqref="J26">
    <cfRule type="duplicateValues" dxfId="1188" priority="1"/>
  </conditionalFormatting>
  <conditionalFormatting sqref="N1:N2 N4:N5">
    <cfRule type="duplicateValues" dxfId="1187" priority="4223"/>
  </conditionalFormatting>
  <conditionalFormatting sqref="M8 M10 M12 M14 M16 M1:M6">
    <cfRule type="duplicateValues" dxfId="1186" priority="4427"/>
    <cfRule type="duplicateValues" dxfId="1185" priority="4428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16"/>
  <sheetViews>
    <sheetView rightToLeft="1" workbookViewId="0">
      <selection activeCell="C27" sqref="C27"/>
    </sheetView>
  </sheetViews>
  <sheetFormatPr defaultRowHeight="15"/>
  <cols>
    <col min="6" max="6" width="12.85546875" customWidth="1"/>
    <col min="8" max="8" width="16.140625" customWidth="1"/>
    <col min="9" max="9" width="12.42578125" customWidth="1"/>
    <col min="11" max="11" width="24.7109375" customWidth="1"/>
    <col min="12" max="12" width="27.5703125" customWidth="1"/>
    <col min="13" max="13" width="33.5703125" customWidth="1"/>
    <col min="14" max="14" width="50.85546875" customWidth="1"/>
    <col min="16" max="16" width="24.42578125" customWidth="1"/>
    <col min="17" max="17" width="18.7109375" customWidth="1"/>
    <col min="18" max="18" width="25.5703125" customWidth="1"/>
    <col min="19" max="19" width="15.7109375" customWidth="1"/>
    <col min="20" max="20" width="16.7109375" customWidth="1"/>
    <col min="21" max="21" width="16.5703125" customWidth="1"/>
    <col min="22" max="22" width="13.140625" customWidth="1"/>
    <col min="23" max="23" width="26.140625" customWidth="1"/>
    <col min="24" max="24" width="43" customWidth="1"/>
    <col min="25" max="25" width="20.5703125" customWidth="1"/>
    <col min="26" max="26" width="23.140625" customWidth="1"/>
    <col min="27" max="27" width="14.85546875" customWidth="1"/>
  </cols>
  <sheetData>
    <row r="1" spans="1:27" s="12" customForma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7" t="s">
        <v>8</v>
      </c>
      <c r="J1" s="3" t="s">
        <v>196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8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37" t="s">
        <v>22</v>
      </c>
      <c r="Y1" s="39" t="s">
        <v>23</v>
      </c>
      <c r="Z1" s="39" t="s">
        <v>24</v>
      </c>
      <c r="AA1" s="49" t="s">
        <v>9184</v>
      </c>
    </row>
    <row r="2" spans="1:27" s="12" customFormat="1" ht="15.75" customHeight="1">
      <c r="A2" s="1390">
        <v>1</v>
      </c>
      <c r="B2" s="1480">
        <v>404</v>
      </c>
      <c r="C2" s="1390" t="s">
        <v>234</v>
      </c>
      <c r="D2" s="1392" t="s">
        <v>234</v>
      </c>
      <c r="E2" s="22" t="s">
        <v>234</v>
      </c>
      <c r="F2" s="1392" t="s">
        <v>235</v>
      </c>
      <c r="G2" s="29" t="s">
        <v>236</v>
      </c>
      <c r="H2" s="21" t="s">
        <v>28</v>
      </c>
      <c r="I2" s="21" t="s">
        <v>168</v>
      </c>
      <c r="J2" s="24" t="s">
        <v>204</v>
      </c>
      <c r="K2" s="1438" t="s">
        <v>15403</v>
      </c>
      <c r="L2" s="1392" t="s">
        <v>15404</v>
      </c>
      <c r="M2" s="22" t="s">
        <v>237</v>
      </c>
      <c r="N2" s="21" t="s">
        <v>238</v>
      </c>
      <c r="O2" s="6" t="s">
        <v>43</v>
      </c>
      <c r="P2" s="1609" t="s">
        <v>239</v>
      </c>
      <c r="Q2" s="26" t="s">
        <v>172</v>
      </c>
      <c r="R2" s="26" t="s">
        <v>240</v>
      </c>
      <c r="S2" s="6" t="s">
        <v>43</v>
      </c>
      <c r="T2" s="6" t="s">
        <v>43</v>
      </c>
      <c r="U2" s="6" t="s">
        <v>43</v>
      </c>
      <c r="V2" s="6" t="s">
        <v>43</v>
      </c>
      <c r="W2" s="26" t="s">
        <v>241</v>
      </c>
      <c r="X2" s="21" t="s">
        <v>170</v>
      </c>
      <c r="Y2" s="1495" t="s">
        <v>93</v>
      </c>
      <c r="Z2" s="1495" t="s">
        <v>242</v>
      </c>
      <c r="AA2" s="219">
        <v>36400000</v>
      </c>
    </row>
    <row r="3" spans="1:27" s="12" customFormat="1" ht="15.75" customHeight="1">
      <c r="A3" s="1391"/>
      <c r="B3" s="1481"/>
      <c r="C3" s="1391"/>
      <c r="D3" s="1394"/>
      <c r="E3" s="22" t="s">
        <v>234</v>
      </c>
      <c r="F3" s="1394"/>
      <c r="G3" s="29" t="s">
        <v>243</v>
      </c>
      <c r="H3" s="30" t="s">
        <v>195</v>
      </c>
      <c r="I3" s="21" t="s">
        <v>168</v>
      </c>
      <c r="J3" s="24" t="s">
        <v>199</v>
      </c>
      <c r="K3" s="1439"/>
      <c r="L3" s="1394"/>
      <c r="M3" s="22" t="s">
        <v>244</v>
      </c>
      <c r="N3" s="21" t="s">
        <v>245</v>
      </c>
      <c r="O3" s="6" t="s">
        <v>43</v>
      </c>
      <c r="P3" s="1610"/>
      <c r="Q3" s="6" t="s">
        <v>43</v>
      </c>
      <c r="R3" s="26" t="s">
        <v>246</v>
      </c>
      <c r="S3" s="6" t="s">
        <v>43</v>
      </c>
      <c r="T3" s="6" t="s">
        <v>43</v>
      </c>
      <c r="U3" s="6" t="s">
        <v>43</v>
      </c>
      <c r="V3" s="6" t="s">
        <v>43</v>
      </c>
      <c r="W3" s="26" t="s">
        <v>247</v>
      </c>
      <c r="X3" s="21" t="s">
        <v>170</v>
      </c>
      <c r="Y3" s="1497"/>
      <c r="Z3" s="1497"/>
      <c r="AA3" s="219">
        <v>20800000</v>
      </c>
    </row>
    <row r="4" spans="1:27" s="12" customFormat="1" ht="15.75" customHeight="1">
      <c r="A4" s="1391"/>
      <c r="B4" s="1481"/>
      <c r="C4" s="1391"/>
      <c r="D4" s="1394"/>
      <c r="E4" s="22" t="s">
        <v>234</v>
      </c>
      <c r="F4" s="1394"/>
      <c r="G4" s="29" t="s">
        <v>248</v>
      </c>
      <c r="H4" s="21" t="s">
        <v>249</v>
      </c>
      <c r="I4" s="21" t="s">
        <v>60</v>
      </c>
      <c r="J4" s="24" t="s">
        <v>204</v>
      </c>
      <c r="K4" s="1439"/>
      <c r="L4" s="1394"/>
      <c r="M4" s="22" t="s">
        <v>250</v>
      </c>
      <c r="N4" s="21" t="s">
        <v>15405</v>
      </c>
      <c r="O4" s="6" t="s">
        <v>43</v>
      </c>
      <c r="P4" s="1610"/>
      <c r="Q4" s="6" t="s">
        <v>43</v>
      </c>
      <c r="R4" s="26" t="s">
        <v>251</v>
      </c>
      <c r="S4" s="6" t="s">
        <v>43</v>
      </c>
      <c r="T4" s="6" t="s">
        <v>43</v>
      </c>
      <c r="U4" s="6" t="s">
        <v>43</v>
      </c>
      <c r="V4" s="6" t="s">
        <v>43</v>
      </c>
      <c r="W4" s="6" t="s">
        <v>43</v>
      </c>
      <c r="X4" s="21" t="s">
        <v>151</v>
      </c>
      <c r="Y4" s="1497"/>
      <c r="Z4" s="1497"/>
      <c r="AA4" s="303">
        <v>0</v>
      </c>
    </row>
    <row r="5" spans="1:27" s="12" customFormat="1" ht="15.75">
      <c r="B5" s="40"/>
      <c r="G5" s="41"/>
      <c r="I5" s="11"/>
      <c r="J5" s="42"/>
      <c r="P5" s="42"/>
      <c r="Q5" s="41"/>
      <c r="R5" s="41"/>
      <c r="S5" s="41"/>
      <c r="V5" s="43"/>
      <c r="W5" s="41"/>
      <c r="X5" s="11"/>
      <c r="Y5" s="11"/>
      <c r="Z5" s="214" t="s">
        <v>90</v>
      </c>
      <c r="AA5" s="321">
        <f>SUM(AA2:AA4)</f>
        <v>57200000</v>
      </c>
    </row>
    <row r="6" spans="1:27">
      <c r="AA6" s="322"/>
    </row>
    <row r="7" spans="1:27">
      <c r="AA7" s="327"/>
    </row>
    <row r="8" spans="1:27">
      <c r="AA8" s="322"/>
    </row>
    <row r="9" spans="1:27">
      <c r="AA9" s="322"/>
    </row>
    <row r="11" spans="1:27" ht="22.5">
      <c r="A11" s="1459" t="s">
        <v>14163</v>
      </c>
      <c r="B11" s="1459"/>
      <c r="C11" s="1459"/>
      <c r="D11" s="1459"/>
      <c r="E11" s="1459"/>
      <c r="F11" s="1459"/>
      <c r="G11" s="1459"/>
    </row>
    <row r="12" spans="1:27" s="12" customFormat="1" ht="19.5">
      <c r="A12" s="34" t="s">
        <v>0</v>
      </c>
      <c r="B12" s="34" t="s">
        <v>5</v>
      </c>
      <c r="C12" s="34" t="s">
        <v>2</v>
      </c>
      <c r="D12" s="34" t="s">
        <v>3</v>
      </c>
      <c r="E12" s="1445" t="s">
        <v>88</v>
      </c>
      <c r="F12" s="1446"/>
      <c r="G12" s="34" t="s">
        <v>6</v>
      </c>
      <c r="H12" s="34" t="s">
        <v>7</v>
      </c>
      <c r="I12" s="34" t="s">
        <v>8</v>
      </c>
      <c r="J12" s="34" t="s">
        <v>196</v>
      </c>
      <c r="K12" s="34" t="s">
        <v>9</v>
      </c>
      <c r="L12" s="34" t="s">
        <v>11</v>
      </c>
      <c r="M12" s="34" t="s">
        <v>12</v>
      </c>
      <c r="N12" s="34" t="s">
        <v>216</v>
      </c>
      <c r="O12" s="34" t="s">
        <v>13</v>
      </c>
      <c r="P12" s="35" t="s">
        <v>14</v>
      </c>
      <c r="Q12" s="35" t="s">
        <v>217</v>
      </c>
      <c r="R12" s="35" t="s">
        <v>16</v>
      </c>
      <c r="S12" s="34" t="s">
        <v>17</v>
      </c>
      <c r="T12" s="34" t="s">
        <v>218</v>
      </c>
      <c r="U12" s="34" t="s">
        <v>22</v>
      </c>
      <c r="V12" s="36" t="s">
        <v>23</v>
      </c>
      <c r="W12" s="34" t="s">
        <v>24</v>
      </c>
      <c r="X12" s="58" t="s">
        <v>257</v>
      </c>
      <c r="Z12"/>
      <c r="AA12"/>
    </row>
    <row r="13" spans="1:27" ht="18">
      <c r="AA13" s="83"/>
    </row>
    <row r="14" spans="1:27" ht="18">
      <c r="AA14" s="83"/>
    </row>
    <row r="15" spans="1:27">
      <c r="M15" s="637" t="s">
        <v>12013</v>
      </c>
      <c r="X15" s="219"/>
    </row>
    <row r="16" spans="1:27">
      <c r="M16" s="898" t="s">
        <v>16141</v>
      </c>
    </row>
  </sheetData>
  <mergeCells count="12">
    <mergeCell ref="A2:A4"/>
    <mergeCell ref="F2:F4"/>
    <mergeCell ref="E12:F12"/>
    <mergeCell ref="A11:G11"/>
    <mergeCell ref="Y2:Y4"/>
    <mergeCell ref="Z2:Z4"/>
    <mergeCell ref="B2:B4"/>
    <mergeCell ref="C2:C4"/>
    <mergeCell ref="D2:D4"/>
    <mergeCell ref="K2:K4"/>
    <mergeCell ref="L2:L4"/>
    <mergeCell ref="P2:P4"/>
  </mergeCells>
  <conditionalFormatting sqref="M12">
    <cfRule type="duplicateValues" dxfId="1184" priority="12"/>
    <cfRule type="duplicateValues" dxfId="1183" priority="13"/>
    <cfRule type="duplicateValues" dxfId="1182" priority="14"/>
    <cfRule type="duplicateValues" dxfId="1181" priority="15"/>
  </conditionalFormatting>
  <conditionalFormatting sqref="N12">
    <cfRule type="duplicateValues" dxfId="1180" priority="5"/>
    <cfRule type="duplicateValues" dxfId="1179" priority="6"/>
    <cfRule type="duplicateValues" dxfId="1178" priority="7"/>
    <cfRule type="duplicateValues" dxfId="1177" priority="8"/>
  </conditionalFormatting>
  <conditionalFormatting sqref="E12">
    <cfRule type="duplicateValues" dxfId="1176" priority="9"/>
  </conditionalFormatting>
  <conditionalFormatting sqref="K12">
    <cfRule type="duplicateValues" dxfId="1175" priority="10"/>
  </conditionalFormatting>
  <conditionalFormatting sqref="L12">
    <cfRule type="duplicateValues" dxfId="1174" priority="11"/>
  </conditionalFormatting>
  <conditionalFormatting sqref="M16">
    <cfRule type="duplicateValues" dxfId="1173" priority="1"/>
  </conditionalFormatting>
  <conditionalFormatting sqref="N1:N4">
    <cfRule type="duplicateValues" dxfId="1172" priority="4424"/>
  </conditionalFormatting>
  <conditionalFormatting sqref="M1:M4">
    <cfRule type="duplicateValues" dxfId="1171" priority="4425"/>
    <cfRule type="duplicateValues" dxfId="1170" priority="4426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2"/>
  <sheetViews>
    <sheetView rightToLeft="1" workbookViewId="0">
      <pane xSplit="10" topLeftCell="M1" activePane="topRight" state="frozen"/>
      <selection pane="topRight" activeCell="A30" sqref="A30:XFD36"/>
    </sheetView>
  </sheetViews>
  <sheetFormatPr defaultRowHeight="15"/>
  <cols>
    <col min="5" max="5" width="15.28515625" customWidth="1"/>
    <col min="7" max="7" width="15.42578125" customWidth="1"/>
    <col min="8" max="8" width="21.85546875" customWidth="1"/>
    <col min="9" max="9" width="15.28515625" customWidth="1"/>
    <col min="10" max="10" width="18.5703125" customWidth="1"/>
    <col min="11" max="11" width="49.28515625" customWidth="1"/>
    <col min="12" max="12" width="42" customWidth="1"/>
    <col min="13" max="13" width="31" customWidth="1"/>
    <col min="14" max="14" width="69.85546875" customWidth="1"/>
    <col min="16" max="16" width="32" customWidth="1"/>
    <col min="17" max="17" width="18.5703125" customWidth="1"/>
    <col min="18" max="18" width="32.5703125" customWidth="1"/>
    <col min="20" max="20" width="28.5703125" customWidth="1"/>
    <col min="23" max="23" width="26.140625" customWidth="1"/>
    <col min="24" max="24" width="56.28515625" customWidth="1"/>
    <col min="25" max="25" width="20.140625" customWidth="1"/>
    <col min="26" max="26" width="24.28515625" customWidth="1"/>
    <col min="27" max="27" width="31.28515625" customWidth="1"/>
    <col min="28" max="28" width="45.42578125" bestFit="1" customWidth="1"/>
  </cols>
  <sheetData>
    <row r="1" spans="1:28" s="12" customForma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7" t="s">
        <v>8</v>
      </c>
      <c r="J1" s="3" t="s">
        <v>196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8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37" t="s">
        <v>22</v>
      </c>
      <c r="Y1" s="39" t="s">
        <v>23</v>
      </c>
      <c r="Z1" s="39" t="s">
        <v>24</v>
      </c>
      <c r="AA1" s="49" t="s">
        <v>9184</v>
      </c>
    </row>
    <row r="2" spans="1:28" s="27" customFormat="1" ht="15.75" customHeight="1">
      <c r="A2" s="1390">
        <v>1</v>
      </c>
      <c r="B2" s="1492">
        <v>249</v>
      </c>
      <c r="C2" s="1390" t="s">
        <v>267</v>
      </c>
      <c r="D2" s="21" t="s">
        <v>267</v>
      </c>
      <c r="E2" s="21" t="s">
        <v>268</v>
      </c>
      <c r="F2" s="1390" t="s">
        <v>267</v>
      </c>
      <c r="G2" s="26" t="s">
        <v>269</v>
      </c>
      <c r="H2" s="4" t="s">
        <v>28</v>
      </c>
      <c r="I2" s="21" t="s">
        <v>270</v>
      </c>
      <c r="J2" s="96" t="s">
        <v>197</v>
      </c>
      <c r="K2" s="1488" t="s">
        <v>271</v>
      </c>
      <c r="L2" s="1488" t="s">
        <v>272</v>
      </c>
      <c r="M2" s="21" t="s">
        <v>273</v>
      </c>
      <c r="N2" s="21" t="s">
        <v>319</v>
      </c>
      <c r="O2" s="6" t="s">
        <v>43</v>
      </c>
      <c r="P2" s="1482" t="s">
        <v>274</v>
      </c>
      <c r="Q2" s="6" t="s">
        <v>43</v>
      </c>
      <c r="R2" s="26" t="s">
        <v>275</v>
      </c>
      <c r="S2" s="6" t="s">
        <v>43</v>
      </c>
      <c r="T2" s="21" t="s">
        <v>276</v>
      </c>
      <c r="U2" s="6" t="s">
        <v>43</v>
      </c>
      <c r="V2" s="6" t="s">
        <v>43</v>
      </c>
      <c r="W2" s="26" t="s">
        <v>277</v>
      </c>
      <c r="X2" s="1480" t="s">
        <v>278</v>
      </c>
      <c r="Y2" s="1495" t="s">
        <v>93</v>
      </c>
      <c r="Z2" s="1495" t="s">
        <v>279</v>
      </c>
      <c r="AA2" s="219">
        <v>50440000</v>
      </c>
    </row>
    <row r="3" spans="1:28" s="27" customFormat="1" ht="15.75" customHeight="1">
      <c r="A3" s="1391"/>
      <c r="B3" s="1493"/>
      <c r="C3" s="1391"/>
      <c r="D3" s="21" t="s">
        <v>267</v>
      </c>
      <c r="E3" s="21" t="s">
        <v>268</v>
      </c>
      <c r="F3" s="1391"/>
      <c r="G3" s="26" t="s">
        <v>280</v>
      </c>
      <c r="H3" s="30" t="s">
        <v>195</v>
      </c>
      <c r="I3" s="21" t="s">
        <v>270</v>
      </c>
      <c r="J3" s="96" t="s">
        <v>204</v>
      </c>
      <c r="K3" s="1489"/>
      <c r="L3" s="1489"/>
      <c r="M3" s="21" t="s">
        <v>281</v>
      </c>
      <c r="N3" s="21" t="s">
        <v>320</v>
      </c>
      <c r="O3" s="6" t="s">
        <v>43</v>
      </c>
      <c r="P3" s="1483"/>
      <c r="Q3" s="6" t="s">
        <v>43</v>
      </c>
      <c r="R3" s="26" t="s">
        <v>282</v>
      </c>
      <c r="S3" s="6" t="s">
        <v>43</v>
      </c>
      <c r="T3" s="6" t="s">
        <v>43</v>
      </c>
      <c r="U3" s="6" t="s">
        <v>43</v>
      </c>
      <c r="V3" s="6" t="s">
        <v>43</v>
      </c>
      <c r="W3" s="26" t="s">
        <v>283</v>
      </c>
      <c r="X3" s="1481"/>
      <c r="Y3" s="1497"/>
      <c r="Z3" s="1497"/>
      <c r="AA3" s="219">
        <v>36400000</v>
      </c>
    </row>
    <row r="4" spans="1:28" s="27" customFormat="1" ht="15.75" customHeight="1">
      <c r="A4" s="1391"/>
      <c r="B4" s="1493"/>
      <c r="C4" s="1391"/>
      <c r="D4" s="21" t="s">
        <v>267</v>
      </c>
      <c r="E4" s="21" t="s">
        <v>268</v>
      </c>
      <c r="F4" s="1391"/>
      <c r="G4" s="26" t="s">
        <v>284</v>
      </c>
      <c r="H4" s="218" t="s">
        <v>7763</v>
      </c>
      <c r="I4" s="21" t="s">
        <v>270</v>
      </c>
      <c r="J4" s="69" t="s">
        <v>197</v>
      </c>
      <c r="K4" s="1489"/>
      <c r="L4" s="1489"/>
      <c r="M4" s="495" t="s">
        <v>285</v>
      </c>
      <c r="N4" s="495" t="s">
        <v>14225</v>
      </c>
      <c r="O4" s="6" t="s">
        <v>43</v>
      </c>
      <c r="P4" s="1483"/>
      <c r="Q4" s="6" t="s">
        <v>43</v>
      </c>
      <c r="R4" s="496" t="s">
        <v>286</v>
      </c>
      <c r="S4" s="6" t="s">
        <v>43</v>
      </c>
      <c r="T4" s="6" t="s">
        <v>43</v>
      </c>
      <c r="U4" s="6" t="s">
        <v>43</v>
      </c>
      <c r="V4" s="6" t="s">
        <v>43</v>
      </c>
      <c r="W4" s="496" t="s">
        <v>287</v>
      </c>
      <c r="X4" s="1481"/>
      <c r="Y4" s="1497"/>
      <c r="Z4" s="1497"/>
      <c r="AA4" s="219">
        <v>76800000</v>
      </c>
      <c r="AB4" s="288" t="s">
        <v>14170</v>
      </c>
    </row>
    <row r="5" spans="1:28" s="27" customFormat="1" ht="15.75" customHeight="1">
      <c r="A5" s="1395"/>
      <c r="B5" s="1494"/>
      <c r="C5" s="1391"/>
      <c r="D5" s="21" t="s">
        <v>267</v>
      </c>
      <c r="E5" s="21" t="s">
        <v>268</v>
      </c>
      <c r="F5" s="1391"/>
      <c r="G5" s="6" t="s">
        <v>43</v>
      </c>
      <c r="H5" s="661" t="s">
        <v>14229</v>
      </c>
      <c r="I5" s="21" t="s">
        <v>45</v>
      </c>
      <c r="J5" s="24" t="s">
        <v>11886</v>
      </c>
      <c r="K5" s="1490"/>
      <c r="L5" s="1490"/>
      <c r="M5" s="21" t="s">
        <v>323</v>
      </c>
      <c r="N5" s="21" t="s">
        <v>322</v>
      </c>
      <c r="O5" s="6" t="s">
        <v>43</v>
      </c>
      <c r="P5" s="1484"/>
      <c r="Q5" s="6" t="s">
        <v>43</v>
      </c>
      <c r="R5" s="26" t="s">
        <v>54</v>
      </c>
      <c r="S5" s="6" t="s">
        <v>43</v>
      </c>
      <c r="T5" s="6" t="s">
        <v>43</v>
      </c>
      <c r="U5" s="6" t="s">
        <v>43</v>
      </c>
      <c r="V5" s="6" t="s">
        <v>43</v>
      </c>
      <c r="W5" s="26" t="s">
        <v>321</v>
      </c>
      <c r="X5" s="21" t="s">
        <v>288</v>
      </c>
      <c r="Y5" s="1496"/>
      <c r="Z5" s="1496"/>
      <c r="AA5" s="303">
        <v>0</v>
      </c>
    </row>
    <row r="6" spans="1:28" s="27" customFormat="1" ht="15.75" customHeight="1">
      <c r="A6" s="1390">
        <v>2</v>
      </c>
      <c r="B6" s="1480">
        <v>331</v>
      </c>
      <c r="C6" s="1391"/>
      <c r="D6" s="21" t="s">
        <v>267</v>
      </c>
      <c r="E6" s="21" t="s">
        <v>289</v>
      </c>
      <c r="F6" s="1391"/>
      <c r="G6" s="26" t="s">
        <v>9314</v>
      </c>
      <c r="H6" s="218" t="s">
        <v>7763</v>
      </c>
      <c r="I6" s="21" t="s">
        <v>60</v>
      </c>
      <c r="J6" s="24" t="s">
        <v>205</v>
      </c>
      <c r="K6" s="1390" t="s">
        <v>290</v>
      </c>
      <c r="L6" s="1390" t="s">
        <v>15737</v>
      </c>
      <c r="M6" s="22" t="s">
        <v>291</v>
      </c>
      <c r="N6" s="21" t="s">
        <v>14226</v>
      </c>
      <c r="O6" s="6" t="s">
        <v>43</v>
      </c>
      <c r="P6" s="1482" t="s">
        <v>2884</v>
      </c>
      <c r="Q6" s="6" t="s">
        <v>43</v>
      </c>
      <c r="R6" s="26" t="s">
        <v>166</v>
      </c>
      <c r="S6" s="6" t="s">
        <v>43</v>
      </c>
      <c r="T6" s="6" t="s">
        <v>43</v>
      </c>
      <c r="U6" s="6" t="s">
        <v>43</v>
      </c>
      <c r="V6" s="6" t="s">
        <v>43</v>
      </c>
      <c r="W6" s="6" t="s">
        <v>43</v>
      </c>
      <c r="X6" s="21" t="s">
        <v>167</v>
      </c>
      <c r="Y6" s="1390" t="s">
        <v>202</v>
      </c>
      <c r="Z6" s="1495" t="s">
        <v>242</v>
      </c>
      <c r="AA6" s="219">
        <v>8960000</v>
      </c>
    </row>
    <row r="7" spans="1:28" s="27" customFormat="1" ht="15.75" customHeight="1">
      <c r="A7" s="1395"/>
      <c r="B7" s="1491"/>
      <c r="C7" s="1391"/>
      <c r="D7" s="21" t="s">
        <v>267</v>
      </c>
      <c r="E7" s="21" t="s">
        <v>289</v>
      </c>
      <c r="F7" s="1391"/>
      <c r="G7" s="26" t="s">
        <v>292</v>
      </c>
      <c r="H7" s="30" t="s">
        <v>195</v>
      </c>
      <c r="I7" s="21" t="s">
        <v>168</v>
      </c>
      <c r="J7" s="24" t="s">
        <v>199</v>
      </c>
      <c r="K7" s="1395"/>
      <c r="L7" s="1395"/>
      <c r="M7" s="21" t="s">
        <v>293</v>
      </c>
      <c r="N7" s="21" t="s">
        <v>325</v>
      </c>
      <c r="O7" s="6" t="s">
        <v>43</v>
      </c>
      <c r="P7" s="1484"/>
      <c r="Q7" s="6" t="s">
        <v>43</v>
      </c>
      <c r="R7" s="26" t="s">
        <v>68</v>
      </c>
      <c r="S7" s="6" t="s">
        <v>43</v>
      </c>
      <c r="T7" s="6" t="s">
        <v>43</v>
      </c>
      <c r="U7" s="6" t="s">
        <v>43</v>
      </c>
      <c r="V7" s="6" t="s">
        <v>43</v>
      </c>
      <c r="W7" s="6" t="s">
        <v>43</v>
      </c>
      <c r="X7" s="21" t="s">
        <v>170</v>
      </c>
      <c r="Y7" s="1391"/>
      <c r="Z7" s="1497"/>
      <c r="AA7" s="219">
        <v>20800000</v>
      </c>
    </row>
    <row r="8" spans="1:28" s="27" customFormat="1" ht="15.75" customHeight="1">
      <c r="A8" s="1390">
        <v>3</v>
      </c>
      <c r="B8" s="1480">
        <v>353</v>
      </c>
      <c r="C8" s="1391"/>
      <c r="D8" s="21" t="s">
        <v>267</v>
      </c>
      <c r="E8" s="21" t="s">
        <v>294</v>
      </c>
      <c r="F8" s="1391"/>
      <c r="G8" s="26" t="s">
        <v>9315</v>
      </c>
      <c r="H8" s="218" t="s">
        <v>7763</v>
      </c>
      <c r="I8" s="21" t="s">
        <v>60</v>
      </c>
      <c r="J8" s="24" t="s">
        <v>205</v>
      </c>
      <c r="K8" s="1390" t="s">
        <v>15721</v>
      </c>
      <c r="L8" s="1390" t="s">
        <v>15728</v>
      </c>
      <c r="M8" s="21" t="s">
        <v>295</v>
      </c>
      <c r="N8" s="21" t="s">
        <v>14227</v>
      </c>
      <c r="O8" s="6" t="s">
        <v>43</v>
      </c>
      <c r="P8" s="1482" t="s">
        <v>2885</v>
      </c>
      <c r="Q8" s="6" t="s">
        <v>43</v>
      </c>
      <c r="R8" s="26" t="s">
        <v>166</v>
      </c>
      <c r="S8" s="6" t="s">
        <v>43</v>
      </c>
      <c r="T8" s="6" t="s">
        <v>43</v>
      </c>
      <c r="U8" s="6" t="s">
        <v>43</v>
      </c>
      <c r="V8" s="6" t="s">
        <v>43</v>
      </c>
      <c r="W8" s="6" t="s">
        <v>43</v>
      </c>
      <c r="X8" s="21" t="s">
        <v>167</v>
      </c>
      <c r="Y8" s="1495" t="s">
        <v>202</v>
      </c>
      <c r="Z8" s="1495" t="s">
        <v>65</v>
      </c>
      <c r="AA8" s="219">
        <v>8960000</v>
      </c>
    </row>
    <row r="9" spans="1:28" s="27" customFormat="1" ht="15.75" customHeight="1">
      <c r="A9" s="1391"/>
      <c r="B9" s="1481"/>
      <c r="C9" s="1391"/>
      <c r="D9" s="21" t="s">
        <v>267</v>
      </c>
      <c r="E9" s="21" t="s">
        <v>294</v>
      </c>
      <c r="F9" s="1391"/>
      <c r="G9" s="26">
        <v>587529</v>
      </c>
      <c r="H9" s="30" t="s">
        <v>195</v>
      </c>
      <c r="I9" s="21" t="s">
        <v>108</v>
      </c>
      <c r="J9" s="24" t="s">
        <v>199</v>
      </c>
      <c r="K9" s="1391"/>
      <c r="L9" s="1391"/>
      <c r="M9" s="21" t="s">
        <v>296</v>
      </c>
      <c r="N9" s="21" t="s">
        <v>15739</v>
      </c>
      <c r="O9" s="6" t="s">
        <v>43</v>
      </c>
      <c r="P9" s="1483"/>
      <c r="Q9" s="6" t="s">
        <v>43</v>
      </c>
      <c r="R9" s="26" t="s">
        <v>297</v>
      </c>
      <c r="S9" s="26" t="s">
        <v>298</v>
      </c>
      <c r="T9" s="6" t="s">
        <v>43</v>
      </c>
      <c r="U9" s="6" t="s">
        <v>43</v>
      </c>
      <c r="V9" s="6" t="s">
        <v>43</v>
      </c>
      <c r="W9" s="6" t="s">
        <v>43</v>
      </c>
      <c r="X9" s="21" t="s">
        <v>299</v>
      </c>
      <c r="Y9" s="1497"/>
      <c r="Z9" s="1497"/>
      <c r="AA9" s="219">
        <v>20800000</v>
      </c>
    </row>
    <row r="10" spans="1:28" s="27" customFormat="1" ht="15.75" customHeight="1">
      <c r="A10" s="1391"/>
      <c r="B10" s="1481"/>
      <c r="C10" s="1391"/>
      <c r="D10" s="21" t="s">
        <v>267</v>
      </c>
      <c r="E10" s="21" t="s">
        <v>294</v>
      </c>
      <c r="F10" s="1391"/>
      <c r="G10" s="26"/>
      <c r="H10" s="4" t="s">
        <v>44</v>
      </c>
      <c r="I10" s="13" t="s">
        <v>45</v>
      </c>
      <c r="J10" s="635" t="s">
        <v>201</v>
      </c>
      <c r="K10" s="1391"/>
      <c r="L10" s="1391"/>
      <c r="M10" s="21" t="s">
        <v>11479</v>
      </c>
      <c r="N10" s="21" t="s">
        <v>15738</v>
      </c>
      <c r="O10" s="6" t="s">
        <v>43</v>
      </c>
      <c r="P10" s="1483"/>
      <c r="Q10" s="6"/>
      <c r="R10" s="26"/>
      <c r="S10" s="26"/>
      <c r="T10" s="6"/>
      <c r="U10" s="6"/>
      <c r="V10" s="6"/>
      <c r="W10" s="6"/>
      <c r="X10" s="654" t="s">
        <v>50</v>
      </c>
      <c r="Y10" s="1497"/>
      <c r="Z10" s="1497"/>
      <c r="AA10" s="219"/>
    </row>
    <row r="11" spans="1:28" s="27" customFormat="1" ht="15.75" customHeight="1">
      <c r="A11" s="1390">
        <v>4</v>
      </c>
      <c r="B11" s="1480">
        <v>367</v>
      </c>
      <c r="C11" s="1391"/>
      <c r="D11" s="21" t="s">
        <v>300</v>
      </c>
      <c r="E11" s="21" t="s">
        <v>300</v>
      </c>
      <c r="F11" s="1391"/>
      <c r="G11" s="26" t="s">
        <v>9316</v>
      </c>
      <c r="H11" s="218" t="s">
        <v>7763</v>
      </c>
      <c r="I11" s="21" t="s">
        <v>60</v>
      </c>
      <c r="J11" s="24" t="s">
        <v>205</v>
      </c>
      <c r="K11" s="1390" t="s">
        <v>15722</v>
      </c>
      <c r="L11" s="1390" t="s">
        <v>15723</v>
      </c>
      <c r="M11" s="21" t="s">
        <v>301</v>
      </c>
      <c r="N11" s="21" t="s">
        <v>14228</v>
      </c>
      <c r="O11" s="6" t="s">
        <v>43</v>
      </c>
      <c r="P11" s="1482" t="s">
        <v>2886</v>
      </c>
      <c r="Q11" s="6" t="s">
        <v>43</v>
      </c>
      <c r="R11" s="26" t="s">
        <v>166</v>
      </c>
      <c r="S11" s="6" t="s">
        <v>43</v>
      </c>
      <c r="T11" s="6" t="s">
        <v>43</v>
      </c>
      <c r="U11" s="6" t="s">
        <v>43</v>
      </c>
      <c r="V11" s="6" t="s">
        <v>43</v>
      </c>
      <c r="W11" s="6" t="s">
        <v>43</v>
      </c>
      <c r="X11" s="21" t="s">
        <v>167</v>
      </c>
      <c r="Y11" s="1495" t="s">
        <v>202</v>
      </c>
      <c r="Z11" s="1495" t="s">
        <v>65</v>
      </c>
      <c r="AA11" s="219">
        <v>12800000</v>
      </c>
    </row>
    <row r="12" spans="1:28" s="27" customFormat="1" ht="15.75" customHeight="1">
      <c r="A12" s="1395"/>
      <c r="B12" s="1491"/>
      <c r="C12" s="1391"/>
      <c r="D12" s="21" t="s">
        <v>300</v>
      </c>
      <c r="E12" s="21" t="s">
        <v>300</v>
      </c>
      <c r="F12" s="1391"/>
      <c r="G12" s="26">
        <v>587528</v>
      </c>
      <c r="H12" s="30" t="s">
        <v>195</v>
      </c>
      <c r="I12" s="21" t="s">
        <v>108</v>
      </c>
      <c r="J12" s="24" t="s">
        <v>199</v>
      </c>
      <c r="K12" s="1395"/>
      <c r="L12" s="1395"/>
      <c r="M12" s="21" t="s">
        <v>302</v>
      </c>
      <c r="N12" s="21" t="s">
        <v>327</v>
      </c>
      <c r="O12" s="6" t="s">
        <v>43</v>
      </c>
      <c r="P12" s="1484"/>
      <c r="Q12" s="6" t="s">
        <v>43</v>
      </c>
      <c r="R12" s="26" t="s">
        <v>297</v>
      </c>
      <c r="S12" s="26" t="s">
        <v>298</v>
      </c>
      <c r="T12" s="6" t="s">
        <v>43</v>
      </c>
      <c r="U12" s="6" t="s">
        <v>43</v>
      </c>
      <c r="V12" s="6" t="s">
        <v>43</v>
      </c>
      <c r="W12" s="6" t="s">
        <v>43</v>
      </c>
      <c r="X12" s="21" t="s">
        <v>299</v>
      </c>
      <c r="Y12" s="1496"/>
      <c r="Z12" s="1496"/>
      <c r="AA12" s="219">
        <v>20800000</v>
      </c>
    </row>
    <row r="13" spans="1:28" s="27" customFormat="1" ht="15.75" customHeight="1">
      <c r="A13" s="1390">
        <v>5</v>
      </c>
      <c r="B13" s="1480">
        <v>407</v>
      </c>
      <c r="C13" s="1391"/>
      <c r="D13" s="21" t="s">
        <v>303</v>
      </c>
      <c r="E13" s="21" t="s">
        <v>304</v>
      </c>
      <c r="F13" s="1391"/>
      <c r="G13" s="26" t="s">
        <v>9317</v>
      </c>
      <c r="H13" s="218" t="s">
        <v>7763</v>
      </c>
      <c r="I13" s="21" t="s">
        <v>60</v>
      </c>
      <c r="J13" s="24" t="s">
        <v>205</v>
      </c>
      <c r="K13" s="1390" t="s">
        <v>15730</v>
      </c>
      <c r="L13" s="1390" t="s">
        <v>15729</v>
      </c>
      <c r="M13" s="21" t="s">
        <v>305</v>
      </c>
      <c r="N13" s="21" t="s">
        <v>14230</v>
      </c>
      <c r="O13" s="6" t="s">
        <v>43</v>
      </c>
      <c r="P13" s="1482" t="s">
        <v>2887</v>
      </c>
      <c r="Q13" s="6" t="s">
        <v>43</v>
      </c>
      <c r="R13" s="26" t="s">
        <v>166</v>
      </c>
      <c r="S13" s="6" t="s">
        <v>43</v>
      </c>
      <c r="T13" s="6" t="s">
        <v>43</v>
      </c>
      <c r="U13" s="6" t="s">
        <v>43</v>
      </c>
      <c r="V13" s="6" t="s">
        <v>43</v>
      </c>
      <c r="W13" s="6" t="s">
        <v>43</v>
      </c>
      <c r="X13" s="21" t="s">
        <v>167</v>
      </c>
      <c r="Y13" s="1495" t="s">
        <v>202</v>
      </c>
      <c r="Z13" s="1495" t="s">
        <v>65</v>
      </c>
      <c r="AA13" s="219">
        <v>12800000</v>
      </c>
    </row>
    <row r="14" spans="1:28" s="27" customFormat="1" ht="15.75" customHeight="1">
      <c r="A14" s="1391"/>
      <c r="B14" s="1481"/>
      <c r="C14" s="1391"/>
      <c r="D14" s="654" t="s">
        <v>303</v>
      </c>
      <c r="E14" s="654" t="s">
        <v>304</v>
      </c>
      <c r="F14" s="1391"/>
      <c r="G14" s="657">
        <v>587530</v>
      </c>
      <c r="H14" s="30" t="s">
        <v>195</v>
      </c>
      <c r="I14" s="654" t="s">
        <v>108</v>
      </c>
      <c r="J14" s="658" t="s">
        <v>199</v>
      </c>
      <c r="K14" s="1391"/>
      <c r="L14" s="1391"/>
      <c r="M14" s="654" t="s">
        <v>306</v>
      </c>
      <c r="N14" s="654" t="s">
        <v>326</v>
      </c>
      <c r="O14" s="656" t="s">
        <v>43</v>
      </c>
      <c r="P14" s="1483"/>
      <c r="Q14" s="656" t="s">
        <v>43</v>
      </c>
      <c r="R14" s="657" t="s">
        <v>297</v>
      </c>
      <c r="S14" s="657" t="s">
        <v>298</v>
      </c>
      <c r="T14" s="656" t="s">
        <v>43</v>
      </c>
      <c r="U14" s="656" t="s">
        <v>43</v>
      </c>
      <c r="V14" s="656" t="s">
        <v>43</v>
      </c>
      <c r="W14" s="656" t="s">
        <v>43</v>
      </c>
      <c r="X14" s="654" t="s">
        <v>299</v>
      </c>
      <c r="Y14" s="1497"/>
      <c r="Z14" s="1497"/>
      <c r="AA14" s="219">
        <v>20800000</v>
      </c>
    </row>
    <row r="15" spans="1:28" s="27" customFormat="1" ht="15.75" customHeight="1">
      <c r="A15" s="1395"/>
      <c r="B15" s="1491"/>
      <c r="C15" s="1391"/>
      <c r="D15" s="21" t="s">
        <v>303</v>
      </c>
      <c r="E15" s="21" t="s">
        <v>304</v>
      </c>
      <c r="F15" s="1391"/>
      <c r="G15" s="657"/>
      <c r="H15" s="4" t="s">
        <v>44</v>
      </c>
      <c r="I15" s="659" t="s">
        <v>45</v>
      </c>
      <c r="J15" s="658" t="s">
        <v>201</v>
      </c>
      <c r="K15" s="1395"/>
      <c r="L15" s="1395"/>
      <c r="M15" s="654" t="s">
        <v>14235</v>
      </c>
      <c r="N15" s="654" t="s">
        <v>14234</v>
      </c>
      <c r="O15" s="6" t="s">
        <v>43</v>
      </c>
      <c r="P15" s="1484"/>
      <c r="Q15" s="6" t="s">
        <v>43</v>
      </c>
      <c r="R15" s="657" t="s">
        <v>48</v>
      </c>
      <c r="S15" s="656" t="s">
        <v>43</v>
      </c>
      <c r="T15" s="6" t="s">
        <v>43</v>
      </c>
      <c r="U15" s="6" t="s">
        <v>43</v>
      </c>
      <c r="V15" s="6" t="s">
        <v>43</v>
      </c>
      <c r="W15" s="6" t="s">
        <v>4787</v>
      </c>
      <c r="X15" s="21" t="s">
        <v>50</v>
      </c>
      <c r="Y15" s="1496"/>
      <c r="Z15" s="1496"/>
      <c r="AA15" s="219">
        <v>20800000</v>
      </c>
    </row>
    <row r="16" spans="1:28" s="27" customFormat="1" ht="15.75" customHeight="1">
      <c r="A16" s="1390">
        <v>6</v>
      </c>
      <c r="B16" s="1480">
        <v>482</v>
      </c>
      <c r="C16" s="1391"/>
      <c r="D16" s="21" t="s">
        <v>267</v>
      </c>
      <c r="E16" s="21" t="s">
        <v>307</v>
      </c>
      <c r="F16" s="1391"/>
      <c r="G16" s="26" t="s">
        <v>9318</v>
      </c>
      <c r="H16" s="218" t="s">
        <v>7763</v>
      </c>
      <c r="I16" s="21" t="s">
        <v>60</v>
      </c>
      <c r="J16" s="24" t="s">
        <v>199</v>
      </c>
      <c r="K16" s="1390" t="s">
        <v>15731</v>
      </c>
      <c r="L16" s="1390" t="s">
        <v>15732</v>
      </c>
      <c r="M16" s="21" t="s">
        <v>308</v>
      </c>
      <c r="N16" s="21" t="s">
        <v>14231</v>
      </c>
      <c r="O16" s="6" t="s">
        <v>43</v>
      </c>
      <c r="P16" s="1482" t="s">
        <v>2888</v>
      </c>
      <c r="Q16" s="6" t="s">
        <v>43</v>
      </c>
      <c r="R16" s="26" t="s">
        <v>166</v>
      </c>
      <c r="S16" s="6" t="s">
        <v>43</v>
      </c>
      <c r="T16" s="6" t="s">
        <v>43</v>
      </c>
      <c r="U16" s="6" t="s">
        <v>43</v>
      </c>
      <c r="V16" s="6" t="s">
        <v>43</v>
      </c>
      <c r="W16" s="6" t="s">
        <v>43</v>
      </c>
      <c r="X16" s="21" t="s">
        <v>167</v>
      </c>
      <c r="Y16" s="1495" t="s">
        <v>202</v>
      </c>
      <c r="Z16" s="1495" t="s">
        <v>65</v>
      </c>
      <c r="AA16" s="219">
        <v>17920000</v>
      </c>
    </row>
    <row r="17" spans="1:27" s="27" customFormat="1" ht="15.75" customHeight="1">
      <c r="A17" s="1395"/>
      <c r="B17" s="1491"/>
      <c r="C17" s="1391"/>
      <c r="D17" s="21" t="s">
        <v>267</v>
      </c>
      <c r="E17" s="21" t="s">
        <v>307</v>
      </c>
      <c r="F17" s="1391"/>
      <c r="G17" s="26">
        <v>587535</v>
      </c>
      <c r="H17" s="30" t="s">
        <v>195</v>
      </c>
      <c r="I17" s="21" t="s">
        <v>108</v>
      </c>
      <c r="J17" s="24" t="s">
        <v>199</v>
      </c>
      <c r="K17" s="1395"/>
      <c r="L17" s="1395"/>
      <c r="M17" s="21" t="s">
        <v>309</v>
      </c>
      <c r="N17" s="21" t="s">
        <v>328</v>
      </c>
      <c r="O17" s="6" t="s">
        <v>43</v>
      </c>
      <c r="P17" s="1484"/>
      <c r="Q17" s="6" t="s">
        <v>43</v>
      </c>
      <c r="R17" s="26" t="s">
        <v>297</v>
      </c>
      <c r="S17" s="26" t="s">
        <v>298</v>
      </c>
      <c r="T17" s="6" t="s">
        <v>43</v>
      </c>
      <c r="U17" s="6" t="s">
        <v>43</v>
      </c>
      <c r="V17" s="6" t="s">
        <v>43</v>
      </c>
      <c r="W17" s="6" t="s">
        <v>43</v>
      </c>
      <c r="X17" s="21" t="s">
        <v>299</v>
      </c>
      <c r="Y17" s="1496"/>
      <c r="Z17" s="1496"/>
      <c r="AA17" s="219">
        <v>20800000</v>
      </c>
    </row>
    <row r="18" spans="1:27" s="27" customFormat="1" ht="15.75" customHeight="1">
      <c r="A18" s="1390">
        <v>7</v>
      </c>
      <c r="B18" s="1480">
        <v>511</v>
      </c>
      <c r="C18" s="1391"/>
      <c r="D18" s="21" t="s">
        <v>267</v>
      </c>
      <c r="E18" s="21" t="s">
        <v>310</v>
      </c>
      <c r="F18" s="1391"/>
      <c r="G18" s="26" t="s">
        <v>9319</v>
      </c>
      <c r="H18" s="218" t="s">
        <v>7763</v>
      </c>
      <c r="I18" s="21" t="s">
        <v>108</v>
      </c>
      <c r="J18" s="24" t="s">
        <v>199</v>
      </c>
      <c r="K18" s="1390" t="s">
        <v>15734</v>
      </c>
      <c r="L18" s="1390" t="s">
        <v>15733</v>
      </c>
      <c r="M18" s="21" t="s">
        <v>311</v>
      </c>
      <c r="N18" s="21" t="s">
        <v>14232</v>
      </c>
      <c r="O18" s="6" t="s">
        <v>43</v>
      </c>
      <c r="P18" s="1482" t="s">
        <v>2889</v>
      </c>
      <c r="Q18" s="6" t="s">
        <v>43</v>
      </c>
      <c r="R18" s="26" t="s">
        <v>68</v>
      </c>
      <c r="S18" s="6" t="s">
        <v>43</v>
      </c>
      <c r="T18" s="6" t="s">
        <v>43</v>
      </c>
      <c r="U18" s="6" t="s">
        <v>43</v>
      </c>
      <c r="V18" s="6" t="s">
        <v>43</v>
      </c>
      <c r="W18" s="6" t="s">
        <v>43</v>
      </c>
      <c r="X18" s="21" t="s">
        <v>64</v>
      </c>
      <c r="Y18" s="1495" t="s">
        <v>202</v>
      </c>
      <c r="Z18" s="1495" t="s">
        <v>65</v>
      </c>
      <c r="AA18" s="219">
        <v>17920000</v>
      </c>
    </row>
    <row r="19" spans="1:27" s="27" customFormat="1" ht="15.75" customHeight="1">
      <c r="A19" s="1395"/>
      <c r="B19" s="1491"/>
      <c r="C19" s="1391"/>
      <c r="D19" s="21" t="s">
        <v>267</v>
      </c>
      <c r="E19" s="21" t="s">
        <v>310</v>
      </c>
      <c r="F19" s="1391"/>
      <c r="G19" s="26">
        <v>610914</v>
      </c>
      <c r="H19" s="30" t="s">
        <v>195</v>
      </c>
      <c r="I19" s="21" t="s">
        <v>108</v>
      </c>
      <c r="J19" s="24" t="s">
        <v>199</v>
      </c>
      <c r="K19" s="1395"/>
      <c r="L19" s="1395"/>
      <c r="M19" s="21" t="s">
        <v>312</v>
      </c>
      <c r="N19" s="21" t="s">
        <v>329</v>
      </c>
      <c r="O19" s="6" t="s">
        <v>43</v>
      </c>
      <c r="P19" s="1484"/>
      <c r="Q19" s="6" t="s">
        <v>43</v>
      </c>
      <c r="R19" s="26" t="s">
        <v>297</v>
      </c>
      <c r="S19" s="6" t="s">
        <v>43</v>
      </c>
      <c r="T19" s="6" t="s">
        <v>43</v>
      </c>
      <c r="U19" s="6" t="s">
        <v>43</v>
      </c>
      <c r="V19" s="6" t="s">
        <v>43</v>
      </c>
      <c r="W19" s="6" t="s">
        <v>43</v>
      </c>
      <c r="X19" s="21" t="s">
        <v>299</v>
      </c>
      <c r="Y19" s="1496"/>
      <c r="Z19" s="1496"/>
      <c r="AA19" s="219">
        <v>20800000</v>
      </c>
    </row>
    <row r="20" spans="1:27" s="27" customFormat="1" ht="15.75" customHeight="1">
      <c r="A20" s="1390">
        <v>8</v>
      </c>
      <c r="B20" s="1480">
        <v>537</v>
      </c>
      <c r="C20" s="1391"/>
      <c r="D20" s="21" t="s">
        <v>267</v>
      </c>
      <c r="E20" s="21" t="s">
        <v>313</v>
      </c>
      <c r="F20" s="1391"/>
      <c r="G20" s="26" t="s">
        <v>9320</v>
      </c>
      <c r="H20" s="218" t="s">
        <v>7763</v>
      </c>
      <c r="I20" s="21" t="s">
        <v>60</v>
      </c>
      <c r="J20" s="24" t="s">
        <v>199</v>
      </c>
      <c r="K20" s="1390" t="s">
        <v>15735</v>
      </c>
      <c r="L20" s="1390" t="s">
        <v>15736</v>
      </c>
      <c r="M20" s="21" t="s">
        <v>314</v>
      </c>
      <c r="N20" s="21" t="s">
        <v>14233</v>
      </c>
      <c r="O20" s="6" t="s">
        <v>43</v>
      </c>
      <c r="P20" s="1482" t="s">
        <v>2890</v>
      </c>
      <c r="Q20" s="6" t="s">
        <v>43</v>
      </c>
      <c r="R20" s="26" t="s">
        <v>315</v>
      </c>
      <c r="S20" s="26" t="s">
        <v>298</v>
      </c>
      <c r="T20" s="6" t="s">
        <v>43</v>
      </c>
      <c r="U20" s="6" t="s">
        <v>43</v>
      </c>
      <c r="V20" s="6" t="s">
        <v>43</v>
      </c>
      <c r="W20" s="6" t="s">
        <v>43</v>
      </c>
      <c r="X20" s="21" t="s">
        <v>299</v>
      </c>
      <c r="Y20" s="1495" t="s">
        <v>202</v>
      </c>
      <c r="Z20" s="1495" t="s">
        <v>65</v>
      </c>
      <c r="AA20" s="219">
        <v>8960000</v>
      </c>
    </row>
    <row r="21" spans="1:27" s="27" customFormat="1" ht="15.75" customHeight="1">
      <c r="A21" s="1395"/>
      <c r="B21" s="1491"/>
      <c r="C21" s="1395"/>
      <c r="D21" s="21" t="s">
        <v>267</v>
      </c>
      <c r="E21" s="21" t="s">
        <v>313</v>
      </c>
      <c r="F21" s="1395"/>
      <c r="G21" s="26" t="s">
        <v>316</v>
      </c>
      <c r="H21" s="30" t="s">
        <v>195</v>
      </c>
      <c r="I21" s="21" t="s">
        <v>108</v>
      </c>
      <c r="J21" s="24" t="s">
        <v>199</v>
      </c>
      <c r="K21" s="1395"/>
      <c r="L21" s="1395"/>
      <c r="M21" s="21" t="s">
        <v>317</v>
      </c>
      <c r="N21" s="21" t="s">
        <v>330</v>
      </c>
      <c r="O21" s="6" t="s">
        <v>43</v>
      </c>
      <c r="P21" s="1484"/>
      <c r="Q21" s="6" t="s">
        <v>43</v>
      </c>
      <c r="R21" s="26" t="s">
        <v>297</v>
      </c>
      <c r="S21" s="26" t="s">
        <v>298</v>
      </c>
      <c r="T21" s="6" t="s">
        <v>43</v>
      </c>
      <c r="U21" s="6" t="s">
        <v>43</v>
      </c>
      <c r="V21" s="6" t="s">
        <v>43</v>
      </c>
      <c r="W21" s="6" t="s">
        <v>43</v>
      </c>
      <c r="X21" s="21" t="s">
        <v>299</v>
      </c>
      <c r="Y21" s="1496"/>
      <c r="Z21" s="1496"/>
      <c r="AA21" s="219">
        <v>20800000</v>
      </c>
    </row>
    <row r="22" spans="1:27">
      <c r="Z22" s="326" t="s">
        <v>90</v>
      </c>
      <c r="AA22" s="255">
        <f>SUM(AA2:AA21)</f>
        <v>418360000</v>
      </c>
    </row>
  </sheetData>
  <mergeCells count="59">
    <mergeCell ref="A16:A17"/>
    <mergeCell ref="A18:A19"/>
    <mergeCell ref="A20:A21"/>
    <mergeCell ref="A2:A5"/>
    <mergeCell ref="A6:A7"/>
    <mergeCell ref="A8:A10"/>
    <mergeCell ref="A11:A12"/>
    <mergeCell ref="A13:A15"/>
    <mergeCell ref="B16:B17"/>
    <mergeCell ref="B18:B19"/>
    <mergeCell ref="B20:B21"/>
    <mergeCell ref="C2:C21"/>
    <mergeCell ref="F2:F21"/>
    <mergeCell ref="B2:B5"/>
    <mergeCell ref="B6:B7"/>
    <mergeCell ref="B8:B10"/>
    <mergeCell ref="B11:B12"/>
    <mergeCell ref="B13:B15"/>
    <mergeCell ref="Y8:Y10"/>
    <mergeCell ref="Z8:Z10"/>
    <mergeCell ref="Y18:Y19"/>
    <mergeCell ref="Z18:Z19"/>
    <mergeCell ref="Y20:Y21"/>
    <mergeCell ref="Z20:Z21"/>
    <mergeCell ref="Y11:Y12"/>
    <mergeCell ref="Z11:Z12"/>
    <mergeCell ref="Y13:Y15"/>
    <mergeCell ref="Z13:Z15"/>
    <mergeCell ref="Y16:Y17"/>
    <mergeCell ref="Z16:Z17"/>
    <mergeCell ref="X2:X4"/>
    <mergeCell ref="P2:P5"/>
    <mergeCell ref="Z2:Z5"/>
    <mergeCell ref="Y6:Y7"/>
    <mergeCell ref="Z6:Z7"/>
    <mergeCell ref="Y2:Y5"/>
    <mergeCell ref="K18:K19"/>
    <mergeCell ref="K20:K21"/>
    <mergeCell ref="L2:L5"/>
    <mergeCell ref="L6:L7"/>
    <mergeCell ref="L8:L10"/>
    <mergeCell ref="L11:L12"/>
    <mergeCell ref="L13:L15"/>
    <mergeCell ref="L16:L17"/>
    <mergeCell ref="L18:L19"/>
    <mergeCell ref="L20:L21"/>
    <mergeCell ref="K6:K7"/>
    <mergeCell ref="K8:K10"/>
    <mergeCell ref="K11:K12"/>
    <mergeCell ref="K13:K15"/>
    <mergeCell ref="K16:K17"/>
    <mergeCell ref="K2:K5"/>
    <mergeCell ref="P18:P19"/>
    <mergeCell ref="P20:P21"/>
    <mergeCell ref="P6:P7"/>
    <mergeCell ref="P8:P10"/>
    <mergeCell ref="P11:P12"/>
    <mergeCell ref="P13:P15"/>
    <mergeCell ref="P16:P17"/>
  </mergeCells>
  <conditionalFormatting sqref="M12 M9:M10 M7 M15 M17 M19 M21 M1:M5">
    <cfRule type="duplicateValues" dxfId="1169" priority="24"/>
  </conditionalFormatting>
  <conditionalFormatting sqref="M8">
    <cfRule type="duplicateValues" dxfId="1168" priority="19"/>
    <cfRule type="duplicateValues" dxfId="1167" priority="21"/>
  </conditionalFormatting>
  <conditionalFormatting sqref="M12">
    <cfRule type="duplicateValues" dxfId="1166" priority="26"/>
  </conditionalFormatting>
  <conditionalFormatting sqref="M11">
    <cfRule type="duplicateValues" dxfId="1165" priority="16"/>
    <cfRule type="duplicateValues" dxfId="1164" priority="18"/>
  </conditionalFormatting>
  <conditionalFormatting sqref="M13">
    <cfRule type="duplicateValues" dxfId="1163" priority="13"/>
    <cfRule type="duplicateValues" dxfId="1162" priority="15"/>
  </conditionalFormatting>
  <conditionalFormatting sqref="M16">
    <cfRule type="duplicateValues" dxfId="1161" priority="10"/>
    <cfRule type="duplicateValues" dxfId="1160" priority="12"/>
  </conditionalFormatting>
  <conditionalFormatting sqref="M18">
    <cfRule type="duplicateValues" dxfId="1159" priority="7"/>
    <cfRule type="duplicateValues" dxfId="1158" priority="9"/>
  </conditionalFormatting>
  <conditionalFormatting sqref="M20">
    <cfRule type="duplicateValues" dxfId="1157" priority="4"/>
    <cfRule type="duplicateValues" dxfId="1156" priority="6"/>
  </conditionalFormatting>
  <conditionalFormatting sqref="N12 N1:N5 N7 N9:N10 N15 N17 N19 N21">
    <cfRule type="duplicateValues" dxfId="1155" priority="25"/>
  </conditionalFormatting>
  <conditionalFormatting sqref="N6">
    <cfRule type="duplicateValues" dxfId="1154" priority="22"/>
  </conditionalFormatting>
  <conditionalFormatting sqref="N8">
    <cfRule type="duplicateValues" dxfId="1153" priority="20"/>
  </conditionalFormatting>
  <conditionalFormatting sqref="N11">
    <cfRule type="duplicateValues" dxfId="1152" priority="17"/>
  </conditionalFormatting>
  <conditionalFormatting sqref="N13">
    <cfRule type="duplicateValues" dxfId="1151" priority="14"/>
  </conditionalFormatting>
  <conditionalFormatting sqref="N16">
    <cfRule type="duplicateValues" dxfId="1150" priority="11"/>
  </conditionalFormatting>
  <conditionalFormatting sqref="N18">
    <cfRule type="duplicateValues" dxfId="1149" priority="3"/>
  </conditionalFormatting>
  <conditionalFormatting sqref="N20">
    <cfRule type="duplicateValues" dxfId="1148" priority="5"/>
  </conditionalFormatting>
  <conditionalFormatting sqref="M14">
    <cfRule type="duplicateValues" dxfId="1147" priority="1"/>
  </conditionalFormatting>
  <conditionalFormatting sqref="N14">
    <cfRule type="duplicateValues" dxfId="114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17"/>
  <sheetViews>
    <sheetView rightToLeft="1" workbookViewId="0">
      <selection activeCell="A2" sqref="A2:A5"/>
    </sheetView>
  </sheetViews>
  <sheetFormatPr defaultRowHeight="15"/>
  <cols>
    <col min="4" max="4" width="14" customWidth="1"/>
    <col min="5" max="5" width="15.28515625" customWidth="1"/>
    <col min="7" max="7" width="14.42578125" customWidth="1"/>
    <col min="8" max="8" width="15" customWidth="1"/>
    <col min="9" max="9" width="17.140625" customWidth="1"/>
    <col min="10" max="10" width="11" customWidth="1"/>
    <col min="11" max="11" width="46.140625" customWidth="1"/>
    <col min="12" max="12" width="22.7109375" customWidth="1"/>
    <col min="13" max="13" width="80.5703125" customWidth="1"/>
    <col min="14" max="14" width="67.140625" customWidth="1"/>
    <col min="16" max="16" width="23.42578125" customWidth="1"/>
    <col min="17" max="17" width="15.85546875" customWidth="1"/>
    <col min="18" max="18" width="35" customWidth="1"/>
    <col min="19" max="19" width="17.5703125" customWidth="1"/>
    <col min="20" max="21" width="15.42578125" customWidth="1"/>
    <col min="22" max="22" width="19.5703125" customWidth="1"/>
    <col min="23" max="23" width="25.140625" customWidth="1"/>
    <col min="24" max="24" width="57.42578125" customWidth="1"/>
    <col min="25" max="25" width="17" customWidth="1"/>
    <col min="26" max="26" width="19.42578125" customWidth="1"/>
    <col min="27" max="27" width="22.42578125" customWidth="1"/>
  </cols>
  <sheetData>
    <row r="1" spans="1:27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27" customFormat="1" ht="16.5" customHeight="1">
      <c r="A2" s="1390">
        <v>1</v>
      </c>
      <c r="B2" s="1492">
        <v>456</v>
      </c>
      <c r="C2" s="1390" t="s">
        <v>376</v>
      </c>
      <c r="D2" s="1390" t="s">
        <v>376</v>
      </c>
      <c r="E2" s="21" t="s">
        <v>377</v>
      </c>
      <c r="F2" s="1390" t="s">
        <v>376</v>
      </c>
      <c r="G2" s="26" t="s">
        <v>9153</v>
      </c>
      <c r="H2" s="4" t="s">
        <v>28</v>
      </c>
      <c r="I2" s="1390" t="s">
        <v>270</v>
      </c>
      <c r="J2" s="24" t="s">
        <v>204</v>
      </c>
      <c r="K2" s="1390" t="s">
        <v>378</v>
      </c>
      <c r="L2" s="1390" t="s">
        <v>379</v>
      </c>
      <c r="M2" s="21" t="s">
        <v>380</v>
      </c>
      <c r="N2" s="21" t="s">
        <v>413</v>
      </c>
      <c r="O2" s="46" t="s">
        <v>43</v>
      </c>
      <c r="P2" s="1609" t="s">
        <v>381</v>
      </c>
      <c r="Q2" s="46" t="s">
        <v>43</v>
      </c>
      <c r="R2" s="46" t="s">
        <v>43</v>
      </c>
      <c r="S2" s="46" t="s">
        <v>43</v>
      </c>
      <c r="T2" s="1485" t="s">
        <v>43</v>
      </c>
      <c r="U2" s="46" t="s">
        <v>43</v>
      </c>
      <c r="V2" s="46" t="s">
        <v>43</v>
      </c>
      <c r="W2" s="26" t="s">
        <v>15258</v>
      </c>
      <c r="X2" s="1390"/>
      <c r="Y2" s="1495" t="s">
        <v>93</v>
      </c>
      <c r="Z2" s="1495" t="s">
        <v>65</v>
      </c>
      <c r="AA2" s="219">
        <v>36400000</v>
      </c>
    </row>
    <row r="3" spans="1:27" s="27" customFormat="1" ht="15.75" customHeight="1">
      <c r="A3" s="1391"/>
      <c r="B3" s="1493"/>
      <c r="C3" s="1391"/>
      <c r="D3" s="1391"/>
      <c r="E3" s="21" t="s">
        <v>377</v>
      </c>
      <c r="F3" s="1391"/>
      <c r="G3" s="26" t="s">
        <v>384</v>
      </c>
      <c r="H3" s="30" t="s">
        <v>195</v>
      </c>
      <c r="I3" s="1391"/>
      <c r="J3" s="24" t="s">
        <v>199</v>
      </c>
      <c r="K3" s="1391"/>
      <c r="L3" s="1391"/>
      <c r="M3" s="21" t="s">
        <v>385</v>
      </c>
      <c r="N3" s="21" t="s">
        <v>414</v>
      </c>
      <c r="O3" s="46" t="s">
        <v>43</v>
      </c>
      <c r="P3" s="1610"/>
      <c r="Q3" s="46" t="s">
        <v>43</v>
      </c>
      <c r="R3" s="46" t="s">
        <v>43</v>
      </c>
      <c r="S3" s="46" t="s">
        <v>43</v>
      </c>
      <c r="T3" s="1486"/>
      <c r="U3" s="46" t="s">
        <v>43</v>
      </c>
      <c r="V3" s="46" t="s">
        <v>43</v>
      </c>
      <c r="W3" s="806" t="s">
        <v>15259</v>
      </c>
      <c r="X3" s="1391"/>
      <c r="Y3" s="1497"/>
      <c r="Z3" s="1497"/>
      <c r="AA3" s="219">
        <v>20800000</v>
      </c>
    </row>
    <row r="4" spans="1:27" s="27" customFormat="1" ht="15.75" customHeight="1">
      <c r="A4" s="1391"/>
      <c r="B4" s="1493"/>
      <c r="C4" s="1391"/>
      <c r="D4" s="1391"/>
      <c r="E4" s="21" t="s">
        <v>377</v>
      </c>
      <c r="F4" s="1391"/>
      <c r="G4" s="26" t="s">
        <v>387</v>
      </c>
      <c r="H4" s="218" t="s">
        <v>7763</v>
      </c>
      <c r="I4" s="1395"/>
      <c r="J4" s="24" t="s">
        <v>204</v>
      </c>
      <c r="K4" s="1391"/>
      <c r="L4" s="1391"/>
      <c r="M4" s="807" t="s">
        <v>15378</v>
      </c>
      <c r="N4" s="807" t="s">
        <v>15377</v>
      </c>
      <c r="O4" s="46" t="s">
        <v>43</v>
      </c>
      <c r="P4" s="1610"/>
      <c r="Q4" s="26"/>
      <c r="R4" s="26"/>
      <c r="S4" s="46" t="s">
        <v>43</v>
      </c>
      <c r="T4" s="1487"/>
      <c r="U4" s="46" t="s">
        <v>43</v>
      </c>
      <c r="V4" s="46" t="s">
        <v>43</v>
      </c>
      <c r="W4" s="806" t="s">
        <v>15260</v>
      </c>
      <c r="X4" s="1395"/>
      <c r="Y4" s="1497"/>
      <c r="Z4" s="1497"/>
      <c r="AA4" s="219">
        <v>53760000</v>
      </c>
    </row>
    <row r="5" spans="1:27" s="27" customFormat="1" ht="15.75" customHeight="1">
      <c r="A5" s="1395"/>
      <c r="B5" s="1494"/>
      <c r="C5" s="1391"/>
      <c r="D5" s="1395"/>
      <c r="E5" s="21" t="s">
        <v>377</v>
      </c>
      <c r="F5" s="1391"/>
      <c r="G5" s="46" t="s">
        <v>43</v>
      </c>
      <c r="H5" s="661" t="s">
        <v>15261</v>
      </c>
      <c r="I5" s="21" t="s">
        <v>45</v>
      </c>
      <c r="J5" s="24" t="s">
        <v>11886</v>
      </c>
      <c r="K5" s="1395"/>
      <c r="L5" s="1395"/>
      <c r="M5" s="21" t="s">
        <v>391</v>
      </c>
      <c r="N5" s="21" t="s">
        <v>415</v>
      </c>
      <c r="O5" s="46" t="s">
        <v>43</v>
      </c>
      <c r="P5" s="1611"/>
      <c r="Q5" s="46" t="s">
        <v>43</v>
      </c>
      <c r="R5" s="46" t="s">
        <v>43</v>
      </c>
      <c r="S5" s="46" t="s">
        <v>43</v>
      </c>
      <c r="T5" s="46" t="s">
        <v>43</v>
      </c>
      <c r="U5" s="46" t="s">
        <v>43</v>
      </c>
      <c r="V5" s="46" t="s">
        <v>43</v>
      </c>
      <c r="W5" s="26" t="s">
        <v>55</v>
      </c>
      <c r="X5" s="21" t="s">
        <v>56</v>
      </c>
      <c r="Y5" s="1496"/>
      <c r="Z5" s="1496"/>
      <c r="AA5" s="303">
        <v>0</v>
      </c>
    </row>
    <row r="6" spans="1:27" s="27" customFormat="1" ht="15.75" customHeight="1">
      <c r="A6" s="1390">
        <v>2</v>
      </c>
      <c r="B6" s="1480">
        <v>405</v>
      </c>
      <c r="C6" s="1391"/>
      <c r="D6" s="1390" t="s">
        <v>376</v>
      </c>
      <c r="E6" s="21" t="s">
        <v>376</v>
      </c>
      <c r="F6" s="1391"/>
      <c r="G6" s="26" t="s">
        <v>392</v>
      </c>
      <c r="H6" s="218" t="s">
        <v>7763</v>
      </c>
      <c r="I6" s="21" t="s">
        <v>60</v>
      </c>
      <c r="J6" s="24" t="s">
        <v>205</v>
      </c>
      <c r="K6" s="1390" t="s">
        <v>15252</v>
      </c>
      <c r="L6" s="1390" t="s">
        <v>15255</v>
      </c>
      <c r="M6" s="722" t="s">
        <v>15256</v>
      </c>
      <c r="N6" s="21" t="s">
        <v>15257</v>
      </c>
      <c r="O6" s="46" t="s">
        <v>43</v>
      </c>
      <c r="P6" s="1482" t="s">
        <v>2891</v>
      </c>
      <c r="Q6" s="26" t="s">
        <v>393</v>
      </c>
      <c r="R6" s="26" t="s">
        <v>166</v>
      </c>
      <c r="S6" s="46" t="s">
        <v>43</v>
      </c>
      <c r="T6" s="46" t="s">
        <v>43</v>
      </c>
      <c r="U6" s="46" t="s">
        <v>43</v>
      </c>
      <c r="V6" s="46" t="s">
        <v>43</v>
      </c>
      <c r="W6" s="46" t="s">
        <v>43</v>
      </c>
      <c r="X6" s="21" t="s">
        <v>167</v>
      </c>
      <c r="Y6" s="1495" t="s">
        <v>202</v>
      </c>
      <c r="Z6" s="1495" t="s">
        <v>65</v>
      </c>
      <c r="AA6" s="219">
        <v>8960000</v>
      </c>
    </row>
    <row r="7" spans="1:27" s="27" customFormat="1" ht="15.75" customHeight="1">
      <c r="A7" s="1395"/>
      <c r="B7" s="1491"/>
      <c r="C7" s="1391"/>
      <c r="D7" s="1395"/>
      <c r="E7" s="21" t="s">
        <v>376</v>
      </c>
      <c r="F7" s="1391"/>
      <c r="G7" s="26">
        <v>592015</v>
      </c>
      <c r="H7" s="30" t="s">
        <v>195</v>
      </c>
      <c r="I7" s="21" t="s">
        <v>168</v>
      </c>
      <c r="J7" s="24" t="s">
        <v>199</v>
      </c>
      <c r="K7" s="1395"/>
      <c r="L7" s="1395"/>
      <c r="M7" s="21" t="s">
        <v>394</v>
      </c>
      <c r="N7" s="21" t="s">
        <v>416</v>
      </c>
      <c r="O7" s="46" t="s">
        <v>43</v>
      </c>
      <c r="P7" s="1484"/>
      <c r="Q7" s="46" t="s">
        <v>43</v>
      </c>
      <c r="R7" s="26" t="s">
        <v>68</v>
      </c>
      <c r="S7" s="46" t="s">
        <v>43</v>
      </c>
      <c r="T7" s="46" t="s">
        <v>43</v>
      </c>
      <c r="U7" s="46" t="s">
        <v>43</v>
      </c>
      <c r="V7" s="46" t="s">
        <v>43</v>
      </c>
      <c r="W7" s="46" t="s">
        <v>43</v>
      </c>
      <c r="X7" s="21" t="s">
        <v>395</v>
      </c>
      <c r="Y7" s="1496"/>
      <c r="Z7" s="1496"/>
      <c r="AA7" s="219">
        <v>20800000</v>
      </c>
    </row>
    <row r="8" spans="1:27" s="27" customFormat="1" ht="15.75" customHeight="1">
      <c r="A8" s="1390">
        <v>3</v>
      </c>
      <c r="B8" s="1480">
        <v>427</v>
      </c>
      <c r="C8" s="1391"/>
      <c r="D8" s="1390" t="s">
        <v>396</v>
      </c>
      <c r="E8" s="21" t="s">
        <v>396</v>
      </c>
      <c r="F8" s="1391"/>
      <c r="G8" s="26" t="s">
        <v>9311</v>
      </c>
      <c r="H8" s="218" t="s">
        <v>7763</v>
      </c>
      <c r="I8" s="21" t="s">
        <v>60</v>
      </c>
      <c r="J8" s="24" t="s">
        <v>205</v>
      </c>
      <c r="K8" s="1390" t="s">
        <v>15254</v>
      </c>
      <c r="L8" s="1390" t="s">
        <v>15246</v>
      </c>
      <c r="M8" s="722" t="s">
        <v>15248</v>
      </c>
      <c r="N8" s="21" t="s">
        <v>15247</v>
      </c>
      <c r="O8" s="46" t="s">
        <v>43</v>
      </c>
      <c r="P8" s="1482" t="s">
        <v>2892</v>
      </c>
      <c r="Q8" s="26" t="s">
        <v>176</v>
      </c>
      <c r="R8" s="26" t="s">
        <v>397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21" t="s">
        <v>167</v>
      </c>
      <c r="Y8" s="1495" t="s">
        <v>418</v>
      </c>
      <c r="Z8" s="1390" t="s">
        <v>65</v>
      </c>
      <c r="AA8" s="219">
        <v>12800000</v>
      </c>
    </row>
    <row r="9" spans="1:27" s="27" customFormat="1" ht="15.75" customHeight="1">
      <c r="A9" s="1395"/>
      <c r="B9" s="1491"/>
      <c r="C9" s="1391"/>
      <c r="D9" s="1395"/>
      <c r="E9" s="21" t="s">
        <v>396</v>
      </c>
      <c r="F9" s="1391"/>
      <c r="G9" s="26">
        <v>592017</v>
      </c>
      <c r="H9" s="30" t="s">
        <v>195</v>
      </c>
      <c r="I9" s="21" t="s">
        <v>168</v>
      </c>
      <c r="J9" s="24" t="s">
        <v>199</v>
      </c>
      <c r="K9" s="1395"/>
      <c r="L9" s="1395"/>
      <c r="M9" s="21" t="s">
        <v>398</v>
      </c>
      <c r="N9" s="21" t="s">
        <v>420</v>
      </c>
      <c r="O9" s="46" t="s">
        <v>43</v>
      </c>
      <c r="P9" s="1484"/>
      <c r="Q9" s="46" t="s">
        <v>43</v>
      </c>
      <c r="R9" s="26" t="s">
        <v>417</v>
      </c>
      <c r="S9" s="46" t="s">
        <v>43</v>
      </c>
      <c r="T9" s="46" t="s">
        <v>43</v>
      </c>
      <c r="U9" s="46" t="s">
        <v>43</v>
      </c>
      <c r="V9" s="46" t="s">
        <v>43</v>
      </c>
      <c r="W9" s="46" t="s">
        <v>43</v>
      </c>
      <c r="X9" s="21" t="s">
        <v>395</v>
      </c>
      <c r="Y9" s="1497"/>
      <c r="Z9" s="1391"/>
      <c r="AA9" s="219">
        <v>20800000</v>
      </c>
    </row>
    <row r="10" spans="1:27" s="27" customFormat="1" ht="18">
      <c r="A10" s="1390">
        <v>4</v>
      </c>
      <c r="B10" s="1471">
        <v>440</v>
      </c>
      <c r="C10" s="1391"/>
      <c r="D10" s="1390" t="s">
        <v>399</v>
      </c>
      <c r="E10" s="21" t="s">
        <v>399</v>
      </c>
      <c r="F10" s="1391"/>
      <c r="G10" s="26" t="s">
        <v>400</v>
      </c>
      <c r="H10" s="218" t="s">
        <v>7763</v>
      </c>
      <c r="I10" s="21" t="s">
        <v>60</v>
      </c>
      <c r="J10" s="96" t="s">
        <v>199</v>
      </c>
      <c r="K10" s="1390" t="s">
        <v>15253</v>
      </c>
      <c r="L10" s="1390" t="s">
        <v>15244</v>
      </c>
      <c r="M10" s="722" t="s">
        <v>15249</v>
      </c>
      <c r="N10" s="21" t="s">
        <v>15245</v>
      </c>
      <c r="O10" s="46" t="s">
        <v>43</v>
      </c>
      <c r="P10" s="1482" t="s">
        <v>2893</v>
      </c>
      <c r="Q10" s="26" t="s">
        <v>401</v>
      </c>
      <c r="R10" s="26" t="s">
        <v>166</v>
      </c>
      <c r="S10" s="46" t="s">
        <v>43</v>
      </c>
      <c r="T10" s="46" t="s">
        <v>43</v>
      </c>
      <c r="U10" s="46" t="s">
        <v>43</v>
      </c>
      <c r="V10" s="46" t="s">
        <v>43</v>
      </c>
      <c r="W10" s="46" t="s">
        <v>43</v>
      </c>
      <c r="X10" s="21" t="s">
        <v>167</v>
      </c>
      <c r="Y10" s="1495" t="s">
        <v>202</v>
      </c>
      <c r="Z10" s="1390" t="s">
        <v>65</v>
      </c>
      <c r="AA10" s="219">
        <v>25600000</v>
      </c>
    </row>
    <row r="11" spans="1:27" s="27" customFormat="1" ht="15.75" customHeight="1">
      <c r="A11" s="1395"/>
      <c r="B11" s="1472"/>
      <c r="C11" s="1391"/>
      <c r="D11" s="1395"/>
      <c r="E11" s="21" t="s">
        <v>399</v>
      </c>
      <c r="F11" s="1391"/>
      <c r="G11" s="26" t="s">
        <v>402</v>
      </c>
      <c r="H11" s="30" t="s">
        <v>195</v>
      </c>
      <c r="I11" s="21" t="s">
        <v>168</v>
      </c>
      <c r="J11" s="96" t="s">
        <v>199</v>
      </c>
      <c r="K11" s="1395"/>
      <c r="L11" s="1395"/>
      <c r="M11" s="21" t="s">
        <v>403</v>
      </c>
      <c r="N11" s="21" t="s">
        <v>419</v>
      </c>
      <c r="O11" s="46" t="s">
        <v>43</v>
      </c>
      <c r="P11" s="1484"/>
      <c r="Q11" s="46" t="s">
        <v>43</v>
      </c>
      <c r="R11" s="26" t="s">
        <v>68</v>
      </c>
      <c r="S11" s="46" t="s">
        <v>43</v>
      </c>
      <c r="T11" s="46" t="s">
        <v>43</v>
      </c>
      <c r="U11" s="46" t="s">
        <v>43</v>
      </c>
      <c r="V11" s="46" t="s">
        <v>43</v>
      </c>
      <c r="W11" s="46" t="s">
        <v>43</v>
      </c>
      <c r="X11" s="21" t="s">
        <v>395</v>
      </c>
      <c r="Y11" s="1497"/>
      <c r="Z11" s="1391"/>
      <c r="AA11" s="219">
        <v>20800000</v>
      </c>
    </row>
    <row r="12" spans="1:27" s="27" customFormat="1" ht="15.75" customHeight="1">
      <c r="A12" s="1390">
        <v>5</v>
      </c>
      <c r="B12" s="1471">
        <v>470</v>
      </c>
      <c r="C12" s="1391"/>
      <c r="D12" s="1390" t="s">
        <v>404</v>
      </c>
      <c r="E12" s="21" t="s">
        <v>404</v>
      </c>
      <c r="F12" s="1391"/>
      <c r="G12" s="26" t="s">
        <v>9312</v>
      </c>
      <c r="H12" s="218" t="s">
        <v>7763</v>
      </c>
      <c r="I12" s="21" t="s">
        <v>60</v>
      </c>
      <c r="J12" s="96" t="s">
        <v>205</v>
      </c>
      <c r="K12" s="1390" t="s">
        <v>15241</v>
      </c>
      <c r="L12" s="1390" t="s">
        <v>15242</v>
      </c>
      <c r="M12" s="722" t="s">
        <v>15250</v>
      </c>
      <c r="N12" s="21" t="s">
        <v>15243</v>
      </c>
      <c r="O12" s="46" t="s">
        <v>43</v>
      </c>
      <c r="P12" s="1482" t="s">
        <v>2894</v>
      </c>
      <c r="Q12" s="26" t="s">
        <v>405</v>
      </c>
      <c r="R12" s="26" t="s">
        <v>166</v>
      </c>
      <c r="S12" s="46" t="s">
        <v>43</v>
      </c>
      <c r="T12" s="46" t="s">
        <v>43</v>
      </c>
      <c r="U12" s="46" t="s">
        <v>43</v>
      </c>
      <c r="V12" s="46" t="s">
        <v>43</v>
      </c>
      <c r="W12" s="46" t="s">
        <v>43</v>
      </c>
      <c r="X12" s="21" t="s">
        <v>167</v>
      </c>
      <c r="Y12" s="1495" t="s">
        <v>202</v>
      </c>
      <c r="Z12" s="1390" t="s">
        <v>65</v>
      </c>
      <c r="AA12" s="219">
        <v>12800000</v>
      </c>
    </row>
    <row r="13" spans="1:27" s="27" customFormat="1" ht="15.75" customHeight="1">
      <c r="A13" s="1395"/>
      <c r="B13" s="1472"/>
      <c r="C13" s="1391"/>
      <c r="D13" s="1395"/>
      <c r="E13" s="21" t="s">
        <v>404</v>
      </c>
      <c r="F13" s="1391"/>
      <c r="G13" s="26">
        <v>592020</v>
      </c>
      <c r="H13" s="30" t="s">
        <v>195</v>
      </c>
      <c r="I13" s="21" t="s">
        <v>168</v>
      </c>
      <c r="J13" s="96" t="s">
        <v>199</v>
      </c>
      <c r="K13" s="1395"/>
      <c r="L13" s="1395"/>
      <c r="M13" s="21" t="s">
        <v>406</v>
      </c>
      <c r="N13" s="21" t="s">
        <v>990</v>
      </c>
      <c r="O13" s="46" t="s">
        <v>43</v>
      </c>
      <c r="P13" s="1484"/>
      <c r="Q13" s="46" t="s">
        <v>43</v>
      </c>
      <c r="R13" s="26" t="s">
        <v>68</v>
      </c>
      <c r="S13" s="46" t="s">
        <v>43</v>
      </c>
      <c r="T13" s="46" t="s">
        <v>43</v>
      </c>
      <c r="U13" s="46" t="s">
        <v>43</v>
      </c>
      <c r="V13" s="46" t="s">
        <v>43</v>
      </c>
      <c r="W13" s="46" t="s">
        <v>43</v>
      </c>
      <c r="X13" s="21" t="s">
        <v>395</v>
      </c>
      <c r="Y13" s="1497"/>
      <c r="Z13" s="1391"/>
      <c r="AA13" s="219">
        <v>20800000</v>
      </c>
    </row>
    <row r="14" spans="1:27" s="27" customFormat="1" ht="15.75" customHeight="1">
      <c r="A14" s="1390">
        <v>6</v>
      </c>
      <c r="B14" s="1471">
        <v>498</v>
      </c>
      <c r="C14" s="1391"/>
      <c r="D14" s="1390" t="s">
        <v>407</v>
      </c>
      <c r="E14" s="21" t="s">
        <v>407</v>
      </c>
      <c r="F14" s="1391"/>
      <c r="G14" s="26" t="s">
        <v>9313</v>
      </c>
      <c r="H14" s="218" t="s">
        <v>7763</v>
      </c>
      <c r="I14" s="21" t="s">
        <v>60</v>
      </c>
      <c r="J14" s="96" t="s">
        <v>199</v>
      </c>
      <c r="K14" s="1390" t="s">
        <v>15238</v>
      </c>
      <c r="L14" s="1390" t="s">
        <v>15239</v>
      </c>
      <c r="M14" s="722" t="s">
        <v>15251</v>
      </c>
      <c r="N14" s="21" t="s">
        <v>15240</v>
      </c>
      <c r="O14" s="46" t="s">
        <v>43</v>
      </c>
      <c r="P14" s="1482" t="s">
        <v>2895</v>
      </c>
      <c r="Q14" s="26" t="s">
        <v>408</v>
      </c>
      <c r="R14" s="26" t="s">
        <v>68</v>
      </c>
      <c r="S14" s="46" t="s">
        <v>43</v>
      </c>
      <c r="T14" s="46" t="s">
        <v>43</v>
      </c>
      <c r="U14" s="46" t="s">
        <v>43</v>
      </c>
      <c r="V14" s="46" t="s">
        <v>43</v>
      </c>
      <c r="W14" s="46" t="s">
        <v>43</v>
      </c>
      <c r="X14" s="21" t="s">
        <v>167</v>
      </c>
      <c r="Y14" s="1495" t="s">
        <v>202</v>
      </c>
      <c r="Z14" s="1495" t="s">
        <v>65</v>
      </c>
      <c r="AA14" s="219">
        <v>53760000</v>
      </c>
    </row>
    <row r="15" spans="1:27" s="27" customFormat="1" ht="15.75" customHeight="1">
      <c r="A15" s="1391"/>
      <c r="B15" s="1419"/>
      <c r="C15" s="1391"/>
      <c r="D15" s="1391"/>
      <c r="E15" s="21" t="s">
        <v>407</v>
      </c>
      <c r="F15" s="1391"/>
      <c r="G15" s="26" t="s">
        <v>409</v>
      </c>
      <c r="H15" s="30" t="s">
        <v>195</v>
      </c>
      <c r="I15" s="21" t="s">
        <v>168</v>
      </c>
      <c r="J15" s="24" t="s">
        <v>199</v>
      </c>
      <c r="K15" s="1391"/>
      <c r="L15" s="1391"/>
      <c r="M15" s="21" t="s">
        <v>410</v>
      </c>
      <c r="N15" s="21" t="s">
        <v>421</v>
      </c>
      <c r="O15" s="46" t="s">
        <v>43</v>
      </c>
      <c r="P15" s="1483"/>
      <c r="Q15" s="46" t="s">
        <v>43</v>
      </c>
      <c r="R15" s="26" t="s">
        <v>255</v>
      </c>
      <c r="S15" s="46" t="s">
        <v>43</v>
      </c>
      <c r="T15" s="46" t="s">
        <v>43</v>
      </c>
      <c r="U15" s="46" t="s">
        <v>43</v>
      </c>
      <c r="V15" s="46" t="s">
        <v>43</v>
      </c>
      <c r="W15" s="26" t="s">
        <v>343</v>
      </c>
      <c r="X15" s="21" t="s">
        <v>395</v>
      </c>
      <c r="Y15" s="1497"/>
      <c r="Z15" s="1497"/>
      <c r="AA15" s="219">
        <v>20800000</v>
      </c>
    </row>
    <row r="16" spans="1:27" s="27" customFormat="1" ht="15.75" customHeight="1">
      <c r="A16" s="1395"/>
      <c r="B16" s="1472"/>
      <c r="C16" s="1395"/>
      <c r="D16" s="1395"/>
      <c r="E16" s="22" t="s">
        <v>407</v>
      </c>
      <c r="F16" s="1395"/>
      <c r="G16" s="46" t="s">
        <v>43</v>
      </c>
      <c r="H16" s="4" t="s">
        <v>44</v>
      </c>
      <c r="I16" s="21" t="s">
        <v>45</v>
      </c>
      <c r="J16" s="24" t="s">
        <v>201</v>
      </c>
      <c r="K16" s="1395"/>
      <c r="L16" s="1395"/>
      <c r="M16" s="22" t="s">
        <v>411</v>
      </c>
      <c r="N16" s="21" t="s">
        <v>412</v>
      </c>
      <c r="O16" s="46" t="s">
        <v>43</v>
      </c>
      <c r="P16" s="1484"/>
      <c r="Q16" s="46" t="s">
        <v>43</v>
      </c>
      <c r="R16" s="26" t="s">
        <v>48</v>
      </c>
      <c r="S16" s="46" t="s">
        <v>43</v>
      </c>
      <c r="T16" s="46" t="s">
        <v>43</v>
      </c>
      <c r="U16" s="46" t="s">
        <v>43</v>
      </c>
      <c r="V16" s="46" t="s">
        <v>43</v>
      </c>
      <c r="W16" s="26" t="s">
        <v>422</v>
      </c>
      <c r="X16" s="21" t="s">
        <v>50</v>
      </c>
      <c r="Y16" s="1496"/>
      <c r="Z16" s="1496"/>
      <c r="AA16" s="303">
        <v>0</v>
      </c>
    </row>
    <row r="17" spans="2:27" s="12" customFormat="1" ht="19.5">
      <c r="B17" s="40"/>
      <c r="G17" s="41"/>
      <c r="I17" s="11"/>
      <c r="J17" s="42"/>
      <c r="P17" s="42"/>
      <c r="Q17" s="41"/>
      <c r="R17" s="41"/>
      <c r="S17" s="41"/>
      <c r="W17" s="41"/>
      <c r="X17" s="11"/>
      <c r="Y17" s="11"/>
      <c r="Z17" s="325" t="s">
        <v>90</v>
      </c>
      <c r="AA17" s="321">
        <f>SUM(AA2:AA16)</f>
        <v>328880000</v>
      </c>
    </row>
  </sheetData>
  <mergeCells count="53">
    <mergeCell ref="D14:D16"/>
    <mergeCell ref="B12:B13"/>
    <mergeCell ref="A14:A16"/>
    <mergeCell ref="A2:A5"/>
    <mergeCell ref="A6:A7"/>
    <mergeCell ref="A8:A9"/>
    <mergeCell ref="A10:A11"/>
    <mergeCell ref="A12:A13"/>
    <mergeCell ref="B2:B5"/>
    <mergeCell ref="B6:B7"/>
    <mergeCell ref="B8:B9"/>
    <mergeCell ref="B10:B11"/>
    <mergeCell ref="B14:B16"/>
    <mergeCell ref="C2:C16"/>
    <mergeCell ref="D2:D5"/>
    <mergeCell ref="D6:D7"/>
    <mergeCell ref="Z14:Z16"/>
    <mergeCell ref="Y2:Y5"/>
    <mergeCell ref="Z2:Z5"/>
    <mergeCell ref="Y6:Y7"/>
    <mergeCell ref="Z6:Z7"/>
    <mergeCell ref="Y8:Y9"/>
    <mergeCell ref="Z8:Z9"/>
    <mergeCell ref="Z10:Z11"/>
    <mergeCell ref="Z12:Z13"/>
    <mergeCell ref="D8:D9"/>
    <mergeCell ref="D10:D11"/>
    <mergeCell ref="D12:D13"/>
    <mergeCell ref="T2:T4"/>
    <mergeCell ref="Y10:Y11"/>
    <mergeCell ref="P12:P13"/>
    <mergeCell ref="X2:X4"/>
    <mergeCell ref="P10:P11"/>
    <mergeCell ref="Y12:Y13"/>
    <mergeCell ref="P8:P9"/>
    <mergeCell ref="K8:K9"/>
    <mergeCell ref="I2:I4"/>
    <mergeCell ref="F2:F16"/>
    <mergeCell ref="K12:K13"/>
    <mergeCell ref="K10:K11"/>
    <mergeCell ref="Y14:Y16"/>
    <mergeCell ref="P14:P16"/>
    <mergeCell ref="K2:K5"/>
    <mergeCell ref="P2:P5"/>
    <mergeCell ref="P6:P7"/>
    <mergeCell ref="K14:K16"/>
    <mergeCell ref="L14:L16"/>
    <mergeCell ref="K6:K7"/>
    <mergeCell ref="L6:L7"/>
    <mergeCell ref="L2:L5"/>
    <mergeCell ref="L8:L9"/>
    <mergeCell ref="L12:L13"/>
    <mergeCell ref="L10:L11"/>
  </mergeCells>
  <conditionalFormatting sqref="M7 M9 M11 M13 M15 M1:M5">
    <cfRule type="duplicateValues" dxfId="1145" priority="20"/>
    <cfRule type="duplicateValues" dxfId="1144" priority="22"/>
  </conditionalFormatting>
  <conditionalFormatting sqref="M16">
    <cfRule type="duplicateValues" dxfId="1143" priority="7"/>
    <cfRule type="duplicateValues" dxfId="1142" priority="9"/>
  </conditionalFormatting>
  <conditionalFormatting sqref="N7 N1:N4 N9 N11 N15 N13">
    <cfRule type="duplicateValues" dxfId="1141" priority="21"/>
  </conditionalFormatting>
  <conditionalFormatting sqref="N5">
    <cfRule type="duplicateValues" dxfId="1140" priority="6"/>
  </conditionalFormatting>
  <conditionalFormatting sqref="N6">
    <cfRule type="duplicateValues" dxfId="1139" priority="19"/>
  </conditionalFormatting>
  <conditionalFormatting sqref="N8">
    <cfRule type="duplicateValues" dxfId="1138" priority="17"/>
  </conditionalFormatting>
  <conditionalFormatting sqref="N10">
    <cfRule type="duplicateValues" dxfId="1137" priority="15"/>
  </conditionalFormatting>
  <conditionalFormatting sqref="N12">
    <cfRule type="duplicateValues" dxfId="1136" priority="13"/>
  </conditionalFormatting>
  <conditionalFormatting sqref="N14">
    <cfRule type="duplicateValues" dxfId="1135" priority="11"/>
  </conditionalFormatting>
  <conditionalFormatting sqref="N16">
    <cfRule type="duplicateValues" dxfId="1134" priority="8"/>
  </conditionalFormatting>
  <conditionalFormatting sqref="M6">
    <cfRule type="duplicateValues" dxfId="1133" priority="5"/>
  </conditionalFormatting>
  <conditionalFormatting sqref="M8">
    <cfRule type="duplicateValues" dxfId="1132" priority="4"/>
  </conditionalFormatting>
  <conditionalFormatting sqref="M10">
    <cfRule type="duplicateValues" dxfId="1131" priority="3"/>
  </conditionalFormatting>
  <conditionalFormatting sqref="M12">
    <cfRule type="duplicateValues" dxfId="1130" priority="2"/>
  </conditionalFormatting>
  <conditionalFormatting sqref="M14">
    <cfRule type="duplicateValues" dxfId="1129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9"/>
  <sheetViews>
    <sheetView rightToLeft="1" workbookViewId="0">
      <selection activeCell="J24" sqref="J24"/>
    </sheetView>
  </sheetViews>
  <sheetFormatPr defaultRowHeight="15"/>
  <cols>
    <col min="3" max="3" width="17.42578125" customWidth="1"/>
    <col min="6" max="6" width="13.28515625" customWidth="1"/>
    <col min="8" max="8" width="16.85546875" customWidth="1"/>
    <col min="9" max="9" width="16.5703125" customWidth="1"/>
    <col min="10" max="10" width="20.140625" customWidth="1"/>
    <col min="11" max="11" width="32.28515625" customWidth="1"/>
    <col min="12" max="12" width="27.5703125" customWidth="1"/>
    <col min="13" max="13" width="74.7109375" customWidth="1"/>
    <col min="14" max="14" width="96.140625" customWidth="1"/>
    <col min="16" max="16" width="27" customWidth="1"/>
    <col min="17" max="17" width="25.140625" customWidth="1"/>
    <col min="18" max="18" width="31.140625" customWidth="1"/>
    <col min="20" max="20" width="20.7109375" customWidth="1"/>
    <col min="21" max="21" width="54.140625" customWidth="1"/>
    <col min="22" max="22" width="24.7109375" customWidth="1"/>
    <col min="23" max="23" width="23.28515625" customWidth="1"/>
    <col min="24" max="24" width="64.140625" customWidth="1"/>
    <col min="25" max="25" width="25" customWidth="1"/>
    <col min="26" max="26" width="25.42578125" customWidth="1"/>
    <col min="27" max="27" width="26.5703125" customWidth="1"/>
    <col min="28" max="28" width="29.5703125" customWidth="1"/>
  </cols>
  <sheetData>
    <row r="1" spans="1:28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233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8" s="27" customFormat="1" ht="15.75" customHeight="1">
      <c r="A2" s="1390">
        <v>1</v>
      </c>
      <c r="B2" s="1492">
        <v>315</v>
      </c>
      <c r="C2" s="1390" t="s">
        <v>1506</v>
      </c>
      <c r="D2" s="1390" t="s">
        <v>1507</v>
      </c>
      <c r="E2" s="1390" t="s">
        <v>1507</v>
      </c>
      <c r="F2" s="1390" t="s">
        <v>267</v>
      </c>
      <c r="G2" s="26" t="s">
        <v>9154</v>
      </c>
      <c r="H2" s="21" t="s">
        <v>28</v>
      </c>
      <c r="I2" s="491" t="s">
        <v>29</v>
      </c>
      <c r="J2" s="24" t="s">
        <v>204</v>
      </c>
      <c r="K2" s="1681" t="s">
        <v>14877</v>
      </c>
      <c r="L2" s="1390" t="s">
        <v>14878</v>
      </c>
      <c r="M2" s="21" t="s">
        <v>3121</v>
      </c>
      <c r="N2" s="21" t="s">
        <v>1524</v>
      </c>
      <c r="O2" s="46" t="s">
        <v>43</v>
      </c>
      <c r="P2" s="1609" t="s">
        <v>1508</v>
      </c>
      <c r="Q2" s="46" t="s">
        <v>43</v>
      </c>
      <c r="R2" s="26" t="s">
        <v>3120</v>
      </c>
      <c r="S2" s="46" t="s">
        <v>43</v>
      </c>
      <c r="T2" s="1485" t="s">
        <v>43</v>
      </c>
      <c r="U2" s="1485" t="s">
        <v>43</v>
      </c>
      <c r="V2" s="1485" t="s">
        <v>43</v>
      </c>
      <c r="W2" s="26" t="s">
        <v>3122</v>
      </c>
      <c r="X2" s="1390" t="s">
        <v>450</v>
      </c>
      <c r="Y2" s="1495" t="s">
        <v>93</v>
      </c>
      <c r="Z2" s="1495" t="s">
        <v>242</v>
      </c>
      <c r="AA2" s="219">
        <v>36400000</v>
      </c>
      <c r="AB2" s="27" t="s">
        <v>11826</v>
      </c>
    </row>
    <row r="3" spans="1:28" s="27" customFormat="1" ht="15.75" customHeight="1">
      <c r="A3" s="1391"/>
      <c r="B3" s="1493"/>
      <c r="C3" s="1391"/>
      <c r="D3" s="1391"/>
      <c r="E3" s="1391"/>
      <c r="F3" s="1391"/>
      <c r="G3" s="26">
        <v>611971</v>
      </c>
      <c r="H3" s="30" t="s">
        <v>195</v>
      </c>
      <c r="I3" s="491" t="s">
        <v>29</v>
      </c>
      <c r="J3" s="24" t="s">
        <v>204</v>
      </c>
      <c r="K3" s="1682"/>
      <c r="L3" s="1391"/>
      <c r="M3" s="21" t="s">
        <v>1509</v>
      </c>
      <c r="N3" s="21" t="s">
        <v>1522</v>
      </c>
      <c r="O3" s="46" t="s">
        <v>43</v>
      </c>
      <c r="P3" s="1610"/>
      <c r="Q3" s="46" t="s">
        <v>43</v>
      </c>
      <c r="R3" s="26" t="s">
        <v>3119</v>
      </c>
      <c r="S3" s="46" t="s">
        <v>43</v>
      </c>
      <c r="T3" s="1487"/>
      <c r="U3" s="1487"/>
      <c r="V3" s="1487"/>
      <c r="W3" s="26" t="s">
        <v>3123</v>
      </c>
      <c r="X3" s="1395"/>
      <c r="Y3" s="1497"/>
      <c r="Z3" s="1497"/>
      <c r="AA3" s="219">
        <v>36400000</v>
      </c>
    </row>
    <row r="4" spans="1:28" s="27" customFormat="1" ht="15.75" customHeight="1">
      <c r="A4" s="1391"/>
      <c r="B4" s="1493"/>
      <c r="C4" s="1391"/>
      <c r="D4" s="1391"/>
      <c r="E4" s="1391"/>
      <c r="F4" s="1391"/>
      <c r="G4" s="26" t="s">
        <v>9307</v>
      </c>
      <c r="H4" s="218" t="s">
        <v>7763</v>
      </c>
      <c r="I4" s="491" t="s">
        <v>29</v>
      </c>
      <c r="J4" s="24" t="s">
        <v>204</v>
      </c>
      <c r="K4" s="1682"/>
      <c r="L4" s="1391"/>
      <c r="M4" s="62" t="s">
        <v>14922</v>
      </c>
      <c r="N4" s="25" t="s">
        <v>14918</v>
      </c>
      <c r="O4" s="46" t="s">
        <v>43</v>
      </c>
      <c r="P4" s="1610"/>
      <c r="Q4" s="26" t="s">
        <v>149</v>
      </c>
      <c r="R4" s="26" t="s">
        <v>251</v>
      </c>
      <c r="S4" s="46" t="s">
        <v>43</v>
      </c>
      <c r="T4" s="46" t="s">
        <v>43</v>
      </c>
      <c r="U4" s="46" t="s">
        <v>43</v>
      </c>
      <c r="V4" s="46" t="s">
        <v>43</v>
      </c>
      <c r="W4" s="46" t="s">
        <v>43</v>
      </c>
      <c r="X4" s="21" t="s">
        <v>151</v>
      </c>
      <c r="Y4" s="1497"/>
      <c r="Z4" s="1497"/>
      <c r="AA4" s="219">
        <v>19600000</v>
      </c>
    </row>
    <row r="5" spans="1:28" s="27" customFormat="1" ht="15.75" customHeight="1">
      <c r="A5" s="1395"/>
      <c r="B5" s="1494"/>
      <c r="C5" s="1391"/>
      <c r="D5" s="1395"/>
      <c r="E5" s="1395"/>
      <c r="F5" s="1391"/>
      <c r="G5" s="46" t="s">
        <v>43</v>
      </c>
      <c r="H5" s="21" t="s">
        <v>51</v>
      </c>
      <c r="I5" s="21" t="s">
        <v>45</v>
      </c>
      <c r="J5" s="24" t="s">
        <v>11886</v>
      </c>
      <c r="K5" s="1683"/>
      <c r="L5" s="1395"/>
      <c r="M5" s="21" t="s">
        <v>1511</v>
      </c>
      <c r="N5" s="21" t="s">
        <v>1523</v>
      </c>
      <c r="O5" s="46" t="s">
        <v>43</v>
      </c>
      <c r="P5" s="1611"/>
      <c r="Q5" s="46" t="s">
        <v>43</v>
      </c>
      <c r="R5" s="26" t="s">
        <v>54</v>
      </c>
      <c r="S5" s="46" t="s">
        <v>43</v>
      </c>
      <c r="T5" s="46" t="s">
        <v>43</v>
      </c>
      <c r="U5" s="46" t="s">
        <v>43</v>
      </c>
      <c r="V5" s="46" t="s">
        <v>43</v>
      </c>
      <c r="W5" s="26" t="s">
        <v>1512</v>
      </c>
      <c r="X5" s="21" t="s">
        <v>56</v>
      </c>
      <c r="Y5" s="1496"/>
      <c r="Z5" s="1496"/>
      <c r="AA5" s="303">
        <v>0</v>
      </c>
    </row>
    <row r="6" spans="1:28" s="27" customFormat="1" ht="15.75" customHeight="1">
      <c r="A6" s="1390">
        <v>2</v>
      </c>
      <c r="B6" s="1480">
        <v>382</v>
      </c>
      <c r="C6" s="1391"/>
      <c r="D6" s="1390" t="s">
        <v>1513</v>
      </c>
      <c r="E6" s="1390" t="s">
        <v>1513</v>
      </c>
      <c r="F6" s="1391"/>
      <c r="G6" s="26" t="s">
        <v>9308</v>
      </c>
      <c r="H6" s="218" t="s">
        <v>7763</v>
      </c>
      <c r="I6" s="21" t="s">
        <v>60</v>
      </c>
      <c r="J6" s="24" t="s">
        <v>205</v>
      </c>
      <c r="K6" s="1390" t="s">
        <v>14879</v>
      </c>
      <c r="L6" s="1390" t="s">
        <v>14880</v>
      </c>
      <c r="M6" s="21" t="s">
        <v>14919</v>
      </c>
      <c r="N6" s="21" t="s">
        <v>14920</v>
      </c>
      <c r="O6" s="46" t="s">
        <v>43</v>
      </c>
      <c r="P6" s="1482" t="s">
        <v>2896</v>
      </c>
      <c r="Q6" s="26" t="s">
        <v>1515</v>
      </c>
      <c r="R6" s="26" t="s">
        <v>166</v>
      </c>
      <c r="S6" s="46" t="s">
        <v>43</v>
      </c>
      <c r="T6" s="46" t="s">
        <v>43</v>
      </c>
      <c r="U6" s="46" t="s">
        <v>43</v>
      </c>
      <c r="V6" s="46" t="s">
        <v>43</v>
      </c>
      <c r="W6" s="46" t="s">
        <v>43</v>
      </c>
      <c r="X6" s="21" t="s">
        <v>167</v>
      </c>
      <c r="Y6" s="1495" t="s">
        <v>202</v>
      </c>
      <c r="Z6" s="1495" t="s">
        <v>242</v>
      </c>
      <c r="AA6" s="219">
        <v>12800000</v>
      </c>
    </row>
    <row r="7" spans="1:28" s="27" customFormat="1" ht="15.75" customHeight="1">
      <c r="A7" s="1391"/>
      <c r="B7" s="1481"/>
      <c r="C7" s="1391"/>
      <c r="D7" s="1391"/>
      <c r="E7" s="1391"/>
      <c r="F7" s="1391"/>
      <c r="G7" s="26">
        <v>607217</v>
      </c>
      <c r="H7" s="30" t="s">
        <v>195</v>
      </c>
      <c r="I7" s="21" t="s">
        <v>168</v>
      </c>
      <c r="J7" s="24" t="s">
        <v>199</v>
      </c>
      <c r="K7" s="1391"/>
      <c r="L7" s="1391"/>
      <c r="M7" s="21" t="s">
        <v>1516</v>
      </c>
      <c r="N7" s="21" t="s">
        <v>1525</v>
      </c>
      <c r="O7" s="46" t="s">
        <v>43</v>
      </c>
      <c r="P7" s="1483"/>
      <c r="Q7" s="46" t="s">
        <v>43</v>
      </c>
      <c r="R7" s="26" t="s">
        <v>246</v>
      </c>
      <c r="S7" s="46" t="s">
        <v>43</v>
      </c>
      <c r="T7" s="46" t="s">
        <v>43</v>
      </c>
      <c r="U7" s="46" t="s">
        <v>43</v>
      </c>
      <c r="V7" s="46" t="s">
        <v>43</v>
      </c>
      <c r="W7" s="26" t="s">
        <v>1517</v>
      </c>
      <c r="X7" s="21" t="s">
        <v>170</v>
      </c>
      <c r="Y7" s="1497"/>
      <c r="Z7" s="1497"/>
      <c r="AA7" s="219">
        <v>20800000</v>
      </c>
    </row>
    <row r="8" spans="1:28" s="27" customFormat="1" ht="18" customHeight="1">
      <c r="A8" s="1390">
        <v>3</v>
      </c>
      <c r="B8" s="1684">
        <v>467</v>
      </c>
      <c r="C8" s="1391"/>
      <c r="D8" s="1390" t="s">
        <v>1507</v>
      </c>
      <c r="E8" s="1390" t="s">
        <v>1519</v>
      </c>
      <c r="F8" s="1391"/>
      <c r="G8" s="26" t="s">
        <v>9309</v>
      </c>
      <c r="H8" s="218" t="s">
        <v>7763</v>
      </c>
      <c r="I8" s="1390" t="s">
        <v>29</v>
      </c>
      <c r="J8" s="69" t="s">
        <v>11838</v>
      </c>
      <c r="K8" s="1390" t="s">
        <v>14881</v>
      </c>
      <c r="L8" s="1390" t="s">
        <v>14882</v>
      </c>
      <c r="M8" s="21" t="s">
        <v>1527</v>
      </c>
      <c r="N8" s="21" t="s">
        <v>14921</v>
      </c>
      <c r="O8" s="46" t="s">
        <v>43</v>
      </c>
      <c r="P8" s="1482" t="s">
        <v>2897</v>
      </c>
      <c r="Q8" s="26" t="s">
        <v>1520</v>
      </c>
      <c r="R8" s="26" t="s">
        <v>1528</v>
      </c>
      <c r="S8" s="46" t="s">
        <v>43</v>
      </c>
      <c r="T8" s="46" t="s">
        <v>43</v>
      </c>
      <c r="U8" s="46" t="s">
        <v>43</v>
      </c>
      <c r="V8" s="46" t="s">
        <v>43</v>
      </c>
      <c r="W8" s="26" t="s">
        <v>1529</v>
      </c>
      <c r="X8" s="21" t="s">
        <v>450</v>
      </c>
      <c r="Y8" s="1495" t="s">
        <v>202</v>
      </c>
      <c r="Z8" s="1495" t="s">
        <v>65</v>
      </c>
      <c r="AA8" s="219">
        <v>37632000</v>
      </c>
    </row>
    <row r="9" spans="1:28" s="27" customFormat="1" ht="15.75" customHeight="1">
      <c r="A9" s="1395"/>
      <c r="B9" s="1685"/>
      <c r="C9" s="1395"/>
      <c r="D9" s="1395"/>
      <c r="E9" s="1395"/>
      <c r="F9" s="1395"/>
      <c r="G9" s="26" t="s">
        <v>9310</v>
      </c>
      <c r="H9" s="30" t="s">
        <v>195</v>
      </c>
      <c r="I9" s="1395"/>
      <c r="J9" s="24" t="s">
        <v>199</v>
      </c>
      <c r="K9" s="1395"/>
      <c r="L9" s="1395"/>
      <c r="M9" s="21" t="s">
        <v>1521</v>
      </c>
      <c r="N9" s="21" t="s">
        <v>1526</v>
      </c>
      <c r="O9" s="46" t="s">
        <v>43</v>
      </c>
      <c r="P9" s="1484"/>
      <c r="Q9" s="46" t="s">
        <v>43</v>
      </c>
      <c r="R9" s="26" t="s">
        <v>68</v>
      </c>
      <c r="S9" s="46" t="s">
        <v>43</v>
      </c>
      <c r="T9" s="46" t="s">
        <v>43</v>
      </c>
      <c r="U9" s="46" t="s">
        <v>43</v>
      </c>
      <c r="V9" s="46" t="s">
        <v>43</v>
      </c>
      <c r="W9" s="46" t="s">
        <v>43</v>
      </c>
      <c r="X9" s="21" t="s">
        <v>450</v>
      </c>
      <c r="Y9" s="1496"/>
      <c r="Z9" s="1496"/>
      <c r="AA9" s="219">
        <v>20800000</v>
      </c>
    </row>
    <row r="10" spans="1:28" ht="19.5">
      <c r="Z10" s="302" t="s">
        <v>9164</v>
      </c>
      <c r="AA10" s="321">
        <f>SUM(AA2:AA9)</f>
        <v>184432000</v>
      </c>
    </row>
    <row r="13" spans="1:28" ht="26.25" customHeight="1">
      <c r="A13" s="1459" t="s">
        <v>14163</v>
      </c>
      <c r="B13" s="1459"/>
      <c r="C13" s="1459"/>
      <c r="D13" s="1459"/>
      <c r="E13" s="1459"/>
      <c r="F13" s="1459"/>
      <c r="G13" s="1459"/>
    </row>
    <row r="14" spans="1:28" s="12" customFormat="1" ht="19.5">
      <c r="A14" s="34" t="s">
        <v>0</v>
      </c>
      <c r="B14" s="34" t="s">
        <v>5</v>
      </c>
      <c r="C14" s="34" t="s">
        <v>2</v>
      </c>
      <c r="D14" s="34" t="s">
        <v>3</v>
      </c>
      <c r="E14" s="1445" t="s">
        <v>88</v>
      </c>
      <c r="F14" s="1446"/>
      <c r="G14" s="34" t="s">
        <v>6</v>
      </c>
      <c r="H14" s="34" t="s">
        <v>7</v>
      </c>
      <c r="I14" s="34" t="s">
        <v>8</v>
      </c>
      <c r="J14" s="34" t="s">
        <v>196</v>
      </c>
      <c r="K14" s="34" t="s">
        <v>9</v>
      </c>
      <c r="L14" s="34" t="s">
        <v>11</v>
      </c>
      <c r="M14" s="34" t="s">
        <v>12</v>
      </c>
      <c r="N14" s="34" t="s">
        <v>216</v>
      </c>
      <c r="O14" s="34" t="s">
        <v>13</v>
      </c>
      <c r="P14" s="35" t="s">
        <v>14</v>
      </c>
      <c r="Q14" s="35" t="s">
        <v>217</v>
      </c>
      <c r="R14" s="35" t="s">
        <v>16</v>
      </c>
      <c r="S14" s="34" t="s">
        <v>17</v>
      </c>
      <c r="T14" s="34" t="s">
        <v>218</v>
      </c>
      <c r="U14" s="34" t="s">
        <v>22</v>
      </c>
      <c r="V14" s="36" t="s">
        <v>23</v>
      </c>
      <c r="W14" s="34" t="s">
        <v>24</v>
      </c>
      <c r="X14" s="58" t="s">
        <v>257</v>
      </c>
      <c r="Z14"/>
      <c r="AA14"/>
    </row>
    <row r="15" spans="1:28" ht="18">
      <c r="AA15" s="83"/>
    </row>
    <row r="16" spans="1:28" ht="18">
      <c r="AA16" s="83"/>
    </row>
    <row r="17" spans="10:24">
      <c r="J17" s="271" t="s">
        <v>12013</v>
      </c>
      <c r="X17" s="219"/>
    </row>
    <row r="18" spans="10:24">
      <c r="J18" s="900" t="s">
        <v>15605</v>
      </c>
    </row>
    <row r="19" spans="10:24">
      <c r="J19" s="912" t="s">
        <v>15608</v>
      </c>
    </row>
  </sheetData>
  <mergeCells count="36">
    <mergeCell ref="X2:X3"/>
    <mergeCell ref="T2:T3"/>
    <mergeCell ref="U2:U3"/>
    <mergeCell ref="V2:V3"/>
    <mergeCell ref="B2:B5"/>
    <mergeCell ref="C2:C9"/>
    <mergeCell ref="D2:D5"/>
    <mergeCell ref="D6:D7"/>
    <mergeCell ref="D8:D9"/>
    <mergeCell ref="I8:I9"/>
    <mergeCell ref="P2:P5"/>
    <mergeCell ref="K6:K7"/>
    <mergeCell ref="L6:L7"/>
    <mergeCell ref="K8:K9"/>
    <mergeCell ref="L8:L9"/>
    <mergeCell ref="A2:A5"/>
    <mergeCell ref="A6:A7"/>
    <mergeCell ref="A8:A9"/>
    <mergeCell ref="B6:B7"/>
    <mergeCell ref="B8:B9"/>
    <mergeCell ref="A13:G13"/>
    <mergeCell ref="E14:F14"/>
    <mergeCell ref="Y2:Y5"/>
    <mergeCell ref="Z2:Z5"/>
    <mergeCell ref="Y6:Y7"/>
    <mergeCell ref="Z6:Z7"/>
    <mergeCell ref="Y8:Y9"/>
    <mergeCell ref="Z8:Z9"/>
    <mergeCell ref="P6:P7"/>
    <mergeCell ref="P8:P9"/>
    <mergeCell ref="E2:E5"/>
    <mergeCell ref="E6:E7"/>
    <mergeCell ref="E8:E9"/>
    <mergeCell ref="F2:F9"/>
    <mergeCell ref="K2:K5"/>
    <mergeCell ref="L2:L5"/>
  </mergeCells>
  <conditionalFormatting sqref="M9 M1">
    <cfRule type="duplicateValues" dxfId="1128" priority="77"/>
    <cfRule type="duplicateValues" dxfId="1127" priority="79"/>
  </conditionalFormatting>
  <conditionalFormatting sqref="N1">
    <cfRule type="duplicateValues" dxfId="1126" priority="78"/>
  </conditionalFormatting>
  <conditionalFormatting sqref="N3">
    <cfRule type="duplicateValues" dxfId="1125" priority="76"/>
  </conditionalFormatting>
  <conditionalFormatting sqref="N5">
    <cfRule type="duplicateValues" dxfId="1124" priority="75"/>
  </conditionalFormatting>
  <conditionalFormatting sqref="N7">
    <cfRule type="duplicateValues" dxfId="1123" priority="74"/>
  </conditionalFormatting>
  <conditionalFormatting sqref="N9">
    <cfRule type="duplicateValues" dxfId="1122" priority="72"/>
  </conditionalFormatting>
  <conditionalFormatting sqref="M14">
    <cfRule type="duplicateValues" dxfId="1121" priority="10"/>
    <cfRule type="duplicateValues" dxfId="1120" priority="11"/>
    <cfRule type="duplicateValues" dxfId="1119" priority="12"/>
    <cfRule type="duplicateValues" dxfId="1118" priority="13"/>
  </conditionalFormatting>
  <conditionalFormatting sqref="N14">
    <cfRule type="duplicateValues" dxfId="1117" priority="3"/>
    <cfRule type="duplicateValues" dxfId="1116" priority="4"/>
    <cfRule type="duplicateValues" dxfId="1115" priority="5"/>
    <cfRule type="duplicateValues" dxfId="1114" priority="6"/>
  </conditionalFormatting>
  <conditionalFormatting sqref="E14">
    <cfRule type="duplicateValues" dxfId="1113" priority="7"/>
  </conditionalFormatting>
  <conditionalFormatting sqref="K14">
    <cfRule type="duplicateValues" dxfId="1112" priority="8"/>
  </conditionalFormatting>
  <conditionalFormatting sqref="L14">
    <cfRule type="duplicateValues" dxfId="1111" priority="9"/>
  </conditionalFormatting>
  <conditionalFormatting sqref="J19">
    <cfRule type="duplicateValues" dxfId="1110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8"/>
  <sheetViews>
    <sheetView rightToLeft="1" topLeftCell="A7" workbookViewId="0">
      <selection activeCell="D35" sqref="D35"/>
    </sheetView>
  </sheetViews>
  <sheetFormatPr defaultRowHeight="15"/>
  <cols>
    <col min="1" max="2" width="9.28515625" bestFit="1" customWidth="1"/>
    <col min="5" max="5" width="15.85546875" customWidth="1"/>
    <col min="6" max="6" width="17.42578125" customWidth="1"/>
    <col min="7" max="7" width="11.7109375" customWidth="1"/>
    <col min="8" max="8" width="18.42578125" customWidth="1"/>
    <col min="9" max="9" width="22.42578125" customWidth="1"/>
    <col min="10" max="10" width="9.28515625" bestFit="1" customWidth="1"/>
    <col min="11" max="11" width="51.5703125" customWidth="1"/>
    <col min="12" max="12" width="36.140625" customWidth="1"/>
    <col min="13" max="13" width="47.5703125" customWidth="1"/>
    <col min="14" max="14" width="62.140625" customWidth="1"/>
    <col min="16" max="16" width="34" customWidth="1"/>
    <col min="17" max="17" width="20.7109375" customWidth="1"/>
    <col min="18" max="18" width="26" customWidth="1"/>
    <col min="19" max="19" width="22.5703125" customWidth="1"/>
    <col min="20" max="20" width="21.28515625" customWidth="1"/>
    <col min="21" max="21" width="36.42578125" customWidth="1"/>
    <col min="22" max="22" width="24.28515625" customWidth="1"/>
    <col min="23" max="23" width="30.5703125" customWidth="1"/>
    <col min="24" max="24" width="57.28515625" customWidth="1"/>
    <col min="25" max="25" width="31.140625" customWidth="1"/>
    <col min="26" max="26" width="37.85546875" customWidth="1"/>
    <col min="27" max="27" width="28" customWidth="1"/>
  </cols>
  <sheetData>
    <row r="1" spans="1:27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27" customFormat="1" ht="15.75" customHeight="1">
      <c r="A2" s="1390">
        <v>1</v>
      </c>
      <c r="B2" s="1492">
        <v>344</v>
      </c>
      <c r="C2" s="1390" t="s">
        <v>2476</v>
      </c>
      <c r="D2" s="1390" t="s">
        <v>2476</v>
      </c>
      <c r="E2" s="1390" t="s">
        <v>2477</v>
      </c>
      <c r="F2" s="1390" t="s">
        <v>2476</v>
      </c>
      <c r="G2" s="28" t="s">
        <v>2478</v>
      </c>
      <c r="H2" s="812" t="s">
        <v>28</v>
      </c>
      <c r="I2" s="1390" t="s">
        <v>2329</v>
      </c>
      <c r="J2" s="96" t="s">
        <v>7736</v>
      </c>
      <c r="K2" s="1390" t="s">
        <v>2479</v>
      </c>
      <c r="L2" s="1390" t="s">
        <v>2480</v>
      </c>
      <c r="M2" s="675" t="s">
        <v>2481</v>
      </c>
      <c r="N2" s="675" t="s">
        <v>2524</v>
      </c>
      <c r="O2" s="673" t="s">
        <v>43</v>
      </c>
      <c r="P2" s="1482" t="s">
        <v>2482</v>
      </c>
      <c r="Q2" s="673" t="s">
        <v>43</v>
      </c>
      <c r="R2" s="679" t="s">
        <v>2483</v>
      </c>
      <c r="S2" s="673" t="s">
        <v>43</v>
      </c>
      <c r="T2" s="1390">
        <v>2397300127</v>
      </c>
      <c r="U2" s="1501" t="s">
        <v>43</v>
      </c>
      <c r="V2" s="1495" t="s">
        <v>1534</v>
      </c>
      <c r="W2" s="679" t="s">
        <v>2484</v>
      </c>
      <c r="X2" s="1488" t="s">
        <v>2485</v>
      </c>
      <c r="Y2" s="1495" t="s">
        <v>2525</v>
      </c>
      <c r="Z2" s="1686" t="s">
        <v>2486</v>
      </c>
      <c r="AA2" s="230">
        <v>50440000</v>
      </c>
    </row>
    <row r="3" spans="1:27" s="27" customFormat="1" ht="15.75" customHeight="1">
      <c r="A3" s="1391"/>
      <c r="B3" s="1493"/>
      <c r="C3" s="1391"/>
      <c r="D3" s="1391"/>
      <c r="E3" s="1391"/>
      <c r="F3" s="1391"/>
      <c r="G3" s="28" t="s">
        <v>2487</v>
      </c>
      <c r="H3" s="30" t="s">
        <v>195</v>
      </c>
      <c r="I3" s="1391"/>
      <c r="J3" s="680" t="s">
        <v>204</v>
      </c>
      <c r="K3" s="1391"/>
      <c r="L3" s="1391"/>
      <c r="M3" s="675" t="s">
        <v>2954</v>
      </c>
      <c r="N3" s="675" t="s">
        <v>2956</v>
      </c>
      <c r="O3" s="673" t="s">
        <v>43</v>
      </c>
      <c r="P3" s="1483"/>
      <c r="Q3" s="673" t="s">
        <v>43</v>
      </c>
      <c r="R3" s="679" t="s">
        <v>2488</v>
      </c>
      <c r="S3" s="673" t="s">
        <v>43</v>
      </c>
      <c r="T3" s="1391"/>
      <c r="U3" s="1502"/>
      <c r="V3" s="1497"/>
      <c r="W3" s="679" t="s">
        <v>2489</v>
      </c>
      <c r="X3" s="1489"/>
      <c r="Y3" s="1497"/>
      <c r="Z3" s="1687"/>
      <c r="AA3" s="219">
        <v>36400000</v>
      </c>
    </row>
    <row r="4" spans="1:27" s="27" customFormat="1" ht="15.75" customHeight="1">
      <c r="A4" s="1391"/>
      <c r="B4" s="1493"/>
      <c r="C4" s="1391"/>
      <c r="D4" s="1391"/>
      <c r="E4" s="1391"/>
      <c r="F4" s="1391"/>
      <c r="G4" s="28" t="s">
        <v>2490</v>
      </c>
      <c r="H4" s="812" t="s">
        <v>2968</v>
      </c>
      <c r="I4" s="1391"/>
      <c r="J4" s="680" t="s">
        <v>203</v>
      </c>
      <c r="K4" s="1391"/>
      <c r="L4" s="1391"/>
      <c r="M4" s="675" t="s">
        <v>2491</v>
      </c>
      <c r="N4" s="25" t="s">
        <v>2955</v>
      </c>
      <c r="O4" s="673" t="s">
        <v>43</v>
      </c>
      <c r="P4" s="1483"/>
      <c r="Q4" s="673" t="s">
        <v>43</v>
      </c>
      <c r="R4" s="679" t="s">
        <v>2492</v>
      </c>
      <c r="S4" s="673" t="s">
        <v>43</v>
      </c>
      <c r="T4" s="1395"/>
      <c r="U4" s="1503"/>
      <c r="V4" s="1496"/>
      <c r="W4" s="679" t="s">
        <v>2493</v>
      </c>
      <c r="X4" s="1489"/>
      <c r="Y4" s="1497"/>
      <c r="Z4" s="1687"/>
      <c r="AA4" s="303">
        <v>0</v>
      </c>
    </row>
    <row r="5" spans="1:27" s="27" customFormat="1" ht="15.75" customHeight="1">
      <c r="A5" s="1391"/>
      <c r="B5" s="1493"/>
      <c r="C5" s="1391"/>
      <c r="D5" s="1391"/>
      <c r="E5" s="1391"/>
      <c r="F5" s="1391"/>
      <c r="G5" s="28" t="s">
        <v>2494</v>
      </c>
      <c r="H5" s="812" t="s">
        <v>249</v>
      </c>
      <c r="I5" s="1395"/>
      <c r="J5" s="680" t="s">
        <v>199</v>
      </c>
      <c r="K5" s="1391"/>
      <c r="L5" s="1391"/>
      <c r="M5" s="675" t="s">
        <v>2495</v>
      </c>
      <c r="N5" s="675" t="s">
        <v>14403</v>
      </c>
      <c r="O5" s="673" t="s">
        <v>43</v>
      </c>
      <c r="P5" s="1483"/>
      <c r="Q5" s="679" t="s">
        <v>2496</v>
      </c>
      <c r="R5" s="679" t="s">
        <v>150</v>
      </c>
      <c r="S5" s="673" t="s">
        <v>43</v>
      </c>
      <c r="T5" s="673" t="s">
        <v>43</v>
      </c>
      <c r="U5" s="673" t="s">
        <v>43</v>
      </c>
      <c r="V5" s="673" t="s">
        <v>43</v>
      </c>
      <c r="W5" s="679" t="s">
        <v>1518</v>
      </c>
      <c r="X5" s="1490"/>
      <c r="Y5" s="1497"/>
      <c r="Z5" s="1687"/>
      <c r="AA5" s="219">
        <v>25600000</v>
      </c>
    </row>
    <row r="6" spans="1:27" s="27" customFormat="1" ht="15.75" customHeight="1">
      <c r="A6" s="1395"/>
      <c r="B6" s="1494"/>
      <c r="C6" s="1391"/>
      <c r="D6" s="1395"/>
      <c r="E6" s="1395"/>
      <c r="F6" s="1391"/>
      <c r="G6" s="28" t="s">
        <v>43</v>
      </c>
      <c r="H6" s="812" t="s">
        <v>51</v>
      </c>
      <c r="I6" s="675" t="s">
        <v>45</v>
      </c>
      <c r="J6" s="680" t="s">
        <v>11886</v>
      </c>
      <c r="K6" s="1395"/>
      <c r="L6" s="1395"/>
      <c r="M6" s="675" t="s">
        <v>2497</v>
      </c>
      <c r="N6" s="675" t="s">
        <v>2957</v>
      </c>
      <c r="O6" s="673" t="s">
        <v>43</v>
      </c>
      <c r="P6" s="1484"/>
      <c r="Q6" s="673" t="s">
        <v>43</v>
      </c>
      <c r="R6" s="679" t="s">
        <v>2498</v>
      </c>
      <c r="S6" s="673" t="s">
        <v>43</v>
      </c>
      <c r="T6" s="673" t="s">
        <v>43</v>
      </c>
      <c r="U6" s="673" t="s">
        <v>43</v>
      </c>
      <c r="V6" s="673" t="s">
        <v>43</v>
      </c>
      <c r="W6" s="679" t="s">
        <v>1518</v>
      </c>
      <c r="X6" s="675" t="s">
        <v>56</v>
      </c>
      <c r="Y6" s="1496"/>
      <c r="Z6" s="1688"/>
      <c r="AA6" s="303">
        <v>0</v>
      </c>
    </row>
    <row r="7" spans="1:27" s="27" customFormat="1" ht="15.75" customHeight="1">
      <c r="A7" s="1390">
        <v>2</v>
      </c>
      <c r="B7" s="1480">
        <v>262</v>
      </c>
      <c r="C7" s="1391"/>
      <c r="D7" s="1390" t="s">
        <v>2499</v>
      </c>
      <c r="E7" s="1390" t="s">
        <v>2499</v>
      </c>
      <c r="F7" s="1391"/>
      <c r="G7" s="28" t="s">
        <v>9302</v>
      </c>
      <c r="H7" s="812" t="s">
        <v>1659</v>
      </c>
      <c r="I7" s="675" t="s">
        <v>108</v>
      </c>
      <c r="J7" s="680" t="s">
        <v>199</v>
      </c>
      <c r="K7" s="1390" t="s">
        <v>14362</v>
      </c>
      <c r="L7" s="1390" t="s">
        <v>14392</v>
      </c>
      <c r="M7" s="675" t="s">
        <v>14363</v>
      </c>
      <c r="N7" s="675" t="s">
        <v>14364</v>
      </c>
      <c r="O7" s="673" t="s">
        <v>43</v>
      </c>
      <c r="P7" s="1482" t="s">
        <v>2900</v>
      </c>
      <c r="Q7" s="673" t="s">
        <v>43</v>
      </c>
      <c r="R7" s="679" t="s">
        <v>315</v>
      </c>
      <c r="S7" s="679" t="s">
        <v>438</v>
      </c>
      <c r="T7" s="673" t="s">
        <v>43</v>
      </c>
      <c r="U7" s="673" t="s">
        <v>43</v>
      </c>
      <c r="V7" s="673" t="s">
        <v>43</v>
      </c>
      <c r="W7" s="673" t="s">
        <v>43</v>
      </c>
      <c r="X7" s="675" t="s">
        <v>299</v>
      </c>
      <c r="Y7" s="1390" t="s">
        <v>202</v>
      </c>
      <c r="Z7" s="1452" t="s">
        <v>65</v>
      </c>
      <c r="AA7" s="219">
        <v>12000000</v>
      </c>
    </row>
    <row r="8" spans="1:27" s="27" customFormat="1" ht="15.75" customHeight="1">
      <c r="A8" s="1395"/>
      <c r="B8" s="1491"/>
      <c r="C8" s="1391"/>
      <c r="D8" s="1395"/>
      <c r="E8" s="1395"/>
      <c r="F8" s="1391"/>
      <c r="G8" s="28">
        <v>587597</v>
      </c>
      <c r="H8" s="30" t="s">
        <v>195</v>
      </c>
      <c r="I8" s="675" t="s">
        <v>108</v>
      </c>
      <c r="J8" s="680" t="s">
        <v>199</v>
      </c>
      <c r="K8" s="1395"/>
      <c r="L8" s="1395"/>
      <c r="M8" s="675" t="s">
        <v>2500</v>
      </c>
      <c r="N8" s="675" t="s">
        <v>2958</v>
      </c>
      <c r="O8" s="673" t="s">
        <v>43</v>
      </c>
      <c r="P8" s="1484"/>
      <c r="Q8" s="673" t="s">
        <v>43</v>
      </c>
      <c r="R8" s="679" t="s">
        <v>297</v>
      </c>
      <c r="S8" s="679" t="s">
        <v>438</v>
      </c>
      <c r="T8" s="673" t="s">
        <v>43</v>
      </c>
      <c r="U8" s="673" t="s">
        <v>43</v>
      </c>
      <c r="V8" s="673" t="s">
        <v>43</v>
      </c>
      <c r="W8" s="673" t="s">
        <v>43</v>
      </c>
      <c r="X8" s="675" t="s">
        <v>299</v>
      </c>
      <c r="Y8" s="1395"/>
      <c r="Z8" s="1452"/>
      <c r="AA8" s="219">
        <v>20800000</v>
      </c>
    </row>
    <row r="9" spans="1:27" s="27" customFormat="1" ht="15.75" customHeight="1">
      <c r="A9" s="1390">
        <v>3</v>
      </c>
      <c r="B9" s="1471">
        <v>270</v>
      </c>
      <c r="C9" s="1391"/>
      <c r="D9" s="1390" t="s">
        <v>2501</v>
      </c>
      <c r="E9" s="1390" t="s">
        <v>2501</v>
      </c>
      <c r="F9" s="1391"/>
      <c r="G9" s="28" t="s">
        <v>9303</v>
      </c>
      <c r="H9" s="812" t="s">
        <v>1659</v>
      </c>
      <c r="I9" s="675" t="s">
        <v>108</v>
      </c>
      <c r="J9" s="680" t="s">
        <v>199</v>
      </c>
      <c r="K9" s="1390" t="s">
        <v>14365</v>
      </c>
      <c r="L9" s="1390" t="s">
        <v>14391</v>
      </c>
      <c r="M9" s="675" t="s">
        <v>14366</v>
      </c>
      <c r="N9" s="675" t="s">
        <v>14367</v>
      </c>
      <c r="O9" s="673" t="s">
        <v>43</v>
      </c>
      <c r="P9" s="1482" t="s">
        <v>2901</v>
      </c>
      <c r="Q9" s="673" t="s">
        <v>43</v>
      </c>
      <c r="R9" s="679" t="s">
        <v>315</v>
      </c>
      <c r="S9" s="679" t="s">
        <v>438</v>
      </c>
      <c r="T9" s="673" t="s">
        <v>43</v>
      </c>
      <c r="U9" s="673" t="s">
        <v>43</v>
      </c>
      <c r="V9" s="673" t="s">
        <v>43</v>
      </c>
      <c r="W9" s="673" t="s">
        <v>43</v>
      </c>
      <c r="X9" s="675" t="s">
        <v>299</v>
      </c>
      <c r="Y9" s="1390" t="s">
        <v>202</v>
      </c>
      <c r="Z9" s="1452" t="s">
        <v>65</v>
      </c>
      <c r="AA9" s="219">
        <v>12000000</v>
      </c>
    </row>
    <row r="10" spans="1:27" s="27" customFormat="1" ht="15.75" customHeight="1">
      <c r="A10" s="1395"/>
      <c r="B10" s="1472"/>
      <c r="C10" s="1391"/>
      <c r="D10" s="1395"/>
      <c r="E10" s="1395"/>
      <c r="F10" s="1391"/>
      <c r="G10" s="28">
        <v>587602</v>
      </c>
      <c r="H10" s="30" t="s">
        <v>195</v>
      </c>
      <c r="I10" s="675" t="s">
        <v>108</v>
      </c>
      <c r="J10" s="680" t="s">
        <v>199</v>
      </c>
      <c r="K10" s="1395"/>
      <c r="L10" s="1395"/>
      <c r="M10" s="675" t="s">
        <v>2502</v>
      </c>
      <c r="N10" s="675" t="s">
        <v>2959</v>
      </c>
      <c r="O10" s="673" t="s">
        <v>43</v>
      </c>
      <c r="P10" s="1484"/>
      <c r="Q10" s="673" t="s">
        <v>43</v>
      </c>
      <c r="R10" s="679" t="s">
        <v>297</v>
      </c>
      <c r="S10" s="679" t="s">
        <v>438</v>
      </c>
      <c r="T10" s="673" t="s">
        <v>43</v>
      </c>
      <c r="U10" s="673" t="s">
        <v>43</v>
      </c>
      <c r="V10" s="673" t="s">
        <v>43</v>
      </c>
      <c r="W10" s="673" t="s">
        <v>43</v>
      </c>
      <c r="X10" s="675" t="s">
        <v>299</v>
      </c>
      <c r="Y10" s="1395"/>
      <c r="Z10" s="1452"/>
      <c r="AA10" s="219">
        <v>20800000</v>
      </c>
    </row>
    <row r="11" spans="1:27" s="27" customFormat="1" ht="15.75" customHeight="1">
      <c r="A11" s="1390">
        <v>4</v>
      </c>
      <c r="B11" s="1480">
        <v>272</v>
      </c>
      <c r="C11" s="1391"/>
      <c r="D11" s="1390" t="s">
        <v>2476</v>
      </c>
      <c r="E11" s="1390" t="s">
        <v>2476</v>
      </c>
      <c r="F11" s="1391"/>
      <c r="G11" s="28" t="s">
        <v>9304</v>
      </c>
      <c r="H11" s="812" t="s">
        <v>1659</v>
      </c>
      <c r="I11" s="675" t="s">
        <v>168</v>
      </c>
      <c r="J11" s="680" t="s">
        <v>199</v>
      </c>
      <c r="K11" s="1390" t="s">
        <v>14368</v>
      </c>
      <c r="L11" s="1390" t="s">
        <v>14390</v>
      </c>
      <c r="M11" s="675" t="s">
        <v>14369</v>
      </c>
      <c r="N11" s="675" t="s">
        <v>14370</v>
      </c>
      <c r="O11" s="673" t="s">
        <v>43</v>
      </c>
      <c r="P11" s="1482" t="s">
        <v>2902</v>
      </c>
      <c r="Q11" s="673" t="s">
        <v>43</v>
      </c>
      <c r="R11" s="679" t="s">
        <v>2961</v>
      </c>
      <c r="S11" s="673" t="s">
        <v>43</v>
      </c>
      <c r="T11" s="673" t="s">
        <v>43</v>
      </c>
      <c r="U11" s="673" t="s">
        <v>43</v>
      </c>
      <c r="V11" s="673" t="s">
        <v>43</v>
      </c>
      <c r="W11" s="679" t="s">
        <v>2962</v>
      </c>
      <c r="X11" s="675" t="s">
        <v>170</v>
      </c>
      <c r="Y11" s="1452" t="s">
        <v>202</v>
      </c>
      <c r="Z11" s="1452" t="s">
        <v>65</v>
      </c>
      <c r="AA11" s="219">
        <v>8000000</v>
      </c>
    </row>
    <row r="12" spans="1:27" s="27" customFormat="1" ht="15.75" customHeight="1">
      <c r="A12" s="1391"/>
      <c r="B12" s="1481"/>
      <c r="C12" s="1391"/>
      <c r="D12" s="1391"/>
      <c r="E12" s="1391"/>
      <c r="F12" s="1391"/>
      <c r="G12" s="28" t="s">
        <v>2503</v>
      </c>
      <c r="H12" s="30" t="s">
        <v>195</v>
      </c>
      <c r="I12" s="675" t="s">
        <v>168</v>
      </c>
      <c r="J12" s="680" t="s">
        <v>199</v>
      </c>
      <c r="K12" s="1391"/>
      <c r="L12" s="1391"/>
      <c r="M12" s="675" t="s">
        <v>2504</v>
      </c>
      <c r="N12" s="675" t="s">
        <v>2960</v>
      </c>
      <c r="O12" s="673" t="s">
        <v>43</v>
      </c>
      <c r="P12" s="1483"/>
      <c r="Q12" s="673" t="s">
        <v>43</v>
      </c>
      <c r="R12" s="679" t="s">
        <v>68</v>
      </c>
      <c r="S12" s="673" t="s">
        <v>43</v>
      </c>
      <c r="T12" s="673" t="s">
        <v>43</v>
      </c>
      <c r="U12" s="673" t="s">
        <v>43</v>
      </c>
      <c r="V12" s="673" t="s">
        <v>43</v>
      </c>
      <c r="W12" s="673" t="s">
        <v>43</v>
      </c>
      <c r="X12" s="675" t="s">
        <v>170</v>
      </c>
      <c r="Y12" s="1452"/>
      <c r="Z12" s="1452"/>
      <c r="AA12" s="219">
        <v>20800000</v>
      </c>
    </row>
    <row r="13" spans="1:27" s="27" customFormat="1" ht="15.75" customHeight="1">
      <c r="A13" s="1390">
        <v>5</v>
      </c>
      <c r="B13" s="1471">
        <v>273</v>
      </c>
      <c r="C13" s="1391"/>
      <c r="D13" s="1390" t="s">
        <v>2505</v>
      </c>
      <c r="E13" s="1390" t="s">
        <v>2506</v>
      </c>
      <c r="F13" s="1391"/>
      <c r="G13" s="28" t="s">
        <v>2507</v>
      </c>
      <c r="H13" s="812" t="s">
        <v>1659</v>
      </c>
      <c r="I13" s="675" t="s">
        <v>108</v>
      </c>
      <c r="J13" s="680" t="s">
        <v>199</v>
      </c>
      <c r="K13" s="1390" t="s">
        <v>14371</v>
      </c>
      <c r="L13" s="1390" t="s">
        <v>14389</v>
      </c>
      <c r="M13" s="675" t="s">
        <v>14372</v>
      </c>
      <c r="N13" s="675" t="s">
        <v>14373</v>
      </c>
      <c r="O13" s="673" t="s">
        <v>43</v>
      </c>
      <c r="P13" s="1482" t="s">
        <v>2903</v>
      </c>
      <c r="Q13" s="673" t="s">
        <v>43</v>
      </c>
      <c r="R13" s="679" t="s">
        <v>315</v>
      </c>
      <c r="S13" s="679" t="s">
        <v>438</v>
      </c>
      <c r="T13" s="673" t="s">
        <v>43</v>
      </c>
      <c r="U13" s="673" t="s">
        <v>43</v>
      </c>
      <c r="V13" s="673" t="s">
        <v>43</v>
      </c>
      <c r="W13" s="673" t="s">
        <v>43</v>
      </c>
      <c r="X13" s="675" t="s">
        <v>299</v>
      </c>
      <c r="Y13" s="1390" t="s">
        <v>202</v>
      </c>
      <c r="Z13" s="1452" t="s">
        <v>65</v>
      </c>
      <c r="AA13" s="219">
        <v>12000000</v>
      </c>
    </row>
    <row r="14" spans="1:27" s="27" customFormat="1" ht="15.75" customHeight="1">
      <c r="A14" s="1395"/>
      <c r="B14" s="1472"/>
      <c r="C14" s="1391"/>
      <c r="D14" s="1395"/>
      <c r="E14" s="1395"/>
      <c r="F14" s="1391"/>
      <c r="G14" s="28">
        <v>587603</v>
      </c>
      <c r="H14" s="30" t="s">
        <v>195</v>
      </c>
      <c r="I14" s="675" t="s">
        <v>108</v>
      </c>
      <c r="J14" s="680" t="s">
        <v>199</v>
      </c>
      <c r="K14" s="1395"/>
      <c r="L14" s="1395"/>
      <c r="M14" s="675" t="s">
        <v>2508</v>
      </c>
      <c r="N14" s="675" t="s">
        <v>2963</v>
      </c>
      <c r="O14" s="673" t="s">
        <v>43</v>
      </c>
      <c r="P14" s="1484"/>
      <c r="Q14" s="673" t="s">
        <v>43</v>
      </c>
      <c r="R14" s="679" t="s">
        <v>297</v>
      </c>
      <c r="S14" s="679" t="s">
        <v>438</v>
      </c>
      <c r="T14" s="673" t="s">
        <v>43</v>
      </c>
      <c r="U14" s="673" t="s">
        <v>43</v>
      </c>
      <c r="V14" s="673" t="s">
        <v>43</v>
      </c>
      <c r="W14" s="673" t="s">
        <v>43</v>
      </c>
      <c r="X14" s="675" t="s">
        <v>299</v>
      </c>
      <c r="Y14" s="1395"/>
      <c r="Z14" s="1452"/>
      <c r="AA14" s="219">
        <v>20800000</v>
      </c>
    </row>
    <row r="15" spans="1:27" s="27" customFormat="1" ht="15.75" customHeight="1">
      <c r="A15" s="1390">
        <v>7</v>
      </c>
      <c r="B15" s="1480">
        <v>308</v>
      </c>
      <c r="C15" s="1391"/>
      <c r="D15" s="1390" t="s">
        <v>2476</v>
      </c>
      <c r="E15" s="1390" t="s">
        <v>2510</v>
      </c>
      <c r="F15" s="1391"/>
      <c r="G15" s="28" t="s">
        <v>2511</v>
      </c>
      <c r="H15" s="812" t="s">
        <v>1659</v>
      </c>
      <c r="I15" s="675" t="s">
        <v>108</v>
      </c>
      <c r="J15" s="680" t="s">
        <v>199</v>
      </c>
      <c r="K15" s="1390" t="s">
        <v>14387</v>
      </c>
      <c r="L15" s="1390" t="s">
        <v>14388</v>
      </c>
      <c r="M15" s="675" t="s">
        <v>14393</v>
      </c>
      <c r="N15" s="675" t="s">
        <v>14394</v>
      </c>
      <c r="O15" s="673" t="s">
        <v>43</v>
      </c>
      <c r="P15" s="1482" t="s">
        <v>2904</v>
      </c>
      <c r="Q15" s="673" t="s">
        <v>43</v>
      </c>
      <c r="R15" s="679" t="s">
        <v>315</v>
      </c>
      <c r="S15" s="679" t="s">
        <v>438</v>
      </c>
      <c r="T15" s="673" t="s">
        <v>43</v>
      </c>
      <c r="U15" s="673" t="s">
        <v>43</v>
      </c>
      <c r="V15" s="673" t="s">
        <v>43</v>
      </c>
      <c r="W15" s="673" t="s">
        <v>43</v>
      </c>
      <c r="X15" s="675" t="s">
        <v>299</v>
      </c>
      <c r="Y15" s="1390" t="s">
        <v>202</v>
      </c>
      <c r="Z15" s="1452" t="s">
        <v>65</v>
      </c>
      <c r="AA15" s="219">
        <v>8000000</v>
      </c>
    </row>
    <row r="16" spans="1:27" s="27" customFormat="1" ht="15.75" customHeight="1">
      <c r="A16" s="1395"/>
      <c r="B16" s="1491"/>
      <c r="C16" s="1391"/>
      <c r="D16" s="1395"/>
      <c r="E16" s="1395"/>
      <c r="F16" s="1391"/>
      <c r="G16" s="28" t="s">
        <v>2512</v>
      </c>
      <c r="H16" s="30" t="s">
        <v>195</v>
      </c>
      <c r="I16" s="675" t="s">
        <v>108</v>
      </c>
      <c r="J16" s="680" t="s">
        <v>199</v>
      </c>
      <c r="K16" s="1395"/>
      <c r="L16" s="1395"/>
      <c r="M16" s="675" t="s">
        <v>2513</v>
      </c>
      <c r="N16" s="675" t="s">
        <v>2964</v>
      </c>
      <c r="O16" s="673" t="s">
        <v>43</v>
      </c>
      <c r="P16" s="1484"/>
      <c r="Q16" s="673" t="s">
        <v>43</v>
      </c>
      <c r="R16" s="679" t="s">
        <v>297</v>
      </c>
      <c r="S16" s="679" t="s">
        <v>438</v>
      </c>
      <c r="T16" s="673" t="s">
        <v>43</v>
      </c>
      <c r="U16" s="673" t="s">
        <v>43</v>
      </c>
      <c r="V16" s="673" t="s">
        <v>43</v>
      </c>
      <c r="W16" s="673" t="s">
        <v>43</v>
      </c>
      <c r="X16" s="675" t="s">
        <v>299</v>
      </c>
      <c r="Y16" s="1395"/>
      <c r="Z16" s="1452"/>
      <c r="AA16" s="219">
        <v>20800000</v>
      </c>
    </row>
    <row r="17" spans="1:27" s="27" customFormat="1" ht="15.75" customHeight="1">
      <c r="A17" s="1390">
        <v>8</v>
      </c>
      <c r="B17" s="1480">
        <v>313</v>
      </c>
      <c r="C17" s="1391"/>
      <c r="D17" s="1390" t="s">
        <v>2499</v>
      </c>
      <c r="E17" s="1390" t="s">
        <v>2514</v>
      </c>
      <c r="F17" s="1391"/>
      <c r="G17" s="28" t="s">
        <v>9305</v>
      </c>
      <c r="H17" s="812" t="s">
        <v>1659</v>
      </c>
      <c r="I17" s="675" t="s">
        <v>108</v>
      </c>
      <c r="J17" s="680" t="s">
        <v>205</v>
      </c>
      <c r="K17" s="1390" t="s">
        <v>14395</v>
      </c>
      <c r="L17" s="1390" t="s">
        <v>14396</v>
      </c>
      <c r="M17" s="675" t="s">
        <v>14397</v>
      </c>
      <c r="N17" s="675" t="s">
        <v>14398</v>
      </c>
      <c r="O17" s="673" t="s">
        <v>43</v>
      </c>
      <c r="P17" s="1482" t="s">
        <v>2905</v>
      </c>
      <c r="Q17" s="673" t="s">
        <v>43</v>
      </c>
      <c r="R17" s="679" t="s">
        <v>315</v>
      </c>
      <c r="S17" s="679" t="s">
        <v>438</v>
      </c>
      <c r="T17" s="673" t="s">
        <v>43</v>
      </c>
      <c r="U17" s="673" t="s">
        <v>43</v>
      </c>
      <c r="V17" s="673" t="s">
        <v>43</v>
      </c>
      <c r="W17" s="673" t="s">
        <v>43</v>
      </c>
      <c r="X17" s="675" t="s">
        <v>299</v>
      </c>
      <c r="Y17" s="1390" t="s">
        <v>202</v>
      </c>
      <c r="Z17" s="1452" t="s">
        <v>65</v>
      </c>
      <c r="AA17" s="219">
        <v>12000000</v>
      </c>
    </row>
    <row r="18" spans="1:27" s="27" customFormat="1" ht="15.75" customHeight="1">
      <c r="A18" s="1395"/>
      <c r="B18" s="1491"/>
      <c r="C18" s="1391"/>
      <c r="D18" s="1395"/>
      <c r="E18" s="1395"/>
      <c r="F18" s="1391"/>
      <c r="G18" s="28">
        <v>587604</v>
      </c>
      <c r="H18" s="30" t="s">
        <v>195</v>
      </c>
      <c r="I18" s="675" t="s">
        <v>108</v>
      </c>
      <c r="J18" s="680" t="s">
        <v>199</v>
      </c>
      <c r="K18" s="1395"/>
      <c r="L18" s="1395"/>
      <c r="M18" s="675" t="s">
        <v>2515</v>
      </c>
      <c r="N18" s="675" t="s">
        <v>2965</v>
      </c>
      <c r="O18" s="673" t="s">
        <v>43</v>
      </c>
      <c r="P18" s="1484"/>
      <c r="Q18" s="673" t="s">
        <v>43</v>
      </c>
      <c r="R18" s="679" t="s">
        <v>297</v>
      </c>
      <c r="S18" s="679" t="s">
        <v>438</v>
      </c>
      <c r="T18" s="673" t="s">
        <v>43</v>
      </c>
      <c r="U18" s="673" t="s">
        <v>43</v>
      </c>
      <c r="V18" s="673" t="s">
        <v>43</v>
      </c>
      <c r="W18" s="673" t="s">
        <v>43</v>
      </c>
      <c r="X18" s="675" t="s">
        <v>299</v>
      </c>
      <c r="Y18" s="1395"/>
      <c r="Z18" s="1452"/>
      <c r="AA18" s="219">
        <v>20800000</v>
      </c>
    </row>
    <row r="19" spans="1:27" s="27" customFormat="1" ht="15.75" customHeight="1">
      <c r="A19" s="1390">
        <v>9</v>
      </c>
      <c r="B19" s="1471">
        <v>341</v>
      </c>
      <c r="C19" s="1391"/>
      <c r="D19" s="1390" t="s">
        <v>2505</v>
      </c>
      <c r="E19" s="1390" t="s">
        <v>2516</v>
      </c>
      <c r="F19" s="1391"/>
      <c r="G19" s="28" t="s">
        <v>2517</v>
      </c>
      <c r="H19" s="812" t="s">
        <v>1659</v>
      </c>
      <c r="I19" s="675" t="s">
        <v>108</v>
      </c>
      <c r="J19" s="680" t="s">
        <v>205</v>
      </c>
      <c r="K19" s="1390" t="s">
        <v>14399</v>
      </c>
      <c r="L19" s="1390" t="s">
        <v>14400</v>
      </c>
      <c r="M19" s="675" t="s">
        <v>14401</v>
      </c>
      <c r="N19" s="675" t="s">
        <v>14402</v>
      </c>
      <c r="O19" s="673" t="s">
        <v>43</v>
      </c>
      <c r="P19" s="1482" t="s">
        <v>2906</v>
      </c>
      <c r="Q19" s="673" t="s">
        <v>43</v>
      </c>
      <c r="R19" s="679" t="s">
        <v>315</v>
      </c>
      <c r="S19" s="679" t="s">
        <v>438</v>
      </c>
      <c r="T19" s="673" t="s">
        <v>43</v>
      </c>
      <c r="U19" s="673" t="s">
        <v>43</v>
      </c>
      <c r="V19" s="673" t="s">
        <v>43</v>
      </c>
      <c r="W19" s="673" t="s">
        <v>43</v>
      </c>
      <c r="X19" s="675" t="s">
        <v>299</v>
      </c>
      <c r="Y19" s="1390" t="s">
        <v>202</v>
      </c>
      <c r="Z19" s="1452" t="s">
        <v>65</v>
      </c>
      <c r="AA19" s="219">
        <v>6000000</v>
      </c>
    </row>
    <row r="20" spans="1:27" s="27" customFormat="1" ht="15.75" customHeight="1">
      <c r="A20" s="1395"/>
      <c r="B20" s="1472"/>
      <c r="C20" s="1391"/>
      <c r="D20" s="1395"/>
      <c r="E20" s="1395"/>
      <c r="F20" s="1391"/>
      <c r="G20" s="28">
        <v>587606</v>
      </c>
      <c r="H20" s="30" t="s">
        <v>195</v>
      </c>
      <c r="I20" s="675" t="s">
        <v>108</v>
      </c>
      <c r="J20" s="680" t="s">
        <v>199</v>
      </c>
      <c r="K20" s="1395"/>
      <c r="L20" s="1395"/>
      <c r="M20" s="675" t="s">
        <v>2518</v>
      </c>
      <c r="N20" s="675" t="s">
        <v>2966</v>
      </c>
      <c r="O20" s="673" t="s">
        <v>43</v>
      </c>
      <c r="P20" s="1484"/>
      <c r="Q20" s="673" t="s">
        <v>43</v>
      </c>
      <c r="R20" s="679" t="s">
        <v>297</v>
      </c>
      <c r="S20" s="679" t="s">
        <v>438</v>
      </c>
      <c r="T20" s="673" t="s">
        <v>43</v>
      </c>
      <c r="U20" s="673" t="s">
        <v>43</v>
      </c>
      <c r="V20" s="673" t="s">
        <v>43</v>
      </c>
      <c r="W20" s="673" t="s">
        <v>43</v>
      </c>
      <c r="X20" s="675" t="s">
        <v>299</v>
      </c>
      <c r="Y20" s="1395"/>
      <c r="Z20" s="1452"/>
      <c r="AA20" s="219">
        <v>20800000</v>
      </c>
    </row>
    <row r="21" spans="1:27" s="27" customFormat="1" ht="15.75" customHeight="1">
      <c r="A21" s="1390">
        <v>10</v>
      </c>
      <c r="B21" s="1480">
        <v>435</v>
      </c>
      <c r="C21" s="1391"/>
      <c r="D21" s="1390" t="s">
        <v>2476</v>
      </c>
      <c r="E21" s="1390" t="s">
        <v>2519</v>
      </c>
      <c r="F21" s="1391"/>
      <c r="G21" s="28" t="s">
        <v>2520</v>
      </c>
      <c r="H21" s="812" t="s">
        <v>59</v>
      </c>
      <c r="I21" s="675" t="s">
        <v>60</v>
      </c>
      <c r="J21" s="680" t="s">
        <v>205</v>
      </c>
      <c r="K21" s="1390" t="s">
        <v>14404</v>
      </c>
      <c r="L21" s="1390" t="s">
        <v>14405</v>
      </c>
      <c r="M21" s="675" t="s">
        <v>221</v>
      </c>
      <c r="N21" s="675" t="s">
        <v>14406</v>
      </c>
      <c r="O21" s="673" t="s">
        <v>43</v>
      </c>
      <c r="P21" s="1482" t="s">
        <v>2907</v>
      </c>
      <c r="Q21" s="679" t="s">
        <v>2082</v>
      </c>
      <c r="R21" s="679" t="s">
        <v>166</v>
      </c>
      <c r="S21" s="673" t="s">
        <v>43</v>
      </c>
      <c r="T21" s="673" t="s">
        <v>43</v>
      </c>
      <c r="U21" s="673" t="s">
        <v>43</v>
      </c>
      <c r="V21" s="673" t="s">
        <v>43</v>
      </c>
      <c r="W21" s="673" t="s">
        <v>43</v>
      </c>
      <c r="X21" s="675" t="s">
        <v>167</v>
      </c>
      <c r="Y21" s="1390" t="s">
        <v>202</v>
      </c>
      <c r="Z21" s="1452" t="s">
        <v>65</v>
      </c>
      <c r="AA21" s="219">
        <v>17920000</v>
      </c>
    </row>
    <row r="22" spans="1:27" s="27" customFormat="1" ht="15.75" customHeight="1">
      <c r="A22" s="1395"/>
      <c r="B22" s="1491"/>
      <c r="C22" s="1395"/>
      <c r="D22" s="1395"/>
      <c r="E22" s="1395"/>
      <c r="F22" s="1395"/>
      <c r="G22" s="28" t="s">
        <v>2521</v>
      </c>
      <c r="H22" s="30" t="s">
        <v>195</v>
      </c>
      <c r="I22" s="675" t="s">
        <v>108</v>
      </c>
      <c r="J22" s="680" t="s">
        <v>199</v>
      </c>
      <c r="K22" s="1395"/>
      <c r="L22" s="1395"/>
      <c r="M22" s="675" t="s">
        <v>2522</v>
      </c>
      <c r="N22" s="675" t="s">
        <v>2967</v>
      </c>
      <c r="O22" s="673" t="s">
        <v>43</v>
      </c>
      <c r="P22" s="1484"/>
      <c r="Q22" s="673" t="s">
        <v>43</v>
      </c>
      <c r="R22" s="679" t="s">
        <v>297</v>
      </c>
      <c r="S22" s="679" t="s">
        <v>438</v>
      </c>
      <c r="T22" s="673" t="s">
        <v>43</v>
      </c>
      <c r="U22" s="673" t="s">
        <v>43</v>
      </c>
      <c r="V22" s="673" t="s">
        <v>43</v>
      </c>
      <c r="W22" s="673" t="s">
        <v>43</v>
      </c>
      <c r="X22" s="675" t="s">
        <v>299</v>
      </c>
      <c r="Y22" s="1395"/>
      <c r="Z22" s="1452"/>
      <c r="AA22" s="219">
        <v>20800000</v>
      </c>
    </row>
    <row r="23" spans="1:27" ht="15.75" customHeight="1">
      <c r="Z23" s="302" t="s">
        <v>9164</v>
      </c>
      <c r="AA23" s="321">
        <f>SUM(AA2:AA22)</f>
        <v>366760000</v>
      </c>
    </row>
    <row r="24" spans="1:27" ht="15.75" customHeight="1"/>
    <row r="25" spans="1:27" ht="15.75" customHeight="1"/>
    <row r="26" spans="1:27" ht="22.5">
      <c r="A26" s="1459" t="s">
        <v>14163</v>
      </c>
      <c r="B26" s="1459"/>
      <c r="C26" s="1459"/>
      <c r="D26" s="1459"/>
      <c r="E26" s="1459"/>
      <c r="F26" s="1459"/>
      <c r="G26" s="1459"/>
    </row>
    <row r="27" spans="1:27" s="12" customFormat="1" ht="19.5">
      <c r="A27" s="34" t="s">
        <v>0</v>
      </c>
      <c r="B27" s="34" t="s">
        <v>5</v>
      </c>
      <c r="C27" s="34" t="s">
        <v>2</v>
      </c>
      <c r="D27" s="34" t="s">
        <v>3</v>
      </c>
      <c r="E27" s="1445" t="s">
        <v>88</v>
      </c>
      <c r="F27" s="1446"/>
      <c r="G27" s="34" t="s">
        <v>6</v>
      </c>
      <c r="H27" s="34" t="s">
        <v>7</v>
      </c>
      <c r="I27" s="34" t="s">
        <v>8</v>
      </c>
      <c r="J27" s="34" t="s">
        <v>196</v>
      </c>
      <c r="K27" s="34" t="s">
        <v>9</v>
      </c>
      <c r="L27" s="34" t="s">
        <v>11</v>
      </c>
      <c r="M27" s="34" t="s">
        <v>12</v>
      </c>
      <c r="N27" s="34" t="s">
        <v>216</v>
      </c>
      <c r="O27" s="34" t="s">
        <v>13</v>
      </c>
      <c r="P27" s="35" t="s">
        <v>14</v>
      </c>
      <c r="Q27" s="35" t="s">
        <v>217</v>
      </c>
      <c r="R27" s="35" t="s">
        <v>16</v>
      </c>
      <c r="S27" s="34" t="s">
        <v>17</v>
      </c>
      <c r="T27" s="34" t="s">
        <v>218</v>
      </c>
      <c r="U27" s="34" t="s">
        <v>22</v>
      </c>
      <c r="V27" s="36" t="s">
        <v>23</v>
      </c>
      <c r="W27" s="34" t="s">
        <v>24</v>
      </c>
      <c r="X27" s="58" t="s">
        <v>257</v>
      </c>
      <c r="Z27"/>
      <c r="AA27"/>
    </row>
    <row r="28" spans="1:27" s="27" customFormat="1" ht="18">
      <c r="A28" s="676">
        <v>1</v>
      </c>
      <c r="B28" s="1689" t="s">
        <v>2476</v>
      </c>
      <c r="C28" s="1689" t="s">
        <v>2476</v>
      </c>
      <c r="D28" s="674" t="s">
        <v>2476</v>
      </c>
      <c r="E28" s="1617" t="s">
        <v>2526</v>
      </c>
      <c r="F28" s="1618"/>
      <c r="G28" s="64" t="s">
        <v>9306</v>
      </c>
      <c r="H28" s="676" t="s">
        <v>1659</v>
      </c>
      <c r="I28" s="676" t="s">
        <v>168</v>
      </c>
      <c r="J28" s="680" t="s">
        <v>205</v>
      </c>
      <c r="K28" s="48" t="s">
        <v>2527</v>
      </c>
      <c r="L28" s="48" t="s">
        <v>2528</v>
      </c>
      <c r="M28" s="48" t="s">
        <v>2529</v>
      </c>
      <c r="N28" s="673" t="s">
        <v>43</v>
      </c>
      <c r="O28" s="673" t="s">
        <v>43</v>
      </c>
      <c r="P28" s="673" t="s">
        <v>43</v>
      </c>
      <c r="Q28" s="673" t="s">
        <v>43</v>
      </c>
      <c r="R28" s="673" t="s">
        <v>43</v>
      </c>
      <c r="S28" s="673" t="s">
        <v>43</v>
      </c>
      <c r="T28" s="65" t="s">
        <v>68</v>
      </c>
      <c r="U28" s="676" t="s">
        <v>1504</v>
      </c>
      <c r="V28" s="682" t="s">
        <v>202</v>
      </c>
      <c r="W28" s="673" t="s">
        <v>43</v>
      </c>
      <c r="X28" s="219">
        <v>4000000</v>
      </c>
    </row>
    <row r="29" spans="1:27" s="27" customFormat="1" ht="26.25" customHeight="1">
      <c r="A29" s="676">
        <v>2</v>
      </c>
      <c r="B29" s="1689"/>
      <c r="C29" s="1689"/>
      <c r="D29" s="674" t="s">
        <v>2476</v>
      </c>
      <c r="E29" s="1617" t="s">
        <v>4811</v>
      </c>
      <c r="F29" s="1618"/>
      <c r="G29" s="85" t="s">
        <v>4812</v>
      </c>
      <c r="H29" s="676" t="s">
        <v>1659</v>
      </c>
      <c r="I29" s="676" t="s">
        <v>108</v>
      </c>
      <c r="J29" s="680" t="s">
        <v>205</v>
      </c>
      <c r="K29" s="48" t="s">
        <v>2530</v>
      </c>
      <c r="L29" s="48" t="s">
        <v>2531</v>
      </c>
      <c r="M29" s="48" t="s">
        <v>2532</v>
      </c>
      <c r="N29" s="673" t="s">
        <v>43</v>
      </c>
      <c r="O29" s="676" t="s">
        <v>438</v>
      </c>
      <c r="P29" s="673" t="s">
        <v>43</v>
      </c>
      <c r="Q29" s="673" t="s">
        <v>43</v>
      </c>
      <c r="R29" s="673" t="s">
        <v>43</v>
      </c>
      <c r="S29" s="673" t="s">
        <v>43</v>
      </c>
      <c r="T29" s="676" t="s">
        <v>315</v>
      </c>
      <c r="U29" s="676" t="s">
        <v>299</v>
      </c>
      <c r="V29" s="682" t="s">
        <v>202</v>
      </c>
      <c r="W29" s="673" t="s">
        <v>43</v>
      </c>
      <c r="X29" s="219">
        <v>6000000</v>
      </c>
    </row>
    <row r="30" spans="1:27" ht="19.5">
      <c r="W30" s="302" t="s">
        <v>9164</v>
      </c>
      <c r="X30" s="645">
        <f>SUM(X28:X29)</f>
        <v>10000000</v>
      </c>
    </row>
    <row r="32" spans="1:27">
      <c r="I32" s="271" t="s">
        <v>12013</v>
      </c>
    </row>
    <row r="33" spans="9:9">
      <c r="I33" s="912" t="s">
        <v>15585</v>
      </c>
    </row>
    <row r="34" spans="9:9">
      <c r="I34" s="912" t="s">
        <v>15586</v>
      </c>
    </row>
    <row r="35" spans="9:9">
      <c r="I35" s="912" t="s">
        <v>2549</v>
      </c>
    </row>
    <row r="36" spans="9:9">
      <c r="I36" s="912" t="s">
        <v>15590</v>
      </c>
    </row>
    <row r="37" spans="9:9">
      <c r="I37" s="638"/>
    </row>
    <row r="38" spans="9:9">
      <c r="I38" s="638"/>
    </row>
  </sheetData>
  <mergeCells count="94">
    <mergeCell ref="E21:E22"/>
    <mergeCell ref="K21:K22"/>
    <mergeCell ref="A26:G26"/>
    <mergeCell ref="E27:F27"/>
    <mergeCell ref="B28:B29"/>
    <mergeCell ref="C28:C29"/>
    <mergeCell ref="E28:F28"/>
    <mergeCell ref="E29:F29"/>
    <mergeCell ref="L21:L22"/>
    <mergeCell ref="P21:P22"/>
    <mergeCell ref="Y21:Y22"/>
    <mergeCell ref="Z21:Z22"/>
    <mergeCell ref="A19:A20"/>
    <mergeCell ref="B19:B20"/>
    <mergeCell ref="D19:D20"/>
    <mergeCell ref="E19:E20"/>
    <mergeCell ref="K19:K20"/>
    <mergeCell ref="L19:L20"/>
    <mergeCell ref="P19:P20"/>
    <mergeCell ref="Y19:Y20"/>
    <mergeCell ref="Z19:Z20"/>
    <mergeCell ref="A21:A22"/>
    <mergeCell ref="B21:B22"/>
    <mergeCell ref="D21:D22"/>
    <mergeCell ref="K15:K16"/>
    <mergeCell ref="L15:L16"/>
    <mergeCell ref="P15:P16"/>
    <mergeCell ref="Y15:Y16"/>
    <mergeCell ref="Z15:Z16"/>
    <mergeCell ref="A17:A18"/>
    <mergeCell ref="B17:B18"/>
    <mergeCell ref="D17:D18"/>
    <mergeCell ref="E17:E18"/>
    <mergeCell ref="K17:K18"/>
    <mergeCell ref="F2:F22"/>
    <mergeCell ref="B7:B8"/>
    <mergeCell ref="B9:B10"/>
    <mergeCell ref="E2:E6"/>
    <mergeCell ref="E7:E8"/>
    <mergeCell ref="E9:E10"/>
    <mergeCell ref="D2:D6"/>
    <mergeCell ref="D7:D8"/>
    <mergeCell ref="D9:D10"/>
    <mergeCell ref="C2:C22"/>
    <mergeCell ref="A2:A6"/>
    <mergeCell ref="L17:L18"/>
    <mergeCell ref="P17:P18"/>
    <mergeCell ref="Y17:Y18"/>
    <mergeCell ref="Z17:Z18"/>
    <mergeCell ref="A11:A12"/>
    <mergeCell ref="A13:A14"/>
    <mergeCell ref="B13:B14"/>
    <mergeCell ref="D13:D14"/>
    <mergeCell ref="E13:E14"/>
    <mergeCell ref="A15:A16"/>
    <mergeCell ref="B15:B16"/>
    <mergeCell ref="D15:D16"/>
    <mergeCell ref="E15:E16"/>
    <mergeCell ref="K13:K14"/>
    <mergeCell ref="L13:L14"/>
    <mergeCell ref="P13:P14"/>
    <mergeCell ref="Y13:Y14"/>
    <mergeCell ref="Z13:Z14"/>
    <mergeCell ref="Y7:Y8"/>
    <mergeCell ref="Z7:Z8"/>
    <mergeCell ref="Y9:Y10"/>
    <mergeCell ref="Z9:Z10"/>
    <mergeCell ref="Y2:Y6"/>
    <mergeCell ref="Z2:Z6"/>
    <mergeCell ref="B11:B12"/>
    <mergeCell ref="D11:D12"/>
    <mergeCell ref="E11:E12"/>
    <mergeCell ref="K11:K12"/>
    <mergeCell ref="L11:L12"/>
    <mergeCell ref="P11:P12"/>
    <mergeCell ref="Y11:Y12"/>
    <mergeCell ref="Z11:Z12"/>
    <mergeCell ref="K7:K8"/>
    <mergeCell ref="A9:A10"/>
    <mergeCell ref="A7:A8"/>
    <mergeCell ref="B2:B6"/>
    <mergeCell ref="X2:X5"/>
    <mergeCell ref="K9:K10"/>
    <mergeCell ref="V2:V4"/>
    <mergeCell ref="P2:P6"/>
    <mergeCell ref="P7:P8"/>
    <mergeCell ref="P9:P10"/>
    <mergeCell ref="U2:U4"/>
    <mergeCell ref="T2:T4"/>
    <mergeCell ref="L2:L6"/>
    <mergeCell ref="L7:L8"/>
    <mergeCell ref="L9:L10"/>
    <mergeCell ref="I2:I5"/>
    <mergeCell ref="K2:K6"/>
  </mergeCells>
  <conditionalFormatting sqref="M3">
    <cfRule type="duplicateValues" dxfId="1109" priority="73"/>
  </conditionalFormatting>
  <conditionalFormatting sqref="M4">
    <cfRule type="duplicateValues" dxfId="1108" priority="78"/>
  </conditionalFormatting>
  <conditionalFormatting sqref="M5">
    <cfRule type="duplicateValues" dxfId="1107" priority="72"/>
  </conditionalFormatting>
  <conditionalFormatting sqref="M7">
    <cfRule type="duplicateValues" dxfId="1106" priority="70"/>
  </conditionalFormatting>
  <conditionalFormatting sqref="M9">
    <cfRule type="duplicateValues" dxfId="1105" priority="68"/>
  </conditionalFormatting>
  <conditionalFormatting sqref="M11">
    <cfRule type="duplicateValues" dxfId="1104" priority="66"/>
  </conditionalFormatting>
  <conditionalFormatting sqref="M13">
    <cfRule type="duplicateValues" dxfId="1103" priority="64"/>
  </conditionalFormatting>
  <conditionalFormatting sqref="M16">
    <cfRule type="duplicateValues" dxfId="1102" priority="75"/>
  </conditionalFormatting>
  <conditionalFormatting sqref="M17">
    <cfRule type="duplicateValues" dxfId="1101" priority="60"/>
  </conditionalFormatting>
  <conditionalFormatting sqref="M19">
    <cfRule type="duplicateValues" dxfId="1100" priority="58"/>
  </conditionalFormatting>
  <conditionalFormatting sqref="M20">
    <cfRule type="duplicateValues" dxfId="1099" priority="74"/>
  </conditionalFormatting>
  <conditionalFormatting sqref="M21">
    <cfRule type="duplicateValues" dxfId="1098" priority="55"/>
  </conditionalFormatting>
  <conditionalFormatting sqref="N3">
    <cfRule type="duplicateValues" dxfId="1097" priority="54"/>
  </conditionalFormatting>
  <conditionalFormatting sqref="N4 N1:N2">
    <cfRule type="duplicateValues" dxfId="1096" priority="77"/>
  </conditionalFormatting>
  <conditionalFormatting sqref="N5">
    <cfRule type="duplicateValues" dxfId="1095" priority="57"/>
  </conditionalFormatting>
  <conditionalFormatting sqref="N6">
    <cfRule type="duplicateValues" dxfId="1094" priority="53"/>
  </conditionalFormatting>
  <conditionalFormatting sqref="N7">
    <cfRule type="duplicateValues" dxfId="1093" priority="71"/>
  </conditionalFormatting>
  <conditionalFormatting sqref="N8">
    <cfRule type="duplicateValues" dxfId="1092" priority="52"/>
  </conditionalFormatting>
  <conditionalFormatting sqref="N9">
    <cfRule type="duplicateValues" dxfId="1091" priority="69"/>
  </conditionalFormatting>
  <conditionalFormatting sqref="N10">
    <cfRule type="duplicateValues" dxfId="1090" priority="51"/>
  </conditionalFormatting>
  <conditionalFormatting sqref="N11">
    <cfRule type="duplicateValues" dxfId="1089" priority="67"/>
  </conditionalFormatting>
  <conditionalFormatting sqref="N12">
    <cfRule type="duplicateValues" dxfId="1088" priority="50"/>
  </conditionalFormatting>
  <conditionalFormatting sqref="N13">
    <cfRule type="duplicateValues" dxfId="1087" priority="65"/>
  </conditionalFormatting>
  <conditionalFormatting sqref="N14">
    <cfRule type="duplicateValues" dxfId="1086" priority="49"/>
  </conditionalFormatting>
  <conditionalFormatting sqref="N16">
    <cfRule type="duplicateValues" dxfId="1085" priority="47"/>
  </conditionalFormatting>
  <conditionalFormatting sqref="N17">
    <cfRule type="duplicateValues" dxfId="1084" priority="61"/>
  </conditionalFormatting>
  <conditionalFormatting sqref="N18">
    <cfRule type="duplicateValues" dxfId="1083" priority="46"/>
  </conditionalFormatting>
  <conditionalFormatting sqref="N19">
    <cfRule type="duplicateValues" dxfId="1082" priority="59"/>
  </conditionalFormatting>
  <conditionalFormatting sqref="N20">
    <cfRule type="duplicateValues" dxfId="1081" priority="45"/>
  </conditionalFormatting>
  <conditionalFormatting sqref="N21">
    <cfRule type="duplicateValues" dxfId="1080" priority="56"/>
  </conditionalFormatting>
  <conditionalFormatting sqref="N22">
    <cfRule type="duplicateValues" dxfId="1079" priority="44"/>
  </conditionalFormatting>
  <conditionalFormatting sqref="M27">
    <cfRule type="duplicateValues" dxfId="1078" priority="40"/>
    <cfRule type="duplicateValues" dxfId="1077" priority="41"/>
    <cfRule type="duplicateValues" dxfId="1076" priority="42"/>
    <cfRule type="duplicateValues" dxfId="1075" priority="43"/>
  </conditionalFormatting>
  <conditionalFormatting sqref="N27">
    <cfRule type="duplicateValues" dxfId="1074" priority="33"/>
    <cfRule type="duplicateValues" dxfId="1073" priority="34"/>
    <cfRule type="duplicateValues" dxfId="1072" priority="35"/>
    <cfRule type="duplicateValues" dxfId="1071" priority="36"/>
  </conditionalFormatting>
  <conditionalFormatting sqref="E27">
    <cfRule type="duplicateValues" dxfId="1070" priority="37"/>
  </conditionalFormatting>
  <conditionalFormatting sqref="K27">
    <cfRule type="duplicateValues" dxfId="1069" priority="38"/>
  </conditionalFormatting>
  <conditionalFormatting sqref="L27">
    <cfRule type="duplicateValues" dxfId="1068" priority="39"/>
  </conditionalFormatting>
  <conditionalFormatting sqref="E28">
    <cfRule type="duplicateValues" dxfId="1067" priority="25"/>
  </conditionalFormatting>
  <conditionalFormatting sqref="K28">
    <cfRule type="duplicateValues" dxfId="1066" priority="26"/>
  </conditionalFormatting>
  <conditionalFormatting sqref="K28">
    <cfRule type="duplicateValues" dxfId="1065" priority="32"/>
  </conditionalFormatting>
  <conditionalFormatting sqref="L28">
    <cfRule type="duplicateValues" dxfId="1064" priority="27"/>
  </conditionalFormatting>
  <conditionalFormatting sqref="M28">
    <cfRule type="duplicateValues" dxfId="1063" priority="28"/>
    <cfRule type="duplicateValues" dxfId="1062" priority="29"/>
    <cfRule type="duplicateValues" dxfId="1061" priority="30"/>
    <cfRule type="duplicateValues" dxfId="1060" priority="31"/>
  </conditionalFormatting>
  <conditionalFormatting sqref="E29">
    <cfRule type="duplicateValues" dxfId="1059" priority="17"/>
  </conditionalFormatting>
  <conditionalFormatting sqref="K29">
    <cfRule type="duplicateValues" dxfId="1058" priority="18"/>
  </conditionalFormatting>
  <conditionalFormatting sqref="K29">
    <cfRule type="duplicateValues" dxfId="1057" priority="24"/>
  </conditionalFormatting>
  <conditionalFormatting sqref="L29">
    <cfRule type="duplicateValues" dxfId="1056" priority="19"/>
  </conditionalFormatting>
  <conditionalFormatting sqref="M29">
    <cfRule type="duplicateValues" dxfId="1055" priority="20"/>
    <cfRule type="duplicateValues" dxfId="1054" priority="21"/>
    <cfRule type="duplicateValues" dxfId="1053" priority="22"/>
    <cfRule type="duplicateValues" dxfId="1052" priority="23"/>
  </conditionalFormatting>
  <conditionalFormatting sqref="I33">
    <cfRule type="duplicateValues" dxfId="1051" priority="8"/>
  </conditionalFormatting>
  <conditionalFormatting sqref="I34">
    <cfRule type="duplicateValues" dxfId="1050" priority="7"/>
  </conditionalFormatting>
  <conditionalFormatting sqref="I37">
    <cfRule type="duplicateValues" dxfId="1049" priority="4"/>
  </conditionalFormatting>
  <conditionalFormatting sqref="I38">
    <cfRule type="duplicateValues" dxfId="1048" priority="3"/>
  </conditionalFormatting>
  <conditionalFormatting sqref="M18 M4 M6 M8 M10 M12 M14 M22 M1:M2">
    <cfRule type="duplicateValues" dxfId="1047" priority="79"/>
  </conditionalFormatting>
  <conditionalFormatting sqref="I35">
    <cfRule type="duplicateValues" dxfId="1046" priority="2"/>
  </conditionalFormatting>
  <conditionalFormatting sqref="I36">
    <cfRule type="duplicateValues" dxfId="1045" priority="1"/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3"/>
  <sheetViews>
    <sheetView rightToLeft="1" workbookViewId="0">
      <selection activeCell="F27" sqref="F27"/>
    </sheetView>
  </sheetViews>
  <sheetFormatPr defaultRowHeight="15"/>
  <cols>
    <col min="5" max="5" width="14.28515625" customWidth="1"/>
    <col min="7" max="7" width="13.85546875" customWidth="1"/>
    <col min="8" max="8" width="19.140625" customWidth="1"/>
    <col min="9" max="9" width="17.85546875" customWidth="1"/>
    <col min="11" max="11" width="30.42578125" customWidth="1"/>
    <col min="12" max="12" width="21.140625" customWidth="1"/>
    <col min="13" max="13" width="52" customWidth="1"/>
    <col min="14" max="14" width="66.5703125" customWidth="1"/>
    <col min="15" max="15" width="11.5703125" customWidth="1"/>
    <col min="16" max="16" width="37.7109375" customWidth="1"/>
    <col min="17" max="17" width="19.85546875" customWidth="1"/>
    <col min="18" max="18" width="28.42578125" customWidth="1"/>
    <col min="19" max="19" width="22.7109375" customWidth="1"/>
    <col min="20" max="20" width="19.42578125" customWidth="1"/>
    <col min="21" max="21" width="23" customWidth="1"/>
    <col min="22" max="22" width="18.140625" customWidth="1"/>
    <col min="23" max="23" width="32.28515625" customWidth="1"/>
    <col min="24" max="24" width="78.5703125" customWidth="1"/>
    <col min="25" max="25" width="17.5703125" customWidth="1"/>
    <col min="26" max="26" width="27" customWidth="1"/>
    <col min="27" max="27" width="30.42578125" customWidth="1"/>
  </cols>
  <sheetData>
    <row r="1" spans="1:27" s="12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12" customFormat="1" ht="15.75" customHeight="1">
      <c r="A2" s="1390">
        <v>1</v>
      </c>
      <c r="B2" s="1492">
        <v>464</v>
      </c>
      <c r="C2" s="1390" t="s">
        <v>2449</v>
      </c>
      <c r="D2" s="1390" t="s">
        <v>2449</v>
      </c>
      <c r="E2" s="1390" t="s">
        <v>2450</v>
      </c>
      <c r="F2" s="1390" t="s">
        <v>334</v>
      </c>
      <c r="G2" s="28" t="s">
        <v>9155</v>
      </c>
      <c r="H2" s="21" t="s">
        <v>28</v>
      </c>
      <c r="I2" s="1450" t="s">
        <v>29</v>
      </c>
      <c r="J2" s="24" t="s">
        <v>204</v>
      </c>
      <c r="K2" s="1488" t="s">
        <v>15416</v>
      </c>
      <c r="L2" s="1390" t="s">
        <v>15417</v>
      </c>
      <c r="M2" s="22" t="s">
        <v>2451</v>
      </c>
      <c r="N2" s="22" t="s">
        <v>2472</v>
      </c>
      <c r="O2" s="46" t="s">
        <v>43</v>
      </c>
      <c r="P2" s="1482" t="s">
        <v>2452</v>
      </c>
      <c r="Q2" s="46" t="s">
        <v>43</v>
      </c>
      <c r="R2" s="26" t="s">
        <v>2453</v>
      </c>
      <c r="S2" s="46" t="s">
        <v>43</v>
      </c>
      <c r="T2" s="1450">
        <v>2499992796</v>
      </c>
      <c r="U2" s="1485"/>
      <c r="V2" s="1453"/>
      <c r="W2" s="26" t="s">
        <v>2454</v>
      </c>
      <c r="X2" s="1390" t="s">
        <v>450</v>
      </c>
      <c r="Y2" s="1495" t="s">
        <v>93</v>
      </c>
      <c r="Z2" s="1495" t="s">
        <v>65</v>
      </c>
      <c r="AA2" s="219">
        <v>36400000</v>
      </c>
    </row>
    <row r="3" spans="1:27" s="12" customFormat="1" ht="15.75" customHeight="1">
      <c r="A3" s="1391"/>
      <c r="B3" s="1493"/>
      <c r="C3" s="1391"/>
      <c r="D3" s="1391"/>
      <c r="E3" s="1391"/>
      <c r="F3" s="1391"/>
      <c r="G3" s="28" t="s">
        <v>2455</v>
      </c>
      <c r="H3" s="30" t="s">
        <v>195</v>
      </c>
      <c r="I3" s="1619"/>
      <c r="J3" s="24" t="s">
        <v>204</v>
      </c>
      <c r="K3" s="1489"/>
      <c r="L3" s="1391"/>
      <c r="M3" s="22" t="s">
        <v>2456</v>
      </c>
      <c r="N3" s="21" t="s">
        <v>2473</v>
      </c>
      <c r="O3" s="46" t="s">
        <v>43</v>
      </c>
      <c r="P3" s="1483"/>
      <c r="Q3" s="46" t="s">
        <v>43</v>
      </c>
      <c r="R3" s="26" t="s">
        <v>246</v>
      </c>
      <c r="S3" s="46" t="s">
        <v>43</v>
      </c>
      <c r="T3" s="1619"/>
      <c r="U3" s="1487"/>
      <c r="V3" s="1690"/>
      <c r="W3" s="26" t="s">
        <v>2458</v>
      </c>
      <c r="X3" s="1395"/>
      <c r="Y3" s="1497"/>
      <c r="Z3" s="1497"/>
      <c r="AA3" s="219">
        <v>36400000</v>
      </c>
    </row>
    <row r="4" spans="1:27" s="12" customFormat="1" ht="15.75" customHeight="1">
      <c r="A4" s="1391"/>
      <c r="B4" s="1493"/>
      <c r="C4" s="1391"/>
      <c r="D4" s="1391"/>
      <c r="E4" s="1391"/>
      <c r="F4" s="1391"/>
      <c r="G4" s="28" t="s">
        <v>2459</v>
      </c>
      <c r="H4" s="21" t="s">
        <v>249</v>
      </c>
      <c r="I4" s="21" t="s">
        <v>60</v>
      </c>
      <c r="J4" s="24" t="s">
        <v>2278</v>
      </c>
      <c r="K4" s="1489"/>
      <c r="L4" s="1391"/>
      <c r="M4" s="22" t="s">
        <v>2460</v>
      </c>
      <c r="N4" s="22" t="s">
        <v>15420</v>
      </c>
      <c r="O4" s="46" t="s">
        <v>43</v>
      </c>
      <c r="P4" s="1483"/>
      <c r="Q4" s="46" t="s">
        <v>43</v>
      </c>
      <c r="R4" s="26" t="s">
        <v>156</v>
      </c>
      <c r="S4" s="46" t="s">
        <v>43</v>
      </c>
      <c r="T4" s="46" t="s">
        <v>43</v>
      </c>
      <c r="U4" s="46" t="s">
        <v>43</v>
      </c>
      <c r="V4" s="46" t="s">
        <v>43</v>
      </c>
      <c r="W4" s="46" t="s">
        <v>43</v>
      </c>
      <c r="X4" s="21" t="s">
        <v>2461</v>
      </c>
      <c r="Y4" s="1497"/>
      <c r="Z4" s="1497"/>
      <c r="AA4" s="219">
        <v>35200000</v>
      </c>
    </row>
    <row r="5" spans="1:27" s="12" customFormat="1" ht="15.75" customHeight="1">
      <c r="A5" s="1395"/>
      <c r="B5" s="1494"/>
      <c r="C5" s="1391"/>
      <c r="D5" s="1391"/>
      <c r="E5" s="1395"/>
      <c r="F5" s="1391"/>
      <c r="G5" s="46" t="s">
        <v>43</v>
      </c>
      <c r="H5" s="813" t="s">
        <v>14199</v>
      </c>
      <c r="I5" s="21" t="s">
        <v>45</v>
      </c>
      <c r="J5" s="24" t="s">
        <v>200</v>
      </c>
      <c r="K5" s="1490"/>
      <c r="L5" s="1395"/>
      <c r="M5" s="22" t="s">
        <v>2462</v>
      </c>
      <c r="N5" s="21" t="s">
        <v>2953</v>
      </c>
      <c r="O5" s="46" t="s">
        <v>43</v>
      </c>
      <c r="P5" s="1484"/>
      <c r="Q5" s="46" t="s">
        <v>43</v>
      </c>
      <c r="R5" s="26" t="s">
        <v>54</v>
      </c>
      <c r="S5" s="46" t="s">
        <v>43</v>
      </c>
      <c r="T5" s="46" t="s">
        <v>43</v>
      </c>
      <c r="U5" s="46" t="s">
        <v>43</v>
      </c>
      <c r="V5" s="46" t="s">
        <v>43</v>
      </c>
      <c r="W5" s="26" t="s">
        <v>1512</v>
      </c>
      <c r="X5" s="21" t="s">
        <v>56</v>
      </c>
      <c r="Y5" s="1497"/>
      <c r="Z5" s="1497"/>
      <c r="AA5" s="303">
        <v>0</v>
      </c>
    </row>
    <row r="6" spans="1:27" s="12" customFormat="1" ht="15.75" customHeight="1">
      <c r="A6" s="1390">
        <v>2</v>
      </c>
      <c r="B6" s="1480">
        <v>346</v>
      </c>
      <c r="C6" s="1391"/>
      <c r="D6" s="1391"/>
      <c r="E6" s="1390" t="s">
        <v>2463</v>
      </c>
      <c r="F6" s="1391"/>
      <c r="G6" s="28" t="s">
        <v>2464</v>
      </c>
      <c r="H6" s="21" t="s">
        <v>59</v>
      </c>
      <c r="I6" s="21" t="s">
        <v>60</v>
      </c>
      <c r="J6" s="24" t="s">
        <v>205</v>
      </c>
      <c r="K6" s="1390" t="s">
        <v>15414</v>
      </c>
      <c r="L6" s="1390" t="s">
        <v>15415</v>
      </c>
      <c r="M6" s="22" t="s">
        <v>221</v>
      </c>
      <c r="N6" s="22" t="s">
        <v>15418</v>
      </c>
      <c r="O6" s="46" t="s">
        <v>43</v>
      </c>
      <c r="P6" s="1396" t="s">
        <v>2898</v>
      </c>
      <c r="Q6" s="26" t="s">
        <v>172</v>
      </c>
      <c r="R6" s="26" t="s">
        <v>397</v>
      </c>
      <c r="S6" s="46" t="s">
        <v>43</v>
      </c>
      <c r="T6" s="46" t="s">
        <v>43</v>
      </c>
      <c r="U6" s="46" t="s">
        <v>43</v>
      </c>
      <c r="V6" s="46" t="s">
        <v>43</v>
      </c>
      <c r="W6" s="46" t="s">
        <v>43</v>
      </c>
      <c r="X6" s="21" t="s">
        <v>167</v>
      </c>
      <c r="Y6" s="1390" t="s">
        <v>202</v>
      </c>
      <c r="Z6" s="1452" t="s">
        <v>65</v>
      </c>
      <c r="AA6" s="219">
        <v>8960000</v>
      </c>
    </row>
    <row r="7" spans="1:27" s="12" customFormat="1" ht="15.75" customHeight="1">
      <c r="A7" s="1395"/>
      <c r="B7" s="1491"/>
      <c r="C7" s="1391"/>
      <c r="D7" s="1395"/>
      <c r="E7" s="1395"/>
      <c r="F7" s="1391"/>
      <c r="G7" s="28" t="s">
        <v>11837</v>
      </c>
      <c r="H7" s="30" t="s">
        <v>195</v>
      </c>
      <c r="I7" s="21" t="s">
        <v>108</v>
      </c>
      <c r="J7" s="24" t="s">
        <v>199</v>
      </c>
      <c r="K7" s="1395"/>
      <c r="L7" s="1395"/>
      <c r="M7" s="22" t="s">
        <v>2465</v>
      </c>
      <c r="N7" s="21" t="s">
        <v>2474</v>
      </c>
      <c r="O7" s="22" t="s">
        <v>2457</v>
      </c>
      <c r="P7" s="1397"/>
      <c r="Q7" s="46" t="s">
        <v>43</v>
      </c>
      <c r="R7" s="26" t="s">
        <v>315</v>
      </c>
      <c r="S7" s="26" t="s">
        <v>2466</v>
      </c>
      <c r="T7" s="46" t="s">
        <v>43</v>
      </c>
      <c r="U7" s="46" t="s">
        <v>43</v>
      </c>
      <c r="V7" s="46" t="s">
        <v>43</v>
      </c>
      <c r="W7" s="46" t="s">
        <v>43</v>
      </c>
      <c r="X7" s="21" t="s">
        <v>299</v>
      </c>
      <c r="Y7" s="1395"/>
      <c r="Z7" s="1452"/>
      <c r="AA7" s="219">
        <v>20800000</v>
      </c>
    </row>
    <row r="8" spans="1:27" s="12" customFormat="1" ht="15.75" customHeight="1">
      <c r="A8" s="1390">
        <v>3</v>
      </c>
      <c r="B8" s="1480">
        <v>393</v>
      </c>
      <c r="C8" s="1391"/>
      <c r="D8" s="1390" t="s">
        <v>2467</v>
      </c>
      <c r="E8" s="1390" t="s">
        <v>2467</v>
      </c>
      <c r="F8" s="1391"/>
      <c r="G8" s="28" t="s">
        <v>2468</v>
      </c>
      <c r="H8" s="21" t="s">
        <v>59</v>
      </c>
      <c r="I8" s="21" t="s">
        <v>60</v>
      </c>
      <c r="J8" s="24" t="s">
        <v>205</v>
      </c>
      <c r="K8" s="1390" t="s">
        <v>15412</v>
      </c>
      <c r="L8" s="1390" t="s">
        <v>15413</v>
      </c>
      <c r="M8" s="22" t="s">
        <v>221</v>
      </c>
      <c r="N8" s="22" t="s">
        <v>15419</v>
      </c>
      <c r="O8" s="46" t="s">
        <v>43</v>
      </c>
      <c r="P8" s="1482" t="s">
        <v>2899</v>
      </c>
      <c r="Q8" s="46" t="s">
        <v>43</v>
      </c>
      <c r="R8" s="26" t="s">
        <v>397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21" t="s">
        <v>167</v>
      </c>
      <c r="Y8" s="1390" t="s">
        <v>202</v>
      </c>
      <c r="Z8" s="1452" t="s">
        <v>65</v>
      </c>
      <c r="AA8" s="219">
        <v>12800000</v>
      </c>
    </row>
    <row r="9" spans="1:27" s="12" customFormat="1" ht="15.75" customHeight="1">
      <c r="A9" s="1395"/>
      <c r="B9" s="1491"/>
      <c r="C9" s="1391"/>
      <c r="D9" s="1395"/>
      <c r="E9" s="1395"/>
      <c r="F9" s="1391"/>
      <c r="G9" s="28">
        <v>591112</v>
      </c>
      <c r="H9" s="30" t="s">
        <v>195</v>
      </c>
      <c r="I9" s="21" t="s">
        <v>108</v>
      </c>
      <c r="J9" s="24" t="s">
        <v>199</v>
      </c>
      <c r="K9" s="1395"/>
      <c r="L9" s="1395"/>
      <c r="M9" s="22" t="s">
        <v>2469</v>
      </c>
      <c r="N9" s="21" t="s">
        <v>2475</v>
      </c>
      <c r="O9" s="28" t="s">
        <v>2466</v>
      </c>
      <c r="P9" s="1484"/>
      <c r="Q9" s="46" t="s">
        <v>43</v>
      </c>
      <c r="R9" s="26" t="s">
        <v>315</v>
      </c>
      <c r="S9" s="26" t="s">
        <v>2466</v>
      </c>
      <c r="T9" s="46" t="s">
        <v>43</v>
      </c>
      <c r="U9" s="46" t="s">
        <v>43</v>
      </c>
      <c r="V9" s="46" t="s">
        <v>43</v>
      </c>
      <c r="W9" s="46" t="s">
        <v>43</v>
      </c>
      <c r="X9" s="21" t="s">
        <v>299</v>
      </c>
      <c r="Y9" s="1395"/>
      <c r="Z9" s="1452"/>
      <c r="AA9" s="219">
        <v>20800000</v>
      </c>
    </row>
    <row r="10" spans="1:27" ht="19.5">
      <c r="Z10" s="302" t="s">
        <v>9164</v>
      </c>
      <c r="AA10" s="321">
        <f>SUM(AA2:AA9)</f>
        <v>171360000</v>
      </c>
    </row>
    <row r="13" spans="1:27">
      <c r="K13" s="73" t="s">
        <v>2952</v>
      </c>
    </row>
    <row r="16" spans="1:27" ht="26.25" customHeight="1">
      <c r="A16" s="1459" t="s">
        <v>14163</v>
      </c>
      <c r="B16" s="1459"/>
      <c r="C16" s="1459"/>
      <c r="D16" s="1459"/>
      <c r="E16" s="1459"/>
      <c r="F16" s="1459"/>
      <c r="G16" s="1459"/>
    </row>
    <row r="17" spans="1:27" s="12" customFormat="1" ht="19.5">
      <c r="A17" s="34" t="s">
        <v>0</v>
      </c>
      <c r="B17" s="34" t="s">
        <v>5</v>
      </c>
      <c r="C17" s="34" t="s">
        <v>2</v>
      </c>
      <c r="D17" s="34" t="s">
        <v>3</v>
      </c>
      <c r="E17" s="1445" t="s">
        <v>88</v>
      </c>
      <c r="F17" s="1446"/>
      <c r="G17" s="34" t="s">
        <v>6</v>
      </c>
      <c r="H17" s="34" t="s">
        <v>7</v>
      </c>
      <c r="I17" s="34" t="s">
        <v>8</v>
      </c>
      <c r="J17" s="34" t="s">
        <v>196</v>
      </c>
      <c r="K17" s="34" t="s">
        <v>9</v>
      </c>
      <c r="L17" s="34" t="s">
        <v>11</v>
      </c>
      <c r="M17" s="34" t="s">
        <v>12</v>
      </c>
      <c r="N17" s="34" t="s">
        <v>216</v>
      </c>
      <c r="O17" s="34" t="s">
        <v>13</v>
      </c>
      <c r="P17" s="35" t="s">
        <v>14</v>
      </c>
      <c r="Q17" s="35" t="s">
        <v>217</v>
      </c>
      <c r="R17" s="35" t="s">
        <v>16</v>
      </c>
      <c r="S17" s="34" t="s">
        <v>17</v>
      </c>
      <c r="T17" s="34" t="s">
        <v>218</v>
      </c>
      <c r="U17" s="34" t="s">
        <v>22</v>
      </c>
      <c r="V17" s="36" t="s">
        <v>23</v>
      </c>
      <c r="W17" s="34" t="s">
        <v>24</v>
      </c>
      <c r="X17" s="58" t="s">
        <v>257</v>
      </c>
      <c r="Z17"/>
      <c r="AA17"/>
    </row>
    <row r="22" spans="1:27">
      <c r="K22" s="644" t="s">
        <v>12013</v>
      </c>
    </row>
    <row r="23" spans="1:27">
      <c r="K23" s="915" t="s">
        <v>16144</v>
      </c>
    </row>
  </sheetData>
  <mergeCells count="35">
    <mergeCell ref="I2:I3"/>
    <mergeCell ref="L2:L5"/>
    <mergeCell ref="L6:L7"/>
    <mergeCell ref="L8:L9"/>
    <mergeCell ref="K2:K5"/>
    <mergeCell ref="K6:K7"/>
    <mergeCell ref="K8:K9"/>
    <mergeCell ref="F2:F9"/>
    <mergeCell ref="D2:D7"/>
    <mergeCell ref="D8:D9"/>
    <mergeCell ref="E2:E5"/>
    <mergeCell ref="E6:E7"/>
    <mergeCell ref="E8:E9"/>
    <mergeCell ref="Y2:Y5"/>
    <mergeCell ref="Z2:Z5"/>
    <mergeCell ref="Y6:Y7"/>
    <mergeCell ref="Z6:Z7"/>
    <mergeCell ref="Y8:Y9"/>
    <mergeCell ref="Z8:Z9"/>
    <mergeCell ref="A16:G16"/>
    <mergeCell ref="E17:F17"/>
    <mergeCell ref="V2:V3"/>
    <mergeCell ref="X2:X3"/>
    <mergeCell ref="P2:P5"/>
    <mergeCell ref="P6:P7"/>
    <mergeCell ref="P8:P9"/>
    <mergeCell ref="T2:T3"/>
    <mergeCell ref="A2:A5"/>
    <mergeCell ref="A6:A7"/>
    <mergeCell ref="A8:A9"/>
    <mergeCell ref="U2:U3"/>
    <mergeCell ref="B2:B5"/>
    <mergeCell ref="B6:B7"/>
    <mergeCell ref="B8:B9"/>
    <mergeCell ref="C2:C9"/>
  </mergeCells>
  <conditionalFormatting sqref="M2">
    <cfRule type="duplicateValues" dxfId="1044" priority="71"/>
  </conditionalFormatting>
  <conditionalFormatting sqref="M4">
    <cfRule type="duplicateValues" dxfId="1043" priority="61"/>
  </conditionalFormatting>
  <conditionalFormatting sqref="M6">
    <cfRule type="duplicateValues" dxfId="1042" priority="67"/>
  </conditionalFormatting>
  <conditionalFormatting sqref="M8">
    <cfRule type="duplicateValues" dxfId="1041" priority="65"/>
  </conditionalFormatting>
  <conditionalFormatting sqref="N2">
    <cfRule type="duplicateValues" dxfId="1040" priority="72"/>
  </conditionalFormatting>
  <conditionalFormatting sqref="N3">
    <cfRule type="duplicateValues" dxfId="1039" priority="58"/>
  </conditionalFormatting>
  <conditionalFormatting sqref="N4">
    <cfRule type="duplicateValues" dxfId="1038" priority="62"/>
  </conditionalFormatting>
  <conditionalFormatting sqref="N5">
    <cfRule type="duplicateValues" dxfId="1037" priority="57"/>
  </conditionalFormatting>
  <conditionalFormatting sqref="N6">
    <cfRule type="duplicateValues" dxfId="1036" priority="68"/>
  </conditionalFormatting>
  <conditionalFormatting sqref="N7">
    <cfRule type="duplicateValues" dxfId="1035" priority="56"/>
  </conditionalFormatting>
  <conditionalFormatting sqref="N8">
    <cfRule type="duplicateValues" dxfId="1034" priority="66"/>
  </conditionalFormatting>
  <conditionalFormatting sqref="N9">
    <cfRule type="duplicateValues" dxfId="1033" priority="55"/>
  </conditionalFormatting>
  <conditionalFormatting sqref="M17">
    <cfRule type="duplicateValues" dxfId="1032" priority="9"/>
    <cfRule type="duplicateValues" dxfId="1031" priority="10"/>
    <cfRule type="duplicateValues" dxfId="1030" priority="11"/>
    <cfRule type="duplicateValues" dxfId="1029" priority="12"/>
  </conditionalFormatting>
  <conditionalFormatting sqref="N17">
    <cfRule type="duplicateValues" dxfId="1028" priority="2"/>
    <cfRule type="duplicateValues" dxfId="1027" priority="3"/>
    <cfRule type="duplicateValues" dxfId="1026" priority="4"/>
    <cfRule type="duplicateValues" dxfId="1025" priority="5"/>
  </conditionalFormatting>
  <conditionalFormatting sqref="E17">
    <cfRule type="duplicateValues" dxfId="1024" priority="6"/>
  </conditionalFormatting>
  <conditionalFormatting sqref="K17">
    <cfRule type="duplicateValues" dxfId="1023" priority="7"/>
  </conditionalFormatting>
  <conditionalFormatting sqref="L17">
    <cfRule type="duplicateValues" dxfId="1022" priority="8"/>
  </conditionalFormatting>
  <conditionalFormatting sqref="K23">
    <cfRule type="duplicateValues" dxfId="1021" priority="1"/>
  </conditionalFormatting>
  <conditionalFormatting sqref="N1">
    <cfRule type="duplicateValues" dxfId="1020" priority="4457"/>
  </conditionalFormatting>
  <conditionalFormatting sqref="M3 M7 M9 M5 M1">
    <cfRule type="duplicateValues" dxfId="1019" priority="4458"/>
    <cfRule type="duplicateValues" dxfId="1018" priority="4459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8"/>
  <sheetViews>
    <sheetView rightToLeft="1" topLeftCell="D1" workbookViewId="0">
      <selection activeCell="N5" sqref="N5"/>
    </sheetView>
  </sheetViews>
  <sheetFormatPr defaultRowHeight="15"/>
  <cols>
    <col min="3" max="3" width="17.5703125" customWidth="1"/>
    <col min="7" max="7" width="12.28515625" customWidth="1"/>
    <col min="8" max="8" width="18.5703125" customWidth="1"/>
    <col min="9" max="9" width="23.28515625" customWidth="1"/>
    <col min="10" max="10" width="33.28515625" customWidth="1"/>
    <col min="11" max="11" width="32.85546875" customWidth="1"/>
    <col min="12" max="12" width="24.42578125" customWidth="1"/>
    <col min="13" max="13" width="25.28515625" customWidth="1"/>
    <col min="14" max="14" width="56.28515625" customWidth="1"/>
    <col min="15" max="15" width="12" customWidth="1"/>
    <col min="16" max="16" width="30.140625" customWidth="1"/>
    <col min="17" max="17" width="22.28515625" customWidth="1"/>
    <col min="18" max="18" width="29.5703125" customWidth="1"/>
    <col min="19" max="19" width="18.7109375" customWidth="1"/>
    <col min="20" max="20" width="19.42578125" customWidth="1"/>
    <col min="21" max="21" width="18.140625" customWidth="1"/>
    <col min="22" max="22" width="21.28515625" customWidth="1"/>
    <col min="23" max="23" width="30.42578125" customWidth="1"/>
    <col min="24" max="24" width="61.42578125" customWidth="1"/>
    <col min="25" max="25" width="27.140625" customWidth="1"/>
    <col min="26" max="26" width="24.85546875" customWidth="1"/>
    <col min="27" max="27" width="20.5703125" customWidth="1"/>
    <col min="28" max="28" width="17.28515625" customWidth="1"/>
  </cols>
  <sheetData>
    <row r="1" spans="1:28" s="83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  <c r="AB1" s="83" t="s">
        <v>11826</v>
      </c>
    </row>
    <row r="2" spans="1:28" s="83" customFormat="1" ht="15.75" customHeight="1">
      <c r="A2" s="1533">
        <v>1</v>
      </c>
      <c r="B2" s="1523">
        <v>412</v>
      </c>
      <c r="C2" s="1533" t="s">
        <v>3163</v>
      </c>
      <c r="D2" s="1533" t="s">
        <v>3164</v>
      </c>
      <c r="E2" s="1533" t="s">
        <v>3164</v>
      </c>
      <c r="F2" s="1533" t="s">
        <v>2592</v>
      </c>
      <c r="G2" s="103" t="s">
        <v>9156</v>
      </c>
      <c r="H2" s="21" t="s">
        <v>28</v>
      </c>
      <c r="I2" s="1533" t="s">
        <v>270</v>
      </c>
      <c r="J2" s="497" t="s">
        <v>204</v>
      </c>
      <c r="K2" s="1648" t="s">
        <v>15141</v>
      </c>
      <c r="L2" s="1533" t="s">
        <v>15142</v>
      </c>
      <c r="M2" s="81" t="s">
        <v>3165</v>
      </c>
      <c r="N2" s="81" t="s">
        <v>3186</v>
      </c>
      <c r="O2" s="46" t="s">
        <v>43</v>
      </c>
      <c r="P2" s="1651" t="s">
        <v>3166</v>
      </c>
      <c r="Q2" s="46" t="s">
        <v>43</v>
      </c>
      <c r="R2" s="103" t="s">
        <v>3167</v>
      </c>
      <c r="S2" s="46" t="s">
        <v>43</v>
      </c>
      <c r="T2" s="1691"/>
      <c r="U2" s="1691"/>
      <c r="V2" s="1691"/>
      <c r="W2" s="103" t="s">
        <v>3168</v>
      </c>
      <c r="X2" s="1691"/>
      <c r="Y2" s="1641" t="s">
        <v>93</v>
      </c>
      <c r="Z2" s="1641" t="s">
        <v>65</v>
      </c>
      <c r="AA2" s="219">
        <v>36400000</v>
      </c>
    </row>
    <row r="3" spans="1:28" s="83" customFormat="1" ht="15.75" customHeight="1">
      <c r="A3" s="1647"/>
      <c r="B3" s="1524"/>
      <c r="C3" s="1647"/>
      <c r="D3" s="1647"/>
      <c r="E3" s="1647"/>
      <c r="F3" s="1647"/>
      <c r="G3" s="103" t="s">
        <v>9301</v>
      </c>
      <c r="H3" s="30" t="s">
        <v>195</v>
      </c>
      <c r="I3" s="1647"/>
      <c r="J3" s="497" t="s">
        <v>199</v>
      </c>
      <c r="K3" s="1649"/>
      <c r="L3" s="1647"/>
      <c r="M3" s="81" t="s">
        <v>3169</v>
      </c>
      <c r="N3" s="21" t="s">
        <v>3187</v>
      </c>
      <c r="O3" s="46" t="s">
        <v>43</v>
      </c>
      <c r="P3" s="1653"/>
      <c r="Q3" s="46" t="s">
        <v>43</v>
      </c>
      <c r="R3" s="103" t="s">
        <v>3170</v>
      </c>
      <c r="S3" s="46" t="s">
        <v>43</v>
      </c>
      <c r="T3" s="1692"/>
      <c r="U3" s="1692"/>
      <c r="V3" s="1692"/>
      <c r="W3" s="103" t="s">
        <v>3171</v>
      </c>
      <c r="X3" s="1692"/>
      <c r="Y3" s="1642"/>
      <c r="Z3" s="1642"/>
      <c r="AA3" s="219">
        <v>20800000</v>
      </c>
    </row>
    <row r="4" spans="1:28" s="83" customFormat="1" ht="15.75" customHeight="1">
      <c r="A4" s="1647"/>
      <c r="B4" s="1524"/>
      <c r="C4" s="1647"/>
      <c r="D4" s="1647"/>
      <c r="E4" s="1647"/>
      <c r="F4" s="1647"/>
      <c r="G4" s="105" t="s">
        <v>3210</v>
      </c>
      <c r="H4" s="104" t="s">
        <v>3185</v>
      </c>
      <c r="I4" s="1534"/>
      <c r="J4" s="794" t="s">
        <v>205</v>
      </c>
      <c r="K4" s="1649"/>
      <c r="L4" s="1647"/>
      <c r="M4" s="81" t="s">
        <v>3172</v>
      </c>
      <c r="N4" s="81" t="s">
        <v>15140</v>
      </c>
      <c r="O4" s="46" t="s">
        <v>43</v>
      </c>
      <c r="P4" s="1653"/>
      <c r="Q4" s="46" t="s">
        <v>43</v>
      </c>
      <c r="R4" s="103" t="s">
        <v>3173</v>
      </c>
      <c r="S4" s="46" t="s">
        <v>43</v>
      </c>
      <c r="T4" s="1693"/>
      <c r="U4" s="1693"/>
      <c r="V4" s="1693"/>
      <c r="W4" s="103" t="s">
        <v>3174</v>
      </c>
      <c r="X4" s="1693"/>
      <c r="Y4" s="1642"/>
      <c r="Z4" s="1642"/>
      <c r="AA4" s="219">
        <v>15680000</v>
      </c>
    </row>
    <row r="5" spans="1:28" s="83" customFormat="1" ht="15.75" customHeight="1">
      <c r="A5" s="1647"/>
      <c r="B5" s="1524"/>
      <c r="C5" s="1647"/>
      <c r="D5" s="1647"/>
      <c r="E5" s="1647"/>
      <c r="F5" s="1647"/>
      <c r="G5" s="723" t="s">
        <v>43</v>
      </c>
      <c r="H5" s="727" t="s">
        <v>44</v>
      </c>
      <c r="I5" s="727" t="s">
        <v>45</v>
      </c>
      <c r="J5" s="729" t="s">
        <v>201</v>
      </c>
      <c r="K5" s="1649"/>
      <c r="L5" s="1647"/>
      <c r="M5" s="727" t="s">
        <v>3175</v>
      </c>
      <c r="N5" s="727" t="s">
        <v>14913</v>
      </c>
      <c r="O5" s="723"/>
      <c r="P5" s="1653"/>
      <c r="Q5" s="723"/>
      <c r="R5" s="724" t="s">
        <v>14914</v>
      </c>
      <c r="S5" s="723"/>
      <c r="T5" s="728"/>
      <c r="U5" s="728"/>
      <c r="V5" s="728"/>
      <c r="W5" s="730" t="s">
        <v>14915</v>
      </c>
      <c r="X5" s="727" t="s">
        <v>50</v>
      </c>
      <c r="Y5" s="1642"/>
      <c r="Z5" s="1642"/>
      <c r="AA5" s="219">
        <v>6512400</v>
      </c>
    </row>
    <row r="6" spans="1:28" s="83" customFormat="1" ht="15.75" customHeight="1">
      <c r="A6" s="1647"/>
      <c r="B6" s="1524"/>
      <c r="C6" s="1647"/>
      <c r="D6" s="1647"/>
      <c r="E6" s="1647"/>
      <c r="F6" s="1647"/>
      <c r="G6" s="640" t="s">
        <v>43</v>
      </c>
      <c r="H6" s="641" t="s">
        <v>51</v>
      </c>
      <c r="I6" s="641" t="s">
        <v>45</v>
      </c>
      <c r="J6" s="643" t="s">
        <v>11886</v>
      </c>
      <c r="K6" s="1649"/>
      <c r="L6" s="1647"/>
      <c r="M6" s="641" t="s">
        <v>3178</v>
      </c>
      <c r="N6" s="639" t="s">
        <v>3190</v>
      </c>
      <c r="O6" s="640" t="s">
        <v>43</v>
      </c>
      <c r="P6" s="1653"/>
      <c r="Q6" s="640" t="s">
        <v>43</v>
      </c>
      <c r="R6" s="642" t="s">
        <v>54</v>
      </c>
      <c r="S6" s="640" t="s">
        <v>43</v>
      </c>
      <c r="T6" s="640" t="s">
        <v>43</v>
      </c>
      <c r="U6" s="640" t="s">
        <v>43</v>
      </c>
      <c r="V6" s="640" t="s">
        <v>43</v>
      </c>
      <c r="W6" s="642" t="s">
        <v>1735</v>
      </c>
      <c r="X6" s="641" t="s">
        <v>56</v>
      </c>
      <c r="Y6" s="1642"/>
      <c r="Z6" s="1642"/>
      <c r="AA6" s="303">
        <v>0</v>
      </c>
    </row>
    <row r="7" spans="1:28" s="83" customFormat="1" ht="15.75" customHeight="1">
      <c r="A7" s="1533">
        <v>2</v>
      </c>
      <c r="B7" s="1644">
        <v>539</v>
      </c>
      <c r="C7" s="1647"/>
      <c r="D7" s="1533" t="s">
        <v>3179</v>
      </c>
      <c r="E7" s="1533" t="s">
        <v>3179</v>
      </c>
      <c r="F7" s="1647"/>
      <c r="G7" s="103" t="s">
        <v>3180</v>
      </c>
      <c r="H7" s="104" t="s">
        <v>3185</v>
      </c>
      <c r="I7" s="81" t="s">
        <v>260</v>
      </c>
      <c r="J7" s="794" t="s">
        <v>205</v>
      </c>
      <c r="K7" s="1533" t="s">
        <v>15137</v>
      </c>
      <c r="L7" s="1533" t="s">
        <v>15138</v>
      </c>
      <c r="M7" s="81" t="s">
        <v>3181</v>
      </c>
      <c r="N7" s="81" t="s">
        <v>15139</v>
      </c>
      <c r="O7" s="46" t="s">
        <v>43</v>
      </c>
      <c r="P7" s="1651" t="s">
        <v>3189</v>
      </c>
      <c r="Q7" s="46" t="s">
        <v>43</v>
      </c>
      <c r="R7" s="103" t="s">
        <v>297</v>
      </c>
      <c r="S7" s="103" t="s">
        <v>298</v>
      </c>
      <c r="T7" s="46" t="s">
        <v>43</v>
      </c>
      <c r="U7" s="46" t="s">
        <v>43</v>
      </c>
      <c r="V7" s="46" t="s">
        <v>43</v>
      </c>
      <c r="W7" s="46" t="s">
        <v>43</v>
      </c>
      <c r="X7" s="81" t="s">
        <v>299</v>
      </c>
      <c r="Y7" s="1533" t="s">
        <v>202</v>
      </c>
      <c r="Z7" s="1533" t="s">
        <v>65</v>
      </c>
      <c r="AA7" s="219">
        <v>12800000</v>
      </c>
    </row>
    <row r="8" spans="1:28" s="83" customFormat="1" ht="15.75" customHeight="1">
      <c r="A8" s="1647"/>
      <c r="B8" s="1646"/>
      <c r="C8" s="1647"/>
      <c r="D8" s="1647"/>
      <c r="E8" s="1647"/>
      <c r="F8" s="1647"/>
      <c r="G8" s="103">
        <v>9602046490</v>
      </c>
      <c r="H8" s="30" t="s">
        <v>195</v>
      </c>
      <c r="I8" s="81" t="s">
        <v>260</v>
      </c>
      <c r="J8" s="82" t="s">
        <v>199</v>
      </c>
      <c r="K8" s="1647"/>
      <c r="L8" s="1647"/>
      <c r="M8" s="81" t="s">
        <v>3182</v>
      </c>
      <c r="N8" s="21" t="s">
        <v>3188</v>
      </c>
      <c r="O8" s="46" t="s">
        <v>43</v>
      </c>
      <c r="P8" s="1653"/>
      <c r="Q8" s="46" t="s">
        <v>43</v>
      </c>
      <c r="R8" s="103" t="s">
        <v>166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81" t="s">
        <v>167</v>
      </c>
      <c r="Y8" s="1647"/>
      <c r="Z8" s="1647"/>
      <c r="AA8" s="219">
        <v>20800000</v>
      </c>
    </row>
    <row r="9" spans="1:28" s="83" customFormat="1" ht="15.75" customHeight="1">
      <c r="A9" s="1534"/>
      <c r="B9" s="1645"/>
      <c r="C9" s="1534"/>
      <c r="D9" s="1534"/>
      <c r="E9" s="1534"/>
      <c r="F9" s="1534"/>
      <c r="G9" s="46" t="s">
        <v>43</v>
      </c>
      <c r="H9" s="81" t="s">
        <v>44</v>
      </c>
      <c r="I9" s="81" t="s">
        <v>45</v>
      </c>
      <c r="J9" s="82" t="s">
        <v>201</v>
      </c>
      <c r="K9" s="1534"/>
      <c r="L9" s="1534"/>
      <c r="M9" s="81" t="s">
        <v>3183</v>
      </c>
      <c r="N9" s="81" t="s">
        <v>3184</v>
      </c>
      <c r="O9" s="46" t="s">
        <v>43</v>
      </c>
      <c r="P9" s="1652"/>
      <c r="Q9" s="46" t="s">
        <v>43</v>
      </c>
      <c r="R9" s="103" t="s">
        <v>68</v>
      </c>
      <c r="S9" s="46" t="s">
        <v>43</v>
      </c>
      <c r="T9" s="46" t="s">
        <v>43</v>
      </c>
      <c r="U9" s="46" t="s">
        <v>43</v>
      </c>
      <c r="V9" s="46" t="s">
        <v>43</v>
      </c>
      <c r="W9" s="46" t="s">
        <v>43</v>
      </c>
      <c r="X9" s="81" t="s">
        <v>50</v>
      </c>
      <c r="Y9" s="1534"/>
      <c r="Z9" s="1534"/>
      <c r="AA9" s="303">
        <v>0</v>
      </c>
    </row>
    <row r="10" spans="1:28">
      <c r="Z10" s="324" t="s">
        <v>9164</v>
      </c>
      <c r="AA10" s="295">
        <f>SUM(AA2:AA9)</f>
        <v>112992400</v>
      </c>
    </row>
    <row r="17" spans="1:27" ht="26.25" customHeight="1">
      <c r="A17" s="1459" t="s">
        <v>14163</v>
      </c>
      <c r="B17" s="1459"/>
      <c r="C17" s="1459"/>
      <c r="D17" s="1459"/>
      <c r="E17" s="1459"/>
      <c r="F17" s="1459"/>
      <c r="G17" s="1459"/>
    </row>
    <row r="18" spans="1:27" s="12" customFormat="1" ht="19.5">
      <c r="A18" s="34" t="s">
        <v>0</v>
      </c>
      <c r="B18" s="34" t="s">
        <v>5</v>
      </c>
      <c r="C18" s="34" t="s">
        <v>2</v>
      </c>
      <c r="D18" s="34" t="s">
        <v>3</v>
      </c>
      <c r="E18" s="1445" t="s">
        <v>88</v>
      </c>
      <c r="F18" s="1446"/>
      <c r="G18" s="34" t="s">
        <v>6</v>
      </c>
      <c r="H18" s="34" t="s">
        <v>7</v>
      </c>
      <c r="I18" s="34" t="s">
        <v>8</v>
      </c>
      <c r="J18" s="34" t="s">
        <v>196</v>
      </c>
      <c r="K18" s="34" t="s">
        <v>9</v>
      </c>
      <c r="L18" s="34" t="s">
        <v>11</v>
      </c>
      <c r="M18" s="34" t="s">
        <v>12</v>
      </c>
      <c r="N18" s="34" t="s">
        <v>216</v>
      </c>
      <c r="O18" s="34" t="s">
        <v>13</v>
      </c>
      <c r="P18" s="35" t="s">
        <v>14</v>
      </c>
      <c r="Q18" s="35" t="s">
        <v>217</v>
      </c>
      <c r="R18" s="35" t="s">
        <v>16</v>
      </c>
      <c r="S18" s="34" t="s">
        <v>17</v>
      </c>
      <c r="T18" s="34" t="s">
        <v>218</v>
      </c>
      <c r="U18" s="34" t="s">
        <v>22</v>
      </c>
      <c r="V18" s="36" t="s">
        <v>23</v>
      </c>
      <c r="W18" s="34" t="s">
        <v>24</v>
      </c>
      <c r="X18" s="58" t="s">
        <v>257</v>
      </c>
      <c r="Z18"/>
      <c r="AA18"/>
    </row>
  </sheetData>
  <mergeCells count="27">
    <mergeCell ref="A17:G17"/>
    <mergeCell ref="E18:F18"/>
    <mergeCell ref="Y2:Y6"/>
    <mergeCell ref="Z2:Z6"/>
    <mergeCell ref="Y7:Y9"/>
    <mergeCell ref="Z7:Z9"/>
    <mergeCell ref="B2:B6"/>
    <mergeCell ref="B7:B9"/>
    <mergeCell ref="C2:C9"/>
    <mergeCell ref="D2:D6"/>
    <mergeCell ref="D7:D9"/>
    <mergeCell ref="E2:E6"/>
    <mergeCell ref="T2:T4"/>
    <mergeCell ref="U2:U4"/>
    <mergeCell ref="V2:V4"/>
    <mergeCell ref="X2:X4"/>
    <mergeCell ref="A2:A6"/>
    <mergeCell ref="A7:A9"/>
    <mergeCell ref="P2:P6"/>
    <mergeCell ref="P7:P9"/>
    <mergeCell ref="I2:I4"/>
    <mergeCell ref="K2:K6"/>
    <mergeCell ref="K7:K9"/>
    <mergeCell ref="L2:L6"/>
    <mergeCell ref="L7:L9"/>
    <mergeCell ref="E7:E9"/>
    <mergeCell ref="F2:F9"/>
  </mergeCells>
  <conditionalFormatting sqref="M2">
    <cfRule type="duplicateValues" dxfId="1017" priority="32"/>
  </conditionalFormatting>
  <conditionalFormatting sqref="M8:M9 M3:M4 M1">
    <cfRule type="duplicateValues" dxfId="1016" priority="34"/>
    <cfRule type="duplicateValues" dxfId="1015" priority="36"/>
  </conditionalFormatting>
  <conditionalFormatting sqref="M7">
    <cfRule type="duplicateValues" dxfId="1014" priority="30"/>
  </conditionalFormatting>
  <conditionalFormatting sqref="N2">
    <cfRule type="duplicateValues" dxfId="1013" priority="33"/>
  </conditionalFormatting>
  <conditionalFormatting sqref="N3">
    <cfRule type="duplicateValues" dxfId="1012" priority="29"/>
  </conditionalFormatting>
  <conditionalFormatting sqref="N9 N4 N1">
    <cfRule type="duplicateValues" dxfId="1011" priority="35"/>
  </conditionalFormatting>
  <conditionalFormatting sqref="N7">
    <cfRule type="duplicateValues" dxfId="1010" priority="31"/>
  </conditionalFormatting>
  <conditionalFormatting sqref="N8">
    <cfRule type="duplicateValues" dxfId="1009" priority="27"/>
  </conditionalFormatting>
  <conditionalFormatting sqref="M18">
    <cfRule type="duplicateValues" dxfId="1008" priority="4120"/>
    <cfRule type="duplicateValues" dxfId="1007" priority="4121"/>
    <cfRule type="duplicateValues" dxfId="1006" priority="4122"/>
    <cfRule type="duplicateValues" dxfId="1005" priority="4123"/>
  </conditionalFormatting>
  <conditionalFormatting sqref="N18">
    <cfRule type="duplicateValues" dxfId="1004" priority="4124"/>
    <cfRule type="duplicateValues" dxfId="1003" priority="4125"/>
    <cfRule type="duplicateValues" dxfId="1002" priority="4126"/>
    <cfRule type="duplicateValues" dxfId="1001" priority="4127"/>
  </conditionalFormatting>
  <conditionalFormatting sqref="E18">
    <cfRule type="duplicateValues" dxfId="1000" priority="4128"/>
  </conditionalFormatting>
  <conditionalFormatting sqref="K18">
    <cfRule type="duplicateValues" dxfId="999" priority="4129"/>
  </conditionalFormatting>
  <conditionalFormatting sqref="L18">
    <cfRule type="duplicateValues" dxfId="998" priority="4130"/>
  </conditionalFormatting>
  <conditionalFormatting sqref="M6">
    <cfRule type="duplicateValues" dxfId="997" priority="5"/>
    <cfRule type="duplicateValues" dxfId="996" priority="6"/>
  </conditionalFormatting>
  <conditionalFormatting sqref="N6">
    <cfRule type="duplicateValues" dxfId="995" priority="4"/>
  </conditionalFormatting>
  <conditionalFormatting sqref="M5">
    <cfRule type="duplicateValues" dxfId="994" priority="1"/>
    <cfRule type="duplicateValues" dxfId="993" priority="3"/>
  </conditionalFormatting>
  <conditionalFormatting sqref="N5">
    <cfRule type="duplicateValues" dxfId="992" priority="2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8"/>
  <sheetViews>
    <sheetView rightToLeft="1" workbookViewId="0">
      <selection activeCell="D21" sqref="D21"/>
    </sheetView>
  </sheetViews>
  <sheetFormatPr defaultRowHeight="15"/>
  <cols>
    <col min="5" max="5" width="12.140625" customWidth="1"/>
    <col min="6" max="6" width="24" customWidth="1"/>
    <col min="7" max="7" width="9.28515625" customWidth="1"/>
    <col min="8" max="8" width="17" customWidth="1"/>
    <col min="9" max="9" width="18.7109375" customWidth="1"/>
    <col min="10" max="10" width="21.5703125" customWidth="1"/>
    <col min="11" max="11" width="30.7109375" customWidth="1"/>
    <col min="12" max="12" width="30.28515625" customWidth="1"/>
    <col min="13" max="13" width="41.28515625" customWidth="1"/>
    <col min="14" max="14" width="57" customWidth="1"/>
    <col min="16" max="16" width="41.5703125" customWidth="1"/>
    <col min="18" max="18" width="23.42578125" customWidth="1"/>
    <col min="19" max="19" width="13.5703125" customWidth="1"/>
    <col min="20" max="20" width="19.85546875" customWidth="1"/>
    <col min="21" max="21" width="16.5703125" customWidth="1"/>
    <col min="22" max="22" width="18.42578125" customWidth="1"/>
    <col min="23" max="23" width="23.5703125" customWidth="1"/>
    <col min="24" max="24" width="59.5703125" customWidth="1"/>
    <col min="25" max="25" width="17.85546875" customWidth="1"/>
    <col min="26" max="26" width="25.7109375" customWidth="1"/>
    <col min="27" max="27" width="16" customWidth="1"/>
  </cols>
  <sheetData>
    <row r="1" spans="1:29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9" s="27" customFormat="1" ht="15.75" customHeight="1">
      <c r="A2" s="1422">
        <v>1</v>
      </c>
      <c r="B2" s="1523">
        <v>247</v>
      </c>
      <c r="C2" s="1422" t="s">
        <v>3191</v>
      </c>
      <c r="D2" s="32" t="s">
        <v>3191</v>
      </c>
      <c r="E2" s="1422" t="s">
        <v>3191</v>
      </c>
      <c r="F2" s="1422" t="s">
        <v>267</v>
      </c>
      <c r="G2" s="63" t="s">
        <v>9157</v>
      </c>
      <c r="H2" s="21" t="s">
        <v>28</v>
      </c>
      <c r="I2" s="1422" t="s">
        <v>29</v>
      </c>
      <c r="J2" s="47" t="s">
        <v>204</v>
      </c>
      <c r="K2" s="1517" t="s">
        <v>14223</v>
      </c>
      <c r="L2" s="1422" t="s">
        <v>14224</v>
      </c>
      <c r="M2" s="32" t="s">
        <v>14912</v>
      </c>
      <c r="N2" s="32" t="s">
        <v>3200</v>
      </c>
      <c r="O2" s="46" t="s">
        <v>43</v>
      </c>
      <c r="P2" s="1622" t="s">
        <v>3192</v>
      </c>
      <c r="Q2" s="46" t="s">
        <v>43</v>
      </c>
      <c r="R2" s="63" t="s">
        <v>3206</v>
      </c>
      <c r="S2" s="46" t="s">
        <v>43</v>
      </c>
      <c r="T2" s="1498" t="s">
        <v>3406</v>
      </c>
      <c r="U2" s="1498" t="s">
        <v>43</v>
      </c>
      <c r="V2" s="1498" t="s">
        <v>43</v>
      </c>
      <c r="W2" s="63" t="s">
        <v>3207</v>
      </c>
      <c r="X2" s="1533" t="s">
        <v>3416</v>
      </c>
      <c r="Y2" s="1422" t="s">
        <v>93</v>
      </c>
      <c r="Z2" s="1529" t="s">
        <v>242</v>
      </c>
      <c r="AA2" s="219">
        <v>36400000</v>
      </c>
      <c r="AC2" s="27" t="s">
        <v>11826</v>
      </c>
    </row>
    <row r="3" spans="1:29" s="27" customFormat="1" ht="15.75" customHeight="1">
      <c r="A3" s="1423"/>
      <c r="B3" s="1524"/>
      <c r="C3" s="1423"/>
      <c r="D3" s="32" t="s">
        <v>3191</v>
      </c>
      <c r="E3" s="1423"/>
      <c r="F3" s="1423"/>
      <c r="G3" s="63" t="s">
        <v>9300</v>
      </c>
      <c r="H3" s="30" t="s">
        <v>195</v>
      </c>
      <c r="I3" s="1423"/>
      <c r="J3" s="47" t="s">
        <v>199</v>
      </c>
      <c r="K3" s="1518"/>
      <c r="L3" s="1423"/>
      <c r="M3" s="32" t="s">
        <v>3193</v>
      </c>
      <c r="N3" s="21" t="s">
        <v>3201</v>
      </c>
      <c r="O3" s="46" t="s">
        <v>43</v>
      </c>
      <c r="P3" s="1623"/>
      <c r="Q3" s="46" t="s">
        <v>43</v>
      </c>
      <c r="R3" s="63" t="s">
        <v>3205</v>
      </c>
      <c r="S3" s="46" t="s">
        <v>43</v>
      </c>
      <c r="T3" s="1499"/>
      <c r="U3" s="1499"/>
      <c r="V3" s="1499"/>
      <c r="W3" s="63" t="s">
        <v>3208</v>
      </c>
      <c r="X3" s="1647"/>
      <c r="Y3" s="1423"/>
      <c r="Z3" s="1530"/>
      <c r="AA3" s="219">
        <v>20800000</v>
      </c>
    </row>
    <row r="4" spans="1:29" s="27" customFormat="1" ht="15.75" customHeight="1">
      <c r="A4" s="1423"/>
      <c r="B4" s="1524"/>
      <c r="C4" s="1423"/>
      <c r="D4" s="32" t="s">
        <v>3191</v>
      </c>
      <c r="E4" s="1423"/>
      <c r="F4" s="1423"/>
      <c r="G4" s="63" t="s">
        <v>3194</v>
      </c>
      <c r="H4" s="32" t="s">
        <v>2968</v>
      </c>
      <c r="I4" s="1508"/>
      <c r="J4" s="106" t="s">
        <v>11836</v>
      </c>
      <c r="K4" s="1518"/>
      <c r="L4" s="1423"/>
      <c r="M4" s="32" t="s">
        <v>14204</v>
      </c>
      <c r="N4" s="89" t="s">
        <v>14205</v>
      </c>
      <c r="O4" s="46" t="s">
        <v>43</v>
      </c>
      <c r="P4" s="1623"/>
      <c r="Q4" s="46" t="s">
        <v>43</v>
      </c>
      <c r="R4" s="63" t="s">
        <v>3204</v>
      </c>
      <c r="S4" s="46" t="s">
        <v>43</v>
      </c>
      <c r="T4" s="1500"/>
      <c r="U4" s="1500"/>
      <c r="V4" s="1500"/>
      <c r="W4" s="63" t="s">
        <v>3209</v>
      </c>
      <c r="X4" s="1534"/>
      <c r="Y4" s="1423"/>
      <c r="Z4" s="1530"/>
      <c r="AA4" s="219">
        <v>15680000</v>
      </c>
    </row>
    <row r="5" spans="1:29" s="27" customFormat="1" ht="15.75" customHeight="1">
      <c r="A5" s="1508"/>
      <c r="B5" s="1525"/>
      <c r="C5" s="1423"/>
      <c r="D5" s="32" t="s">
        <v>3191</v>
      </c>
      <c r="E5" s="1508"/>
      <c r="F5" s="1423"/>
      <c r="G5" s="46" t="s">
        <v>43</v>
      </c>
      <c r="H5" s="814" t="s">
        <v>15212</v>
      </c>
      <c r="I5" s="32" t="s">
        <v>45</v>
      </c>
      <c r="J5" s="47" t="s">
        <v>200</v>
      </c>
      <c r="K5" s="1519"/>
      <c r="L5" s="1508"/>
      <c r="M5" s="32" t="s">
        <v>3195</v>
      </c>
      <c r="N5" s="21" t="s">
        <v>3211</v>
      </c>
      <c r="O5" s="46" t="s">
        <v>43</v>
      </c>
      <c r="P5" s="1624"/>
      <c r="Q5" s="46" t="s">
        <v>43</v>
      </c>
      <c r="R5" s="63" t="s">
        <v>54</v>
      </c>
      <c r="S5" s="46" t="s">
        <v>43</v>
      </c>
      <c r="T5" s="46" t="s">
        <v>43</v>
      </c>
      <c r="U5" s="46" t="s">
        <v>43</v>
      </c>
      <c r="V5" s="46" t="s">
        <v>43</v>
      </c>
      <c r="W5" s="63" t="s">
        <v>1518</v>
      </c>
      <c r="X5" s="32" t="s">
        <v>56</v>
      </c>
      <c r="Y5" s="1508"/>
      <c r="Z5" s="1531"/>
      <c r="AA5" s="303">
        <v>0</v>
      </c>
    </row>
    <row r="6" spans="1:29" s="27" customFormat="1" ht="15.75" customHeight="1">
      <c r="A6" s="1422">
        <v>2</v>
      </c>
      <c r="B6" s="1512">
        <v>349</v>
      </c>
      <c r="C6" s="1423"/>
      <c r="D6" s="32" t="s">
        <v>3191</v>
      </c>
      <c r="E6" s="1422" t="s">
        <v>3196</v>
      </c>
      <c r="F6" s="1423"/>
      <c r="G6" s="63" t="s">
        <v>3197</v>
      </c>
      <c r="H6" s="32" t="s">
        <v>7950</v>
      </c>
      <c r="I6" s="32" t="s">
        <v>108</v>
      </c>
      <c r="J6" s="47" t="s">
        <v>205</v>
      </c>
      <c r="K6" s="1422" t="s">
        <v>15444</v>
      </c>
      <c r="L6" s="1422" t="s">
        <v>15445</v>
      </c>
      <c r="M6" s="32" t="s">
        <v>14207</v>
      </c>
      <c r="N6" s="32" t="s">
        <v>14206</v>
      </c>
      <c r="O6" s="46" t="s">
        <v>43</v>
      </c>
      <c r="P6" s="1520" t="s">
        <v>3203</v>
      </c>
      <c r="Q6" s="46" t="s">
        <v>43</v>
      </c>
      <c r="R6" s="63" t="s">
        <v>315</v>
      </c>
      <c r="S6" s="63" t="s">
        <v>2706</v>
      </c>
      <c r="T6" s="46" t="s">
        <v>43</v>
      </c>
      <c r="U6" s="46" t="s">
        <v>43</v>
      </c>
      <c r="V6" s="46" t="s">
        <v>43</v>
      </c>
      <c r="W6" s="46" t="s">
        <v>43</v>
      </c>
      <c r="X6" s="32" t="s">
        <v>299</v>
      </c>
      <c r="Y6" s="1529" t="s">
        <v>202</v>
      </c>
      <c r="Z6" s="1529" t="s">
        <v>242</v>
      </c>
      <c r="AA6" s="219">
        <v>4480000</v>
      </c>
    </row>
    <row r="7" spans="1:29" s="27" customFormat="1" ht="15.75" customHeight="1">
      <c r="A7" s="1423"/>
      <c r="B7" s="1621"/>
      <c r="C7" s="1423"/>
      <c r="D7" s="32" t="s">
        <v>3191</v>
      </c>
      <c r="E7" s="1423"/>
      <c r="F7" s="1423"/>
      <c r="G7" s="63">
        <v>609501</v>
      </c>
      <c r="H7" s="30" t="s">
        <v>195</v>
      </c>
      <c r="I7" s="32" t="s">
        <v>108</v>
      </c>
      <c r="J7" s="47" t="s">
        <v>199</v>
      </c>
      <c r="K7" s="1423"/>
      <c r="L7" s="1423"/>
      <c r="M7" s="32" t="s">
        <v>3198</v>
      </c>
      <c r="N7" s="21" t="s">
        <v>3202</v>
      </c>
      <c r="O7" s="46" t="s">
        <v>43</v>
      </c>
      <c r="P7" s="1521"/>
      <c r="Q7" s="46" t="s">
        <v>43</v>
      </c>
      <c r="R7" s="63" t="s">
        <v>297</v>
      </c>
      <c r="S7" s="63" t="s">
        <v>2706</v>
      </c>
      <c r="T7" s="46" t="s">
        <v>43</v>
      </c>
      <c r="U7" s="46" t="s">
        <v>43</v>
      </c>
      <c r="V7" s="46" t="s">
        <v>43</v>
      </c>
      <c r="W7" s="46" t="s">
        <v>43</v>
      </c>
      <c r="X7" s="32" t="s">
        <v>299</v>
      </c>
      <c r="Y7" s="1530"/>
      <c r="Z7" s="1530"/>
      <c r="AA7" s="219">
        <v>20800000</v>
      </c>
    </row>
    <row r="8" spans="1:29" ht="19.5">
      <c r="Z8" s="302" t="s">
        <v>9164</v>
      </c>
      <c r="AA8" s="321">
        <f>SUM(AA2:AA7)</f>
        <v>98160000</v>
      </c>
    </row>
    <row r="13" spans="1:29" ht="26.25" customHeight="1">
      <c r="A13" s="1459" t="s">
        <v>14163</v>
      </c>
      <c r="B13" s="1459"/>
      <c r="C13" s="1459"/>
      <c r="D13" s="1459"/>
      <c r="E13" s="1459"/>
      <c r="F13" s="1459"/>
      <c r="G13" s="1459"/>
    </row>
    <row r="14" spans="1:29" s="12" customFormat="1" ht="19.5">
      <c r="A14" s="34" t="s">
        <v>0</v>
      </c>
      <c r="B14" s="34" t="s">
        <v>5</v>
      </c>
      <c r="C14" s="34" t="s">
        <v>2</v>
      </c>
      <c r="D14" s="34" t="s">
        <v>3</v>
      </c>
      <c r="E14" s="1445" t="s">
        <v>88</v>
      </c>
      <c r="F14" s="1446"/>
      <c r="G14" s="34" t="s">
        <v>6</v>
      </c>
      <c r="H14" s="34" t="s">
        <v>7</v>
      </c>
      <c r="I14" s="34" t="s">
        <v>8</v>
      </c>
      <c r="J14" s="34" t="s">
        <v>196</v>
      </c>
      <c r="K14" s="34" t="s">
        <v>9</v>
      </c>
      <c r="L14" s="34" t="s">
        <v>11</v>
      </c>
      <c r="M14" s="34" t="s">
        <v>12</v>
      </c>
      <c r="N14" s="34" t="s">
        <v>216</v>
      </c>
      <c r="O14" s="34" t="s">
        <v>13</v>
      </c>
      <c r="P14" s="35" t="s">
        <v>14</v>
      </c>
      <c r="Q14" s="35" t="s">
        <v>217</v>
      </c>
      <c r="R14" s="35" t="s">
        <v>16</v>
      </c>
      <c r="S14" s="34" t="s">
        <v>17</v>
      </c>
      <c r="T14" s="34" t="s">
        <v>218</v>
      </c>
      <c r="U14" s="34" t="s">
        <v>22</v>
      </c>
      <c r="V14" s="36" t="s">
        <v>23</v>
      </c>
      <c r="W14" s="34" t="s">
        <v>24</v>
      </c>
      <c r="X14" s="58" t="s">
        <v>257</v>
      </c>
      <c r="Z14"/>
      <c r="AA14"/>
    </row>
    <row r="16" spans="1:29">
      <c r="I16" s="271" t="s">
        <v>12013</v>
      </c>
    </row>
    <row r="17" spans="9:9">
      <c r="I17" s="912" t="s">
        <v>15598</v>
      </c>
    </row>
    <row r="18" spans="9:9">
      <c r="I18" s="638"/>
    </row>
  </sheetData>
  <mergeCells count="25">
    <mergeCell ref="K2:K5"/>
    <mergeCell ref="K6:K7"/>
    <mergeCell ref="A2:A5"/>
    <mergeCell ref="A6:A7"/>
    <mergeCell ref="A13:G13"/>
    <mergeCell ref="B2:B5"/>
    <mergeCell ref="B6:B7"/>
    <mergeCell ref="C2:C7"/>
    <mergeCell ref="F2:F7"/>
    <mergeCell ref="E14:F14"/>
    <mergeCell ref="Y2:Y5"/>
    <mergeCell ref="Z2:Z5"/>
    <mergeCell ref="Y6:Y7"/>
    <mergeCell ref="Z6:Z7"/>
    <mergeCell ref="L2:L5"/>
    <mergeCell ref="L6:L7"/>
    <mergeCell ref="E2:E5"/>
    <mergeCell ref="E6:E7"/>
    <mergeCell ref="I2:I4"/>
    <mergeCell ref="X2:X4"/>
    <mergeCell ref="T2:T4"/>
    <mergeCell ref="U2:U4"/>
    <mergeCell ref="V2:V4"/>
    <mergeCell ref="P2:P5"/>
    <mergeCell ref="P6:P7"/>
  </mergeCells>
  <conditionalFormatting sqref="M6">
    <cfRule type="duplicateValues" dxfId="991" priority="58"/>
  </conditionalFormatting>
  <conditionalFormatting sqref="N1:N2 N4">
    <cfRule type="duplicateValues" dxfId="990" priority="61"/>
  </conditionalFormatting>
  <conditionalFormatting sqref="N3">
    <cfRule type="duplicateValues" dxfId="989" priority="55"/>
  </conditionalFormatting>
  <conditionalFormatting sqref="N5">
    <cfRule type="duplicateValues" dxfId="988" priority="54"/>
  </conditionalFormatting>
  <conditionalFormatting sqref="N6">
    <cfRule type="duplicateValues" dxfId="987" priority="59"/>
  </conditionalFormatting>
  <conditionalFormatting sqref="N7">
    <cfRule type="duplicateValues" dxfId="986" priority="53"/>
  </conditionalFormatting>
  <conditionalFormatting sqref="M14">
    <cfRule type="duplicateValues" dxfId="985" priority="3"/>
    <cfRule type="duplicateValues" dxfId="984" priority="4"/>
    <cfRule type="duplicateValues" dxfId="983" priority="5"/>
    <cfRule type="duplicateValues" dxfId="982" priority="6"/>
  </conditionalFormatting>
  <conditionalFormatting sqref="N14">
    <cfRule type="duplicateValues" dxfId="981" priority="7"/>
    <cfRule type="duplicateValues" dxfId="980" priority="8"/>
    <cfRule type="duplicateValues" dxfId="979" priority="9"/>
    <cfRule type="duplicateValues" dxfId="978" priority="10"/>
  </conditionalFormatting>
  <conditionalFormatting sqref="E14">
    <cfRule type="duplicateValues" dxfId="977" priority="11"/>
  </conditionalFormatting>
  <conditionalFormatting sqref="K14">
    <cfRule type="duplicateValues" dxfId="976" priority="12"/>
  </conditionalFormatting>
  <conditionalFormatting sqref="L14">
    <cfRule type="duplicateValues" dxfId="975" priority="13"/>
  </conditionalFormatting>
  <conditionalFormatting sqref="I17">
    <cfRule type="duplicateValues" dxfId="974" priority="2"/>
  </conditionalFormatting>
  <conditionalFormatting sqref="I18">
    <cfRule type="duplicateValues" dxfId="973" priority="1"/>
  </conditionalFormatting>
  <conditionalFormatting sqref="M7 M1:M5">
    <cfRule type="duplicateValues" dxfId="972" priority="4422"/>
    <cfRule type="duplicateValues" dxfId="971" priority="4423"/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43"/>
  <sheetViews>
    <sheetView rightToLeft="1" topLeftCell="A4" workbookViewId="0">
      <selection activeCell="D28" sqref="D28:D30"/>
    </sheetView>
  </sheetViews>
  <sheetFormatPr defaultRowHeight="15"/>
  <cols>
    <col min="5" max="5" width="13" customWidth="1"/>
    <col min="6" max="6" width="15.140625" customWidth="1"/>
    <col min="7" max="7" width="15.28515625" customWidth="1"/>
    <col min="8" max="8" width="20.5703125" customWidth="1"/>
    <col min="9" max="9" width="21.42578125" bestFit="1" customWidth="1"/>
    <col min="11" max="11" width="45.5703125" customWidth="1"/>
    <col min="12" max="12" width="38.85546875" customWidth="1"/>
    <col min="13" max="13" width="22.42578125" customWidth="1"/>
    <col min="14" max="14" width="65.85546875" customWidth="1"/>
    <col min="15" max="15" width="18" customWidth="1"/>
    <col min="16" max="16" width="30" customWidth="1"/>
    <col min="20" max="20" width="24" customWidth="1"/>
    <col min="21" max="21" width="32.7109375" customWidth="1"/>
    <col min="22" max="22" width="18.42578125" customWidth="1"/>
    <col min="23" max="23" width="29.85546875" customWidth="1"/>
    <col min="24" max="24" width="59.7109375" customWidth="1"/>
    <col min="25" max="25" width="23.7109375" customWidth="1"/>
    <col min="26" max="26" width="27.28515625" customWidth="1"/>
    <col min="27" max="27" width="26.140625" customWidth="1"/>
    <col min="28" max="28" width="78" bestFit="1" customWidth="1"/>
  </cols>
  <sheetData>
    <row r="1" spans="1:27" s="83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83" customFormat="1" ht="15.75" customHeight="1">
      <c r="A2" s="1533">
        <v>1</v>
      </c>
      <c r="B2" s="1523">
        <v>279</v>
      </c>
      <c r="C2" s="1533" t="s">
        <v>3212</v>
      </c>
      <c r="D2" s="1694" t="s">
        <v>3213</v>
      </c>
      <c r="E2" s="1697" t="s">
        <v>3214</v>
      </c>
      <c r="F2" s="1533" t="s">
        <v>3212</v>
      </c>
      <c r="G2" s="85" t="s">
        <v>9158</v>
      </c>
      <c r="H2" s="21" t="s">
        <v>28</v>
      </c>
      <c r="I2" s="1533" t="s">
        <v>2329</v>
      </c>
      <c r="J2" s="106" t="s">
        <v>7736</v>
      </c>
      <c r="K2" s="1648" t="s">
        <v>3215</v>
      </c>
      <c r="L2" s="1533" t="s">
        <v>14386</v>
      </c>
      <c r="M2" s="81" t="s">
        <v>3216</v>
      </c>
      <c r="N2" s="81" t="s">
        <v>3286</v>
      </c>
      <c r="O2" s="46" t="s">
        <v>43</v>
      </c>
      <c r="P2" s="1651" t="s">
        <v>3287</v>
      </c>
      <c r="Q2" s="103"/>
      <c r="R2" s="103" t="s">
        <v>3217</v>
      </c>
      <c r="S2" s="103"/>
      <c r="T2" s="1498" t="s">
        <v>4762</v>
      </c>
      <c r="U2" s="1533" t="s">
        <v>4763</v>
      </c>
      <c r="V2" s="1641" t="s">
        <v>1534</v>
      </c>
      <c r="W2" s="103" t="s">
        <v>3218</v>
      </c>
      <c r="X2" s="1533" t="s">
        <v>4764</v>
      </c>
      <c r="Y2" s="1641" t="s">
        <v>2279</v>
      </c>
      <c r="Z2" s="1641" t="s">
        <v>484</v>
      </c>
      <c r="AA2" s="293">
        <v>56550000</v>
      </c>
    </row>
    <row r="3" spans="1:27" s="83" customFormat="1" ht="15.75" customHeight="1">
      <c r="A3" s="1647"/>
      <c r="B3" s="1524"/>
      <c r="C3" s="1647"/>
      <c r="D3" s="1695"/>
      <c r="E3" s="1699"/>
      <c r="F3" s="1647"/>
      <c r="G3" s="85" t="s">
        <v>9289</v>
      </c>
      <c r="H3" s="30" t="s">
        <v>195</v>
      </c>
      <c r="I3" s="1647"/>
      <c r="J3" s="82" t="s">
        <v>204</v>
      </c>
      <c r="K3" s="1649"/>
      <c r="L3" s="1647"/>
      <c r="M3" s="81" t="s">
        <v>3219</v>
      </c>
      <c r="N3" s="21" t="s">
        <v>3289</v>
      </c>
      <c r="O3" s="46" t="s">
        <v>43</v>
      </c>
      <c r="P3" s="1653"/>
      <c r="Q3" s="103"/>
      <c r="R3" s="103" t="s">
        <v>3220</v>
      </c>
      <c r="S3" s="103"/>
      <c r="T3" s="1499"/>
      <c r="U3" s="1647"/>
      <c r="V3" s="1642"/>
      <c r="W3" s="103" t="s">
        <v>3221</v>
      </c>
      <c r="X3" s="1647"/>
      <c r="Y3" s="1642"/>
      <c r="Z3" s="1642"/>
      <c r="AA3" s="293">
        <v>36400000</v>
      </c>
    </row>
    <row r="4" spans="1:27" s="83" customFormat="1" ht="15.75" customHeight="1">
      <c r="A4" s="1647"/>
      <c r="B4" s="1524"/>
      <c r="C4" s="1647"/>
      <c r="D4" s="1695"/>
      <c r="E4" s="1699"/>
      <c r="F4" s="1647"/>
      <c r="G4" s="85" t="s">
        <v>3222</v>
      </c>
      <c r="H4" s="218" t="s">
        <v>7763</v>
      </c>
      <c r="I4" s="1647"/>
      <c r="J4" s="82" t="s">
        <v>197</v>
      </c>
      <c r="K4" s="1649"/>
      <c r="L4" s="1647"/>
      <c r="M4" s="81" t="s">
        <v>3223</v>
      </c>
      <c r="N4" s="81" t="s">
        <v>14448</v>
      </c>
      <c r="O4" s="46" t="s">
        <v>43</v>
      </c>
      <c r="P4" s="1653"/>
      <c r="Q4" s="103"/>
      <c r="R4" s="103" t="s">
        <v>3224</v>
      </c>
      <c r="S4" s="103"/>
      <c r="T4" s="1499"/>
      <c r="U4" s="1647"/>
      <c r="V4" s="1642"/>
      <c r="W4" s="103" t="s">
        <v>3225</v>
      </c>
      <c r="X4" s="1647"/>
      <c r="Y4" s="1642"/>
      <c r="Z4" s="1642"/>
      <c r="AA4" s="293">
        <v>96000000</v>
      </c>
    </row>
    <row r="5" spans="1:27" s="83" customFormat="1" ht="15.75" customHeight="1">
      <c r="A5" s="1534"/>
      <c r="B5" s="1525"/>
      <c r="C5" s="1647"/>
      <c r="D5" s="1696"/>
      <c r="E5" s="1698"/>
      <c r="F5" s="1647"/>
      <c r="G5" s="46" t="s">
        <v>43</v>
      </c>
      <c r="H5" s="81" t="s">
        <v>51</v>
      </c>
      <c r="I5" s="81" t="s">
        <v>45</v>
      </c>
      <c r="J5" s="82" t="s">
        <v>11886</v>
      </c>
      <c r="K5" s="1650"/>
      <c r="L5" s="1534"/>
      <c r="M5" s="81" t="s">
        <v>3231</v>
      </c>
      <c r="N5" s="21" t="s">
        <v>3288</v>
      </c>
      <c r="O5" s="46" t="s">
        <v>43</v>
      </c>
      <c r="P5" s="1652"/>
      <c r="Q5" s="103"/>
      <c r="R5" s="103" t="s">
        <v>2258</v>
      </c>
      <c r="S5" s="103"/>
      <c r="T5" s="46" t="s">
        <v>43</v>
      </c>
      <c r="U5" s="46" t="s">
        <v>43</v>
      </c>
      <c r="V5" s="46" t="s">
        <v>43</v>
      </c>
      <c r="W5" s="103" t="s">
        <v>3232</v>
      </c>
      <c r="X5" s="81" t="s">
        <v>56</v>
      </c>
      <c r="Y5" s="1643"/>
      <c r="Z5" s="1643"/>
      <c r="AA5" s="293">
        <v>0</v>
      </c>
    </row>
    <row r="6" spans="1:27" s="83" customFormat="1" ht="15.75" customHeight="1">
      <c r="A6" s="1533">
        <v>2</v>
      </c>
      <c r="B6" s="1644">
        <v>284</v>
      </c>
      <c r="C6" s="1647"/>
      <c r="D6" s="1694" t="s">
        <v>3233</v>
      </c>
      <c r="E6" s="1697" t="s">
        <v>3233</v>
      </c>
      <c r="F6" s="1647"/>
      <c r="G6" s="85" t="s">
        <v>9290</v>
      </c>
      <c r="H6" s="218" t="s">
        <v>7763</v>
      </c>
      <c r="I6" s="81" t="s">
        <v>60</v>
      </c>
      <c r="J6" s="82" t="s">
        <v>199</v>
      </c>
      <c r="K6" s="1668" t="s">
        <v>14442</v>
      </c>
      <c r="L6" s="1668" t="s">
        <v>14443</v>
      </c>
      <c r="M6" s="81" t="s">
        <v>3234</v>
      </c>
      <c r="N6" s="81" t="s">
        <v>15751</v>
      </c>
      <c r="O6" s="46" t="s">
        <v>43</v>
      </c>
      <c r="P6" s="1651" t="s">
        <v>3291</v>
      </c>
      <c r="Q6" s="103"/>
      <c r="R6" s="103" t="s">
        <v>166</v>
      </c>
      <c r="S6" s="103"/>
      <c r="T6" s="46" t="s">
        <v>43</v>
      </c>
      <c r="U6" s="46" t="s">
        <v>43</v>
      </c>
      <c r="V6" s="46" t="s">
        <v>43</v>
      </c>
      <c r="W6" s="46" t="s">
        <v>43</v>
      </c>
      <c r="X6" s="81" t="s">
        <v>167</v>
      </c>
      <c r="Y6" s="1533" t="s">
        <v>202</v>
      </c>
      <c r="Z6" s="1533" t="s">
        <v>65</v>
      </c>
      <c r="AA6" s="293">
        <v>25600000</v>
      </c>
    </row>
    <row r="7" spans="1:27" s="83" customFormat="1" ht="15.75" customHeight="1">
      <c r="A7" s="1647"/>
      <c r="B7" s="1646"/>
      <c r="C7" s="1647"/>
      <c r="D7" s="1695"/>
      <c r="E7" s="1699"/>
      <c r="F7" s="1647"/>
      <c r="G7" s="85" t="s">
        <v>9291</v>
      </c>
      <c r="H7" s="30" t="s">
        <v>195</v>
      </c>
      <c r="I7" s="81" t="s">
        <v>108</v>
      </c>
      <c r="J7" s="82" t="s">
        <v>199</v>
      </c>
      <c r="K7" s="1668"/>
      <c r="L7" s="1668"/>
      <c r="M7" s="81" t="s">
        <v>3235</v>
      </c>
      <c r="N7" s="21" t="s">
        <v>3290</v>
      </c>
      <c r="O7" s="46" t="s">
        <v>43</v>
      </c>
      <c r="P7" s="1653"/>
      <c r="Q7" s="103"/>
      <c r="R7" s="103" t="s">
        <v>68</v>
      </c>
      <c r="S7" s="103"/>
      <c r="T7" s="46" t="s">
        <v>43</v>
      </c>
      <c r="U7" s="46" t="s">
        <v>43</v>
      </c>
      <c r="V7" s="46" t="s">
        <v>43</v>
      </c>
      <c r="W7" s="46" t="s">
        <v>43</v>
      </c>
      <c r="X7" s="81" t="s">
        <v>3236</v>
      </c>
      <c r="Y7" s="1647"/>
      <c r="Z7" s="1647"/>
      <c r="AA7" s="293">
        <v>20800000</v>
      </c>
    </row>
    <row r="8" spans="1:27" s="83" customFormat="1" ht="15.75" customHeight="1">
      <c r="A8" s="1533">
        <v>3</v>
      </c>
      <c r="B8" s="1644">
        <v>285</v>
      </c>
      <c r="C8" s="1647"/>
      <c r="D8" s="1694" t="s">
        <v>3237</v>
      </c>
      <c r="E8" s="1697" t="s">
        <v>3237</v>
      </c>
      <c r="F8" s="1647"/>
      <c r="G8" s="85" t="s">
        <v>3238</v>
      </c>
      <c r="H8" s="218" t="s">
        <v>7763</v>
      </c>
      <c r="I8" s="81" t="s">
        <v>60</v>
      </c>
      <c r="J8" s="82" t="s">
        <v>199</v>
      </c>
      <c r="K8" s="1668" t="s">
        <v>14444</v>
      </c>
      <c r="L8" s="1668" t="s">
        <v>14445</v>
      </c>
      <c r="M8" s="81" t="s">
        <v>3239</v>
      </c>
      <c r="N8" s="81" t="s">
        <v>15750</v>
      </c>
      <c r="O8" s="46" t="s">
        <v>43</v>
      </c>
      <c r="P8" s="1651" t="s">
        <v>3293</v>
      </c>
      <c r="Q8" s="103"/>
      <c r="R8" s="103" t="s">
        <v>166</v>
      </c>
      <c r="S8" s="103"/>
      <c r="T8" s="46" t="s">
        <v>43</v>
      </c>
      <c r="U8" s="46" t="s">
        <v>43</v>
      </c>
      <c r="V8" s="46" t="s">
        <v>43</v>
      </c>
      <c r="W8" s="46" t="s">
        <v>43</v>
      </c>
      <c r="X8" s="81" t="s">
        <v>167</v>
      </c>
      <c r="Y8" s="1641" t="s">
        <v>202</v>
      </c>
      <c r="Z8" s="1641" t="s">
        <v>65</v>
      </c>
      <c r="AA8" s="293">
        <v>25600000</v>
      </c>
    </row>
    <row r="9" spans="1:27" s="83" customFormat="1" ht="15.75" customHeight="1">
      <c r="A9" s="1534"/>
      <c r="B9" s="1645"/>
      <c r="C9" s="1647"/>
      <c r="D9" s="1696"/>
      <c r="E9" s="1698"/>
      <c r="F9" s="1647"/>
      <c r="G9" s="85" t="s">
        <v>3240</v>
      </c>
      <c r="H9" s="30" t="s">
        <v>195</v>
      </c>
      <c r="I9" s="81" t="s">
        <v>108</v>
      </c>
      <c r="J9" s="82" t="s">
        <v>199</v>
      </c>
      <c r="K9" s="1668"/>
      <c r="L9" s="1668"/>
      <c r="M9" s="81" t="s">
        <v>3241</v>
      </c>
      <c r="N9" s="21" t="s">
        <v>3292</v>
      </c>
      <c r="O9" s="46" t="s">
        <v>43</v>
      </c>
      <c r="P9" s="1652"/>
      <c r="Q9" s="103"/>
      <c r="R9" s="103" t="s">
        <v>68</v>
      </c>
      <c r="S9" s="103"/>
      <c r="T9" s="46" t="s">
        <v>43</v>
      </c>
      <c r="U9" s="46" t="s">
        <v>43</v>
      </c>
      <c r="V9" s="46" t="s">
        <v>43</v>
      </c>
      <c r="W9" s="46" t="s">
        <v>43</v>
      </c>
      <c r="X9" s="81" t="s">
        <v>3236</v>
      </c>
      <c r="Y9" s="1643"/>
      <c r="Z9" s="1643"/>
      <c r="AA9" s="293">
        <v>20800000</v>
      </c>
    </row>
    <row r="10" spans="1:27" s="83" customFormat="1" ht="15.75" customHeight="1">
      <c r="A10" s="1533">
        <v>4</v>
      </c>
      <c r="B10" s="1644">
        <v>286</v>
      </c>
      <c r="C10" s="1647"/>
      <c r="D10" s="1694" t="s">
        <v>3242</v>
      </c>
      <c r="E10" s="1697" t="s">
        <v>3242</v>
      </c>
      <c r="F10" s="1647"/>
      <c r="G10" s="85" t="s">
        <v>9292</v>
      </c>
      <c r="H10" s="218" t="s">
        <v>7763</v>
      </c>
      <c r="I10" s="81" t="s">
        <v>60</v>
      </c>
      <c r="J10" s="82" t="s">
        <v>204</v>
      </c>
      <c r="K10" s="1450" t="s">
        <v>14446</v>
      </c>
      <c r="L10" s="1533" t="s">
        <v>14447</v>
      </c>
      <c r="M10" s="81" t="s">
        <v>3243</v>
      </c>
      <c r="N10" s="81" t="s">
        <v>15749</v>
      </c>
      <c r="O10" s="46" t="s">
        <v>43</v>
      </c>
      <c r="P10" s="1651" t="s">
        <v>3295</v>
      </c>
      <c r="Q10" s="103"/>
      <c r="R10" s="103" t="s">
        <v>166</v>
      </c>
      <c r="S10" s="103"/>
      <c r="T10" s="46" t="s">
        <v>43</v>
      </c>
      <c r="U10" s="46" t="s">
        <v>43</v>
      </c>
      <c r="V10" s="46" t="s">
        <v>43</v>
      </c>
      <c r="W10" s="46" t="s">
        <v>43</v>
      </c>
      <c r="X10" s="81" t="s">
        <v>167</v>
      </c>
      <c r="Y10" s="1641" t="s">
        <v>202</v>
      </c>
      <c r="Z10" s="1641" t="s">
        <v>65</v>
      </c>
      <c r="AA10" s="293">
        <v>44800000</v>
      </c>
    </row>
    <row r="11" spans="1:27" s="83" customFormat="1" ht="15.75" customHeight="1">
      <c r="A11" s="1534"/>
      <c r="B11" s="1645"/>
      <c r="C11" s="1647"/>
      <c r="D11" s="1696"/>
      <c r="E11" s="1698"/>
      <c r="F11" s="1647"/>
      <c r="G11" s="103" t="s">
        <v>3244</v>
      </c>
      <c r="H11" s="30" t="s">
        <v>195</v>
      </c>
      <c r="I11" s="81" t="s">
        <v>108</v>
      </c>
      <c r="J11" s="82" t="s">
        <v>199</v>
      </c>
      <c r="K11" s="1619"/>
      <c r="L11" s="1534"/>
      <c r="M11" s="81" t="s">
        <v>3245</v>
      </c>
      <c r="N11" s="21" t="s">
        <v>3294</v>
      </c>
      <c r="O11" s="46" t="s">
        <v>43</v>
      </c>
      <c r="P11" s="1652"/>
      <c r="Q11" s="103"/>
      <c r="R11" s="103" t="s">
        <v>255</v>
      </c>
      <c r="S11" s="103"/>
      <c r="T11" s="46" t="s">
        <v>43</v>
      </c>
      <c r="U11" s="46" t="s">
        <v>43</v>
      </c>
      <c r="V11" s="46" t="s">
        <v>43</v>
      </c>
      <c r="W11" s="46" t="s">
        <v>43</v>
      </c>
      <c r="X11" s="81" t="s">
        <v>170</v>
      </c>
      <c r="Y11" s="1643"/>
      <c r="Z11" s="1643"/>
      <c r="AA11" s="293">
        <v>20800000</v>
      </c>
    </row>
    <row r="12" spans="1:27" s="83" customFormat="1" ht="15.75" customHeight="1">
      <c r="A12" s="1533">
        <v>5</v>
      </c>
      <c r="B12" s="1644">
        <v>302</v>
      </c>
      <c r="C12" s="1647"/>
      <c r="D12" s="1694" t="s">
        <v>3213</v>
      </c>
      <c r="E12" s="1697" t="s">
        <v>3246</v>
      </c>
      <c r="F12" s="1647"/>
      <c r="G12" s="85" t="s">
        <v>9293</v>
      </c>
      <c r="H12" s="218" t="s">
        <v>7763</v>
      </c>
      <c r="I12" s="81" t="s">
        <v>60</v>
      </c>
      <c r="J12" s="82" t="s">
        <v>199</v>
      </c>
      <c r="K12" s="1533" t="s">
        <v>14797</v>
      </c>
      <c r="L12" s="1533" t="s">
        <v>14798</v>
      </c>
      <c r="M12" s="84" t="s">
        <v>3247</v>
      </c>
      <c r="N12" s="81" t="s">
        <v>15748</v>
      </c>
      <c r="O12" s="46" t="s">
        <v>43</v>
      </c>
      <c r="P12" s="1651" t="s">
        <v>3298</v>
      </c>
      <c r="Q12" s="103"/>
      <c r="R12" s="103" t="s">
        <v>397</v>
      </c>
      <c r="S12" s="103"/>
      <c r="T12" s="46" t="s">
        <v>43</v>
      </c>
      <c r="U12" s="46" t="s">
        <v>43</v>
      </c>
      <c r="V12" s="46" t="s">
        <v>43</v>
      </c>
      <c r="W12" s="46" t="s">
        <v>43</v>
      </c>
      <c r="X12" s="81" t="s">
        <v>167</v>
      </c>
      <c r="Y12" s="1533" t="s">
        <v>202</v>
      </c>
      <c r="Z12" s="1533" t="s">
        <v>65</v>
      </c>
      <c r="AA12" s="293">
        <v>17600000</v>
      </c>
    </row>
    <row r="13" spans="1:27" s="83" customFormat="1" ht="15.75" customHeight="1">
      <c r="A13" s="1647"/>
      <c r="B13" s="1646"/>
      <c r="C13" s="1647"/>
      <c r="D13" s="1695"/>
      <c r="E13" s="1699"/>
      <c r="F13" s="1647"/>
      <c r="G13" s="85">
        <v>609606</v>
      </c>
      <c r="H13" s="30" t="s">
        <v>195</v>
      </c>
      <c r="I13" s="81" t="s">
        <v>108</v>
      </c>
      <c r="J13" s="82" t="s">
        <v>199</v>
      </c>
      <c r="K13" s="1647"/>
      <c r="L13" s="1647"/>
      <c r="M13" s="84" t="s">
        <v>3248</v>
      </c>
      <c r="N13" s="21" t="s">
        <v>3296</v>
      </c>
      <c r="O13" s="46" t="s">
        <v>43</v>
      </c>
      <c r="P13" s="1653"/>
      <c r="Q13" s="103"/>
      <c r="R13" s="103" t="s">
        <v>68</v>
      </c>
      <c r="S13" s="103"/>
      <c r="T13" s="46" t="s">
        <v>43</v>
      </c>
      <c r="U13" s="46" t="s">
        <v>43</v>
      </c>
      <c r="V13" s="46" t="s">
        <v>43</v>
      </c>
      <c r="W13" s="46" t="s">
        <v>43</v>
      </c>
      <c r="X13" s="81" t="s">
        <v>3249</v>
      </c>
      <c r="Y13" s="1647"/>
      <c r="Z13" s="1647"/>
      <c r="AA13" s="293">
        <v>20800000</v>
      </c>
    </row>
    <row r="14" spans="1:27" s="83" customFormat="1" ht="15.75" customHeight="1">
      <c r="A14" s="1534"/>
      <c r="B14" s="1645"/>
      <c r="C14" s="1647"/>
      <c r="D14" s="1696"/>
      <c r="E14" s="1698"/>
      <c r="F14" s="1647"/>
      <c r="G14" s="46" t="s">
        <v>43</v>
      </c>
      <c r="H14" s="81" t="s">
        <v>51</v>
      </c>
      <c r="I14" s="81" t="s">
        <v>45</v>
      </c>
      <c r="J14" s="82" t="s">
        <v>11886</v>
      </c>
      <c r="K14" s="1534"/>
      <c r="L14" s="1534"/>
      <c r="M14" s="81" t="s">
        <v>3250</v>
      </c>
      <c r="N14" s="21" t="s">
        <v>3297</v>
      </c>
      <c r="O14" s="46" t="s">
        <v>43</v>
      </c>
      <c r="P14" s="1652"/>
      <c r="Q14" s="103"/>
      <c r="R14" s="103" t="s">
        <v>338</v>
      </c>
      <c r="S14" s="103"/>
      <c r="T14" s="46" t="s">
        <v>43</v>
      </c>
      <c r="U14" s="46" t="s">
        <v>43</v>
      </c>
      <c r="V14" s="46" t="s">
        <v>43</v>
      </c>
      <c r="W14" s="103" t="s">
        <v>1735</v>
      </c>
      <c r="X14" s="81" t="s">
        <v>56</v>
      </c>
      <c r="Y14" s="1534"/>
      <c r="Z14" s="1534"/>
      <c r="AA14" s="293">
        <v>0</v>
      </c>
    </row>
    <row r="15" spans="1:27" s="83" customFormat="1" ht="15.75" customHeight="1">
      <c r="A15" s="1533">
        <v>6</v>
      </c>
      <c r="B15" s="1644">
        <v>303</v>
      </c>
      <c r="C15" s="1647"/>
      <c r="D15" s="1694" t="s">
        <v>3251</v>
      </c>
      <c r="E15" s="1697" t="s">
        <v>3251</v>
      </c>
      <c r="F15" s="1647"/>
      <c r="G15" s="85" t="s">
        <v>3252</v>
      </c>
      <c r="H15" s="218" t="s">
        <v>7763</v>
      </c>
      <c r="I15" s="81" t="s">
        <v>60</v>
      </c>
      <c r="J15" s="82" t="s">
        <v>199</v>
      </c>
      <c r="K15" s="1533" t="s">
        <v>14799</v>
      </c>
      <c r="L15" s="1533" t="s">
        <v>14800</v>
      </c>
      <c r="M15" s="84" t="s">
        <v>3253</v>
      </c>
      <c r="N15" s="81" t="s">
        <v>15747</v>
      </c>
      <c r="O15" s="46" t="s">
        <v>43</v>
      </c>
      <c r="P15" s="1651" t="s">
        <v>3301</v>
      </c>
      <c r="Q15" s="103"/>
      <c r="R15" s="103" t="s">
        <v>166</v>
      </c>
      <c r="S15" s="103"/>
      <c r="T15" s="46" t="s">
        <v>43</v>
      </c>
      <c r="U15" s="46" t="s">
        <v>43</v>
      </c>
      <c r="V15" s="46" t="s">
        <v>43</v>
      </c>
      <c r="W15" s="46" t="s">
        <v>43</v>
      </c>
      <c r="X15" s="81" t="s">
        <v>167</v>
      </c>
      <c r="Y15" s="1533" t="s">
        <v>202</v>
      </c>
      <c r="Z15" s="1533" t="s">
        <v>65</v>
      </c>
      <c r="AA15" s="293">
        <v>25600000</v>
      </c>
    </row>
    <row r="16" spans="1:27" s="83" customFormat="1" ht="15.75" customHeight="1">
      <c r="A16" s="1647"/>
      <c r="B16" s="1646"/>
      <c r="C16" s="1647"/>
      <c r="D16" s="1695"/>
      <c r="E16" s="1699"/>
      <c r="F16" s="1647"/>
      <c r="G16" s="85">
        <v>609607</v>
      </c>
      <c r="H16" s="30" t="s">
        <v>195</v>
      </c>
      <c r="I16" s="81" t="s">
        <v>108</v>
      </c>
      <c r="J16" s="82" t="s">
        <v>199</v>
      </c>
      <c r="K16" s="1647"/>
      <c r="L16" s="1647"/>
      <c r="M16" s="84" t="s">
        <v>3254</v>
      </c>
      <c r="N16" s="21" t="s">
        <v>3299</v>
      </c>
      <c r="O16" s="46" t="s">
        <v>43</v>
      </c>
      <c r="P16" s="1653"/>
      <c r="Q16" s="103"/>
      <c r="R16" s="103" t="s">
        <v>68</v>
      </c>
      <c r="S16" s="103"/>
      <c r="T16" s="46" t="s">
        <v>43</v>
      </c>
      <c r="U16" s="46" t="s">
        <v>43</v>
      </c>
      <c r="V16" s="46" t="s">
        <v>43</v>
      </c>
      <c r="W16" s="46" t="s">
        <v>43</v>
      </c>
      <c r="X16" s="81" t="s">
        <v>3236</v>
      </c>
      <c r="Y16" s="1647"/>
      <c r="Z16" s="1647"/>
      <c r="AA16" s="293">
        <v>20800000</v>
      </c>
    </row>
    <row r="17" spans="1:27" s="83" customFormat="1" ht="15.75" customHeight="1">
      <c r="A17" s="1534"/>
      <c r="B17" s="1645"/>
      <c r="C17" s="1647"/>
      <c r="D17" s="1696"/>
      <c r="E17" s="1698"/>
      <c r="F17" s="1647"/>
      <c r="G17" s="46" t="s">
        <v>43</v>
      </c>
      <c r="H17" s="81" t="s">
        <v>51</v>
      </c>
      <c r="I17" s="81" t="s">
        <v>45</v>
      </c>
      <c r="J17" s="82" t="s">
        <v>11886</v>
      </c>
      <c r="K17" s="1534"/>
      <c r="L17" s="1534"/>
      <c r="M17" s="84" t="s">
        <v>3255</v>
      </c>
      <c r="N17" s="21" t="s">
        <v>3300</v>
      </c>
      <c r="O17" s="46" t="s">
        <v>43</v>
      </c>
      <c r="P17" s="1652"/>
      <c r="Q17" s="103"/>
      <c r="R17" s="103" t="s">
        <v>338</v>
      </c>
      <c r="S17" s="103"/>
      <c r="T17" s="46" t="s">
        <v>43</v>
      </c>
      <c r="U17" s="46" t="s">
        <v>43</v>
      </c>
      <c r="V17" s="46" t="s">
        <v>43</v>
      </c>
      <c r="W17" s="103" t="s">
        <v>1518</v>
      </c>
      <c r="X17" s="81" t="s">
        <v>56</v>
      </c>
      <c r="Y17" s="1534"/>
      <c r="Z17" s="1534"/>
      <c r="AA17" s="293">
        <v>0</v>
      </c>
    </row>
    <row r="18" spans="1:27" s="83" customFormat="1" ht="15.75" customHeight="1">
      <c r="A18" s="1533">
        <v>7</v>
      </c>
      <c r="B18" s="1644">
        <v>305</v>
      </c>
      <c r="C18" s="1647"/>
      <c r="D18" s="1694" t="s">
        <v>3213</v>
      </c>
      <c r="E18" s="1697" t="s">
        <v>3256</v>
      </c>
      <c r="F18" s="1647"/>
      <c r="G18" s="770" t="s">
        <v>14944</v>
      </c>
      <c r="H18" s="30" t="s">
        <v>195</v>
      </c>
      <c r="I18" s="81" t="s">
        <v>29</v>
      </c>
      <c r="J18" s="82" t="s">
        <v>199</v>
      </c>
      <c r="K18" s="1533" t="s">
        <v>14801</v>
      </c>
      <c r="L18" s="1533" t="s">
        <v>14802</v>
      </c>
      <c r="M18" s="84" t="s">
        <v>3257</v>
      </c>
      <c r="N18" s="21" t="s">
        <v>14803</v>
      </c>
      <c r="O18" s="46" t="s">
        <v>43</v>
      </c>
      <c r="P18" s="1651" t="s">
        <v>3302</v>
      </c>
      <c r="Q18" s="103"/>
      <c r="R18" s="103" t="s">
        <v>68</v>
      </c>
      <c r="S18" s="103"/>
      <c r="T18" s="107" t="s">
        <v>3324</v>
      </c>
      <c r="U18" s="105" t="s">
        <v>4858</v>
      </c>
      <c r="V18" s="105" t="s">
        <v>43</v>
      </c>
      <c r="W18" s="46" t="s">
        <v>43</v>
      </c>
      <c r="X18" s="81" t="s">
        <v>3258</v>
      </c>
      <c r="Y18" s="1641" t="s">
        <v>202</v>
      </c>
      <c r="Z18" s="1641" t="s">
        <v>65</v>
      </c>
      <c r="AA18" s="293">
        <v>20800000</v>
      </c>
    </row>
    <row r="19" spans="1:27" s="83" customFormat="1" ht="15.75" customHeight="1">
      <c r="A19" s="1534"/>
      <c r="B19" s="1645"/>
      <c r="C19" s="1647"/>
      <c r="D19" s="1696"/>
      <c r="E19" s="1698"/>
      <c r="F19" s="1647"/>
      <c r="G19" s="46" t="s">
        <v>43</v>
      </c>
      <c r="H19" s="81" t="s">
        <v>44</v>
      </c>
      <c r="I19" s="81" t="s">
        <v>45</v>
      </c>
      <c r="J19" s="82" t="s">
        <v>199</v>
      </c>
      <c r="K19" s="1534"/>
      <c r="L19" s="1534"/>
      <c r="M19" s="84" t="s">
        <v>3259</v>
      </c>
      <c r="N19" s="81" t="s">
        <v>3303</v>
      </c>
      <c r="O19" s="46" t="s">
        <v>43</v>
      </c>
      <c r="P19" s="1652"/>
      <c r="Q19" s="103"/>
      <c r="R19" s="103" t="s">
        <v>3260</v>
      </c>
      <c r="S19" s="103"/>
      <c r="T19" s="46" t="s">
        <v>43</v>
      </c>
      <c r="U19" s="46" t="s">
        <v>43</v>
      </c>
      <c r="V19" s="46" t="s">
        <v>43</v>
      </c>
      <c r="W19" s="103" t="s">
        <v>3261</v>
      </c>
      <c r="X19" s="81" t="s">
        <v>50</v>
      </c>
      <c r="Y19" s="1643"/>
      <c r="Z19" s="1643"/>
      <c r="AA19" s="293">
        <v>0</v>
      </c>
    </row>
    <row r="20" spans="1:27" s="83" customFormat="1" ht="15.75" customHeight="1">
      <c r="A20" s="1533">
        <v>8</v>
      </c>
      <c r="B20" s="1644">
        <v>306</v>
      </c>
      <c r="C20" s="1647"/>
      <c r="D20" s="1694" t="s">
        <v>3262</v>
      </c>
      <c r="E20" s="1697" t="s">
        <v>3262</v>
      </c>
      <c r="F20" s="1647"/>
      <c r="G20" s="85" t="s">
        <v>9294</v>
      </c>
      <c r="H20" s="218" t="s">
        <v>7763</v>
      </c>
      <c r="I20" s="81" t="s">
        <v>60</v>
      </c>
      <c r="J20" s="82" t="s">
        <v>205</v>
      </c>
      <c r="K20" s="1533" t="s">
        <v>14804</v>
      </c>
      <c r="L20" s="1533" t="s">
        <v>14805</v>
      </c>
      <c r="M20" s="84" t="s">
        <v>3263</v>
      </c>
      <c r="N20" s="81" t="s">
        <v>15746</v>
      </c>
      <c r="O20" s="46" t="s">
        <v>43</v>
      </c>
      <c r="P20" s="1651" t="s">
        <v>3305</v>
      </c>
      <c r="Q20" s="103"/>
      <c r="R20" s="103" t="s">
        <v>166</v>
      </c>
      <c r="S20" s="103"/>
      <c r="T20" s="46" t="s">
        <v>43</v>
      </c>
      <c r="U20" s="46" t="s">
        <v>43</v>
      </c>
      <c r="V20" s="46" t="s">
        <v>43</v>
      </c>
      <c r="W20" s="46" t="s">
        <v>43</v>
      </c>
      <c r="X20" s="81" t="s">
        <v>167</v>
      </c>
      <c r="Y20" s="1641" t="s">
        <v>202</v>
      </c>
      <c r="Z20" s="1641" t="s">
        <v>65</v>
      </c>
      <c r="AA20" s="293">
        <v>12800000</v>
      </c>
    </row>
    <row r="21" spans="1:27" s="83" customFormat="1" ht="15.75" customHeight="1">
      <c r="A21" s="1534"/>
      <c r="B21" s="1645"/>
      <c r="C21" s="1647"/>
      <c r="D21" s="1696"/>
      <c r="E21" s="1698"/>
      <c r="F21" s="1647"/>
      <c r="G21" s="85">
        <v>609609</v>
      </c>
      <c r="H21" s="30" t="s">
        <v>195</v>
      </c>
      <c r="I21" s="81" t="s">
        <v>108</v>
      </c>
      <c r="J21" s="82" t="s">
        <v>199</v>
      </c>
      <c r="K21" s="1534"/>
      <c r="L21" s="1534"/>
      <c r="M21" s="84" t="s">
        <v>3264</v>
      </c>
      <c r="N21" s="21" t="s">
        <v>3304</v>
      </c>
      <c r="O21" s="46" t="s">
        <v>43</v>
      </c>
      <c r="P21" s="1652"/>
      <c r="Q21" s="103"/>
      <c r="R21" s="103" t="s">
        <v>68</v>
      </c>
      <c r="S21" s="103"/>
      <c r="T21" s="46" t="s">
        <v>43</v>
      </c>
      <c r="U21" s="46" t="s">
        <v>43</v>
      </c>
      <c r="V21" s="46" t="s">
        <v>43</v>
      </c>
      <c r="W21" s="46" t="s">
        <v>43</v>
      </c>
      <c r="X21" s="81" t="s">
        <v>3236</v>
      </c>
      <c r="Y21" s="1643"/>
      <c r="Z21" s="1643"/>
      <c r="AA21" s="293">
        <v>20800000</v>
      </c>
    </row>
    <row r="22" spans="1:27" s="83" customFormat="1" ht="15.75" customHeight="1">
      <c r="A22" s="1533">
        <v>9</v>
      </c>
      <c r="B22" s="1644">
        <v>307</v>
      </c>
      <c r="C22" s="1647"/>
      <c r="D22" s="1694" t="s">
        <v>3265</v>
      </c>
      <c r="E22" s="1697" t="s">
        <v>3265</v>
      </c>
      <c r="F22" s="1647"/>
      <c r="G22" s="85" t="s">
        <v>9295</v>
      </c>
      <c r="H22" s="218" t="s">
        <v>7763</v>
      </c>
      <c r="I22" s="81" t="s">
        <v>60</v>
      </c>
      <c r="J22" s="82" t="s">
        <v>199</v>
      </c>
      <c r="K22" s="1533" t="s">
        <v>14806</v>
      </c>
      <c r="L22" s="1533" t="s">
        <v>14807</v>
      </c>
      <c r="M22" s="84" t="s">
        <v>3266</v>
      </c>
      <c r="N22" s="81" t="s">
        <v>15745</v>
      </c>
      <c r="O22" s="46" t="s">
        <v>43</v>
      </c>
      <c r="P22" s="1651" t="s">
        <v>3307</v>
      </c>
      <c r="Q22" s="103"/>
      <c r="R22" s="103" t="s">
        <v>166</v>
      </c>
      <c r="S22" s="103"/>
      <c r="T22" s="46" t="s">
        <v>43</v>
      </c>
      <c r="U22" s="46" t="s">
        <v>43</v>
      </c>
      <c r="V22" s="46" t="s">
        <v>43</v>
      </c>
      <c r="W22" s="46" t="s">
        <v>43</v>
      </c>
      <c r="X22" s="81" t="s">
        <v>167</v>
      </c>
      <c r="Y22" s="1641" t="s">
        <v>202</v>
      </c>
      <c r="Z22" s="1641" t="s">
        <v>65</v>
      </c>
      <c r="AA22" s="293">
        <v>25600000</v>
      </c>
    </row>
    <row r="23" spans="1:27" s="83" customFormat="1" ht="15.75" customHeight="1">
      <c r="A23" s="1534"/>
      <c r="B23" s="1645"/>
      <c r="C23" s="1647"/>
      <c r="D23" s="1696"/>
      <c r="E23" s="1698"/>
      <c r="F23" s="1647"/>
      <c r="G23" s="85">
        <v>609610</v>
      </c>
      <c r="H23" s="30" t="s">
        <v>195</v>
      </c>
      <c r="I23" s="81" t="s">
        <v>108</v>
      </c>
      <c r="J23" s="82" t="s">
        <v>199</v>
      </c>
      <c r="K23" s="1534"/>
      <c r="L23" s="1534"/>
      <c r="M23" s="84" t="s">
        <v>3267</v>
      </c>
      <c r="N23" s="21" t="s">
        <v>3306</v>
      </c>
      <c r="O23" s="46" t="s">
        <v>43</v>
      </c>
      <c r="P23" s="1652"/>
      <c r="Q23" s="103"/>
      <c r="R23" s="103" t="s">
        <v>68</v>
      </c>
      <c r="S23" s="103"/>
      <c r="T23" s="46" t="s">
        <v>43</v>
      </c>
      <c r="U23" s="46" t="s">
        <v>43</v>
      </c>
      <c r="V23" s="46" t="s">
        <v>43</v>
      </c>
      <c r="W23" s="46" t="s">
        <v>43</v>
      </c>
      <c r="X23" s="81" t="s">
        <v>3236</v>
      </c>
      <c r="Y23" s="1643"/>
      <c r="Z23" s="1643"/>
      <c r="AA23" s="293">
        <v>20800000</v>
      </c>
    </row>
    <row r="24" spans="1:27" s="83" customFormat="1" ht="15.75" customHeight="1">
      <c r="A24" s="1533">
        <v>10</v>
      </c>
      <c r="B24" s="1644">
        <v>309</v>
      </c>
      <c r="C24" s="1647"/>
      <c r="D24" s="1694" t="s">
        <v>3268</v>
      </c>
      <c r="E24" s="1697" t="s">
        <v>3268</v>
      </c>
      <c r="F24" s="1647"/>
      <c r="G24" s="85" t="s">
        <v>9296</v>
      </c>
      <c r="H24" s="218" t="s">
        <v>7763</v>
      </c>
      <c r="I24" s="81" t="s">
        <v>60</v>
      </c>
      <c r="J24" s="82" t="s">
        <v>205</v>
      </c>
      <c r="K24" s="1533" t="s">
        <v>14808</v>
      </c>
      <c r="L24" s="1533" t="s">
        <v>14809</v>
      </c>
      <c r="M24" s="84" t="s">
        <v>3269</v>
      </c>
      <c r="N24" s="81" t="s">
        <v>15744</v>
      </c>
      <c r="O24" s="46" t="s">
        <v>43</v>
      </c>
      <c r="P24" s="1651" t="s">
        <v>3309</v>
      </c>
      <c r="Q24" s="103"/>
      <c r="R24" s="103" t="s">
        <v>166</v>
      </c>
      <c r="S24" s="103"/>
      <c r="T24" s="46" t="s">
        <v>43</v>
      </c>
      <c r="U24" s="46" t="s">
        <v>43</v>
      </c>
      <c r="V24" s="46" t="s">
        <v>43</v>
      </c>
      <c r="W24" s="46" t="s">
        <v>43</v>
      </c>
      <c r="X24" s="81" t="s">
        <v>167</v>
      </c>
      <c r="Y24" s="1641" t="s">
        <v>202</v>
      </c>
      <c r="Z24" s="1641" t="s">
        <v>65</v>
      </c>
      <c r="AA24" s="293">
        <v>12800000</v>
      </c>
    </row>
    <row r="25" spans="1:27" s="83" customFormat="1" ht="15.75" customHeight="1">
      <c r="A25" s="1534"/>
      <c r="B25" s="1645"/>
      <c r="C25" s="1647"/>
      <c r="D25" s="1696"/>
      <c r="E25" s="1698"/>
      <c r="F25" s="1647"/>
      <c r="G25" s="85">
        <v>609611</v>
      </c>
      <c r="H25" s="30" t="s">
        <v>195</v>
      </c>
      <c r="I25" s="81" t="s">
        <v>108</v>
      </c>
      <c r="J25" s="82" t="s">
        <v>199</v>
      </c>
      <c r="K25" s="1534"/>
      <c r="L25" s="1534"/>
      <c r="M25" s="84" t="s">
        <v>3270</v>
      </c>
      <c r="N25" s="21" t="s">
        <v>3308</v>
      </c>
      <c r="O25" s="46" t="s">
        <v>43</v>
      </c>
      <c r="P25" s="1652"/>
      <c r="Q25" s="103"/>
      <c r="R25" s="103" t="s">
        <v>68</v>
      </c>
      <c r="S25" s="103"/>
      <c r="T25" s="46" t="s">
        <v>43</v>
      </c>
      <c r="U25" s="46" t="s">
        <v>43</v>
      </c>
      <c r="V25" s="46" t="s">
        <v>43</v>
      </c>
      <c r="W25" s="46" t="s">
        <v>43</v>
      </c>
      <c r="X25" s="81" t="s">
        <v>3236</v>
      </c>
      <c r="Y25" s="1643"/>
      <c r="Z25" s="1643"/>
      <c r="AA25" s="293">
        <v>20800000</v>
      </c>
    </row>
    <row r="26" spans="1:27" s="83" customFormat="1" ht="15.75" customHeight="1">
      <c r="A26" s="1533">
        <v>11</v>
      </c>
      <c r="B26" s="1644">
        <v>316</v>
      </c>
      <c r="C26" s="1647"/>
      <c r="D26" s="1694" t="s">
        <v>3271</v>
      </c>
      <c r="E26" s="1697" t="s">
        <v>3271</v>
      </c>
      <c r="F26" s="1647"/>
      <c r="G26" s="85" t="s">
        <v>9297</v>
      </c>
      <c r="H26" s="218" t="s">
        <v>7763</v>
      </c>
      <c r="I26" s="81" t="s">
        <v>60</v>
      </c>
      <c r="J26" s="82" t="s">
        <v>199</v>
      </c>
      <c r="K26" s="1533" t="s">
        <v>14810</v>
      </c>
      <c r="L26" s="1533" t="s">
        <v>14811</v>
      </c>
      <c r="M26" s="84" t="s">
        <v>3272</v>
      </c>
      <c r="N26" s="84" t="s">
        <v>15743</v>
      </c>
      <c r="O26" s="46" t="s">
        <v>43</v>
      </c>
      <c r="P26" s="1651" t="s">
        <v>3311</v>
      </c>
      <c r="Q26" s="103"/>
      <c r="R26" s="103" t="s">
        <v>166</v>
      </c>
      <c r="S26" s="103"/>
      <c r="T26" s="46" t="s">
        <v>43</v>
      </c>
      <c r="U26" s="46" t="s">
        <v>43</v>
      </c>
      <c r="V26" s="46" t="s">
        <v>43</v>
      </c>
      <c r="W26" s="46" t="s">
        <v>43</v>
      </c>
      <c r="X26" s="81" t="s">
        <v>167</v>
      </c>
      <c r="Y26" s="1641" t="s">
        <v>202</v>
      </c>
      <c r="Z26" s="1641" t="s">
        <v>65</v>
      </c>
      <c r="AA26" s="293">
        <v>25600000</v>
      </c>
    </row>
    <row r="27" spans="1:27" s="83" customFormat="1" ht="15.75" customHeight="1">
      <c r="A27" s="1534"/>
      <c r="B27" s="1645"/>
      <c r="C27" s="1647"/>
      <c r="D27" s="1696"/>
      <c r="E27" s="1698"/>
      <c r="F27" s="1647"/>
      <c r="G27" s="85">
        <v>609612</v>
      </c>
      <c r="H27" s="30" t="s">
        <v>195</v>
      </c>
      <c r="I27" s="81" t="s">
        <v>108</v>
      </c>
      <c r="J27" s="82" t="s">
        <v>199</v>
      </c>
      <c r="K27" s="1534"/>
      <c r="L27" s="1534"/>
      <c r="M27" s="84" t="s">
        <v>3273</v>
      </c>
      <c r="N27" s="21" t="s">
        <v>3310</v>
      </c>
      <c r="O27" s="46" t="s">
        <v>43</v>
      </c>
      <c r="P27" s="1652"/>
      <c r="Q27" s="103"/>
      <c r="R27" s="103" t="s">
        <v>68</v>
      </c>
      <c r="S27" s="103"/>
      <c r="T27" s="46" t="s">
        <v>43</v>
      </c>
      <c r="U27" s="46" t="s">
        <v>43</v>
      </c>
      <c r="V27" s="46" t="s">
        <v>43</v>
      </c>
      <c r="W27" s="46" t="s">
        <v>43</v>
      </c>
      <c r="X27" s="81" t="s">
        <v>3236</v>
      </c>
      <c r="Y27" s="1643"/>
      <c r="Z27" s="1643"/>
      <c r="AA27" s="293">
        <v>20800000</v>
      </c>
    </row>
    <row r="28" spans="1:27" s="83" customFormat="1" ht="15.75" customHeight="1">
      <c r="A28" s="1533">
        <v>12</v>
      </c>
      <c r="B28" s="1644">
        <v>342</v>
      </c>
      <c r="C28" s="1647"/>
      <c r="D28" s="1694" t="s">
        <v>3213</v>
      </c>
      <c r="E28" s="1697" t="s">
        <v>3274</v>
      </c>
      <c r="F28" s="1647"/>
      <c r="G28" s="85" t="s">
        <v>9298</v>
      </c>
      <c r="H28" s="218" t="s">
        <v>7763</v>
      </c>
      <c r="I28" s="81" t="s">
        <v>60</v>
      </c>
      <c r="J28" s="82" t="s">
        <v>199</v>
      </c>
      <c r="K28" s="1533" t="s">
        <v>14812</v>
      </c>
      <c r="L28" s="1533" t="s">
        <v>14813</v>
      </c>
      <c r="M28" s="84" t="s">
        <v>3275</v>
      </c>
      <c r="N28" s="84" t="s">
        <v>15742</v>
      </c>
      <c r="O28" s="46" t="s">
        <v>43</v>
      </c>
      <c r="P28" s="1651" t="s">
        <v>3313</v>
      </c>
      <c r="Q28" s="103"/>
      <c r="R28" s="103" t="s">
        <v>166</v>
      </c>
      <c r="S28" s="103"/>
      <c r="T28" s="46" t="s">
        <v>43</v>
      </c>
      <c r="U28" s="46" t="s">
        <v>43</v>
      </c>
      <c r="V28" s="46" t="s">
        <v>43</v>
      </c>
      <c r="W28" s="46" t="s">
        <v>43</v>
      </c>
      <c r="X28" s="81" t="s">
        <v>167</v>
      </c>
      <c r="Y28" s="1641" t="s">
        <v>202</v>
      </c>
      <c r="Z28" s="1641" t="s">
        <v>65</v>
      </c>
      <c r="AA28" s="293">
        <v>17920000</v>
      </c>
    </row>
    <row r="29" spans="1:27" s="83" customFormat="1" ht="15.75" customHeight="1">
      <c r="A29" s="1647"/>
      <c r="B29" s="1646"/>
      <c r="C29" s="1647"/>
      <c r="D29" s="1695"/>
      <c r="E29" s="1699"/>
      <c r="F29" s="1647"/>
      <c r="G29" s="85">
        <v>609613</v>
      </c>
      <c r="H29" s="30" t="s">
        <v>195</v>
      </c>
      <c r="I29" s="705" t="s">
        <v>108</v>
      </c>
      <c r="J29" s="706" t="s">
        <v>199</v>
      </c>
      <c r="K29" s="1647"/>
      <c r="L29" s="1647"/>
      <c r="M29" s="84" t="s">
        <v>3276</v>
      </c>
      <c r="N29" s="703" t="s">
        <v>3312</v>
      </c>
      <c r="O29" s="704" t="s">
        <v>43</v>
      </c>
      <c r="P29" s="1653"/>
      <c r="Q29" s="1700" t="s">
        <v>255</v>
      </c>
      <c r="R29" s="1701"/>
      <c r="S29" s="1702"/>
      <c r="T29" s="704" t="s">
        <v>43</v>
      </c>
      <c r="U29" s="704" t="s">
        <v>43</v>
      </c>
      <c r="V29" s="704" t="s">
        <v>43</v>
      </c>
      <c r="W29" s="704" t="s">
        <v>43</v>
      </c>
      <c r="X29" s="705" t="s">
        <v>3236</v>
      </c>
      <c r="Y29" s="1642"/>
      <c r="Z29" s="1642"/>
      <c r="AA29" s="293">
        <v>20800000</v>
      </c>
    </row>
    <row r="30" spans="1:27" s="83" customFormat="1" ht="15.75" customHeight="1">
      <c r="A30" s="1647"/>
      <c r="B30" s="1646"/>
      <c r="C30" s="1647"/>
      <c r="D30" s="1695"/>
      <c r="E30" s="1699"/>
      <c r="F30" s="1647"/>
      <c r="G30" s="85">
        <v>609613</v>
      </c>
      <c r="H30" s="705" t="s">
        <v>44</v>
      </c>
      <c r="I30" s="705" t="s">
        <v>45</v>
      </c>
      <c r="J30" s="706" t="s">
        <v>201</v>
      </c>
      <c r="K30" s="1647"/>
      <c r="L30" s="1647"/>
      <c r="M30" s="84" t="s">
        <v>14814</v>
      </c>
      <c r="N30" s="21" t="s">
        <v>3314</v>
      </c>
      <c r="O30" s="46" t="s">
        <v>43</v>
      </c>
      <c r="P30" s="1653"/>
      <c r="Q30" s="1700" t="s">
        <v>48</v>
      </c>
      <c r="R30" s="1701"/>
      <c r="S30" s="1702"/>
      <c r="T30" s="46" t="s">
        <v>43</v>
      </c>
      <c r="U30" s="46" t="s">
        <v>43</v>
      </c>
      <c r="V30" s="46" t="s">
        <v>43</v>
      </c>
      <c r="W30" s="46" t="s">
        <v>43</v>
      </c>
      <c r="X30" s="705" t="s">
        <v>50</v>
      </c>
      <c r="Y30" s="1642"/>
      <c r="Z30" s="1642"/>
      <c r="AA30" s="293">
        <v>0</v>
      </c>
    </row>
    <row r="31" spans="1:27" s="83" customFormat="1" ht="15.75" customHeight="1">
      <c r="A31" s="1533">
        <v>13</v>
      </c>
      <c r="B31" s="1644">
        <v>360</v>
      </c>
      <c r="C31" s="1647"/>
      <c r="D31" s="1533" t="s">
        <v>3277</v>
      </c>
      <c r="E31" s="1697" t="s">
        <v>3278</v>
      </c>
      <c r="F31" s="1647"/>
      <c r="G31" s="85" t="s">
        <v>3279</v>
      </c>
      <c r="H31" s="218" t="s">
        <v>7763</v>
      </c>
      <c r="I31" s="81" t="s">
        <v>60</v>
      </c>
      <c r="J31" s="82" t="s">
        <v>199</v>
      </c>
      <c r="K31" s="1533" t="s">
        <v>14815</v>
      </c>
      <c r="L31" s="1533" t="s">
        <v>14883</v>
      </c>
      <c r="M31" s="84" t="s">
        <v>3280</v>
      </c>
      <c r="N31" s="84" t="s">
        <v>15752</v>
      </c>
      <c r="O31" s="46" t="s">
        <v>43</v>
      </c>
      <c r="P31" s="1651" t="s">
        <v>3318</v>
      </c>
      <c r="Q31" s="103"/>
      <c r="R31" s="103" t="s">
        <v>166</v>
      </c>
      <c r="S31" s="103"/>
      <c r="T31" s="46" t="s">
        <v>43</v>
      </c>
      <c r="U31" s="46" t="s">
        <v>43</v>
      </c>
      <c r="V31" s="46" t="s">
        <v>43</v>
      </c>
      <c r="W31" s="46" t="s">
        <v>43</v>
      </c>
      <c r="X31" s="81" t="s">
        <v>167</v>
      </c>
      <c r="Y31" s="1641" t="s">
        <v>202</v>
      </c>
      <c r="Z31" s="1641" t="s">
        <v>65</v>
      </c>
      <c r="AA31" s="293">
        <v>25600000</v>
      </c>
    </row>
    <row r="32" spans="1:27" s="83" customFormat="1" ht="15.75" customHeight="1">
      <c r="A32" s="1534"/>
      <c r="B32" s="1645"/>
      <c r="C32" s="1647"/>
      <c r="D32" s="1647"/>
      <c r="E32" s="1698"/>
      <c r="F32" s="1647"/>
      <c r="G32" s="85">
        <v>609614</v>
      </c>
      <c r="H32" s="30" t="s">
        <v>195</v>
      </c>
      <c r="I32" s="81" t="s">
        <v>108</v>
      </c>
      <c r="J32" s="82" t="s">
        <v>199</v>
      </c>
      <c r="K32" s="1534"/>
      <c r="L32" s="1534"/>
      <c r="M32" s="84" t="s">
        <v>3281</v>
      </c>
      <c r="N32" s="21" t="s">
        <v>3316</v>
      </c>
      <c r="O32" s="46" t="s">
        <v>43</v>
      </c>
      <c r="P32" s="1652"/>
      <c r="Q32" s="103"/>
      <c r="R32" s="103" t="s">
        <v>68</v>
      </c>
      <c r="S32" s="103"/>
      <c r="T32" s="46" t="s">
        <v>43</v>
      </c>
      <c r="U32" s="46" t="s">
        <v>43</v>
      </c>
      <c r="V32" s="46" t="s">
        <v>43</v>
      </c>
      <c r="W32" s="46" t="s">
        <v>43</v>
      </c>
      <c r="X32" s="81" t="s">
        <v>3236</v>
      </c>
      <c r="Y32" s="1643"/>
      <c r="Z32" s="1643"/>
      <c r="AA32" s="293">
        <v>20800000</v>
      </c>
    </row>
    <row r="33" spans="1:27" s="83" customFormat="1" ht="15.75" customHeight="1">
      <c r="A33" s="1533">
        <v>14</v>
      </c>
      <c r="B33" s="1644">
        <v>423</v>
      </c>
      <c r="C33" s="1647"/>
      <c r="D33" s="1533" t="s">
        <v>3251</v>
      </c>
      <c r="E33" s="1697" t="s">
        <v>3282</v>
      </c>
      <c r="F33" s="1647"/>
      <c r="G33" s="85" t="s">
        <v>9299</v>
      </c>
      <c r="H33" s="218" t="s">
        <v>7763</v>
      </c>
      <c r="I33" s="81" t="s">
        <v>60</v>
      </c>
      <c r="J33" s="82" t="s">
        <v>205</v>
      </c>
      <c r="K33" s="1533" t="s">
        <v>14816</v>
      </c>
      <c r="L33" s="1533" t="s">
        <v>14817</v>
      </c>
      <c r="M33" s="84" t="s">
        <v>3283</v>
      </c>
      <c r="N33" s="84" t="s">
        <v>14818</v>
      </c>
      <c r="O33" s="46" t="s">
        <v>43</v>
      </c>
      <c r="P33" s="1651" t="s">
        <v>3319</v>
      </c>
      <c r="Q33" s="1700" t="s">
        <v>3321</v>
      </c>
      <c r="R33" s="1701"/>
      <c r="S33" s="1702"/>
      <c r="T33" s="46" t="s">
        <v>43</v>
      </c>
      <c r="U33" s="46" t="s">
        <v>43</v>
      </c>
      <c r="V33" s="46" t="s">
        <v>43</v>
      </c>
      <c r="W33" s="103" t="s">
        <v>3320</v>
      </c>
      <c r="X33" s="81" t="s">
        <v>3236</v>
      </c>
      <c r="Y33" s="1533" t="s">
        <v>202</v>
      </c>
      <c r="Z33" s="1641" t="s">
        <v>65</v>
      </c>
      <c r="AA33" s="293">
        <v>12800000</v>
      </c>
    </row>
    <row r="34" spans="1:27" s="83" customFormat="1" ht="15.75" customHeight="1">
      <c r="A34" s="1647"/>
      <c r="B34" s="1646"/>
      <c r="C34" s="1647"/>
      <c r="D34" s="1647"/>
      <c r="E34" s="1699"/>
      <c r="F34" s="1647"/>
      <c r="G34" s="85">
        <v>609615</v>
      </c>
      <c r="H34" s="81" t="s">
        <v>107</v>
      </c>
      <c r="I34" s="81" t="s">
        <v>108</v>
      </c>
      <c r="J34" s="82" t="s">
        <v>199</v>
      </c>
      <c r="K34" s="1647"/>
      <c r="L34" s="1647"/>
      <c r="M34" s="84" t="s">
        <v>3284</v>
      </c>
      <c r="N34" s="21" t="s">
        <v>3317</v>
      </c>
      <c r="O34" s="46" t="s">
        <v>43</v>
      </c>
      <c r="P34" s="1653"/>
      <c r="Q34" s="103"/>
      <c r="R34" s="103" t="s">
        <v>68</v>
      </c>
      <c r="S34" s="103"/>
      <c r="T34" s="46" t="s">
        <v>43</v>
      </c>
      <c r="U34" s="46" t="s">
        <v>43</v>
      </c>
      <c r="V34" s="46" t="s">
        <v>43</v>
      </c>
      <c r="W34" s="46" t="s">
        <v>43</v>
      </c>
      <c r="X34" s="81" t="s">
        <v>3236</v>
      </c>
      <c r="Y34" s="1647"/>
      <c r="Z34" s="1642"/>
      <c r="AA34" s="293">
        <v>20800000</v>
      </c>
    </row>
    <row r="35" spans="1:27" ht="19.5">
      <c r="Z35" s="289" t="s">
        <v>9164</v>
      </c>
      <c r="AA35" s="321">
        <f>SUM(AA2:AA34)</f>
        <v>731670000</v>
      </c>
    </row>
    <row r="36" spans="1:27" ht="18">
      <c r="H36" s="771" t="s">
        <v>14945</v>
      </c>
      <c r="I36" s="769" t="s">
        <v>14943</v>
      </c>
      <c r="J36" s="113"/>
    </row>
    <row r="37" spans="1:27" ht="26.25" customHeight="1">
      <c r="A37" s="1459" t="s">
        <v>14163</v>
      </c>
      <c r="B37" s="1459"/>
      <c r="C37" s="1459"/>
      <c r="D37" s="1459"/>
      <c r="E37" s="1459"/>
      <c r="F37" s="1459"/>
      <c r="G37" s="1459"/>
    </row>
    <row r="38" spans="1:27" s="12" customFormat="1" ht="19.5">
      <c r="A38" s="34" t="s">
        <v>0</v>
      </c>
      <c r="B38" s="34" t="s">
        <v>5</v>
      </c>
      <c r="C38" s="34" t="s">
        <v>2</v>
      </c>
      <c r="D38" s="34" t="s">
        <v>3</v>
      </c>
      <c r="E38" s="1445" t="s">
        <v>88</v>
      </c>
      <c r="F38" s="1446"/>
      <c r="G38" s="34" t="s">
        <v>6</v>
      </c>
      <c r="H38" s="34" t="s">
        <v>7</v>
      </c>
      <c r="I38" s="34" t="s">
        <v>8</v>
      </c>
      <c r="J38" s="34" t="s">
        <v>196</v>
      </c>
      <c r="K38" s="34" t="s">
        <v>9</v>
      </c>
      <c r="L38" s="34" t="s">
        <v>11</v>
      </c>
      <c r="M38" s="34" t="s">
        <v>12</v>
      </c>
      <c r="N38" s="34" t="s">
        <v>216</v>
      </c>
      <c r="O38" s="34" t="s">
        <v>13</v>
      </c>
      <c r="P38" s="35" t="s">
        <v>14</v>
      </c>
      <c r="Q38" s="35" t="s">
        <v>217</v>
      </c>
      <c r="R38" s="35" t="s">
        <v>16</v>
      </c>
      <c r="S38" s="34" t="s">
        <v>17</v>
      </c>
      <c r="T38" s="34" t="s">
        <v>218</v>
      </c>
      <c r="U38" s="34" t="s">
        <v>22</v>
      </c>
      <c r="V38" s="36" t="s">
        <v>23</v>
      </c>
      <c r="W38" s="34" t="s">
        <v>24</v>
      </c>
      <c r="X38" s="58" t="s">
        <v>257</v>
      </c>
      <c r="Z38"/>
      <c r="AA38"/>
    </row>
    <row r="40" spans="1:27">
      <c r="I40" s="271" t="s">
        <v>12013</v>
      </c>
    </row>
    <row r="41" spans="1:27">
      <c r="I41" s="913" t="s">
        <v>14177</v>
      </c>
    </row>
    <row r="42" spans="1:27">
      <c r="I42" s="914" t="s">
        <v>3327</v>
      </c>
    </row>
    <row r="43" spans="1:27">
      <c r="I43" s="914" t="s">
        <v>3325</v>
      </c>
    </row>
  </sheetData>
  <mergeCells count="138">
    <mergeCell ref="A37:G37"/>
    <mergeCell ref="E38:F38"/>
    <mergeCell ref="F2:F34"/>
    <mergeCell ref="P31:P32"/>
    <mergeCell ref="P33:P34"/>
    <mergeCell ref="D28:D30"/>
    <mergeCell ref="E28:E30"/>
    <mergeCell ref="K28:K30"/>
    <mergeCell ref="E18:E19"/>
    <mergeCell ref="K18:K19"/>
    <mergeCell ref="L18:L19"/>
    <mergeCell ref="P18:P19"/>
    <mergeCell ref="E6:E7"/>
    <mergeCell ref="K6:K7"/>
    <mergeCell ref="L6:L7"/>
    <mergeCell ref="P6:P7"/>
    <mergeCell ref="E8:E9"/>
    <mergeCell ref="K8:K9"/>
    <mergeCell ref="L8:L9"/>
    <mergeCell ref="D26:D27"/>
    <mergeCell ref="D33:D34"/>
    <mergeCell ref="D31:D32"/>
    <mergeCell ref="E22:E23"/>
    <mergeCell ref="P22:P23"/>
    <mergeCell ref="Q33:S33"/>
    <mergeCell ref="E31:E32"/>
    <mergeCell ref="E33:E34"/>
    <mergeCell ref="K31:K32"/>
    <mergeCell ref="K33:K34"/>
    <mergeCell ref="L31:L32"/>
    <mergeCell ref="L33:L34"/>
    <mergeCell ref="L24:L25"/>
    <mergeCell ref="P24:P25"/>
    <mergeCell ref="E26:E27"/>
    <mergeCell ref="K26:K27"/>
    <mergeCell ref="L28:L30"/>
    <mergeCell ref="Q30:S30"/>
    <mergeCell ref="L26:L27"/>
    <mergeCell ref="P26:P27"/>
    <mergeCell ref="Q29:S29"/>
    <mergeCell ref="X2:X4"/>
    <mergeCell ref="L10:L11"/>
    <mergeCell ref="P10:P11"/>
    <mergeCell ref="L12:L14"/>
    <mergeCell ref="P12:P14"/>
    <mergeCell ref="L20:L21"/>
    <mergeCell ref="P20:P21"/>
    <mergeCell ref="L2:L5"/>
    <mergeCell ref="P2:P5"/>
    <mergeCell ref="T2:T4"/>
    <mergeCell ref="U2:U4"/>
    <mergeCell ref="V2:V4"/>
    <mergeCell ref="E2:E5"/>
    <mergeCell ref="I2:I4"/>
    <mergeCell ref="K2:K5"/>
    <mergeCell ref="K10:K11"/>
    <mergeCell ref="E15:E17"/>
    <mergeCell ref="K15:K17"/>
    <mergeCell ref="E20:E21"/>
    <mergeCell ref="K12:K14"/>
    <mergeCell ref="E12:E14"/>
    <mergeCell ref="K20:K21"/>
    <mergeCell ref="B2:B5"/>
    <mergeCell ref="B6:B7"/>
    <mergeCell ref="B8:B9"/>
    <mergeCell ref="B10:B11"/>
    <mergeCell ref="B12:B14"/>
    <mergeCell ref="B15:B17"/>
    <mergeCell ref="L15:L17"/>
    <mergeCell ref="P15:P17"/>
    <mergeCell ref="C2:C34"/>
    <mergeCell ref="B20:B21"/>
    <mergeCell ref="B22:B23"/>
    <mergeCell ref="B24:B25"/>
    <mergeCell ref="B26:B27"/>
    <mergeCell ref="B28:B30"/>
    <mergeCell ref="P28:P30"/>
    <mergeCell ref="D24:D25"/>
    <mergeCell ref="P8:P9"/>
    <mergeCell ref="E10:E11"/>
    <mergeCell ref="E24:E25"/>
    <mergeCell ref="K24:K25"/>
    <mergeCell ref="D20:D21"/>
    <mergeCell ref="D22:D23"/>
    <mergeCell ref="K22:K23"/>
    <mergeCell ref="L22:L23"/>
    <mergeCell ref="A31:A32"/>
    <mergeCell ref="A33:A34"/>
    <mergeCell ref="D2:D5"/>
    <mergeCell ref="D6:D7"/>
    <mergeCell ref="D8:D9"/>
    <mergeCell ref="D10:D11"/>
    <mergeCell ref="D12:D14"/>
    <mergeCell ref="D15:D17"/>
    <mergeCell ref="D18:D19"/>
    <mergeCell ref="A18:A19"/>
    <mergeCell ref="A20:A21"/>
    <mergeCell ref="A22:A23"/>
    <mergeCell ref="A24:A25"/>
    <mergeCell ref="A26:A27"/>
    <mergeCell ref="A28:A30"/>
    <mergeCell ref="B31:B32"/>
    <mergeCell ref="B33:B34"/>
    <mergeCell ref="A2:A5"/>
    <mergeCell ref="A6:A7"/>
    <mergeCell ref="A8:A9"/>
    <mergeCell ref="A10:A11"/>
    <mergeCell ref="A12:A14"/>
    <mergeCell ref="A15:A17"/>
    <mergeCell ref="B18:B19"/>
    <mergeCell ref="Y33:Y34"/>
    <mergeCell ref="Z33:Z34"/>
    <mergeCell ref="Y24:Y25"/>
    <mergeCell ref="Z24:Z25"/>
    <mergeCell ref="Y26:Y27"/>
    <mergeCell ref="Z26:Z27"/>
    <mergeCell ref="Y28:Y30"/>
    <mergeCell ref="Z28:Z30"/>
    <mergeCell ref="Y22:Y23"/>
    <mergeCell ref="Z22:Z23"/>
    <mergeCell ref="Y10:Y11"/>
    <mergeCell ref="Z10:Z11"/>
    <mergeCell ref="Y12:Y14"/>
    <mergeCell ref="Z12:Z14"/>
    <mergeCell ref="Y15:Y17"/>
    <mergeCell ref="Z15:Z17"/>
    <mergeCell ref="Y31:Y32"/>
    <mergeCell ref="Z31:Z32"/>
    <mergeCell ref="Y2:Y5"/>
    <mergeCell ref="Z2:Z5"/>
    <mergeCell ref="Y6:Y7"/>
    <mergeCell ref="Z6:Z7"/>
    <mergeCell ref="Y8:Y9"/>
    <mergeCell ref="Z8:Z9"/>
    <mergeCell ref="Y18:Y19"/>
    <mergeCell ref="Z18:Z19"/>
    <mergeCell ref="Y20:Y21"/>
    <mergeCell ref="Z20:Z21"/>
  </mergeCells>
  <conditionalFormatting sqref="M3">
    <cfRule type="duplicateValues" dxfId="970" priority="136"/>
  </conditionalFormatting>
  <conditionalFormatting sqref="M4">
    <cfRule type="duplicateValues" dxfId="969" priority="134"/>
  </conditionalFormatting>
  <conditionalFormatting sqref="M5">
    <cfRule type="duplicateValues" dxfId="968" priority="132"/>
  </conditionalFormatting>
  <conditionalFormatting sqref="M8">
    <cfRule type="duplicateValues" dxfId="967" priority="126"/>
  </conditionalFormatting>
  <conditionalFormatting sqref="M10:M11">
    <cfRule type="duplicateValues" dxfId="966" priority="140"/>
  </conditionalFormatting>
  <conditionalFormatting sqref="M15">
    <cfRule type="duplicateValues" dxfId="965" priority="125"/>
  </conditionalFormatting>
  <conditionalFormatting sqref="M17">
    <cfRule type="duplicateValues" dxfId="964" priority="129"/>
  </conditionalFormatting>
  <conditionalFormatting sqref="M20">
    <cfRule type="duplicateValues" dxfId="963" priority="123"/>
  </conditionalFormatting>
  <conditionalFormatting sqref="M22">
    <cfRule type="duplicateValues" dxfId="962" priority="121"/>
  </conditionalFormatting>
  <conditionalFormatting sqref="M24">
    <cfRule type="duplicateValues" dxfId="961" priority="118"/>
  </conditionalFormatting>
  <conditionalFormatting sqref="M26">
    <cfRule type="duplicateValues" dxfId="960" priority="116"/>
  </conditionalFormatting>
  <conditionalFormatting sqref="M28">
    <cfRule type="duplicateValues" dxfId="959" priority="114"/>
  </conditionalFormatting>
  <conditionalFormatting sqref="M30">
    <cfRule type="duplicateValues" dxfId="958" priority="91"/>
  </conditionalFormatting>
  <conditionalFormatting sqref="M31">
    <cfRule type="duplicateValues" dxfId="957" priority="112"/>
  </conditionalFormatting>
  <conditionalFormatting sqref="M33">
    <cfRule type="duplicateValues" dxfId="956" priority="110"/>
  </conditionalFormatting>
  <conditionalFormatting sqref="M34">
    <cfRule type="duplicateValues" dxfId="955" priority="87"/>
  </conditionalFormatting>
  <conditionalFormatting sqref="N3">
    <cfRule type="duplicateValues" dxfId="954" priority="107"/>
  </conditionalFormatting>
  <conditionalFormatting sqref="N4">
    <cfRule type="duplicateValues" dxfId="953" priority="135"/>
  </conditionalFormatting>
  <conditionalFormatting sqref="N5">
    <cfRule type="duplicateValues" dxfId="952" priority="106"/>
  </conditionalFormatting>
  <conditionalFormatting sqref="N6">
    <cfRule type="duplicateValues" dxfId="951" priority="128"/>
  </conditionalFormatting>
  <conditionalFormatting sqref="N7">
    <cfRule type="duplicateValues" dxfId="950" priority="105"/>
  </conditionalFormatting>
  <conditionalFormatting sqref="N8">
    <cfRule type="duplicateValues" dxfId="949" priority="127"/>
  </conditionalFormatting>
  <conditionalFormatting sqref="N9">
    <cfRule type="duplicateValues" dxfId="948" priority="103"/>
  </conditionalFormatting>
  <conditionalFormatting sqref="N11">
    <cfRule type="duplicateValues" dxfId="947" priority="102"/>
  </conditionalFormatting>
  <conditionalFormatting sqref="N13">
    <cfRule type="duplicateValues" dxfId="946" priority="101"/>
  </conditionalFormatting>
  <conditionalFormatting sqref="N14">
    <cfRule type="duplicateValues" dxfId="945" priority="100"/>
  </conditionalFormatting>
  <conditionalFormatting sqref="N15">
    <cfRule type="duplicateValues" dxfId="944" priority="124"/>
  </conditionalFormatting>
  <conditionalFormatting sqref="N16">
    <cfRule type="duplicateValues" dxfId="943" priority="99"/>
  </conditionalFormatting>
  <conditionalFormatting sqref="N17">
    <cfRule type="duplicateValues" dxfId="942" priority="98"/>
  </conditionalFormatting>
  <conditionalFormatting sqref="N18">
    <cfRule type="duplicateValues" dxfId="941" priority="97"/>
  </conditionalFormatting>
  <conditionalFormatting sqref="N19">
    <cfRule type="duplicateValues" dxfId="940" priority="131"/>
  </conditionalFormatting>
  <conditionalFormatting sqref="N20">
    <cfRule type="duplicateValues" dxfId="939" priority="122"/>
  </conditionalFormatting>
  <conditionalFormatting sqref="N21">
    <cfRule type="duplicateValues" dxfId="938" priority="96"/>
  </conditionalFormatting>
  <conditionalFormatting sqref="N22">
    <cfRule type="duplicateValues" dxfId="937" priority="120"/>
  </conditionalFormatting>
  <conditionalFormatting sqref="N23">
    <cfRule type="duplicateValues" dxfId="936" priority="95"/>
  </conditionalFormatting>
  <conditionalFormatting sqref="N24">
    <cfRule type="duplicateValues" dxfId="935" priority="119"/>
  </conditionalFormatting>
  <conditionalFormatting sqref="N25">
    <cfRule type="duplicateValues" dxfId="934" priority="94"/>
  </conditionalFormatting>
  <conditionalFormatting sqref="N26">
    <cfRule type="duplicateValues" dxfId="933" priority="117"/>
  </conditionalFormatting>
  <conditionalFormatting sqref="N27">
    <cfRule type="duplicateValues" dxfId="932" priority="93"/>
  </conditionalFormatting>
  <conditionalFormatting sqref="N28">
    <cfRule type="duplicateValues" dxfId="931" priority="115"/>
  </conditionalFormatting>
  <conditionalFormatting sqref="N30">
    <cfRule type="duplicateValues" dxfId="930" priority="90"/>
  </conditionalFormatting>
  <conditionalFormatting sqref="N31">
    <cfRule type="duplicateValues" dxfId="929" priority="113"/>
  </conditionalFormatting>
  <conditionalFormatting sqref="N32">
    <cfRule type="duplicateValues" dxfId="928" priority="89"/>
  </conditionalFormatting>
  <conditionalFormatting sqref="N33">
    <cfRule type="duplicateValues" dxfId="927" priority="111"/>
  </conditionalFormatting>
  <conditionalFormatting sqref="N34">
    <cfRule type="duplicateValues" dxfId="926" priority="86"/>
  </conditionalFormatting>
  <conditionalFormatting sqref="M38">
    <cfRule type="duplicateValues" dxfId="925" priority="5"/>
    <cfRule type="duplicateValues" dxfId="924" priority="6"/>
    <cfRule type="duplicateValues" dxfId="923" priority="7"/>
    <cfRule type="duplicateValues" dxfId="922" priority="8"/>
  </conditionalFormatting>
  <conditionalFormatting sqref="N38">
    <cfRule type="duplicateValues" dxfId="921" priority="9"/>
    <cfRule type="duplicateValues" dxfId="920" priority="10"/>
    <cfRule type="duplicateValues" dxfId="919" priority="11"/>
    <cfRule type="duplicateValues" dxfId="918" priority="12"/>
  </conditionalFormatting>
  <conditionalFormatting sqref="E38">
    <cfRule type="duplicateValues" dxfId="917" priority="13"/>
  </conditionalFormatting>
  <conditionalFormatting sqref="K38">
    <cfRule type="duplicateValues" dxfId="916" priority="14"/>
  </conditionalFormatting>
  <conditionalFormatting sqref="L38">
    <cfRule type="duplicateValues" dxfId="915" priority="15"/>
  </conditionalFormatting>
  <conditionalFormatting sqref="I42">
    <cfRule type="duplicateValues" dxfId="914" priority="4"/>
  </conditionalFormatting>
  <conditionalFormatting sqref="I43">
    <cfRule type="duplicateValues" dxfId="913" priority="3"/>
  </conditionalFormatting>
  <conditionalFormatting sqref="M29">
    <cfRule type="duplicateValues" dxfId="912" priority="2"/>
  </conditionalFormatting>
  <conditionalFormatting sqref="N29">
    <cfRule type="duplicateValues" dxfId="911" priority="1"/>
  </conditionalFormatting>
  <conditionalFormatting sqref="N10 N1:N2">
    <cfRule type="duplicateValues" dxfId="910" priority="4208"/>
  </conditionalFormatting>
  <conditionalFormatting sqref="M32 M10:M11 M7 M13:M14 M16 M18:M19 M21 M23 M25 M27 M1:M2">
    <cfRule type="duplicateValues" dxfId="909" priority="4421"/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9"/>
  <sheetViews>
    <sheetView rightToLeft="1" topLeftCell="A25" workbookViewId="0">
      <selection activeCell="E42" sqref="E42:F42"/>
    </sheetView>
  </sheetViews>
  <sheetFormatPr defaultRowHeight="15"/>
  <cols>
    <col min="5" max="5" width="12.5703125" customWidth="1"/>
    <col min="7" max="7" width="17.42578125" customWidth="1"/>
    <col min="8" max="8" width="22.28515625" customWidth="1"/>
    <col min="9" max="9" width="13.7109375" customWidth="1"/>
    <col min="11" max="11" width="78.85546875" customWidth="1"/>
    <col min="12" max="12" width="38.28515625" customWidth="1"/>
    <col min="13" max="13" width="57.42578125" customWidth="1"/>
    <col min="14" max="14" width="64.85546875" customWidth="1"/>
    <col min="15" max="15" width="11" customWidth="1"/>
    <col min="16" max="16" width="34.140625" customWidth="1"/>
    <col min="17" max="17" width="16.7109375" customWidth="1"/>
    <col min="18" max="18" width="36.85546875" customWidth="1"/>
    <col min="20" max="20" width="23.28515625" customWidth="1"/>
    <col min="21" max="21" width="23.140625" customWidth="1"/>
    <col min="22" max="22" width="28.42578125" customWidth="1"/>
    <col min="23" max="23" width="52.7109375" customWidth="1"/>
    <col min="24" max="24" width="74.140625" customWidth="1"/>
    <col min="25" max="25" width="20" customWidth="1"/>
    <col min="26" max="26" width="25.7109375" customWidth="1"/>
    <col min="27" max="27" width="26.140625" customWidth="1"/>
    <col min="28" max="28" width="23.85546875" customWidth="1"/>
  </cols>
  <sheetData>
    <row r="1" spans="1:27" s="27" customFormat="1" ht="19.5">
      <c r="A1" s="676" t="s">
        <v>0</v>
      </c>
      <c r="B1" s="681" t="s">
        <v>1</v>
      </c>
      <c r="C1" s="676" t="s">
        <v>2</v>
      </c>
      <c r="D1" s="676" t="s">
        <v>3</v>
      </c>
      <c r="E1" s="676" t="s">
        <v>4</v>
      </c>
      <c r="F1" s="676" t="s">
        <v>5</v>
      </c>
      <c r="G1" s="683" t="s">
        <v>6</v>
      </c>
      <c r="H1" s="676" t="s">
        <v>7</v>
      </c>
      <c r="I1" s="676" t="s">
        <v>8</v>
      </c>
      <c r="J1" s="682" t="s">
        <v>196</v>
      </c>
      <c r="K1" s="676" t="s">
        <v>9</v>
      </c>
      <c r="L1" s="676" t="s">
        <v>10</v>
      </c>
      <c r="M1" s="676" t="s">
        <v>11</v>
      </c>
      <c r="N1" s="676" t="s">
        <v>12</v>
      </c>
      <c r="O1" s="676" t="s">
        <v>13</v>
      </c>
      <c r="P1" s="682" t="s">
        <v>14</v>
      </c>
      <c r="Q1" s="683" t="s">
        <v>15</v>
      </c>
      <c r="R1" s="683" t="s">
        <v>16</v>
      </c>
      <c r="S1" s="683" t="s">
        <v>17</v>
      </c>
      <c r="T1" s="676" t="s">
        <v>18</v>
      </c>
      <c r="U1" s="676" t="s">
        <v>19</v>
      </c>
      <c r="V1" s="676" t="s">
        <v>20</v>
      </c>
      <c r="W1" s="683" t="s">
        <v>21</v>
      </c>
      <c r="X1" s="676" t="s">
        <v>22</v>
      </c>
      <c r="Y1" s="683" t="s">
        <v>23</v>
      </c>
      <c r="Z1" s="683" t="s">
        <v>24</v>
      </c>
      <c r="AA1" s="49" t="s">
        <v>9184</v>
      </c>
    </row>
    <row r="2" spans="1:27" s="27" customFormat="1" ht="19.5" customHeight="1">
      <c r="A2" s="1422">
        <v>1</v>
      </c>
      <c r="B2" s="1512" t="s">
        <v>43</v>
      </c>
      <c r="C2" s="1422" t="s">
        <v>3705</v>
      </c>
      <c r="D2" s="1422" t="s">
        <v>4869</v>
      </c>
      <c r="E2" s="1703" t="s">
        <v>4870</v>
      </c>
      <c r="F2" s="1422" t="s">
        <v>3705</v>
      </c>
      <c r="G2" s="64" t="s">
        <v>9159</v>
      </c>
      <c r="H2" s="676" t="s">
        <v>28</v>
      </c>
      <c r="I2" s="1422" t="s">
        <v>668</v>
      </c>
      <c r="J2" s="685" t="s">
        <v>197</v>
      </c>
      <c r="K2" s="1422" t="s">
        <v>4947</v>
      </c>
      <c r="L2" s="1422" t="s">
        <v>4953</v>
      </c>
      <c r="M2" s="676" t="s">
        <v>4948</v>
      </c>
      <c r="N2" s="676" t="s">
        <v>4946</v>
      </c>
      <c r="O2" s="673" t="s">
        <v>43</v>
      </c>
      <c r="P2" s="1520" t="s">
        <v>4941</v>
      </c>
      <c r="Q2" s="673" t="s">
        <v>43</v>
      </c>
      <c r="R2" s="683" t="s">
        <v>603</v>
      </c>
      <c r="S2" s="673" t="s">
        <v>43</v>
      </c>
      <c r="T2" s="1422">
        <v>1199126942</v>
      </c>
      <c r="U2" s="1422" t="s">
        <v>4993</v>
      </c>
      <c r="V2" s="1422"/>
      <c r="W2" s="683" t="s">
        <v>4952</v>
      </c>
      <c r="X2" s="1422" t="s">
        <v>4993</v>
      </c>
      <c r="Y2" s="1529" t="s">
        <v>4950</v>
      </c>
      <c r="Z2" s="1529" t="s">
        <v>484</v>
      </c>
      <c r="AA2" s="219">
        <v>56550000</v>
      </c>
    </row>
    <row r="3" spans="1:27" s="27" customFormat="1" ht="19.5" customHeight="1">
      <c r="A3" s="1423"/>
      <c r="B3" s="1621"/>
      <c r="C3" s="1423"/>
      <c r="D3" s="1423"/>
      <c r="E3" s="1704"/>
      <c r="F3" s="1423"/>
      <c r="G3" s="64" t="s">
        <v>9270</v>
      </c>
      <c r="H3" s="30" t="s">
        <v>195</v>
      </c>
      <c r="I3" s="1508"/>
      <c r="J3" s="685" t="s">
        <v>204</v>
      </c>
      <c r="K3" s="1423"/>
      <c r="L3" s="1423"/>
      <c r="M3" s="676" t="s">
        <v>4949</v>
      </c>
      <c r="N3" s="675" t="s">
        <v>4943</v>
      </c>
      <c r="O3" s="673" t="s">
        <v>43</v>
      </c>
      <c r="P3" s="1521"/>
      <c r="Q3" s="673" t="s">
        <v>43</v>
      </c>
      <c r="R3" s="683" t="s">
        <v>4872</v>
      </c>
      <c r="S3" s="673" t="s">
        <v>43</v>
      </c>
      <c r="T3" s="1508"/>
      <c r="U3" s="1508"/>
      <c r="V3" s="1508"/>
      <c r="W3" s="683" t="s">
        <v>4951</v>
      </c>
      <c r="X3" s="1508"/>
      <c r="Y3" s="1530"/>
      <c r="Z3" s="1530"/>
      <c r="AA3" s="219">
        <v>36400000</v>
      </c>
    </row>
    <row r="4" spans="1:27" s="27" customFormat="1" ht="19.5" customHeight="1">
      <c r="A4" s="1423"/>
      <c r="B4" s="1621"/>
      <c r="C4" s="1423"/>
      <c r="D4" s="1423"/>
      <c r="E4" s="1704"/>
      <c r="F4" s="1423"/>
      <c r="G4" s="64" t="s">
        <v>9271</v>
      </c>
      <c r="H4" s="218" t="s">
        <v>7763</v>
      </c>
      <c r="I4" s="676" t="s">
        <v>260</v>
      </c>
      <c r="J4" s="685" t="s">
        <v>4926</v>
      </c>
      <c r="K4" s="1423"/>
      <c r="L4" s="1423"/>
      <c r="M4" s="1422" t="s">
        <v>4945</v>
      </c>
      <c r="N4" s="1422" t="s">
        <v>4944</v>
      </c>
      <c r="O4" s="673" t="s">
        <v>43</v>
      </c>
      <c r="P4" s="1521"/>
      <c r="Q4" s="683" t="s">
        <v>4940</v>
      </c>
      <c r="R4" s="683" t="s">
        <v>156</v>
      </c>
      <c r="S4" s="673" t="s">
        <v>43</v>
      </c>
      <c r="T4" s="673" t="s">
        <v>43</v>
      </c>
      <c r="U4" s="673" t="s">
        <v>43</v>
      </c>
      <c r="V4" s="673" t="s">
        <v>43</v>
      </c>
      <c r="W4" s="673" t="s">
        <v>43</v>
      </c>
      <c r="X4" s="676" t="s">
        <v>4873</v>
      </c>
      <c r="Y4" s="1530"/>
      <c r="Z4" s="1530"/>
      <c r="AA4" s="219">
        <v>35200000</v>
      </c>
    </row>
    <row r="5" spans="1:27" s="27" customFormat="1" ht="19.5" customHeight="1">
      <c r="A5" s="1423"/>
      <c r="B5" s="1621"/>
      <c r="C5" s="1423"/>
      <c r="D5" s="1423"/>
      <c r="E5" s="1704"/>
      <c r="F5" s="1423"/>
      <c r="G5" s="64" t="s">
        <v>9273</v>
      </c>
      <c r="H5" s="218" t="s">
        <v>7763</v>
      </c>
      <c r="I5" s="676" t="s">
        <v>260</v>
      </c>
      <c r="J5" s="685" t="s">
        <v>4926</v>
      </c>
      <c r="K5" s="1423"/>
      <c r="L5" s="1423"/>
      <c r="M5" s="1423"/>
      <c r="N5" s="1423"/>
      <c r="O5" s="673" t="s">
        <v>43</v>
      </c>
      <c r="P5" s="1521"/>
      <c r="Q5" s="683" t="s">
        <v>4940</v>
      </c>
      <c r="R5" s="683" t="s">
        <v>158</v>
      </c>
      <c r="S5" s="673" t="s">
        <v>43</v>
      </c>
      <c r="T5" s="673" t="s">
        <v>43</v>
      </c>
      <c r="U5" s="673" t="s">
        <v>43</v>
      </c>
      <c r="V5" s="673" t="s">
        <v>43</v>
      </c>
      <c r="W5" s="673" t="s">
        <v>43</v>
      </c>
      <c r="X5" s="676" t="s">
        <v>4873</v>
      </c>
      <c r="Y5" s="1530"/>
      <c r="Z5" s="1530"/>
      <c r="AA5" s="219">
        <v>35200000</v>
      </c>
    </row>
    <row r="6" spans="1:27" s="27" customFormat="1" ht="19.5" customHeight="1">
      <c r="A6" s="1423"/>
      <c r="B6" s="1621"/>
      <c r="C6" s="1423"/>
      <c r="D6" s="1423"/>
      <c r="E6" s="1704"/>
      <c r="F6" s="1423"/>
      <c r="G6" s="64" t="s">
        <v>9272</v>
      </c>
      <c r="H6" s="218" t="s">
        <v>7763</v>
      </c>
      <c r="I6" s="676" t="s">
        <v>260</v>
      </c>
      <c r="J6" s="685" t="s">
        <v>204</v>
      </c>
      <c r="K6" s="1423"/>
      <c r="L6" s="1423"/>
      <c r="M6" s="1423"/>
      <c r="N6" s="1423"/>
      <c r="O6" s="673" t="s">
        <v>43</v>
      </c>
      <c r="P6" s="1521"/>
      <c r="Q6" s="683" t="s">
        <v>4940</v>
      </c>
      <c r="R6" s="683" t="s">
        <v>4874</v>
      </c>
      <c r="S6" s="673" t="s">
        <v>43</v>
      </c>
      <c r="T6" s="673" t="s">
        <v>43</v>
      </c>
      <c r="U6" s="673" t="s">
        <v>43</v>
      </c>
      <c r="V6" s="673" t="s">
        <v>43</v>
      </c>
      <c r="W6" s="673" t="s">
        <v>43</v>
      </c>
      <c r="X6" s="676" t="s">
        <v>4873</v>
      </c>
      <c r="Y6" s="1530"/>
      <c r="Z6" s="1530"/>
      <c r="AA6" s="219">
        <v>43600000</v>
      </c>
    </row>
    <row r="7" spans="1:27" s="27" customFormat="1" ht="19.5" customHeight="1">
      <c r="A7" s="1423"/>
      <c r="B7" s="1621"/>
      <c r="C7" s="1423"/>
      <c r="D7" s="1423"/>
      <c r="E7" s="1704"/>
      <c r="F7" s="1423"/>
      <c r="G7" s="64" t="s">
        <v>9274</v>
      </c>
      <c r="H7" s="218" t="s">
        <v>7763</v>
      </c>
      <c r="I7" s="676" t="s">
        <v>260</v>
      </c>
      <c r="J7" s="685" t="s">
        <v>204</v>
      </c>
      <c r="K7" s="1423"/>
      <c r="L7" s="1423"/>
      <c r="M7" s="1508"/>
      <c r="N7" s="1508"/>
      <c r="O7" s="673" t="s">
        <v>43</v>
      </c>
      <c r="P7" s="1521"/>
      <c r="Q7" s="683" t="s">
        <v>4940</v>
      </c>
      <c r="R7" s="683" t="s">
        <v>4875</v>
      </c>
      <c r="S7" s="673" t="s">
        <v>43</v>
      </c>
      <c r="T7" s="673" t="s">
        <v>43</v>
      </c>
      <c r="U7" s="673" t="s">
        <v>43</v>
      </c>
      <c r="V7" s="673" t="s">
        <v>43</v>
      </c>
      <c r="W7" s="673" t="s">
        <v>43</v>
      </c>
      <c r="X7" s="676" t="s">
        <v>4873</v>
      </c>
      <c r="Y7" s="1530"/>
      <c r="Z7" s="1530"/>
      <c r="AA7" s="219">
        <v>43600000</v>
      </c>
    </row>
    <row r="8" spans="1:27" s="27" customFormat="1" ht="19.5" customHeight="1">
      <c r="A8" s="1423"/>
      <c r="B8" s="1621"/>
      <c r="C8" s="1423"/>
      <c r="D8" s="1423"/>
      <c r="E8" s="1704"/>
      <c r="F8" s="1423"/>
      <c r="G8" s="64" t="s">
        <v>4876</v>
      </c>
      <c r="H8" s="686" t="s">
        <v>3185</v>
      </c>
      <c r="I8" s="676" t="s">
        <v>168</v>
      </c>
      <c r="J8" s="685" t="s">
        <v>204</v>
      </c>
      <c r="K8" s="1423"/>
      <c r="L8" s="1423"/>
      <c r="M8" s="676" t="s">
        <v>4877</v>
      </c>
      <c r="N8" s="676" t="s">
        <v>4878</v>
      </c>
      <c r="O8" s="673" t="s">
        <v>43</v>
      </c>
      <c r="P8" s="1521"/>
      <c r="Q8" s="673" t="s">
        <v>43</v>
      </c>
      <c r="R8" s="683" t="s">
        <v>4879</v>
      </c>
      <c r="S8" s="673" t="s">
        <v>43</v>
      </c>
      <c r="T8" s="673" t="s">
        <v>43</v>
      </c>
      <c r="U8" s="673" t="s">
        <v>43</v>
      </c>
      <c r="V8" s="673" t="s">
        <v>43</v>
      </c>
      <c r="W8" s="683" t="s">
        <v>4880</v>
      </c>
      <c r="X8" s="676" t="s">
        <v>4871</v>
      </c>
      <c r="Y8" s="1530"/>
      <c r="Z8" s="1530"/>
      <c r="AA8" s="219">
        <v>15680000</v>
      </c>
    </row>
    <row r="9" spans="1:27" s="27" customFormat="1" ht="19.5" customHeight="1">
      <c r="A9" s="1508"/>
      <c r="B9" s="1513"/>
      <c r="C9" s="1423"/>
      <c r="D9" s="1508"/>
      <c r="E9" s="1705"/>
      <c r="F9" s="1423"/>
      <c r="G9" s="673" t="s">
        <v>43</v>
      </c>
      <c r="H9" s="676" t="s">
        <v>51</v>
      </c>
      <c r="I9" s="676" t="s">
        <v>45</v>
      </c>
      <c r="J9" s="685" t="s">
        <v>11886</v>
      </c>
      <c r="K9" s="1508"/>
      <c r="L9" s="1508"/>
      <c r="M9" s="676" t="s">
        <v>4881</v>
      </c>
      <c r="N9" s="675" t="s">
        <v>4942</v>
      </c>
      <c r="O9" s="673" t="s">
        <v>43</v>
      </c>
      <c r="P9" s="1522"/>
      <c r="Q9" s="673" t="s">
        <v>43</v>
      </c>
      <c r="R9" s="683" t="s">
        <v>3357</v>
      </c>
      <c r="S9" s="673" t="s">
        <v>43</v>
      </c>
      <c r="T9" s="673" t="s">
        <v>43</v>
      </c>
      <c r="U9" s="673" t="s">
        <v>43</v>
      </c>
      <c r="V9" s="673" t="s">
        <v>43</v>
      </c>
      <c r="W9" s="683" t="s">
        <v>4882</v>
      </c>
      <c r="X9" s="676" t="s">
        <v>56</v>
      </c>
      <c r="Y9" s="1531"/>
      <c r="Z9" s="1531"/>
      <c r="AA9" s="303">
        <v>0</v>
      </c>
    </row>
    <row r="10" spans="1:27" s="27" customFormat="1" ht="15.75" customHeight="1">
      <c r="A10" s="1422">
        <v>2</v>
      </c>
      <c r="B10" s="1512">
        <v>256</v>
      </c>
      <c r="C10" s="1423"/>
      <c r="D10" s="1422" t="s">
        <v>4883</v>
      </c>
      <c r="E10" s="1422" t="s">
        <v>4883</v>
      </c>
      <c r="F10" s="1423"/>
      <c r="G10" s="64" t="s">
        <v>4909</v>
      </c>
      <c r="H10" s="218" t="s">
        <v>7763</v>
      </c>
      <c r="I10" s="676" t="s">
        <v>60</v>
      </c>
      <c r="J10" s="685" t="s">
        <v>205</v>
      </c>
      <c r="K10" s="1422" t="s">
        <v>14819</v>
      </c>
      <c r="L10" s="1422" t="s">
        <v>14820</v>
      </c>
      <c r="M10" s="48" t="s">
        <v>221</v>
      </c>
      <c r="N10" s="676" t="s">
        <v>14348</v>
      </c>
      <c r="O10" s="673" t="s">
        <v>43</v>
      </c>
      <c r="P10" s="1520" t="s">
        <v>4930</v>
      </c>
      <c r="Q10" s="64" t="s">
        <v>1647</v>
      </c>
      <c r="R10" s="64" t="s">
        <v>166</v>
      </c>
      <c r="S10" s="673" t="s">
        <v>43</v>
      </c>
      <c r="T10" s="673" t="s">
        <v>43</v>
      </c>
      <c r="U10" s="673" t="s">
        <v>43</v>
      </c>
      <c r="V10" s="673" t="s">
        <v>43</v>
      </c>
      <c r="W10" s="673" t="s">
        <v>43</v>
      </c>
      <c r="X10" s="676" t="s">
        <v>167</v>
      </c>
      <c r="Y10" s="1422" t="s">
        <v>202</v>
      </c>
      <c r="Z10" s="1529" t="s">
        <v>65</v>
      </c>
      <c r="AA10" s="219">
        <v>12800000</v>
      </c>
    </row>
    <row r="11" spans="1:27" s="27" customFormat="1" ht="19.5" customHeight="1">
      <c r="A11" s="1508"/>
      <c r="B11" s="1513"/>
      <c r="C11" s="1423"/>
      <c r="D11" s="1508"/>
      <c r="E11" s="1508"/>
      <c r="F11" s="1423"/>
      <c r="G11" s="64">
        <v>607191</v>
      </c>
      <c r="H11" s="30" t="s">
        <v>195</v>
      </c>
      <c r="I11" s="676" t="s">
        <v>168</v>
      </c>
      <c r="J11" s="685" t="s">
        <v>199</v>
      </c>
      <c r="K11" s="1508"/>
      <c r="L11" s="1508"/>
      <c r="M11" s="676" t="s">
        <v>4884</v>
      </c>
      <c r="N11" s="675" t="s">
        <v>4954</v>
      </c>
      <c r="O11" s="673" t="s">
        <v>43</v>
      </c>
      <c r="P11" s="1522"/>
      <c r="Q11" s="673" t="s">
        <v>43</v>
      </c>
      <c r="R11" s="683" t="s">
        <v>68</v>
      </c>
      <c r="S11" s="673" t="s">
        <v>43</v>
      </c>
      <c r="T11" s="673" t="s">
        <v>43</v>
      </c>
      <c r="U11" s="673" t="s">
        <v>43</v>
      </c>
      <c r="V11" s="673" t="s">
        <v>43</v>
      </c>
      <c r="W11" s="673" t="s">
        <v>43</v>
      </c>
      <c r="X11" s="676" t="s">
        <v>4885</v>
      </c>
      <c r="Y11" s="1508"/>
      <c r="Z11" s="1531"/>
      <c r="AA11" s="219">
        <v>20800000</v>
      </c>
    </row>
    <row r="12" spans="1:27" s="27" customFormat="1" ht="15.75" customHeight="1">
      <c r="A12" s="1422">
        <v>3</v>
      </c>
      <c r="B12" s="1644">
        <v>257</v>
      </c>
      <c r="C12" s="1423"/>
      <c r="D12" s="1422" t="s">
        <v>4892</v>
      </c>
      <c r="E12" s="1422" t="s">
        <v>4892</v>
      </c>
      <c r="F12" s="1423"/>
      <c r="G12" s="64" t="s">
        <v>4923</v>
      </c>
      <c r="H12" s="218" t="s">
        <v>7763</v>
      </c>
      <c r="I12" s="1422" t="s">
        <v>668</v>
      </c>
      <c r="J12" s="685" t="s">
        <v>204</v>
      </c>
      <c r="K12" s="1517" t="s">
        <v>14349</v>
      </c>
      <c r="L12" s="1517" t="s">
        <v>14821</v>
      </c>
      <c r="M12" s="48" t="s">
        <v>4956</v>
      </c>
      <c r="N12" s="676" t="s">
        <v>4955</v>
      </c>
      <c r="O12" s="673" t="s">
        <v>43</v>
      </c>
      <c r="P12" s="1520" t="s">
        <v>4939</v>
      </c>
      <c r="Q12" s="64" t="s">
        <v>4924</v>
      </c>
      <c r="R12" s="64" t="s">
        <v>4957</v>
      </c>
      <c r="S12" s="673" t="s">
        <v>43</v>
      </c>
      <c r="T12" s="1422">
        <v>1199124481</v>
      </c>
      <c r="U12" s="1422" t="s">
        <v>4992</v>
      </c>
      <c r="V12" s="1422"/>
      <c r="W12" s="683" t="s">
        <v>4960</v>
      </c>
      <c r="X12" s="1422" t="s">
        <v>4992</v>
      </c>
      <c r="Y12" s="1422" t="s">
        <v>202</v>
      </c>
      <c r="Z12" s="1529" t="s">
        <v>65</v>
      </c>
      <c r="AA12" s="219">
        <v>53760000</v>
      </c>
    </row>
    <row r="13" spans="1:27" s="27" customFormat="1" ht="15.75" customHeight="1">
      <c r="A13" s="1508"/>
      <c r="B13" s="1645"/>
      <c r="C13" s="1423"/>
      <c r="D13" s="1508"/>
      <c r="E13" s="1508"/>
      <c r="F13" s="1423"/>
      <c r="G13" s="64" t="s">
        <v>9275</v>
      </c>
      <c r="H13" s="30" t="s">
        <v>195</v>
      </c>
      <c r="I13" s="1508"/>
      <c r="J13" s="682" t="s">
        <v>199</v>
      </c>
      <c r="K13" s="1519"/>
      <c r="L13" s="1519"/>
      <c r="M13" s="676" t="s">
        <v>4925</v>
      </c>
      <c r="N13" s="675" t="s">
        <v>4959</v>
      </c>
      <c r="O13" s="673" t="s">
        <v>43</v>
      </c>
      <c r="P13" s="1522"/>
      <c r="Q13" s="673" t="s">
        <v>43</v>
      </c>
      <c r="R13" s="683" t="s">
        <v>4958</v>
      </c>
      <c r="S13" s="673" t="s">
        <v>43</v>
      </c>
      <c r="T13" s="1508"/>
      <c r="U13" s="1508"/>
      <c r="V13" s="1508"/>
      <c r="W13" s="683" t="s">
        <v>4961</v>
      </c>
      <c r="X13" s="1508"/>
      <c r="Y13" s="1508"/>
      <c r="Z13" s="1531"/>
      <c r="AA13" s="219">
        <v>20800000</v>
      </c>
    </row>
    <row r="14" spans="1:27" s="27" customFormat="1" ht="15.75" customHeight="1">
      <c r="A14" s="1422">
        <v>4</v>
      </c>
      <c r="B14" s="1644">
        <v>282</v>
      </c>
      <c r="C14" s="1423"/>
      <c r="D14" s="1422" t="s">
        <v>4886</v>
      </c>
      <c r="E14" s="1422" t="s">
        <v>4887</v>
      </c>
      <c r="F14" s="1423"/>
      <c r="G14" s="64" t="s">
        <v>4888</v>
      </c>
      <c r="H14" s="218" t="s">
        <v>7763</v>
      </c>
      <c r="I14" s="676" t="s">
        <v>60</v>
      </c>
      <c r="J14" s="682" t="s">
        <v>4927</v>
      </c>
      <c r="K14" s="1526" t="s">
        <v>14822</v>
      </c>
      <c r="L14" s="1528" t="s">
        <v>14823</v>
      </c>
      <c r="M14" s="48" t="s">
        <v>221</v>
      </c>
      <c r="N14" s="676" t="s">
        <v>14350</v>
      </c>
      <c r="O14" s="673" t="s">
        <v>43</v>
      </c>
      <c r="P14" s="1520" t="s">
        <v>4931</v>
      </c>
      <c r="Q14" s="64" t="s">
        <v>176</v>
      </c>
      <c r="R14" s="64" t="s">
        <v>166</v>
      </c>
      <c r="S14" s="673" t="s">
        <v>43</v>
      </c>
      <c r="T14" s="673" t="s">
        <v>43</v>
      </c>
      <c r="U14" s="673" t="s">
        <v>43</v>
      </c>
      <c r="V14" s="673" t="s">
        <v>43</v>
      </c>
      <c r="W14" s="673" t="s">
        <v>43</v>
      </c>
      <c r="X14" s="676" t="s">
        <v>167</v>
      </c>
      <c r="Y14" s="1422" t="s">
        <v>202</v>
      </c>
      <c r="Z14" s="1529" t="s">
        <v>65</v>
      </c>
      <c r="AA14" s="219">
        <v>17600000</v>
      </c>
    </row>
    <row r="15" spans="1:27" s="27" customFormat="1" ht="15.75" customHeight="1">
      <c r="A15" s="1508"/>
      <c r="B15" s="1645"/>
      <c r="C15" s="1423"/>
      <c r="D15" s="1508"/>
      <c r="E15" s="1508"/>
      <c r="F15" s="1423"/>
      <c r="G15" s="64">
        <v>607192</v>
      </c>
      <c r="H15" s="30" t="s">
        <v>195</v>
      </c>
      <c r="I15" s="676" t="s">
        <v>168</v>
      </c>
      <c r="J15" s="682" t="s">
        <v>199</v>
      </c>
      <c r="K15" s="1527"/>
      <c r="L15" s="1528"/>
      <c r="M15" s="676" t="s">
        <v>4889</v>
      </c>
      <c r="N15" s="675" t="s">
        <v>4962</v>
      </c>
      <c r="O15" s="673" t="s">
        <v>43</v>
      </c>
      <c r="P15" s="1522"/>
      <c r="Q15" s="673" t="s">
        <v>43</v>
      </c>
      <c r="R15" s="683" t="s">
        <v>68</v>
      </c>
      <c r="S15" s="673" t="s">
        <v>43</v>
      </c>
      <c r="T15" s="673" t="s">
        <v>43</v>
      </c>
      <c r="U15" s="673" t="s">
        <v>43</v>
      </c>
      <c r="V15" s="673" t="s">
        <v>43</v>
      </c>
      <c r="W15" s="673" t="s">
        <v>43</v>
      </c>
      <c r="X15" s="676" t="s">
        <v>4885</v>
      </c>
      <c r="Y15" s="1508"/>
      <c r="Z15" s="1531"/>
      <c r="AA15" s="219">
        <v>20800000</v>
      </c>
    </row>
    <row r="16" spans="1:27" s="27" customFormat="1" ht="15.75" customHeight="1">
      <c r="A16" s="1422">
        <v>5</v>
      </c>
      <c r="B16" s="1644">
        <v>283</v>
      </c>
      <c r="C16" s="1423"/>
      <c r="D16" s="1422" t="s">
        <v>4890</v>
      </c>
      <c r="E16" s="1422" t="s">
        <v>4890</v>
      </c>
      <c r="F16" s="1423"/>
      <c r="G16" s="64" t="s">
        <v>9276</v>
      </c>
      <c r="H16" s="218" t="s">
        <v>7763</v>
      </c>
      <c r="I16" s="676" t="s">
        <v>60</v>
      </c>
      <c r="J16" s="682" t="s">
        <v>205</v>
      </c>
      <c r="K16" s="1526" t="s">
        <v>14824</v>
      </c>
      <c r="L16" s="1528" t="s">
        <v>14825</v>
      </c>
      <c r="M16" s="48" t="s">
        <v>221</v>
      </c>
      <c r="N16" s="676" t="s">
        <v>14351</v>
      </c>
      <c r="O16" s="673" t="s">
        <v>43</v>
      </c>
      <c r="P16" s="1520" t="s">
        <v>4932</v>
      </c>
      <c r="Q16" s="64" t="s">
        <v>2082</v>
      </c>
      <c r="R16" s="64" t="s">
        <v>166</v>
      </c>
      <c r="S16" s="673" t="s">
        <v>43</v>
      </c>
      <c r="T16" s="673" t="s">
        <v>43</v>
      </c>
      <c r="U16" s="673" t="s">
        <v>43</v>
      </c>
      <c r="V16" s="673" t="s">
        <v>43</v>
      </c>
      <c r="W16" s="673" t="s">
        <v>43</v>
      </c>
      <c r="X16" s="676" t="s">
        <v>167</v>
      </c>
      <c r="Y16" s="1422" t="s">
        <v>202</v>
      </c>
      <c r="Z16" s="1529" t="s">
        <v>65</v>
      </c>
      <c r="AA16" s="219">
        <v>12800000</v>
      </c>
    </row>
    <row r="17" spans="1:28" s="27" customFormat="1" ht="15.75" customHeight="1">
      <c r="A17" s="1508"/>
      <c r="B17" s="1645"/>
      <c r="C17" s="1423"/>
      <c r="D17" s="1508"/>
      <c r="E17" s="1508"/>
      <c r="F17" s="1423"/>
      <c r="G17" s="64">
        <v>607195</v>
      </c>
      <c r="H17" s="30" t="s">
        <v>195</v>
      </c>
      <c r="I17" s="676" t="s">
        <v>168</v>
      </c>
      <c r="J17" s="682" t="s">
        <v>199</v>
      </c>
      <c r="K17" s="1527"/>
      <c r="L17" s="1528"/>
      <c r="M17" s="676" t="s">
        <v>4891</v>
      </c>
      <c r="N17" s="675" t="s">
        <v>4963</v>
      </c>
      <c r="O17" s="673" t="s">
        <v>43</v>
      </c>
      <c r="P17" s="1522"/>
      <c r="Q17" s="673" t="s">
        <v>43</v>
      </c>
      <c r="R17" s="683" t="s">
        <v>68</v>
      </c>
      <c r="S17" s="673" t="s">
        <v>43</v>
      </c>
      <c r="T17" s="673" t="s">
        <v>43</v>
      </c>
      <c r="U17" s="673" t="s">
        <v>43</v>
      </c>
      <c r="V17" s="673" t="s">
        <v>43</v>
      </c>
      <c r="W17" s="673" t="s">
        <v>43</v>
      </c>
      <c r="X17" s="676" t="s">
        <v>4885</v>
      </c>
      <c r="Y17" s="1508"/>
      <c r="Z17" s="1531"/>
      <c r="AA17" s="219">
        <v>20800000</v>
      </c>
    </row>
    <row r="18" spans="1:28" s="27" customFormat="1" ht="15.75" customHeight="1">
      <c r="A18" s="1422">
        <v>6</v>
      </c>
      <c r="B18" s="1644">
        <v>291</v>
      </c>
      <c r="C18" s="1423"/>
      <c r="D18" s="1422" t="s">
        <v>4892</v>
      </c>
      <c r="E18" s="1422" t="s">
        <v>4893</v>
      </c>
      <c r="F18" s="1423"/>
      <c r="G18" s="64" t="s">
        <v>9277</v>
      </c>
      <c r="H18" s="218" t="s">
        <v>7763</v>
      </c>
      <c r="I18" s="676" t="s">
        <v>60</v>
      </c>
      <c r="J18" s="682" t="s">
        <v>205</v>
      </c>
      <c r="K18" s="1422" t="s">
        <v>14828</v>
      </c>
      <c r="L18" s="1422" t="s">
        <v>14826</v>
      </c>
      <c r="M18" s="48" t="s">
        <v>4965</v>
      </c>
      <c r="N18" s="676" t="s">
        <v>14352</v>
      </c>
      <c r="O18" s="673" t="s">
        <v>43</v>
      </c>
      <c r="P18" s="1520" t="s">
        <v>4933</v>
      </c>
      <c r="Q18" s="64" t="s">
        <v>176</v>
      </c>
      <c r="R18" s="64" t="s">
        <v>166</v>
      </c>
      <c r="S18" s="673" t="s">
        <v>43</v>
      </c>
      <c r="T18" s="673" t="s">
        <v>43</v>
      </c>
      <c r="U18" s="673" t="s">
        <v>43</v>
      </c>
      <c r="V18" s="673" t="s">
        <v>43</v>
      </c>
      <c r="W18" s="673" t="s">
        <v>43</v>
      </c>
      <c r="X18" s="676" t="s">
        <v>167</v>
      </c>
      <c r="Y18" s="1422" t="s">
        <v>202</v>
      </c>
      <c r="Z18" s="1529" t="s">
        <v>65</v>
      </c>
      <c r="AA18" s="219">
        <v>8960000</v>
      </c>
    </row>
    <row r="19" spans="1:28" s="27" customFormat="1" ht="15.75" customHeight="1">
      <c r="A19" s="1508"/>
      <c r="B19" s="1645"/>
      <c r="C19" s="1423"/>
      <c r="D19" s="1508"/>
      <c r="E19" s="1508"/>
      <c r="F19" s="1423"/>
      <c r="G19" s="64" t="s">
        <v>4894</v>
      </c>
      <c r="H19" s="30" t="s">
        <v>195</v>
      </c>
      <c r="I19" s="676" t="s">
        <v>168</v>
      </c>
      <c r="J19" s="682" t="s">
        <v>199</v>
      </c>
      <c r="K19" s="1508"/>
      <c r="L19" s="1508"/>
      <c r="M19" s="676" t="s">
        <v>4895</v>
      </c>
      <c r="N19" s="675" t="s">
        <v>4964</v>
      </c>
      <c r="O19" s="673" t="s">
        <v>43</v>
      </c>
      <c r="P19" s="1522"/>
      <c r="Q19" s="673" t="s">
        <v>43</v>
      </c>
      <c r="R19" s="683" t="s">
        <v>68</v>
      </c>
      <c r="S19" s="673" t="s">
        <v>43</v>
      </c>
      <c r="T19" s="673" t="s">
        <v>43</v>
      </c>
      <c r="U19" s="673" t="s">
        <v>43</v>
      </c>
      <c r="V19" s="673" t="s">
        <v>43</v>
      </c>
      <c r="W19" s="673" t="s">
        <v>43</v>
      </c>
      <c r="X19" s="676" t="s">
        <v>4885</v>
      </c>
      <c r="Y19" s="1508"/>
      <c r="Z19" s="1531"/>
      <c r="AA19" s="219">
        <v>20800000</v>
      </c>
    </row>
    <row r="20" spans="1:28" s="27" customFormat="1" ht="15.75" customHeight="1">
      <c r="A20" s="1422">
        <v>7</v>
      </c>
      <c r="B20" s="1644">
        <v>310</v>
      </c>
      <c r="C20" s="1423"/>
      <c r="D20" s="1422" t="s">
        <v>4896</v>
      </c>
      <c r="E20" s="1422" t="s">
        <v>4896</v>
      </c>
      <c r="F20" s="1423"/>
      <c r="G20" s="64" t="s">
        <v>4897</v>
      </c>
      <c r="H20" s="218" t="s">
        <v>7763</v>
      </c>
      <c r="I20" s="676" t="s">
        <v>60</v>
      </c>
      <c r="J20" s="682" t="s">
        <v>205</v>
      </c>
      <c r="K20" s="1422" t="s">
        <v>14827</v>
      </c>
      <c r="L20" s="1422" t="s">
        <v>14829</v>
      </c>
      <c r="M20" s="48" t="s">
        <v>221</v>
      </c>
      <c r="N20" s="676" t="s">
        <v>14353</v>
      </c>
      <c r="O20" s="673" t="s">
        <v>43</v>
      </c>
      <c r="P20" s="1520" t="s">
        <v>4934</v>
      </c>
      <c r="Q20" s="64" t="s">
        <v>2082</v>
      </c>
      <c r="R20" s="64" t="s">
        <v>166</v>
      </c>
      <c r="S20" s="673" t="s">
        <v>43</v>
      </c>
      <c r="T20" s="673" t="s">
        <v>43</v>
      </c>
      <c r="U20" s="673" t="s">
        <v>43</v>
      </c>
      <c r="V20" s="673" t="s">
        <v>43</v>
      </c>
      <c r="W20" s="673" t="s">
        <v>43</v>
      </c>
      <c r="X20" s="676" t="s">
        <v>167</v>
      </c>
      <c r="Y20" s="1422" t="s">
        <v>202</v>
      </c>
      <c r="Z20" s="1529" t="s">
        <v>65</v>
      </c>
      <c r="AA20" s="219">
        <v>12800000</v>
      </c>
    </row>
    <row r="21" spans="1:28" s="27" customFormat="1" ht="15.75" customHeight="1">
      <c r="A21" s="1508"/>
      <c r="B21" s="1645"/>
      <c r="C21" s="1423"/>
      <c r="D21" s="1508"/>
      <c r="E21" s="1508"/>
      <c r="F21" s="1423"/>
      <c r="G21" s="64">
        <v>607198</v>
      </c>
      <c r="H21" s="30" t="s">
        <v>195</v>
      </c>
      <c r="I21" s="676" t="s">
        <v>168</v>
      </c>
      <c r="J21" s="682" t="s">
        <v>199</v>
      </c>
      <c r="K21" s="1508"/>
      <c r="L21" s="1508"/>
      <c r="M21" s="676" t="s">
        <v>4898</v>
      </c>
      <c r="N21" s="675" t="s">
        <v>4966</v>
      </c>
      <c r="O21" s="673" t="s">
        <v>43</v>
      </c>
      <c r="P21" s="1522"/>
      <c r="Q21" s="673" t="s">
        <v>43</v>
      </c>
      <c r="R21" s="683" t="s">
        <v>68</v>
      </c>
      <c r="S21" s="673" t="s">
        <v>43</v>
      </c>
      <c r="T21" s="673" t="s">
        <v>43</v>
      </c>
      <c r="U21" s="673" t="s">
        <v>43</v>
      </c>
      <c r="V21" s="673" t="s">
        <v>43</v>
      </c>
      <c r="W21" s="673" t="s">
        <v>43</v>
      </c>
      <c r="X21" s="676" t="s">
        <v>4885</v>
      </c>
      <c r="Y21" s="1508"/>
      <c r="Z21" s="1531"/>
      <c r="AA21" s="219">
        <v>20800000</v>
      </c>
    </row>
    <row r="22" spans="1:28" s="27" customFormat="1" ht="15.75" customHeight="1">
      <c r="A22" s="1422">
        <v>8</v>
      </c>
      <c r="B22" s="1644">
        <v>311</v>
      </c>
      <c r="C22" s="1423"/>
      <c r="D22" s="1706" t="s">
        <v>4899</v>
      </c>
      <c r="E22" s="1706" t="s">
        <v>4899</v>
      </c>
      <c r="F22" s="1423"/>
      <c r="G22" s="64" t="s">
        <v>9278</v>
      </c>
      <c r="H22" s="218" t="s">
        <v>7763</v>
      </c>
      <c r="I22" s="1422" t="s">
        <v>668</v>
      </c>
      <c r="J22" s="682" t="s">
        <v>204</v>
      </c>
      <c r="K22" s="1422" t="s">
        <v>14830</v>
      </c>
      <c r="L22" s="1422" t="s">
        <v>14831</v>
      </c>
      <c r="M22" s="48" t="s">
        <v>4969</v>
      </c>
      <c r="N22" s="676" t="s">
        <v>4968</v>
      </c>
      <c r="O22" s="673" t="s">
        <v>43</v>
      </c>
      <c r="P22" s="1520" t="s">
        <v>4935</v>
      </c>
      <c r="Q22" s="64" t="s">
        <v>2082</v>
      </c>
      <c r="R22" s="64" t="s">
        <v>4970</v>
      </c>
      <c r="S22" s="673" t="s">
        <v>43</v>
      </c>
      <c r="T22" s="673" t="s">
        <v>43</v>
      </c>
      <c r="U22" s="673" t="s">
        <v>43</v>
      </c>
      <c r="V22" s="673" t="s">
        <v>43</v>
      </c>
      <c r="W22" s="683" t="s">
        <v>4972</v>
      </c>
      <c r="X22" s="676" t="s">
        <v>4971</v>
      </c>
      <c r="Y22" s="1422" t="s">
        <v>202</v>
      </c>
      <c r="Z22" s="1529" t="s">
        <v>65</v>
      </c>
      <c r="AA22" s="219">
        <v>53760000</v>
      </c>
      <c r="AB22" s="288"/>
    </row>
    <row r="23" spans="1:28" s="27" customFormat="1" ht="15.75" customHeight="1">
      <c r="A23" s="1508"/>
      <c r="B23" s="1645"/>
      <c r="C23" s="1423"/>
      <c r="D23" s="1707"/>
      <c r="E23" s="1707"/>
      <c r="F23" s="1423"/>
      <c r="G23" s="64" t="s">
        <v>9279</v>
      </c>
      <c r="H23" s="30" t="s">
        <v>195</v>
      </c>
      <c r="I23" s="1508"/>
      <c r="J23" s="682" t="s">
        <v>199</v>
      </c>
      <c r="K23" s="1508"/>
      <c r="L23" s="1508"/>
      <c r="M23" s="676" t="s">
        <v>4900</v>
      </c>
      <c r="N23" s="675" t="s">
        <v>4967</v>
      </c>
      <c r="O23" s="673" t="s">
        <v>43</v>
      </c>
      <c r="P23" s="1522"/>
      <c r="Q23" s="673" t="s">
        <v>43</v>
      </c>
      <c r="R23" s="683" t="s">
        <v>68</v>
      </c>
      <c r="S23" s="673" t="s">
        <v>43</v>
      </c>
      <c r="T23" s="673" t="s">
        <v>43</v>
      </c>
      <c r="U23" s="673" t="s">
        <v>43</v>
      </c>
      <c r="V23" s="673" t="s">
        <v>43</v>
      </c>
      <c r="W23" s="673" t="s">
        <v>43</v>
      </c>
      <c r="X23" s="676" t="s">
        <v>4885</v>
      </c>
      <c r="Y23" s="1508"/>
      <c r="Z23" s="1531"/>
      <c r="AA23" s="219">
        <v>20800000</v>
      </c>
    </row>
    <row r="24" spans="1:28" s="27" customFormat="1" ht="15.75" customHeight="1">
      <c r="A24" s="1422">
        <v>9</v>
      </c>
      <c r="B24" s="1660">
        <v>324</v>
      </c>
      <c r="C24" s="1423"/>
      <c r="D24" s="1657" t="s">
        <v>4901</v>
      </c>
      <c r="E24" s="1657" t="s">
        <v>4901</v>
      </c>
      <c r="F24" s="1423"/>
      <c r="G24" s="64" t="s">
        <v>9280</v>
      </c>
      <c r="H24" s="218" t="s">
        <v>7763</v>
      </c>
      <c r="I24" s="676" t="s">
        <v>60</v>
      </c>
      <c r="J24" s="682" t="s">
        <v>205</v>
      </c>
      <c r="K24" s="1422" t="s">
        <v>14832</v>
      </c>
      <c r="L24" s="1422" t="s">
        <v>14833</v>
      </c>
      <c r="M24" s="48" t="s">
        <v>221</v>
      </c>
      <c r="N24" s="676" t="s">
        <v>14354</v>
      </c>
      <c r="O24" s="673" t="s">
        <v>43</v>
      </c>
      <c r="P24" s="1520" t="s">
        <v>4936</v>
      </c>
      <c r="Q24" s="64" t="s">
        <v>176</v>
      </c>
      <c r="R24" s="64" t="s">
        <v>166</v>
      </c>
      <c r="S24" s="673" t="s">
        <v>43</v>
      </c>
      <c r="T24" s="673" t="s">
        <v>43</v>
      </c>
      <c r="U24" s="673" t="s">
        <v>43</v>
      </c>
      <c r="V24" s="673" t="s">
        <v>43</v>
      </c>
      <c r="W24" s="673" t="s">
        <v>43</v>
      </c>
      <c r="X24" s="676" t="s">
        <v>167</v>
      </c>
      <c r="Y24" s="1422" t="s">
        <v>202</v>
      </c>
      <c r="Z24" s="1529" t="s">
        <v>65</v>
      </c>
      <c r="AA24" s="219">
        <v>12800000</v>
      </c>
    </row>
    <row r="25" spans="1:28" s="27" customFormat="1" ht="15.75" customHeight="1">
      <c r="A25" s="1508"/>
      <c r="B25" s="1662"/>
      <c r="C25" s="1423"/>
      <c r="D25" s="1659"/>
      <c r="E25" s="1659"/>
      <c r="F25" s="1423"/>
      <c r="G25" s="64" t="s">
        <v>9281</v>
      </c>
      <c r="H25" s="30" t="s">
        <v>195</v>
      </c>
      <c r="I25" s="676" t="s">
        <v>168</v>
      </c>
      <c r="J25" s="682" t="s">
        <v>199</v>
      </c>
      <c r="K25" s="1508"/>
      <c r="L25" s="1508"/>
      <c r="M25" s="676" t="s">
        <v>4902</v>
      </c>
      <c r="N25" s="675" t="s">
        <v>4973</v>
      </c>
      <c r="O25" s="673" t="s">
        <v>43</v>
      </c>
      <c r="P25" s="1522"/>
      <c r="Q25" s="673" t="s">
        <v>43</v>
      </c>
      <c r="R25" s="683" t="s">
        <v>68</v>
      </c>
      <c r="S25" s="673" t="s">
        <v>43</v>
      </c>
      <c r="T25" s="673" t="s">
        <v>43</v>
      </c>
      <c r="U25" s="673" t="s">
        <v>43</v>
      </c>
      <c r="V25" s="673" t="s">
        <v>43</v>
      </c>
      <c r="W25" s="673" t="s">
        <v>43</v>
      </c>
      <c r="X25" s="676" t="s">
        <v>4885</v>
      </c>
      <c r="Y25" s="1508"/>
      <c r="Z25" s="1531"/>
      <c r="AA25" s="219">
        <v>20800000</v>
      </c>
    </row>
    <row r="26" spans="1:28" s="27" customFormat="1" ht="15.75" customHeight="1">
      <c r="A26" s="1422">
        <v>10</v>
      </c>
      <c r="B26" s="1660">
        <v>326</v>
      </c>
      <c r="C26" s="1423"/>
      <c r="D26" s="1657" t="s">
        <v>4869</v>
      </c>
      <c r="E26" s="1657" t="s">
        <v>4903</v>
      </c>
      <c r="F26" s="1423"/>
      <c r="G26" s="64" t="s">
        <v>4904</v>
      </c>
      <c r="H26" s="218" t="s">
        <v>7763</v>
      </c>
      <c r="I26" s="676" t="s">
        <v>60</v>
      </c>
      <c r="J26" s="682" t="s">
        <v>4927</v>
      </c>
      <c r="K26" s="1422" t="s">
        <v>14834</v>
      </c>
      <c r="L26" s="1422" t="s">
        <v>14835</v>
      </c>
      <c r="M26" s="48" t="s">
        <v>221</v>
      </c>
      <c r="N26" s="676" t="s">
        <v>14355</v>
      </c>
      <c r="O26" s="673" t="s">
        <v>43</v>
      </c>
      <c r="P26" s="1520" t="s">
        <v>4937</v>
      </c>
      <c r="Q26" s="64" t="s">
        <v>176</v>
      </c>
      <c r="R26" s="64" t="s">
        <v>166</v>
      </c>
      <c r="S26" s="673" t="s">
        <v>43</v>
      </c>
      <c r="T26" s="673" t="s">
        <v>43</v>
      </c>
      <c r="U26" s="673" t="s">
        <v>43</v>
      </c>
      <c r="V26" s="673" t="s">
        <v>43</v>
      </c>
      <c r="W26" s="673" t="s">
        <v>43</v>
      </c>
      <c r="X26" s="676" t="s">
        <v>167</v>
      </c>
      <c r="Y26" s="1422" t="s">
        <v>202</v>
      </c>
      <c r="Z26" s="1529" t="s">
        <v>65</v>
      </c>
      <c r="AA26" s="219">
        <v>17600000</v>
      </c>
    </row>
    <row r="27" spans="1:28" s="27" customFormat="1" ht="15.75" customHeight="1">
      <c r="A27" s="1508"/>
      <c r="B27" s="1662"/>
      <c r="C27" s="1423"/>
      <c r="D27" s="1659"/>
      <c r="E27" s="1659"/>
      <c r="F27" s="1423"/>
      <c r="G27" s="64">
        <v>592668</v>
      </c>
      <c r="H27" s="30" t="s">
        <v>195</v>
      </c>
      <c r="I27" s="676" t="s">
        <v>168</v>
      </c>
      <c r="J27" s="682" t="s">
        <v>199</v>
      </c>
      <c r="K27" s="1508"/>
      <c r="L27" s="1508"/>
      <c r="M27" s="676" t="s">
        <v>4905</v>
      </c>
      <c r="N27" s="675" t="s">
        <v>4974</v>
      </c>
      <c r="O27" s="673" t="s">
        <v>43</v>
      </c>
      <c r="P27" s="1522"/>
      <c r="Q27" s="673" t="s">
        <v>43</v>
      </c>
      <c r="R27" s="683" t="s">
        <v>68</v>
      </c>
      <c r="S27" s="673" t="s">
        <v>43</v>
      </c>
      <c r="T27" s="673" t="s">
        <v>43</v>
      </c>
      <c r="U27" s="673" t="s">
        <v>43</v>
      </c>
      <c r="V27" s="673" t="s">
        <v>43</v>
      </c>
      <c r="W27" s="673" t="s">
        <v>43</v>
      </c>
      <c r="X27" s="676" t="s">
        <v>4885</v>
      </c>
      <c r="Y27" s="1508"/>
      <c r="Z27" s="1530"/>
      <c r="AA27" s="219">
        <v>20800000</v>
      </c>
    </row>
    <row r="28" spans="1:28" s="27" customFormat="1" ht="15.75" customHeight="1">
      <c r="A28" s="1422">
        <v>11</v>
      </c>
      <c r="B28" s="1660">
        <v>348</v>
      </c>
      <c r="C28" s="1423"/>
      <c r="D28" s="1657" t="s">
        <v>4906</v>
      </c>
      <c r="E28" s="1657" t="s">
        <v>4906</v>
      </c>
      <c r="F28" s="1423"/>
      <c r="G28" s="64" t="s">
        <v>9282</v>
      </c>
      <c r="H28" s="218" t="s">
        <v>7763</v>
      </c>
      <c r="I28" s="676" t="s">
        <v>60</v>
      </c>
      <c r="J28" s="682" t="s">
        <v>1649</v>
      </c>
      <c r="K28" s="1533" t="s">
        <v>14836</v>
      </c>
      <c r="L28" s="1422" t="s">
        <v>14837</v>
      </c>
      <c r="M28" s="48" t="s">
        <v>221</v>
      </c>
      <c r="N28" s="676" t="s">
        <v>14356</v>
      </c>
      <c r="O28" s="673" t="s">
        <v>43</v>
      </c>
      <c r="P28" s="1520" t="s">
        <v>4938</v>
      </c>
      <c r="Q28" s="64" t="s">
        <v>1647</v>
      </c>
      <c r="R28" s="64" t="s">
        <v>166</v>
      </c>
      <c r="S28" s="673" t="s">
        <v>43</v>
      </c>
      <c r="T28" s="673" t="s">
        <v>43</v>
      </c>
      <c r="U28" s="673" t="s">
        <v>43</v>
      </c>
      <c r="V28" s="673" t="s">
        <v>43</v>
      </c>
      <c r="W28" s="673" t="s">
        <v>43</v>
      </c>
      <c r="X28" s="676" t="s">
        <v>167</v>
      </c>
      <c r="Y28" s="1422" t="s">
        <v>202</v>
      </c>
      <c r="Z28" s="1529" t="s">
        <v>65</v>
      </c>
      <c r="AA28" s="219">
        <v>12800000</v>
      </c>
    </row>
    <row r="29" spans="1:28" s="27" customFormat="1" ht="15.75" customHeight="1">
      <c r="A29" s="1508"/>
      <c r="B29" s="1662"/>
      <c r="C29" s="1423"/>
      <c r="D29" s="1659"/>
      <c r="E29" s="1659"/>
      <c r="F29" s="1423"/>
      <c r="G29" s="64">
        <v>607224</v>
      </c>
      <c r="H29" s="30" t="s">
        <v>195</v>
      </c>
      <c r="I29" s="676" t="s">
        <v>168</v>
      </c>
      <c r="J29" s="682" t="s">
        <v>199</v>
      </c>
      <c r="K29" s="1534"/>
      <c r="L29" s="1508"/>
      <c r="M29" s="676" t="s">
        <v>4907</v>
      </c>
      <c r="N29" s="675" t="s">
        <v>4975</v>
      </c>
      <c r="O29" s="673" t="s">
        <v>43</v>
      </c>
      <c r="P29" s="1522"/>
      <c r="Q29" s="673" t="s">
        <v>43</v>
      </c>
      <c r="R29" s="683" t="s">
        <v>68</v>
      </c>
      <c r="S29" s="673" t="s">
        <v>43</v>
      </c>
      <c r="T29" s="673" t="s">
        <v>43</v>
      </c>
      <c r="U29" s="673" t="s">
        <v>43</v>
      </c>
      <c r="V29" s="673" t="s">
        <v>43</v>
      </c>
      <c r="W29" s="673" t="s">
        <v>43</v>
      </c>
      <c r="X29" s="676" t="s">
        <v>4885</v>
      </c>
      <c r="Y29" s="1508"/>
      <c r="Z29" s="1531"/>
      <c r="AA29" s="219">
        <v>20800000</v>
      </c>
    </row>
    <row r="30" spans="1:28" s="27" customFormat="1" ht="15.75" customHeight="1">
      <c r="A30" s="1422">
        <v>12</v>
      </c>
      <c r="B30" s="1660">
        <v>366</v>
      </c>
      <c r="C30" s="1423"/>
      <c r="D30" s="1657" t="s">
        <v>4908</v>
      </c>
      <c r="E30" s="1657" t="s">
        <v>4908</v>
      </c>
      <c r="F30" s="1423"/>
      <c r="G30" s="160" t="s">
        <v>14946</v>
      </c>
      <c r="H30" s="218" t="s">
        <v>7763</v>
      </c>
      <c r="I30" s="676" t="s">
        <v>60</v>
      </c>
      <c r="J30" s="682" t="s">
        <v>205</v>
      </c>
      <c r="K30" s="1533" t="s">
        <v>14838</v>
      </c>
      <c r="L30" s="1710" t="s">
        <v>14839</v>
      </c>
      <c r="M30" s="48" t="s">
        <v>221</v>
      </c>
      <c r="N30" s="676" t="s">
        <v>4910</v>
      </c>
      <c r="O30" s="673" t="s">
        <v>43</v>
      </c>
      <c r="P30" s="1520" t="s">
        <v>4911</v>
      </c>
      <c r="Q30" s="64" t="s">
        <v>172</v>
      </c>
      <c r="R30" s="64" t="s">
        <v>166</v>
      </c>
      <c r="S30" s="673" t="s">
        <v>43</v>
      </c>
      <c r="T30" s="673" t="s">
        <v>43</v>
      </c>
      <c r="U30" s="673" t="s">
        <v>43</v>
      </c>
      <c r="V30" s="673" t="s">
        <v>43</v>
      </c>
      <c r="W30" s="673" t="s">
        <v>43</v>
      </c>
      <c r="X30" s="676" t="s">
        <v>167</v>
      </c>
      <c r="Y30" s="1422" t="s">
        <v>202</v>
      </c>
      <c r="Z30" s="1529" t="s">
        <v>65</v>
      </c>
      <c r="AA30" s="219">
        <v>12800000</v>
      </c>
    </row>
    <row r="31" spans="1:28" s="27" customFormat="1" ht="15.75" customHeight="1">
      <c r="A31" s="1508"/>
      <c r="B31" s="1662"/>
      <c r="C31" s="1423"/>
      <c r="D31" s="1659"/>
      <c r="E31" s="1659"/>
      <c r="F31" s="1423"/>
      <c r="G31" s="64">
        <v>607226</v>
      </c>
      <c r="H31" s="30" t="s">
        <v>195</v>
      </c>
      <c r="I31" s="676" t="s">
        <v>168</v>
      </c>
      <c r="J31" s="682" t="s">
        <v>199</v>
      </c>
      <c r="K31" s="1534"/>
      <c r="L31" s="1711"/>
      <c r="M31" s="676" t="s">
        <v>4912</v>
      </c>
      <c r="N31" s="675" t="s">
        <v>4976</v>
      </c>
      <c r="O31" s="673" t="s">
        <v>43</v>
      </c>
      <c r="P31" s="1522"/>
      <c r="Q31" s="673" t="s">
        <v>43</v>
      </c>
      <c r="R31" s="683" t="s">
        <v>68</v>
      </c>
      <c r="S31" s="673" t="s">
        <v>43</v>
      </c>
      <c r="T31" s="673" t="s">
        <v>43</v>
      </c>
      <c r="U31" s="673" t="s">
        <v>43</v>
      </c>
      <c r="V31" s="673" t="s">
        <v>43</v>
      </c>
      <c r="W31" s="673" t="s">
        <v>43</v>
      </c>
      <c r="X31" s="676" t="s">
        <v>4885</v>
      </c>
      <c r="Y31" s="1508"/>
      <c r="Z31" s="1531"/>
      <c r="AA31" s="219">
        <v>20800000</v>
      </c>
    </row>
    <row r="32" spans="1:28" s="27" customFormat="1" ht="15.75" customHeight="1">
      <c r="A32" s="1422">
        <v>13</v>
      </c>
      <c r="B32" s="1660">
        <v>434</v>
      </c>
      <c r="C32" s="1423"/>
      <c r="D32" s="1657" t="s">
        <v>4913</v>
      </c>
      <c r="E32" s="1657" t="s">
        <v>4913</v>
      </c>
      <c r="F32" s="1423"/>
      <c r="G32" s="64" t="s">
        <v>4914</v>
      </c>
      <c r="H32" s="218" t="s">
        <v>7763</v>
      </c>
      <c r="I32" s="676" t="s">
        <v>60</v>
      </c>
      <c r="J32" s="682" t="s">
        <v>4928</v>
      </c>
      <c r="K32" s="1422" t="s">
        <v>14840</v>
      </c>
      <c r="L32" s="1422" t="s">
        <v>14841</v>
      </c>
      <c r="M32" s="48" t="s">
        <v>221</v>
      </c>
      <c r="N32" s="676" t="s">
        <v>14357</v>
      </c>
      <c r="O32" s="673" t="s">
        <v>43</v>
      </c>
      <c r="P32" s="1520" t="s">
        <v>4915</v>
      </c>
      <c r="Q32" s="64" t="s">
        <v>172</v>
      </c>
      <c r="R32" s="64" t="s">
        <v>166</v>
      </c>
      <c r="S32" s="673" t="s">
        <v>43</v>
      </c>
      <c r="T32" s="673" t="s">
        <v>43</v>
      </c>
      <c r="U32" s="673" t="s">
        <v>43</v>
      </c>
      <c r="V32" s="673" t="s">
        <v>43</v>
      </c>
      <c r="W32" s="673" t="s">
        <v>43</v>
      </c>
      <c r="X32" s="676" t="s">
        <v>167</v>
      </c>
      <c r="Y32" s="1422" t="s">
        <v>202</v>
      </c>
      <c r="Z32" s="1529" t="s">
        <v>65</v>
      </c>
      <c r="AA32" s="219">
        <v>19200000</v>
      </c>
    </row>
    <row r="33" spans="1:27" s="27" customFormat="1" ht="15.75" customHeight="1">
      <c r="A33" s="1508"/>
      <c r="B33" s="1662"/>
      <c r="C33" s="1423"/>
      <c r="D33" s="1659"/>
      <c r="E33" s="1659"/>
      <c r="F33" s="1423"/>
      <c r="G33" s="64" t="s">
        <v>9284</v>
      </c>
      <c r="H33" s="30" t="s">
        <v>195</v>
      </c>
      <c r="I33" s="676" t="s">
        <v>168</v>
      </c>
      <c r="J33" s="682" t="s">
        <v>199</v>
      </c>
      <c r="K33" s="1508"/>
      <c r="L33" s="1508"/>
      <c r="M33" s="676" t="s">
        <v>4916</v>
      </c>
      <c r="N33" s="675" t="s">
        <v>4977</v>
      </c>
      <c r="O33" s="673" t="s">
        <v>43</v>
      </c>
      <c r="P33" s="1522"/>
      <c r="Q33" s="673" t="s">
        <v>43</v>
      </c>
      <c r="R33" s="683" t="s">
        <v>68</v>
      </c>
      <c r="S33" s="673" t="s">
        <v>43</v>
      </c>
      <c r="T33" s="673" t="s">
        <v>43</v>
      </c>
      <c r="U33" s="673" t="s">
        <v>43</v>
      </c>
      <c r="V33" s="673" t="s">
        <v>43</v>
      </c>
      <c r="W33" s="673" t="s">
        <v>43</v>
      </c>
      <c r="X33" s="676" t="s">
        <v>4885</v>
      </c>
      <c r="Y33" s="1508"/>
      <c r="Z33" s="1531"/>
      <c r="AA33" s="219">
        <v>20800000</v>
      </c>
    </row>
    <row r="34" spans="1:27" s="27" customFormat="1" ht="15.75" customHeight="1">
      <c r="A34" s="1422">
        <v>14</v>
      </c>
      <c r="B34" s="1660">
        <v>449</v>
      </c>
      <c r="C34" s="1423"/>
      <c r="D34" s="1657" t="s">
        <v>4917</v>
      </c>
      <c r="E34" s="1657" t="s">
        <v>4917</v>
      </c>
      <c r="F34" s="1423"/>
      <c r="G34" s="64" t="s">
        <v>9283</v>
      </c>
      <c r="H34" s="218" t="s">
        <v>7763</v>
      </c>
      <c r="I34" s="676" t="s">
        <v>60</v>
      </c>
      <c r="J34" s="682" t="s">
        <v>205</v>
      </c>
      <c r="K34" s="1422" t="s">
        <v>14842</v>
      </c>
      <c r="L34" s="1422" t="s">
        <v>14843</v>
      </c>
      <c r="M34" s="48" t="s">
        <v>221</v>
      </c>
      <c r="N34" s="676" t="s">
        <v>14358</v>
      </c>
      <c r="O34" s="673" t="s">
        <v>43</v>
      </c>
      <c r="P34" s="1520" t="s">
        <v>4918</v>
      </c>
      <c r="Q34" s="64" t="s">
        <v>172</v>
      </c>
      <c r="R34" s="64" t="s">
        <v>166</v>
      </c>
      <c r="S34" s="673" t="s">
        <v>43</v>
      </c>
      <c r="T34" s="673" t="s">
        <v>43</v>
      </c>
      <c r="U34" s="673" t="s">
        <v>43</v>
      </c>
      <c r="V34" s="673" t="s">
        <v>43</v>
      </c>
      <c r="W34" s="673" t="s">
        <v>43</v>
      </c>
      <c r="X34" s="676" t="s">
        <v>167</v>
      </c>
      <c r="Y34" s="1422" t="s">
        <v>202</v>
      </c>
      <c r="Z34" s="1529" t="s">
        <v>65</v>
      </c>
      <c r="AA34" s="219">
        <v>12800000</v>
      </c>
    </row>
    <row r="35" spans="1:27" s="27" customFormat="1" ht="15.75" customHeight="1">
      <c r="A35" s="1508"/>
      <c r="B35" s="1662"/>
      <c r="C35" s="1423"/>
      <c r="D35" s="1659"/>
      <c r="E35" s="1659"/>
      <c r="F35" s="1423"/>
      <c r="G35" s="64">
        <v>607230</v>
      </c>
      <c r="H35" s="30" t="s">
        <v>195</v>
      </c>
      <c r="I35" s="676" t="s">
        <v>168</v>
      </c>
      <c r="J35" s="682" t="s">
        <v>199</v>
      </c>
      <c r="K35" s="1508"/>
      <c r="L35" s="1508"/>
      <c r="M35" s="676" t="s">
        <v>4919</v>
      </c>
      <c r="N35" s="675" t="s">
        <v>4978</v>
      </c>
      <c r="O35" s="673" t="s">
        <v>43</v>
      </c>
      <c r="P35" s="1522"/>
      <c r="Q35" s="673" t="s">
        <v>43</v>
      </c>
      <c r="R35" s="683" t="s">
        <v>255</v>
      </c>
      <c r="S35" s="673" t="s">
        <v>43</v>
      </c>
      <c r="T35" s="673" t="s">
        <v>43</v>
      </c>
      <c r="U35" s="673" t="s">
        <v>43</v>
      </c>
      <c r="V35" s="673" t="s">
        <v>43</v>
      </c>
      <c r="W35" s="683" t="s">
        <v>343</v>
      </c>
      <c r="X35" s="676" t="s">
        <v>4885</v>
      </c>
      <c r="Y35" s="1508"/>
      <c r="Z35" s="1530"/>
      <c r="AA35" s="219">
        <v>20800000</v>
      </c>
    </row>
    <row r="36" spans="1:27" s="27" customFormat="1" ht="15.75" customHeight="1">
      <c r="A36" s="1422">
        <v>15</v>
      </c>
      <c r="B36" s="1660">
        <v>468</v>
      </c>
      <c r="C36" s="1423"/>
      <c r="D36" s="1708" t="s">
        <v>4920</v>
      </c>
      <c r="E36" s="1708" t="s">
        <v>4920</v>
      </c>
      <c r="F36" s="1423"/>
      <c r="G36" s="64" t="s">
        <v>9285</v>
      </c>
      <c r="H36" s="218" t="s">
        <v>7763</v>
      </c>
      <c r="I36" s="676" t="s">
        <v>60</v>
      </c>
      <c r="J36" s="682" t="s">
        <v>205</v>
      </c>
      <c r="K36" s="1533" t="s">
        <v>14359</v>
      </c>
      <c r="L36" s="1422" t="s">
        <v>14360</v>
      </c>
      <c r="M36" s="48" t="s">
        <v>221</v>
      </c>
      <c r="N36" s="676" t="s">
        <v>14361</v>
      </c>
      <c r="O36" s="673" t="s">
        <v>43</v>
      </c>
      <c r="P36" s="1520" t="s">
        <v>4921</v>
      </c>
      <c r="Q36" s="64" t="s">
        <v>2082</v>
      </c>
      <c r="R36" s="64" t="s">
        <v>166</v>
      </c>
      <c r="S36" s="673" t="s">
        <v>43</v>
      </c>
      <c r="T36" s="673" t="s">
        <v>43</v>
      </c>
      <c r="U36" s="673" t="s">
        <v>43</v>
      </c>
      <c r="V36" s="673" t="s">
        <v>43</v>
      </c>
      <c r="W36" s="673" t="s">
        <v>43</v>
      </c>
      <c r="X36" s="676" t="s">
        <v>167</v>
      </c>
      <c r="Y36" s="1422" t="s">
        <v>202</v>
      </c>
      <c r="Z36" s="1529" t="s">
        <v>65</v>
      </c>
      <c r="AA36" s="219">
        <v>12800000</v>
      </c>
    </row>
    <row r="37" spans="1:27" s="27" customFormat="1" ht="15.75" customHeight="1">
      <c r="A37" s="1508"/>
      <c r="B37" s="1662"/>
      <c r="C37" s="1508"/>
      <c r="D37" s="1709"/>
      <c r="E37" s="1709"/>
      <c r="F37" s="1508"/>
      <c r="G37" s="64">
        <v>607234</v>
      </c>
      <c r="H37" s="30" t="s">
        <v>195</v>
      </c>
      <c r="I37" s="676" t="s">
        <v>168</v>
      </c>
      <c r="J37" s="682" t="s">
        <v>199</v>
      </c>
      <c r="K37" s="1534"/>
      <c r="L37" s="1508"/>
      <c r="M37" s="676" t="s">
        <v>4922</v>
      </c>
      <c r="N37" s="675" t="s">
        <v>4979</v>
      </c>
      <c r="O37" s="673" t="s">
        <v>43</v>
      </c>
      <c r="P37" s="1522"/>
      <c r="Q37" s="673" t="s">
        <v>43</v>
      </c>
      <c r="R37" s="683" t="s">
        <v>1616</v>
      </c>
      <c r="S37" s="673" t="s">
        <v>43</v>
      </c>
      <c r="T37" s="673" t="s">
        <v>43</v>
      </c>
      <c r="U37" s="673" t="s">
        <v>43</v>
      </c>
      <c r="V37" s="673" t="s">
        <v>43</v>
      </c>
      <c r="W37" s="683" t="s">
        <v>4787</v>
      </c>
      <c r="X37" s="676" t="s">
        <v>4885</v>
      </c>
      <c r="Y37" s="1508"/>
      <c r="Z37" s="1531"/>
      <c r="AA37" s="219">
        <v>20800000</v>
      </c>
    </row>
    <row r="38" spans="1:27" ht="19.5">
      <c r="Z38" s="302" t="s">
        <v>9164</v>
      </c>
      <c r="AA38" s="321">
        <v>830710000</v>
      </c>
    </row>
    <row r="39" spans="1:27" ht="26.25" customHeight="1">
      <c r="A39" s="1459" t="s">
        <v>14163</v>
      </c>
      <c r="B39" s="1459"/>
      <c r="C39" s="1459"/>
      <c r="D39" s="1459"/>
      <c r="E39" s="1459"/>
      <c r="F39" s="1459"/>
      <c r="G39" s="1459"/>
    </row>
    <row r="40" spans="1:27" s="12" customFormat="1" ht="19.5">
      <c r="A40" s="34" t="s">
        <v>0</v>
      </c>
      <c r="B40" s="34" t="s">
        <v>5</v>
      </c>
      <c r="C40" s="34" t="s">
        <v>2</v>
      </c>
      <c r="D40" s="34" t="s">
        <v>3</v>
      </c>
      <c r="E40" s="1445" t="s">
        <v>88</v>
      </c>
      <c r="F40" s="1446"/>
      <c r="G40" s="34" t="s">
        <v>6</v>
      </c>
      <c r="H40" s="34" t="s">
        <v>7</v>
      </c>
      <c r="I40" s="34" t="s">
        <v>8</v>
      </c>
      <c r="J40" s="34" t="s">
        <v>196</v>
      </c>
      <c r="K40" s="34" t="s">
        <v>9</v>
      </c>
      <c r="L40" s="34" t="s">
        <v>11</v>
      </c>
      <c r="M40" s="34" t="s">
        <v>12</v>
      </c>
      <c r="N40" s="34" t="s">
        <v>216</v>
      </c>
      <c r="O40" s="34" t="s">
        <v>13</v>
      </c>
      <c r="P40" s="35" t="s">
        <v>14</v>
      </c>
      <c r="Q40" s="35" t="s">
        <v>217</v>
      </c>
      <c r="R40" s="35" t="s">
        <v>16</v>
      </c>
      <c r="S40" s="34" t="s">
        <v>17</v>
      </c>
      <c r="T40" s="34" t="s">
        <v>218</v>
      </c>
      <c r="U40" s="34" t="s">
        <v>22</v>
      </c>
      <c r="V40" s="36" t="s">
        <v>23</v>
      </c>
      <c r="W40" s="34" t="s">
        <v>24</v>
      </c>
      <c r="X40" s="58" t="s">
        <v>257</v>
      </c>
      <c r="Z40"/>
      <c r="AA40"/>
    </row>
    <row r="41" spans="1:27" s="83" customFormat="1" ht="18">
      <c r="A41" s="684">
        <v>1</v>
      </c>
      <c r="B41" s="707" t="s">
        <v>3705</v>
      </c>
      <c r="C41" s="707" t="s">
        <v>3705</v>
      </c>
      <c r="D41" s="84" t="s">
        <v>4892</v>
      </c>
      <c r="E41" s="1617" t="s">
        <v>4981</v>
      </c>
      <c r="F41" s="1618"/>
      <c r="G41" s="85" t="s">
        <v>9286</v>
      </c>
      <c r="H41" s="684" t="s">
        <v>335</v>
      </c>
      <c r="I41" s="684" t="s">
        <v>168</v>
      </c>
      <c r="J41" s="685" t="s">
        <v>205</v>
      </c>
      <c r="K41" s="84" t="s">
        <v>4982</v>
      </c>
      <c r="L41" s="84" t="s">
        <v>4983</v>
      </c>
      <c r="M41" s="84" t="s">
        <v>14844</v>
      </c>
      <c r="N41" s="673" t="s">
        <v>43</v>
      </c>
      <c r="O41" s="673" t="s">
        <v>43</v>
      </c>
      <c r="P41" s="673" t="s">
        <v>43</v>
      </c>
      <c r="Q41" s="673" t="s">
        <v>43</v>
      </c>
      <c r="R41" s="673" t="s">
        <v>43</v>
      </c>
      <c r="S41" s="673" t="s">
        <v>43</v>
      </c>
      <c r="T41" s="86" t="s">
        <v>68</v>
      </c>
      <c r="U41" s="684" t="s">
        <v>1504</v>
      </c>
      <c r="V41" s="685" t="s">
        <v>202</v>
      </c>
      <c r="W41" s="673" t="s">
        <v>43</v>
      </c>
      <c r="X41" s="219">
        <v>4480000</v>
      </c>
      <c r="AA41"/>
    </row>
    <row r="42" spans="1:27" s="83" customFormat="1" ht="18">
      <c r="A42" s="727">
        <v>2</v>
      </c>
      <c r="B42" s="726" t="s">
        <v>3705</v>
      </c>
      <c r="C42" s="726" t="s">
        <v>3705</v>
      </c>
      <c r="D42" s="84" t="s">
        <v>4896</v>
      </c>
      <c r="E42" s="1712" t="s">
        <v>14909</v>
      </c>
      <c r="F42" s="1713"/>
      <c r="G42" s="85" t="s">
        <v>14910</v>
      </c>
      <c r="H42" s="727" t="s">
        <v>335</v>
      </c>
      <c r="I42" s="727" t="s">
        <v>168</v>
      </c>
      <c r="J42" s="957" t="s">
        <v>205</v>
      </c>
      <c r="K42" s="84" t="s">
        <v>14911</v>
      </c>
      <c r="L42" s="84" t="s">
        <v>14846</v>
      </c>
      <c r="M42" s="84" t="s">
        <v>14847</v>
      </c>
      <c r="N42" s="723"/>
      <c r="O42" s="723"/>
      <c r="P42" s="723"/>
      <c r="Q42" s="723"/>
      <c r="R42" s="723"/>
      <c r="S42" s="723"/>
      <c r="T42" s="86"/>
      <c r="U42" s="727"/>
      <c r="V42" s="729"/>
      <c r="W42" s="723"/>
      <c r="X42" s="219"/>
      <c r="AA42"/>
    </row>
    <row r="43" spans="1:27" ht="19.5">
      <c r="K43">
        <v>185</v>
      </c>
      <c r="W43" s="302" t="s">
        <v>9164</v>
      </c>
      <c r="X43" s="255">
        <v>9960000</v>
      </c>
    </row>
    <row r="44" spans="1:27">
      <c r="K44" s="271" t="s">
        <v>12013</v>
      </c>
    </row>
    <row r="45" spans="1:27">
      <c r="K45" s="912" t="s">
        <v>4980</v>
      </c>
    </row>
    <row r="46" spans="1:27">
      <c r="K46" s="912" t="s">
        <v>15591</v>
      </c>
    </row>
    <row r="47" spans="1:27">
      <c r="K47" s="636"/>
    </row>
    <row r="48" spans="1:27">
      <c r="K48" s="636"/>
    </row>
    <row r="49" spans="11:11">
      <c r="K49" s="212"/>
    </row>
  </sheetData>
  <mergeCells count="154">
    <mergeCell ref="D36:D37"/>
    <mergeCell ref="D26:D27"/>
    <mergeCell ref="D28:D29"/>
    <mergeCell ref="D30:D31"/>
    <mergeCell ref="D32:D33"/>
    <mergeCell ref="D34:D35"/>
    <mergeCell ref="Y22:Y23"/>
    <mergeCell ref="Z22:Z23"/>
    <mergeCell ref="Y34:Y35"/>
    <mergeCell ref="Z34:Z35"/>
    <mergeCell ref="E22:E23"/>
    <mergeCell ref="E24:E25"/>
    <mergeCell ref="E26:E27"/>
    <mergeCell ref="E28:E29"/>
    <mergeCell ref="E30:E31"/>
    <mergeCell ref="E32:E33"/>
    <mergeCell ref="K32:K33"/>
    <mergeCell ref="Z26:Z27"/>
    <mergeCell ref="Y28:Y29"/>
    <mergeCell ref="Z28:Z29"/>
    <mergeCell ref="I22:I23"/>
    <mergeCell ref="E10:E11"/>
    <mergeCell ref="E14:E15"/>
    <mergeCell ref="E16:E17"/>
    <mergeCell ref="E18:E19"/>
    <mergeCell ref="E20:E21"/>
    <mergeCell ref="E42:F42"/>
    <mergeCell ref="Y36:Y37"/>
    <mergeCell ref="Z36:Z37"/>
    <mergeCell ref="Y18:Y19"/>
    <mergeCell ref="Z18:Z19"/>
    <mergeCell ref="Y20:Y21"/>
    <mergeCell ref="Z20:Z21"/>
    <mergeCell ref="Z10:Z11"/>
    <mergeCell ref="Y14:Y15"/>
    <mergeCell ref="Z14:Z15"/>
    <mergeCell ref="Y16:Y17"/>
    <mergeCell ref="Z16:Z17"/>
    <mergeCell ref="Y30:Y31"/>
    <mergeCell ref="Z30:Z31"/>
    <mergeCell ref="Y32:Y33"/>
    <mergeCell ref="Z32:Z33"/>
    <mergeCell ref="Y24:Y25"/>
    <mergeCell ref="Z24:Z25"/>
    <mergeCell ref="Y26:Y27"/>
    <mergeCell ref="D20:D21"/>
    <mergeCell ref="D22:D23"/>
    <mergeCell ref="D24:D25"/>
    <mergeCell ref="Y10:Y11"/>
    <mergeCell ref="P14:P15"/>
    <mergeCell ref="P16:P17"/>
    <mergeCell ref="P18:P19"/>
    <mergeCell ref="P20:P21"/>
    <mergeCell ref="E36:E37"/>
    <mergeCell ref="L22:L23"/>
    <mergeCell ref="L24:L25"/>
    <mergeCell ref="L26:L27"/>
    <mergeCell ref="L28:L29"/>
    <mergeCell ref="L30:L31"/>
    <mergeCell ref="L32:L33"/>
    <mergeCell ref="P30:P31"/>
    <mergeCell ref="P32:P33"/>
    <mergeCell ref="P34:P35"/>
    <mergeCell ref="P36:P37"/>
    <mergeCell ref="P22:P23"/>
    <mergeCell ref="P24:P25"/>
    <mergeCell ref="P26:P27"/>
    <mergeCell ref="P28:P29"/>
    <mergeCell ref="E34:E35"/>
    <mergeCell ref="D2:D9"/>
    <mergeCell ref="D10:D11"/>
    <mergeCell ref="K34:K35"/>
    <mergeCell ref="K36:K37"/>
    <mergeCell ref="K26:K27"/>
    <mergeCell ref="K28:K29"/>
    <mergeCell ref="K30:K31"/>
    <mergeCell ref="L34:L35"/>
    <mergeCell ref="L2:L9"/>
    <mergeCell ref="L10:L11"/>
    <mergeCell ref="L14:L15"/>
    <mergeCell ref="L16:L17"/>
    <mergeCell ref="L18:L19"/>
    <mergeCell ref="L20:L21"/>
    <mergeCell ref="K20:K21"/>
    <mergeCell ref="K22:K23"/>
    <mergeCell ref="K24:K25"/>
    <mergeCell ref="K2:K9"/>
    <mergeCell ref="K14:K15"/>
    <mergeCell ref="K10:K11"/>
    <mergeCell ref="K16:K17"/>
    <mergeCell ref="K18:K19"/>
    <mergeCell ref="E2:E9"/>
    <mergeCell ref="L36:L37"/>
    <mergeCell ref="Y2:Y9"/>
    <mergeCell ref="Z2:Z9"/>
    <mergeCell ref="D12:D13"/>
    <mergeCell ref="E12:E13"/>
    <mergeCell ref="K12:K13"/>
    <mergeCell ref="L12:L13"/>
    <mergeCell ref="P12:P13"/>
    <mergeCell ref="Y12:Y13"/>
    <mergeCell ref="Z12:Z13"/>
    <mergeCell ref="I2:I3"/>
    <mergeCell ref="I12:I13"/>
    <mergeCell ref="T12:T13"/>
    <mergeCell ref="U12:U13"/>
    <mergeCell ref="V12:V13"/>
    <mergeCell ref="X12:X13"/>
    <mergeCell ref="X2:X3"/>
    <mergeCell ref="M4:M7"/>
    <mergeCell ref="N4:N7"/>
    <mergeCell ref="T2:T3"/>
    <mergeCell ref="U2:U3"/>
    <mergeCell ref="V2:V3"/>
    <mergeCell ref="P2:P9"/>
    <mergeCell ref="P10:P11"/>
    <mergeCell ref="F2:F37"/>
    <mergeCell ref="B24:B25"/>
    <mergeCell ref="A14:A15"/>
    <mergeCell ref="B14:B15"/>
    <mergeCell ref="A16:A17"/>
    <mergeCell ref="B16:B17"/>
    <mergeCell ref="A18:A19"/>
    <mergeCell ref="B18:B19"/>
    <mergeCell ref="B2:B9"/>
    <mergeCell ref="A2:A9"/>
    <mergeCell ref="B10:B11"/>
    <mergeCell ref="A10:A11"/>
    <mergeCell ref="B12:B13"/>
    <mergeCell ref="A12:A13"/>
    <mergeCell ref="A39:G39"/>
    <mergeCell ref="E40:F40"/>
    <mergeCell ref="E41:F41"/>
    <mergeCell ref="A32:A33"/>
    <mergeCell ref="B32:B33"/>
    <mergeCell ref="A34:A35"/>
    <mergeCell ref="B34:B35"/>
    <mergeCell ref="A36:A37"/>
    <mergeCell ref="B36:B37"/>
    <mergeCell ref="C2:C37"/>
    <mergeCell ref="D14:D15"/>
    <mergeCell ref="D16:D17"/>
    <mergeCell ref="D18:D19"/>
    <mergeCell ref="A26:A27"/>
    <mergeCell ref="B26:B2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</mergeCells>
  <conditionalFormatting sqref="M2:M4 M8:M9">
    <cfRule type="duplicateValues" dxfId="908" priority="62"/>
    <cfRule type="duplicateValues" dxfId="907" priority="64"/>
  </conditionalFormatting>
  <conditionalFormatting sqref="M13">
    <cfRule type="duplicateValues" dxfId="906" priority="58"/>
    <cfRule type="duplicateValues" dxfId="905" priority="59"/>
  </conditionalFormatting>
  <conditionalFormatting sqref="M27">
    <cfRule type="duplicateValues" dxfId="904" priority="77"/>
  </conditionalFormatting>
  <conditionalFormatting sqref="M29 M11 M15 M19 M21 M23 M25 M31 M33 M35 M37 M1 M17">
    <cfRule type="duplicateValues" dxfId="903" priority="78"/>
  </conditionalFormatting>
  <conditionalFormatting sqref="M29">
    <cfRule type="duplicateValues" dxfId="902" priority="80"/>
  </conditionalFormatting>
  <conditionalFormatting sqref="N2 N4 N8">
    <cfRule type="duplicateValues" dxfId="901" priority="63"/>
  </conditionalFormatting>
  <conditionalFormatting sqref="N3">
    <cfRule type="duplicateValues" dxfId="900" priority="61"/>
  </conditionalFormatting>
  <conditionalFormatting sqref="N9">
    <cfRule type="duplicateValues" dxfId="899" priority="60"/>
  </conditionalFormatting>
  <conditionalFormatting sqref="N10">
    <cfRule type="duplicateValues" dxfId="898" priority="76"/>
  </conditionalFormatting>
  <conditionalFormatting sqref="N11">
    <cfRule type="duplicateValues" dxfId="897" priority="56"/>
  </conditionalFormatting>
  <conditionalFormatting sqref="N12">
    <cfRule type="duplicateValues" dxfId="896" priority="57"/>
  </conditionalFormatting>
  <conditionalFormatting sqref="N13">
    <cfRule type="duplicateValues" dxfId="895" priority="55"/>
  </conditionalFormatting>
  <conditionalFormatting sqref="N14">
    <cfRule type="duplicateValues" dxfId="894" priority="75"/>
  </conditionalFormatting>
  <conditionalFormatting sqref="N15">
    <cfRule type="duplicateValues" dxfId="893" priority="54"/>
  </conditionalFormatting>
  <conditionalFormatting sqref="N16 N1">
    <cfRule type="duplicateValues" dxfId="892" priority="79"/>
  </conditionalFormatting>
  <conditionalFormatting sqref="N17">
    <cfRule type="duplicateValues" dxfId="891" priority="53"/>
  </conditionalFormatting>
  <conditionalFormatting sqref="N18">
    <cfRule type="duplicateValues" dxfId="890" priority="74"/>
  </conditionalFormatting>
  <conditionalFormatting sqref="N19">
    <cfRule type="duplicateValues" dxfId="889" priority="52"/>
  </conditionalFormatting>
  <conditionalFormatting sqref="N20">
    <cfRule type="duplicateValues" dxfId="888" priority="73"/>
  </conditionalFormatting>
  <conditionalFormatting sqref="N21">
    <cfRule type="duplicateValues" dxfId="887" priority="51"/>
  </conditionalFormatting>
  <conditionalFormatting sqref="N22">
    <cfRule type="duplicateValues" dxfId="886" priority="72"/>
  </conditionalFormatting>
  <conditionalFormatting sqref="N23">
    <cfRule type="duplicateValues" dxfId="885" priority="50"/>
  </conditionalFormatting>
  <conditionalFormatting sqref="N24">
    <cfRule type="duplicateValues" dxfId="884" priority="71"/>
  </conditionalFormatting>
  <conditionalFormatting sqref="N25">
    <cfRule type="duplicateValues" dxfId="883" priority="49"/>
  </conditionalFormatting>
  <conditionalFormatting sqref="N26">
    <cfRule type="duplicateValues" dxfId="882" priority="70"/>
  </conditionalFormatting>
  <conditionalFormatting sqref="N27">
    <cfRule type="duplicateValues" dxfId="881" priority="48"/>
  </conditionalFormatting>
  <conditionalFormatting sqref="N28">
    <cfRule type="duplicateValues" dxfId="880" priority="69"/>
  </conditionalFormatting>
  <conditionalFormatting sqref="N29">
    <cfRule type="duplicateValues" dxfId="879" priority="47"/>
  </conditionalFormatting>
  <conditionalFormatting sqref="N30">
    <cfRule type="duplicateValues" dxfId="878" priority="68"/>
  </conditionalFormatting>
  <conditionalFormatting sqref="N31">
    <cfRule type="duplicateValues" dxfId="877" priority="46"/>
  </conditionalFormatting>
  <conditionalFormatting sqref="N32">
    <cfRule type="duplicateValues" dxfId="876" priority="67"/>
  </conditionalFormatting>
  <conditionalFormatting sqref="N33">
    <cfRule type="duplicateValues" dxfId="875" priority="45"/>
  </conditionalFormatting>
  <conditionalFormatting sqref="N34">
    <cfRule type="duplicateValues" dxfId="874" priority="66"/>
  </conditionalFormatting>
  <conditionalFormatting sqref="N35">
    <cfRule type="duplicateValues" dxfId="873" priority="44"/>
  </conditionalFormatting>
  <conditionalFormatting sqref="N36">
    <cfRule type="duplicateValues" dxfId="872" priority="65"/>
  </conditionalFormatting>
  <conditionalFormatting sqref="N37">
    <cfRule type="duplicateValues" dxfId="871" priority="43"/>
  </conditionalFormatting>
  <conditionalFormatting sqref="M40">
    <cfRule type="duplicateValues" dxfId="870" priority="32"/>
    <cfRule type="duplicateValues" dxfId="869" priority="33"/>
    <cfRule type="duplicateValues" dxfId="868" priority="34"/>
    <cfRule type="duplicateValues" dxfId="867" priority="35"/>
  </conditionalFormatting>
  <conditionalFormatting sqref="N40">
    <cfRule type="duplicateValues" dxfId="866" priority="36"/>
    <cfRule type="duplicateValues" dxfId="865" priority="37"/>
    <cfRule type="duplicateValues" dxfId="864" priority="38"/>
    <cfRule type="duplicateValues" dxfId="863" priority="39"/>
  </conditionalFormatting>
  <conditionalFormatting sqref="E40">
    <cfRule type="duplicateValues" dxfId="862" priority="40"/>
  </conditionalFormatting>
  <conditionalFormatting sqref="K40">
    <cfRule type="duplicateValues" dxfId="861" priority="41"/>
  </conditionalFormatting>
  <conditionalFormatting sqref="L40">
    <cfRule type="duplicateValues" dxfId="860" priority="42"/>
  </conditionalFormatting>
  <conditionalFormatting sqref="E41">
    <cfRule type="duplicateValues" dxfId="859" priority="28"/>
  </conditionalFormatting>
  <conditionalFormatting sqref="K41">
    <cfRule type="duplicateValues" dxfId="858" priority="31"/>
  </conditionalFormatting>
  <conditionalFormatting sqref="K41">
    <cfRule type="duplicateValues" dxfId="857" priority="29"/>
  </conditionalFormatting>
  <conditionalFormatting sqref="L41">
    <cfRule type="duplicateValues" dxfId="856" priority="30"/>
  </conditionalFormatting>
  <conditionalFormatting sqref="M41">
    <cfRule type="duplicateValues" dxfId="855" priority="27"/>
  </conditionalFormatting>
  <conditionalFormatting sqref="K45">
    <cfRule type="duplicateValues" dxfId="854" priority="19"/>
  </conditionalFormatting>
  <conditionalFormatting sqref="K46">
    <cfRule type="duplicateValues" dxfId="853" priority="18"/>
  </conditionalFormatting>
  <conditionalFormatting sqref="K47">
    <cfRule type="duplicateValues" dxfId="852" priority="17"/>
  </conditionalFormatting>
  <conditionalFormatting sqref="K48">
    <cfRule type="duplicateValues" dxfId="851" priority="16"/>
  </conditionalFormatting>
  <conditionalFormatting sqref="E42">
    <cfRule type="duplicateValues" dxfId="850" priority="2"/>
  </conditionalFormatting>
  <conditionalFormatting sqref="K42">
    <cfRule type="duplicateValues" dxfId="849" priority="5"/>
  </conditionalFormatting>
  <conditionalFormatting sqref="K42">
    <cfRule type="duplicateValues" dxfId="848" priority="3"/>
  </conditionalFormatting>
  <conditionalFormatting sqref="L42">
    <cfRule type="duplicateValues" dxfId="847" priority="4"/>
  </conditionalFormatting>
  <conditionalFormatting sqref="M42">
    <cfRule type="duplicateValues" dxfId="846" priority="1"/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0"/>
  <sheetViews>
    <sheetView rightToLeft="1" workbookViewId="0">
      <selection activeCell="C30" sqref="C30"/>
    </sheetView>
  </sheetViews>
  <sheetFormatPr defaultRowHeight="15"/>
  <cols>
    <col min="5" max="5" width="19.5703125" customWidth="1"/>
    <col min="7" max="7" width="22.42578125" customWidth="1"/>
    <col min="8" max="8" width="20.85546875" customWidth="1"/>
    <col min="9" max="9" width="24.28515625" customWidth="1"/>
    <col min="10" max="10" width="19.5703125" customWidth="1"/>
    <col min="11" max="11" width="31.28515625" customWidth="1"/>
    <col min="12" max="12" width="32.28515625" customWidth="1"/>
    <col min="13" max="13" width="37.42578125" customWidth="1"/>
    <col min="14" max="14" width="55.140625" customWidth="1"/>
    <col min="16" max="16" width="27.42578125" customWidth="1"/>
    <col min="17" max="17" width="26.85546875" customWidth="1"/>
    <col min="18" max="18" width="27.28515625" customWidth="1"/>
    <col min="20" max="20" width="26.7109375" customWidth="1"/>
    <col min="21" max="22" width="25.85546875" customWidth="1"/>
    <col min="23" max="23" width="31.28515625" customWidth="1"/>
    <col min="24" max="24" width="44.5703125" customWidth="1"/>
    <col min="25" max="25" width="18.42578125" customWidth="1"/>
    <col min="26" max="26" width="34.7109375" customWidth="1"/>
    <col min="27" max="27" width="26.140625" customWidth="1"/>
  </cols>
  <sheetData>
    <row r="1" spans="1:27" s="83" customFormat="1" ht="19.5">
      <c r="A1" s="953" t="s">
        <v>0</v>
      </c>
      <c r="B1" s="951" t="s">
        <v>1</v>
      </c>
      <c r="C1" s="953" t="s">
        <v>2</v>
      </c>
      <c r="D1" s="953" t="s">
        <v>3</v>
      </c>
      <c r="E1" s="953" t="s">
        <v>4</v>
      </c>
      <c r="F1" s="953" t="s">
        <v>5</v>
      </c>
      <c r="G1" s="955" t="s">
        <v>6</v>
      </c>
      <c r="H1" s="953" t="s">
        <v>7</v>
      </c>
      <c r="I1" s="953" t="s">
        <v>8</v>
      </c>
      <c r="J1" s="954" t="s">
        <v>233</v>
      </c>
      <c r="K1" s="953" t="s">
        <v>9</v>
      </c>
      <c r="L1" s="953" t="s">
        <v>10</v>
      </c>
      <c r="M1" s="953" t="s">
        <v>11</v>
      </c>
      <c r="N1" s="953" t="s">
        <v>12</v>
      </c>
      <c r="O1" s="953" t="s">
        <v>13</v>
      </c>
      <c r="P1" s="954" t="s">
        <v>14</v>
      </c>
      <c r="Q1" s="955" t="s">
        <v>15</v>
      </c>
      <c r="R1" s="955" t="s">
        <v>16</v>
      </c>
      <c r="S1" s="955" t="s">
        <v>17</v>
      </c>
      <c r="T1" s="953" t="s">
        <v>18</v>
      </c>
      <c r="U1" s="953" t="s">
        <v>19</v>
      </c>
      <c r="V1" s="953" t="s">
        <v>20</v>
      </c>
      <c r="W1" s="955" t="s">
        <v>21</v>
      </c>
      <c r="X1" s="953" t="s">
        <v>22</v>
      </c>
      <c r="Y1" s="955" t="s">
        <v>23</v>
      </c>
      <c r="Z1" s="955" t="s">
        <v>24</v>
      </c>
      <c r="AA1" s="49" t="s">
        <v>9184</v>
      </c>
    </row>
    <row r="2" spans="1:27" s="83" customFormat="1" ht="15.75" customHeight="1">
      <c r="A2" s="1668">
        <v>1</v>
      </c>
      <c r="B2" s="1669">
        <v>408</v>
      </c>
      <c r="C2" s="1668" t="s">
        <v>3873</v>
      </c>
      <c r="D2" s="1668" t="s">
        <v>4994</v>
      </c>
      <c r="E2" s="1668" t="s">
        <v>4994</v>
      </c>
      <c r="F2" s="1668" t="s">
        <v>376</v>
      </c>
      <c r="G2" s="955" t="s">
        <v>4995</v>
      </c>
      <c r="H2" s="953" t="s">
        <v>28</v>
      </c>
      <c r="I2" s="953" t="s">
        <v>270</v>
      </c>
      <c r="J2" s="954" t="s">
        <v>204</v>
      </c>
      <c r="K2" s="1648" t="s">
        <v>15667</v>
      </c>
      <c r="L2" s="1533" t="s">
        <v>15668</v>
      </c>
      <c r="M2" s="953" t="s">
        <v>4996</v>
      </c>
      <c r="N2" s="953" t="s">
        <v>5023</v>
      </c>
      <c r="O2" s="946" t="s">
        <v>43</v>
      </c>
      <c r="P2" s="1654" t="s">
        <v>4997</v>
      </c>
      <c r="Q2" s="946" t="s">
        <v>43</v>
      </c>
      <c r="R2" s="955" t="s">
        <v>4998</v>
      </c>
      <c r="S2" s="946" t="s">
        <v>43</v>
      </c>
      <c r="T2" s="945" t="s">
        <v>43</v>
      </c>
      <c r="U2" s="945" t="s">
        <v>43</v>
      </c>
      <c r="V2" s="945" t="s">
        <v>43</v>
      </c>
      <c r="W2" s="955" t="s">
        <v>4999</v>
      </c>
      <c r="X2" s="953" t="s">
        <v>4410</v>
      </c>
      <c r="Y2" s="1641" t="s">
        <v>2772</v>
      </c>
      <c r="Z2" s="1641" t="s">
        <v>65</v>
      </c>
      <c r="AA2" s="219">
        <v>36400000</v>
      </c>
    </row>
    <row r="3" spans="1:27" s="83" customFormat="1" ht="15.75" customHeight="1">
      <c r="A3" s="1668"/>
      <c r="B3" s="1669"/>
      <c r="C3" s="1668"/>
      <c r="D3" s="1668"/>
      <c r="E3" s="1668"/>
      <c r="F3" s="1668"/>
      <c r="G3" s="161" t="s">
        <v>9265</v>
      </c>
      <c r="H3" s="953" t="s">
        <v>5029</v>
      </c>
      <c r="I3" s="953" t="s">
        <v>270</v>
      </c>
      <c r="J3" s="954" t="s">
        <v>204</v>
      </c>
      <c r="K3" s="1649"/>
      <c r="L3" s="1647"/>
      <c r="M3" s="953" t="s">
        <v>14923</v>
      </c>
      <c r="N3" s="953" t="s">
        <v>14924</v>
      </c>
      <c r="O3" s="946" t="s">
        <v>43</v>
      </c>
      <c r="P3" s="1655"/>
      <c r="Q3" s="946" t="s">
        <v>43</v>
      </c>
      <c r="R3" s="955" t="s">
        <v>5000</v>
      </c>
      <c r="S3" s="946" t="s">
        <v>43</v>
      </c>
      <c r="T3" s="945" t="s">
        <v>43</v>
      </c>
      <c r="U3" s="945" t="s">
        <v>43</v>
      </c>
      <c r="V3" s="945" t="s">
        <v>43</v>
      </c>
      <c r="W3" s="955" t="s">
        <v>5001</v>
      </c>
      <c r="X3" s="953" t="s">
        <v>4410</v>
      </c>
      <c r="Y3" s="1642"/>
      <c r="Z3" s="1642"/>
      <c r="AA3" s="303">
        <v>0</v>
      </c>
    </row>
    <row r="4" spans="1:27" s="83" customFormat="1" ht="15.75" customHeight="1">
      <c r="A4" s="1668"/>
      <c r="B4" s="1669"/>
      <c r="C4" s="1668"/>
      <c r="D4" s="1668"/>
      <c r="E4" s="1668"/>
      <c r="F4" s="1668"/>
      <c r="G4" s="946" t="s">
        <v>43</v>
      </c>
      <c r="H4" s="953" t="s">
        <v>44</v>
      </c>
      <c r="I4" s="953" t="s">
        <v>45</v>
      </c>
      <c r="J4" s="954" t="s">
        <v>199</v>
      </c>
      <c r="K4" s="1649"/>
      <c r="L4" s="1647"/>
      <c r="M4" s="953" t="s">
        <v>5002</v>
      </c>
      <c r="N4" s="953" t="s">
        <v>5030</v>
      </c>
      <c r="O4" s="946" t="s">
        <v>43</v>
      </c>
      <c r="P4" s="1655"/>
      <c r="Q4" s="946" t="s">
        <v>43</v>
      </c>
      <c r="R4" s="955" t="s">
        <v>119</v>
      </c>
      <c r="S4" s="946" t="s">
        <v>43</v>
      </c>
      <c r="T4" s="946" t="s">
        <v>43</v>
      </c>
      <c r="U4" s="946" t="s">
        <v>43</v>
      </c>
      <c r="V4" s="946" t="s">
        <v>43</v>
      </c>
      <c r="W4" s="955" t="s">
        <v>5003</v>
      </c>
      <c r="X4" s="953" t="s">
        <v>50</v>
      </c>
      <c r="Y4" s="1642"/>
      <c r="Z4" s="1642"/>
      <c r="AA4" s="303">
        <v>0</v>
      </c>
    </row>
    <row r="5" spans="1:27" s="83" customFormat="1" ht="15.75" customHeight="1">
      <c r="A5" s="1668"/>
      <c r="B5" s="1669"/>
      <c r="C5" s="1668"/>
      <c r="D5" s="1668"/>
      <c r="E5" s="1668"/>
      <c r="F5" s="1668"/>
      <c r="G5" s="946" t="s">
        <v>43</v>
      </c>
      <c r="H5" s="814" t="s">
        <v>15214</v>
      </c>
      <c r="I5" s="953" t="s">
        <v>45</v>
      </c>
      <c r="J5" s="954" t="s">
        <v>200</v>
      </c>
      <c r="K5" s="1650"/>
      <c r="L5" s="1534"/>
      <c r="M5" s="953" t="s">
        <v>5004</v>
      </c>
      <c r="N5" s="942" t="s">
        <v>5031</v>
      </c>
      <c r="O5" s="946" t="s">
        <v>43</v>
      </c>
      <c r="P5" s="1656"/>
      <c r="Q5" s="946" t="s">
        <v>43</v>
      </c>
      <c r="R5" s="955" t="s">
        <v>603</v>
      </c>
      <c r="S5" s="946" t="s">
        <v>43</v>
      </c>
      <c r="T5" s="946" t="s">
        <v>43</v>
      </c>
      <c r="U5" s="946" t="s">
        <v>43</v>
      </c>
      <c r="V5" s="946" t="s">
        <v>43</v>
      </c>
      <c r="W5" s="946" t="s">
        <v>43</v>
      </c>
      <c r="X5" s="953" t="s">
        <v>56</v>
      </c>
      <c r="Y5" s="1642"/>
      <c r="Z5" s="1642"/>
      <c r="AA5" s="303">
        <v>0</v>
      </c>
    </row>
    <row r="6" spans="1:27" s="83" customFormat="1" ht="15.75" customHeight="1">
      <c r="A6" s="1668">
        <v>2</v>
      </c>
      <c r="B6" s="1620">
        <v>413</v>
      </c>
      <c r="C6" s="1668"/>
      <c r="D6" s="1668" t="s">
        <v>5005</v>
      </c>
      <c r="E6" s="1668" t="s">
        <v>5005</v>
      </c>
      <c r="F6" s="1668"/>
      <c r="G6" s="955" t="s">
        <v>9267</v>
      </c>
      <c r="H6" s="953" t="s">
        <v>1659</v>
      </c>
      <c r="I6" s="1533" t="s">
        <v>29</v>
      </c>
      <c r="J6" s="954" t="s">
        <v>14181</v>
      </c>
      <c r="K6" s="1533" t="s">
        <v>14925</v>
      </c>
      <c r="L6" s="1533" t="s">
        <v>15666</v>
      </c>
      <c r="M6" s="953" t="s">
        <v>5034</v>
      </c>
      <c r="N6" s="953" t="s">
        <v>5033</v>
      </c>
      <c r="O6" s="946" t="s">
        <v>43</v>
      </c>
      <c r="P6" s="1651" t="s">
        <v>5024</v>
      </c>
      <c r="Q6" s="955" t="s">
        <v>176</v>
      </c>
      <c r="R6" s="955" t="s">
        <v>5035</v>
      </c>
      <c r="S6" s="946" t="s">
        <v>43</v>
      </c>
      <c r="T6" s="946" t="s">
        <v>43</v>
      </c>
      <c r="U6" s="946" t="s">
        <v>43</v>
      </c>
      <c r="V6" s="946" t="s">
        <v>43</v>
      </c>
      <c r="W6" s="955" t="s">
        <v>5036</v>
      </c>
      <c r="X6" s="1533" t="s">
        <v>4871</v>
      </c>
      <c r="Y6" s="1533" t="s">
        <v>202</v>
      </c>
      <c r="Z6" s="1641" t="s">
        <v>65</v>
      </c>
      <c r="AA6" s="219">
        <v>21000000</v>
      </c>
    </row>
    <row r="7" spans="1:27" s="83" customFormat="1" ht="15.75" customHeight="1">
      <c r="A7" s="1668"/>
      <c r="B7" s="1620"/>
      <c r="C7" s="1668"/>
      <c r="D7" s="1668"/>
      <c r="E7" s="1668"/>
      <c r="F7" s="1668"/>
      <c r="G7" s="955" t="s">
        <v>9266</v>
      </c>
      <c r="H7" s="30" t="s">
        <v>195</v>
      </c>
      <c r="I7" s="1534"/>
      <c r="J7" s="954" t="s">
        <v>204</v>
      </c>
      <c r="K7" s="1534"/>
      <c r="L7" s="1534"/>
      <c r="M7" s="953" t="s">
        <v>5006</v>
      </c>
      <c r="N7" s="942" t="s">
        <v>5032</v>
      </c>
      <c r="O7" s="946" t="s">
        <v>43</v>
      </c>
      <c r="P7" s="1652"/>
      <c r="Q7" s="946" t="s">
        <v>43</v>
      </c>
      <c r="R7" s="955" t="s">
        <v>255</v>
      </c>
      <c r="S7" s="946" t="s">
        <v>43</v>
      </c>
      <c r="T7" s="946" t="s">
        <v>43</v>
      </c>
      <c r="U7" s="946" t="s">
        <v>43</v>
      </c>
      <c r="V7" s="946" t="s">
        <v>43</v>
      </c>
      <c r="W7" s="955" t="s">
        <v>5007</v>
      </c>
      <c r="X7" s="1534"/>
      <c r="Y7" s="1647"/>
      <c r="Z7" s="1642"/>
      <c r="AA7" s="219">
        <v>36400000</v>
      </c>
    </row>
    <row r="8" spans="1:27" s="83" customFormat="1" ht="15.75" customHeight="1">
      <c r="A8" s="1668">
        <v>3</v>
      </c>
      <c r="B8" s="1620">
        <v>420</v>
      </c>
      <c r="C8" s="1668"/>
      <c r="D8" s="1668" t="s">
        <v>5008</v>
      </c>
      <c r="E8" s="1668" t="s">
        <v>5008</v>
      </c>
      <c r="F8" s="1668"/>
      <c r="G8" s="955" t="s">
        <v>5009</v>
      </c>
      <c r="H8" s="953" t="s">
        <v>1659</v>
      </c>
      <c r="I8" s="953" t="s">
        <v>108</v>
      </c>
      <c r="J8" s="954" t="s">
        <v>205</v>
      </c>
      <c r="K8" s="1533" t="s">
        <v>14926</v>
      </c>
      <c r="L8" s="1533" t="s">
        <v>15665</v>
      </c>
      <c r="M8" s="953" t="s">
        <v>14927</v>
      </c>
      <c r="N8" s="953" t="s">
        <v>14928</v>
      </c>
      <c r="O8" s="946" t="s">
        <v>43</v>
      </c>
      <c r="P8" s="1651" t="s">
        <v>5025</v>
      </c>
      <c r="Q8" s="955" t="s">
        <v>5010</v>
      </c>
      <c r="R8" s="955" t="s">
        <v>2274</v>
      </c>
      <c r="S8" s="946" t="s">
        <v>43</v>
      </c>
      <c r="T8" s="946" t="s">
        <v>43</v>
      </c>
      <c r="U8" s="946" t="s">
        <v>43</v>
      </c>
      <c r="V8" s="946" t="s">
        <v>43</v>
      </c>
      <c r="W8" s="946" t="s">
        <v>43</v>
      </c>
      <c r="X8" s="953" t="s">
        <v>299</v>
      </c>
      <c r="Y8" s="1533" t="s">
        <v>202</v>
      </c>
      <c r="Z8" s="1641" t="s">
        <v>65</v>
      </c>
      <c r="AA8" s="219">
        <v>6000000</v>
      </c>
    </row>
    <row r="9" spans="1:27" s="83" customFormat="1" ht="15.75" customHeight="1">
      <c r="A9" s="1668"/>
      <c r="B9" s="1620"/>
      <c r="C9" s="1668"/>
      <c r="D9" s="1668"/>
      <c r="E9" s="1668"/>
      <c r="F9" s="1668"/>
      <c r="G9" s="955" t="s">
        <v>9268</v>
      </c>
      <c r="H9" s="30" t="s">
        <v>195</v>
      </c>
      <c r="I9" s="953" t="s">
        <v>108</v>
      </c>
      <c r="J9" s="954" t="s">
        <v>199</v>
      </c>
      <c r="K9" s="1647"/>
      <c r="L9" s="1647"/>
      <c r="M9" s="953" t="s">
        <v>5011</v>
      </c>
      <c r="N9" s="942" t="s">
        <v>5038</v>
      </c>
      <c r="O9" s="946" t="s">
        <v>43</v>
      </c>
      <c r="P9" s="1653"/>
      <c r="Q9" s="946" t="s">
        <v>43</v>
      </c>
      <c r="R9" s="955" t="s">
        <v>2269</v>
      </c>
      <c r="S9" s="946" t="s">
        <v>43</v>
      </c>
      <c r="T9" s="946" t="s">
        <v>43</v>
      </c>
      <c r="U9" s="946" t="s">
        <v>43</v>
      </c>
      <c r="V9" s="946" t="s">
        <v>43</v>
      </c>
      <c r="W9" s="946" t="s">
        <v>43</v>
      </c>
      <c r="X9" s="953" t="s">
        <v>299</v>
      </c>
      <c r="Y9" s="1647"/>
      <c r="Z9" s="1642"/>
      <c r="AA9" s="219">
        <v>20800000</v>
      </c>
    </row>
    <row r="10" spans="1:27" s="83" customFormat="1" ht="15.75" customHeight="1">
      <c r="A10" s="1668"/>
      <c r="B10" s="1620"/>
      <c r="C10" s="1668"/>
      <c r="D10" s="1668"/>
      <c r="E10" s="1668"/>
      <c r="F10" s="1668"/>
      <c r="G10" s="946" t="s">
        <v>43</v>
      </c>
      <c r="H10" s="953" t="s">
        <v>44</v>
      </c>
      <c r="I10" s="953" t="s">
        <v>45</v>
      </c>
      <c r="J10" s="954" t="s">
        <v>201</v>
      </c>
      <c r="K10" s="1534"/>
      <c r="L10" s="1534"/>
      <c r="M10" s="83" t="s">
        <v>5012</v>
      </c>
      <c r="N10" s="953" t="s">
        <v>5037</v>
      </c>
      <c r="O10" s="946" t="s">
        <v>43</v>
      </c>
      <c r="P10" s="1652"/>
      <c r="Q10" s="946" t="s">
        <v>43</v>
      </c>
      <c r="R10" s="955" t="s">
        <v>68</v>
      </c>
      <c r="S10" s="946" t="s">
        <v>43</v>
      </c>
      <c r="T10" s="946" t="s">
        <v>43</v>
      </c>
      <c r="U10" s="946" t="s">
        <v>43</v>
      </c>
      <c r="V10" s="946" t="s">
        <v>43</v>
      </c>
      <c r="W10" s="946" t="s">
        <v>43</v>
      </c>
      <c r="X10" s="953" t="s">
        <v>50</v>
      </c>
      <c r="Y10" s="1534"/>
      <c r="Z10" s="1643"/>
      <c r="AA10" s="303">
        <v>0</v>
      </c>
    </row>
    <row r="11" spans="1:27" s="83" customFormat="1" ht="15.75" customHeight="1">
      <c r="A11" s="1668">
        <v>4</v>
      </c>
      <c r="B11" s="1620">
        <v>429</v>
      </c>
      <c r="C11" s="1668"/>
      <c r="D11" s="1668" t="s">
        <v>5013</v>
      </c>
      <c r="E11" s="1668" t="s">
        <v>5014</v>
      </c>
      <c r="F11" s="1668"/>
      <c r="G11" s="955" t="s">
        <v>9269</v>
      </c>
      <c r="H11" s="953" t="s">
        <v>3367</v>
      </c>
      <c r="I11" s="953" t="s">
        <v>108</v>
      </c>
      <c r="J11" s="954" t="s">
        <v>11835</v>
      </c>
      <c r="K11" s="1533" t="s">
        <v>14929</v>
      </c>
      <c r="L11" s="1533" t="s">
        <v>15664</v>
      </c>
      <c r="M11" s="953" t="s">
        <v>14930</v>
      </c>
      <c r="N11" s="953" t="s">
        <v>14931</v>
      </c>
      <c r="O11" s="946" t="s">
        <v>43</v>
      </c>
      <c r="P11" s="1651" t="s">
        <v>5026</v>
      </c>
      <c r="Q11" s="955" t="s">
        <v>2496</v>
      </c>
      <c r="R11" s="955" t="s">
        <v>68</v>
      </c>
      <c r="S11" s="946" t="s">
        <v>43</v>
      </c>
      <c r="T11" s="946" t="s">
        <v>43</v>
      </c>
      <c r="U11" s="946" t="s">
        <v>43</v>
      </c>
      <c r="V11" s="946" t="s">
        <v>43</v>
      </c>
      <c r="W11" s="946" t="s">
        <v>43</v>
      </c>
      <c r="X11" s="953" t="s">
        <v>5015</v>
      </c>
      <c r="Y11" s="1533" t="s">
        <v>202</v>
      </c>
      <c r="Z11" s="1641" t="s">
        <v>65</v>
      </c>
      <c r="AA11" s="219">
        <v>12000000</v>
      </c>
    </row>
    <row r="12" spans="1:27" s="83" customFormat="1" ht="15.75" customHeight="1">
      <c r="A12" s="1668"/>
      <c r="B12" s="1620"/>
      <c r="C12" s="1668"/>
      <c r="D12" s="1668"/>
      <c r="E12" s="1668"/>
      <c r="F12" s="1668"/>
      <c r="G12" s="946" t="s">
        <v>43</v>
      </c>
      <c r="H12" s="953" t="s">
        <v>44</v>
      </c>
      <c r="I12" s="953" t="s">
        <v>45</v>
      </c>
      <c r="J12" s="954" t="s">
        <v>199</v>
      </c>
      <c r="K12" s="1647"/>
      <c r="L12" s="1647"/>
      <c r="M12" s="953" t="s">
        <v>5016</v>
      </c>
      <c r="N12" s="953" t="s">
        <v>5039</v>
      </c>
      <c r="O12" s="946" t="s">
        <v>43</v>
      </c>
      <c r="P12" s="1653"/>
      <c r="Q12" s="946" t="s">
        <v>43</v>
      </c>
      <c r="R12" s="955" t="s">
        <v>48</v>
      </c>
      <c r="S12" s="946" t="s">
        <v>43</v>
      </c>
      <c r="T12" s="946" t="s">
        <v>43</v>
      </c>
      <c r="U12" s="946" t="s">
        <v>43</v>
      </c>
      <c r="V12" s="946" t="s">
        <v>43</v>
      </c>
      <c r="W12" s="955" t="s">
        <v>49</v>
      </c>
      <c r="X12" s="953" t="s">
        <v>50</v>
      </c>
      <c r="Y12" s="1647"/>
      <c r="Z12" s="1642"/>
      <c r="AA12" s="303">
        <v>0</v>
      </c>
    </row>
    <row r="13" spans="1:27" s="83" customFormat="1" ht="15.75" customHeight="1">
      <c r="A13" s="1533">
        <v>5</v>
      </c>
      <c r="B13" s="1644">
        <v>554</v>
      </c>
      <c r="C13" s="1668"/>
      <c r="D13" s="1533" t="s">
        <v>5017</v>
      </c>
      <c r="E13" s="1533" t="s">
        <v>5017</v>
      </c>
      <c r="F13" s="1668"/>
      <c r="G13" s="955" t="s">
        <v>5018</v>
      </c>
      <c r="H13" s="953" t="s">
        <v>1659</v>
      </c>
      <c r="I13" s="953" t="s">
        <v>108</v>
      </c>
      <c r="J13" s="954" t="s">
        <v>205</v>
      </c>
      <c r="K13" s="1533" t="s">
        <v>14932</v>
      </c>
      <c r="L13" s="1533" t="s">
        <v>15190</v>
      </c>
      <c r="M13" s="953" t="s">
        <v>14933</v>
      </c>
      <c r="N13" s="953" t="s">
        <v>14934</v>
      </c>
      <c r="O13" s="946" t="s">
        <v>43</v>
      </c>
      <c r="P13" s="1651" t="s">
        <v>5027</v>
      </c>
      <c r="Q13" s="946" t="s">
        <v>43</v>
      </c>
      <c r="R13" s="955" t="s">
        <v>417</v>
      </c>
      <c r="S13" s="946" t="s">
        <v>43</v>
      </c>
      <c r="T13" s="946" t="s">
        <v>43</v>
      </c>
      <c r="U13" s="946" t="s">
        <v>43</v>
      </c>
      <c r="V13" s="946" t="s">
        <v>43</v>
      </c>
      <c r="W13" s="946" t="s">
        <v>43</v>
      </c>
      <c r="X13" s="953" t="s">
        <v>395</v>
      </c>
      <c r="Y13" s="1641" t="s">
        <v>985</v>
      </c>
      <c r="Z13" s="1641" t="s">
        <v>65</v>
      </c>
      <c r="AA13" s="219">
        <v>8960000</v>
      </c>
    </row>
    <row r="14" spans="1:27" s="83" customFormat="1" ht="15.75" customHeight="1">
      <c r="A14" s="1647"/>
      <c r="B14" s="1646"/>
      <c r="C14" s="1668"/>
      <c r="D14" s="1647"/>
      <c r="E14" s="1647"/>
      <c r="F14" s="1668"/>
      <c r="G14" s="955" t="s">
        <v>5019</v>
      </c>
      <c r="H14" s="30" t="s">
        <v>195</v>
      </c>
      <c r="I14" s="953" t="s">
        <v>108</v>
      </c>
      <c r="J14" s="954" t="s">
        <v>199</v>
      </c>
      <c r="K14" s="1647"/>
      <c r="L14" s="1647"/>
      <c r="M14" s="953" t="s">
        <v>5020</v>
      </c>
      <c r="N14" s="942" t="s">
        <v>5040</v>
      </c>
      <c r="O14" s="946" t="s">
        <v>43</v>
      </c>
      <c r="P14" s="1653"/>
      <c r="Q14" s="946" t="s">
        <v>43</v>
      </c>
      <c r="R14" s="955" t="s">
        <v>984</v>
      </c>
      <c r="S14" s="946" t="s">
        <v>43</v>
      </c>
      <c r="T14" s="946" t="s">
        <v>43</v>
      </c>
      <c r="U14" s="946" t="s">
        <v>43</v>
      </c>
      <c r="V14" s="946" t="s">
        <v>43</v>
      </c>
      <c r="W14" s="955" t="s">
        <v>247</v>
      </c>
      <c r="X14" s="953" t="s">
        <v>5021</v>
      </c>
      <c r="Y14" s="1642"/>
      <c r="Z14" s="1642"/>
      <c r="AA14" s="219">
        <v>20800000</v>
      </c>
    </row>
    <row r="15" spans="1:27" s="83" customFormat="1" ht="15.75" customHeight="1">
      <c r="A15" s="1534"/>
      <c r="B15" s="1645"/>
      <c r="C15" s="1668"/>
      <c r="D15" s="1534"/>
      <c r="E15" s="1534"/>
      <c r="F15" s="1668"/>
      <c r="G15" s="946" t="s">
        <v>43</v>
      </c>
      <c r="H15" s="953" t="s">
        <v>44</v>
      </c>
      <c r="I15" s="953" t="s">
        <v>45</v>
      </c>
      <c r="J15" s="954" t="s">
        <v>205</v>
      </c>
      <c r="K15" s="1534"/>
      <c r="L15" s="1534"/>
      <c r="M15" s="953" t="s">
        <v>15755</v>
      </c>
      <c r="N15" s="942" t="s">
        <v>15756</v>
      </c>
      <c r="O15" s="946"/>
      <c r="P15" s="952"/>
      <c r="Q15" s="946"/>
      <c r="R15" s="955" t="s">
        <v>5022</v>
      </c>
      <c r="S15" s="946" t="s">
        <v>43</v>
      </c>
      <c r="T15" s="946" t="s">
        <v>43</v>
      </c>
      <c r="U15" s="946" t="s">
        <v>43</v>
      </c>
      <c r="V15" s="946" t="s">
        <v>43</v>
      </c>
      <c r="W15" s="955" t="s">
        <v>49</v>
      </c>
      <c r="X15" s="953" t="s">
        <v>50</v>
      </c>
      <c r="Y15" s="1643"/>
      <c r="Z15" s="1643"/>
      <c r="AA15" s="303">
        <v>0</v>
      </c>
    </row>
    <row r="16" spans="1:27" ht="19.5">
      <c r="Z16" s="289" t="s">
        <v>9164</v>
      </c>
      <c r="AA16" s="321">
        <f>SUM(AA2:AA15)</f>
        <v>162360000</v>
      </c>
    </row>
    <row r="17" spans="1:27">
      <c r="AA17" s="322"/>
    </row>
    <row r="18" spans="1:27">
      <c r="AA18" s="322"/>
    </row>
    <row r="19" spans="1:27">
      <c r="AA19" s="322"/>
    </row>
    <row r="20" spans="1:27">
      <c r="G20" s="73" t="s">
        <v>5043</v>
      </c>
      <c r="AA20" s="322"/>
    </row>
    <row r="21" spans="1:27">
      <c r="G21" s="73" t="s">
        <v>5041</v>
      </c>
      <c r="AA21" s="322"/>
    </row>
    <row r="22" spans="1:27">
      <c r="G22" s="73" t="s">
        <v>5042</v>
      </c>
      <c r="AA22" s="322"/>
    </row>
    <row r="23" spans="1:27" ht="26.25" customHeight="1">
      <c r="AA23" s="322"/>
    </row>
    <row r="24" spans="1:27" ht="22.5">
      <c r="A24" s="1459" t="s">
        <v>14163</v>
      </c>
      <c r="B24" s="1459"/>
      <c r="C24" s="1459"/>
      <c r="D24" s="1459"/>
      <c r="E24" s="1459"/>
      <c r="F24" s="1459"/>
      <c r="G24" s="1459"/>
    </row>
    <row r="25" spans="1:27" s="12" customFormat="1" ht="19.5">
      <c r="A25" s="34" t="s">
        <v>0</v>
      </c>
      <c r="B25" s="34" t="s">
        <v>5</v>
      </c>
      <c r="C25" s="34" t="s">
        <v>2</v>
      </c>
      <c r="D25" s="34" t="s">
        <v>3</v>
      </c>
      <c r="E25" s="1445" t="s">
        <v>88</v>
      </c>
      <c r="F25" s="1446"/>
      <c r="G25" s="34" t="s">
        <v>6</v>
      </c>
      <c r="H25" s="34" t="s">
        <v>7</v>
      </c>
      <c r="I25" s="34" t="s">
        <v>8</v>
      </c>
      <c r="J25" s="34" t="s">
        <v>196</v>
      </c>
      <c r="K25" s="34" t="s">
        <v>9</v>
      </c>
      <c r="L25" s="34" t="s">
        <v>11</v>
      </c>
      <c r="M25" s="34" t="s">
        <v>12</v>
      </c>
      <c r="N25" s="34" t="s">
        <v>216</v>
      </c>
      <c r="O25" s="34" t="s">
        <v>13</v>
      </c>
      <c r="P25" s="35" t="s">
        <v>14</v>
      </c>
      <c r="Q25" s="35" t="s">
        <v>217</v>
      </c>
      <c r="R25" s="35" t="s">
        <v>16</v>
      </c>
      <c r="S25" s="34" t="s">
        <v>17</v>
      </c>
      <c r="T25" s="34" t="s">
        <v>218</v>
      </c>
      <c r="U25" s="34" t="s">
        <v>22</v>
      </c>
      <c r="V25" s="36" t="s">
        <v>23</v>
      </c>
      <c r="W25" s="34" t="s">
        <v>24</v>
      </c>
      <c r="X25" s="58" t="s">
        <v>257</v>
      </c>
      <c r="Z25"/>
      <c r="AA25"/>
    </row>
    <row r="26" spans="1:27">
      <c r="AA26" s="322"/>
    </row>
    <row r="27" spans="1:27">
      <c r="AA27" s="323"/>
    </row>
    <row r="29" spans="1:27">
      <c r="I29" s="271" t="s">
        <v>12013</v>
      </c>
    </row>
    <row r="30" spans="1:27">
      <c r="I30" s="912" t="s">
        <v>5028</v>
      </c>
    </row>
  </sheetData>
  <mergeCells count="51">
    <mergeCell ref="A24:G24"/>
    <mergeCell ref="E25:F25"/>
    <mergeCell ref="E8:E10"/>
    <mergeCell ref="P13:P14"/>
    <mergeCell ref="Y8:Y10"/>
    <mergeCell ref="Z8:Z10"/>
    <mergeCell ref="A2:A5"/>
    <mergeCell ref="A6:A7"/>
    <mergeCell ref="A8:A10"/>
    <mergeCell ref="K6:K7"/>
    <mergeCell ref="Y2:Y5"/>
    <mergeCell ref="Z2:Z5"/>
    <mergeCell ref="Y6:Y7"/>
    <mergeCell ref="Z6:Z7"/>
    <mergeCell ref="X6:X7"/>
    <mergeCell ref="E2:E5"/>
    <mergeCell ref="E6:E7"/>
    <mergeCell ref="D2:D5"/>
    <mergeCell ref="D6:D7"/>
    <mergeCell ref="D8:D10"/>
    <mergeCell ref="B6:B7"/>
    <mergeCell ref="Z11:Z12"/>
    <mergeCell ref="E11:E12"/>
    <mergeCell ref="C2:C15"/>
    <mergeCell ref="F2:F15"/>
    <mergeCell ref="L13:L15"/>
    <mergeCell ref="Y13:Y15"/>
    <mergeCell ref="Z13:Z15"/>
    <mergeCell ref="D11:D12"/>
    <mergeCell ref="K11:K12"/>
    <mergeCell ref="L11:L12"/>
    <mergeCell ref="P11:P12"/>
    <mergeCell ref="Y11:Y12"/>
    <mergeCell ref="P2:P5"/>
    <mergeCell ref="P6:P7"/>
    <mergeCell ref="P8:P10"/>
    <mergeCell ref="I6:I7"/>
    <mergeCell ref="L2:L5"/>
    <mergeCell ref="L6:L7"/>
    <mergeCell ref="L8:L10"/>
    <mergeCell ref="K2:K5"/>
    <mergeCell ref="A13:A15"/>
    <mergeCell ref="B13:B15"/>
    <mergeCell ref="D13:D15"/>
    <mergeCell ref="E13:E15"/>
    <mergeCell ref="K13:K15"/>
    <mergeCell ref="A11:A12"/>
    <mergeCell ref="B11:B12"/>
    <mergeCell ref="B8:B10"/>
    <mergeCell ref="B2:B5"/>
    <mergeCell ref="K8:K10"/>
  </mergeCells>
  <conditionalFormatting sqref="M4">
    <cfRule type="duplicateValues" dxfId="845" priority="31"/>
  </conditionalFormatting>
  <conditionalFormatting sqref="M7">
    <cfRule type="duplicateValues" dxfId="844" priority="33"/>
  </conditionalFormatting>
  <conditionalFormatting sqref="M8">
    <cfRule type="duplicateValues" dxfId="843" priority="28"/>
  </conditionalFormatting>
  <conditionalFormatting sqref="N4">
    <cfRule type="duplicateValues" dxfId="842" priority="32"/>
  </conditionalFormatting>
  <conditionalFormatting sqref="N5">
    <cfRule type="duplicateValues" dxfId="841" priority="25"/>
  </conditionalFormatting>
  <conditionalFormatting sqref="N6">
    <cfRule type="duplicateValues" dxfId="840" priority="30"/>
  </conditionalFormatting>
  <conditionalFormatting sqref="N7">
    <cfRule type="duplicateValues" dxfId="839" priority="24"/>
  </conditionalFormatting>
  <conditionalFormatting sqref="N8">
    <cfRule type="duplicateValues" dxfId="838" priority="29"/>
  </conditionalFormatting>
  <conditionalFormatting sqref="N9">
    <cfRule type="duplicateValues" dxfId="837" priority="22"/>
  </conditionalFormatting>
  <conditionalFormatting sqref="N10">
    <cfRule type="duplicateValues" dxfId="836" priority="23"/>
  </conditionalFormatting>
  <conditionalFormatting sqref="N11 N1:N3">
    <cfRule type="duplicateValues" dxfId="835" priority="35"/>
  </conditionalFormatting>
  <conditionalFormatting sqref="N12">
    <cfRule type="duplicateValues" dxfId="834" priority="21"/>
  </conditionalFormatting>
  <conditionalFormatting sqref="M25">
    <cfRule type="duplicateValues" dxfId="833" priority="8"/>
    <cfRule type="duplicateValues" dxfId="832" priority="9"/>
    <cfRule type="duplicateValues" dxfId="831" priority="10"/>
    <cfRule type="duplicateValues" dxfId="830" priority="11"/>
  </conditionalFormatting>
  <conditionalFormatting sqref="N25">
    <cfRule type="duplicateValues" dxfId="829" priority="12"/>
    <cfRule type="duplicateValues" dxfId="828" priority="13"/>
    <cfRule type="duplicateValues" dxfId="827" priority="14"/>
    <cfRule type="duplicateValues" dxfId="826" priority="15"/>
  </conditionalFormatting>
  <conditionalFormatting sqref="E25">
    <cfRule type="duplicateValues" dxfId="825" priority="16"/>
  </conditionalFormatting>
  <conditionalFormatting sqref="K25">
    <cfRule type="duplicateValues" dxfId="824" priority="17"/>
  </conditionalFormatting>
  <conditionalFormatting sqref="L25">
    <cfRule type="duplicateValues" dxfId="823" priority="18"/>
  </conditionalFormatting>
  <conditionalFormatting sqref="I30">
    <cfRule type="duplicateValues" dxfId="822" priority="7"/>
  </conditionalFormatting>
  <conditionalFormatting sqref="M14">
    <cfRule type="duplicateValues" dxfId="821" priority="6"/>
  </conditionalFormatting>
  <conditionalFormatting sqref="M13">
    <cfRule type="duplicateValues" dxfId="820" priority="4"/>
  </conditionalFormatting>
  <conditionalFormatting sqref="N13">
    <cfRule type="duplicateValues" dxfId="819" priority="5"/>
  </conditionalFormatting>
  <conditionalFormatting sqref="N14">
    <cfRule type="duplicateValues" dxfId="818" priority="3"/>
  </conditionalFormatting>
  <conditionalFormatting sqref="M15">
    <cfRule type="duplicateValues" dxfId="817" priority="2"/>
  </conditionalFormatting>
  <conditionalFormatting sqref="N15">
    <cfRule type="duplicateValues" dxfId="816" priority="1"/>
  </conditionalFormatting>
  <conditionalFormatting sqref="M9 M5 M11:M12 M1:M3">
    <cfRule type="duplicateValues" dxfId="815" priority="4420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44"/>
  <sheetViews>
    <sheetView rightToLeft="1" topLeftCell="A4" workbookViewId="0">
      <selection activeCell="E36" sqref="E36"/>
    </sheetView>
  </sheetViews>
  <sheetFormatPr defaultRowHeight="15"/>
  <cols>
    <col min="5" max="5" width="13" customWidth="1"/>
    <col min="8" max="8" width="19.140625" customWidth="1"/>
    <col min="9" max="9" width="17.5703125" customWidth="1"/>
    <col min="11" max="11" width="88.7109375" customWidth="1"/>
    <col min="12" max="12" width="47.5703125" customWidth="1"/>
    <col min="13" max="13" width="26.28515625" customWidth="1"/>
    <col min="14" max="14" width="65.5703125" customWidth="1"/>
    <col min="15" max="15" width="15" customWidth="1"/>
    <col min="16" max="16" width="28.140625" customWidth="1"/>
    <col min="17" max="17" width="18.28515625" customWidth="1"/>
    <col min="18" max="18" width="29.28515625" customWidth="1"/>
    <col min="19" max="19" width="17.140625" customWidth="1"/>
    <col min="20" max="20" width="31.28515625" customWidth="1"/>
    <col min="21" max="21" width="36.7109375" customWidth="1"/>
    <col min="22" max="22" width="14" customWidth="1"/>
    <col min="23" max="23" width="22.5703125" customWidth="1"/>
    <col min="24" max="24" width="44" customWidth="1"/>
    <col min="25" max="25" width="22" customWidth="1"/>
    <col min="26" max="26" width="42.42578125" customWidth="1"/>
    <col min="27" max="27" width="26.140625" customWidth="1"/>
  </cols>
  <sheetData>
    <row r="1" spans="1:27" s="27" customFormat="1" ht="19.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196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6" t="s">
        <v>14</v>
      </c>
      <c r="Q1" s="35" t="s">
        <v>15</v>
      </c>
      <c r="R1" s="35" t="s">
        <v>16</v>
      </c>
      <c r="S1" s="35" t="s">
        <v>17</v>
      </c>
      <c r="T1" s="34" t="s">
        <v>18</v>
      </c>
      <c r="U1" s="34" t="s">
        <v>19</v>
      </c>
      <c r="V1" s="34" t="s">
        <v>20</v>
      </c>
      <c r="W1" s="35" t="s">
        <v>21</v>
      </c>
      <c r="X1" s="34" t="s">
        <v>22</v>
      </c>
      <c r="Y1" s="35" t="s">
        <v>23</v>
      </c>
      <c r="Z1" s="35" t="s">
        <v>24</v>
      </c>
      <c r="AA1" s="49" t="s">
        <v>9184</v>
      </c>
    </row>
    <row r="2" spans="1:27" s="27" customFormat="1" ht="15.75" customHeight="1">
      <c r="A2" s="1422">
        <v>1</v>
      </c>
      <c r="B2" s="1523">
        <v>365</v>
      </c>
      <c r="C2" s="1422" t="s">
        <v>3018</v>
      </c>
      <c r="D2" s="1422" t="s">
        <v>3018</v>
      </c>
      <c r="E2" s="1422" t="s">
        <v>3019</v>
      </c>
      <c r="F2" s="1422" t="s">
        <v>3018</v>
      </c>
      <c r="G2" s="64" t="s">
        <v>3020</v>
      </c>
      <c r="H2" s="21" t="s">
        <v>28</v>
      </c>
      <c r="I2" s="32" t="s">
        <v>2329</v>
      </c>
      <c r="J2" s="106" t="s">
        <v>197</v>
      </c>
      <c r="K2" s="1714" t="s">
        <v>15698</v>
      </c>
      <c r="L2" s="1460" t="s">
        <v>15699</v>
      </c>
      <c r="M2" s="48" t="s">
        <v>3021</v>
      </c>
      <c r="N2" s="48" t="s">
        <v>15700</v>
      </c>
      <c r="O2" s="46" t="s">
        <v>43</v>
      </c>
      <c r="P2" s="1520" t="s">
        <v>3022</v>
      </c>
      <c r="Q2" s="46" t="s">
        <v>43</v>
      </c>
      <c r="R2" s="63" t="s">
        <v>3023</v>
      </c>
      <c r="S2" s="46" t="s">
        <v>43</v>
      </c>
      <c r="T2" s="1422" t="s">
        <v>3024</v>
      </c>
      <c r="U2" s="1501" t="s">
        <v>278</v>
      </c>
      <c r="V2" s="1529" t="s">
        <v>1534</v>
      </c>
      <c r="W2" s="63" t="s">
        <v>3025</v>
      </c>
      <c r="X2" s="1422" t="s">
        <v>278</v>
      </c>
      <c r="Y2" s="1529" t="s">
        <v>93</v>
      </c>
      <c r="Z2" s="1529" t="s">
        <v>143</v>
      </c>
      <c r="AA2" s="219">
        <v>56550000</v>
      </c>
    </row>
    <row r="3" spans="1:27" s="27" customFormat="1" ht="15.75" customHeight="1">
      <c r="A3" s="1423"/>
      <c r="B3" s="1524"/>
      <c r="C3" s="1423"/>
      <c r="D3" s="1423"/>
      <c r="E3" s="1423"/>
      <c r="F3" s="1423"/>
      <c r="G3" s="64" t="s">
        <v>3026</v>
      </c>
      <c r="H3" s="30" t="s">
        <v>195</v>
      </c>
      <c r="I3" s="32" t="s">
        <v>2329</v>
      </c>
      <c r="J3" s="47" t="s">
        <v>198</v>
      </c>
      <c r="K3" s="1715"/>
      <c r="L3" s="1717"/>
      <c r="M3" s="48" t="s">
        <v>3027</v>
      </c>
      <c r="N3" s="21" t="s">
        <v>3084</v>
      </c>
      <c r="O3" s="46" t="s">
        <v>43</v>
      </c>
      <c r="P3" s="1521"/>
      <c r="Q3" s="46" t="s">
        <v>43</v>
      </c>
      <c r="R3" s="63" t="s">
        <v>3028</v>
      </c>
      <c r="S3" s="46" t="s">
        <v>43</v>
      </c>
      <c r="T3" s="1423"/>
      <c r="U3" s="1502"/>
      <c r="V3" s="1530"/>
      <c r="W3" s="63" t="s">
        <v>3029</v>
      </c>
      <c r="X3" s="1423"/>
      <c r="Y3" s="1530"/>
      <c r="Z3" s="1530"/>
      <c r="AA3" s="219">
        <v>44200000</v>
      </c>
    </row>
    <row r="4" spans="1:27" s="27" customFormat="1" ht="15.75" customHeight="1">
      <c r="A4" s="1423"/>
      <c r="B4" s="1524"/>
      <c r="C4" s="1423"/>
      <c r="D4" s="1423"/>
      <c r="E4" s="1423"/>
      <c r="F4" s="1423"/>
      <c r="G4" s="64" t="s">
        <v>11832</v>
      </c>
      <c r="H4" s="30" t="s">
        <v>3082</v>
      </c>
      <c r="I4" s="32" t="s">
        <v>2329</v>
      </c>
      <c r="J4" s="47" t="s">
        <v>197</v>
      </c>
      <c r="K4" s="1715"/>
      <c r="L4" s="1717"/>
      <c r="M4" s="48" t="s">
        <v>3030</v>
      </c>
      <c r="N4" s="77" t="s">
        <v>15675</v>
      </c>
      <c r="O4" s="46" t="s">
        <v>43</v>
      </c>
      <c r="P4" s="1521"/>
      <c r="Q4" s="46" t="s">
        <v>43</v>
      </c>
      <c r="R4" s="63" t="s">
        <v>3031</v>
      </c>
      <c r="S4" s="46" t="s">
        <v>43</v>
      </c>
      <c r="T4" s="1508"/>
      <c r="U4" s="1503"/>
      <c r="V4" s="1531"/>
      <c r="W4" s="63" t="s">
        <v>3032</v>
      </c>
      <c r="X4" s="1508"/>
      <c r="Y4" s="1530"/>
      <c r="Z4" s="1530"/>
      <c r="AA4" s="219">
        <v>22400000</v>
      </c>
    </row>
    <row r="5" spans="1:27" s="27" customFormat="1" ht="15.75" customHeight="1">
      <c r="A5" s="1423"/>
      <c r="B5" s="1524"/>
      <c r="C5" s="1423"/>
      <c r="D5" s="1423"/>
      <c r="E5" s="1423"/>
      <c r="F5" s="1423"/>
      <c r="G5" s="64" t="s">
        <v>3033</v>
      </c>
      <c r="H5" s="32" t="s">
        <v>3006</v>
      </c>
      <c r="I5" s="32" t="s">
        <v>2329</v>
      </c>
      <c r="J5" s="47" t="s">
        <v>204</v>
      </c>
      <c r="K5" s="1715"/>
      <c r="L5" s="1717"/>
      <c r="M5" s="48" t="s">
        <v>3034</v>
      </c>
      <c r="N5" s="48" t="s">
        <v>15679</v>
      </c>
      <c r="O5" s="46" t="s">
        <v>43</v>
      </c>
      <c r="P5" s="1521"/>
      <c r="Q5" s="64" t="s">
        <v>149</v>
      </c>
      <c r="R5" s="64" t="s">
        <v>156</v>
      </c>
      <c r="S5" s="46" t="s">
        <v>43</v>
      </c>
      <c r="T5" s="46" t="s">
        <v>43</v>
      </c>
      <c r="U5" s="46" t="s">
        <v>43</v>
      </c>
      <c r="V5" s="46" t="s">
        <v>43</v>
      </c>
      <c r="W5" s="46" t="s">
        <v>43</v>
      </c>
      <c r="X5" s="32" t="s">
        <v>151</v>
      </c>
      <c r="Y5" s="1530"/>
      <c r="Z5" s="1530"/>
      <c r="AA5" s="219">
        <v>53760000</v>
      </c>
    </row>
    <row r="6" spans="1:27" s="27" customFormat="1" ht="15.75" customHeight="1">
      <c r="A6" s="1508"/>
      <c r="B6" s="1525"/>
      <c r="C6" s="1423"/>
      <c r="D6" s="1423"/>
      <c r="E6" s="1508"/>
      <c r="F6" s="1423"/>
      <c r="G6" s="46" t="s">
        <v>43</v>
      </c>
      <c r="H6" s="930" t="s">
        <v>15701</v>
      </c>
      <c r="I6" s="32" t="s">
        <v>45</v>
      </c>
      <c r="J6" s="47" t="s">
        <v>11886</v>
      </c>
      <c r="K6" s="1716"/>
      <c r="L6" s="1461"/>
      <c r="M6" s="48" t="s">
        <v>3035</v>
      </c>
      <c r="N6" s="21" t="s">
        <v>5056</v>
      </c>
      <c r="O6" s="46" t="s">
        <v>43</v>
      </c>
      <c r="P6" s="1522"/>
      <c r="Q6" s="46" t="s">
        <v>43</v>
      </c>
      <c r="R6" s="63" t="s">
        <v>3036</v>
      </c>
      <c r="S6" s="46" t="s">
        <v>43</v>
      </c>
      <c r="T6" s="46" t="s">
        <v>43</v>
      </c>
      <c r="U6" s="46" t="s">
        <v>43</v>
      </c>
      <c r="V6" s="46" t="s">
        <v>43</v>
      </c>
      <c r="W6" s="46" t="s">
        <v>43</v>
      </c>
      <c r="X6" s="32" t="s">
        <v>56</v>
      </c>
      <c r="Y6" s="1531"/>
      <c r="Z6" s="1531"/>
      <c r="AA6" s="303">
        <v>0</v>
      </c>
    </row>
    <row r="7" spans="1:27" s="27" customFormat="1" ht="15.75" customHeight="1">
      <c r="A7" s="1422">
        <v>2</v>
      </c>
      <c r="B7" s="1512">
        <v>374</v>
      </c>
      <c r="C7" s="1423"/>
      <c r="D7" s="1423"/>
      <c r="E7" s="1422" t="s">
        <v>3037</v>
      </c>
      <c r="F7" s="1423"/>
      <c r="G7" s="63" t="s">
        <v>9260</v>
      </c>
      <c r="H7" s="30" t="s">
        <v>3082</v>
      </c>
      <c r="I7" s="32" t="s">
        <v>108</v>
      </c>
      <c r="J7" s="47" t="s">
        <v>199</v>
      </c>
      <c r="K7" s="1422" t="s">
        <v>15669</v>
      </c>
      <c r="L7" s="1422" t="s">
        <v>15670</v>
      </c>
      <c r="M7" s="48" t="s">
        <v>3038</v>
      </c>
      <c r="N7" s="48" t="s">
        <v>15671</v>
      </c>
      <c r="O7" s="46" t="s">
        <v>43</v>
      </c>
      <c r="P7" s="1520" t="s">
        <v>3085</v>
      </c>
      <c r="Q7" s="46" t="s">
        <v>43</v>
      </c>
      <c r="R7" s="63" t="s">
        <v>2274</v>
      </c>
      <c r="S7" s="46" t="s">
        <v>43</v>
      </c>
      <c r="T7" s="46" t="s">
        <v>43</v>
      </c>
      <c r="U7" s="46" t="s">
        <v>43</v>
      </c>
      <c r="V7" s="46" t="s">
        <v>43</v>
      </c>
      <c r="W7" s="46" t="s">
        <v>43</v>
      </c>
      <c r="X7" s="32" t="s">
        <v>299</v>
      </c>
      <c r="Y7" s="1529" t="s">
        <v>202</v>
      </c>
      <c r="Z7" s="1529" t="s">
        <v>65</v>
      </c>
      <c r="AA7" s="219">
        <v>8960000</v>
      </c>
    </row>
    <row r="8" spans="1:27" s="27" customFormat="1" ht="15.75" customHeight="1">
      <c r="A8" s="1423"/>
      <c r="B8" s="1621"/>
      <c r="C8" s="1423"/>
      <c r="D8" s="1423"/>
      <c r="E8" s="1423"/>
      <c r="F8" s="1423"/>
      <c r="G8" s="63" t="s">
        <v>9261</v>
      </c>
      <c r="H8" s="30" t="s">
        <v>195</v>
      </c>
      <c r="I8" s="32" t="s">
        <v>108</v>
      </c>
      <c r="J8" s="47" t="s">
        <v>199</v>
      </c>
      <c r="K8" s="1423"/>
      <c r="L8" s="1423"/>
      <c r="M8" s="101" t="s">
        <v>3039</v>
      </c>
      <c r="N8" s="21" t="s">
        <v>5057</v>
      </c>
      <c r="O8" s="46" t="s">
        <v>43</v>
      </c>
      <c r="P8" s="1521"/>
      <c r="Q8" s="46" t="s">
        <v>43</v>
      </c>
      <c r="R8" s="63" t="s">
        <v>297</v>
      </c>
      <c r="S8" s="46" t="s">
        <v>43</v>
      </c>
      <c r="T8" s="46" t="s">
        <v>43</v>
      </c>
      <c r="U8" s="46" t="s">
        <v>43</v>
      </c>
      <c r="V8" s="46" t="s">
        <v>43</v>
      </c>
      <c r="W8" s="46" t="s">
        <v>43</v>
      </c>
      <c r="X8" s="32" t="s">
        <v>299</v>
      </c>
      <c r="Y8" s="1530"/>
      <c r="Z8" s="1530"/>
      <c r="AA8" s="219">
        <v>20800000</v>
      </c>
    </row>
    <row r="9" spans="1:27" s="27" customFormat="1" ht="15.75" customHeight="1">
      <c r="A9" s="1422">
        <v>3</v>
      </c>
      <c r="B9" s="1512">
        <v>377</v>
      </c>
      <c r="C9" s="1423"/>
      <c r="D9" s="1422" t="s">
        <v>3040</v>
      </c>
      <c r="E9" s="1422" t="s">
        <v>3040</v>
      </c>
      <c r="F9" s="1423"/>
      <c r="G9" s="64" t="s">
        <v>3041</v>
      </c>
      <c r="H9" s="30" t="s">
        <v>3082</v>
      </c>
      <c r="I9" s="32" t="s">
        <v>108</v>
      </c>
      <c r="J9" s="47" t="s">
        <v>205</v>
      </c>
      <c r="K9" s="1422" t="s">
        <v>15672</v>
      </c>
      <c r="L9" s="1422" t="s">
        <v>15673</v>
      </c>
      <c r="M9" s="48" t="s">
        <v>3042</v>
      </c>
      <c r="N9" s="48" t="s">
        <v>15674</v>
      </c>
      <c r="O9" s="46" t="s">
        <v>43</v>
      </c>
      <c r="P9" s="1520" t="s">
        <v>3086</v>
      </c>
      <c r="Q9" s="46" t="s">
        <v>43</v>
      </c>
      <c r="R9" s="63" t="s">
        <v>315</v>
      </c>
      <c r="S9" s="64" t="s">
        <v>438</v>
      </c>
      <c r="T9" s="46" t="s">
        <v>43</v>
      </c>
      <c r="U9" s="46" t="s">
        <v>43</v>
      </c>
      <c r="V9" s="46" t="s">
        <v>43</v>
      </c>
      <c r="W9" s="46" t="s">
        <v>43</v>
      </c>
      <c r="X9" s="32" t="s">
        <v>299</v>
      </c>
      <c r="Y9" s="1422" t="s">
        <v>202</v>
      </c>
      <c r="Z9" s="1528" t="s">
        <v>65</v>
      </c>
      <c r="AA9" s="219">
        <v>6400000</v>
      </c>
    </row>
    <row r="10" spans="1:27" s="27" customFormat="1" ht="15.75" customHeight="1">
      <c r="A10" s="1508"/>
      <c r="B10" s="1513"/>
      <c r="C10" s="1423"/>
      <c r="D10" s="1508"/>
      <c r="E10" s="1508"/>
      <c r="F10" s="1423"/>
      <c r="G10" s="64" t="s">
        <v>11833</v>
      </c>
      <c r="H10" s="30" t="s">
        <v>195</v>
      </c>
      <c r="I10" s="32" t="s">
        <v>108</v>
      </c>
      <c r="J10" s="47" t="s">
        <v>199</v>
      </c>
      <c r="K10" s="1508"/>
      <c r="L10" s="1508"/>
      <c r="M10" s="48" t="s">
        <v>3043</v>
      </c>
      <c r="N10" s="21" t="s">
        <v>5058</v>
      </c>
      <c r="O10" s="46" t="s">
        <v>43</v>
      </c>
      <c r="P10" s="1522"/>
      <c r="Q10" s="46" t="s">
        <v>43</v>
      </c>
      <c r="R10" s="63" t="s">
        <v>297</v>
      </c>
      <c r="S10" s="64" t="s">
        <v>438</v>
      </c>
      <c r="T10" s="46" t="s">
        <v>43</v>
      </c>
      <c r="U10" s="46" t="s">
        <v>43</v>
      </c>
      <c r="V10" s="46" t="s">
        <v>43</v>
      </c>
      <c r="W10" s="46" t="s">
        <v>43</v>
      </c>
      <c r="X10" s="32" t="s">
        <v>299</v>
      </c>
      <c r="Y10" s="1508"/>
      <c r="Z10" s="1528"/>
      <c r="AA10" s="219">
        <v>20800000</v>
      </c>
    </row>
    <row r="11" spans="1:27" s="27" customFormat="1" ht="15.75" customHeight="1">
      <c r="A11" s="1422">
        <v>4</v>
      </c>
      <c r="B11" s="1512">
        <v>378</v>
      </c>
      <c r="C11" s="1423"/>
      <c r="D11" s="1422" t="s">
        <v>3044</v>
      </c>
      <c r="E11" s="1422" t="s">
        <v>3044</v>
      </c>
      <c r="F11" s="1423"/>
      <c r="G11" s="64" t="s">
        <v>3045</v>
      </c>
      <c r="H11" s="30" t="s">
        <v>3082</v>
      </c>
      <c r="I11" s="32" t="s">
        <v>108</v>
      </c>
      <c r="J11" s="47" t="s">
        <v>205</v>
      </c>
      <c r="K11" s="1422" t="s">
        <v>15676</v>
      </c>
      <c r="L11" s="1422" t="s">
        <v>15677</v>
      </c>
      <c r="M11" s="48" t="s">
        <v>3046</v>
      </c>
      <c r="N11" s="48" t="s">
        <v>15678</v>
      </c>
      <c r="O11" s="46" t="s">
        <v>43</v>
      </c>
      <c r="P11" s="1520" t="s">
        <v>3087</v>
      </c>
      <c r="Q11" s="46" t="s">
        <v>43</v>
      </c>
      <c r="R11" s="63" t="s">
        <v>2274</v>
      </c>
      <c r="S11" s="64" t="s">
        <v>438</v>
      </c>
      <c r="T11" s="46" t="s">
        <v>43</v>
      </c>
      <c r="U11" s="46" t="s">
        <v>43</v>
      </c>
      <c r="V11" s="46" t="s">
        <v>43</v>
      </c>
      <c r="W11" s="46" t="s">
        <v>43</v>
      </c>
      <c r="X11" s="32" t="s">
        <v>299</v>
      </c>
      <c r="Y11" s="1529" t="s">
        <v>202</v>
      </c>
      <c r="Z11" s="1422" t="s">
        <v>65</v>
      </c>
      <c r="AA11" s="219">
        <v>6400000</v>
      </c>
    </row>
    <row r="12" spans="1:27" s="27" customFormat="1" ht="15.75" customHeight="1">
      <c r="A12" s="1423"/>
      <c r="B12" s="1621"/>
      <c r="C12" s="1423"/>
      <c r="D12" s="1423"/>
      <c r="E12" s="1423"/>
      <c r="F12" s="1423"/>
      <c r="G12" s="64" t="s">
        <v>11834</v>
      </c>
      <c r="H12" s="30" t="s">
        <v>195</v>
      </c>
      <c r="I12" s="32" t="s">
        <v>108</v>
      </c>
      <c r="J12" s="47" t="s">
        <v>199</v>
      </c>
      <c r="K12" s="1423"/>
      <c r="L12" s="1423"/>
      <c r="M12" s="48" t="s">
        <v>3047</v>
      </c>
      <c r="N12" s="21" t="s">
        <v>5059</v>
      </c>
      <c r="O12" s="46" t="s">
        <v>43</v>
      </c>
      <c r="P12" s="1521"/>
      <c r="Q12" s="46" t="s">
        <v>43</v>
      </c>
      <c r="R12" s="63" t="s">
        <v>255</v>
      </c>
      <c r="S12" s="46" t="s">
        <v>43</v>
      </c>
      <c r="T12" s="46" t="s">
        <v>43</v>
      </c>
      <c r="U12" s="46" t="s">
        <v>43</v>
      </c>
      <c r="V12" s="46" t="s">
        <v>43</v>
      </c>
      <c r="W12" s="63" t="s">
        <v>432</v>
      </c>
      <c r="X12" s="32" t="s">
        <v>170</v>
      </c>
      <c r="Y12" s="1530"/>
      <c r="Z12" s="1423"/>
      <c r="AA12" s="219">
        <v>20800000</v>
      </c>
    </row>
    <row r="13" spans="1:27" s="27" customFormat="1" ht="15.75" customHeight="1">
      <c r="A13" s="1508"/>
      <c r="B13" s="1513"/>
      <c r="C13" s="1423"/>
      <c r="D13" s="1508"/>
      <c r="E13" s="1508"/>
      <c r="F13" s="1423"/>
      <c r="G13" s="46" t="s">
        <v>43</v>
      </c>
      <c r="H13" s="4" t="s">
        <v>44</v>
      </c>
      <c r="I13" s="63" t="s">
        <v>45</v>
      </c>
      <c r="J13" s="47" t="s">
        <v>201</v>
      </c>
      <c r="K13" s="1508"/>
      <c r="L13" s="1508"/>
      <c r="M13" s="48" t="s">
        <v>3048</v>
      </c>
      <c r="N13" s="48" t="s">
        <v>3049</v>
      </c>
      <c r="O13" s="46" t="s">
        <v>43</v>
      </c>
      <c r="P13" s="1522"/>
      <c r="Q13" s="46" t="s">
        <v>43</v>
      </c>
      <c r="R13" s="63" t="s">
        <v>48</v>
      </c>
      <c r="S13" s="46" t="s">
        <v>43</v>
      </c>
      <c r="T13" s="46" t="s">
        <v>43</v>
      </c>
      <c r="U13" s="46" t="s">
        <v>43</v>
      </c>
      <c r="V13" s="46" t="s">
        <v>43</v>
      </c>
      <c r="W13" s="63" t="s">
        <v>1876</v>
      </c>
      <c r="X13" s="32" t="s">
        <v>50</v>
      </c>
      <c r="Y13" s="1531"/>
      <c r="Z13" s="1508"/>
      <c r="AA13" s="303">
        <v>0</v>
      </c>
    </row>
    <row r="14" spans="1:27" s="27" customFormat="1" ht="15.75" customHeight="1">
      <c r="A14" s="1422">
        <v>6</v>
      </c>
      <c r="B14" s="1512">
        <v>381</v>
      </c>
      <c r="C14" s="1423"/>
      <c r="D14" s="1422" t="s">
        <v>3051</v>
      </c>
      <c r="E14" s="1422" t="s">
        <v>3051</v>
      </c>
      <c r="F14" s="1423"/>
      <c r="G14" s="64" t="s">
        <v>3052</v>
      </c>
      <c r="H14" s="30" t="s">
        <v>3082</v>
      </c>
      <c r="I14" s="32" t="s">
        <v>108</v>
      </c>
      <c r="J14" s="47" t="s">
        <v>205</v>
      </c>
      <c r="K14" s="1529" t="s">
        <v>15680</v>
      </c>
      <c r="L14" s="1529" t="s">
        <v>15681</v>
      </c>
      <c r="M14" s="48" t="s">
        <v>3053</v>
      </c>
      <c r="N14" s="48" t="s">
        <v>15682</v>
      </c>
      <c r="O14" s="46" t="s">
        <v>43</v>
      </c>
      <c r="P14" s="1520" t="s">
        <v>3088</v>
      </c>
      <c r="Q14" s="46" t="s">
        <v>43</v>
      </c>
      <c r="R14" s="63" t="s">
        <v>2274</v>
      </c>
      <c r="S14" s="64" t="s">
        <v>438</v>
      </c>
      <c r="T14" s="46" t="s">
        <v>43</v>
      </c>
      <c r="U14" s="46" t="s">
        <v>43</v>
      </c>
      <c r="V14" s="46" t="s">
        <v>43</v>
      </c>
      <c r="W14" s="46" t="s">
        <v>43</v>
      </c>
      <c r="X14" s="32" t="s">
        <v>299</v>
      </c>
      <c r="Y14" s="1422" t="s">
        <v>202</v>
      </c>
      <c r="Z14" s="1528" t="s">
        <v>65</v>
      </c>
      <c r="AA14" s="219">
        <v>6400000</v>
      </c>
    </row>
    <row r="15" spans="1:27" s="27" customFormat="1" ht="15.75" customHeight="1">
      <c r="A15" s="1508"/>
      <c r="B15" s="1513"/>
      <c r="C15" s="1423"/>
      <c r="D15" s="1508"/>
      <c r="E15" s="1508"/>
      <c r="F15" s="1423"/>
      <c r="G15" s="64">
        <v>583358</v>
      </c>
      <c r="H15" s="30" t="s">
        <v>195</v>
      </c>
      <c r="I15" s="32" t="s">
        <v>108</v>
      </c>
      <c r="J15" s="47" t="s">
        <v>199</v>
      </c>
      <c r="K15" s="1531"/>
      <c r="L15" s="1531"/>
      <c r="M15" s="48" t="s">
        <v>3054</v>
      </c>
      <c r="N15" s="21" t="s">
        <v>5060</v>
      </c>
      <c r="O15" s="46" t="s">
        <v>43</v>
      </c>
      <c r="P15" s="1522"/>
      <c r="Q15" s="46" t="s">
        <v>43</v>
      </c>
      <c r="R15" s="63" t="s">
        <v>2269</v>
      </c>
      <c r="S15" s="64" t="s">
        <v>438</v>
      </c>
      <c r="T15" s="46" t="s">
        <v>43</v>
      </c>
      <c r="U15" s="46" t="s">
        <v>43</v>
      </c>
      <c r="V15" s="46" t="s">
        <v>43</v>
      </c>
      <c r="W15" s="46" t="s">
        <v>43</v>
      </c>
      <c r="X15" s="32" t="s">
        <v>299</v>
      </c>
      <c r="Y15" s="1508"/>
      <c r="Z15" s="1528"/>
      <c r="AA15" s="219">
        <v>20800000</v>
      </c>
    </row>
    <row r="16" spans="1:27" s="27" customFormat="1" ht="15.75" customHeight="1">
      <c r="A16" s="1422">
        <v>8</v>
      </c>
      <c r="B16" s="1512">
        <v>391</v>
      </c>
      <c r="C16" s="1423"/>
      <c r="D16" s="1423"/>
      <c r="E16" s="1422" t="s">
        <v>3056</v>
      </c>
      <c r="F16" s="1423"/>
      <c r="G16" s="64" t="s">
        <v>9262</v>
      </c>
      <c r="H16" s="30" t="s">
        <v>3082</v>
      </c>
      <c r="I16" s="32" t="s">
        <v>60</v>
      </c>
      <c r="J16" s="47" t="s">
        <v>205</v>
      </c>
      <c r="K16" s="1526" t="s">
        <v>15683</v>
      </c>
      <c r="L16" s="1718" t="s">
        <v>15684</v>
      </c>
      <c r="M16" s="48" t="s">
        <v>221</v>
      </c>
      <c r="N16" s="48" t="s">
        <v>15685</v>
      </c>
      <c r="O16" s="46" t="s">
        <v>43</v>
      </c>
      <c r="P16" s="1520" t="s">
        <v>3089</v>
      </c>
      <c r="Q16" s="64" t="s">
        <v>3057</v>
      </c>
      <c r="R16" s="64" t="s">
        <v>166</v>
      </c>
      <c r="S16" s="46" t="s">
        <v>43</v>
      </c>
      <c r="T16" s="46" t="s">
        <v>43</v>
      </c>
      <c r="U16" s="46" t="s">
        <v>43</v>
      </c>
      <c r="V16" s="46" t="s">
        <v>43</v>
      </c>
      <c r="W16" s="46" t="s">
        <v>43</v>
      </c>
      <c r="X16" s="32" t="s">
        <v>167</v>
      </c>
      <c r="Y16" s="1422" t="s">
        <v>202</v>
      </c>
      <c r="Z16" s="1528" t="s">
        <v>65</v>
      </c>
      <c r="AA16" s="219">
        <v>12800000</v>
      </c>
    </row>
    <row r="17" spans="1:27" s="27" customFormat="1" ht="18.75" customHeight="1">
      <c r="A17" s="1508"/>
      <c r="B17" s="1513"/>
      <c r="C17" s="1423"/>
      <c r="D17" s="1508"/>
      <c r="E17" s="1508"/>
      <c r="F17" s="1423"/>
      <c r="G17" s="64">
        <v>592471</v>
      </c>
      <c r="H17" s="30" t="s">
        <v>195</v>
      </c>
      <c r="I17" s="32" t="s">
        <v>108</v>
      </c>
      <c r="J17" s="47" t="s">
        <v>199</v>
      </c>
      <c r="K17" s="1527"/>
      <c r="L17" s="1719"/>
      <c r="M17" s="48" t="s">
        <v>3058</v>
      </c>
      <c r="N17" s="21" t="s">
        <v>5061</v>
      </c>
      <c r="O17" s="46" t="s">
        <v>43</v>
      </c>
      <c r="P17" s="1522"/>
      <c r="Q17" s="46" t="s">
        <v>43</v>
      </c>
      <c r="R17" s="63" t="s">
        <v>2274</v>
      </c>
      <c r="S17" s="64" t="s">
        <v>438</v>
      </c>
      <c r="T17" s="46" t="s">
        <v>43</v>
      </c>
      <c r="U17" s="46" t="s">
        <v>43</v>
      </c>
      <c r="V17" s="46" t="s">
        <v>43</v>
      </c>
      <c r="W17" s="46" t="s">
        <v>43</v>
      </c>
      <c r="X17" s="32" t="s">
        <v>299</v>
      </c>
      <c r="Y17" s="1508"/>
      <c r="Z17" s="1528"/>
      <c r="AA17" s="219">
        <v>20800000</v>
      </c>
    </row>
    <row r="18" spans="1:27" s="27" customFormat="1" ht="15.75" customHeight="1">
      <c r="A18" s="1422">
        <v>9</v>
      </c>
      <c r="B18" s="1512">
        <v>394</v>
      </c>
      <c r="C18" s="1423"/>
      <c r="D18" s="1422" t="s">
        <v>3059</v>
      </c>
      <c r="E18" s="1422" t="s">
        <v>3059</v>
      </c>
      <c r="F18" s="1423"/>
      <c r="G18" s="64" t="s">
        <v>3060</v>
      </c>
      <c r="H18" s="30" t="s">
        <v>3082</v>
      </c>
      <c r="I18" s="32" t="s">
        <v>108</v>
      </c>
      <c r="J18" s="47" t="s">
        <v>205</v>
      </c>
      <c r="K18" s="1422" t="s">
        <v>15686</v>
      </c>
      <c r="L18" s="1422" t="s">
        <v>15687</v>
      </c>
      <c r="M18" s="48" t="s">
        <v>3061</v>
      </c>
      <c r="N18" s="48" t="s">
        <v>15688</v>
      </c>
      <c r="O18" s="46" t="s">
        <v>43</v>
      </c>
      <c r="P18" s="1520" t="s">
        <v>3090</v>
      </c>
      <c r="Q18" s="46" t="s">
        <v>43</v>
      </c>
      <c r="R18" s="63" t="s">
        <v>2274</v>
      </c>
      <c r="S18" s="64" t="s">
        <v>438</v>
      </c>
      <c r="T18" s="46" t="s">
        <v>43</v>
      </c>
      <c r="U18" s="46" t="s">
        <v>43</v>
      </c>
      <c r="V18" s="46" t="s">
        <v>43</v>
      </c>
      <c r="W18" s="46" t="s">
        <v>43</v>
      </c>
      <c r="X18" s="32" t="s">
        <v>299</v>
      </c>
      <c r="Y18" s="1422" t="s">
        <v>202</v>
      </c>
      <c r="Z18" s="1528" t="s">
        <v>65</v>
      </c>
      <c r="AA18" s="219">
        <v>6400000</v>
      </c>
    </row>
    <row r="19" spans="1:27" s="27" customFormat="1" ht="15.75" customHeight="1">
      <c r="A19" s="1508"/>
      <c r="B19" s="1513"/>
      <c r="C19" s="1423"/>
      <c r="D19" s="1508"/>
      <c r="E19" s="1508"/>
      <c r="F19" s="1423"/>
      <c r="G19" s="64">
        <v>583359</v>
      </c>
      <c r="H19" s="30" t="s">
        <v>195</v>
      </c>
      <c r="I19" s="32" t="s">
        <v>108</v>
      </c>
      <c r="J19" s="47" t="s">
        <v>199</v>
      </c>
      <c r="K19" s="1508"/>
      <c r="L19" s="1508"/>
      <c r="M19" s="48" t="s">
        <v>3062</v>
      </c>
      <c r="N19" s="21" t="s">
        <v>5062</v>
      </c>
      <c r="O19" s="46" t="s">
        <v>43</v>
      </c>
      <c r="P19" s="1522"/>
      <c r="Q19" s="46" t="s">
        <v>43</v>
      </c>
      <c r="R19" s="63" t="s">
        <v>2269</v>
      </c>
      <c r="S19" s="64" t="s">
        <v>438</v>
      </c>
      <c r="T19" s="46" t="s">
        <v>43</v>
      </c>
      <c r="U19" s="46" t="s">
        <v>43</v>
      </c>
      <c r="V19" s="46" t="s">
        <v>43</v>
      </c>
      <c r="W19" s="46" t="s">
        <v>43</v>
      </c>
      <c r="X19" s="32" t="s">
        <v>299</v>
      </c>
      <c r="Y19" s="1508"/>
      <c r="Z19" s="1528"/>
      <c r="AA19" s="219">
        <v>20800000</v>
      </c>
    </row>
    <row r="20" spans="1:27" s="27" customFormat="1" ht="15.75" customHeight="1">
      <c r="A20" s="1422">
        <v>10</v>
      </c>
      <c r="B20" s="1512">
        <v>396</v>
      </c>
      <c r="C20" s="1423"/>
      <c r="D20" s="1422" t="s">
        <v>3063</v>
      </c>
      <c r="E20" s="1422" t="s">
        <v>3063</v>
      </c>
      <c r="F20" s="1423"/>
      <c r="G20" s="64" t="s">
        <v>3064</v>
      </c>
      <c r="H20" s="30" t="s">
        <v>3082</v>
      </c>
      <c r="I20" s="32" t="s">
        <v>108</v>
      </c>
      <c r="J20" s="47" t="s">
        <v>199</v>
      </c>
      <c r="K20" s="1422" t="s">
        <v>15689</v>
      </c>
      <c r="L20" s="1422" t="s">
        <v>15690</v>
      </c>
      <c r="M20" s="48" t="s">
        <v>3065</v>
      </c>
      <c r="N20" s="48" t="s">
        <v>15691</v>
      </c>
      <c r="O20" s="46" t="s">
        <v>43</v>
      </c>
      <c r="P20" s="1520" t="s">
        <v>3091</v>
      </c>
      <c r="Q20" s="46" t="s">
        <v>43</v>
      </c>
      <c r="R20" s="63" t="s">
        <v>2274</v>
      </c>
      <c r="S20" s="64" t="s">
        <v>438</v>
      </c>
      <c r="T20" s="46" t="s">
        <v>43</v>
      </c>
      <c r="U20" s="46" t="s">
        <v>43</v>
      </c>
      <c r="V20" s="46" t="s">
        <v>43</v>
      </c>
      <c r="W20" s="46" t="s">
        <v>43</v>
      </c>
      <c r="X20" s="32" t="s">
        <v>299</v>
      </c>
      <c r="Y20" s="1422" t="s">
        <v>202</v>
      </c>
      <c r="Z20" s="1528" t="s">
        <v>65</v>
      </c>
      <c r="AA20" s="219">
        <v>12800000</v>
      </c>
    </row>
    <row r="21" spans="1:27" s="27" customFormat="1" ht="15.75" customHeight="1">
      <c r="A21" s="1508"/>
      <c r="B21" s="1513"/>
      <c r="C21" s="1423"/>
      <c r="D21" s="1508"/>
      <c r="E21" s="1508"/>
      <c r="F21" s="1423"/>
      <c r="G21" s="63" t="s">
        <v>3066</v>
      </c>
      <c r="H21" s="30" t="s">
        <v>195</v>
      </c>
      <c r="I21" s="32" t="s">
        <v>108</v>
      </c>
      <c r="J21" s="47" t="s">
        <v>199</v>
      </c>
      <c r="K21" s="1508"/>
      <c r="L21" s="1508"/>
      <c r="M21" s="48" t="s">
        <v>3067</v>
      </c>
      <c r="N21" s="21" t="s">
        <v>5063</v>
      </c>
      <c r="O21" s="46" t="s">
        <v>43</v>
      </c>
      <c r="P21" s="1522"/>
      <c r="Q21" s="46" t="s">
        <v>43</v>
      </c>
      <c r="R21" s="63" t="s">
        <v>2269</v>
      </c>
      <c r="S21" s="64" t="s">
        <v>438</v>
      </c>
      <c r="T21" s="46" t="s">
        <v>43</v>
      </c>
      <c r="U21" s="46" t="s">
        <v>43</v>
      </c>
      <c r="V21" s="46" t="s">
        <v>43</v>
      </c>
      <c r="W21" s="46" t="s">
        <v>43</v>
      </c>
      <c r="X21" s="32" t="s">
        <v>299</v>
      </c>
      <c r="Y21" s="1508"/>
      <c r="Z21" s="1528"/>
      <c r="AA21" s="219">
        <v>20800000</v>
      </c>
    </row>
    <row r="22" spans="1:27" s="27" customFormat="1" ht="15.75" customHeight="1">
      <c r="A22" s="1422">
        <v>11</v>
      </c>
      <c r="B22" s="1512">
        <v>397</v>
      </c>
      <c r="C22" s="1423"/>
      <c r="D22" s="1422" t="s">
        <v>3068</v>
      </c>
      <c r="E22" s="1422" t="s">
        <v>3068</v>
      </c>
      <c r="F22" s="1423"/>
      <c r="G22" s="64" t="s">
        <v>3069</v>
      </c>
      <c r="H22" s="30" t="s">
        <v>3082</v>
      </c>
      <c r="I22" s="32" t="s">
        <v>108</v>
      </c>
      <c r="J22" s="47" t="s">
        <v>205</v>
      </c>
      <c r="K22" s="1422" t="s">
        <v>15692</v>
      </c>
      <c r="L22" s="1422" t="s">
        <v>15693</v>
      </c>
      <c r="M22" s="48" t="s">
        <v>3070</v>
      </c>
      <c r="N22" s="48" t="s">
        <v>15694</v>
      </c>
      <c r="O22" s="46" t="s">
        <v>43</v>
      </c>
      <c r="P22" s="1520" t="s">
        <v>3092</v>
      </c>
      <c r="Q22" s="46" t="s">
        <v>43</v>
      </c>
      <c r="R22" s="63" t="s">
        <v>2274</v>
      </c>
      <c r="S22" s="64" t="s">
        <v>438</v>
      </c>
      <c r="T22" s="46" t="s">
        <v>43</v>
      </c>
      <c r="U22" s="46" t="s">
        <v>43</v>
      </c>
      <c r="V22" s="46" t="s">
        <v>43</v>
      </c>
      <c r="W22" s="46" t="s">
        <v>43</v>
      </c>
      <c r="X22" s="32" t="s">
        <v>299</v>
      </c>
      <c r="Y22" s="1422" t="s">
        <v>202</v>
      </c>
      <c r="Z22" s="1528" t="s">
        <v>65</v>
      </c>
      <c r="AA22" s="219">
        <v>6400000</v>
      </c>
    </row>
    <row r="23" spans="1:27" s="27" customFormat="1" ht="15.75" customHeight="1">
      <c r="A23" s="1508"/>
      <c r="B23" s="1513"/>
      <c r="C23" s="1423"/>
      <c r="D23" s="1508"/>
      <c r="E23" s="1508"/>
      <c r="F23" s="1423"/>
      <c r="G23" s="64">
        <v>583361</v>
      </c>
      <c r="H23" s="30" t="s">
        <v>195</v>
      </c>
      <c r="I23" s="32" t="s">
        <v>108</v>
      </c>
      <c r="J23" s="47" t="s">
        <v>199</v>
      </c>
      <c r="K23" s="1508"/>
      <c r="L23" s="1508"/>
      <c r="M23" s="48" t="s">
        <v>3071</v>
      </c>
      <c r="N23" s="21" t="s">
        <v>5064</v>
      </c>
      <c r="O23" s="46" t="s">
        <v>43</v>
      </c>
      <c r="P23" s="1522"/>
      <c r="Q23" s="46" t="s">
        <v>43</v>
      </c>
      <c r="R23" s="63" t="s">
        <v>2269</v>
      </c>
      <c r="S23" s="64" t="s">
        <v>438</v>
      </c>
      <c r="T23" s="46" t="s">
        <v>43</v>
      </c>
      <c r="U23" s="46" t="s">
        <v>43</v>
      </c>
      <c r="V23" s="46" t="s">
        <v>43</v>
      </c>
      <c r="W23" s="46" t="s">
        <v>43</v>
      </c>
      <c r="X23" s="32" t="s">
        <v>299</v>
      </c>
      <c r="Y23" s="1508"/>
      <c r="Z23" s="1528"/>
      <c r="AA23" s="219">
        <v>20800000</v>
      </c>
    </row>
    <row r="24" spans="1:27" s="27" customFormat="1" ht="15.75" customHeight="1">
      <c r="A24" s="1422">
        <v>12</v>
      </c>
      <c r="B24" s="1512">
        <v>402</v>
      </c>
      <c r="C24" s="1423"/>
      <c r="D24" s="1422" t="s">
        <v>3072</v>
      </c>
      <c r="E24" s="1422" t="s">
        <v>3073</v>
      </c>
      <c r="F24" s="1423"/>
      <c r="G24" s="64" t="s">
        <v>3074</v>
      </c>
      <c r="H24" s="30" t="s">
        <v>3082</v>
      </c>
      <c r="I24" s="32" t="s">
        <v>108</v>
      </c>
      <c r="J24" s="47" t="s">
        <v>205</v>
      </c>
      <c r="K24" s="1422" t="s">
        <v>15696</v>
      </c>
      <c r="L24" s="1422" t="s">
        <v>15695</v>
      </c>
      <c r="M24" s="48" t="s">
        <v>3075</v>
      </c>
      <c r="N24" s="48" t="s">
        <v>15697</v>
      </c>
      <c r="O24" s="46" t="s">
        <v>43</v>
      </c>
      <c r="P24" s="1520" t="s">
        <v>3093</v>
      </c>
      <c r="Q24" s="46" t="s">
        <v>43</v>
      </c>
      <c r="R24" s="63" t="s">
        <v>2274</v>
      </c>
      <c r="S24" s="64" t="s">
        <v>438</v>
      </c>
      <c r="T24" s="46" t="s">
        <v>43</v>
      </c>
      <c r="U24" s="46" t="s">
        <v>43</v>
      </c>
      <c r="V24" s="46" t="s">
        <v>43</v>
      </c>
      <c r="W24" s="46" t="s">
        <v>43</v>
      </c>
      <c r="X24" s="32" t="s">
        <v>299</v>
      </c>
      <c r="Y24" s="1422" t="s">
        <v>202</v>
      </c>
      <c r="Z24" s="1528" t="s">
        <v>65</v>
      </c>
      <c r="AA24" s="219">
        <v>6400000</v>
      </c>
    </row>
    <row r="25" spans="1:27" s="27" customFormat="1" ht="15.75" customHeight="1">
      <c r="A25" s="1508"/>
      <c r="B25" s="1513"/>
      <c r="C25" s="1423"/>
      <c r="D25" s="1508"/>
      <c r="E25" s="1508"/>
      <c r="F25" s="1423"/>
      <c r="G25" s="64">
        <v>583363</v>
      </c>
      <c r="H25" s="30" t="s">
        <v>195</v>
      </c>
      <c r="I25" s="32" t="s">
        <v>108</v>
      </c>
      <c r="J25" s="47" t="s">
        <v>199</v>
      </c>
      <c r="K25" s="1508"/>
      <c r="L25" s="1508"/>
      <c r="M25" s="48" t="s">
        <v>3076</v>
      </c>
      <c r="N25" s="21" t="s">
        <v>5065</v>
      </c>
      <c r="O25" s="46" t="s">
        <v>43</v>
      </c>
      <c r="P25" s="1522"/>
      <c r="Q25" s="46" t="s">
        <v>43</v>
      </c>
      <c r="R25" s="63" t="s">
        <v>2269</v>
      </c>
      <c r="S25" s="64" t="s">
        <v>438</v>
      </c>
      <c r="T25" s="46" t="s">
        <v>43</v>
      </c>
      <c r="U25" s="46" t="s">
        <v>43</v>
      </c>
      <c r="V25" s="46" t="s">
        <v>43</v>
      </c>
      <c r="W25" s="46" t="s">
        <v>43</v>
      </c>
      <c r="X25" s="32" t="s">
        <v>299</v>
      </c>
      <c r="Y25" s="1508"/>
      <c r="Z25" s="1528"/>
      <c r="AA25" s="219">
        <v>20800000</v>
      </c>
    </row>
    <row r="26" spans="1:27" s="27" customFormat="1" ht="15.75" customHeight="1">
      <c r="A26" s="1422">
        <v>13</v>
      </c>
      <c r="B26" s="1644">
        <v>445</v>
      </c>
      <c r="C26" s="1423"/>
      <c r="D26" s="1422" t="s">
        <v>3077</v>
      </c>
      <c r="E26" s="1422" t="s">
        <v>3077</v>
      </c>
      <c r="F26" s="1423"/>
      <c r="G26" s="64" t="s">
        <v>3078</v>
      </c>
      <c r="H26" s="30" t="s">
        <v>3082</v>
      </c>
      <c r="I26" s="32" t="s">
        <v>108</v>
      </c>
      <c r="J26" s="47" t="s">
        <v>199</v>
      </c>
      <c r="K26" s="1422" t="s">
        <v>15502</v>
      </c>
      <c r="L26" s="1422" t="s">
        <v>15503</v>
      </c>
      <c r="M26" s="48" t="s">
        <v>3079</v>
      </c>
      <c r="N26" s="48" t="s">
        <v>15504</v>
      </c>
      <c r="O26" s="46" t="s">
        <v>43</v>
      </c>
      <c r="P26" s="1520" t="s">
        <v>3094</v>
      </c>
      <c r="Q26" s="46" t="s">
        <v>43</v>
      </c>
      <c r="R26" s="63" t="s">
        <v>2274</v>
      </c>
      <c r="S26" s="64" t="s">
        <v>438</v>
      </c>
      <c r="T26" s="46" t="s">
        <v>43</v>
      </c>
      <c r="U26" s="46" t="s">
        <v>43</v>
      </c>
      <c r="V26" s="46" t="s">
        <v>43</v>
      </c>
      <c r="W26" s="46" t="s">
        <v>43</v>
      </c>
      <c r="X26" s="32" t="s">
        <v>299</v>
      </c>
      <c r="Y26" s="1422" t="s">
        <v>202</v>
      </c>
      <c r="Z26" s="1528" t="s">
        <v>65</v>
      </c>
      <c r="AA26" s="219">
        <v>12800000</v>
      </c>
    </row>
    <row r="27" spans="1:27" s="27" customFormat="1" ht="15.75" customHeight="1">
      <c r="A27" s="1508"/>
      <c r="B27" s="1645"/>
      <c r="C27" s="1508"/>
      <c r="D27" s="1508"/>
      <c r="E27" s="1508"/>
      <c r="F27" s="1508"/>
      <c r="G27" s="64" t="s">
        <v>3080</v>
      </c>
      <c r="H27" s="30" t="s">
        <v>195</v>
      </c>
      <c r="I27" s="32" t="s">
        <v>108</v>
      </c>
      <c r="J27" s="47" t="s">
        <v>199</v>
      </c>
      <c r="K27" s="1508"/>
      <c r="L27" s="1508"/>
      <c r="M27" s="48" t="s">
        <v>3081</v>
      </c>
      <c r="N27" s="21" t="s">
        <v>5066</v>
      </c>
      <c r="O27" s="46" t="s">
        <v>43</v>
      </c>
      <c r="P27" s="1522"/>
      <c r="Q27" s="46" t="s">
        <v>43</v>
      </c>
      <c r="R27" s="63" t="s">
        <v>2269</v>
      </c>
      <c r="S27" s="64" t="s">
        <v>438</v>
      </c>
      <c r="T27" s="46" t="s">
        <v>43</v>
      </c>
      <c r="U27" s="46" t="s">
        <v>43</v>
      </c>
      <c r="V27" s="46" t="s">
        <v>43</v>
      </c>
      <c r="W27" s="46" t="s">
        <v>43</v>
      </c>
      <c r="X27" s="32" t="s">
        <v>299</v>
      </c>
      <c r="Y27" s="1508"/>
      <c r="Z27" s="1528"/>
      <c r="AA27" s="219">
        <v>20800000</v>
      </c>
    </row>
    <row r="28" spans="1:27" ht="19.5">
      <c r="Z28" s="302" t="s">
        <v>9164</v>
      </c>
      <c r="AA28" s="321">
        <f>SUM(AA2:AA27)</f>
        <v>470670000</v>
      </c>
    </row>
    <row r="30" spans="1:27" ht="26.25" customHeight="1">
      <c r="A30" s="1459" t="s">
        <v>14163</v>
      </c>
      <c r="B30" s="1459"/>
      <c r="C30" s="1459"/>
      <c r="D30" s="1459"/>
      <c r="E30" s="1459"/>
      <c r="F30" s="1459"/>
      <c r="G30" s="1459"/>
    </row>
    <row r="31" spans="1:27" s="12" customFormat="1" ht="19.5">
      <c r="A31" s="34" t="s">
        <v>0</v>
      </c>
      <c r="B31" s="34" t="s">
        <v>5</v>
      </c>
      <c r="C31" s="34" t="s">
        <v>2</v>
      </c>
      <c r="D31" s="34" t="s">
        <v>3</v>
      </c>
      <c r="E31" s="1445" t="s">
        <v>88</v>
      </c>
      <c r="F31" s="1446"/>
      <c r="G31" s="34" t="s">
        <v>6</v>
      </c>
      <c r="H31" s="34" t="s">
        <v>7</v>
      </c>
      <c r="I31" s="34" t="s">
        <v>8</v>
      </c>
      <c r="J31" s="34" t="s">
        <v>196</v>
      </c>
      <c r="K31" s="34" t="s">
        <v>9</v>
      </c>
      <c r="L31" s="34" t="s">
        <v>11</v>
      </c>
      <c r="M31" s="34" t="s">
        <v>12</v>
      </c>
      <c r="N31" s="34" t="s">
        <v>216</v>
      </c>
      <c r="O31" s="34" t="s">
        <v>13</v>
      </c>
      <c r="P31" s="35" t="s">
        <v>14</v>
      </c>
      <c r="Q31" s="35" t="s">
        <v>217</v>
      </c>
      <c r="R31" s="35" t="s">
        <v>16</v>
      </c>
      <c r="S31" s="34" t="s">
        <v>17</v>
      </c>
      <c r="T31" s="34" t="s">
        <v>218</v>
      </c>
      <c r="U31" s="34" t="s">
        <v>22</v>
      </c>
      <c r="V31" s="36" t="s">
        <v>23</v>
      </c>
      <c r="W31" s="34" t="s">
        <v>24</v>
      </c>
      <c r="X31" s="58" t="s">
        <v>257</v>
      </c>
      <c r="Z31"/>
      <c r="AA31"/>
    </row>
    <row r="32" spans="1:27" s="102" customFormat="1" ht="18">
      <c r="A32" s="649">
        <v>1</v>
      </c>
      <c r="B32" s="725" t="s">
        <v>3018</v>
      </c>
      <c r="C32" s="725" t="s">
        <v>3018</v>
      </c>
      <c r="D32" s="19"/>
      <c r="E32" s="1640" t="s">
        <v>3099</v>
      </c>
      <c r="F32" s="1640"/>
      <c r="G32" s="95" t="s">
        <v>3100</v>
      </c>
      <c r="H32" s="649" t="s">
        <v>1659</v>
      </c>
      <c r="I32" s="649" t="s">
        <v>168</v>
      </c>
      <c r="J32" s="649">
        <v>512</v>
      </c>
      <c r="K32" s="94" t="s">
        <v>3101</v>
      </c>
      <c r="L32" s="94" t="s">
        <v>3102</v>
      </c>
      <c r="M32" s="94" t="s">
        <v>3103</v>
      </c>
      <c r="N32" s="648" t="s">
        <v>43</v>
      </c>
      <c r="O32" s="648" t="s">
        <v>43</v>
      </c>
      <c r="P32" s="648" t="s">
        <v>43</v>
      </c>
      <c r="Q32" s="648" t="s">
        <v>43</v>
      </c>
      <c r="R32" s="648" t="s">
        <v>43</v>
      </c>
      <c r="S32" s="648" t="s">
        <v>43</v>
      </c>
      <c r="T32" s="649" t="s">
        <v>68</v>
      </c>
      <c r="U32" s="649" t="s">
        <v>1504</v>
      </c>
      <c r="V32" s="96" t="s">
        <v>202</v>
      </c>
      <c r="W32" s="648" t="s">
        <v>43</v>
      </c>
      <c r="X32" s="219">
        <v>4480000</v>
      </c>
      <c r="AA32"/>
    </row>
    <row r="33" spans="1:27" s="102" customFormat="1" ht="18">
      <c r="A33" s="908">
        <v>2</v>
      </c>
      <c r="B33" s="910" t="s">
        <v>3018</v>
      </c>
      <c r="C33" s="910" t="s">
        <v>3018</v>
      </c>
      <c r="D33" s="19"/>
      <c r="E33" s="1640" t="s">
        <v>3105</v>
      </c>
      <c r="F33" s="1640"/>
      <c r="G33" s="1118" t="s">
        <v>9263</v>
      </c>
      <c r="H33" s="908" t="s">
        <v>1659</v>
      </c>
      <c r="I33" s="908" t="s">
        <v>168</v>
      </c>
      <c r="J33" s="908">
        <v>512</v>
      </c>
      <c r="K33" s="925" t="s">
        <v>3106</v>
      </c>
      <c r="L33" s="909" t="s">
        <v>3107</v>
      </c>
      <c r="M33" s="909" t="s">
        <v>3108</v>
      </c>
      <c r="N33" s="835" t="s">
        <v>43</v>
      </c>
      <c r="O33" s="835" t="s">
        <v>43</v>
      </c>
      <c r="P33" s="835" t="s">
        <v>43</v>
      </c>
      <c r="Q33" s="835" t="s">
        <v>43</v>
      </c>
      <c r="R33" s="835" t="s">
        <v>43</v>
      </c>
      <c r="S33" s="835" t="s">
        <v>43</v>
      </c>
      <c r="T33" s="908" t="s">
        <v>68</v>
      </c>
      <c r="U33" s="908" t="s">
        <v>1504</v>
      </c>
      <c r="V33" s="911" t="s">
        <v>202</v>
      </c>
      <c r="W33" s="835" t="s">
        <v>43</v>
      </c>
      <c r="X33" s="219">
        <v>4480000</v>
      </c>
      <c r="AA33"/>
    </row>
    <row r="34" spans="1:27" s="102" customFormat="1" ht="18">
      <c r="A34" s="917"/>
      <c r="B34" s="922"/>
      <c r="C34" s="922"/>
      <c r="D34" s="634"/>
      <c r="E34" s="923"/>
      <c r="F34" s="923"/>
      <c r="G34" s="918"/>
      <c r="H34" s="917"/>
      <c r="I34" s="917"/>
      <c r="J34" s="917"/>
      <c r="K34" s="919"/>
      <c r="L34" s="919"/>
      <c r="M34" s="919"/>
      <c r="N34" s="924"/>
      <c r="O34" s="924"/>
      <c r="P34" s="924"/>
      <c r="Q34" s="924"/>
      <c r="R34" s="924"/>
      <c r="S34" s="924"/>
      <c r="T34" s="917"/>
      <c r="U34" s="917"/>
      <c r="V34" s="920"/>
      <c r="W34" s="924"/>
      <c r="X34" s="921"/>
      <c r="AA34" s="113"/>
    </row>
    <row r="35" spans="1:27" s="102" customFormat="1" ht="18">
      <c r="A35" s="917"/>
      <c r="B35" s="922"/>
      <c r="C35" s="922"/>
      <c r="D35" s="634"/>
      <c r="E35" s="923"/>
      <c r="F35" s="923"/>
      <c r="G35" s="918"/>
      <c r="H35" s="917"/>
      <c r="I35" s="917"/>
      <c r="J35" s="917"/>
      <c r="K35" s="919"/>
      <c r="L35" s="919"/>
      <c r="M35" s="919"/>
      <c r="N35" s="924"/>
      <c r="O35" s="924"/>
      <c r="P35" s="924"/>
      <c r="Q35" s="924"/>
      <c r="R35" s="924"/>
      <c r="S35" s="924"/>
      <c r="T35" s="917"/>
      <c r="U35" s="917"/>
      <c r="V35" s="920"/>
      <c r="W35" s="924"/>
      <c r="X35" s="921"/>
      <c r="AA35" s="113"/>
    </row>
    <row r="36" spans="1:27">
      <c r="K36" s="271" t="s">
        <v>12013</v>
      </c>
    </row>
    <row r="37" spans="1:27">
      <c r="K37" s="913" t="s">
        <v>14183</v>
      </c>
    </row>
    <row r="38" spans="1:27">
      <c r="K38" s="914" t="s">
        <v>3104</v>
      </c>
    </row>
    <row r="39" spans="1:27">
      <c r="K39" s="914" t="s">
        <v>3113</v>
      </c>
    </row>
    <row r="40" spans="1:27">
      <c r="K40" s="914" t="s">
        <v>16152</v>
      </c>
    </row>
    <row r="41" spans="1:27">
      <c r="K41" s="914" t="s">
        <v>16153</v>
      </c>
    </row>
    <row r="42" spans="1:27">
      <c r="K42" s="914" t="s">
        <v>15649</v>
      </c>
    </row>
    <row r="43" spans="1:27">
      <c r="K43" s="647"/>
    </row>
    <row r="44" spans="1:27">
      <c r="K44" s="647"/>
    </row>
  </sheetData>
  <mergeCells count="108">
    <mergeCell ref="E33:F33"/>
    <mergeCell ref="Y14:Y15"/>
    <mergeCell ref="Z14:Z15"/>
    <mergeCell ref="Y2:Y6"/>
    <mergeCell ref="Z2:Z6"/>
    <mergeCell ref="Y7:Y8"/>
    <mergeCell ref="Z7:Z8"/>
    <mergeCell ref="Y9:Y10"/>
    <mergeCell ref="Z9:Z10"/>
    <mergeCell ref="Y26:Y27"/>
    <mergeCell ref="Z26:Z27"/>
    <mergeCell ref="Y22:Y23"/>
    <mergeCell ref="Z22:Z23"/>
    <mergeCell ref="Y24:Y25"/>
    <mergeCell ref="Z24:Z25"/>
    <mergeCell ref="E16:E17"/>
    <mergeCell ref="P24:P25"/>
    <mergeCell ref="P26:P27"/>
    <mergeCell ref="T2:T4"/>
    <mergeCell ref="L24:L25"/>
    <mergeCell ref="L26:L27"/>
    <mergeCell ref="P2:P6"/>
    <mergeCell ref="P7:P8"/>
    <mergeCell ref="K24:K25"/>
    <mergeCell ref="Y20:Y21"/>
    <mergeCell ref="Z20:Z21"/>
    <mergeCell ref="Y16:Y17"/>
    <mergeCell ref="Z16:Z17"/>
    <mergeCell ref="Y18:Y19"/>
    <mergeCell ref="Z18:Z19"/>
    <mergeCell ref="Y11:Y13"/>
    <mergeCell ref="Z11:Z13"/>
    <mergeCell ref="D2:D8"/>
    <mergeCell ref="D9:D10"/>
    <mergeCell ref="D11:D13"/>
    <mergeCell ref="D14:D15"/>
    <mergeCell ref="D16:D17"/>
    <mergeCell ref="L20:L21"/>
    <mergeCell ref="X2:X4"/>
    <mergeCell ref="L7:L8"/>
    <mergeCell ref="L9:L10"/>
    <mergeCell ref="L11:L13"/>
    <mergeCell ref="V2:V4"/>
    <mergeCell ref="U2:U4"/>
    <mergeCell ref="L18:L19"/>
    <mergeCell ref="A2:A6"/>
    <mergeCell ref="A7:A8"/>
    <mergeCell ref="A9:A10"/>
    <mergeCell ref="B16:B17"/>
    <mergeCell ref="K26:K27"/>
    <mergeCell ref="K7:K8"/>
    <mergeCell ref="K9:K10"/>
    <mergeCell ref="K11:K13"/>
    <mergeCell ref="K14:K15"/>
    <mergeCell ref="E18:E19"/>
    <mergeCell ref="E20:E21"/>
    <mergeCell ref="E22:E23"/>
    <mergeCell ref="E24:E25"/>
    <mergeCell ref="E26:E27"/>
    <mergeCell ref="F2:F27"/>
    <mergeCell ref="E2:E6"/>
    <mergeCell ref="E7:E8"/>
    <mergeCell ref="E9:E10"/>
    <mergeCell ref="E11:E13"/>
    <mergeCell ref="E14:E15"/>
    <mergeCell ref="B2:B6"/>
    <mergeCell ref="B7:B8"/>
    <mergeCell ref="B9:B10"/>
    <mergeCell ref="L22:L23"/>
    <mergeCell ref="P18:P19"/>
    <mergeCell ref="P20:P21"/>
    <mergeCell ref="P22:P23"/>
    <mergeCell ref="K2:K6"/>
    <mergeCell ref="K16:K17"/>
    <mergeCell ref="K18:K19"/>
    <mergeCell ref="K20:K21"/>
    <mergeCell ref="K22:K23"/>
    <mergeCell ref="L2:L6"/>
    <mergeCell ref="P9:P10"/>
    <mergeCell ref="P11:P13"/>
    <mergeCell ref="P14:P15"/>
    <mergeCell ref="P16:P17"/>
    <mergeCell ref="L14:L15"/>
    <mergeCell ref="L16:L17"/>
    <mergeCell ref="E32:F32"/>
    <mergeCell ref="A26:A27"/>
    <mergeCell ref="A11:A13"/>
    <mergeCell ref="A14:A15"/>
    <mergeCell ref="A16:A17"/>
    <mergeCell ref="A18:A19"/>
    <mergeCell ref="A30:G30"/>
    <mergeCell ref="E31:F31"/>
    <mergeCell ref="D24:D25"/>
    <mergeCell ref="D26:D27"/>
    <mergeCell ref="D18:D19"/>
    <mergeCell ref="D20:D21"/>
    <mergeCell ref="D22:D23"/>
    <mergeCell ref="B18:B19"/>
    <mergeCell ref="B20:B21"/>
    <mergeCell ref="B22:B23"/>
    <mergeCell ref="B24:B25"/>
    <mergeCell ref="B26:B27"/>
    <mergeCell ref="A20:A21"/>
    <mergeCell ref="A22:A23"/>
    <mergeCell ref="A24:A25"/>
    <mergeCell ref="C2:C27"/>
    <mergeCell ref="B11:B13"/>
    <mergeCell ref="B14:B15"/>
  </mergeCells>
  <conditionalFormatting sqref="M9">
    <cfRule type="duplicateValues" dxfId="814" priority="189"/>
  </conditionalFormatting>
  <conditionalFormatting sqref="M11">
    <cfRule type="duplicateValues" dxfId="813" priority="187"/>
  </conditionalFormatting>
  <conditionalFormatting sqref="M14">
    <cfRule type="duplicateValues" dxfId="812" priority="183"/>
  </conditionalFormatting>
  <conditionalFormatting sqref="M16">
    <cfRule type="duplicateValues" dxfId="811" priority="179"/>
  </conditionalFormatting>
  <conditionalFormatting sqref="M18">
    <cfRule type="duplicateValues" dxfId="810" priority="177"/>
  </conditionalFormatting>
  <conditionalFormatting sqref="M20">
    <cfRule type="duplicateValues" dxfId="809" priority="175"/>
  </conditionalFormatting>
  <conditionalFormatting sqref="M22">
    <cfRule type="duplicateValues" dxfId="808" priority="173"/>
  </conditionalFormatting>
  <conditionalFormatting sqref="M23">
    <cfRule type="duplicateValues" dxfId="807" priority="191"/>
  </conditionalFormatting>
  <conditionalFormatting sqref="M24">
    <cfRule type="duplicateValues" dxfId="806" priority="171"/>
  </conditionalFormatting>
  <conditionalFormatting sqref="M25 M10 M12:M13 M15 M17 M19 M21 M27 M1:M8">
    <cfRule type="duplicateValues" dxfId="805" priority="193"/>
    <cfRule type="duplicateValues" dxfId="804" priority="195"/>
  </conditionalFormatting>
  <conditionalFormatting sqref="M26">
    <cfRule type="duplicateValues" dxfId="803" priority="169"/>
  </conditionalFormatting>
  <conditionalFormatting sqref="N3">
    <cfRule type="duplicateValues" dxfId="802" priority="168"/>
  </conditionalFormatting>
  <conditionalFormatting sqref="N6">
    <cfRule type="duplicateValues" dxfId="801" priority="167"/>
  </conditionalFormatting>
  <conditionalFormatting sqref="N8">
    <cfRule type="duplicateValues" dxfId="800" priority="57"/>
  </conditionalFormatting>
  <conditionalFormatting sqref="N9">
    <cfRule type="duplicateValues" dxfId="799" priority="190"/>
  </conditionalFormatting>
  <conditionalFormatting sqref="N10">
    <cfRule type="duplicateValues" dxfId="798" priority="55"/>
  </conditionalFormatting>
  <conditionalFormatting sqref="N11">
    <cfRule type="duplicateValues" dxfId="797" priority="188"/>
  </conditionalFormatting>
  <conditionalFormatting sqref="N12">
    <cfRule type="duplicateValues" dxfId="796" priority="54"/>
  </conditionalFormatting>
  <conditionalFormatting sqref="N13 N1:N2 N4:N5 N7">
    <cfRule type="duplicateValues" dxfId="795" priority="194"/>
  </conditionalFormatting>
  <conditionalFormatting sqref="N14">
    <cfRule type="duplicateValues" dxfId="794" priority="184"/>
  </conditionalFormatting>
  <conditionalFormatting sqref="N15">
    <cfRule type="duplicateValues" dxfId="793" priority="52"/>
  </conditionalFormatting>
  <conditionalFormatting sqref="N16">
    <cfRule type="duplicateValues" dxfId="792" priority="180"/>
  </conditionalFormatting>
  <conditionalFormatting sqref="N17">
    <cfRule type="duplicateValues" dxfId="791" priority="50"/>
  </conditionalFormatting>
  <conditionalFormatting sqref="N18">
    <cfRule type="duplicateValues" dxfId="790" priority="178"/>
  </conditionalFormatting>
  <conditionalFormatting sqref="N19">
    <cfRule type="duplicateValues" dxfId="789" priority="49"/>
  </conditionalFormatting>
  <conditionalFormatting sqref="N20">
    <cfRule type="duplicateValues" dxfId="788" priority="176"/>
  </conditionalFormatting>
  <conditionalFormatting sqref="N21">
    <cfRule type="duplicateValues" dxfId="787" priority="48"/>
  </conditionalFormatting>
  <conditionalFormatting sqref="N22">
    <cfRule type="duplicateValues" dxfId="786" priority="174"/>
  </conditionalFormatting>
  <conditionalFormatting sqref="N23">
    <cfRule type="duplicateValues" dxfId="785" priority="47"/>
  </conditionalFormatting>
  <conditionalFormatting sqref="N24">
    <cfRule type="duplicateValues" dxfId="784" priority="172"/>
  </conditionalFormatting>
  <conditionalFormatting sqref="N25">
    <cfRule type="duplicateValues" dxfId="783" priority="46"/>
  </conditionalFormatting>
  <conditionalFormatting sqref="N26">
    <cfRule type="duplicateValues" dxfId="782" priority="170"/>
  </conditionalFormatting>
  <conditionalFormatting sqref="N27">
    <cfRule type="duplicateValues" dxfId="781" priority="45"/>
  </conditionalFormatting>
  <conditionalFormatting sqref="M31">
    <cfRule type="duplicateValues" dxfId="780" priority="34"/>
    <cfRule type="duplicateValues" dxfId="779" priority="35"/>
    <cfRule type="duplicateValues" dxfId="778" priority="36"/>
    <cfRule type="duplicateValues" dxfId="777" priority="37"/>
  </conditionalFormatting>
  <conditionalFormatting sqref="N31">
    <cfRule type="duplicateValues" dxfId="776" priority="38"/>
    <cfRule type="duplicateValues" dxfId="775" priority="39"/>
    <cfRule type="duplicateValues" dxfId="774" priority="40"/>
    <cfRule type="duplicateValues" dxfId="773" priority="41"/>
  </conditionalFormatting>
  <conditionalFormatting sqref="E31">
    <cfRule type="duplicateValues" dxfId="772" priority="42"/>
  </conditionalFormatting>
  <conditionalFormatting sqref="K31">
    <cfRule type="duplicateValues" dxfId="771" priority="43"/>
  </conditionalFormatting>
  <conditionalFormatting sqref="L31">
    <cfRule type="duplicateValues" dxfId="770" priority="44"/>
  </conditionalFormatting>
  <conditionalFormatting sqref="E32">
    <cfRule type="duplicateValues" dxfId="769" priority="33"/>
  </conditionalFormatting>
  <conditionalFormatting sqref="K32">
    <cfRule type="duplicateValues" dxfId="768" priority="32"/>
  </conditionalFormatting>
  <conditionalFormatting sqref="L32:M32">
    <cfRule type="duplicateValues" dxfId="767" priority="31"/>
  </conditionalFormatting>
  <conditionalFormatting sqref="K38">
    <cfRule type="duplicateValues" dxfId="766" priority="16"/>
  </conditionalFormatting>
  <conditionalFormatting sqref="K39">
    <cfRule type="duplicateValues" dxfId="765" priority="15"/>
  </conditionalFormatting>
  <conditionalFormatting sqref="K40">
    <cfRule type="duplicateValues" dxfId="764" priority="14"/>
  </conditionalFormatting>
  <conditionalFormatting sqref="K43">
    <cfRule type="duplicateValues" dxfId="763" priority="10"/>
    <cfRule type="duplicateValues" dxfId="762" priority="11"/>
  </conditionalFormatting>
  <conditionalFormatting sqref="K44">
    <cfRule type="duplicateValues" dxfId="761" priority="9"/>
  </conditionalFormatting>
  <conditionalFormatting sqref="E33:E35">
    <cfRule type="duplicateValues" dxfId="760" priority="8"/>
  </conditionalFormatting>
  <conditionalFormatting sqref="K33:K35">
    <cfRule type="duplicateValues" dxfId="759" priority="7"/>
  </conditionalFormatting>
  <conditionalFormatting sqref="L33:M35">
    <cfRule type="duplicateValues" dxfId="758" priority="6"/>
  </conditionalFormatting>
  <conditionalFormatting sqref="K40">
    <cfRule type="duplicateValues" dxfId="757" priority="5"/>
  </conditionalFormatting>
  <conditionalFormatting sqref="K42">
    <cfRule type="duplicateValues" dxfId="756" priority="3"/>
  </conditionalFormatting>
  <conditionalFormatting sqref="K42">
    <cfRule type="duplicateValues" dxfId="755" priority="2"/>
  </conditionalFormatting>
  <conditionalFormatting sqref="K41">
    <cfRule type="duplicateValues" dxfId="754" priority="1"/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4"/>
  <sheetViews>
    <sheetView rightToLeft="1" topLeftCell="B1" zoomScaleNormal="100" workbookViewId="0">
      <selection activeCell="J8" sqref="J8"/>
    </sheetView>
  </sheetViews>
  <sheetFormatPr defaultRowHeight="15"/>
  <cols>
    <col min="3" max="3" width="25.140625" customWidth="1"/>
    <col min="5" max="5" width="43.140625" customWidth="1"/>
    <col min="6" max="6" width="27.42578125" customWidth="1"/>
    <col min="7" max="7" width="17.28515625" customWidth="1"/>
    <col min="8" max="9" width="26" customWidth="1"/>
    <col min="10" max="10" width="24.85546875" customWidth="1"/>
    <col min="11" max="11" width="23.42578125" customWidth="1"/>
    <col min="12" max="12" width="20" customWidth="1"/>
    <col min="13" max="13" width="25.85546875" customWidth="1"/>
    <col min="14" max="14" width="21.7109375" customWidth="1"/>
    <col min="15" max="15" width="23.5703125" customWidth="1"/>
    <col min="16" max="16" width="58.7109375" customWidth="1"/>
  </cols>
  <sheetData>
    <row r="1" spans="1:16" ht="19.5">
      <c r="A1" s="168" t="s">
        <v>0</v>
      </c>
      <c r="B1" s="168" t="s">
        <v>5067</v>
      </c>
      <c r="C1" s="168" t="s">
        <v>5068</v>
      </c>
      <c r="D1" s="169" t="s">
        <v>5069</v>
      </c>
      <c r="E1" s="169" t="s">
        <v>7</v>
      </c>
      <c r="F1" s="168" t="s">
        <v>5092</v>
      </c>
      <c r="G1" s="170" t="s">
        <v>21</v>
      </c>
      <c r="H1" s="171" t="s">
        <v>5100</v>
      </c>
      <c r="I1" s="169" t="s">
        <v>4321</v>
      </c>
      <c r="J1" s="172" t="s">
        <v>196</v>
      </c>
      <c r="K1" s="174" t="s">
        <v>4328</v>
      </c>
      <c r="L1" s="174" t="s">
        <v>4329</v>
      </c>
      <c r="M1" s="168" t="s">
        <v>5070</v>
      </c>
      <c r="N1" s="173" t="s">
        <v>4324</v>
      </c>
      <c r="O1" s="170" t="s">
        <v>5108</v>
      </c>
      <c r="P1" s="170" t="s">
        <v>5109</v>
      </c>
    </row>
    <row r="2" spans="1:16" ht="18">
      <c r="A2" s="1528"/>
      <c r="B2" s="1722"/>
      <c r="C2" s="1720" t="s">
        <v>16154</v>
      </c>
      <c r="D2" s="1497" t="s">
        <v>1534</v>
      </c>
      <c r="E2" s="501" t="s">
        <v>4474</v>
      </c>
      <c r="F2" s="498">
        <v>2397300127</v>
      </c>
      <c r="G2" s="498">
        <v>1309</v>
      </c>
      <c r="H2" s="500" t="s">
        <v>5099</v>
      </c>
      <c r="I2" s="501" t="s">
        <v>5140</v>
      </c>
      <c r="J2" s="501" t="s">
        <v>15766</v>
      </c>
      <c r="K2" s="502" t="s">
        <v>15767</v>
      </c>
      <c r="L2" s="219">
        <v>34286000</v>
      </c>
      <c r="M2" s="502" t="s">
        <v>43</v>
      </c>
      <c r="N2" s="498" t="s">
        <v>14407</v>
      </c>
      <c r="O2" s="499" t="s">
        <v>4601</v>
      </c>
      <c r="P2" s="1668" t="s">
        <v>5112</v>
      </c>
    </row>
    <row r="3" spans="1:16" ht="54">
      <c r="A3" s="1528"/>
      <c r="B3" s="1722"/>
      <c r="C3" s="1720"/>
      <c r="D3" s="1497"/>
      <c r="E3" s="697" t="s">
        <v>4474</v>
      </c>
      <c r="F3" s="498">
        <v>2397300127</v>
      </c>
      <c r="G3" s="498">
        <v>1301</v>
      </c>
      <c r="H3" s="500" t="s">
        <v>4474</v>
      </c>
      <c r="I3" s="501" t="s">
        <v>5141</v>
      </c>
      <c r="J3" s="501" t="s">
        <v>5142</v>
      </c>
      <c r="K3" s="502" t="s">
        <v>43</v>
      </c>
      <c r="L3" s="219">
        <v>76446000</v>
      </c>
      <c r="M3" s="502"/>
      <c r="N3" s="89" t="s">
        <v>5143</v>
      </c>
      <c r="O3" s="499" t="s">
        <v>4601</v>
      </c>
      <c r="P3" s="1668"/>
    </row>
    <row r="4" spans="1:16" ht="36">
      <c r="A4" s="1528"/>
      <c r="B4" s="1722"/>
      <c r="C4" s="1720"/>
      <c r="D4" s="1497"/>
      <c r="E4" s="134" t="s">
        <v>14455</v>
      </c>
      <c r="F4" s="498">
        <v>2397300127</v>
      </c>
      <c r="G4" s="498">
        <v>994</v>
      </c>
      <c r="H4" s="500" t="s">
        <v>335</v>
      </c>
      <c r="I4" s="501" t="s">
        <v>5144</v>
      </c>
      <c r="J4" s="702" t="s">
        <v>5148</v>
      </c>
      <c r="K4" s="502" t="s">
        <v>43</v>
      </c>
      <c r="L4" s="219">
        <v>580000000</v>
      </c>
      <c r="M4" s="502" t="s">
        <v>5145</v>
      </c>
      <c r="N4" s="89" t="s">
        <v>5146</v>
      </c>
      <c r="O4" s="499" t="s">
        <v>4601</v>
      </c>
      <c r="P4" s="1668"/>
    </row>
    <row r="5" spans="1:16" ht="18">
      <c r="A5" s="1528"/>
      <c r="B5" s="1722"/>
      <c r="C5" s="1720"/>
      <c r="D5" s="1497"/>
      <c r="E5" s="697" t="s">
        <v>28</v>
      </c>
      <c r="F5" s="498">
        <v>2397300127</v>
      </c>
      <c r="G5" s="498">
        <v>1421</v>
      </c>
      <c r="H5" s="500" t="s">
        <v>335</v>
      </c>
      <c r="I5" s="501" t="s">
        <v>5147</v>
      </c>
      <c r="J5" s="501" t="s">
        <v>5148</v>
      </c>
      <c r="K5" s="502" t="s">
        <v>43</v>
      </c>
      <c r="L5" s="219">
        <v>580000000</v>
      </c>
      <c r="M5" s="502" t="s">
        <v>5149</v>
      </c>
      <c r="N5" s="498" t="s">
        <v>5150</v>
      </c>
      <c r="O5" s="499" t="s">
        <v>4601</v>
      </c>
      <c r="P5" s="1668"/>
    </row>
    <row r="6" spans="1:16" ht="18">
      <c r="A6" s="1528"/>
      <c r="B6" s="1722"/>
      <c r="C6" s="1720"/>
      <c r="D6" s="1497"/>
      <c r="E6" s="501" t="s">
        <v>107</v>
      </c>
      <c r="F6" s="498">
        <v>2397300127</v>
      </c>
      <c r="G6" s="498">
        <v>3332</v>
      </c>
      <c r="H6" s="501" t="s">
        <v>5151</v>
      </c>
      <c r="I6" s="501" t="s">
        <v>5152</v>
      </c>
      <c r="J6" s="501" t="s">
        <v>5148</v>
      </c>
      <c r="K6" s="502" t="s">
        <v>11827</v>
      </c>
      <c r="L6" s="219">
        <v>528387096.77420002</v>
      </c>
      <c r="M6" s="502"/>
      <c r="N6" s="498" t="s">
        <v>5153</v>
      </c>
      <c r="O6" s="499" t="s">
        <v>4601</v>
      </c>
      <c r="P6" s="1668"/>
    </row>
    <row r="7" spans="1:16" s="83" customFormat="1" ht="18">
      <c r="A7" s="1528"/>
      <c r="B7" s="1722"/>
      <c r="C7" s="1721"/>
      <c r="D7" s="1053" t="s">
        <v>1688</v>
      </c>
      <c r="E7" s="504" t="s">
        <v>5119</v>
      </c>
      <c r="F7" s="498">
        <v>2397300127</v>
      </c>
      <c r="G7" s="498">
        <v>60</v>
      </c>
      <c r="H7" s="167" t="s">
        <v>5115</v>
      </c>
      <c r="I7" s="502" t="s">
        <v>43</v>
      </c>
      <c r="J7" s="502" t="s">
        <v>5116</v>
      </c>
      <c r="K7" s="502" t="s">
        <v>11828</v>
      </c>
      <c r="L7" s="219">
        <v>0</v>
      </c>
      <c r="M7" s="502" t="s">
        <v>5118</v>
      </c>
      <c r="N7" s="502" t="s">
        <v>5117</v>
      </c>
      <c r="O7" s="499"/>
      <c r="P7" s="1668"/>
    </row>
    <row r="8" spans="1:16" ht="18">
      <c r="A8" s="1528"/>
      <c r="B8" s="1722"/>
      <c r="C8" s="1533" t="s">
        <v>1158</v>
      </c>
      <c r="D8" s="1422" t="s">
        <v>5154</v>
      </c>
      <c r="E8" s="498" t="s">
        <v>16523</v>
      </c>
      <c r="F8" s="1422" t="s">
        <v>5091</v>
      </c>
      <c r="G8" s="498">
        <v>799</v>
      </c>
      <c r="H8" s="2004" t="s">
        <v>5091</v>
      </c>
      <c r="I8" s="502" t="s">
        <v>43</v>
      </c>
      <c r="J8" s="501" t="s">
        <v>197</v>
      </c>
      <c r="K8" s="502" t="s">
        <v>43</v>
      </c>
      <c r="L8" s="219">
        <v>87000000</v>
      </c>
      <c r="M8" s="502" t="s">
        <v>43</v>
      </c>
      <c r="N8" s="89" t="s">
        <v>16527</v>
      </c>
      <c r="O8" s="499" t="s">
        <v>5155</v>
      </c>
      <c r="P8" s="1668"/>
    </row>
    <row r="9" spans="1:16" ht="18">
      <c r="A9" s="1528"/>
      <c r="B9" s="1722"/>
      <c r="C9" s="1647"/>
      <c r="D9" s="1423"/>
      <c r="E9" s="1276" t="s">
        <v>16524</v>
      </c>
      <c r="F9" s="1423"/>
      <c r="G9" s="1276">
        <v>885</v>
      </c>
      <c r="H9" s="2005"/>
      <c r="I9" s="835" t="s">
        <v>43</v>
      </c>
      <c r="J9" s="1277" t="s">
        <v>197</v>
      </c>
      <c r="K9" s="835" t="s">
        <v>43</v>
      </c>
      <c r="L9" s="219">
        <v>87000000</v>
      </c>
      <c r="M9" s="835" t="s">
        <v>43</v>
      </c>
      <c r="N9" s="89" t="s">
        <v>16526</v>
      </c>
      <c r="O9" s="1278" t="s">
        <v>5155</v>
      </c>
      <c r="P9" s="1668"/>
    </row>
    <row r="10" spans="1:16" ht="18">
      <c r="A10" s="1528"/>
      <c r="B10" s="1722"/>
      <c r="C10" s="1534"/>
      <c r="D10" s="1508"/>
      <c r="E10" s="1276" t="s">
        <v>16525</v>
      </c>
      <c r="F10" s="1508"/>
      <c r="G10" s="1276">
        <v>883</v>
      </c>
      <c r="H10" s="2006"/>
      <c r="I10" s="835" t="s">
        <v>43</v>
      </c>
      <c r="J10" s="1277" t="s">
        <v>197</v>
      </c>
      <c r="K10" s="835" t="s">
        <v>43</v>
      </c>
      <c r="L10" s="219">
        <v>87000000</v>
      </c>
      <c r="M10" s="835" t="s">
        <v>43</v>
      </c>
      <c r="N10" s="89" t="s">
        <v>10998</v>
      </c>
      <c r="O10" s="1278" t="s">
        <v>5155</v>
      </c>
      <c r="P10" s="1668"/>
    </row>
    <row r="11" spans="1:16" ht="18.75" thickBot="1">
      <c r="A11" s="1528"/>
      <c r="B11" s="1722"/>
      <c r="C11" s="499" t="s">
        <v>5156</v>
      </c>
      <c r="D11" s="498"/>
      <c r="E11" s="502" t="s">
        <v>4474</v>
      </c>
      <c r="F11" s="502" t="s">
        <v>5091</v>
      </c>
      <c r="G11" s="498">
        <v>75</v>
      </c>
      <c r="H11" s="502" t="s">
        <v>5091</v>
      </c>
      <c r="I11" s="502" t="s">
        <v>5157</v>
      </c>
      <c r="J11" s="501" t="s">
        <v>4413</v>
      </c>
      <c r="K11" s="502" t="s">
        <v>43</v>
      </c>
      <c r="L11" s="348">
        <v>0</v>
      </c>
      <c r="M11" s="498"/>
      <c r="N11" s="498" t="s">
        <v>5158</v>
      </c>
      <c r="O11" s="499" t="s">
        <v>5159</v>
      </c>
      <c r="P11" s="1668"/>
    </row>
    <row r="12" spans="1:16" s="83" customFormat="1" ht="19.5" thickTop="1" thickBot="1">
      <c r="A12" s="1528"/>
      <c r="B12" s="1722"/>
      <c r="C12" s="499" t="s">
        <v>5126</v>
      </c>
      <c r="D12" s="498" t="s">
        <v>5104</v>
      </c>
      <c r="E12" s="498" t="s">
        <v>51</v>
      </c>
      <c r="F12" s="502" t="s">
        <v>43</v>
      </c>
      <c r="G12" s="498" t="s">
        <v>11062</v>
      </c>
      <c r="H12" s="503" t="s">
        <v>51</v>
      </c>
      <c r="I12" s="502" t="s">
        <v>43</v>
      </c>
      <c r="J12" s="501" t="s">
        <v>11063</v>
      </c>
      <c r="K12" s="502" t="s">
        <v>11829</v>
      </c>
      <c r="L12" s="314">
        <f>9900000000+990000000</f>
        <v>10890000000</v>
      </c>
      <c r="M12" s="498"/>
      <c r="N12" s="498" t="s">
        <v>5106</v>
      </c>
      <c r="O12" s="499" t="s">
        <v>5134</v>
      </c>
      <c r="P12" s="1668"/>
    </row>
    <row r="13" spans="1:16" ht="22.5" thickTop="1" thickBot="1">
      <c r="K13" s="367" t="s">
        <v>11061</v>
      </c>
      <c r="L13" s="368">
        <v>12342342557</v>
      </c>
    </row>
    <row r="14" spans="1:16" ht="15.75" thickTop="1">
      <c r="K14" s="113"/>
      <c r="L14" s="314"/>
    </row>
  </sheetData>
  <mergeCells count="9">
    <mergeCell ref="C2:C7"/>
    <mergeCell ref="A2:A12"/>
    <mergeCell ref="B2:B12"/>
    <mergeCell ref="D2:D6"/>
    <mergeCell ref="P2:P12"/>
    <mergeCell ref="C8:C10"/>
    <mergeCell ref="D8:D10"/>
    <mergeCell ref="F8:F10"/>
    <mergeCell ref="H8:H10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6911"/>
  <sheetViews>
    <sheetView rightToLeft="1" tabSelected="1" topLeftCell="N15" zoomScale="98" zoomScaleNormal="98" workbookViewId="0">
      <selection activeCell="O16" sqref="O16:O24"/>
    </sheetView>
  </sheetViews>
  <sheetFormatPr defaultColWidth="9.140625" defaultRowHeight="18"/>
  <cols>
    <col min="1" max="1" width="4.7109375" style="27" customWidth="1"/>
    <col min="2" max="2" width="15.140625" style="27" bestFit="1" customWidth="1"/>
    <col min="3" max="3" width="32" style="27" bestFit="1" customWidth="1"/>
    <col min="4" max="4" width="15.42578125" style="79" bestFit="1" customWidth="1"/>
    <col min="5" max="5" width="18.85546875" style="79" customWidth="1"/>
    <col min="6" max="6" width="24.7109375" style="27" customWidth="1"/>
    <col min="7" max="7" width="32.7109375" style="27" customWidth="1"/>
    <col min="8" max="8" width="34.140625" style="163" bestFit="1" customWidth="1"/>
    <col min="9" max="9" width="33.42578125" style="79" bestFit="1" customWidth="1"/>
    <col min="10" max="10" width="14.42578125" style="79" bestFit="1" customWidth="1"/>
    <col min="11" max="11" width="22.42578125" style="76" customWidth="1"/>
    <col min="12" max="12" width="24.42578125" style="164" bestFit="1" customWidth="1"/>
    <col min="13" max="13" width="141.7109375" style="27" customWidth="1"/>
    <col min="14" max="14" width="45.28515625" style="27" customWidth="1"/>
    <col min="15" max="15" width="67.28515625" style="27" customWidth="1"/>
    <col min="16" max="16" width="36.140625" style="27" customWidth="1"/>
    <col min="17" max="16384" width="9.140625" style="27"/>
  </cols>
  <sheetData>
    <row r="1" spans="1:16" ht="44.25" customHeight="1">
      <c r="A1" s="168" t="s">
        <v>0</v>
      </c>
      <c r="B1" s="168" t="s">
        <v>5067</v>
      </c>
      <c r="C1" s="168" t="s">
        <v>5068</v>
      </c>
      <c r="D1" s="169" t="s">
        <v>5069</v>
      </c>
      <c r="E1" s="169" t="s">
        <v>7</v>
      </c>
      <c r="F1" s="168" t="s">
        <v>5092</v>
      </c>
      <c r="G1" s="170" t="s">
        <v>21</v>
      </c>
      <c r="H1" s="171" t="s">
        <v>5100</v>
      </c>
      <c r="I1" s="169" t="s">
        <v>4321</v>
      </c>
      <c r="J1" s="172" t="s">
        <v>196</v>
      </c>
      <c r="K1" s="174" t="s">
        <v>4328</v>
      </c>
      <c r="L1" s="174" t="s">
        <v>4329</v>
      </c>
      <c r="M1" s="168" t="s">
        <v>5070</v>
      </c>
      <c r="N1" s="173" t="s">
        <v>4324</v>
      </c>
      <c r="O1" s="170" t="s">
        <v>5108</v>
      </c>
      <c r="P1" s="170" t="s">
        <v>5109</v>
      </c>
    </row>
    <row r="2" spans="1:16" s="83" customFormat="1" ht="28.5" customHeight="1">
      <c r="A2" s="1528">
        <v>1</v>
      </c>
      <c r="B2" s="1722" t="s">
        <v>5131</v>
      </c>
      <c r="C2" s="1726" t="s">
        <v>5128</v>
      </c>
      <c r="D2" s="1563" t="s">
        <v>1688</v>
      </c>
      <c r="E2" s="1563" t="s">
        <v>4474</v>
      </c>
      <c r="F2" s="740" t="s">
        <v>5071</v>
      </c>
      <c r="G2" s="740">
        <v>880</v>
      </c>
      <c r="H2" s="1725" t="s">
        <v>5099</v>
      </c>
      <c r="I2" s="745" t="s">
        <v>11059</v>
      </c>
      <c r="J2" s="745" t="s">
        <v>4724</v>
      </c>
      <c r="K2" s="303">
        <v>715680000</v>
      </c>
      <c r="L2" s="749" t="s">
        <v>11830</v>
      </c>
      <c r="M2" s="749" t="s">
        <v>43</v>
      </c>
      <c r="N2" s="740" t="s">
        <v>15763</v>
      </c>
      <c r="O2" s="750" t="s">
        <v>4537</v>
      </c>
      <c r="P2" s="750" t="s">
        <v>5112</v>
      </c>
    </row>
    <row r="3" spans="1:16" s="83" customFormat="1" ht="34.5" customHeight="1">
      <c r="A3" s="1528"/>
      <c r="B3" s="1722"/>
      <c r="C3" s="1726"/>
      <c r="D3" s="1563"/>
      <c r="E3" s="1563"/>
      <c r="F3" s="740" t="s">
        <v>5091</v>
      </c>
      <c r="G3" s="740" t="s">
        <v>5113</v>
      </c>
      <c r="H3" s="1725"/>
      <c r="I3" s="745" t="s">
        <v>5080</v>
      </c>
      <c r="J3" s="745" t="s">
        <v>14203</v>
      </c>
      <c r="K3" s="303">
        <v>300960000</v>
      </c>
      <c r="L3" s="749" t="s">
        <v>43</v>
      </c>
      <c r="M3" s="749" t="s">
        <v>43</v>
      </c>
      <c r="N3" s="740" t="s">
        <v>5081</v>
      </c>
      <c r="O3" s="750" t="s">
        <v>5110</v>
      </c>
      <c r="P3" s="750" t="s">
        <v>5111</v>
      </c>
    </row>
    <row r="4" spans="1:16" s="83" customFormat="1" ht="34.5" customHeight="1">
      <c r="A4" s="1528"/>
      <c r="B4" s="1722"/>
      <c r="C4" s="1726"/>
      <c r="D4" s="1563"/>
      <c r="E4" s="1563" t="s">
        <v>5120</v>
      </c>
      <c r="F4" s="740" t="s">
        <v>5071</v>
      </c>
      <c r="G4" s="740">
        <v>908</v>
      </c>
      <c r="H4" s="753" t="s">
        <v>5094</v>
      </c>
      <c r="I4" s="745" t="s">
        <v>4517</v>
      </c>
      <c r="J4" s="745" t="s">
        <v>198</v>
      </c>
      <c r="K4" s="346">
        <v>0</v>
      </c>
      <c r="L4" s="347"/>
      <c r="M4" s="740" t="s">
        <v>5072</v>
      </c>
      <c r="N4" s="740" t="s">
        <v>5073</v>
      </c>
      <c r="O4" s="750" t="s">
        <v>4537</v>
      </c>
      <c r="P4" s="1668" t="s">
        <v>5112</v>
      </c>
    </row>
    <row r="5" spans="1:16" s="83" customFormat="1" ht="34.5" customHeight="1">
      <c r="A5" s="1528"/>
      <c r="B5" s="1722"/>
      <c r="C5" s="1726"/>
      <c r="D5" s="1563"/>
      <c r="E5" s="1563"/>
      <c r="F5" s="740" t="s">
        <v>5071</v>
      </c>
      <c r="G5" s="740">
        <v>909</v>
      </c>
      <c r="H5" s="753" t="s">
        <v>5093</v>
      </c>
      <c r="I5" s="745" t="s">
        <v>4520</v>
      </c>
      <c r="J5" s="745" t="s">
        <v>198</v>
      </c>
      <c r="K5" s="346">
        <v>0</v>
      </c>
      <c r="L5" s="749" t="s">
        <v>43</v>
      </c>
      <c r="M5" s="740" t="s">
        <v>5074</v>
      </c>
      <c r="N5" s="740" t="s">
        <v>5075</v>
      </c>
      <c r="O5" s="750" t="s">
        <v>4537</v>
      </c>
      <c r="P5" s="1668"/>
    </row>
    <row r="6" spans="1:16" s="83" customFormat="1" ht="34.5" customHeight="1">
      <c r="A6" s="1528"/>
      <c r="B6" s="1722"/>
      <c r="C6" s="1726"/>
      <c r="D6" s="1563"/>
      <c r="E6" s="1563"/>
      <c r="F6" s="740" t="s">
        <v>5071</v>
      </c>
      <c r="G6" s="740">
        <v>3915</v>
      </c>
      <c r="H6" s="753" t="s">
        <v>5095</v>
      </c>
      <c r="I6" s="745" t="s">
        <v>4541</v>
      </c>
      <c r="J6" s="745" t="s">
        <v>198</v>
      </c>
      <c r="K6" s="346">
        <v>0</v>
      </c>
      <c r="L6" s="749" t="s">
        <v>43</v>
      </c>
      <c r="M6" s="768" t="s">
        <v>5076</v>
      </c>
      <c r="N6" s="740" t="s">
        <v>5077</v>
      </c>
      <c r="O6" s="750" t="s">
        <v>4537</v>
      </c>
      <c r="P6" s="1668"/>
    </row>
    <row r="7" spans="1:16" s="83" customFormat="1" ht="34.5" customHeight="1">
      <c r="A7" s="1528"/>
      <c r="B7" s="1722"/>
      <c r="C7" s="1726"/>
      <c r="D7" s="1563"/>
      <c r="E7" s="1563"/>
      <c r="F7" s="740" t="s">
        <v>5071</v>
      </c>
      <c r="G7" s="740">
        <v>3917</v>
      </c>
      <c r="H7" s="753" t="s">
        <v>5096</v>
      </c>
      <c r="I7" s="745" t="s">
        <v>5078</v>
      </c>
      <c r="J7" s="745" t="s">
        <v>198</v>
      </c>
      <c r="K7" s="346">
        <v>0</v>
      </c>
      <c r="L7" s="749" t="s">
        <v>43</v>
      </c>
      <c r="M7" s="768" t="s">
        <v>5076</v>
      </c>
      <c r="N7" s="740" t="s">
        <v>4755</v>
      </c>
      <c r="O7" s="750" t="s">
        <v>4537</v>
      </c>
      <c r="P7" s="1668"/>
    </row>
    <row r="8" spans="1:16" s="83" customFormat="1" ht="34.5" customHeight="1">
      <c r="A8" s="1528"/>
      <c r="B8" s="1722"/>
      <c r="C8" s="1726"/>
      <c r="D8" s="1563"/>
      <c r="E8" s="1724" t="s">
        <v>5097</v>
      </c>
      <c r="F8" s="740" t="s">
        <v>5071</v>
      </c>
      <c r="G8" s="766">
        <v>3700</v>
      </c>
      <c r="H8" s="166" t="s">
        <v>5101</v>
      </c>
      <c r="I8" s="745" t="s">
        <v>11060</v>
      </c>
      <c r="J8" s="745" t="s">
        <v>5090</v>
      </c>
      <c r="K8" s="219">
        <v>528387096.77420002</v>
      </c>
      <c r="L8" s="749" t="s">
        <v>14421</v>
      </c>
      <c r="M8" s="740" t="s">
        <v>5114</v>
      </c>
      <c r="N8" s="740" t="s">
        <v>5098</v>
      </c>
      <c r="O8" s="750" t="s">
        <v>4537</v>
      </c>
      <c r="P8" s="1668"/>
    </row>
    <row r="9" spans="1:16" s="83" customFormat="1" ht="34.5" customHeight="1">
      <c r="A9" s="1528"/>
      <c r="B9" s="1722"/>
      <c r="C9" s="1726"/>
      <c r="D9" s="1563"/>
      <c r="E9" s="1724"/>
      <c r="F9" s="740" t="s">
        <v>5071</v>
      </c>
      <c r="G9" s="766">
        <v>3914</v>
      </c>
      <c r="H9" s="753" t="s">
        <v>14422</v>
      </c>
      <c r="I9" s="745" t="s">
        <v>5079</v>
      </c>
      <c r="J9" s="745" t="s">
        <v>204</v>
      </c>
      <c r="K9" s="219">
        <v>31360000</v>
      </c>
      <c r="L9" s="749" t="s">
        <v>14421</v>
      </c>
      <c r="M9" s="50" t="s">
        <v>43</v>
      </c>
      <c r="N9" s="50" t="s">
        <v>43</v>
      </c>
      <c r="O9" s="750" t="s">
        <v>4537</v>
      </c>
      <c r="P9" s="1668"/>
    </row>
    <row r="10" spans="1:16" s="83" customFormat="1" ht="34.5" customHeight="1">
      <c r="A10" s="1528"/>
      <c r="B10" s="1722"/>
      <c r="C10" s="1726"/>
      <c r="D10" s="745" t="s">
        <v>1689</v>
      </c>
      <c r="E10" s="752" t="s">
        <v>5119</v>
      </c>
      <c r="F10" s="740" t="s">
        <v>5071</v>
      </c>
      <c r="G10" s="740">
        <v>60</v>
      </c>
      <c r="H10" s="167" t="s">
        <v>5115</v>
      </c>
      <c r="I10" s="749"/>
      <c r="J10" s="749" t="s">
        <v>5116</v>
      </c>
      <c r="K10" s="219">
        <v>4000000000</v>
      </c>
      <c r="L10" s="749" t="s">
        <v>11831</v>
      </c>
      <c r="M10" s="749" t="s">
        <v>5118</v>
      </c>
      <c r="N10" s="749" t="s">
        <v>5117</v>
      </c>
      <c r="O10" s="750" t="s">
        <v>4599</v>
      </c>
      <c r="P10" s="1668"/>
    </row>
    <row r="11" spans="1:16" s="83" customFormat="1" ht="26.25" customHeight="1">
      <c r="A11" s="1528"/>
      <c r="B11" s="1722"/>
      <c r="C11" s="1726" t="s">
        <v>5127</v>
      </c>
      <c r="D11" s="1563" t="s">
        <v>1689</v>
      </c>
      <c r="E11" s="1724" t="s">
        <v>5097</v>
      </c>
      <c r="F11" s="740" t="s">
        <v>5082</v>
      </c>
      <c r="G11" s="740">
        <v>907</v>
      </c>
      <c r="H11" s="753" t="s">
        <v>5102</v>
      </c>
      <c r="I11" s="165" t="s">
        <v>14951</v>
      </c>
      <c r="J11" s="745" t="s">
        <v>4476</v>
      </c>
      <c r="K11" s="219">
        <v>352258064.51609999</v>
      </c>
      <c r="L11" s="749" t="s">
        <v>43</v>
      </c>
      <c r="M11" s="740" t="s">
        <v>5103</v>
      </c>
      <c r="N11" s="740" t="s">
        <v>5083</v>
      </c>
      <c r="O11" s="1668" t="s">
        <v>5121</v>
      </c>
      <c r="P11" s="1668"/>
    </row>
    <row r="12" spans="1:16" s="83" customFormat="1" ht="26.25" customHeight="1">
      <c r="A12" s="1528"/>
      <c r="B12" s="1722"/>
      <c r="C12" s="1726"/>
      <c r="D12" s="1563"/>
      <c r="E12" s="1724"/>
      <c r="F12" s="740" t="s">
        <v>5082</v>
      </c>
      <c r="G12" s="766">
        <v>3909</v>
      </c>
      <c r="H12" s="753" t="s">
        <v>5124</v>
      </c>
      <c r="I12" s="165" t="s">
        <v>5123</v>
      </c>
      <c r="J12" s="745" t="s">
        <v>5090</v>
      </c>
      <c r="K12" s="219">
        <v>580000000</v>
      </c>
      <c r="L12" s="749" t="s">
        <v>43</v>
      </c>
      <c r="M12" s="740" t="s">
        <v>5125</v>
      </c>
      <c r="N12" s="740" t="s">
        <v>5122</v>
      </c>
      <c r="O12" s="1668"/>
      <c r="P12" s="1668"/>
    </row>
    <row r="13" spans="1:16" s="83" customFormat="1" ht="34.5" customHeight="1">
      <c r="A13" s="1528"/>
      <c r="B13" s="1722"/>
      <c r="C13" s="1726"/>
      <c r="D13" s="1563"/>
      <c r="E13" s="1724"/>
      <c r="F13" s="740" t="s">
        <v>5082</v>
      </c>
      <c r="G13" s="766">
        <v>3702</v>
      </c>
      <c r="H13" s="753" t="s">
        <v>5105</v>
      </c>
      <c r="I13" s="745" t="s">
        <v>5086</v>
      </c>
      <c r="J13" s="745" t="s">
        <v>4413</v>
      </c>
      <c r="K13" s="219">
        <v>82333333</v>
      </c>
      <c r="L13" s="749" t="s">
        <v>14421</v>
      </c>
      <c r="M13" s="749" t="s">
        <v>43</v>
      </c>
      <c r="N13" s="740" t="s">
        <v>5087</v>
      </c>
      <c r="O13" s="1668"/>
      <c r="P13" s="1668"/>
    </row>
    <row r="14" spans="1:16" s="83" customFormat="1" ht="34.5" customHeight="1">
      <c r="A14" s="1528"/>
      <c r="B14" s="1722"/>
      <c r="C14" s="1726"/>
      <c r="D14" s="1563"/>
      <c r="E14" s="745" t="s">
        <v>4474</v>
      </c>
      <c r="F14" s="740" t="s">
        <v>5082</v>
      </c>
      <c r="G14" s="766">
        <v>881</v>
      </c>
      <c r="H14" s="753" t="s">
        <v>4474</v>
      </c>
      <c r="I14" s="745" t="s">
        <v>5084</v>
      </c>
      <c r="J14" s="745" t="s">
        <v>4413</v>
      </c>
      <c r="K14" s="219">
        <v>342860000</v>
      </c>
      <c r="L14" s="749" t="s">
        <v>14421</v>
      </c>
      <c r="M14" s="749" t="s">
        <v>43</v>
      </c>
      <c r="N14" s="740" t="s">
        <v>5085</v>
      </c>
      <c r="O14" s="1668"/>
      <c r="P14" s="1668"/>
    </row>
    <row r="15" spans="1:16" s="83" customFormat="1" ht="34.5" customHeight="1">
      <c r="A15" s="1528"/>
      <c r="B15" s="1722"/>
      <c r="C15" s="750" t="s">
        <v>5126</v>
      </c>
      <c r="D15" s="740" t="s">
        <v>5104</v>
      </c>
      <c r="E15" s="740" t="s">
        <v>51</v>
      </c>
      <c r="F15" s="749" t="s">
        <v>43</v>
      </c>
      <c r="G15" s="740">
        <v>13</v>
      </c>
      <c r="H15" s="751" t="s">
        <v>51</v>
      </c>
      <c r="I15" s="749" t="s">
        <v>43</v>
      </c>
      <c r="J15" s="745" t="s">
        <v>204</v>
      </c>
      <c r="K15" s="219">
        <v>0</v>
      </c>
      <c r="L15" s="749" t="s">
        <v>43</v>
      </c>
      <c r="M15" s="740" t="s">
        <v>5107</v>
      </c>
      <c r="N15" s="740" t="s">
        <v>5106</v>
      </c>
      <c r="O15" s="750" t="s">
        <v>5134</v>
      </c>
      <c r="P15" s="1668" t="s">
        <v>5111</v>
      </c>
    </row>
    <row r="16" spans="1:16" s="83" customFormat="1" ht="32.25" customHeight="1">
      <c r="A16" s="1528"/>
      <c r="B16" s="1722"/>
      <c r="C16" s="1668" t="s">
        <v>1158</v>
      </c>
      <c r="D16" s="740" t="s">
        <v>5129</v>
      </c>
      <c r="E16" s="1528" t="s">
        <v>5132</v>
      </c>
      <c r="F16" s="1528" t="s">
        <v>5091</v>
      </c>
      <c r="G16" s="740">
        <v>886</v>
      </c>
      <c r="H16" s="1723" t="s">
        <v>16544</v>
      </c>
      <c r="I16" s="749" t="s">
        <v>5129</v>
      </c>
      <c r="J16" s="1529" t="s">
        <v>12078</v>
      </c>
      <c r="K16" s="219">
        <v>0</v>
      </c>
      <c r="L16" s="835" t="s">
        <v>43</v>
      </c>
      <c r="M16" s="749" t="s">
        <v>43</v>
      </c>
      <c r="N16" s="89" t="s">
        <v>16532</v>
      </c>
      <c r="O16" s="1668" t="s">
        <v>5133</v>
      </c>
      <c r="P16" s="1668"/>
    </row>
    <row r="17" spans="1:16" s="83" customFormat="1" ht="32.25" customHeight="1">
      <c r="A17" s="1528"/>
      <c r="B17" s="1722"/>
      <c r="C17" s="1668"/>
      <c r="D17" s="740" t="s">
        <v>5130</v>
      </c>
      <c r="E17" s="1528"/>
      <c r="F17" s="1528"/>
      <c r="G17" s="740">
        <v>885</v>
      </c>
      <c r="H17" s="1723"/>
      <c r="I17" s="749" t="s">
        <v>5130</v>
      </c>
      <c r="J17" s="1530"/>
      <c r="K17" s="219">
        <v>0</v>
      </c>
      <c r="L17" s="749" t="s">
        <v>43</v>
      </c>
      <c r="M17" s="835" t="s">
        <v>43</v>
      </c>
      <c r="N17" s="89" t="s">
        <v>16533</v>
      </c>
      <c r="O17" s="1668"/>
      <c r="P17" s="1668"/>
    </row>
    <row r="18" spans="1:16" s="83" customFormat="1" ht="32.25" customHeight="1">
      <c r="A18" s="1528"/>
      <c r="B18" s="1722"/>
      <c r="C18" s="1668"/>
      <c r="D18" s="2007" t="s">
        <v>16534</v>
      </c>
      <c r="E18" s="1528"/>
      <c r="F18" s="1528"/>
      <c r="G18" s="740">
        <v>882</v>
      </c>
      <c r="H18" s="1723"/>
      <c r="I18" s="2007" t="s">
        <v>16534</v>
      </c>
      <c r="J18" s="1530"/>
      <c r="K18" s="219">
        <v>0</v>
      </c>
      <c r="L18" s="835" t="s">
        <v>43</v>
      </c>
      <c r="M18" s="835" t="s">
        <v>43</v>
      </c>
      <c r="N18" s="89" t="s">
        <v>5136</v>
      </c>
      <c r="O18" s="1668"/>
      <c r="P18" s="1668"/>
    </row>
    <row r="19" spans="1:16" s="83" customFormat="1" ht="32.25" customHeight="1">
      <c r="A19" s="1528"/>
      <c r="B19" s="1722"/>
      <c r="C19" s="1668"/>
      <c r="D19" s="2008" t="s">
        <v>16531</v>
      </c>
      <c r="E19" s="1528"/>
      <c r="F19" s="1528"/>
      <c r="G19" s="1276">
        <v>883</v>
      </c>
      <c r="H19" s="1723"/>
      <c r="I19" s="2008" t="s">
        <v>16531</v>
      </c>
      <c r="J19" s="1530"/>
      <c r="K19" s="219">
        <v>0</v>
      </c>
      <c r="L19" s="835" t="s">
        <v>43</v>
      </c>
      <c r="M19" s="835" t="s">
        <v>43</v>
      </c>
      <c r="N19" s="89" t="s">
        <v>16535</v>
      </c>
      <c r="O19" s="1668"/>
      <c r="P19" s="1668"/>
    </row>
    <row r="20" spans="1:16" s="83" customFormat="1" ht="32.25" customHeight="1">
      <c r="A20" s="1528"/>
      <c r="B20" s="1722"/>
      <c r="C20" s="1668"/>
      <c r="D20" s="2008" t="s">
        <v>16541</v>
      </c>
      <c r="E20" s="1528"/>
      <c r="F20" s="1528"/>
      <c r="G20" s="2009" t="s">
        <v>16520</v>
      </c>
      <c r="H20" s="1723"/>
      <c r="I20" s="2008" t="s">
        <v>16541</v>
      </c>
      <c r="J20" s="1530"/>
      <c r="K20" s="219">
        <v>0</v>
      </c>
      <c r="L20" s="835" t="s">
        <v>43</v>
      </c>
      <c r="M20" s="835" t="s">
        <v>43</v>
      </c>
      <c r="N20" s="89" t="s">
        <v>4743</v>
      </c>
      <c r="O20" s="1668"/>
      <c r="P20" s="1668"/>
    </row>
    <row r="21" spans="1:16" s="83" customFormat="1" ht="32.25" customHeight="1">
      <c r="A21" s="1528"/>
      <c r="B21" s="1722"/>
      <c r="C21" s="1668"/>
      <c r="D21" s="2008" t="s">
        <v>16540</v>
      </c>
      <c r="E21" s="1528"/>
      <c r="F21" s="1528"/>
      <c r="G21" s="1276">
        <v>76</v>
      </c>
      <c r="H21" s="1723"/>
      <c r="I21" s="2008" t="s">
        <v>16540</v>
      </c>
      <c r="J21" s="1530"/>
      <c r="K21" s="219">
        <v>0</v>
      </c>
      <c r="L21" s="835" t="s">
        <v>43</v>
      </c>
      <c r="M21" s="835" t="s">
        <v>43</v>
      </c>
      <c r="N21" s="89" t="s">
        <v>4374</v>
      </c>
      <c r="O21" s="1668"/>
      <c r="P21" s="1668"/>
    </row>
    <row r="22" spans="1:16" s="83" customFormat="1" ht="32.25" customHeight="1">
      <c r="A22" s="1528"/>
      <c r="B22" s="1722"/>
      <c r="C22" s="1668"/>
      <c r="D22" s="2008" t="s">
        <v>16539</v>
      </c>
      <c r="E22" s="1528"/>
      <c r="F22" s="1528"/>
      <c r="G22" s="1276">
        <v>237</v>
      </c>
      <c r="H22" s="1723"/>
      <c r="I22" s="2008" t="s">
        <v>16539</v>
      </c>
      <c r="J22" s="1530"/>
      <c r="K22" s="219">
        <v>0</v>
      </c>
      <c r="L22" s="835" t="s">
        <v>43</v>
      </c>
      <c r="M22" s="835" t="s">
        <v>43</v>
      </c>
      <c r="N22" s="89" t="s">
        <v>16538</v>
      </c>
      <c r="O22" s="1668"/>
      <c r="P22" s="1668"/>
    </row>
    <row r="23" spans="1:16" s="83" customFormat="1" ht="32.25" customHeight="1">
      <c r="A23" s="1528"/>
      <c r="B23" s="1722"/>
      <c r="C23" s="1668"/>
      <c r="D23" s="2008" t="s">
        <v>16543</v>
      </c>
      <c r="E23" s="1528"/>
      <c r="F23" s="1528"/>
      <c r="G23" s="1276">
        <v>887</v>
      </c>
      <c r="H23" s="1723"/>
      <c r="I23" s="2008" t="s">
        <v>16543</v>
      </c>
      <c r="J23" s="1530"/>
      <c r="K23" s="219">
        <v>0</v>
      </c>
      <c r="L23" s="835" t="s">
        <v>43</v>
      </c>
      <c r="M23" s="835" t="s">
        <v>43</v>
      </c>
      <c r="N23" s="89" t="s">
        <v>16542</v>
      </c>
      <c r="O23" s="1668"/>
      <c r="P23" s="1668"/>
    </row>
    <row r="24" spans="1:16" s="83" customFormat="1" ht="32.25" customHeight="1">
      <c r="A24" s="1528"/>
      <c r="B24" s="1722"/>
      <c r="C24" s="1668"/>
      <c r="D24" s="2008" t="s">
        <v>16537</v>
      </c>
      <c r="E24" s="1528"/>
      <c r="F24" s="1528"/>
      <c r="G24" s="1276">
        <v>790</v>
      </c>
      <c r="H24" s="1723"/>
      <c r="I24" s="2008" t="s">
        <v>16537</v>
      </c>
      <c r="J24" s="1531"/>
      <c r="K24" s="219">
        <v>0</v>
      </c>
      <c r="L24" s="835" t="s">
        <v>43</v>
      </c>
      <c r="M24" s="835" t="s">
        <v>43</v>
      </c>
      <c r="N24" s="89" t="s">
        <v>16536</v>
      </c>
      <c r="O24" s="1668"/>
      <c r="P24" s="1668"/>
    </row>
    <row r="25" spans="1:16" s="83" customFormat="1" ht="34.5" customHeight="1">
      <c r="A25" s="1528"/>
      <c r="B25" s="1722"/>
      <c r="C25" s="750" t="s">
        <v>5088</v>
      </c>
      <c r="D25" s="740" t="s">
        <v>5139</v>
      </c>
      <c r="E25" s="749" t="s">
        <v>5132</v>
      </c>
      <c r="F25" s="749" t="s">
        <v>5091</v>
      </c>
      <c r="G25" s="740">
        <v>712</v>
      </c>
      <c r="H25" s="749" t="s">
        <v>5091</v>
      </c>
      <c r="I25" s="749" t="s">
        <v>43</v>
      </c>
      <c r="J25" s="745" t="s">
        <v>1995</v>
      </c>
      <c r="K25" s="219">
        <v>0</v>
      </c>
      <c r="L25" s="749" t="s">
        <v>43</v>
      </c>
      <c r="M25" s="740" t="s">
        <v>5089</v>
      </c>
      <c r="N25" s="740" t="s">
        <v>5138</v>
      </c>
      <c r="O25" s="750" t="s">
        <v>5137</v>
      </c>
      <c r="P25" s="1668"/>
    </row>
    <row r="26" spans="1:16" ht="24">
      <c r="J26" s="369" t="s">
        <v>11061</v>
      </c>
      <c r="K26" s="370">
        <v>6799560258</v>
      </c>
    </row>
    <row r="27" spans="1:16">
      <c r="K27" s="164"/>
    </row>
    <row r="28" spans="1:16">
      <c r="K28" s="164"/>
    </row>
    <row r="29" spans="1:16">
      <c r="K29" s="219"/>
    </row>
    <row r="30" spans="1:16">
      <c r="K30" s="164"/>
    </row>
    <row r="31" spans="1:16">
      <c r="K31" s="164"/>
    </row>
    <row r="32" spans="1:16">
      <c r="K32" s="164"/>
    </row>
    <row r="33" spans="11:11">
      <c r="K33" s="164"/>
    </row>
    <row r="34" spans="11:11">
      <c r="K34" s="164"/>
    </row>
    <row r="35" spans="11:11">
      <c r="K35" s="164"/>
    </row>
    <row r="36" spans="11:11">
      <c r="K36" s="164"/>
    </row>
    <row r="37" spans="11:11">
      <c r="K37" s="164"/>
    </row>
    <row r="38" spans="11:11">
      <c r="K38" s="164"/>
    </row>
    <row r="39" spans="11:11">
      <c r="K39" s="164"/>
    </row>
    <row r="40" spans="11:11">
      <c r="K40" s="164"/>
    </row>
    <row r="41" spans="11:11">
      <c r="K41" s="164"/>
    </row>
    <row r="42" spans="11:11">
      <c r="K42" s="164"/>
    </row>
    <row r="43" spans="11:11">
      <c r="K43" s="164"/>
    </row>
    <row r="44" spans="11:11">
      <c r="K44" s="164"/>
    </row>
    <row r="45" spans="11:11">
      <c r="K45" s="164"/>
    </row>
    <row r="46" spans="11:11">
      <c r="K46" s="164"/>
    </row>
    <row r="47" spans="11:11">
      <c r="K47" s="164"/>
    </row>
    <row r="48" spans="11:11">
      <c r="K48" s="164"/>
    </row>
    <row r="49" spans="11:11">
      <c r="K49" s="164"/>
    </row>
    <row r="50" spans="11:11">
      <c r="K50" s="164"/>
    </row>
    <row r="51" spans="11:11">
      <c r="K51" s="164"/>
    </row>
    <row r="52" spans="11:11">
      <c r="K52" s="164"/>
    </row>
    <row r="53" spans="11:11">
      <c r="K53" s="164"/>
    </row>
    <row r="54" spans="11:11">
      <c r="K54" s="164"/>
    </row>
    <row r="55" spans="11:11">
      <c r="K55" s="164"/>
    </row>
    <row r="56" spans="11:11">
      <c r="K56" s="164"/>
    </row>
    <row r="57" spans="11:11">
      <c r="K57" s="164"/>
    </row>
    <row r="58" spans="11:11">
      <c r="K58" s="164"/>
    </row>
    <row r="59" spans="11:11">
      <c r="K59" s="164"/>
    </row>
    <row r="60" spans="11:11">
      <c r="K60" s="164"/>
    </row>
    <row r="61" spans="11:11">
      <c r="K61" s="164"/>
    </row>
    <row r="62" spans="11:11">
      <c r="K62" s="164"/>
    </row>
    <row r="63" spans="11:11">
      <c r="K63" s="164"/>
    </row>
    <row r="64" spans="11:11">
      <c r="K64" s="164"/>
    </row>
    <row r="65" spans="11:11">
      <c r="K65" s="164"/>
    </row>
    <row r="66" spans="11:11">
      <c r="K66" s="164"/>
    </row>
    <row r="67" spans="11:11">
      <c r="K67" s="164"/>
    </row>
    <row r="68" spans="11:11">
      <c r="K68" s="164"/>
    </row>
    <row r="69" spans="11:11">
      <c r="K69" s="164"/>
    </row>
    <row r="70" spans="11:11">
      <c r="K70" s="164"/>
    </row>
    <row r="71" spans="11:11">
      <c r="K71" s="164"/>
    </row>
    <row r="72" spans="11:11">
      <c r="K72" s="164"/>
    </row>
    <row r="73" spans="11:11">
      <c r="K73" s="164"/>
    </row>
    <row r="74" spans="11:11">
      <c r="K74" s="164"/>
    </row>
    <row r="75" spans="11:11">
      <c r="K75" s="164"/>
    </row>
    <row r="76" spans="11:11">
      <c r="K76" s="164"/>
    </row>
    <row r="77" spans="11:11">
      <c r="K77" s="164"/>
    </row>
    <row r="78" spans="11:11">
      <c r="K78" s="164"/>
    </row>
    <row r="79" spans="11:11">
      <c r="K79" s="164"/>
    </row>
    <row r="80" spans="11:11">
      <c r="K80" s="164"/>
    </row>
    <row r="81" spans="11:11">
      <c r="K81" s="164"/>
    </row>
    <row r="82" spans="11:11">
      <c r="K82" s="164"/>
    </row>
    <row r="83" spans="11:11">
      <c r="K83" s="164"/>
    </row>
    <row r="84" spans="11:11">
      <c r="K84" s="164"/>
    </row>
    <row r="85" spans="11:11">
      <c r="K85" s="164"/>
    </row>
    <row r="86" spans="11:11">
      <c r="K86" s="164"/>
    </row>
    <row r="87" spans="11:11">
      <c r="K87" s="164"/>
    </row>
    <row r="88" spans="11:11">
      <c r="K88" s="164"/>
    </row>
    <row r="89" spans="11:11">
      <c r="K89" s="164"/>
    </row>
    <row r="90" spans="11:11">
      <c r="K90" s="164"/>
    </row>
    <row r="91" spans="11:11">
      <c r="K91" s="164"/>
    </row>
    <row r="92" spans="11:11">
      <c r="K92" s="164"/>
    </row>
    <row r="93" spans="11:11">
      <c r="K93" s="164"/>
    </row>
    <row r="94" spans="11:11">
      <c r="K94" s="164"/>
    </row>
    <row r="95" spans="11:11">
      <c r="K95" s="164"/>
    </row>
    <row r="96" spans="11:11">
      <c r="K96" s="164"/>
    </row>
    <row r="97" spans="11:11">
      <c r="K97" s="164"/>
    </row>
    <row r="98" spans="11:11">
      <c r="K98" s="164"/>
    </row>
    <row r="99" spans="11:11">
      <c r="K99" s="164"/>
    </row>
    <row r="100" spans="11:11">
      <c r="K100" s="164"/>
    </row>
    <row r="101" spans="11:11">
      <c r="K101" s="164"/>
    </row>
    <row r="102" spans="11:11">
      <c r="K102" s="164"/>
    </row>
    <row r="103" spans="11:11">
      <c r="K103" s="164"/>
    </row>
    <row r="104" spans="11:11">
      <c r="K104" s="164"/>
    </row>
    <row r="105" spans="11:11">
      <c r="K105" s="164"/>
    </row>
    <row r="106" spans="11:11">
      <c r="K106" s="164"/>
    </row>
    <row r="107" spans="11:11">
      <c r="K107" s="164"/>
    </row>
    <row r="108" spans="11:11">
      <c r="K108" s="164"/>
    </row>
    <row r="109" spans="11:11">
      <c r="K109" s="164"/>
    </row>
    <row r="110" spans="11:11">
      <c r="K110" s="164"/>
    </row>
    <row r="111" spans="11:11">
      <c r="K111" s="164"/>
    </row>
    <row r="112" spans="11:11">
      <c r="K112" s="164"/>
    </row>
    <row r="113" spans="11:11">
      <c r="K113" s="164"/>
    </row>
    <row r="114" spans="11:11">
      <c r="K114" s="164"/>
    </row>
    <row r="115" spans="11:11">
      <c r="K115" s="164"/>
    </row>
    <row r="116" spans="11:11">
      <c r="K116" s="164"/>
    </row>
    <row r="117" spans="11:11">
      <c r="K117" s="164"/>
    </row>
    <row r="118" spans="11:11">
      <c r="K118" s="164"/>
    </row>
    <row r="119" spans="11:11">
      <c r="K119" s="164"/>
    </row>
    <row r="120" spans="11:11">
      <c r="K120" s="164"/>
    </row>
    <row r="121" spans="11:11">
      <c r="K121" s="164"/>
    </row>
    <row r="122" spans="11:11">
      <c r="K122" s="164"/>
    </row>
    <row r="123" spans="11:11">
      <c r="K123" s="164"/>
    </row>
    <row r="124" spans="11:11">
      <c r="K124" s="164"/>
    </row>
    <row r="125" spans="11:11">
      <c r="K125" s="164"/>
    </row>
    <row r="126" spans="11:11">
      <c r="K126" s="164"/>
    </row>
    <row r="127" spans="11:11">
      <c r="K127" s="164"/>
    </row>
    <row r="128" spans="11:11">
      <c r="K128" s="164"/>
    </row>
    <row r="129" spans="11:11">
      <c r="K129" s="164"/>
    </row>
    <row r="130" spans="11:11">
      <c r="K130" s="164"/>
    </row>
    <row r="131" spans="11:11">
      <c r="K131" s="164"/>
    </row>
    <row r="132" spans="11:11">
      <c r="K132" s="164"/>
    </row>
    <row r="133" spans="11:11">
      <c r="K133" s="164"/>
    </row>
    <row r="134" spans="11:11">
      <c r="K134" s="164"/>
    </row>
    <row r="135" spans="11:11">
      <c r="K135" s="164"/>
    </row>
    <row r="136" spans="11:11">
      <c r="K136" s="164"/>
    </row>
    <row r="137" spans="11:11">
      <c r="K137" s="164"/>
    </row>
    <row r="138" spans="11:11">
      <c r="K138" s="164"/>
    </row>
    <row r="139" spans="11:11">
      <c r="K139" s="164"/>
    </row>
    <row r="140" spans="11:11">
      <c r="K140" s="164"/>
    </row>
    <row r="141" spans="11:11">
      <c r="K141" s="164"/>
    </row>
    <row r="142" spans="11:11">
      <c r="K142" s="164"/>
    </row>
    <row r="143" spans="11:11">
      <c r="K143" s="164"/>
    </row>
    <row r="144" spans="11:11">
      <c r="K144" s="164"/>
    </row>
    <row r="145" spans="11:11">
      <c r="K145" s="164"/>
    </row>
    <row r="146" spans="11:11">
      <c r="K146" s="164"/>
    </row>
    <row r="147" spans="11:11">
      <c r="K147" s="164"/>
    </row>
    <row r="148" spans="11:11">
      <c r="K148" s="164"/>
    </row>
    <row r="149" spans="11:11">
      <c r="K149" s="164"/>
    </row>
    <row r="150" spans="11:11">
      <c r="K150" s="164"/>
    </row>
    <row r="151" spans="11:11">
      <c r="K151" s="164"/>
    </row>
    <row r="152" spans="11:11">
      <c r="K152" s="164"/>
    </row>
    <row r="153" spans="11:11">
      <c r="K153" s="164"/>
    </row>
    <row r="154" spans="11:11">
      <c r="K154" s="164"/>
    </row>
    <row r="155" spans="11:11">
      <c r="K155" s="164"/>
    </row>
    <row r="156" spans="11:11">
      <c r="K156" s="164"/>
    </row>
    <row r="157" spans="11:11">
      <c r="K157" s="164"/>
    </row>
    <row r="158" spans="11:11">
      <c r="K158" s="164"/>
    </row>
    <row r="159" spans="11:11">
      <c r="K159" s="164"/>
    </row>
    <row r="160" spans="11:11">
      <c r="K160" s="164"/>
    </row>
    <row r="161" spans="11:11">
      <c r="K161" s="164"/>
    </row>
    <row r="162" spans="11:11">
      <c r="K162" s="164"/>
    </row>
    <row r="163" spans="11:11">
      <c r="K163" s="164"/>
    </row>
    <row r="164" spans="11:11">
      <c r="K164" s="164"/>
    </row>
    <row r="165" spans="11:11">
      <c r="K165" s="164"/>
    </row>
    <row r="166" spans="11:11">
      <c r="K166" s="164"/>
    </row>
    <row r="167" spans="11:11">
      <c r="K167" s="164"/>
    </row>
    <row r="168" spans="11:11">
      <c r="K168" s="164"/>
    </row>
    <row r="169" spans="11:11">
      <c r="K169" s="164"/>
    </row>
    <row r="170" spans="11:11">
      <c r="K170" s="164"/>
    </row>
    <row r="171" spans="11:11">
      <c r="K171" s="164"/>
    </row>
    <row r="172" spans="11:11">
      <c r="K172" s="164"/>
    </row>
    <row r="173" spans="11:11">
      <c r="K173" s="164"/>
    </row>
    <row r="174" spans="11:11">
      <c r="K174" s="164"/>
    </row>
    <row r="175" spans="11:11">
      <c r="K175" s="164"/>
    </row>
    <row r="176" spans="11:11">
      <c r="K176" s="164"/>
    </row>
    <row r="177" spans="11:11">
      <c r="K177" s="164"/>
    </row>
    <row r="178" spans="11:11">
      <c r="K178" s="164"/>
    </row>
    <row r="179" spans="11:11">
      <c r="K179" s="164"/>
    </row>
    <row r="180" spans="11:11">
      <c r="K180" s="164"/>
    </row>
    <row r="181" spans="11:11">
      <c r="K181" s="164"/>
    </row>
    <row r="182" spans="11:11">
      <c r="K182" s="164"/>
    </row>
    <row r="183" spans="11:11">
      <c r="K183" s="164"/>
    </row>
    <row r="184" spans="11:11">
      <c r="K184" s="164"/>
    </row>
    <row r="185" spans="11:11">
      <c r="K185" s="164"/>
    </row>
    <row r="186" spans="11:11">
      <c r="K186" s="164"/>
    </row>
    <row r="187" spans="11:11">
      <c r="K187" s="164"/>
    </row>
    <row r="188" spans="11:11">
      <c r="K188" s="164"/>
    </row>
    <row r="189" spans="11:11">
      <c r="K189" s="164"/>
    </row>
    <row r="190" spans="11:11">
      <c r="K190" s="164"/>
    </row>
    <row r="191" spans="11:11">
      <c r="K191" s="164"/>
    </row>
    <row r="192" spans="11:11">
      <c r="K192" s="164"/>
    </row>
    <row r="193" spans="11:11">
      <c r="K193" s="164"/>
    </row>
    <row r="194" spans="11:11">
      <c r="K194" s="164"/>
    </row>
    <row r="195" spans="11:11">
      <c r="K195" s="164"/>
    </row>
    <row r="196" spans="11:11">
      <c r="K196" s="164"/>
    </row>
    <row r="197" spans="11:11">
      <c r="K197" s="164"/>
    </row>
    <row r="198" spans="11:11">
      <c r="K198" s="164"/>
    </row>
    <row r="199" spans="11:11">
      <c r="K199" s="164"/>
    </row>
    <row r="200" spans="11:11">
      <c r="K200" s="164"/>
    </row>
    <row r="201" spans="11:11">
      <c r="K201" s="164"/>
    </row>
    <row r="202" spans="11:11">
      <c r="K202" s="164"/>
    </row>
    <row r="203" spans="11:11">
      <c r="K203" s="164"/>
    </row>
    <row r="204" spans="11:11">
      <c r="K204" s="164"/>
    </row>
    <row r="205" spans="11:11">
      <c r="K205" s="164"/>
    </row>
    <row r="206" spans="11:11">
      <c r="K206" s="164"/>
    </row>
    <row r="207" spans="11:11">
      <c r="K207" s="164"/>
    </row>
    <row r="208" spans="11:11">
      <c r="K208" s="164"/>
    </row>
    <row r="209" spans="11:11">
      <c r="K209" s="164"/>
    </row>
    <row r="210" spans="11:11">
      <c r="K210" s="164"/>
    </row>
    <row r="211" spans="11:11">
      <c r="K211" s="164"/>
    </row>
    <row r="212" spans="11:11">
      <c r="K212" s="164"/>
    </row>
    <row r="213" spans="11:11">
      <c r="K213" s="164"/>
    </row>
    <row r="214" spans="11:11">
      <c r="K214" s="164"/>
    </row>
    <row r="215" spans="11:11">
      <c r="K215" s="164"/>
    </row>
    <row r="216" spans="11:11">
      <c r="K216" s="164"/>
    </row>
    <row r="217" spans="11:11">
      <c r="K217" s="164"/>
    </row>
    <row r="218" spans="11:11">
      <c r="K218" s="164"/>
    </row>
    <row r="219" spans="11:11">
      <c r="K219" s="164"/>
    </row>
    <row r="220" spans="11:11">
      <c r="K220" s="164"/>
    </row>
    <row r="221" spans="11:11">
      <c r="K221" s="164"/>
    </row>
    <row r="222" spans="11:11">
      <c r="K222" s="164"/>
    </row>
    <row r="223" spans="11:11">
      <c r="K223" s="164"/>
    </row>
    <row r="224" spans="11:11">
      <c r="K224" s="164"/>
    </row>
    <row r="225" spans="11:11">
      <c r="K225" s="164"/>
    </row>
    <row r="226" spans="11:11">
      <c r="K226" s="164"/>
    </row>
    <row r="227" spans="11:11">
      <c r="K227" s="164"/>
    </row>
    <row r="228" spans="11:11">
      <c r="K228" s="164"/>
    </row>
    <row r="229" spans="11:11">
      <c r="K229" s="164"/>
    </row>
    <row r="230" spans="11:11">
      <c r="K230" s="164"/>
    </row>
    <row r="231" spans="11:11">
      <c r="K231" s="164"/>
    </row>
    <row r="232" spans="11:11">
      <c r="K232" s="164"/>
    </row>
    <row r="233" spans="11:11">
      <c r="K233" s="164"/>
    </row>
    <row r="234" spans="11:11">
      <c r="K234" s="164"/>
    </row>
    <row r="235" spans="11:11">
      <c r="K235" s="164"/>
    </row>
    <row r="236" spans="11:11">
      <c r="K236" s="164"/>
    </row>
    <row r="237" spans="11:11">
      <c r="K237" s="164"/>
    </row>
    <row r="238" spans="11:11">
      <c r="K238" s="164"/>
    </row>
    <row r="239" spans="11:11">
      <c r="K239" s="164"/>
    </row>
    <row r="240" spans="11:11">
      <c r="K240" s="164"/>
    </row>
    <row r="241" spans="11:11">
      <c r="K241" s="164"/>
    </row>
    <row r="242" spans="11:11">
      <c r="K242" s="164"/>
    </row>
    <row r="243" spans="11:11">
      <c r="K243" s="164"/>
    </row>
    <row r="244" spans="11:11">
      <c r="K244" s="164"/>
    </row>
    <row r="245" spans="11:11">
      <c r="K245" s="164"/>
    </row>
    <row r="246" spans="11:11">
      <c r="K246" s="164"/>
    </row>
    <row r="247" spans="11:11">
      <c r="K247" s="164"/>
    </row>
    <row r="248" spans="11:11">
      <c r="K248" s="164"/>
    </row>
    <row r="249" spans="11:11">
      <c r="K249" s="164"/>
    </row>
    <row r="250" spans="11:11">
      <c r="K250" s="164"/>
    </row>
    <row r="251" spans="11:11">
      <c r="K251" s="164"/>
    </row>
    <row r="252" spans="11:11">
      <c r="K252" s="164"/>
    </row>
    <row r="253" spans="11:11">
      <c r="K253" s="164"/>
    </row>
    <row r="254" spans="11:11">
      <c r="K254" s="164"/>
    </row>
    <row r="255" spans="11:11">
      <c r="K255" s="164"/>
    </row>
    <row r="256" spans="11:11">
      <c r="K256" s="164"/>
    </row>
    <row r="257" spans="11:11">
      <c r="K257" s="164"/>
    </row>
    <row r="258" spans="11:11">
      <c r="K258" s="164"/>
    </row>
    <row r="259" spans="11:11">
      <c r="K259" s="164"/>
    </row>
    <row r="260" spans="11:11">
      <c r="K260" s="164"/>
    </row>
    <row r="261" spans="11:11">
      <c r="K261" s="164"/>
    </row>
    <row r="262" spans="11:11">
      <c r="K262" s="164"/>
    </row>
    <row r="263" spans="11:11">
      <c r="K263" s="164"/>
    </row>
    <row r="264" spans="11:11">
      <c r="K264" s="164"/>
    </row>
    <row r="265" spans="11:11">
      <c r="K265" s="164"/>
    </row>
    <row r="266" spans="11:11">
      <c r="K266" s="164"/>
    </row>
    <row r="267" spans="11:11">
      <c r="K267" s="164"/>
    </row>
    <row r="268" spans="11:11">
      <c r="K268" s="164"/>
    </row>
    <row r="269" spans="11:11">
      <c r="K269" s="164"/>
    </row>
    <row r="270" spans="11:11">
      <c r="K270" s="164"/>
    </row>
    <row r="271" spans="11:11">
      <c r="K271" s="164"/>
    </row>
    <row r="272" spans="11:11">
      <c r="K272" s="164"/>
    </row>
    <row r="273" spans="11:11">
      <c r="K273" s="164"/>
    </row>
    <row r="274" spans="11:11">
      <c r="K274" s="164"/>
    </row>
    <row r="275" spans="11:11">
      <c r="K275" s="164"/>
    </row>
    <row r="276" spans="11:11">
      <c r="K276" s="164"/>
    </row>
    <row r="277" spans="11:11">
      <c r="K277" s="164"/>
    </row>
    <row r="278" spans="11:11">
      <c r="K278" s="164"/>
    </row>
    <row r="279" spans="11:11">
      <c r="K279" s="164"/>
    </row>
    <row r="280" spans="11:11">
      <c r="K280" s="164"/>
    </row>
    <row r="281" spans="11:11">
      <c r="K281" s="164"/>
    </row>
    <row r="282" spans="11:11">
      <c r="K282" s="164"/>
    </row>
    <row r="283" spans="11:11">
      <c r="K283" s="164"/>
    </row>
    <row r="284" spans="11:11">
      <c r="K284" s="164"/>
    </row>
    <row r="285" spans="11:11">
      <c r="K285" s="164"/>
    </row>
    <row r="286" spans="11:11">
      <c r="K286" s="164"/>
    </row>
    <row r="287" spans="11:11">
      <c r="K287" s="164"/>
    </row>
    <row r="288" spans="11:11">
      <c r="K288" s="164"/>
    </row>
    <row r="289" spans="11:11">
      <c r="K289" s="164"/>
    </row>
    <row r="290" spans="11:11">
      <c r="K290" s="164"/>
    </row>
    <row r="291" spans="11:11">
      <c r="K291" s="164"/>
    </row>
    <row r="292" spans="11:11">
      <c r="K292" s="164"/>
    </row>
    <row r="293" spans="11:11">
      <c r="K293" s="164"/>
    </row>
    <row r="294" spans="11:11">
      <c r="K294" s="164"/>
    </row>
    <row r="295" spans="11:11">
      <c r="K295" s="164"/>
    </row>
    <row r="296" spans="11:11">
      <c r="K296" s="164"/>
    </row>
    <row r="297" spans="11:11">
      <c r="K297" s="164"/>
    </row>
    <row r="298" spans="11:11">
      <c r="K298" s="164"/>
    </row>
    <row r="299" spans="11:11">
      <c r="K299" s="164"/>
    </row>
    <row r="300" spans="11:11">
      <c r="K300" s="164"/>
    </row>
    <row r="301" spans="11:11">
      <c r="K301" s="164"/>
    </row>
    <row r="302" spans="11:11">
      <c r="K302" s="164"/>
    </row>
    <row r="303" spans="11:11">
      <c r="K303" s="164"/>
    </row>
    <row r="304" spans="11:11">
      <c r="K304" s="164"/>
    </row>
    <row r="305" spans="11:11">
      <c r="K305" s="164"/>
    </row>
    <row r="306" spans="11:11">
      <c r="K306" s="164"/>
    </row>
    <row r="307" spans="11:11">
      <c r="K307" s="164"/>
    </row>
    <row r="308" spans="11:11">
      <c r="K308" s="164"/>
    </row>
    <row r="309" spans="11:11">
      <c r="K309" s="164"/>
    </row>
    <row r="310" spans="11:11">
      <c r="K310" s="164"/>
    </row>
    <row r="311" spans="11:11">
      <c r="K311" s="164"/>
    </row>
    <row r="312" spans="11:11">
      <c r="K312" s="164"/>
    </row>
    <row r="313" spans="11:11">
      <c r="K313" s="164"/>
    </row>
    <row r="314" spans="11:11">
      <c r="K314" s="164"/>
    </row>
    <row r="315" spans="11:11">
      <c r="K315" s="164"/>
    </row>
    <row r="316" spans="11:11">
      <c r="K316" s="164"/>
    </row>
    <row r="317" spans="11:11">
      <c r="K317" s="164"/>
    </row>
    <row r="318" spans="11:11">
      <c r="K318" s="164"/>
    </row>
    <row r="319" spans="11:11">
      <c r="K319" s="164"/>
    </row>
    <row r="320" spans="11:11">
      <c r="K320" s="164"/>
    </row>
    <row r="321" spans="11:11">
      <c r="K321" s="164"/>
    </row>
    <row r="322" spans="11:11">
      <c r="K322" s="164"/>
    </row>
    <row r="323" spans="11:11">
      <c r="K323" s="164"/>
    </row>
    <row r="324" spans="11:11">
      <c r="K324" s="164"/>
    </row>
    <row r="325" spans="11:11">
      <c r="K325" s="164"/>
    </row>
    <row r="326" spans="11:11">
      <c r="K326" s="164"/>
    </row>
    <row r="327" spans="11:11">
      <c r="K327" s="164"/>
    </row>
    <row r="328" spans="11:11">
      <c r="K328" s="164"/>
    </row>
    <row r="329" spans="11:11">
      <c r="K329" s="164"/>
    </row>
    <row r="330" spans="11:11">
      <c r="K330" s="164"/>
    </row>
    <row r="331" spans="11:11">
      <c r="K331" s="164"/>
    </row>
    <row r="332" spans="11:11">
      <c r="K332" s="164"/>
    </row>
    <row r="333" spans="11:11">
      <c r="K333" s="164"/>
    </row>
    <row r="334" spans="11:11">
      <c r="K334" s="164"/>
    </row>
    <row r="335" spans="11:11">
      <c r="K335" s="164"/>
    </row>
    <row r="336" spans="11:11">
      <c r="K336" s="164"/>
    </row>
    <row r="337" spans="11:11">
      <c r="K337" s="164"/>
    </row>
    <row r="338" spans="11:11">
      <c r="K338" s="164"/>
    </row>
    <row r="339" spans="11:11">
      <c r="K339" s="164"/>
    </row>
    <row r="340" spans="11:11">
      <c r="K340" s="164"/>
    </row>
    <row r="341" spans="11:11">
      <c r="K341" s="164"/>
    </row>
    <row r="342" spans="11:11">
      <c r="K342" s="164"/>
    </row>
    <row r="343" spans="11:11">
      <c r="K343" s="164"/>
    </row>
    <row r="344" spans="11:11">
      <c r="K344" s="164"/>
    </row>
    <row r="345" spans="11:11">
      <c r="K345" s="164"/>
    </row>
    <row r="346" spans="11:11">
      <c r="K346" s="164"/>
    </row>
    <row r="347" spans="11:11">
      <c r="K347" s="164"/>
    </row>
    <row r="348" spans="11:11">
      <c r="K348" s="164"/>
    </row>
    <row r="349" spans="11:11">
      <c r="K349" s="164"/>
    </row>
    <row r="350" spans="11:11">
      <c r="K350" s="164"/>
    </row>
    <row r="351" spans="11:11">
      <c r="K351" s="164"/>
    </row>
    <row r="352" spans="11:11">
      <c r="K352" s="164"/>
    </row>
    <row r="353" spans="11:11">
      <c r="K353" s="164"/>
    </row>
    <row r="354" spans="11:11">
      <c r="K354" s="164"/>
    </row>
    <row r="355" spans="11:11">
      <c r="K355" s="164"/>
    </row>
    <row r="356" spans="11:11">
      <c r="K356" s="164"/>
    </row>
    <row r="357" spans="11:11">
      <c r="K357" s="164"/>
    </row>
    <row r="358" spans="11:11">
      <c r="K358" s="164"/>
    </row>
    <row r="359" spans="11:11">
      <c r="K359" s="164"/>
    </row>
    <row r="360" spans="11:11">
      <c r="K360" s="164"/>
    </row>
    <row r="361" spans="11:11">
      <c r="K361" s="164"/>
    </row>
    <row r="362" spans="11:11">
      <c r="K362" s="164"/>
    </row>
    <row r="363" spans="11:11">
      <c r="K363" s="164"/>
    </row>
    <row r="364" spans="11:11">
      <c r="K364" s="164"/>
    </row>
    <row r="365" spans="11:11">
      <c r="K365" s="164"/>
    </row>
    <row r="366" spans="11:11">
      <c r="K366" s="164"/>
    </row>
    <row r="367" spans="11:11">
      <c r="K367" s="164"/>
    </row>
    <row r="368" spans="11:11">
      <c r="K368" s="164"/>
    </row>
    <row r="369" spans="11:11">
      <c r="K369" s="164"/>
    </row>
    <row r="370" spans="11:11">
      <c r="K370" s="164"/>
    </row>
    <row r="371" spans="11:11">
      <c r="K371" s="164"/>
    </row>
    <row r="372" spans="11:11">
      <c r="K372" s="164"/>
    </row>
    <row r="373" spans="11:11">
      <c r="K373" s="164"/>
    </row>
    <row r="374" spans="11:11">
      <c r="K374" s="164"/>
    </row>
    <row r="375" spans="11:11">
      <c r="K375" s="164"/>
    </row>
    <row r="376" spans="11:11">
      <c r="K376" s="164"/>
    </row>
    <row r="377" spans="11:11">
      <c r="K377" s="164"/>
    </row>
    <row r="378" spans="11:11">
      <c r="K378" s="164"/>
    </row>
    <row r="379" spans="11:11">
      <c r="K379" s="164"/>
    </row>
    <row r="380" spans="11:11">
      <c r="K380" s="164"/>
    </row>
    <row r="381" spans="11:11">
      <c r="K381" s="164"/>
    </row>
    <row r="382" spans="11:11">
      <c r="K382" s="164"/>
    </row>
    <row r="383" spans="11:11">
      <c r="K383" s="164"/>
    </row>
    <row r="384" spans="11:11">
      <c r="K384" s="164"/>
    </row>
    <row r="385" spans="11:11">
      <c r="K385" s="164"/>
    </row>
    <row r="386" spans="11:11">
      <c r="K386" s="164"/>
    </row>
    <row r="387" spans="11:11">
      <c r="K387" s="164"/>
    </row>
    <row r="388" spans="11:11">
      <c r="K388" s="164"/>
    </row>
    <row r="389" spans="11:11">
      <c r="K389" s="164"/>
    </row>
    <row r="390" spans="11:11">
      <c r="K390" s="164"/>
    </row>
    <row r="391" spans="11:11">
      <c r="K391" s="164"/>
    </row>
    <row r="392" spans="11:11">
      <c r="K392" s="164"/>
    </row>
    <row r="393" spans="11:11">
      <c r="K393" s="164"/>
    </row>
    <row r="394" spans="11:11">
      <c r="K394" s="164"/>
    </row>
    <row r="395" spans="11:11">
      <c r="K395" s="164"/>
    </row>
    <row r="396" spans="11:11">
      <c r="K396" s="164"/>
    </row>
    <row r="397" spans="11:11">
      <c r="K397" s="164"/>
    </row>
    <row r="398" spans="11:11">
      <c r="K398" s="164"/>
    </row>
    <row r="399" spans="11:11">
      <c r="K399" s="164"/>
    </row>
    <row r="400" spans="11:11">
      <c r="K400" s="164"/>
    </row>
    <row r="401" spans="11:11">
      <c r="K401" s="164"/>
    </row>
    <row r="402" spans="11:11">
      <c r="K402" s="164"/>
    </row>
    <row r="403" spans="11:11">
      <c r="K403" s="164"/>
    </row>
    <row r="404" spans="11:11">
      <c r="K404" s="164"/>
    </row>
    <row r="405" spans="11:11">
      <c r="K405" s="164"/>
    </row>
    <row r="406" spans="11:11">
      <c r="K406" s="164"/>
    </row>
    <row r="407" spans="11:11">
      <c r="K407" s="164"/>
    </row>
    <row r="408" spans="11:11">
      <c r="K408" s="164"/>
    </row>
    <row r="409" spans="11:11">
      <c r="K409" s="164"/>
    </row>
    <row r="410" spans="11:11">
      <c r="K410" s="164"/>
    </row>
    <row r="411" spans="11:11">
      <c r="K411" s="164"/>
    </row>
    <row r="412" spans="11:11">
      <c r="K412" s="164"/>
    </row>
    <row r="413" spans="11:11">
      <c r="K413" s="164"/>
    </row>
    <row r="414" spans="11:11">
      <c r="K414" s="164"/>
    </row>
    <row r="415" spans="11:11">
      <c r="K415" s="164"/>
    </row>
    <row r="416" spans="11:11">
      <c r="K416" s="164"/>
    </row>
    <row r="417" spans="11:11">
      <c r="K417" s="164"/>
    </row>
    <row r="418" spans="11:11">
      <c r="K418" s="164"/>
    </row>
    <row r="419" spans="11:11">
      <c r="K419" s="164"/>
    </row>
    <row r="420" spans="11:11">
      <c r="K420" s="164"/>
    </row>
    <row r="421" spans="11:11">
      <c r="K421" s="164"/>
    </row>
    <row r="422" spans="11:11">
      <c r="K422" s="164"/>
    </row>
    <row r="423" spans="11:11">
      <c r="K423" s="164"/>
    </row>
    <row r="424" spans="11:11">
      <c r="K424" s="164"/>
    </row>
    <row r="425" spans="11:11">
      <c r="K425" s="164"/>
    </row>
    <row r="426" spans="11:11">
      <c r="K426" s="164"/>
    </row>
    <row r="427" spans="11:11">
      <c r="K427" s="164"/>
    </row>
    <row r="428" spans="11:11">
      <c r="K428" s="164"/>
    </row>
    <row r="429" spans="11:11">
      <c r="K429" s="164"/>
    </row>
    <row r="430" spans="11:11">
      <c r="K430" s="164"/>
    </row>
    <row r="431" spans="11:11">
      <c r="K431" s="164"/>
    </row>
    <row r="432" spans="11:11">
      <c r="K432" s="164"/>
    </row>
    <row r="433" spans="11:11">
      <c r="K433" s="164"/>
    </row>
    <row r="434" spans="11:11">
      <c r="K434" s="164"/>
    </row>
    <row r="435" spans="11:11">
      <c r="K435" s="164"/>
    </row>
    <row r="436" spans="11:11">
      <c r="K436" s="164"/>
    </row>
    <row r="437" spans="11:11">
      <c r="K437" s="164"/>
    </row>
    <row r="438" spans="11:11">
      <c r="K438" s="164"/>
    </row>
    <row r="439" spans="11:11">
      <c r="K439" s="164"/>
    </row>
    <row r="440" spans="11:11">
      <c r="K440" s="164"/>
    </row>
    <row r="441" spans="11:11">
      <c r="K441" s="164"/>
    </row>
    <row r="442" spans="11:11">
      <c r="K442" s="164"/>
    </row>
    <row r="443" spans="11:11">
      <c r="K443" s="164"/>
    </row>
    <row r="444" spans="11:11">
      <c r="K444" s="164"/>
    </row>
    <row r="445" spans="11:11">
      <c r="K445" s="164"/>
    </row>
    <row r="446" spans="11:11">
      <c r="K446" s="164"/>
    </row>
    <row r="447" spans="11:11">
      <c r="K447" s="164"/>
    </row>
    <row r="448" spans="11:11">
      <c r="K448" s="164"/>
    </row>
    <row r="449" spans="11:11">
      <c r="K449" s="164"/>
    </row>
    <row r="450" spans="11:11">
      <c r="K450" s="164"/>
    </row>
    <row r="451" spans="11:11">
      <c r="K451" s="164"/>
    </row>
    <row r="452" spans="11:11">
      <c r="K452" s="164"/>
    </row>
    <row r="453" spans="11:11">
      <c r="K453" s="164"/>
    </row>
    <row r="454" spans="11:11">
      <c r="K454" s="164"/>
    </row>
    <row r="455" spans="11:11">
      <c r="K455" s="164"/>
    </row>
    <row r="456" spans="11:11">
      <c r="K456" s="164"/>
    </row>
    <row r="457" spans="11:11">
      <c r="K457" s="164"/>
    </row>
    <row r="458" spans="11:11">
      <c r="K458" s="164"/>
    </row>
    <row r="459" spans="11:11">
      <c r="K459" s="164"/>
    </row>
    <row r="460" spans="11:11">
      <c r="K460" s="164"/>
    </row>
    <row r="461" spans="11:11">
      <c r="K461" s="164"/>
    </row>
    <row r="462" spans="11:11">
      <c r="K462" s="164"/>
    </row>
    <row r="463" spans="11:11">
      <c r="K463" s="164"/>
    </row>
    <row r="464" spans="11:11">
      <c r="K464" s="164"/>
    </row>
    <row r="465" spans="11:11">
      <c r="K465" s="164"/>
    </row>
    <row r="466" spans="11:11">
      <c r="K466" s="164"/>
    </row>
    <row r="467" spans="11:11">
      <c r="K467" s="164"/>
    </row>
    <row r="468" spans="11:11">
      <c r="K468" s="164"/>
    </row>
    <row r="469" spans="11:11">
      <c r="K469" s="164"/>
    </row>
    <row r="470" spans="11:11">
      <c r="K470" s="164"/>
    </row>
    <row r="471" spans="11:11">
      <c r="K471" s="164"/>
    </row>
    <row r="472" spans="11:11">
      <c r="K472" s="164"/>
    </row>
    <row r="473" spans="11:11">
      <c r="K473" s="164"/>
    </row>
    <row r="474" spans="11:11">
      <c r="K474" s="164"/>
    </row>
    <row r="475" spans="11:11">
      <c r="K475" s="164"/>
    </row>
    <row r="476" spans="11:11">
      <c r="K476" s="164"/>
    </row>
    <row r="477" spans="11:11">
      <c r="K477" s="164"/>
    </row>
    <row r="478" spans="11:11">
      <c r="K478" s="164"/>
    </row>
    <row r="479" spans="11:11">
      <c r="K479" s="164"/>
    </row>
    <row r="480" spans="11:11">
      <c r="K480" s="164"/>
    </row>
    <row r="481" spans="11:11">
      <c r="K481" s="164"/>
    </row>
    <row r="482" spans="11:11">
      <c r="K482" s="164"/>
    </row>
    <row r="483" spans="11:11">
      <c r="K483" s="164"/>
    </row>
    <row r="484" spans="11:11">
      <c r="K484" s="164"/>
    </row>
    <row r="485" spans="11:11">
      <c r="K485" s="164"/>
    </row>
    <row r="486" spans="11:11">
      <c r="K486" s="164"/>
    </row>
    <row r="487" spans="11:11">
      <c r="K487" s="164"/>
    </row>
    <row r="488" spans="11:11">
      <c r="K488" s="164"/>
    </row>
    <row r="489" spans="11:11">
      <c r="K489" s="164"/>
    </row>
    <row r="490" spans="11:11">
      <c r="K490" s="164"/>
    </row>
    <row r="491" spans="11:11">
      <c r="K491" s="164"/>
    </row>
    <row r="492" spans="11:11">
      <c r="K492" s="164"/>
    </row>
    <row r="493" spans="11:11">
      <c r="K493" s="164"/>
    </row>
    <row r="494" spans="11:11">
      <c r="K494" s="164"/>
    </row>
    <row r="495" spans="11:11">
      <c r="K495" s="164"/>
    </row>
    <row r="496" spans="11:11">
      <c r="K496" s="164"/>
    </row>
    <row r="497" spans="11:11">
      <c r="K497" s="164"/>
    </row>
    <row r="498" spans="11:11">
      <c r="K498" s="164"/>
    </row>
    <row r="499" spans="11:11">
      <c r="K499" s="164"/>
    </row>
    <row r="500" spans="11:11">
      <c r="K500" s="164"/>
    </row>
    <row r="501" spans="11:11">
      <c r="K501" s="164"/>
    </row>
    <row r="502" spans="11:11">
      <c r="K502" s="164"/>
    </row>
    <row r="503" spans="11:11">
      <c r="K503" s="164"/>
    </row>
    <row r="504" spans="11:11">
      <c r="K504" s="164"/>
    </row>
    <row r="505" spans="11:11">
      <c r="K505" s="164"/>
    </row>
    <row r="506" spans="11:11">
      <c r="K506" s="164"/>
    </row>
    <row r="507" spans="11:11">
      <c r="K507" s="164"/>
    </row>
    <row r="508" spans="11:11">
      <c r="K508" s="164"/>
    </row>
    <row r="509" spans="11:11">
      <c r="K509" s="164"/>
    </row>
    <row r="510" spans="11:11">
      <c r="K510" s="164"/>
    </row>
    <row r="511" spans="11:11">
      <c r="K511" s="164"/>
    </row>
    <row r="512" spans="11:11">
      <c r="K512" s="164"/>
    </row>
    <row r="513" spans="11:11">
      <c r="K513" s="164"/>
    </row>
    <row r="514" spans="11:11">
      <c r="K514" s="164"/>
    </row>
    <row r="515" spans="11:11">
      <c r="K515" s="164"/>
    </row>
    <row r="516" spans="11:11">
      <c r="K516" s="164"/>
    </row>
    <row r="517" spans="11:11">
      <c r="K517" s="164"/>
    </row>
    <row r="518" spans="11:11">
      <c r="K518" s="164"/>
    </row>
    <row r="519" spans="11:11">
      <c r="K519" s="164"/>
    </row>
    <row r="520" spans="11:11">
      <c r="K520" s="164"/>
    </row>
    <row r="521" spans="11:11">
      <c r="K521" s="164"/>
    </row>
    <row r="522" spans="11:11">
      <c r="K522" s="164"/>
    </row>
    <row r="523" spans="11:11">
      <c r="K523" s="164"/>
    </row>
    <row r="524" spans="11:11">
      <c r="K524" s="164"/>
    </row>
    <row r="525" spans="11:11">
      <c r="K525" s="164"/>
    </row>
    <row r="526" spans="11:11">
      <c r="K526" s="164"/>
    </row>
    <row r="527" spans="11:11">
      <c r="K527" s="164"/>
    </row>
    <row r="528" spans="11:11">
      <c r="K528" s="164"/>
    </row>
    <row r="529" spans="11:11">
      <c r="K529" s="164"/>
    </row>
    <row r="530" spans="11:11">
      <c r="K530" s="164"/>
    </row>
    <row r="531" spans="11:11">
      <c r="K531" s="164"/>
    </row>
    <row r="532" spans="11:11">
      <c r="K532" s="164"/>
    </row>
    <row r="533" spans="11:11">
      <c r="K533" s="164"/>
    </row>
    <row r="534" spans="11:11">
      <c r="K534" s="164"/>
    </row>
    <row r="535" spans="11:11">
      <c r="K535" s="164"/>
    </row>
    <row r="536" spans="11:11">
      <c r="K536" s="164"/>
    </row>
    <row r="537" spans="11:11">
      <c r="K537" s="164"/>
    </row>
    <row r="538" spans="11:11">
      <c r="K538" s="164"/>
    </row>
    <row r="539" spans="11:11">
      <c r="K539" s="164"/>
    </row>
    <row r="540" spans="11:11">
      <c r="K540" s="164"/>
    </row>
    <row r="541" spans="11:11">
      <c r="K541" s="164"/>
    </row>
    <row r="542" spans="11:11">
      <c r="K542" s="164"/>
    </row>
    <row r="543" spans="11:11">
      <c r="K543" s="164"/>
    </row>
    <row r="544" spans="11:11">
      <c r="K544" s="164"/>
    </row>
    <row r="545" spans="11:11">
      <c r="K545" s="164"/>
    </row>
    <row r="546" spans="11:11">
      <c r="K546" s="164"/>
    </row>
    <row r="547" spans="11:11">
      <c r="K547" s="164"/>
    </row>
    <row r="548" spans="11:11">
      <c r="K548" s="164"/>
    </row>
    <row r="549" spans="11:11">
      <c r="K549" s="164"/>
    </row>
    <row r="550" spans="11:11">
      <c r="K550" s="164"/>
    </row>
    <row r="551" spans="11:11">
      <c r="K551" s="164"/>
    </row>
    <row r="552" spans="11:11">
      <c r="K552" s="164"/>
    </row>
    <row r="553" spans="11:11">
      <c r="K553" s="164"/>
    </row>
    <row r="554" spans="11:11">
      <c r="K554" s="164"/>
    </row>
    <row r="555" spans="11:11">
      <c r="K555" s="164"/>
    </row>
    <row r="556" spans="11:11">
      <c r="K556" s="164"/>
    </row>
    <row r="557" spans="11:11">
      <c r="K557" s="164"/>
    </row>
    <row r="558" spans="11:11">
      <c r="K558" s="164"/>
    </row>
    <row r="559" spans="11:11">
      <c r="K559" s="164"/>
    </row>
    <row r="560" spans="11:11">
      <c r="K560" s="164"/>
    </row>
    <row r="561" spans="11:11">
      <c r="K561" s="164"/>
    </row>
    <row r="562" spans="11:11">
      <c r="K562" s="164"/>
    </row>
    <row r="563" spans="11:11">
      <c r="K563" s="164"/>
    </row>
    <row r="564" spans="11:11">
      <c r="K564" s="164"/>
    </row>
    <row r="565" spans="11:11">
      <c r="K565" s="164"/>
    </row>
    <row r="566" spans="11:11">
      <c r="K566" s="164"/>
    </row>
    <row r="567" spans="11:11">
      <c r="K567" s="164"/>
    </row>
    <row r="568" spans="11:11">
      <c r="K568" s="164"/>
    </row>
    <row r="569" spans="11:11">
      <c r="K569" s="164"/>
    </row>
    <row r="570" spans="11:11">
      <c r="K570" s="164"/>
    </row>
    <row r="571" spans="11:11">
      <c r="K571" s="164"/>
    </row>
    <row r="572" spans="11:11">
      <c r="K572" s="164"/>
    </row>
    <row r="573" spans="11:11">
      <c r="K573" s="164"/>
    </row>
    <row r="574" spans="11:11">
      <c r="K574" s="164"/>
    </row>
    <row r="575" spans="11:11">
      <c r="K575" s="164"/>
    </row>
    <row r="576" spans="11:11">
      <c r="K576" s="164"/>
    </row>
    <row r="577" spans="11:11">
      <c r="K577" s="164"/>
    </row>
    <row r="578" spans="11:11">
      <c r="K578" s="164"/>
    </row>
    <row r="579" spans="11:11">
      <c r="K579" s="164"/>
    </row>
    <row r="580" spans="11:11">
      <c r="K580" s="164"/>
    </row>
    <row r="581" spans="11:11">
      <c r="K581" s="164"/>
    </row>
    <row r="582" spans="11:11">
      <c r="K582" s="164"/>
    </row>
    <row r="583" spans="11:11">
      <c r="K583" s="164"/>
    </row>
    <row r="584" spans="11:11">
      <c r="K584" s="164"/>
    </row>
    <row r="585" spans="11:11">
      <c r="K585" s="164"/>
    </row>
    <row r="586" spans="11:11">
      <c r="K586" s="164"/>
    </row>
    <row r="587" spans="11:11">
      <c r="K587" s="164"/>
    </row>
    <row r="588" spans="11:11">
      <c r="K588" s="164"/>
    </row>
    <row r="589" spans="11:11">
      <c r="K589" s="164"/>
    </row>
    <row r="590" spans="11:11">
      <c r="K590" s="164"/>
    </row>
    <row r="591" spans="11:11">
      <c r="K591" s="164"/>
    </row>
    <row r="592" spans="11:11">
      <c r="K592" s="164"/>
    </row>
    <row r="593" spans="11:11">
      <c r="K593" s="164"/>
    </row>
    <row r="594" spans="11:11">
      <c r="K594" s="164"/>
    </row>
    <row r="595" spans="11:11">
      <c r="K595" s="164"/>
    </row>
    <row r="596" spans="11:11">
      <c r="K596" s="164"/>
    </row>
    <row r="597" spans="11:11">
      <c r="K597" s="164"/>
    </row>
    <row r="598" spans="11:11">
      <c r="K598" s="164"/>
    </row>
    <row r="599" spans="11:11">
      <c r="K599" s="164"/>
    </row>
    <row r="600" spans="11:11">
      <c r="K600" s="164"/>
    </row>
    <row r="601" spans="11:11">
      <c r="K601" s="164"/>
    </row>
    <row r="602" spans="11:11">
      <c r="K602" s="164"/>
    </row>
    <row r="603" spans="11:11">
      <c r="K603" s="164"/>
    </row>
    <row r="604" spans="11:11">
      <c r="K604" s="164"/>
    </row>
    <row r="605" spans="11:11">
      <c r="K605" s="164"/>
    </row>
    <row r="606" spans="11:11">
      <c r="K606" s="164"/>
    </row>
    <row r="607" spans="11:11">
      <c r="K607" s="164"/>
    </row>
    <row r="608" spans="11:11">
      <c r="K608" s="164"/>
    </row>
    <row r="609" spans="11:11">
      <c r="K609" s="164"/>
    </row>
    <row r="610" spans="11:11">
      <c r="K610" s="164"/>
    </row>
    <row r="611" spans="11:11">
      <c r="K611" s="164"/>
    </row>
    <row r="612" spans="11:11">
      <c r="K612" s="164"/>
    </row>
    <row r="613" spans="11:11">
      <c r="K613" s="164"/>
    </row>
    <row r="614" spans="11:11">
      <c r="K614" s="164"/>
    </row>
    <row r="615" spans="11:11">
      <c r="K615" s="164"/>
    </row>
    <row r="616" spans="11:11">
      <c r="K616" s="164"/>
    </row>
    <row r="617" spans="11:11">
      <c r="K617" s="164"/>
    </row>
    <row r="618" spans="11:11">
      <c r="K618" s="164"/>
    </row>
    <row r="619" spans="11:11">
      <c r="K619" s="164"/>
    </row>
    <row r="620" spans="11:11">
      <c r="K620" s="164"/>
    </row>
    <row r="621" spans="11:11">
      <c r="K621" s="164"/>
    </row>
    <row r="622" spans="11:11">
      <c r="K622" s="164"/>
    </row>
    <row r="623" spans="11:11">
      <c r="K623" s="164"/>
    </row>
    <row r="624" spans="11:11">
      <c r="K624" s="164"/>
    </row>
    <row r="625" spans="11:11">
      <c r="K625" s="164"/>
    </row>
    <row r="626" spans="11:11">
      <c r="K626" s="164"/>
    </row>
    <row r="627" spans="11:11">
      <c r="K627" s="164"/>
    </row>
    <row r="628" spans="11:11">
      <c r="K628" s="164"/>
    </row>
    <row r="629" spans="11:11">
      <c r="K629" s="164"/>
    </row>
    <row r="630" spans="11:11">
      <c r="K630" s="164"/>
    </row>
    <row r="631" spans="11:11">
      <c r="K631" s="164"/>
    </row>
    <row r="632" spans="11:11">
      <c r="K632" s="164"/>
    </row>
    <row r="633" spans="11:11">
      <c r="K633" s="164"/>
    </row>
    <row r="634" spans="11:11">
      <c r="K634" s="164"/>
    </row>
    <row r="635" spans="11:11">
      <c r="K635" s="164"/>
    </row>
    <row r="636" spans="11:11">
      <c r="K636" s="164"/>
    </row>
    <row r="637" spans="11:11">
      <c r="K637" s="164"/>
    </row>
    <row r="638" spans="11:11">
      <c r="K638" s="164"/>
    </row>
    <row r="639" spans="11:11">
      <c r="K639" s="164"/>
    </row>
    <row r="640" spans="11:11">
      <c r="K640" s="164"/>
    </row>
    <row r="641" spans="11:11">
      <c r="K641" s="164"/>
    </row>
    <row r="642" spans="11:11">
      <c r="K642" s="164"/>
    </row>
    <row r="643" spans="11:11">
      <c r="K643" s="164"/>
    </row>
    <row r="644" spans="11:11">
      <c r="K644" s="164"/>
    </row>
    <row r="645" spans="11:11">
      <c r="K645" s="164"/>
    </row>
    <row r="646" spans="11:11">
      <c r="K646" s="164"/>
    </row>
    <row r="647" spans="11:11">
      <c r="K647" s="164"/>
    </row>
    <row r="648" spans="11:11">
      <c r="K648" s="164"/>
    </row>
    <row r="649" spans="11:11">
      <c r="K649" s="164"/>
    </row>
    <row r="650" spans="11:11">
      <c r="K650" s="164"/>
    </row>
    <row r="651" spans="11:11">
      <c r="K651" s="164"/>
    </row>
    <row r="652" spans="11:11">
      <c r="K652" s="164"/>
    </row>
    <row r="653" spans="11:11">
      <c r="K653" s="164"/>
    </row>
    <row r="654" spans="11:11">
      <c r="K654" s="164"/>
    </row>
    <row r="655" spans="11:11">
      <c r="K655" s="164"/>
    </row>
    <row r="656" spans="11:11">
      <c r="K656" s="164"/>
    </row>
    <row r="657" spans="11:11">
      <c r="K657" s="164"/>
    </row>
    <row r="658" spans="11:11">
      <c r="K658" s="164"/>
    </row>
    <row r="659" spans="11:11">
      <c r="K659" s="164"/>
    </row>
    <row r="660" spans="11:11">
      <c r="K660" s="164"/>
    </row>
    <row r="661" spans="11:11">
      <c r="K661" s="164"/>
    </row>
    <row r="662" spans="11:11">
      <c r="K662" s="164"/>
    </row>
    <row r="663" spans="11:11">
      <c r="K663" s="164"/>
    </row>
    <row r="664" spans="11:11">
      <c r="K664" s="164"/>
    </row>
    <row r="665" spans="11:11">
      <c r="K665" s="164"/>
    </row>
    <row r="666" spans="11:11">
      <c r="K666" s="164"/>
    </row>
    <row r="667" spans="11:11">
      <c r="K667" s="164"/>
    </row>
    <row r="668" spans="11:11">
      <c r="K668" s="164"/>
    </row>
    <row r="669" spans="11:11">
      <c r="K669" s="164"/>
    </row>
    <row r="670" spans="11:11">
      <c r="K670" s="164"/>
    </row>
    <row r="671" spans="11:11">
      <c r="K671" s="164"/>
    </row>
    <row r="672" spans="11:11">
      <c r="K672" s="164"/>
    </row>
    <row r="673" spans="11:11">
      <c r="K673" s="164"/>
    </row>
    <row r="674" spans="11:11">
      <c r="K674" s="164"/>
    </row>
    <row r="675" spans="11:11">
      <c r="K675" s="164"/>
    </row>
    <row r="676" spans="11:11">
      <c r="K676" s="164"/>
    </row>
    <row r="677" spans="11:11">
      <c r="K677" s="164"/>
    </row>
    <row r="678" spans="11:11">
      <c r="K678" s="164"/>
    </row>
    <row r="679" spans="11:11">
      <c r="K679" s="164"/>
    </row>
    <row r="680" spans="11:11">
      <c r="K680" s="164"/>
    </row>
    <row r="681" spans="11:11">
      <c r="K681" s="164"/>
    </row>
    <row r="682" spans="11:11">
      <c r="K682" s="164"/>
    </row>
    <row r="683" spans="11:11">
      <c r="K683" s="164"/>
    </row>
    <row r="684" spans="11:11">
      <c r="K684" s="164"/>
    </row>
    <row r="685" spans="11:11">
      <c r="K685" s="164"/>
    </row>
    <row r="686" spans="11:11">
      <c r="K686" s="164"/>
    </row>
    <row r="687" spans="11:11">
      <c r="K687" s="164"/>
    </row>
    <row r="688" spans="11:11">
      <c r="K688" s="164"/>
    </row>
    <row r="689" spans="11:11">
      <c r="K689" s="164"/>
    </row>
    <row r="690" spans="11:11">
      <c r="K690" s="164"/>
    </row>
    <row r="691" spans="11:11">
      <c r="K691" s="164"/>
    </row>
    <row r="692" spans="11:11">
      <c r="K692" s="164"/>
    </row>
    <row r="693" spans="11:11">
      <c r="K693" s="164"/>
    </row>
    <row r="694" spans="11:11">
      <c r="K694" s="164"/>
    </row>
    <row r="695" spans="11:11">
      <c r="K695" s="164"/>
    </row>
    <row r="696" spans="11:11">
      <c r="K696" s="164"/>
    </row>
    <row r="697" spans="11:11">
      <c r="K697" s="164"/>
    </row>
    <row r="698" spans="11:11">
      <c r="K698" s="164"/>
    </row>
    <row r="699" spans="11:11">
      <c r="K699" s="164"/>
    </row>
    <row r="700" spans="11:11">
      <c r="K700" s="164"/>
    </row>
    <row r="701" spans="11:11">
      <c r="K701" s="164"/>
    </row>
    <row r="702" spans="11:11">
      <c r="K702" s="164"/>
    </row>
    <row r="703" spans="11:11">
      <c r="K703" s="164"/>
    </row>
    <row r="704" spans="11:11">
      <c r="K704" s="164"/>
    </row>
    <row r="705" spans="11:11">
      <c r="K705" s="164"/>
    </row>
    <row r="706" spans="11:11">
      <c r="K706" s="164"/>
    </row>
    <row r="707" spans="11:11">
      <c r="K707" s="164"/>
    </row>
    <row r="708" spans="11:11">
      <c r="K708" s="164"/>
    </row>
    <row r="709" spans="11:11">
      <c r="K709" s="164"/>
    </row>
    <row r="710" spans="11:11">
      <c r="K710" s="164"/>
    </row>
    <row r="711" spans="11:11">
      <c r="K711" s="164"/>
    </row>
    <row r="712" spans="11:11">
      <c r="K712" s="164"/>
    </row>
    <row r="713" spans="11:11">
      <c r="K713" s="164"/>
    </row>
    <row r="714" spans="11:11">
      <c r="K714" s="164"/>
    </row>
    <row r="715" spans="11:11">
      <c r="K715" s="164"/>
    </row>
    <row r="716" spans="11:11">
      <c r="K716" s="164"/>
    </row>
    <row r="717" spans="11:11">
      <c r="K717" s="164"/>
    </row>
    <row r="718" spans="11:11">
      <c r="K718" s="164"/>
    </row>
    <row r="719" spans="11:11">
      <c r="K719" s="164"/>
    </row>
    <row r="720" spans="11:11">
      <c r="K720" s="164"/>
    </row>
    <row r="721" spans="11:11">
      <c r="K721" s="164"/>
    </row>
    <row r="722" spans="11:11">
      <c r="K722" s="164"/>
    </row>
    <row r="723" spans="11:11">
      <c r="K723" s="164"/>
    </row>
    <row r="724" spans="11:11">
      <c r="K724" s="164"/>
    </row>
    <row r="725" spans="11:11">
      <c r="K725" s="164"/>
    </row>
    <row r="726" spans="11:11">
      <c r="K726" s="164"/>
    </row>
    <row r="727" spans="11:11">
      <c r="K727" s="164"/>
    </row>
    <row r="728" spans="11:11">
      <c r="K728" s="164"/>
    </row>
    <row r="729" spans="11:11">
      <c r="K729" s="164"/>
    </row>
    <row r="730" spans="11:11">
      <c r="K730" s="164"/>
    </row>
    <row r="731" spans="11:11">
      <c r="K731" s="164"/>
    </row>
    <row r="732" spans="11:11">
      <c r="K732" s="164"/>
    </row>
    <row r="733" spans="11:11">
      <c r="K733" s="164"/>
    </row>
    <row r="734" spans="11:11">
      <c r="K734" s="164"/>
    </row>
    <row r="735" spans="11:11">
      <c r="K735" s="164"/>
    </row>
    <row r="736" spans="11:11">
      <c r="K736" s="164"/>
    </row>
    <row r="737" spans="11:11">
      <c r="K737" s="164"/>
    </row>
    <row r="738" spans="11:11">
      <c r="K738" s="164"/>
    </row>
    <row r="739" spans="11:11">
      <c r="K739" s="164"/>
    </row>
    <row r="740" spans="11:11">
      <c r="K740" s="164"/>
    </row>
    <row r="741" spans="11:11">
      <c r="K741" s="164"/>
    </row>
    <row r="742" spans="11:11">
      <c r="K742" s="164"/>
    </row>
    <row r="743" spans="11:11">
      <c r="K743" s="164"/>
    </row>
    <row r="744" spans="11:11">
      <c r="K744" s="164"/>
    </row>
    <row r="745" spans="11:11">
      <c r="K745" s="164"/>
    </row>
    <row r="746" spans="11:11">
      <c r="K746" s="164"/>
    </row>
    <row r="747" spans="11:11">
      <c r="K747" s="164"/>
    </row>
    <row r="748" spans="11:11">
      <c r="K748" s="164"/>
    </row>
    <row r="749" spans="11:11">
      <c r="K749" s="164"/>
    </row>
    <row r="750" spans="11:11">
      <c r="K750" s="164"/>
    </row>
    <row r="751" spans="11:11">
      <c r="K751" s="164"/>
    </row>
    <row r="752" spans="11:11">
      <c r="K752" s="164"/>
    </row>
    <row r="753" spans="11:11">
      <c r="K753" s="164"/>
    </row>
    <row r="754" spans="11:11">
      <c r="K754" s="164"/>
    </row>
    <row r="755" spans="11:11">
      <c r="K755" s="164"/>
    </row>
    <row r="756" spans="11:11">
      <c r="K756" s="164"/>
    </row>
    <row r="757" spans="11:11">
      <c r="K757" s="164"/>
    </row>
    <row r="758" spans="11:11">
      <c r="K758" s="164"/>
    </row>
    <row r="759" spans="11:11">
      <c r="K759" s="164"/>
    </row>
    <row r="760" spans="11:11">
      <c r="K760" s="164"/>
    </row>
    <row r="761" spans="11:11">
      <c r="K761" s="164"/>
    </row>
    <row r="762" spans="11:11">
      <c r="K762" s="164"/>
    </row>
    <row r="763" spans="11:11">
      <c r="K763" s="164"/>
    </row>
    <row r="764" spans="11:11">
      <c r="K764" s="164"/>
    </row>
    <row r="765" spans="11:11">
      <c r="K765" s="164"/>
    </row>
    <row r="766" spans="11:11">
      <c r="K766" s="164"/>
    </row>
    <row r="767" spans="11:11">
      <c r="K767" s="164"/>
    </row>
    <row r="768" spans="11:11">
      <c r="K768" s="164"/>
    </row>
    <row r="769" spans="11:11">
      <c r="K769" s="164"/>
    </row>
    <row r="770" spans="11:11">
      <c r="K770" s="164"/>
    </row>
    <row r="771" spans="11:11">
      <c r="K771" s="164"/>
    </row>
    <row r="772" spans="11:11">
      <c r="K772" s="164"/>
    </row>
    <row r="773" spans="11:11">
      <c r="K773" s="164"/>
    </row>
    <row r="774" spans="11:11">
      <c r="K774" s="164"/>
    </row>
    <row r="775" spans="11:11">
      <c r="K775" s="164"/>
    </row>
    <row r="776" spans="11:11">
      <c r="K776" s="164"/>
    </row>
    <row r="777" spans="11:11">
      <c r="K777" s="164"/>
    </row>
    <row r="778" spans="11:11">
      <c r="K778" s="164"/>
    </row>
    <row r="779" spans="11:11">
      <c r="K779" s="164"/>
    </row>
    <row r="780" spans="11:11">
      <c r="K780" s="164"/>
    </row>
    <row r="781" spans="11:11">
      <c r="K781" s="164"/>
    </row>
    <row r="782" spans="11:11">
      <c r="K782" s="164"/>
    </row>
    <row r="783" spans="11:11">
      <c r="K783" s="164"/>
    </row>
    <row r="784" spans="11:11">
      <c r="K784" s="164"/>
    </row>
    <row r="785" spans="11:11">
      <c r="K785" s="164"/>
    </row>
    <row r="786" spans="11:11">
      <c r="K786" s="164"/>
    </row>
    <row r="787" spans="11:11">
      <c r="K787" s="164"/>
    </row>
    <row r="788" spans="11:11">
      <c r="K788" s="164"/>
    </row>
    <row r="789" spans="11:11">
      <c r="K789" s="164"/>
    </row>
    <row r="790" spans="11:11">
      <c r="K790" s="164"/>
    </row>
    <row r="791" spans="11:11">
      <c r="K791" s="164"/>
    </row>
    <row r="792" spans="11:11">
      <c r="K792" s="164"/>
    </row>
    <row r="793" spans="11:11">
      <c r="K793" s="164"/>
    </row>
    <row r="794" spans="11:11">
      <c r="K794" s="164"/>
    </row>
    <row r="795" spans="11:11">
      <c r="K795" s="164"/>
    </row>
    <row r="796" spans="11:11">
      <c r="K796" s="164"/>
    </row>
    <row r="797" spans="11:11">
      <c r="K797" s="164"/>
    </row>
    <row r="798" spans="11:11">
      <c r="K798" s="164"/>
    </row>
    <row r="799" spans="11:11">
      <c r="K799" s="164"/>
    </row>
    <row r="800" spans="11:11">
      <c r="K800" s="164"/>
    </row>
    <row r="801" spans="11:11">
      <c r="K801" s="164"/>
    </row>
    <row r="802" spans="11:11">
      <c r="K802" s="164"/>
    </row>
    <row r="803" spans="11:11">
      <c r="K803" s="164"/>
    </row>
    <row r="804" spans="11:11">
      <c r="K804" s="164"/>
    </row>
    <row r="805" spans="11:11">
      <c r="K805" s="164"/>
    </row>
    <row r="806" spans="11:11">
      <c r="K806" s="164"/>
    </row>
    <row r="807" spans="11:11">
      <c r="K807" s="164"/>
    </row>
    <row r="808" spans="11:11">
      <c r="K808" s="164"/>
    </row>
    <row r="809" spans="11:11">
      <c r="K809" s="164"/>
    </row>
    <row r="810" spans="11:11">
      <c r="K810" s="164"/>
    </row>
    <row r="811" spans="11:11">
      <c r="K811" s="164"/>
    </row>
    <row r="812" spans="11:11">
      <c r="K812" s="164"/>
    </row>
    <row r="813" spans="11:11">
      <c r="K813" s="164"/>
    </row>
    <row r="814" spans="11:11">
      <c r="K814" s="164"/>
    </row>
    <row r="815" spans="11:11">
      <c r="K815" s="164"/>
    </row>
    <row r="816" spans="11:11">
      <c r="K816" s="164"/>
    </row>
    <row r="817" spans="11:11">
      <c r="K817" s="164"/>
    </row>
    <row r="818" spans="11:11">
      <c r="K818" s="164"/>
    </row>
    <row r="819" spans="11:11">
      <c r="K819" s="164"/>
    </row>
    <row r="820" spans="11:11">
      <c r="K820" s="164"/>
    </row>
    <row r="821" spans="11:11">
      <c r="K821" s="164"/>
    </row>
    <row r="822" spans="11:11">
      <c r="K822" s="164"/>
    </row>
    <row r="823" spans="11:11">
      <c r="K823" s="164"/>
    </row>
    <row r="824" spans="11:11">
      <c r="K824" s="164"/>
    </row>
    <row r="825" spans="11:11">
      <c r="K825" s="164"/>
    </row>
    <row r="826" spans="11:11">
      <c r="K826" s="164"/>
    </row>
    <row r="827" spans="11:11">
      <c r="K827" s="164"/>
    </row>
    <row r="828" spans="11:11">
      <c r="K828" s="164"/>
    </row>
    <row r="829" spans="11:11">
      <c r="K829" s="164"/>
    </row>
    <row r="830" spans="11:11">
      <c r="K830" s="164"/>
    </row>
    <row r="831" spans="11:11">
      <c r="K831" s="164"/>
    </row>
    <row r="832" spans="11:11">
      <c r="K832" s="164"/>
    </row>
    <row r="833" spans="11:11">
      <c r="K833" s="164"/>
    </row>
    <row r="834" spans="11:11">
      <c r="K834" s="164"/>
    </row>
    <row r="835" spans="11:11">
      <c r="K835" s="164"/>
    </row>
    <row r="836" spans="11:11">
      <c r="K836" s="164"/>
    </row>
    <row r="837" spans="11:11">
      <c r="K837" s="164"/>
    </row>
    <row r="838" spans="11:11">
      <c r="K838" s="164"/>
    </row>
    <row r="839" spans="11:11">
      <c r="K839" s="164"/>
    </row>
    <row r="840" spans="11:11">
      <c r="K840" s="164"/>
    </row>
    <row r="841" spans="11:11">
      <c r="K841" s="164"/>
    </row>
    <row r="842" spans="11:11">
      <c r="K842" s="164"/>
    </row>
    <row r="843" spans="11:11">
      <c r="K843" s="164"/>
    </row>
    <row r="844" spans="11:11">
      <c r="K844" s="164"/>
    </row>
    <row r="845" spans="11:11">
      <c r="K845" s="164"/>
    </row>
    <row r="846" spans="11:11">
      <c r="K846" s="164"/>
    </row>
    <row r="847" spans="11:11">
      <c r="K847" s="164"/>
    </row>
    <row r="848" spans="11:11">
      <c r="K848" s="164"/>
    </row>
    <row r="849" spans="11:11">
      <c r="K849" s="164"/>
    </row>
    <row r="850" spans="11:11">
      <c r="K850" s="164"/>
    </row>
    <row r="851" spans="11:11">
      <c r="K851" s="164"/>
    </row>
    <row r="852" spans="11:11">
      <c r="K852" s="164"/>
    </row>
    <row r="853" spans="11:11">
      <c r="K853" s="164"/>
    </row>
    <row r="854" spans="11:11">
      <c r="K854" s="164"/>
    </row>
    <row r="855" spans="11:11">
      <c r="K855" s="164"/>
    </row>
    <row r="856" spans="11:11">
      <c r="K856" s="164"/>
    </row>
    <row r="857" spans="11:11">
      <c r="K857" s="164"/>
    </row>
    <row r="858" spans="11:11">
      <c r="K858" s="164"/>
    </row>
    <row r="859" spans="11:11">
      <c r="K859" s="164"/>
    </row>
    <row r="860" spans="11:11">
      <c r="K860" s="164"/>
    </row>
    <row r="861" spans="11:11">
      <c r="K861" s="164"/>
    </row>
    <row r="862" spans="11:11">
      <c r="K862" s="164"/>
    </row>
    <row r="863" spans="11:11">
      <c r="K863" s="164"/>
    </row>
    <row r="864" spans="11:11">
      <c r="K864" s="164"/>
    </row>
    <row r="865" spans="11:11">
      <c r="K865" s="164"/>
    </row>
    <row r="866" spans="11:11">
      <c r="K866" s="164"/>
    </row>
    <row r="867" spans="11:11">
      <c r="K867" s="164"/>
    </row>
    <row r="868" spans="11:11">
      <c r="K868" s="164"/>
    </row>
    <row r="869" spans="11:11">
      <c r="K869" s="164"/>
    </row>
    <row r="870" spans="11:11">
      <c r="K870" s="164"/>
    </row>
    <row r="871" spans="11:11">
      <c r="K871" s="164"/>
    </row>
    <row r="872" spans="11:11">
      <c r="K872" s="164"/>
    </row>
    <row r="873" spans="11:11">
      <c r="K873" s="164"/>
    </row>
    <row r="874" spans="11:11">
      <c r="K874" s="164"/>
    </row>
    <row r="875" spans="11:11">
      <c r="K875" s="164"/>
    </row>
    <row r="876" spans="11:11">
      <c r="K876" s="164"/>
    </row>
    <row r="877" spans="11:11">
      <c r="K877" s="164"/>
    </row>
    <row r="878" spans="11:11">
      <c r="K878" s="164"/>
    </row>
    <row r="879" spans="11:11">
      <c r="K879" s="164"/>
    </row>
    <row r="880" spans="11:11">
      <c r="K880" s="164"/>
    </row>
    <row r="881" spans="11:11">
      <c r="K881" s="164"/>
    </row>
    <row r="882" spans="11:11">
      <c r="K882" s="164"/>
    </row>
    <row r="883" spans="11:11">
      <c r="K883" s="164"/>
    </row>
    <row r="884" spans="11:11">
      <c r="K884" s="164"/>
    </row>
    <row r="885" spans="11:11">
      <c r="K885" s="164"/>
    </row>
    <row r="886" spans="11:11">
      <c r="K886" s="164"/>
    </row>
    <row r="887" spans="11:11">
      <c r="K887" s="164"/>
    </row>
    <row r="888" spans="11:11">
      <c r="K888" s="164"/>
    </row>
    <row r="889" spans="11:11">
      <c r="K889" s="164"/>
    </row>
    <row r="890" spans="11:11">
      <c r="K890" s="164"/>
    </row>
    <row r="891" spans="11:11">
      <c r="K891" s="164"/>
    </row>
    <row r="892" spans="11:11">
      <c r="K892" s="164"/>
    </row>
    <row r="893" spans="11:11">
      <c r="K893" s="164"/>
    </row>
    <row r="894" spans="11:11">
      <c r="K894" s="164"/>
    </row>
    <row r="895" spans="11:11">
      <c r="K895" s="164"/>
    </row>
    <row r="896" spans="11:11">
      <c r="K896" s="164"/>
    </row>
    <row r="897" spans="11:11">
      <c r="K897" s="164"/>
    </row>
    <row r="898" spans="11:11">
      <c r="K898" s="164"/>
    </row>
    <row r="899" spans="11:11">
      <c r="K899" s="164"/>
    </row>
    <row r="900" spans="11:11">
      <c r="K900" s="164"/>
    </row>
    <row r="901" spans="11:11">
      <c r="K901" s="164"/>
    </row>
    <row r="902" spans="11:11">
      <c r="K902" s="164"/>
    </row>
    <row r="903" spans="11:11">
      <c r="K903" s="164"/>
    </row>
    <row r="904" spans="11:11">
      <c r="K904" s="164"/>
    </row>
    <row r="905" spans="11:11">
      <c r="K905" s="164"/>
    </row>
    <row r="906" spans="11:11">
      <c r="K906" s="164"/>
    </row>
    <row r="907" spans="11:11">
      <c r="K907" s="164"/>
    </row>
    <row r="908" spans="11:11">
      <c r="K908" s="164"/>
    </row>
    <row r="909" spans="11:11">
      <c r="K909" s="164"/>
    </row>
    <row r="910" spans="11:11">
      <c r="K910" s="164"/>
    </row>
    <row r="911" spans="11:11">
      <c r="K911" s="164"/>
    </row>
    <row r="912" spans="11:11">
      <c r="K912" s="164"/>
    </row>
    <row r="913" spans="11:11">
      <c r="K913" s="164"/>
    </row>
    <row r="914" spans="11:11">
      <c r="K914" s="164"/>
    </row>
    <row r="915" spans="11:11">
      <c r="K915" s="164"/>
    </row>
    <row r="916" spans="11:11">
      <c r="K916" s="164"/>
    </row>
    <row r="917" spans="11:11">
      <c r="K917" s="164"/>
    </row>
    <row r="918" spans="11:11">
      <c r="K918" s="164"/>
    </row>
    <row r="919" spans="11:11">
      <c r="K919" s="164"/>
    </row>
    <row r="920" spans="11:11">
      <c r="K920" s="164"/>
    </row>
    <row r="921" spans="11:11">
      <c r="K921" s="164"/>
    </row>
    <row r="922" spans="11:11">
      <c r="K922" s="164"/>
    </row>
    <row r="923" spans="11:11">
      <c r="K923" s="164"/>
    </row>
    <row r="924" spans="11:11">
      <c r="K924" s="164"/>
    </row>
    <row r="925" spans="11:11">
      <c r="K925" s="164"/>
    </row>
    <row r="926" spans="11:11">
      <c r="K926" s="164"/>
    </row>
    <row r="927" spans="11:11">
      <c r="K927" s="164"/>
    </row>
    <row r="928" spans="11:11">
      <c r="K928" s="164"/>
    </row>
    <row r="929" spans="11:11">
      <c r="K929" s="164"/>
    </row>
    <row r="930" spans="11:11">
      <c r="K930" s="164"/>
    </row>
    <row r="931" spans="11:11">
      <c r="K931" s="164"/>
    </row>
    <row r="932" spans="11:11">
      <c r="K932" s="164"/>
    </row>
    <row r="933" spans="11:11">
      <c r="K933" s="164"/>
    </row>
    <row r="934" spans="11:11">
      <c r="K934" s="164"/>
    </row>
    <row r="935" spans="11:11">
      <c r="K935" s="164"/>
    </row>
    <row r="936" spans="11:11">
      <c r="K936" s="164"/>
    </row>
    <row r="937" spans="11:11">
      <c r="K937" s="164"/>
    </row>
    <row r="938" spans="11:11">
      <c r="K938" s="164"/>
    </row>
    <row r="939" spans="11:11">
      <c r="K939" s="164"/>
    </row>
    <row r="940" spans="11:11">
      <c r="K940" s="164"/>
    </row>
    <row r="941" spans="11:11">
      <c r="K941" s="164"/>
    </row>
    <row r="942" spans="11:11">
      <c r="K942" s="164"/>
    </row>
    <row r="943" spans="11:11">
      <c r="K943" s="164"/>
    </row>
    <row r="944" spans="11:11">
      <c r="K944" s="164"/>
    </row>
    <row r="945" spans="11:11">
      <c r="K945" s="164"/>
    </row>
    <row r="946" spans="11:11">
      <c r="K946" s="164"/>
    </row>
    <row r="947" spans="11:11">
      <c r="K947" s="164"/>
    </row>
    <row r="948" spans="11:11">
      <c r="K948" s="164"/>
    </row>
    <row r="949" spans="11:11">
      <c r="K949" s="164"/>
    </row>
    <row r="950" spans="11:11">
      <c r="K950" s="164"/>
    </row>
    <row r="951" spans="11:11">
      <c r="K951" s="164"/>
    </row>
    <row r="952" spans="11:11">
      <c r="K952" s="164"/>
    </row>
    <row r="953" spans="11:11">
      <c r="K953" s="164"/>
    </row>
    <row r="954" spans="11:11">
      <c r="K954" s="164"/>
    </row>
    <row r="955" spans="11:11">
      <c r="K955" s="164"/>
    </row>
    <row r="956" spans="11:11">
      <c r="K956" s="164"/>
    </row>
    <row r="957" spans="11:11">
      <c r="K957" s="164"/>
    </row>
    <row r="958" spans="11:11">
      <c r="K958" s="164"/>
    </row>
    <row r="959" spans="11:11">
      <c r="K959" s="164"/>
    </row>
    <row r="960" spans="11:11">
      <c r="K960" s="164"/>
    </row>
    <row r="961" spans="11:11">
      <c r="K961" s="164"/>
    </row>
    <row r="962" spans="11:11">
      <c r="K962" s="164"/>
    </row>
    <row r="963" spans="11:11">
      <c r="K963" s="164"/>
    </row>
    <row r="964" spans="11:11">
      <c r="K964" s="164"/>
    </row>
    <row r="965" spans="11:11">
      <c r="K965" s="164"/>
    </row>
    <row r="966" spans="11:11">
      <c r="K966" s="164"/>
    </row>
    <row r="967" spans="11:11">
      <c r="K967" s="164"/>
    </row>
    <row r="968" spans="11:11">
      <c r="K968" s="164"/>
    </row>
    <row r="969" spans="11:11">
      <c r="K969" s="164"/>
    </row>
    <row r="970" spans="11:11">
      <c r="K970" s="164"/>
    </row>
    <row r="971" spans="11:11">
      <c r="K971" s="164"/>
    </row>
    <row r="972" spans="11:11">
      <c r="K972" s="164"/>
    </row>
    <row r="973" spans="11:11">
      <c r="K973" s="164"/>
    </row>
    <row r="974" spans="11:11">
      <c r="K974" s="164"/>
    </row>
    <row r="975" spans="11:11">
      <c r="K975" s="164"/>
    </row>
    <row r="976" spans="11:11">
      <c r="K976" s="164"/>
    </row>
    <row r="977" spans="11:11">
      <c r="K977" s="164"/>
    </row>
    <row r="978" spans="11:11">
      <c r="K978" s="164"/>
    </row>
    <row r="979" spans="11:11">
      <c r="K979" s="164"/>
    </row>
    <row r="980" spans="11:11">
      <c r="K980" s="164"/>
    </row>
    <row r="981" spans="11:11">
      <c r="K981" s="164"/>
    </row>
    <row r="982" spans="11:11">
      <c r="K982" s="164"/>
    </row>
    <row r="983" spans="11:11">
      <c r="K983" s="164"/>
    </row>
    <row r="984" spans="11:11">
      <c r="K984" s="164"/>
    </row>
    <row r="985" spans="11:11">
      <c r="K985" s="164"/>
    </row>
    <row r="986" spans="11:11">
      <c r="K986" s="164"/>
    </row>
    <row r="987" spans="11:11">
      <c r="K987" s="164"/>
    </row>
    <row r="988" spans="11:11">
      <c r="K988" s="164"/>
    </row>
    <row r="989" spans="11:11">
      <c r="K989" s="164"/>
    </row>
    <row r="990" spans="11:11">
      <c r="K990" s="164"/>
    </row>
    <row r="991" spans="11:11">
      <c r="K991" s="164"/>
    </row>
    <row r="992" spans="11:11">
      <c r="K992" s="164"/>
    </row>
    <row r="993" spans="11:11">
      <c r="K993" s="164"/>
    </row>
    <row r="994" spans="11:11">
      <c r="K994" s="164"/>
    </row>
    <row r="995" spans="11:11">
      <c r="K995" s="164"/>
    </row>
    <row r="996" spans="11:11">
      <c r="K996" s="164"/>
    </row>
    <row r="997" spans="11:11">
      <c r="K997" s="164"/>
    </row>
    <row r="998" spans="11:11">
      <c r="K998" s="164"/>
    </row>
    <row r="999" spans="11:11">
      <c r="K999" s="164"/>
    </row>
    <row r="1000" spans="11:11">
      <c r="K1000" s="164"/>
    </row>
    <row r="1001" spans="11:11">
      <c r="K1001" s="164"/>
    </row>
    <row r="1002" spans="11:11">
      <c r="K1002" s="164"/>
    </row>
    <row r="1003" spans="11:11">
      <c r="K1003" s="164"/>
    </row>
    <row r="1004" spans="11:11">
      <c r="K1004" s="164"/>
    </row>
    <row r="1005" spans="11:11">
      <c r="K1005" s="164"/>
    </row>
    <row r="1006" spans="11:11">
      <c r="K1006" s="164"/>
    </row>
    <row r="1007" spans="11:11">
      <c r="K1007" s="164"/>
    </row>
    <row r="1008" spans="11:11">
      <c r="K1008" s="164"/>
    </row>
    <row r="1009" spans="11:11">
      <c r="K1009" s="164"/>
    </row>
    <row r="1010" spans="11:11">
      <c r="K1010" s="164"/>
    </row>
    <row r="1011" spans="11:11">
      <c r="K1011" s="164"/>
    </row>
    <row r="1012" spans="11:11">
      <c r="K1012" s="164"/>
    </row>
    <row r="1013" spans="11:11">
      <c r="K1013" s="164"/>
    </row>
    <row r="1014" spans="11:11">
      <c r="K1014" s="164"/>
    </row>
    <row r="1015" spans="11:11">
      <c r="K1015" s="164"/>
    </row>
    <row r="1016" spans="11:11">
      <c r="K1016" s="164"/>
    </row>
    <row r="1017" spans="11:11">
      <c r="K1017" s="164"/>
    </row>
    <row r="1018" spans="11:11">
      <c r="K1018" s="164"/>
    </row>
    <row r="1019" spans="11:11">
      <c r="K1019" s="164"/>
    </row>
    <row r="1020" spans="11:11">
      <c r="K1020" s="164"/>
    </row>
    <row r="1021" spans="11:11">
      <c r="K1021" s="164"/>
    </row>
    <row r="1022" spans="11:11">
      <c r="K1022" s="164"/>
    </row>
    <row r="1023" spans="11:11">
      <c r="K1023" s="164"/>
    </row>
    <row r="1024" spans="11:11">
      <c r="K1024" s="164"/>
    </row>
    <row r="1025" spans="11:11">
      <c r="K1025" s="164"/>
    </row>
    <row r="1026" spans="11:11">
      <c r="K1026" s="164"/>
    </row>
    <row r="1027" spans="11:11">
      <c r="K1027" s="164"/>
    </row>
    <row r="1028" spans="11:11">
      <c r="K1028" s="164"/>
    </row>
    <row r="1029" spans="11:11">
      <c r="K1029" s="164"/>
    </row>
    <row r="1030" spans="11:11">
      <c r="K1030" s="164"/>
    </row>
    <row r="1031" spans="11:11">
      <c r="K1031" s="164"/>
    </row>
    <row r="1032" spans="11:11">
      <c r="K1032" s="164"/>
    </row>
    <row r="1033" spans="11:11">
      <c r="K1033" s="164"/>
    </row>
    <row r="1034" spans="11:11">
      <c r="K1034" s="164"/>
    </row>
    <row r="1035" spans="11:11">
      <c r="K1035" s="164"/>
    </row>
    <row r="1036" spans="11:11">
      <c r="K1036" s="164"/>
    </row>
    <row r="1037" spans="11:11">
      <c r="K1037" s="164"/>
    </row>
    <row r="1038" spans="11:11">
      <c r="K1038" s="164"/>
    </row>
    <row r="1039" spans="11:11">
      <c r="K1039" s="164"/>
    </row>
    <row r="1040" spans="11:11">
      <c r="K1040" s="164"/>
    </row>
    <row r="1041" spans="11:11">
      <c r="K1041" s="164"/>
    </row>
    <row r="1042" spans="11:11">
      <c r="K1042" s="164"/>
    </row>
    <row r="1043" spans="11:11">
      <c r="K1043" s="164"/>
    </row>
    <row r="1044" spans="11:11">
      <c r="K1044" s="164"/>
    </row>
    <row r="1045" spans="11:11">
      <c r="K1045" s="164"/>
    </row>
    <row r="1046" spans="11:11">
      <c r="K1046" s="164"/>
    </row>
    <row r="1047" spans="11:11">
      <c r="K1047" s="164"/>
    </row>
    <row r="1048" spans="11:11">
      <c r="K1048" s="164"/>
    </row>
    <row r="1049" spans="11:11">
      <c r="K1049" s="164"/>
    </row>
    <row r="1050" spans="11:11">
      <c r="K1050" s="164"/>
    </row>
    <row r="1051" spans="11:11">
      <c r="K1051" s="164"/>
    </row>
    <row r="1052" spans="11:11">
      <c r="K1052" s="164"/>
    </row>
    <row r="1053" spans="11:11">
      <c r="K1053" s="164"/>
    </row>
    <row r="1054" spans="11:11">
      <c r="K1054" s="164"/>
    </row>
    <row r="1055" spans="11:11">
      <c r="K1055" s="164"/>
    </row>
    <row r="1056" spans="11:11">
      <c r="K1056" s="164"/>
    </row>
    <row r="1057" spans="11:11">
      <c r="K1057" s="164"/>
    </row>
    <row r="1058" spans="11:11">
      <c r="K1058" s="164"/>
    </row>
    <row r="1059" spans="11:11">
      <c r="K1059" s="164"/>
    </row>
    <row r="1060" spans="11:11">
      <c r="K1060" s="164"/>
    </row>
    <row r="1061" spans="11:11">
      <c r="K1061" s="164"/>
    </row>
    <row r="1062" spans="11:11">
      <c r="K1062" s="164"/>
    </row>
    <row r="1063" spans="11:11">
      <c r="K1063" s="164"/>
    </row>
    <row r="1064" spans="11:11">
      <c r="K1064" s="164"/>
    </row>
    <row r="1065" spans="11:11">
      <c r="K1065" s="164"/>
    </row>
    <row r="1066" spans="11:11">
      <c r="K1066" s="164"/>
    </row>
    <row r="1067" spans="11:11">
      <c r="K1067" s="164"/>
    </row>
    <row r="1068" spans="11:11">
      <c r="K1068" s="164"/>
    </row>
    <row r="1069" spans="11:11">
      <c r="K1069" s="164"/>
    </row>
    <row r="1070" spans="11:11">
      <c r="K1070" s="164"/>
    </row>
    <row r="1071" spans="11:11">
      <c r="K1071" s="164"/>
    </row>
    <row r="1072" spans="11:11">
      <c r="K1072" s="164"/>
    </row>
    <row r="1073" spans="11:11">
      <c r="K1073" s="164"/>
    </row>
    <row r="1074" spans="11:11">
      <c r="K1074" s="164"/>
    </row>
    <row r="1075" spans="11:11">
      <c r="K1075" s="164"/>
    </row>
    <row r="1076" spans="11:11">
      <c r="K1076" s="164"/>
    </row>
    <row r="1077" spans="11:11">
      <c r="K1077" s="164"/>
    </row>
    <row r="1078" spans="11:11">
      <c r="K1078" s="164"/>
    </row>
    <row r="1079" spans="11:11">
      <c r="K1079" s="164"/>
    </row>
    <row r="1080" spans="11:11">
      <c r="K1080" s="164"/>
    </row>
    <row r="1081" spans="11:11">
      <c r="K1081" s="164"/>
    </row>
    <row r="1082" spans="11:11">
      <c r="K1082" s="164"/>
    </row>
    <row r="1083" spans="11:11">
      <c r="K1083" s="164"/>
    </row>
    <row r="1084" spans="11:11">
      <c r="K1084" s="164"/>
    </row>
    <row r="1085" spans="11:11">
      <c r="K1085" s="164"/>
    </row>
    <row r="1086" spans="11:11">
      <c r="K1086" s="164"/>
    </row>
    <row r="1087" spans="11:11">
      <c r="K1087" s="164"/>
    </row>
    <row r="1088" spans="11:11">
      <c r="K1088" s="164"/>
    </row>
    <row r="1089" spans="11:11">
      <c r="K1089" s="164"/>
    </row>
    <row r="1090" spans="11:11">
      <c r="K1090" s="164"/>
    </row>
    <row r="1091" spans="11:11">
      <c r="K1091" s="164"/>
    </row>
    <row r="1092" spans="11:11">
      <c r="K1092" s="164"/>
    </row>
    <row r="1093" spans="11:11">
      <c r="K1093" s="164"/>
    </row>
    <row r="1094" spans="11:11">
      <c r="K1094" s="164"/>
    </row>
    <row r="1095" spans="11:11">
      <c r="K1095" s="164"/>
    </row>
    <row r="1096" spans="11:11">
      <c r="K1096" s="164"/>
    </row>
    <row r="1097" spans="11:11">
      <c r="K1097" s="164"/>
    </row>
    <row r="1098" spans="11:11">
      <c r="K1098" s="164"/>
    </row>
    <row r="1099" spans="11:11">
      <c r="K1099" s="164"/>
    </row>
    <row r="1100" spans="11:11">
      <c r="K1100" s="164"/>
    </row>
    <row r="1101" spans="11:11">
      <c r="K1101" s="164"/>
    </row>
    <row r="1102" spans="11:11">
      <c r="K1102" s="164"/>
    </row>
    <row r="1103" spans="11:11">
      <c r="K1103" s="164"/>
    </row>
    <row r="1104" spans="11:11">
      <c r="K1104" s="164"/>
    </row>
    <row r="1105" spans="11:11">
      <c r="K1105" s="164"/>
    </row>
    <row r="1106" spans="11:11">
      <c r="K1106" s="164"/>
    </row>
    <row r="1107" spans="11:11">
      <c r="K1107" s="164"/>
    </row>
    <row r="1108" spans="11:11">
      <c r="K1108" s="164"/>
    </row>
    <row r="1109" spans="11:11">
      <c r="K1109" s="164"/>
    </row>
    <row r="1110" spans="11:11">
      <c r="K1110" s="164"/>
    </row>
    <row r="1111" spans="11:11">
      <c r="K1111" s="164"/>
    </row>
    <row r="1112" spans="11:11">
      <c r="K1112" s="164"/>
    </row>
    <row r="1113" spans="11:11">
      <c r="K1113" s="164"/>
    </row>
    <row r="1114" spans="11:11">
      <c r="K1114" s="164"/>
    </row>
    <row r="1115" spans="11:11">
      <c r="K1115" s="164"/>
    </row>
    <row r="1116" spans="11:11">
      <c r="K1116" s="164"/>
    </row>
    <row r="1117" spans="11:11">
      <c r="K1117" s="164"/>
    </row>
    <row r="1118" spans="11:11">
      <c r="K1118" s="164"/>
    </row>
    <row r="1119" spans="11:11">
      <c r="K1119" s="164"/>
    </row>
    <row r="1120" spans="11:11">
      <c r="K1120" s="164"/>
    </row>
    <row r="1121" spans="11:11">
      <c r="K1121" s="164"/>
    </row>
    <row r="1122" spans="11:11">
      <c r="K1122" s="164"/>
    </row>
    <row r="1123" spans="11:11">
      <c r="K1123" s="164"/>
    </row>
    <row r="1124" spans="11:11">
      <c r="K1124" s="164"/>
    </row>
    <row r="1125" spans="11:11">
      <c r="K1125" s="164"/>
    </row>
    <row r="1126" spans="11:11">
      <c r="K1126" s="164"/>
    </row>
    <row r="1127" spans="11:11">
      <c r="K1127" s="164"/>
    </row>
    <row r="1128" spans="11:11">
      <c r="K1128" s="164"/>
    </row>
    <row r="1129" spans="11:11">
      <c r="K1129" s="164"/>
    </row>
    <row r="1130" spans="11:11">
      <c r="K1130" s="164"/>
    </row>
    <row r="1131" spans="11:11">
      <c r="K1131" s="164"/>
    </row>
    <row r="1132" spans="11:11">
      <c r="K1132" s="164"/>
    </row>
    <row r="1133" spans="11:11">
      <c r="K1133" s="164"/>
    </row>
    <row r="1134" spans="11:11">
      <c r="K1134" s="164"/>
    </row>
    <row r="1135" spans="11:11">
      <c r="K1135" s="164"/>
    </row>
    <row r="1136" spans="11:11">
      <c r="K1136" s="164"/>
    </row>
    <row r="1137" spans="11:11">
      <c r="K1137" s="164"/>
    </row>
    <row r="1138" spans="11:11">
      <c r="K1138" s="164"/>
    </row>
    <row r="1139" spans="11:11">
      <c r="K1139" s="164"/>
    </row>
    <row r="1140" spans="11:11">
      <c r="K1140" s="164"/>
    </row>
    <row r="1141" spans="11:11">
      <c r="K1141" s="164"/>
    </row>
    <row r="1142" spans="11:11">
      <c r="K1142" s="164"/>
    </row>
    <row r="1143" spans="11:11">
      <c r="K1143" s="164"/>
    </row>
    <row r="1144" spans="11:11">
      <c r="K1144" s="164"/>
    </row>
    <row r="1145" spans="11:11">
      <c r="K1145" s="164"/>
    </row>
    <row r="1146" spans="11:11">
      <c r="K1146" s="164"/>
    </row>
    <row r="1147" spans="11:11">
      <c r="K1147" s="164"/>
    </row>
    <row r="1148" spans="11:11">
      <c r="K1148" s="164"/>
    </row>
    <row r="1149" spans="11:11">
      <c r="K1149" s="164"/>
    </row>
    <row r="1150" spans="11:11">
      <c r="K1150" s="164"/>
    </row>
    <row r="1151" spans="11:11">
      <c r="K1151" s="164"/>
    </row>
    <row r="1152" spans="11:11">
      <c r="K1152" s="164"/>
    </row>
    <row r="1153" spans="11:11">
      <c r="K1153" s="164"/>
    </row>
    <row r="1154" spans="11:11">
      <c r="K1154" s="164"/>
    </row>
    <row r="1155" spans="11:11">
      <c r="K1155" s="164"/>
    </row>
    <row r="1156" spans="11:11">
      <c r="K1156" s="164"/>
    </row>
    <row r="1157" spans="11:11">
      <c r="K1157" s="164"/>
    </row>
    <row r="1158" spans="11:11">
      <c r="K1158" s="164"/>
    </row>
    <row r="1159" spans="11:11">
      <c r="K1159" s="164"/>
    </row>
    <row r="1160" spans="11:11">
      <c r="K1160" s="164"/>
    </row>
    <row r="1161" spans="11:11">
      <c r="K1161" s="164"/>
    </row>
    <row r="1162" spans="11:11">
      <c r="K1162" s="164"/>
    </row>
    <row r="1163" spans="11:11">
      <c r="K1163" s="164"/>
    </row>
    <row r="1164" spans="11:11">
      <c r="K1164" s="164"/>
    </row>
    <row r="1165" spans="11:11">
      <c r="K1165" s="164"/>
    </row>
    <row r="1166" spans="11:11">
      <c r="K1166" s="164"/>
    </row>
    <row r="1167" spans="11:11">
      <c r="K1167" s="164"/>
    </row>
    <row r="1168" spans="11:11">
      <c r="K1168" s="164"/>
    </row>
    <row r="1169" spans="11:11">
      <c r="K1169" s="164"/>
    </row>
    <row r="1170" spans="11:11">
      <c r="K1170" s="164"/>
    </row>
    <row r="1171" spans="11:11">
      <c r="K1171" s="164"/>
    </row>
    <row r="1172" spans="11:11">
      <c r="K1172" s="164"/>
    </row>
    <row r="1173" spans="11:11">
      <c r="K1173" s="164"/>
    </row>
    <row r="1174" spans="11:11">
      <c r="K1174" s="164"/>
    </row>
    <row r="1175" spans="11:11">
      <c r="K1175" s="164"/>
    </row>
    <row r="1176" spans="11:11">
      <c r="K1176" s="164"/>
    </row>
    <row r="1177" spans="11:11">
      <c r="K1177" s="164"/>
    </row>
    <row r="1178" spans="11:11">
      <c r="K1178" s="164"/>
    </row>
    <row r="1179" spans="11:11">
      <c r="K1179" s="164"/>
    </row>
    <row r="1180" spans="11:11">
      <c r="K1180" s="164"/>
    </row>
    <row r="1181" spans="11:11">
      <c r="K1181" s="164"/>
    </row>
    <row r="1182" spans="11:11">
      <c r="K1182" s="164"/>
    </row>
    <row r="1183" spans="11:11">
      <c r="K1183" s="164"/>
    </row>
    <row r="1184" spans="11:11">
      <c r="K1184" s="164"/>
    </row>
    <row r="1185" spans="11:11">
      <c r="K1185" s="164"/>
    </row>
    <row r="1186" spans="11:11">
      <c r="K1186" s="164"/>
    </row>
    <row r="1187" spans="11:11">
      <c r="K1187" s="164"/>
    </row>
    <row r="1188" spans="11:11">
      <c r="K1188" s="164"/>
    </row>
    <row r="1189" spans="11:11">
      <c r="K1189" s="164"/>
    </row>
    <row r="1190" spans="11:11">
      <c r="K1190" s="164"/>
    </row>
    <row r="1191" spans="11:11">
      <c r="K1191" s="164"/>
    </row>
    <row r="1192" spans="11:11">
      <c r="K1192" s="164"/>
    </row>
    <row r="1193" spans="11:11">
      <c r="K1193" s="164"/>
    </row>
    <row r="1194" spans="11:11">
      <c r="K1194" s="164"/>
    </row>
    <row r="1195" spans="11:11">
      <c r="K1195" s="164"/>
    </row>
    <row r="1196" spans="11:11">
      <c r="K1196" s="164"/>
    </row>
    <row r="1197" spans="11:11">
      <c r="K1197" s="164"/>
    </row>
    <row r="1198" spans="11:11">
      <c r="K1198" s="164"/>
    </row>
    <row r="1199" spans="11:11">
      <c r="K1199" s="164"/>
    </row>
    <row r="1200" spans="11:11">
      <c r="K1200" s="164"/>
    </row>
    <row r="1201" spans="11:11">
      <c r="K1201" s="164"/>
    </row>
    <row r="1202" spans="11:11">
      <c r="K1202" s="164"/>
    </row>
    <row r="1203" spans="11:11">
      <c r="K1203" s="164"/>
    </row>
    <row r="1204" spans="11:11">
      <c r="K1204" s="164"/>
    </row>
    <row r="1205" spans="11:11">
      <c r="K1205" s="164"/>
    </row>
    <row r="1206" spans="11:11">
      <c r="K1206" s="164"/>
    </row>
    <row r="1207" spans="11:11">
      <c r="K1207" s="164"/>
    </row>
    <row r="1208" spans="11:11">
      <c r="K1208" s="164"/>
    </row>
    <row r="1209" spans="11:11">
      <c r="K1209" s="164"/>
    </row>
    <row r="1210" spans="11:11">
      <c r="K1210" s="164"/>
    </row>
    <row r="1211" spans="11:11">
      <c r="K1211" s="164"/>
    </row>
    <row r="1212" spans="11:11">
      <c r="K1212" s="164"/>
    </row>
    <row r="1213" spans="11:11">
      <c r="K1213" s="164"/>
    </row>
    <row r="1214" spans="11:11">
      <c r="K1214" s="164"/>
    </row>
    <row r="1215" spans="11:11">
      <c r="K1215" s="164"/>
    </row>
    <row r="1216" spans="11:11">
      <c r="K1216" s="164"/>
    </row>
    <row r="1217" spans="11:11">
      <c r="K1217" s="164"/>
    </row>
    <row r="1218" spans="11:11">
      <c r="K1218" s="164"/>
    </row>
    <row r="1219" spans="11:11">
      <c r="K1219" s="164"/>
    </row>
    <row r="1220" spans="11:11">
      <c r="K1220" s="164"/>
    </row>
    <row r="1221" spans="11:11">
      <c r="K1221" s="164"/>
    </row>
    <row r="1222" spans="11:11">
      <c r="K1222" s="164"/>
    </row>
    <row r="1223" spans="11:11">
      <c r="K1223" s="164"/>
    </row>
    <row r="1224" spans="11:11">
      <c r="K1224" s="164"/>
    </row>
    <row r="1225" spans="11:11">
      <c r="K1225" s="164"/>
    </row>
    <row r="1226" spans="11:11">
      <c r="K1226" s="164"/>
    </row>
    <row r="1227" spans="11:11">
      <c r="K1227" s="164"/>
    </row>
    <row r="1228" spans="11:11">
      <c r="K1228" s="164"/>
    </row>
    <row r="1229" spans="11:11">
      <c r="K1229" s="164"/>
    </row>
    <row r="1230" spans="11:11">
      <c r="K1230" s="164"/>
    </row>
    <row r="1231" spans="11:11">
      <c r="K1231" s="164"/>
    </row>
    <row r="1232" spans="11:11">
      <c r="K1232" s="164"/>
    </row>
    <row r="1233" spans="11:11">
      <c r="K1233" s="164"/>
    </row>
    <row r="1234" spans="11:11">
      <c r="K1234" s="164"/>
    </row>
    <row r="1235" spans="11:11">
      <c r="K1235" s="164"/>
    </row>
    <row r="1236" spans="11:11">
      <c r="K1236" s="164"/>
    </row>
    <row r="1237" spans="11:11">
      <c r="K1237" s="164"/>
    </row>
    <row r="1238" spans="11:11">
      <c r="K1238" s="164"/>
    </row>
    <row r="1239" spans="11:11">
      <c r="K1239" s="164"/>
    </row>
    <row r="1240" spans="11:11">
      <c r="K1240" s="164"/>
    </row>
    <row r="1241" spans="11:11">
      <c r="K1241" s="164"/>
    </row>
    <row r="1242" spans="11:11">
      <c r="K1242" s="164"/>
    </row>
    <row r="1243" spans="11:11">
      <c r="K1243" s="164"/>
    </row>
    <row r="1244" spans="11:11">
      <c r="K1244" s="164"/>
    </row>
    <row r="1245" spans="11:11">
      <c r="K1245" s="164"/>
    </row>
    <row r="1246" spans="11:11">
      <c r="K1246" s="164"/>
    </row>
    <row r="1247" spans="11:11">
      <c r="K1247" s="164"/>
    </row>
    <row r="1248" spans="11:11">
      <c r="K1248" s="164"/>
    </row>
    <row r="1249" spans="11:11">
      <c r="K1249" s="164"/>
    </row>
    <row r="1250" spans="11:11">
      <c r="K1250" s="164"/>
    </row>
    <row r="1251" spans="11:11">
      <c r="K1251" s="164"/>
    </row>
    <row r="1252" spans="11:11">
      <c r="K1252" s="164"/>
    </row>
    <row r="1253" spans="11:11">
      <c r="K1253" s="164"/>
    </row>
    <row r="1254" spans="11:11">
      <c r="K1254" s="164"/>
    </row>
    <row r="1255" spans="11:11">
      <c r="K1255" s="164"/>
    </row>
    <row r="1256" spans="11:11">
      <c r="K1256" s="164"/>
    </row>
    <row r="1257" spans="11:11">
      <c r="K1257" s="164"/>
    </row>
    <row r="1258" spans="11:11">
      <c r="K1258" s="164"/>
    </row>
    <row r="1259" spans="11:11">
      <c r="K1259" s="164"/>
    </row>
    <row r="1260" spans="11:11">
      <c r="K1260" s="164"/>
    </row>
    <row r="1261" spans="11:11">
      <c r="K1261" s="164"/>
    </row>
    <row r="1262" spans="11:11">
      <c r="K1262" s="164"/>
    </row>
    <row r="1263" spans="11:11">
      <c r="K1263" s="164"/>
    </row>
    <row r="1264" spans="11:11">
      <c r="K1264" s="164"/>
    </row>
    <row r="1265" spans="11:11">
      <c r="K1265" s="164"/>
    </row>
    <row r="1266" spans="11:11">
      <c r="K1266" s="164"/>
    </row>
    <row r="1267" spans="11:11">
      <c r="K1267" s="164"/>
    </row>
    <row r="1268" spans="11:11">
      <c r="K1268" s="164"/>
    </row>
    <row r="1269" spans="11:11">
      <c r="K1269" s="164"/>
    </row>
    <row r="1270" spans="11:11">
      <c r="K1270" s="164"/>
    </row>
    <row r="1271" spans="11:11">
      <c r="K1271" s="164"/>
    </row>
    <row r="1272" spans="11:11">
      <c r="K1272" s="164"/>
    </row>
    <row r="1273" spans="11:11">
      <c r="K1273" s="164"/>
    </row>
    <row r="1274" spans="11:11">
      <c r="K1274" s="164"/>
    </row>
    <row r="1275" spans="11:11">
      <c r="K1275" s="164"/>
    </row>
    <row r="1276" spans="11:11">
      <c r="K1276" s="164"/>
    </row>
    <row r="1277" spans="11:11">
      <c r="K1277" s="164"/>
    </row>
    <row r="1278" spans="11:11">
      <c r="K1278" s="164"/>
    </row>
    <row r="1279" spans="11:11">
      <c r="K1279" s="164"/>
    </row>
    <row r="1280" spans="11:11">
      <c r="K1280" s="164"/>
    </row>
    <row r="1281" spans="11:11">
      <c r="K1281" s="164"/>
    </row>
    <row r="1282" spans="11:11">
      <c r="K1282" s="164"/>
    </row>
    <row r="1283" spans="11:11">
      <c r="K1283" s="164"/>
    </row>
    <row r="1284" spans="11:11">
      <c r="K1284" s="164"/>
    </row>
    <row r="1285" spans="11:11">
      <c r="K1285" s="164"/>
    </row>
    <row r="1286" spans="11:11">
      <c r="K1286" s="164"/>
    </row>
    <row r="1287" spans="11:11">
      <c r="K1287" s="164"/>
    </row>
    <row r="1288" spans="11:11">
      <c r="K1288" s="164"/>
    </row>
    <row r="1289" spans="11:11">
      <c r="K1289" s="164"/>
    </row>
    <row r="1290" spans="11:11">
      <c r="K1290" s="164"/>
    </row>
    <row r="1291" spans="11:11">
      <c r="K1291" s="164"/>
    </row>
    <row r="1292" spans="11:11">
      <c r="K1292" s="164"/>
    </row>
    <row r="1293" spans="11:11">
      <c r="K1293" s="164"/>
    </row>
    <row r="1294" spans="11:11">
      <c r="K1294" s="164"/>
    </row>
    <row r="1295" spans="11:11">
      <c r="K1295" s="164"/>
    </row>
    <row r="1296" spans="11:11">
      <c r="K1296" s="164"/>
    </row>
    <row r="1297" spans="11:11">
      <c r="K1297" s="164"/>
    </row>
    <row r="1298" spans="11:11">
      <c r="K1298" s="164"/>
    </row>
    <row r="1299" spans="11:11">
      <c r="K1299" s="164"/>
    </row>
    <row r="1300" spans="11:11">
      <c r="K1300" s="164"/>
    </row>
    <row r="1301" spans="11:11">
      <c r="K1301" s="164"/>
    </row>
    <row r="1302" spans="11:11">
      <c r="K1302" s="164"/>
    </row>
    <row r="1303" spans="11:11">
      <c r="K1303" s="164"/>
    </row>
    <row r="1304" spans="11:11">
      <c r="K1304" s="164"/>
    </row>
    <row r="1305" spans="11:11">
      <c r="K1305" s="164"/>
    </row>
    <row r="1306" spans="11:11">
      <c r="K1306" s="164"/>
    </row>
    <row r="1307" spans="11:11">
      <c r="K1307" s="164"/>
    </row>
    <row r="1308" spans="11:11">
      <c r="K1308" s="164"/>
    </row>
    <row r="1309" spans="11:11">
      <c r="K1309" s="164"/>
    </row>
    <row r="1310" spans="11:11">
      <c r="K1310" s="164"/>
    </row>
    <row r="1311" spans="11:11">
      <c r="K1311" s="164"/>
    </row>
    <row r="1312" spans="11:11">
      <c r="K1312" s="164"/>
    </row>
    <row r="1313" spans="11:11">
      <c r="K1313" s="164"/>
    </row>
    <row r="1314" spans="11:11">
      <c r="K1314" s="164"/>
    </row>
    <row r="1315" spans="11:11">
      <c r="K1315" s="164"/>
    </row>
    <row r="1316" spans="11:11">
      <c r="K1316" s="164"/>
    </row>
    <row r="1317" spans="11:11">
      <c r="K1317" s="164"/>
    </row>
    <row r="1318" spans="11:11">
      <c r="K1318" s="164"/>
    </row>
    <row r="1319" spans="11:11">
      <c r="K1319" s="164"/>
    </row>
    <row r="1320" spans="11:11">
      <c r="K1320" s="164"/>
    </row>
    <row r="1321" spans="11:11">
      <c r="K1321" s="164"/>
    </row>
    <row r="1322" spans="11:11">
      <c r="K1322" s="164"/>
    </row>
    <row r="1323" spans="11:11">
      <c r="K1323" s="164"/>
    </row>
    <row r="1324" spans="11:11">
      <c r="K1324" s="164"/>
    </row>
    <row r="1325" spans="11:11">
      <c r="K1325" s="164"/>
    </row>
    <row r="1326" spans="11:11">
      <c r="K1326" s="164"/>
    </row>
    <row r="1327" spans="11:11">
      <c r="K1327" s="164"/>
    </row>
    <row r="1328" spans="11:11">
      <c r="K1328" s="164"/>
    </row>
    <row r="1329" spans="11:11">
      <c r="K1329" s="164"/>
    </row>
    <row r="1330" spans="11:11">
      <c r="K1330" s="164"/>
    </row>
    <row r="1331" spans="11:11">
      <c r="K1331" s="164"/>
    </row>
    <row r="1332" spans="11:11">
      <c r="K1332" s="164"/>
    </row>
    <row r="1333" spans="11:11">
      <c r="K1333" s="164"/>
    </row>
    <row r="1334" spans="11:11">
      <c r="K1334" s="164"/>
    </row>
    <row r="1335" spans="11:11">
      <c r="K1335" s="164"/>
    </row>
    <row r="1336" spans="11:11">
      <c r="K1336" s="164"/>
    </row>
    <row r="1337" spans="11:11">
      <c r="K1337" s="164"/>
    </row>
    <row r="1338" spans="11:11">
      <c r="K1338" s="164"/>
    </row>
    <row r="1339" spans="11:11">
      <c r="K1339" s="164"/>
    </row>
    <row r="1340" spans="11:11">
      <c r="K1340" s="164"/>
    </row>
    <row r="1341" spans="11:11">
      <c r="K1341" s="164"/>
    </row>
    <row r="1342" spans="11:11">
      <c r="K1342" s="164"/>
    </row>
    <row r="1343" spans="11:11">
      <c r="K1343" s="164"/>
    </row>
    <row r="1344" spans="11:11">
      <c r="K1344" s="164"/>
    </row>
    <row r="1345" spans="11:11">
      <c r="K1345" s="164"/>
    </row>
    <row r="1346" spans="11:11">
      <c r="K1346" s="164"/>
    </row>
    <row r="1347" spans="11:11">
      <c r="K1347" s="164"/>
    </row>
    <row r="1348" spans="11:11">
      <c r="K1348" s="164"/>
    </row>
    <row r="1349" spans="11:11">
      <c r="K1349" s="164"/>
    </row>
    <row r="1350" spans="11:11">
      <c r="K1350" s="164"/>
    </row>
    <row r="1351" spans="11:11">
      <c r="K1351" s="164"/>
    </row>
    <row r="1352" spans="11:11">
      <c r="K1352" s="164"/>
    </row>
    <row r="1353" spans="11:11">
      <c r="K1353" s="164"/>
    </row>
    <row r="1354" spans="11:11">
      <c r="K1354" s="164"/>
    </row>
    <row r="1355" spans="11:11">
      <c r="K1355" s="164"/>
    </row>
    <row r="1356" spans="11:11">
      <c r="K1356" s="164"/>
    </row>
    <row r="1357" spans="11:11">
      <c r="K1357" s="164"/>
    </row>
    <row r="1358" spans="11:11">
      <c r="K1358" s="164"/>
    </row>
    <row r="1359" spans="11:11">
      <c r="K1359" s="164"/>
    </row>
    <row r="1360" spans="11:11">
      <c r="K1360" s="164"/>
    </row>
    <row r="1361" spans="11:11">
      <c r="K1361" s="164"/>
    </row>
    <row r="1362" spans="11:11">
      <c r="K1362" s="164"/>
    </row>
    <row r="1363" spans="11:11">
      <c r="K1363" s="164"/>
    </row>
    <row r="1364" spans="11:11">
      <c r="K1364" s="164"/>
    </row>
    <row r="1365" spans="11:11">
      <c r="K1365" s="164"/>
    </row>
    <row r="1366" spans="11:11">
      <c r="K1366" s="164"/>
    </row>
    <row r="1367" spans="11:11">
      <c r="K1367" s="164"/>
    </row>
    <row r="1368" spans="11:11">
      <c r="K1368" s="164"/>
    </row>
    <row r="1369" spans="11:11">
      <c r="K1369" s="164"/>
    </row>
    <row r="1370" spans="11:11">
      <c r="K1370" s="164"/>
    </row>
    <row r="1371" spans="11:11">
      <c r="K1371" s="164"/>
    </row>
    <row r="1372" spans="11:11">
      <c r="K1372" s="164"/>
    </row>
    <row r="1373" spans="11:11">
      <c r="K1373" s="164"/>
    </row>
    <row r="1374" spans="11:11">
      <c r="K1374" s="164"/>
    </row>
    <row r="1375" spans="11:11">
      <c r="K1375" s="164"/>
    </row>
    <row r="1376" spans="11:11">
      <c r="K1376" s="164"/>
    </row>
    <row r="1377" spans="11:11">
      <c r="K1377" s="164"/>
    </row>
    <row r="1378" spans="11:11">
      <c r="K1378" s="164"/>
    </row>
    <row r="1379" spans="11:11">
      <c r="K1379" s="164"/>
    </row>
    <row r="1380" spans="11:11">
      <c r="K1380" s="164"/>
    </row>
    <row r="1381" spans="11:11">
      <c r="K1381" s="164"/>
    </row>
    <row r="1382" spans="11:11">
      <c r="K1382" s="164"/>
    </row>
    <row r="1383" spans="11:11">
      <c r="K1383" s="164"/>
    </row>
    <row r="1384" spans="11:11">
      <c r="K1384" s="164"/>
    </row>
    <row r="1385" spans="11:11">
      <c r="K1385" s="164"/>
    </row>
    <row r="1386" spans="11:11">
      <c r="K1386" s="164"/>
    </row>
    <row r="1387" spans="11:11">
      <c r="K1387" s="164"/>
    </row>
    <row r="1388" spans="11:11">
      <c r="K1388" s="164"/>
    </row>
    <row r="1389" spans="11:11">
      <c r="K1389" s="164"/>
    </row>
    <row r="1390" spans="11:11">
      <c r="K1390" s="164"/>
    </row>
    <row r="1391" spans="11:11">
      <c r="K1391" s="164"/>
    </row>
    <row r="1392" spans="11:11">
      <c r="K1392" s="164"/>
    </row>
    <row r="1393" spans="11:11">
      <c r="K1393" s="164"/>
    </row>
    <row r="1394" spans="11:11">
      <c r="K1394" s="164"/>
    </row>
    <row r="1395" spans="11:11">
      <c r="K1395" s="164"/>
    </row>
    <row r="1396" spans="11:11">
      <c r="K1396" s="164"/>
    </row>
    <row r="1397" spans="11:11">
      <c r="K1397" s="164"/>
    </row>
    <row r="1398" spans="11:11">
      <c r="K1398" s="164"/>
    </row>
    <row r="1399" spans="11:11">
      <c r="K1399" s="164"/>
    </row>
    <row r="1400" spans="11:11">
      <c r="K1400" s="164"/>
    </row>
    <row r="1401" spans="11:11">
      <c r="K1401" s="164"/>
    </row>
    <row r="1402" spans="11:11">
      <c r="K1402" s="164"/>
    </row>
    <row r="1403" spans="11:11">
      <c r="K1403" s="164"/>
    </row>
    <row r="1404" spans="11:11">
      <c r="K1404" s="164"/>
    </row>
    <row r="1405" spans="11:11">
      <c r="K1405" s="164"/>
    </row>
    <row r="1406" spans="11:11">
      <c r="K1406" s="164"/>
    </row>
    <row r="1407" spans="11:11">
      <c r="K1407" s="164"/>
    </row>
    <row r="1408" spans="11:11">
      <c r="K1408" s="164"/>
    </row>
    <row r="1409" spans="11:11">
      <c r="K1409" s="164"/>
    </row>
    <row r="1410" spans="11:11">
      <c r="K1410" s="164"/>
    </row>
    <row r="1411" spans="11:11">
      <c r="K1411" s="164"/>
    </row>
    <row r="1412" spans="11:11">
      <c r="K1412" s="164"/>
    </row>
    <row r="1413" spans="11:11">
      <c r="K1413" s="164"/>
    </row>
    <row r="1414" spans="11:11">
      <c r="K1414" s="164"/>
    </row>
    <row r="1415" spans="11:11">
      <c r="K1415" s="164"/>
    </row>
    <row r="1416" spans="11:11">
      <c r="K1416" s="164"/>
    </row>
    <row r="1417" spans="11:11">
      <c r="K1417" s="164"/>
    </row>
    <row r="1418" spans="11:11">
      <c r="K1418" s="164"/>
    </row>
    <row r="1419" spans="11:11">
      <c r="K1419" s="164"/>
    </row>
    <row r="1420" spans="11:11">
      <c r="K1420" s="164"/>
    </row>
    <row r="1421" spans="11:11">
      <c r="K1421" s="164"/>
    </row>
    <row r="1422" spans="11:11">
      <c r="K1422" s="164"/>
    </row>
    <row r="1423" spans="11:11">
      <c r="K1423" s="164"/>
    </row>
    <row r="1424" spans="11:11">
      <c r="K1424" s="164"/>
    </row>
    <row r="1425" spans="11:11">
      <c r="K1425" s="164"/>
    </row>
    <row r="1426" spans="11:11">
      <c r="K1426" s="164"/>
    </row>
    <row r="1427" spans="11:11">
      <c r="K1427" s="164"/>
    </row>
    <row r="1428" spans="11:11">
      <c r="K1428" s="164"/>
    </row>
    <row r="1429" spans="11:11">
      <c r="K1429" s="164"/>
    </row>
    <row r="1430" spans="11:11">
      <c r="K1430" s="164"/>
    </row>
    <row r="1431" spans="11:11">
      <c r="K1431" s="164"/>
    </row>
    <row r="1432" spans="11:11">
      <c r="K1432" s="164"/>
    </row>
    <row r="1433" spans="11:11">
      <c r="K1433" s="164"/>
    </row>
    <row r="1434" spans="11:11">
      <c r="K1434" s="164"/>
    </row>
    <row r="1435" spans="11:11">
      <c r="K1435" s="164"/>
    </row>
    <row r="1436" spans="11:11">
      <c r="K1436" s="164"/>
    </row>
    <row r="1437" spans="11:11">
      <c r="K1437" s="164"/>
    </row>
    <row r="1438" spans="11:11">
      <c r="K1438" s="164"/>
    </row>
    <row r="1439" spans="11:11">
      <c r="K1439" s="164"/>
    </row>
    <row r="1440" spans="11:11">
      <c r="K1440" s="164"/>
    </row>
    <row r="1441" spans="11:11">
      <c r="K1441" s="164"/>
    </row>
    <row r="1442" spans="11:11">
      <c r="K1442" s="164"/>
    </row>
    <row r="1443" spans="11:11">
      <c r="K1443" s="164"/>
    </row>
    <row r="1444" spans="11:11">
      <c r="K1444" s="164"/>
    </row>
    <row r="1445" spans="11:11">
      <c r="K1445" s="164"/>
    </row>
    <row r="1446" spans="11:11">
      <c r="K1446" s="164"/>
    </row>
    <row r="1447" spans="11:11">
      <c r="K1447" s="164"/>
    </row>
    <row r="1448" spans="11:11">
      <c r="K1448" s="164"/>
    </row>
    <row r="1449" spans="11:11">
      <c r="K1449" s="164"/>
    </row>
    <row r="1450" spans="11:11">
      <c r="K1450" s="164"/>
    </row>
    <row r="1451" spans="11:11">
      <c r="K1451" s="164"/>
    </row>
    <row r="1452" spans="11:11">
      <c r="K1452" s="164"/>
    </row>
    <row r="1453" spans="11:11">
      <c r="K1453" s="164"/>
    </row>
    <row r="1454" spans="11:11">
      <c r="K1454" s="164"/>
    </row>
    <row r="1455" spans="11:11">
      <c r="K1455" s="164"/>
    </row>
    <row r="1456" spans="11:11">
      <c r="K1456" s="164"/>
    </row>
    <row r="1457" spans="11:11">
      <c r="K1457" s="164"/>
    </row>
    <row r="1458" spans="11:11">
      <c r="K1458" s="164"/>
    </row>
    <row r="1459" spans="11:11">
      <c r="K1459" s="164"/>
    </row>
    <row r="1460" spans="11:11">
      <c r="K1460" s="164"/>
    </row>
    <row r="1461" spans="11:11">
      <c r="K1461" s="164"/>
    </row>
    <row r="1462" spans="11:11">
      <c r="K1462" s="164"/>
    </row>
    <row r="1463" spans="11:11">
      <c r="K1463" s="164"/>
    </row>
    <row r="1464" spans="11:11">
      <c r="K1464" s="164"/>
    </row>
    <row r="1465" spans="11:11">
      <c r="K1465" s="164"/>
    </row>
    <row r="1466" spans="11:11">
      <c r="K1466" s="164"/>
    </row>
    <row r="1467" spans="11:11">
      <c r="K1467" s="164"/>
    </row>
    <row r="1468" spans="11:11">
      <c r="K1468" s="164"/>
    </row>
    <row r="1469" spans="11:11">
      <c r="K1469" s="164"/>
    </row>
    <row r="1470" spans="11:11">
      <c r="K1470" s="164"/>
    </row>
    <row r="1471" spans="11:11">
      <c r="K1471" s="164"/>
    </row>
    <row r="1472" spans="11:11">
      <c r="K1472" s="164"/>
    </row>
    <row r="1473" spans="11:11">
      <c r="K1473" s="164"/>
    </row>
    <row r="1474" spans="11:11">
      <c r="K1474" s="164"/>
    </row>
    <row r="1475" spans="11:11">
      <c r="K1475" s="164"/>
    </row>
    <row r="1476" spans="11:11">
      <c r="K1476" s="164"/>
    </row>
    <row r="1477" spans="11:11">
      <c r="K1477" s="164"/>
    </row>
    <row r="1478" spans="11:11">
      <c r="K1478" s="164"/>
    </row>
    <row r="1479" spans="11:11">
      <c r="K1479" s="164"/>
    </row>
    <row r="1480" spans="11:11">
      <c r="K1480" s="164"/>
    </row>
    <row r="1481" spans="11:11">
      <c r="K1481" s="164"/>
    </row>
    <row r="1482" spans="11:11">
      <c r="K1482" s="164"/>
    </row>
    <row r="1483" spans="11:11">
      <c r="K1483" s="164"/>
    </row>
    <row r="1484" spans="11:11">
      <c r="K1484" s="164"/>
    </row>
    <row r="1485" spans="11:11">
      <c r="K1485" s="164"/>
    </row>
    <row r="1486" spans="11:11">
      <c r="K1486" s="164"/>
    </row>
    <row r="1487" spans="11:11">
      <c r="K1487" s="164"/>
    </row>
    <row r="1488" spans="11:11">
      <c r="K1488" s="164"/>
    </row>
    <row r="1489" spans="11:11">
      <c r="K1489" s="164"/>
    </row>
    <row r="1490" spans="11:11">
      <c r="K1490" s="164"/>
    </row>
    <row r="1491" spans="11:11">
      <c r="K1491" s="164"/>
    </row>
    <row r="1492" spans="11:11">
      <c r="K1492" s="164"/>
    </row>
    <row r="1493" spans="11:11">
      <c r="K1493" s="164"/>
    </row>
    <row r="1494" spans="11:11">
      <c r="K1494" s="164"/>
    </row>
    <row r="1495" spans="11:11">
      <c r="K1495" s="164"/>
    </row>
    <row r="1496" spans="11:11">
      <c r="K1496" s="164"/>
    </row>
    <row r="1497" spans="11:11">
      <c r="K1497" s="164"/>
    </row>
    <row r="1498" spans="11:11">
      <c r="K1498" s="164"/>
    </row>
    <row r="1499" spans="11:11">
      <c r="K1499" s="164"/>
    </row>
    <row r="1500" spans="11:11">
      <c r="K1500" s="164"/>
    </row>
    <row r="1501" spans="11:11">
      <c r="K1501" s="164"/>
    </row>
    <row r="1502" spans="11:11">
      <c r="K1502" s="164"/>
    </row>
    <row r="1503" spans="11:11">
      <c r="K1503" s="164"/>
    </row>
    <row r="1504" spans="11:11">
      <c r="K1504" s="164"/>
    </row>
    <row r="1505" spans="11:11">
      <c r="K1505" s="164"/>
    </row>
    <row r="1506" spans="11:11">
      <c r="K1506" s="164"/>
    </row>
    <row r="1507" spans="11:11">
      <c r="K1507" s="164"/>
    </row>
    <row r="1508" spans="11:11">
      <c r="K1508" s="164"/>
    </row>
    <row r="1509" spans="11:11">
      <c r="K1509" s="164"/>
    </row>
    <row r="1510" spans="11:11">
      <c r="K1510" s="164"/>
    </row>
    <row r="1511" spans="11:11">
      <c r="K1511" s="164"/>
    </row>
    <row r="1512" spans="11:11">
      <c r="K1512" s="164"/>
    </row>
    <row r="1513" spans="11:11">
      <c r="K1513" s="164"/>
    </row>
    <row r="1514" spans="11:11">
      <c r="K1514" s="164"/>
    </row>
    <row r="1515" spans="11:11">
      <c r="K1515" s="164"/>
    </row>
    <row r="1516" spans="11:11">
      <c r="K1516" s="164"/>
    </row>
    <row r="1517" spans="11:11">
      <c r="K1517" s="164"/>
    </row>
    <row r="1518" spans="11:11">
      <c r="K1518" s="164"/>
    </row>
    <row r="1519" spans="11:11">
      <c r="K1519" s="164"/>
    </row>
    <row r="1520" spans="11:11">
      <c r="K1520" s="164"/>
    </row>
    <row r="1521" spans="11:11">
      <c r="K1521" s="164"/>
    </row>
    <row r="1522" spans="11:11">
      <c r="K1522" s="164"/>
    </row>
    <row r="1523" spans="11:11">
      <c r="K1523" s="164"/>
    </row>
    <row r="1524" spans="11:11">
      <c r="K1524" s="164"/>
    </row>
    <row r="1525" spans="11:11">
      <c r="K1525" s="164"/>
    </row>
    <row r="1526" spans="11:11">
      <c r="K1526" s="164"/>
    </row>
    <row r="1527" spans="11:11">
      <c r="K1527" s="164"/>
    </row>
    <row r="1528" spans="11:11">
      <c r="K1528" s="164"/>
    </row>
    <row r="1529" spans="11:11">
      <c r="K1529" s="164"/>
    </row>
    <row r="1530" spans="11:11">
      <c r="K1530" s="164"/>
    </row>
    <row r="1531" spans="11:11">
      <c r="K1531" s="164"/>
    </row>
    <row r="1532" spans="11:11">
      <c r="K1532" s="164"/>
    </row>
    <row r="1533" spans="11:11">
      <c r="K1533" s="164"/>
    </row>
    <row r="1534" spans="11:11">
      <c r="K1534" s="164"/>
    </row>
    <row r="1535" spans="11:11">
      <c r="K1535" s="164"/>
    </row>
    <row r="1536" spans="11:11">
      <c r="K1536" s="164"/>
    </row>
    <row r="1537" spans="11:11">
      <c r="K1537" s="164"/>
    </row>
    <row r="1538" spans="11:11">
      <c r="K1538" s="164"/>
    </row>
    <row r="1539" spans="11:11">
      <c r="K1539" s="164"/>
    </row>
    <row r="1540" spans="11:11">
      <c r="K1540" s="164"/>
    </row>
    <row r="1541" spans="11:11">
      <c r="K1541" s="164"/>
    </row>
    <row r="1542" spans="11:11">
      <c r="K1542" s="164"/>
    </row>
    <row r="1543" spans="11:11">
      <c r="K1543" s="164"/>
    </row>
    <row r="1544" spans="11:11">
      <c r="K1544" s="164"/>
    </row>
    <row r="1545" spans="11:11">
      <c r="K1545" s="164"/>
    </row>
    <row r="1546" spans="11:11">
      <c r="K1546" s="164"/>
    </row>
    <row r="1547" spans="11:11">
      <c r="K1547" s="164"/>
    </row>
    <row r="1548" spans="11:11">
      <c r="K1548" s="164"/>
    </row>
    <row r="1549" spans="11:11">
      <c r="K1549" s="164"/>
    </row>
    <row r="1550" spans="11:11">
      <c r="K1550" s="164"/>
    </row>
    <row r="1551" spans="11:11">
      <c r="K1551" s="164"/>
    </row>
    <row r="1552" spans="11:11">
      <c r="K1552" s="164"/>
    </row>
    <row r="1553" spans="11:11">
      <c r="K1553" s="164"/>
    </row>
    <row r="1554" spans="11:11">
      <c r="K1554" s="164"/>
    </row>
    <row r="1555" spans="11:11">
      <c r="K1555" s="164"/>
    </row>
    <row r="1556" spans="11:11">
      <c r="K1556" s="164"/>
    </row>
    <row r="1557" spans="11:11">
      <c r="K1557" s="164"/>
    </row>
    <row r="1558" spans="11:11">
      <c r="K1558" s="164"/>
    </row>
    <row r="1559" spans="11:11">
      <c r="K1559" s="164"/>
    </row>
    <row r="1560" spans="11:11">
      <c r="K1560" s="164"/>
    </row>
    <row r="1561" spans="11:11">
      <c r="K1561" s="164"/>
    </row>
    <row r="1562" spans="11:11">
      <c r="K1562" s="164"/>
    </row>
    <row r="1563" spans="11:11">
      <c r="K1563" s="164"/>
    </row>
    <row r="1564" spans="11:11">
      <c r="K1564" s="164"/>
    </row>
    <row r="1565" spans="11:11">
      <c r="K1565" s="164"/>
    </row>
    <row r="1566" spans="11:11">
      <c r="K1566" s="164"/>
    </row>
    <row r="1567" spans="11:11">
      <c r="K1567" s="164"/>
    </row>
    <row r="1568" spans="11:11">
      <c r="K1568" s="164"/>
    </row>
    <row r="1569" spans="11:11">
      <c r="K1569" s="164"/>
    </row>
    <row r="1570" spans="11:11">
      <c r="K1570" s="164"/>
    </row>
    <row r="1571" spans="11:11">
      <c r="K1571" s="164"/>
    </row>
    <row r="1572" spans="11:11">
      <c r="K1572" s="164"/>
    </row>
    <row r="1573" spans="11:11">
      <c r="K1573" s="164"/>
    </row>
    <row r="1574" spans="11:11">
      <c r="K1574" s="164"/>
    </row>
    <row r="1575" spans="11:11">
      <c r="K1575" s="164"/>
    </row>
    <row r="1576" spans="11:11">
      <c r="K1576" s="164"/>
    </row>
    <row r="1577" spans="11:11">
      <c r="K1577" s="164"/>
    </row>
    <row r="1578" spans="11:11">
      <c r="K1578" s="164"/>
    </row>
    <row r="1579" spans="11:11">
      <c r="K1579" s="164"/>
    </row>
    <row r="1580" spans="11:11">
      <c r="K1580" s="164"/>
    </row>
    <row r="1581" spans="11:11">
      <c r="K1581" s="164"/>
    </row>
    <row r="1582" spans="11:11">
      <c r="K1582" s="164"/>
    </row>
    <row r="1583" spans="11:11">
      <c r="K1583" s="164"/>
    </row>
    <row r="1584" spans="11:11">
      <c r="K1584" s="164"/>
    </row>
    <row r="1585" spans="11:11">
      <c r="K1585" s="164"/>
    </row>
    <row r="1586" spans="11:11">
      <c r="K1586" s="164"/>
    </row>
    <row r="1587" spans="11:11">
      <c r="K1587" s="164"/>
    </row>
    <row r="1588" spans="11:11">
      <c r="K1588" s="164"/>
    </row>
    <row r="1589" spans="11:11">
      <c r="K1589" s="164"/>
    </row>
    <row r="1590" spans="11:11">
      <c r="K1590" s="164"/>
    </row>
    <row r="1591" spans="11:11">
      <c r="K1591" s="164"/>
    </row>
    <row r="1592" spans="11:11">
      <c r="K1592" s="164"/>
    </row>
    <row r="1593" spans="11:11">
      <c r="K1593" s="164"/>
    </row>
    <row r="1594" spans="11:11">
      <c r="K1594" s="164"/>
    </row>
    <row r="1595" spans="11:11">
      <c r="K1595" s="164"/>
    </row>
    <row r="1596" spans="11:11">
      <c r="K1596" s="164"/>
    </row>
    <row r="1597" spans="11:11">
      <c r="K1597" s="164"/>
    </row>
    <row r="1598" spans="11:11">
      <c r="K1598" s="164"/>
    </row>
    <row r="1599" spans="11:11">
      <c r="K1599" s="164"/>
    </row>
    <row r="1600" spans="11:11">
      <c r="K1600" s="164"/>
    </row>
    <row r="1601" spans="11:11">
      <c r="K1601" s="164"/>
    </row>
    <row r="1602" spans="11:11">
      <c r="K1602" s="164"/>
    </row>
    <row r="1603" spans="11:11">
      <c r="K1603" s="164"/>
    </row>
    <row r="1604" spans="11:11">
      <c r="K1604" s="164"/>
    </row>
    <row r="1605" spans="11:11">
      <c r="K1605" s="164"/>
    </row>
    <row r="1606" spans="11:11">
      <c r="K1606" s="164"/>
    </row>
    <row r="1607" spans="11:11">
      <c r="K1607" s="164"/>
    </row>
    <row r="1608" spans="11:11">
      <c r="K1608" s="164"/>
    </row>
    <row r="1609" spans="11:11">
      <c r="K1609" s="164"/>
    </row>
    <row r="1610" spans="11:11">
      <c r="K1610" s="164"/>
    </row>
    <row r="1611" spans="11:11">
      <c r="K1611" s="164"/>
    </row>
    <row r="1612" spans="11:11">
      <c r="K1612" s="164"/>
    </row>
    <row r="1613" spans="11:11">
      <c r="K1613" s="164"/>
    </row>
    <row r="1614" spans="11:11">
      <c r="K1614" s="164"/>
    </row>
    <row r="1615" spans="11:11">
      <c r="K1615" s="164"/>
    </row>
    <row r="1616" spans="11:11">
      <c r="K1616" s="164"/>
    </row>
    <row r="1617" spans="11:11">
      <c r="K1617" s="164"/>
    </row>
    <row r="1618" spans="11:11">
      <c r="K1618" s="164"/>
    </row>
    <row r="1619" spans="11:11">
      <c r="K1619" s="164"/>
    </row>
    <row r="1620" spans="11:11">
      <c r="K1620" s="164"/>
    </row>
    <row r="1621" spans="11:11">
      <c r="K1621" s="164"/>
    </row>
    <row r="1622" spans="11:11">
      <c r="K1622" s="164"/>
    </row>
    <row r="1623" spans="11:11">
      <c r="K1623" s="164"/>
    </row>
    <row r="1624" spans="11:11">
      <c r="K1624" s="164"/>
    </row>
    <row r="1625" spans="11:11">
      <c r="K1625" s="164"/>
    </row>
    <row r="1626" spans="11:11">
      <c r="K1626" s="164"/>
    </row>
    <row r="1627" spans="11:11">
      <c r="K1627" s="164"/>
    </row>
    <row r="1628" spans="11:11">
      <c r="K1628" s="164"/>
    </row>
    <row r="1629" spans="11:11">
      <c r="K1629" s="164"/>
    </row>
    <row r="1630" spans="11:11">
      <c r="K1630" s="164"/>
    </row>
    <row r="1631" spans="11:11">
      <c r="K1631" s="164"/>
    </row>
    <row r="1632" spans="11:11">
      <c r="K1632" s="164"/>
    </row>
    <row r="1633" spans="11:11">
      <c r="K1633" s="164"/>
    </row>
    <row r="1634" spans="11:11">
      <c r="K1634" s="164"/>
    </row>
    <row r="1635" spans="11:11">
      <c r="K1635" s="164"/>
    </row>
    <row r="1636" spans="11:11">
      <c r="K1636" s="164"/>
    </row>
    <row r="1637" spans="11:11">
      <c r="K1637" s="164"/>
    </row>
    <row r="1638" spans="11:11">
      <c r="K1638" s="164"/>
    </row>
    <row r="1639" spans="11:11">
      <c r="K1639" s="164"/>
    </row>
    <row r="1640" spans="11:11">
      <c r="K1640" s="164"/>
    </row>
    <row r="1641" spans="11:11">
      <c r="K1641" s="164"/>
    </row>
    <row r="1642" spans="11:11">
      <c r="K1642" s="164"/>
    </row>
    <row r="1643" spans="11:11">
      <c r="K1643" s="164"/>
    </row>
    <row r="1644" spans="11:11">
      <c r="K1644" s="164"/>
    </row>
    <row r="1645" spans="11:11">
      <c r="K1645" s="164"/>
    </row>
    <row r="1646" spans="11:11">
      <c r="K1646" s="164"/>
    </row>
    <row r="1647" spans="11:11">
      <c r="K1647" s="164"/>
    </row>
    <row r="1648" spans="11:11">
      <c r="K1648" s="164"/>
    </row>
    <row r="1649" spans="11:11">
      <c r="K1649" s="164"/>
    </row>
    <row r="1650" spans="11:11">
      <c r="K1650" s="164"/>
    </row>
    <row r="1651" spans="11:11">
      <c r="K1651" s="164"/>
    </row>
    <row r="1652" spans="11:11">
      <c r="K1652" s="164"/>
    </row>
    <row r="1653" spans="11:11">
      <c r="K1653" s="164"/>
    </row>
    <row r="1654" spans="11:11">
      <c r="K1654" s="164"/>
    </row>
    <row r="1655" spans="11:11">
      <c r="K1655" s="164"/>
    </row>
    <row r="1656" spans="11:11">
      <c r="K1656" s="164"/>
    </row>
    <row r="1657" spans="11:11">
      <c r="K1657" s="164"/>
    </row>
    <row r="1658" spans="11:11">
      <c r="K1658" s="164"/>
    </row>
    <row r="1659" spans="11:11">
      <c r="K1659" s="164"/>
    </row>
    <row r="1660" spans="11:11">
      <c r="K1660" s="164"/>
    </row>
    <row r="1661" spans="11:11">
      <c r="K1661" s="164"/>
    </row>
    <row r="1662" spans="11:11">
      <c r="K1662" s="164"/>
    </row>
    <row r="1663" spans="11:11">
      <c r="K1663" s="164"/>
    </row>
    <row r="1664" spans="11:11">
      <c r="K1664" s="164"/>
    </row>
    <row r="1665" spans="11:11">
      <c r="K1665" s="164"/>
    </row>
    <row r="1666" spans="11:11">
      <c r="K1666" s="164"/>
    </row>
    <row r="1667" spans="11:11">
      <c r="K1667" s="164"/>
    </row>
    <row r="1668" spans="11:11">
      <c r="K1668" s="164"/>
    </row>
    <row r="1669" spans="11:11">
      <c r="K1669" s="164"/>
    </row>
    <row r="1670" spans="11:11">
      <c r="K1670" s="164"/>
    </row>
    <row r="1671" spans="11:11">
      <c r="K1671" s="164"/>
    </row>
    <row r="1672" spans="11:11">
      <c r="K1672" s="164"/>
    </row>
    <row r="1673" spans="11:11">
      <c r="K1673" s="164"/>
    </row>
    <row r="1674" spans="11:11">
      <c r="K1674" s="164"/>
    </row>
    <row r="1675" spans="11:11">
      <c r="K1675" s="164"/>
    </row>
    <row r="1676" spans="11:11">
      <c r="K1676" s="164"/>
    </row>
    <row r="1677" spans="11:11">
      <c r="K1677" s="164"/>
    </row>
    <row r="1678" spans="11:11">
      <c r="K1678" s="164"/>
    </row>
    <row r="1679" spans="11:11">
      <c r="K1679" s="164"/>
    </row>
    <row r="1680" spans="11:11">
      <c r="K1680" s="164"/>
    </row>
    <row r="1681" spans="11:11">
      <c r="K1681" s="164"/>
    </row>
    <row r="1682" spans="11:11">
      <c r="K1682" s="164"/>
    </row>
    <row r="1683" spans="11:11">
      <c r="K1683" s="164"/>
    </row>
    <row r="1684" spans="11:11">
      <c r="K1684" s="164"/>
    </row>
    <row r="1685" spans="11:11">
      <c r="K1685" s="164"/>
    </row>
    <row r="1686" spans="11:11">
      <c r="K1686" s="164"/>
    </row>
    <row r="1687" spans="11:11">
      <c r="K1687" s="164"/>
    </row>
    <row r="1688" spans="11:11">
      <c r="K1688" s="164"/>
    </row>
    <row r="1689" spans="11:11">
      <c r="K1689" s="164"/>
    </row>
    <row r="1690" spans="11:11">
      <c r="K1690" s="164"/>
    </row>
    <row r="1691" spans="11:11">
      <c r="K1691" s="164"/>
    </row>
    <row r="1692" spans="11:11">
      <c r="K1692" s="164"/>
    </row>
    <row r="1693" spans="11:11">
      <c r="K1693" s="164"/>
    </row>
    <row r="1694" spans="11:11">
      <c r="K1694" s="164"/>
    </row>
    <row r="1695" spans="11:11">
      <c r="K1695" s="164"/>
    </row>
    <row r="1696" spans="11:11">
      <c r="K1696" s="164"/>
    </row>
    <row r="1697" spans="11:11">
      <c r="K1697" s="164"/>
    </row>
    <row r="1698" spans="11:11">
      <c r="K1698" s="164"/>
    </row>
    <row r="1699" spans="11:11">
      <c r="K1699" s="164"/>
    </row>
    <row r="1700" spans="11:11">
      <c r="K1700" s="164"/>
    </row>
    <row r="1701" spans="11:11">
      <c r="K1701" s="164"/>
    </row>
    <row r="1702" spans="11:11">
      <c r="K1702" s="164"/>
    </row>
    <row r="1703" spans="11:11">
      <c r="K1703" s="164"/>
    </row>
    <row r="1704" spans="11:11">
      <c r="K1704" s="164"/>
    </row>
    <row r="1705" spans="11:11">
      <c r="K1705" s="164"/>
    </row>
    <row r="1706" spans="11:11">
      <c r="K1706" s="164"/>
    </row>
    <row r="1707" spans="11:11">
      <c r="K1707" s="164"/>
    </row>
    <row r="1708" spans="11:11">
      <c r="K1708" s="164"/>
    </row>
    <row r="1709" spans="11:11">
      <c r="K1709" s="164"/>
    </row>
    <row r="1710" spans="11:11">
      <c r="K1710" s="164"/>
    </row>
    <row r="1711" spans="11:11">
      <c r="K1711" s="164"/>
    </row>
    <row r="1712" spans="11:11">
      <c r="K1712" s="164"/>
    </row>
    <row r="1713" spans="11:11">
      <c r="K1713" s="164"/>
    </row>
    <row r="1714" spans="11:11">
      <c r="K1714" s="164"/>
    </row>
    <row r="1715" spans="11:11">
      <c r="K1715" s="164"/>
    </row>
    <row r="1716" spans="11:11">
      <c r="K1716" s="164"/>
    </row>
    <row r="1717" spans="11:11">
      <c r="K1717" s="164"/>
    </row>
    <row r="1718" spans="11:11">
      <c r="K1718" s="164"/>
    </row>
    <row r="1719" spans="11:11">
      <c r="K1719" s="164"/>
    </row>
    <row r="1720" spans="11:11">
      <c r="K1720" s="164"/>
    </row>
    <row r="1721" spans="11:11">
      <c r="K1721" s="164"/>
    </row>
    <row r="1722" spans="11:11">
      <c r="K1722" s="164"/>
    </row>
    <row r="1723" spans="11:11">
      <c r="K1723" s="164"/>
    </row>
    <row r="1724" spans="11:11">
      <c r="K1724" s="164"/>
    </row>
    <row r="1725" spans="11:11">
      <c r="K1725" s="164"/>
    </row>
    <row r="1726" spans="11:11">
      <c r="K1726" s="164"/>
    </row>
    <row r="1727" spans="11:11">
      <c r="K1727" s="164"/>
    </row>
    <row r="1728" spans="11:11">
      <c r="K1728" s="164"/>
    </row>
    <row r="1729" spans="11:11">
      <c r="K1729" s="164"/>
    </row>
    <row r="1730" spans="11:11">
      <c r="K1730" s="164"/>
    </row>
    <row r="1731" spans="11:11">
      <c r="K1731" s="164"/>
    </row>
    <row r="1732" spans="11:11">
      <c r="K1732" s="164"/>
    </row>
    <row r="1733" spans="11:11">
      <c r="K1733" s="164"/>
    </row>
    <row r="1734" spans="11:11">
      <c r="K1734" s="164"/>
    </row>
    <row r="1735" spans="11:11">
      <c r="K1735" s="164"/>
    </row>
    <row r="1736" spans="11:11">
      <c r="K1736" s="164"/>
    </row>
    <row r="1737" spans="11:11">
      <c r="K1737" s="164"/>
    </row>
    <row r="1738" spans="11:11">
      <c r="K1738" s="164"/>
    </row>
    <row r="1739" spans="11:11">
      <c r="K1739" s="164"/>
    </row>
    <row r="1740" spans="11:11">
      <c r="K1740" s="164"/>
    </row>
    <row r="1741" spans="11:11">
      <c r="K1741" s="164"/>
    </row>
    <row r="1742" spans="11:11">
      <c r="K1742" s="164"/>
    </row>
    <row r="1743" spans="11:11">
      <c r="K1743" s="164"/>
    </row>
    <row r="1744" spans="11:11">
      <c r="K1744" s="164"/>
    </row>
    <row r="1745" spans="11:11">
      <c r="K1745" s="164"/>
    </row>
    <row r="1746" spans="11:11">
      <c r="K1746" s="164"/>
    </row>
    <row r="1747" spans="11:11">
      <c r="K1747" s="164"/>
    </row>
    <row r="1748" spans="11:11">
      <c r="K1748" s="164"/>
    </row>
    <row r="1749" spans="11:11">
      <c r="K1749" s="164"/>
    </row>
    <row r="1750" spans="11:11">
      <c r="K1750" s="164"/>
    </row>
    <row r="1751" spans="11:11">
      <c r="K1751" s="164"/>
    </row>
    <row r="1752" spans="11:11">
      <c r="K1752" s="164"/>
    </row>
    <row r="1753" spans="11:11">
      <c r="K1753" s="164"/>
    </row>
    <row r="1754" spans="11:11">
      <c r="K1754" s="164"/>
    </row>
    <row r="1755" spans="11:11">
      <c r="K1755" s="164"/>
    </row>
    <row r="1756" spans="11:11">
      <c r="K1756" s="164"/>
    </row>
    <row r="1757" spans="11:11">
      <c r="K1757" s="164"/>
    </row>
    <row r="1758" spans="11:11">
      <c r="K1758" s="164"/>
    </row>
    <row r="1759" spans="11:11">
      <c r="K1759" s="164"/>
    </row>
    <row r="1760" spans="11:11">
      <c r="K1760" s="164"/>
    </row>
    <row r="1761" spans="11:11">
      <c r="K1761" s="164"/>
    </row>
    <row r="1762" spans="11:11">
      <c r="K1762" s="164"/>
    </row>
    <row r="1763" spans="11:11">
      <c r="K1763" s="164"/>
    </row>
    <row r="1764" spans="11:11">
      <c r="K1764" s="164"/>
    </row>
    <row r="1765" spans="11:11">
      <c r="K1765" s="164"/>
    </row>
    <row r="1766" spans="11:11">
      <c r="K1766" s="164"/>
    </row>
    <row r="1767" spans="11:11">
      <c r="K1767" s="164"/>
    </row>
    <row r="1768" spans="11:11">
      <c r="K1768" s="164"/>
    </row>
    <row r="1769" spans="11:11">
      <c r="K1769" s="164"/>
    </row>
    <row r="1770" spans="11:11">
      <c r="K1770" s="164"/>
    </row>
    <row r="1771" spans="11:11">
      <c r="K1771" s="164"/>
    </row>
    <row r="1772" spans="11:11">
      <c r="K1772" s="164"/>
    </row>
    <row r="1773" spans="11:11">
      <c r="K1773" s="164"/>
    </row>
    <row r="1774" spans="11:11">
      <c r="K1774" s="164"/>
    </row>
    <row r="1775" spans="11:11">
      <c r="K1775" s="164"/>
    </row>
    <row r="1776" spans="11:11">
      <c r="K1776" s="164"/>
    </row>
    <row r="1777" spans="11:11">
      <c r="K1777" s="164"/>
    </row>
    <row r="1778" spans="11:11">
      <c r="K1778" s="164"/>
    </row>
    <row r="1779" spans="11:11">
      <c r="K1779" s="164"/>
    </row>
    <row r="1780" spans="11:11">
      <c r="K1780" s="164"/>
    </row>
    <row r="1781" spans="11:11">
      <c r="K1781" s="164"/>
    </row>
    <row r="1782" spans="11:11">
      <c r="K1782" s="164"/>
    </row>
    <row r="1783" spans="11:11">
      <c r="K1783" s="164"/>
    </row>
    <row r="1784" spans="11:11">
      <c r="K1784" s="164"/>
    </row>
    <row r="1785" spans="11:11">
      <c r="K1785" s="164"/>
    </row>
    <row r="1786" spans="11:11">
      <c r="K1786" s="164"/>
    </row>
    <row r="1787" spans="11:11">
      <c r="K1787" s="164"/>
    </row>
    <row r="1788" spans="11:11">
      <c r="K1788" s="164"/>
    </row>
    <row r="1789" spans="11:11">
      <c r="K1789" s="164"/>
    </row>
    <row r="1790" spans="11:11">
      <c r="K1790" s="164"/>
    </row>
    <row r="1791" spans="11:11">
      <c r="K1791" s="164"/>
    </row>
    <row r="1792" spans="11:11">
      <c r="K1792" s="164"/>
    </row>
    <row r="1793" spans="11:11">
      <c r="K1793" s="164"/>
    </row>
    <row r="1794" spans="11:11">
      <c r="K1794" s="164"/>
    </row>
    <row r="1795" spans="11:11">
      <c r="K1795" s="164"/>
    </row>
    <row r="1796" spans="11:11">
      <c r="K1796" s="164"/>
    </row>
    <row r="1797" spans="11:11">
      <c r="K1797" s="164"/>
    </row>
    <row r="1798" spans="11:11">
      <c r="K1798" s="164"/>
    </row>
    <row r="1799" spans="11:11">
      <c r="K1799" s="164"/>
    </row>
    <row r="1800" spans="11:11">
      <c r="K1800" s="164"/>
    </row>
    <row r="1801" spans="11:11">
      <c r="K1801" s="164"/>
    </row>
    <row r="1802" spans="11:11">
      <c r="K1802" s="164"/>
    </row>
    <row r="1803" spans="11:11">
      <c r="K1803" s="164"/>
    </row>
    <row r="1804" spans="11:11">
      <c r="K1804" s="164"/>
    </row>
    <row r="1805" spans="11:11">
      <c r="K1805" s="164"/>
    </row>
    <row r="1806" spans="11:11">
      <c r="K1806" s="164"/>
    </row>
    <row r="1807" spans="11:11">
      <c r="K1807" s="164"/>
    </row>
    <row r="1808" spans="11:11">
      <c r="K1808" s="164"/>
    </row>
    <row r="1809" spans="11:11">
      <c r="K1809" s="164"/>
    </row>
    <row r="1810" spans="11:11">
      <c r="K1810" s="164"/>
    </row>
    <row r="1811" spans="11:11">
      <c r="K1811" s="164"/>
    </row>
    <row r="1812" spans="11:11">
      <c r="K1812" s="164"/>
    </row>
    <row r="1813" spans="11:11">
      <c r="K1813" s="164"/>
    </row>
    <row r="1814" spans="11:11">
      <c r="K1814" s="164"/>
    </row>
    <row r="1815" spans="11:11">
      <c r="K1815" s="164"/>
    </row>
    <row r="1816" spans="11:11">
      <c r="K1816" s="164"/>
    </row>
    <row r="1817" spans="11:11">
      <c r="K1817" s="164"/>
    </row>
    <row r="1818" spans="11:11">
      <c r="K1818" s="164"/>
    </row>
    <row r="1819" spans="11:11">
      <c r="K1819" s="164"/>
    </row>
    <row r="1820" spans="11:11">
      <c r="K1820" s="164"/>
    </row>
    <row r="1821" spans="11:11">
      <c r="K1821" s="164"/>
    </row>
    <row r="1822" spans="11:11">
      <c r="K1822" s="164"/>
    </row>
    <row r="1823" spans="11:11">
      <c r="K1823" s="164"/>
    </row>
    <row r="1824" spans="11:11">
      <c r="K1824" s="164"/>
    </row>
    <row r="1825" spans="11:11">
      <c r="K1825" s="164"/>
    </row>
    <row r="1826" spans="11:11">
      <c r="K1826" s="164"/>
    </row>
    <row r="1827" spans="11:11">
      <c r="K1827" s="164"/>
    </row>
    <row r="1828" spans="11:11">
      <c r="K1828" s="164"/>
    </row>
    <row r="1829" spans="11:11">
      <c r="K1829" s="164"/>
    </row>
    <row r="1830" spans="11:11">
      <c r="K1830" s="164"/>
    </row>
    <row r="1831" spans="11:11">
      <c r="K1831" s="164"/>
    </row>
    <row r="1832" spans="11:11">
      <c r="K1832" s="164"/>
    </row>
    <row r="1833" spans="11:11">
      <c r="K1833" s="164"/>
    </row>
    <row r="1834" spans="11:11">
      <c r="K1834" s="164"/>
    </row>
    <row r="1835" spans="11:11">
      <c r="K1835" s="164"/>
    </row>
    <row r="1836" spans="11:11">
      <c r="K1836" s="164"/>
    </row>
    <row r="1837" spans="11:11">
      <c r="K1837" s="164"/>
    </row>
    <row r="1838" spans="11:11">
      <c r="K1838" s="164"/>
    </row>
    <row r="1839" spans="11:11">
      <c r="K1839" s="164"/>
    </row>
    <row r="1840" spans="11:11">
      <c r="K1840" s="164"/>
    </row>
    <row r="1841" spans="11:11">
      <c r="K1841" s="164"/>
    </row>
    <row r="1842" spans="11:11">
      <c r="K1842" s="164"/>
    </row>
    <row r="1843" spans="11:11">
      <c r="K1843" s="164"/>
    </row>
    <row r="1844" spans="11:11">
      <c r="K1844" s="164"/>
    </row>
    <row r="1845" spans="11:11">
      <c r="K1845" s="164"/>
    </row>
    <row r="1846" spans="11:11">
      <c r="K1846" s="164"/>
    </row>
    <row r="1847" spans="11:11">
      <c r="K1847" s="164"/>
    </row>
    <row r="1848" spans="11:11">
      <c r="K1848" s="164"/>
    </row>
    <row r="1849" spans="11:11">
      <c r="K1849" s="164"/>
    </row>
    <row r="1850" spans="11:11">
      <c r="K1850" s="164"/>
    </row>
    <row r="1851" spans="11:11">
      <c r="K1851" s="164"/>
    </row>
    <row r="1852" spans="11:11">
      <c r="K1852" s="164"/>
    </row>
    <row r="1853" spans="11:11">
      <c r="K1853" s="164"/>
    </row>
    <row r="1854" spans="11:11">
      <c r="K1854" s="164"/>
    </row>
    <row r="1855" spans="11:11">
      <c r="K1855" s="164"/>
    </row>
    <row r="1856" spans="11:11">
      <c r="K1856" s="164"/>
    </row>
    <row r="1857" spans="11:11">
      <c r="K1857" s="164"/>
    </row>
    <row r="1858" spans="11:11">
      <c r="K1858" s="164"/>
    </row>
    <row r="1859" spans="11:11">
      <c r="K1859" s="164"/>
    </row>
    <row r="1860" spans="11:11">
      <c r="K1860" s="164"/>
    </row>
    <row r="1861" spans="11:11">
      <c r="K1861" s="164"/>
    </row>
    <row r="1862" spans="11:11">
      <c r="K1862" s="164"/>
    </row>
    <row r="1863" spans="11:11">
      <c r="K1863" s="164"/>
    </row>
    <row r="1864" spans="11:11">
      <c r="K1864" s="164"/>
    </row>
    <row r="1865" spans="11:11">
      <c r="K1865" s="164"/>
    </row>
    <row r="1866" spans="11:11">
      <c r="K1866" s="164"/>
    </row>
    <row r="1867" spans="11:11">
      <c r="K1867" s="164"/>
    </row>
    <row r="1868" spans="11:11">
      <c r="K1868" s="164"/>
    </row>
    <row r="1869" spans="11:11">
      <c r="K1869" s="164"/>
    </row>
    <row r="1870" spans="11:11">
      <c r="K1870" s="164"/>
    </row>
    <row r="1871" spans="11:11">
      <c r="K1871" s="164"/>
    </row>
    <row r="1872" spans="11:11">
      <c r="K1872" s="164"/>
    </row>
    <row r="1873" spans="11:11">
      <c r="K1873" s="164"/>
    </row>
    <row r="1874" spans="11:11">
      <c r="K1874" s="164"/>
    </row>
    <row r="1875" spans="11:11">
      <c r="K1875" s="164"/>
    </row>
    <row r="1876" spans="11:11">
      <c r="K1876" s="164"/>
    </row>
    <row r="1877" spans="11:11">
      <c r="K1877" s="164"/>
    </row>
    <row r="1878" spans="11:11">
      <c r="K1878" s="164"/>
    </row>
    <row r="1879" spans="11:11">
      <c r="K1879" s="164"/>
    </row>
    <row r="1880" spans="11:11">
      <c r="K1880" s="164"/>
    </row>
    <row r="1881" spans="11:11">
      <c r="K1881" s="164"/>
    </row>
    <row r="1882" spans="11:11">
      <c r="K1882" s="164"/>
    </row>
    <row r="1883" spans="11:11">
      <c r="K1883" s="164"/>
    </row>
    <row r="1884" spans="11:11">
      <c r="K1884" s="164"/>
    </row>
    <row r="1885" spans="11:11">
      <c r="K1885" s="164"/>
    </row>
    <row r="1886" spans="11:11">
      <c r="K1886" s="164"/>
    </row>
    <row r="1887" spans="11:11">
      <c r="K1887" s="164"/>
    </row>
    <row r="1888" spans="11:11">
      <c r="K1888" s="164"/>
    </row>
    <row r="1889" spans="11:11">
      <c r="K1889" s="164"/>
    </row>
    <row r="1890" spans="11:11">
      <c r="K1890" s="164"/>
    </row>
    <row r="1891" spans="11:11">
      <c r="K1891" s="164"/>
    </row>
    <row r="1892" spans="11:11">
      <c r="K1892" s="164"/>
    </row>
    <row r="1893" spans="11:11">
      <c r="K1893" s="164"/>
    </row>
    <row r="1894" spans="11:11">
      <c r="K1894" s="164"/>
    </row>
    <row r="1895" spans="11:11">
      <c r="K1895" s="164"/>
    </row>
    <row r="1896" spans="11:11">
      <c r="K1896" s="164"/>
    </row>
    <row r="1897" spans="11:11">
      <c r="K1897" s="164"/>
    </row>
    <row r="1898" spans="11:11">
      <c r="K1898" s="164"/>
    </row>
    <row r="1899" spans="11:11">
      <c r="K1899" s="164"/>
    </row>
    <row r="1900" spans="11:11">
      <c r="K1900" s="164"/>
    </row>
    <row r="1901" spans="11:11">
      <c r="K1901" s="164"/>
    </row>
    <row r="1902" spans="11:11">
      <c r="K1902" s="164"/>
    </row>
    <row r="1903" spans="11:11">
      <c r="K1903" s="164"/>
    </row>
    <row r="1904" spans="11:11">
      <c r="K1904" s="164"/>
    </row>
    <row r="1905" spans="11:11">
      <c r="K1905" s="164"/>
    </row>
    <row r="1906" spans="11:11">
      <c r="K1906" s="164"/>
    </row>
    <row r="1907" spans="11:11">
      <c r="K1907" s="164"/>
    </row>
    <row r="1908" spans="11:11">
      <c r="K1908" s="164"/>
    </row>
    <row r="1909" spans="11:11">
      <c r="K1909" s="164"/>
    </row>
    <row r="1910" spans="11:11">
      <c r="K1910" s="164"/>
    </row>
    <row r="1911" spans="11:11">
      <c r="K1911" s="164"/>
    </row>
    <row r="1912" spans="11:11">
      <c r="K1912" s="164"/>
    </row>
    <row r="1913" spans="11:11">
      <c r="K1913" s="164"/>
    </row>
    <row r="1914" spans="11:11">
      <c r="K1914" s="164"/>
    </row>
    <row r="1915" spans="11:11">
      <c r="K1915" s="164"/>
    </row>
    <row r="1916" spans="11:11">
      <c r="K1916" s="164"/>
    </row>
    <row r="1917" spans="11:11">
      <c r="K1917" s="164"/>
    </row>
    <row r="1918" spans="11:11">
      <c r="K1918" s="164"/>
    </row>
    <row r="1919" spans="11:11">
      <c r="K1919" s="164"/>
    </row>
    <row r="1920" spans="11:11">
      <c r="K1920" s="164"/>
    </row>
    <row r="1921" spans="11:11">
      <c r="K1921" s="164"/>
    </row>
    <row r="1922" spans="11:11">
      <c r="K1922" s="164"/>
    </row>
    <row r="1923" spans="11:11">
      <c r="K1923" s="164"/>
    </row>
    <row r="1924" spans="11:11">
      <c r="K1924" s="164"/>
    </row>
    <row r="1925" spans="11:11">
      <c r="K1925" s="164"/>
    </row>
    <row r="1926" spans="11:11">
      <c r="K1926" s="164"/>
    </row>
    <row r="1927" spans="11:11">
      <c r="K1927" s="164"/>
    </row>
    <row r="1928" spans="11:11">
      <c r="K1928" s="164"/>
    </row>
    <row r="1929" spans="11:11">
      <c r="K1929" s="164"/>
    </row>
    <row r="1930" spans="11:11">
      <c r="K1930" s="164"/>
    </row>
    <row r="1931" spans="11:11">
      <c r="K1931" s="164"/>
    </row>
    <row r="1932" spans="11:11">
      <c r="K1932" s="164"/>
    </row>
    <row r="1933" spans="11:11">
      <c r="K1933" s="164"/>
    </row>
    <row r="1934" spans="11:11">
      <c r="K1934" s="164"/>
    </row>
    <row r="1935" spans="11:11">
      <c r="K1935" s="164"/>
    </row>
    <row r="1936" spans="11:11">
      <c r="K1936" s="164"/>
    </row>
    <row r="1937" spans="11:11">
      <c r="K1937" s="164"/>
    </row>
    <row r="1938" spans="11:11">
      <c r="K1938" s="164"/>
    </row>
    <row r="1939" spans="11:11">
      <c r="K1939" s="164"/>
    </row>
    <row r="1940" spans="11:11">
      <c r="K1940" s="164"/>
    </row>
    <row r="1941" spans="11:11">
      <c r="K1941" s="164"/>
    </row>
    <row r="1942" spans="11:11">
      <c r="K1942" s="164"/>
    </row>
    <row r="1943" spans="11:11">
      <c r="K1943" s="164"/>
    </row>
    <row r="1944" spans="11:11">
      <c r="K1944" s="164"/>
    </row>
    <row r="1945" spans="11:11">
      <c r="K1945" s="164"/>
    </row>
    <row r="1946" spans="11:11">
      <c r="K1946" s="164"/>
    </row>
    <row r="1947" spans="11:11">
      <c r="K1947" s="164"/>
    </row>
    <row r="1948" spans="11:11">
      <c r="K1948" s="164"/>
    </row>
    <row r="1949" spans="11:11">
      <c r="K1949" s="164"/>
    </row>
    <row r="1950" spans="11:11">
      <c r="K1950" s="164"/>
    </row>
    <row r="1951" spans="11:11">
      <c r="K1951" s="164"/>
    </row>
    <row r="1952" spans="11:11">
      <c r="K1952" s="164"/>
    </row>
    <row r="1953" spans="11:11">
      <c r="K1953" s="164"/>
    </row>
    <row r="1954" spans="11:11">
      <c r="K1954" s="164"/>
    </row>
    <row r="1955" spans="11:11">
      <c r="K1955" s="164"/>
    </row>
    <row r="1956" spans="11:11">
      <c r="K1956" s="164"/>
    </row>
    <row r="1957" spans="11:11">
      <c r="K1957" s="164"/>
    </row>
    <row r="1958" spans="11:11">
      <c r="K1958" s="164"/>
    </row>
    <row r="1959" spans="11:11">
      <c r="K1959" s="164"/>
    </row>
    <row r="1960" spans="11:11">
      <c r="K1960" s="164"/>
    </row>
    <row r="1961" spans="11:11">
      <c r="K1961" s="164"/>
    </row>
    <row r="1962" spans="11:11">
      <c r="K1962" s="164"/>
    </row>
    <row r="1963" spans="11:11">
      <c r="K1963" s="164"/>
    </row>
    <row r="1964" spans="11:11">
      <c r="K1964" s="164"/>
    </row>
    <row r="1965" spans="11:11">
      <c r="K1965" s="164"/>
    </row>
    <row r="1966" spans="11:11">
      <c r="K1966" s="164"/>
    </row>
    <row r="1967" spans="11:11">
      <c r="K1967" s="164"/>
    </row>
    <row r="1968" spans="11:11">
      <c r="K1968" s="164"/>
    </row>
    <row r="1969" spans="11:11">
      <c r="K1969" s="164"/>
    </row>
    <row r="1970" spans="11:11">
      <c r="K1970" s="164"/>
    </row>
    <row r="1971" spans="11:11">
      <c r="K1971" s="164"/>
    </row>
    <row r="1972" spans="11:11">
      <c r="K1972" s="164"/>
    </row>
    <row r="1973" spans="11:11">
      <c r="K1973" s="164"/>
    </row>
    <row r="1974" spans="11:11">
      <c r="K1974" s="164"/>
    </row>
    <row r="1975" spans="11:11">
      <c r="K1975" s="164"/>
    </row>
    <row r="1976" spans="11:11">
      <c r="K1976" s="164"/>
    </row>
    <row r="1977" spans="11:11">
      <c r="K1977" s="164"/>
    </row>
    <row r="1978" spans="11:11">
      <c r="K1978" s="164"/>
    </row>
    <row r="1979" spans="11:11">
      <c r="K1979" s="164"/>
    </row>
    <row r="1980" spans="11:11">
      <c r="K1980" s="164"/>
    </row>
    <row r="1981" spans="11:11">
      <c r="K1981" s="164"/>
    </row>
    <row r="1982" spans="11:11">
      <c r="K1982" s="164"/>
    </row>
    <row r="1983" spans="11:11">
      <c r="K1983" s="164"/>
    </row>
    <row r="1984" spans="11:11">
      <c r="K1984" s="164"/>
    </row>
    <row r="1985" spans="11:11">
      <c r="K1985" s="164"/>
    </row>
    <row r="1986" spans="11:11">
      <c r="K1986" s="164"/>
    </row>
    <row r="1987" spans="11:11">
      <c r="K1987" s="164"/>
    </row>
    <row r="1988" spans="11:11">
      <c r="K1988" s="164"/>
    </row>
    <row r="1989" spans="11:11">
      <c r="K1989" s="164"/>
    </row>
    <row r="1990" spans="11:11">
      <c r="K1990" s="164"/>
    </row>
    <row r="1991" spans="11:11">
      <c r="K1991" s="164"/>
    </row>
    <row r="1992" spans="11:11">
      <c r="K1992" s="164"/>
    </row>
    <row r="1993" spans="11:11">
      <c r="K1993" s="164"/>
    </row>
    <row r="1994" spans="11:11">
      <c r="K1994" s="164"/>
    </row>
    <row r="1995" spans="11:11">
      <c r="K1995" s="164"/>
    </row>
    <row r="1996" spans="11:11">
      <c r="K1996" s="164"/>
    </row>
    <row r="1997" spans="11:11">
      <c r="K1997" s="164"/>
    </row>
    <row r="1998" spans="11:11">
      <c r="K1998" s="164"/>
    </row>
    <row r="1999" spans="11:11">
      <c r="K1999" s="164"/>
    </row>
    <row r="2000" spans="11:11">
      <c r="K2000" s="164"/>
    </row>
    <row r="2001" spans="11:11">
      <c r="K2001" s="164"/>
    </row>
    <row r="2002" spans="11:11">
      <c r="K2002" s="164"/>
    </row>
    <row r="2003" spans="11:11">
      <c r="K2003" s="164"/>
    </row>
    <row r="2004" spans="11:11">
      <c r="K2004" s="164"/>
    </row>
    <row r="2005" spans="11:11">
      <c r="K2005" s="164"/>
    </row>
    <row r="2006" spans="11:11">
      <c r="K2006" s="164"/>
    </row>
    <row r="2007" spans="11:11">
      <c r="K2007" s="164"/>
    </row>
    <row r="2008" spans="11:11">
      <c r="K2008" s="164"/>
    </row>
    <row r="2009" spans="11:11">
      <c r="K2009" s="164"/>
    </row>
    <row r="2010" spans="11:11">
      <c r="K2010" s="164"/>
    </row>
    <row r="2011" spans="11:11">
      <c r="K2011" s="164"/>
    </row>
    <row r="2012" spans="11:11">
      <c r="K2012" s="164"/>
    </row>
    <row r="2013" spans="11:11">
      <c r="K2013" s="164"/>
    </row>
    <row r="2014" spans="11:11">
      <c r="K2014" s="164"/>
    </row>
    <row r="2015" spans="11:11">
      <c r="K2015" s="164"/>
    </row>
    <row r="2016" spans="11:11">
      <c r="K2016" s="164"/>
    </row>
    <row r="2017" spans="11:11">
      <c r="K2017" s="164"/>
    </row>
    <row r="2018" spans="11:11">
      <c r="K2018" s="164"/>
    </row>
    <row r="2019" spans="11:11">
      <c r="K2019" s="164"/>
    </row>
    <row r="2020" spans="11:11">
      <c r="K2020" s="164"/>
    </row>
    <row r="2021" spans="11:11">
      <c r="K2021" s="164"/>
    </row>
    <row r="2022" spans="11:11">
      <c r="K2022" s="164"/>
    </row>
    <row r="2023" spans="11:11">
      <c r="K2023" s="164"/>
    </row>
    <row r="2024" spans="11:11">
      <c r="K2024" s="164"/>
    </row>
    <row r="2025" spans="11:11">
      <c r="K2025" s="164"/>
    </row>
    <row r="2026" spans="11:11">
      <c r="K2026" s="164"/>
    </row>
    <row r="2027" spans="11:11">
      <c r="K2027" s="164"/>
    </row>
    <row r="2028" spans="11:11">
      <c r="K2028" s="164"/>
    </row>
    <row r="2029" spans="11:11">
      <c r="K2029" s="164"/>
    </row>
    <row r="2030" spans="11:11">
      <c r="K2030" s="164"/>
    </row>
    <row r="2031" spans="11:11">
      <c r="K2031" s="164"/>
    </row>
    <row r="2032" spans="11:11">
      <c r="K2032" s="164"/>
    </row>
    <row r="2033" spans="11:11">
      <c r="K2033" s="164"/>
    </row>
    <row r="2034" spans="11:11">
      <c r="K2034" s="164"/>
    </row>
    <row r="2035" spans="11:11">
      <c r="K2035" s="164"/>
    </row>
    <row r="2036" spans="11:11">
      <c r="K2036" s="164"/>
    </row>
    <row r="2037" spans="11:11">
      <c r="K2037" s="164"/>
    </row>
    <row r="2038" spans="11:11">
      <c r="K2038" s="164"/>
    </row>
    <row r="2039" spans="11:11">
      <c r="K2039" s="164"/>
    </row>
    <row r="2040" spans="11:11">
      <c r="K2040" s="164"/>
    </row>
    <row r="2041" spans="11:11">
      <c r="K2041" s="164"/>
    </row>
    <row r="2042" spans="11:11">
      <c r="K2042" s="164"/>
    </row>
    <row r="2043" spans="11:11">
      <c r="K2043" s="164"/>
    </row>
    <row r="2044" spans="11:11">
      <c r="K2044" s="164"/>
    </row>
    <row r="2045" spans="11:11">
      <c r="K2045" s="164"/>
    </row>
    <row r="2046" spans="11:11">
      <c r="K2046" s="164"/>
    </row>
    <row r="2047" spans="11:11">
      <c r="K2047" s="164"/>
    </row>
    <row r="2048" spans="11:11">
      <c r="K2048" s="164"/>
    </row>
    <row r="2049" spans="11:11">
      <c r="K2049" s="164"/>
    </row>
    <row r="2050" spans="11:11">
      <c r="K2050" s="164"/>
    </row>
    <row r="2051" spans="11:11">
      <c r="K2051" s="164"/>
    </row>
    <row r="2052" spans="11:11">
      <c r="K2052" s="164"/>
    </row>
    <row r="2053" spans="11:11">
      <c r="K2053" s="164"/>
    </row>
    <row r="2054" spans="11:11">
      <c r="K2054" s="164"/>
    </row>
    <row r="2055" spans="11:11">
      <c r="K2055" s="164"/>
    </row>
    <row r="2056" spans="11:11">
      <c r="K2056" s="164"/>
    </row>
    <row r="2057" spans="11:11">
      <c r="K2057" s="164"/>
    </row>
    <row r="2058" spans="11:11">
      <c r="K2058" s="164"/>
    </row>
    <row r="2059" spans="11:11">
      <c r="K2059" s="164"/>
    </row>
    <row r="2060" spans="11:11">
      <c r="K2060" s="164"/>
    </row>
    <row r="2061" spans="11:11">
      <c r="K2061" s="164"/>
    </row>
    <row r="2062" spans="11:11">
      <c r="K2062" s="164"/>
    </row>
    <row r="2063" spans="11:11">
      <c r="K2063" s="164"/>
    </row>
    <row r="2064" spans="11:11">
      <c r="K2064" s="164"/>
    </row>
    <row r="2065" spans="11:11">
      <c r="K2065" s="164"/>
    </row>
    <row r="2066" spans="11:11">
      <c r="K2066" s="164"/>
    </row>
    <row r="2067" spans="11:11">
      <c r="K2067" s="164"/>
    </row>
    <row r="2068" spans="11:11">
      <c r="K2068" s="164"/>
    </row>
    <row r="2069" spans="11:11">
      <c r="K2069" s="164"/>
    </row>
    <row r="2070" spans="11:11">
      <c r="K2070" s="164"/>
    </row>
    <row r="2071" spans="11:11">
      <c r="K2071" s="164"/>
    </row>
    <row r="2072" spans="11:11">
      <c r="K2072" s="164"/>
    </row>
    <row r="2073" spans="11:11">
      <c r="K2073" s="164"/>
    </row>
    <row r="2074" spans="11:11">
      <c r="K2074" s="164"/>
    </row>
    <row r="2075" spans="11:11">
      <c r="K2075" s="164"/>
    </row>
    <row r="2076" spans="11:11">
      <c r="K2076" s="164"/>
    </row>
    <row r="2077" spans="11:11">
      <c r="K2077" s="164"/>
    </row>
    <row r="2078" spans="11:11">
      <c r="K2078" s="164"/>
    </row>
    <row r="2079" spans="11:11">
      <c r="K2079" s="164"/>
    </row>
    <row r="2080" spans="11:11">
      <c r="K2080" s="164"/>
    </row>
    <row r="2081" spans="11:11">
      <c r="K2081" s="164"/>
    </row>
    <row r="2082" spans="11:11">
      <c r="K2082" s="164"/>
    </row>
    <row r="2083" spans="11:11">
      <c r="K2083" s="164"/>
    </row>
    <row r="2084" spans="11:11">
      <c r="K2084" s="164"/>
    </row>
    <row r="2085" spans="11:11">
      <c r="K2085" s="164"/>
    </row>
    <row r="2086" spans="11:11">
      <c r="K2086" s="164"/>
    </row>
    <row r="2087" spans="11:11">
      <c r="K2087" s="164"/>
    </row>
    <row r="2088" spans="11:11">
      <c r="K2088" s="164"/>
    </row>
    <row r="2089" spans="11:11">
      <c r="K2089" s="164"/>
    </row>
    <row r="2090" spans="11:11">
      <c r="K2090" s="164"/>
    </row>
    <row r="2091" spans="11:11">
      <c r="K2091" s="164"/>
    </row>
    <row r="2092" spans="11:11">
      <c r="K2092" s="164"/>
    </row>
    <row r="2093" spans="11:11">
      <c r="K2093" s="164"/>
    </row>
    <row r="2094" spans="11:11">
      <c r="K2094" s="164"/>
    </row>
    <row r="2095" spans="11:11">
      <c r="K2095" s="164"/>
    </row>
    <row r="2096" spans="11:11">
      <c r="K2096" s="164"/>
    </row>
    <row r="2097" spans="11:11">
      <c r="K2097" s="164"/>
    </row>
    <row r="2098" spans="11:11">
      <c r="K2098" s="164"/>
    </row>
    <row r="2099" spans="11:11">
      <c r="K2099" s="164"/>
    </row>
    <row r="2100" spans="11:11">
      <c r="K2100" s="164"/>
    </row>
    <row r="2101" spans="11:11">
      <c r="K2101" s="164"/>
    </row>
    <row r="2102" spans="11:11">
      <c r="K2102" s="164"/>
    </row>
    <row r="2103" spans="11:11">
      <c r="K2103" s="164"/>
    </row>
    <row r="2104" spans="11:11">
      <c r="K2104" s="164"/>
    </row>
    <row r="2105" spans="11:11">
      <c r="K2105" s="164"/>
    </row>
    <row r="2106" spans="11:11">
      <c r="K2106" s="164"/>
    </row>
    <row r="2107" spans="11:11">
      <c r="K2107" s="164"/>
    </row>
    <row r="2108" spans="11:11">
      <c r="K2108" s="164"/>
    </row>
    <row r="2109" spans="11:11">
      <c r="K2109" s="164"/>
    </row>
    <row r="2110" spans="11:11">
      <c r="K2110" s="164"/>
    </row>
    <row r="2111" spans="11:11">
      <c r="K2111" s="164"/>
    </row>
    <row r="2112" spans="11:11">
      <c r="K2112" s="164"/>
    </row>
    <row r="2113" spans="11:11">
      <c r="K2113" s="164"/>
    </row>
    <row r="2114" spans="11:11">
      <c r="K2114" s="164"/>
    </row>
    <row r="2115" spans="11:11">
      <c r="K2115" s="164"/>
    </row>
    <row r="2116" spans="11:11">
      <c r="K2116" s="164"/>
    </row>
    <row r="2117" spans="11:11">
      <c r="K2117" s="164"/>
    </row>
    <row r="2118" spans="11:11">
      <c r="K2118" s="164"/>
    </row>
    <row r="2119" spans="11:11">
      <c r="K2119" s="164"/>
    </row>
    <row r="2120" spans="11:11">
      <c r="K2120" s="164"/>
    </row>
    <row r="2121" spans="11:11">
      <c r="K2121" s="164"/>
    </row>
    <row r="2122" spans="11:11">
      <c r="K2122" s="164"/>
    </row>
    <row r="2123" spans="11:11">
      <c r="K2123" s="164"/>
    </row>
    <row r="2124" spans="11:11">
      <c r="K2124" s="164"/>
    </row>
    <row r="2125" spans="11:11">
      <c r="K2125" s="164"/>
    </row>
    <row r="2126" spans="11:11">
      <c r="K2126" s="164"/>
    </row>
    <row r="2127" spans="11:11">
      <c r="K2127" s="164"/>
    </row>
    <row r="2128" spans="11:11">
      <c r="K2128" s="164"/>
    </row>
    <row r="2129" spans="11:11">
      <c r="K2129" s="164"/>
    </row>
    <row r="2130" spans="11:11">
      <c r="K2130" s="164"/>
    </row>
    <row r="2131" spans="11:11">
      <c r="K2131" s="164"/>
    </row>
    <row r="2132" spans="11:11">
      <c r="K2132" s="164"/>
    </row>
    <row r="2133" spans="11:11">
      <c r="K2133" s="164"/>
    </row>
    <row r="2134" spans="11:11">
      <c r="K2134" s="164"/>
    </row>
    <row r="2135" spans="11:11">
      <c r="K2135" s="164"/>
    </row>
    <row r="2136" spans="11:11">
      <c r="K2136" s="164"/>
    </row>
    <row r="2137" spans="11:11">
      <c r="K2137" s="164"/>
    </row>
    <row r="2138" spans="11:11">
      <c r="K2138" s="164"/>
    </row>
    <row r="2139" spans="11:11">
      <c r="K2139" s="164"/>
    </row>
    <row r="2140" spans="11:11">
      <c r="K2140" s="164"/>
    </row>
    <row r="2141" spans="11:11">
      <c r="K2141" s="164"/>
    </row>
    <row r="2142" spans="11:11">
      <c r="K2142" s="164"/>
    </row>
    <row r="2143" spans="11:11">
      <c r="K2143" s="164"/>
    </row>
    <row r="2144" spans="11:11">
      <c r="K2144" s="164"/>
    </row>
    <row r="2145" spans="11:11">
      <c r="K2145" s="164"/>
    </row>
    <row r="2146" spans="11:11">
      <c r="K2146" s="164"/>
    </row>
    <row r="2147" spans="11:11">
      <c r="K2147" s="164"/>
    </row>
    <row r="2148" spans="11:11">
      <c r="K2148" s="164"/>
    </row>
    <row r="2149" spans="11:11">
      <c r="K2149" s="164"/>
    </row>
    <row r="2150" spans="11:11">
      <c r="K2150" s="164"/>
    </row>
    <row r="2151" spans="11:11">
      <c r="K2151" s="164"/>
    </row>
    <row r="2152" spans="11:11">
      <c r="K2152" s="164"/>
    </row>
    <row r="2153" spans="11:11">
      <c r="K2153" s="164"/>
    </row>
    <row r="2154" spans="11:11">
      <c r="K2154" s="164"/>
    </row>
    <row r="2155" spans="11:11">
      <c r="K2155" s="164"/>
    </row>
    <row r="2156" spans="11:11">
      <c r="K2156" s="164"/>
    </row>
    <row r="2157" spans="11:11">
      <c r="K2157" s="164"/>
    </row>
    <row r="2158" spans="11:11">
      <c r="K2158" s="164"/>
    </row>
    <row r="2159" spans="11:11">
      <c r="K2159" s="164"/>
    </row>
    <row r="2160" spans="11:11">
      <c r="K2160" s="164"/>
    </row>
    <row r="2161" spans="11:11">
      <c r="K2161" s="164"/>
    </row>
    <row r="2162" spans="11:11">
      <c r="K2162" s="164"/>
    </row>
    <row r="2163" spans="11:11">
      <c r="K2163" s="164"/>
    </row>
    <row r="2164" spans="11:11">
      <c r="K2164" s="164"/>
    </row>
    <row r="2165" spans="11:11">
      <c r="K2165" s="164"/>
    </row>
    <row r="2166" spans="11:11">
      <c r="K2166" s="164"/>
    </row>
    <row r="2167" spans="11:11">
      <c r="K2167" s="164"/>
    </row>
    <row r="2168" spans="11:11">
      <c r="K2168" s="164"/>
    </row>
    <row r="2169" spans="11:11">
      <c r="K2169" s="164"/>
    </row>
    <row r="2170" spans="11:11">
      <c r="K2170" s="164"/>
    </row>
    <row r="2171" spans="11:11">
      <c r="K2171" s="164"/>
    </row>
    <row r="2172" spans="11:11">
      <c r="K2172" s="164"/>
    </row>
    <row r="2173" spans="11:11">
      <c r="K2173" s="164"/>
    </row>
    <row r="2174" spans="11:11">
      <c r="K2174" s="164"/>
    </row>
    <row r="2175" spans="11:11">
      <c r="K2175" s="164"/>
    </row>
    <row r="2176" spans="11:11">
      <c r="K2176" s="164"/>
    </row>
    <row r="2177" spans="11:11">
      <c r="K2177" s="164"/>
    </row>
    <row r="2178" spans="11:11">
      <c r="K2178" s="164"/>
    </row>
    <row r="2179" spans="11:11">
      <c r="K2179" s="164"/>
    </row>
    <row r="2180" spans="11:11">
      <c r="K2180" s="164"/>
    </row>
    <row r="2181" spans="11:11">
      <c r="K2181" s="164"/>
    </row>
    <row r="2182" spans="11:11">
      <c r="K2182" s="164"/>
    </row>
    <row r="2183" spans="11:11">
      <c r="K2183" s="164"/>
    </row>
    <row r="2184" spans="11:11">
      <c r="K2184" s="164"/>
    </row>
    <row r="2185" spans="11:11">
      <c r="K2185" s="164"/>
    </row>
    <row r="2186" spans="11:11">
      <c r="K2186" s="164"/>
    </row>
    <row r="2187" spans="11:11">
      <c r="K2187" s="164"/>
    </row>
    <row r="2188" spans="11:11">
      <c r="K2188" s="164"/>
    </row>
    <row r="2189" spans="11:11">
      <c r="K2189" s="164"/>
    </row>
    <row r="2190" spans="11:11">
      <c r="K2190" s="164"/>
    </row>
    <row r="2191" spans="11:11">
      <c r="K2191" s="164"/>
    </row>
    <row r="2192" spans="11:11">
      <c r="K2192" s="164"/>
    </row>
    <row r="2193" spans="11:11">
      <c r="K2193" s="164"/>
    </row>
    <row r="2194" spans="11:11">
      <c r="K2194" s="164"/>
    </row>
    <row r="2195" spans="11:11">
      <c r="K2195" s="164"/>
    </row>
    <row r="2196" spans="11:11">
      <c r="K2196" s="164"/>
    </row>
    <row r="2197" spans="11:11">
      <c r="K2197" s="164"/>
    </row>
    <row r="2198" spans="11:11">
      <c r="K2198" s="164"/>
    </row>
    <row r="2199" spans="11:11">
      <c r="K2199" s="164"/>
    </row>
    <row r="2200" spans="11:11">
      <c r="K2200" s="164"/>
    </row>
    <row r="2201" spans="11:11">
      <c r="K2201" s="164"/>
    </row>
    <row r="2202" spans="11:11">
      <c r="K2202" s="164"/>
    </row>
    <row r="2203" spans="11:11">
      <c r="K2203" s="164"/>
    </row>
    <row r="2204" spans="11:11">
      <c r="K2204" s="164"/>
    </row>
    <row r="2205" spans="11:11">
      <c r="K2205" s="164"/>
    </row>
    <row r="2206" spans="11:11">
      <c r="K2206" s="164"/>
    </row>
    <row r="2207" spans="11:11">
      <c r="K2207" s="164"/>
    </row>
    <row r="2208" spans="11:11">
      <c r="K2208" s="164"/>
    </row>
    <row r="2209" spans="11:11">
      <c r="K2209" s="164"/>
    </row>
    <row r="2210" spans="11:11">
      <c r="K2210" s="164"/>
    </row>
    <row r="2211" spans="11:11">
      <c r="K2211" s="164"/>
    </row>
    <row r="2212" spans="11:11">
      <c r="K2212" s="164"/>
    </row>
    <row r="2213" spans="11:11">
      <c r="K2213" s="164"/>
    </row>
    <row r="2214" spans="11:11">
      <c r="K2214" s="164"/>
    </row>
    <row r="2215" spans="11:11">
      <c r="K2215" s="164"/>
    </row>
    <row r="2216" spans="11:11">
      <c r="K2216" s="164"/>
    </row>
    <row r="2217" spans="11:11">
      <c r="K2217" s="164"/>
    </row>
    <row r="2218" spans="11:11">
      <c r="K2218" s="164"/>
    </row>
    <row r="2219" spans="11:11">
      <c r="K2219" s="164"/>
    </row>
    <row r="2220" spans="11:11">
      <c r="K2220" s="164"/>
    </row>
    <row r="2221" spans="11:11">
      <c r="K2221" s="164"/>
    </row>
    <row r="2222" spans="11:11">
      <c r="K2222" s="164"/>
    </row>
    <row r="2223" spans="11:11">
      <c r="K2223" s="164"/>
    </row>
    <row r="2224" spans="11:11">
      <c r="K2224" s="164"/>
    </row>
    <row r="2225" spans="11:11">
      <c r="K2225" s="164"/>
    </row>
    <row r="2226" spans="11:11">
      <c r="K2226" s="164"/>
    </row>
    <row r="2227" spans="11:11">
      <c r="K2227" s="164"/>
    </row>
    <row r="2228" spans="11:11">
      <c r="K2228" s="164"/>
    </row>
    <row r="2229" spans="11:11">
      <c r="K2229" s="164"/>
    </row>
    <row r="2230" spans="11:11">
      <c r="K2230" s="164"/>
    </row>
    <row r="2231" spans="11:11">
      <c r="K2231" s="164"/>
    </row>
    <row r="2232" spans="11:11">
      <c r="K2232" s="164"/>
    </row>
    <row r="2233" spans="11:11">
      <c r="K2233" s="164"/>
    </row>
    <row r="2234" spans="11:11">
      <c r="K2234" s="164"/>
    </row>
    <row r="2235" spans="11:11">
      <c r="K2235" s="164"/>
    </row>
    <row r="2236" spans="11:11">
      <c r="K2236" s="164"/>
    </row>
    <row r="2237" spans="11:11">
      <c r="K2237" s="164"/>
    </row>
    <row r="2238" spans="11:11">
      <c r="K2238" s="164"/>
    </row>
    <row r="2239" spans="11:11">
      <c r="K2239" s="164"/>
    </row>
    <row r="2240" spans="11:11">
      <c r="K2240" s="164"/>
    </row>
    <row r="2241" spans="11:11">
      <c r="K2241" s="164"/>
    </row>
    <row r="2242" spans="11:11">
      <c r="K2242" s="164"/>
    </row>
    <row r="2243" spans="11:11">
      <c r="K2243" s="164"/>
    </row>
    <row r="2244" spans="11:11">
      <c r="K2244" s="164"/>
    </row>
    <row r="2245" spans="11:11">
      <c r="K2245" s="164"/>
    </row>
    <row r="2246" spans="11:11">
      <c r="K2246" s="164"/>
    </row>
    <row r="2247" spans="11:11">
      <c r="K2247" s="164"/>
    </row>
    <row r="2248" spans="11:11">
      <c r="K2248" s="164"/>
    </row>
    <row r="2249" spans="11:11">
      <c r="K2249" s="164"/>
    </row>
    <row r="2250" spans="11:11">
      <c r="K2250" s="164"/>
    </row>
    <row r="2251" spans="11:11">
      <c r="K2251" s="164"/>
    </row>
    <row r="2252" spans="11:11">
      <c r="K2252" s="164"/>
    </row>
    <row r="2253" spans="11:11">
      <c r="K2253" s="164"/>
    </row>
    <row r="2254" spans="11:11">
      <c r="K2254" s="164"/>
    </row>
    <row r="2255" spans="11:11">
      <c r="K2255" s="164"/>
    </row>
    <row r="2256" spans="11:11">
      <c r="K2256" s="164"/>
    </row>
    <row r="2257" spans="11:11">
      <c r="K2257" s="164"/>
    </row>
    <row r="2258" spans="11:11">
      <c r="K2258" s="164"/>
    </row>
    <row r="2259" spans="11:11">
      <c r="K2259" s="164"/>
    </row>
    <row r="2260" spans="11:11">
      <c r="K2260" s="164"/>
    </row>
    <row r="2261" spans="11:11">
      <c r="K2261" s="164"/>
    </row>
    <row r="2262" spans="11:11">
      <c r="K2262" s="164"/>
    </row>
    <row r="2263" spans="11:11">
      <c r="K2263" s="164"/>
    </row>
    <row r="2264" spans="11:11">
      <c r="K2264" s="164"/>
    </row>
    <row r="2265" spans="11:11">
      <c r="K2265" s="164"/>
    </row>
    <row r="2266" spans="11:11">
      <c r="K2266" s="164"/>
    </row>
    <row r="2267" spans="11:11">
      <c r="K2267" s="164"/>
    </row>
    <row r="2268" spans="11:11">
      <c r="K2268" s="164"/>
    </row>
    <row r="2269" spans="11:11">
      <c r="K2269" s="164"/>
    </row>
    <row r="2270" spans="11:11">
      <c r="K2270" s="164"/>
    </row>
    <row r="2271" spans="11:11">
      <c r="K2271" s="164"/>
    </row>
    <row r="2272" spans="11:11">
      <c r="K2272" s="164"/>
    </row>
    <row r="2273" spans="11:11">
      <c r="K2273" s="164"/>
    </row>
    <row r="2274" spans="11:11">
      <c r="K2274" s="164"/>
    </row>
    <row r="2275" spans="11:11">
      <c r="K2275" s="164"/>
    </row>
    <row r="2276" spans="11:11">
      <c r="K2276" s="164"/>
    </row>
    <row r="2277" spans="11:11">
      <c r="K2277" s="164"/>
    </row>
    <row r="2278" spans="11:11">
      <c r="K2278" s="164"/>
    </row>
    <row r="2279" spans="11:11">
      <c r="K2279" s="164"/>
    </row>
    <row r="2280" spans="11:11">
      <c r="K2280" s="164"/>
    </row>
    <row r="2281" spans="11:11">
      <c r="K2281" s="164"/>
    </row>
    <row r="2282" spans="11:11">
      <c r="K2282" s="164"/>
    </row>
    <row r="2283" spans="11:11">
      <c r="K2283" s="164"/>
    </row>
    <row r="2284" spans="11:11">
      <c r="K2284" s="164"/>
    </row>
    <row r="2285" spans="11:11">
      <c r="K2285" s="164"/>
    </row>
    <row r="2286" spans="11:11">
      <c r="K2286" s="164"/>
    </row>
    <row r="2287" spans="11:11">
      <c r="K2287" s="164"/>
    </row>
    <row r="2288" spans="11:11">
      <c r="K2288" s="164"/>
    </row>
    <row r="2289" spans="11:11">
      <c r="K2289" s="164"/>
    </row>
    <row r="2290" spans="11:11">
      <c r="K2290" s="164"/>
    </row>
    <row r="2291" spans="11:11">
      <c r="K2291" s="164"/>
    </row>
    <row r="2292" spans="11:11">
      <c r="K2292" s="164"/>
    </row>
    <row r="2293" spans="11:11">
      <c r="K2293" s="164"/>
    </row>
    <row r="2294" spans="11:11">
      <c r="K2294" s="164"/>
    </row>
    <row r="2295" spans="11:11">
      <c r="K2295" s="164"/>
    </row>
    <row r="2296" spans="11:11">
      <c r="K2296" s="164"/>
    </row>
    <row r="2297" spans="11:11">
      <c r="K2297" s="164"/>
    </row>
    <row r="2298" spans="11:11">
      <c r="K2298" s="164"/>
    </row>
    <row r="2299" spans="11:11">
      <c r="K2299" s="164"/>
    </row>
    <row r="2300" spans="11:11">
      <c r="K2300" s="164"/>
    </row>
    <row r="2301" spans="11:11">
      <c r="K2301" s="164"/>
    </row>
    <row r="2302" spans="11:11">
      <c r="K2302" s="164"/>
    </row>
    <row r="2303" spans="11:11">
      <c r="K2303" s="164"/>
    </row>
    <row r="2304" spans="11:11">
      <c r="K2304" s="164"/>
    </row>
    <row r="2305" spans="11:11">
      <c r="K2305" s="164"/>
    </row>
    <row r="2306" spans="11:11">
      <c r="K2306" s="164"/>
    </row>
    <row r="2307" spans="11:11">
      <c r="K2307" s="164"/>
    </row>
    <row r="2308" spans="11:11">
      <c r="K2308" s="164"/>
    </row>
    <row r="2309" spans="11:11">
      <c r="K2309" s="164"/>
    </row>
    <row r="2310" spans="11:11">
      <c r="K2310" s="164"/>
    </row>
    <row r="2311" spans="11:11">
      <c r="K2311" s="164"/>
    </row>
    <row r="2312" spans="11:11">
      <c r="K2312" s="164"/>
    </row>
    <row r="2313" spans="11:11">
      <c r="K2313" s="164"/>
    </row>
    <row r="2314" spans="11:11">
      <c r="K2314" s="164"/>
    </row>
    <row r="2315" spans="11:11">
      <c r="K2315" s="164"/>
    </row>
    <row r="2316" spans="11:11">
      <c r="K2316" s="164"/>
    </row>
    <row r="2317" spans="11:11">
      <c r="K2317" s="164"/>
    </row>
    <row r="2318" spans="11:11">
      <c r="K2318" s="164"/>
    </row>
    <row r="2319" spans="11:11">
      <c r="K2319" s="164"/>
    </row>
    <row r="2320" spans="11:11">
      <c r="K2320" s="164"/>
    </row>
    <row r="2321" spans="11:11">
      <c r="K2321" s="164"/>
    </row>
    <row r="2322" spans="11:11">
      <c r="K2322" s="164"/>
    </row>
    <row r="2323" spans="11:11">
      <c r="K2323" s="164"/>
    </row>
    <row r="2324" spans="11:11">
      <c r="K2324" s="164"/>
    </row>
    <row r="2325" spans="11:11">
      <c r="K2325" s="164"/>
    </row>
    <row r="2326" spans="11:11">
      <c r="K2326" s="164"/>
    </row>
    <row r="2327" spans="11:11">
      <c r="K2327" s="164"/>
    </row>
    <row r="2328" spans="11:11">
      <c r="K2328" s="164"/>
    </row>
    <row r="2329" spans="11:11">
      <c r="K2329" s="164"/>
    </row>
    <row r="2330" spans="11:11">
      <c r="K2330" s="164"/>
    </row>
    <row r="2331" spans="11:11">
      <c r="K2331" s="164"/>
    </row>
    <row r="2332" spans="11:11">
      <c r="K2332" s="164"/>
    </row>
    <row r="2333" spans="11:11">
      <c r="K2333" s="164"/>
    </row>
    <row r="2334" spans="11:11">
      <c r="K2334" s="164"/>
    </row>
    <row r="2335" spans="11:11">
      <c r="K2335" s="164"/>
    </row>
    <row r="2336" spans="11:11">
      <c r="K2336" s="164"/>
    </row>
    <row r="2337" spans="11:11">
      <c r="K2337" s="164"/>
    </row>
    <row r="2338" spans="11:11">
      <c r="K2338" s="164"/>
    </row>
    <row r="2339" spans="11:11">
      <c r="K2339" s="164"/>
    </row>
    <row r="2340" spans="11:11">
      <c r="K2340" s="164"/>
    </row>
    <row r="2341" spans="11:11">
      <c r="K2341" s="164"/>
    </row>
    <row r="2342" spans="11:11">
      <c r="K2342" s="164"/>
    </row>
    <row r="2343" spans="11:11">
      <c r="K2343" s="164"/>
    </row>
    <row r="2344" spans="11:11">
      <c r="K2344" s="164"/>
    </row>
    <row r="2345" spans="11:11">
      <c r="K2345" s="164"/>
    </row>
    <row r="2346" spans="11:11">
      <c r="K2346" s="164"/>
    </row>
    <row r="2347" spans="11:11">
      <c r="K2347" s="164"/>
    </row>
    <row r="2348" spans="11:11">
      <c r="K2348" s="164"/>
    </row>
    <row r="2349" spans="11:11">
      <c r="K2349" s="164"/>
    </row>
    <row r="2350" spans="11:11">
      <c r="K2350" s="164"/>
    </row>
    <row r="2351" spans="11:11">
      <c r="K2351" s="164"/>
    </row>
    <row r="2352" spans="11:11">
      <c r="K2352" s="164"/>
    </row>
    <row r="2353" spans="11:11">
      <c r="K2353" s="164"/>
    </row>
    <row r="2354" spans="11:11">
      <c r="K2354" s="164"/>
    </row>
    <row r="2355" spans="11:11">
      <c r="K2355" s="164"/>
    </row>
    <row r="2356" spans="11:11">
      <c r="K2356" s="164"/>
    </row>
    <row r="2357" spans="11:11">
      <c r="K2357" s="164"/>
    </row>
    <row r="2358" spans="11:11">
      <c r="K2358" s="164"/>
    </row>
    <row r="2359" spans="11:11">
      <c r="K2359" s="164"/>
    </row>
    <row r="2360" spans="11:11">
      <c r="K2360" s="164"/>
    </row>
    <row r="2361" spans="11:11">
      <c r="K2361" s="164"/>
    </row>
    <row r="2362" spans="11:11">
      <c r="K2362" s="164"/>
    </row>
    <row r="2363" spans="11:11">
      <c r="K2363" s="164"/>
    </row>
    <row r="2364" spans="11:11">
      <c r="K2364" s="164"/>
    </row>
    <row r="2365" spans="11:11">
      <c r="K2365" s="164"/>
    </row>
    <row r="2366" spans="11:11">
      <c r="K2366" s="164"/>
    </row>
    <row r="2367" spans="11:11">
      <c r="K2367" s="164"/>
    </row>
    <row r="2368" spans="11:11">
      <c r="K2368" s="164"/>
    </row>
    <row r="2369" spans="11:11">
      <c r="K2369" s="164"/>
    </row>
    <row r="2370" spans="11:11">
      <c r="K2370" s="164"/>
    </row>
    <row r="2371" spans="11:11">
      <c r="K2371" s="164"/>
    </row>
    <row r="2372" spans="11:11">
      <c r="K2372" s="164"/>
    </row>
    <row r="2373" spans="11:11">
      <c r="K2373" s="164"/>
    </row>
    <row r="2374" spans="11:11">
      <c r="K2374" s="164"/>
    </row>
    <row r="2375" spans="11:11">
      <c r="K2375" s="164"/>
    </row>
    <row r="2376" spans="11:11">
      <c r="K2376" s="164"/>
    </row>
    <row r="2377" spans="11:11">
      <c r="K2377" s="164"/>
    </row>
    <row r="2378" spans="11:11">
      <c r="K2378" s="164"/>
    </row>
    <row r="2379" spans="11:11">
      <c r="K2379" s="164"/>
    </row>
    <row r="2380" spans="11:11">
      <c r="K2380" s="164"/>
    </row>
    <row r="2381" spans="11:11">
      <c r="K2381" s="164"/>
    </row>
    <row r="2382" spans="11:11">
      <c r="K2382" s="164"/>
    </row>
    <row r="2383" spans="11:11">
      <c r="K2383" s="164"/>
    </row>
    <row r="2384" spans="11:11">
      <c r="K2384" s="164"/>
    </row>
    <row r="2385" spans="11:11">
      <c r="K2385" s="164"/>
    </row>
    <row r="2386" spans="11:11">
      <c r="K2386" s="164"/>
    </row>
    <row r="2387" spans="11:11">
      <c r="K2387" s="164"/>
    </row>
    <row r="2388" spans="11:11">
      <c r="K2388" s="164"/>
    </row>
    <row r="2389" spans="11:11">
      <c r="K2389" s="164"/>
    </row>
    <row r="2390" spans="11:11">
      <c r="K2390" s="164"/>
    </row>
    <row r="2391" spans="11:11">
      <c r="K2391" s="164"/>
    </row>
    <row r="2392" spans="11:11">
      <c r="K2392" s="164"/>
    </row>
    <row r="2393" spans="11:11">
      <c r="K2393" s="164"/>
    </row>
    <row r="2394" spans="11:11">
      <c r="K2394" s="164"/>
    </row>
    <row r="2395" spans="11:11">
      <c r="K2395" s="164"/>
    </row>
    <row r="2396" spans="11:11">
      <c r="K2396" s="164"/>
    </row>
    <row r="2397" spans="11:11">
      <c r="K2397" s="164"/>
    </row>
    <row r="2398" spans="11:11">
      <c r="K2398" s="164"/>
    </row>
    <row r="2399" spans="11:11">
      <c r="K2399" s="164"/>
    </row>
    <row r="2400" spans="11:11">
      <c r="K2400" s="164"/>
    </row>
    <row r="2401" spans="11:11">
      <c r="K2401" s="164"/>
    </row>
    <row r="2402" spans="11:11">
      <c r="K2402" s="164"/>
    </row>
    <row r="2403" spans="11:11">
      <c r="K2403" s="164"/>
    </row>
    <row r="2404" spans="11:11">
      <c r="K2404" s="164"/>
    </row>
    <row r="2405" spans="11:11">
      <c r="K2405" s="164"/>
    </row>
    <row r="2406" spans="11:11">
      <c r="K2406" s="164"/>
    </row>
    <row r="2407" spans="11:11">
      <c r="K2407" s="164"/>
    </row>
    <row r="2408" spans="11:11">
      <c r="K2408" s="164"/>
    </row>
    <row r="2409" spans="11:11">
      <c r="K2409" s="164"/>
    </row>
    <row r="2410" spans="11:11">
      <c r="K2410" s="164"/>
    </row>
    <row r="2411" spans="11:11">
      <c r="K2411" s="164"/>
    </row>
    <row r="2412" spans="11:11">
      <c r="K2412" s="164"/>
    </row>
    <row r="2413" spans="11:11">
      <c r="K2413" s="164"/>
    </row>
    <row r="2414" spans="11:11">
      <c r="K2414" s="164"/>
    </row>
    <row r="2415" spans="11:11">
      <c r="K2415" s="164"/>
    </row>
    <row r="2416" spans="11:11">
      <c r="K2416" s="164"/>
    </row>
    <row r="2417" spans="11:11">
      <c r="K2417" s="164"/>
    </row>
    <row r="2418" spans="11:11">
      <c r="K2418" s="164"/>
    </row>
    <row r="2419" spans="11:11">
      <c r="K2419" s="164"/>
    </row>
    <row r="2420" spans="11:11">
      <c r="K2420" s="164"/>
    </row>
    <row r="2421" spans="11:11">
      <c r="K2421" s="164"/>
    </row>
    <row r="2422" spans="11:11">
      <c r="K2422" s="164"/>
    </row>
    <row r="2423" spans="11:11">
      <c r="K2423" s="164"/>
    </row>
    <row r="2424" spans="11:11">
      <c r="K2424" s="164"/>
    </row>
    <row r="2425" spans="11:11">
      <c r="K2425" s="164"/>
    </row>
    <row r="2426" spans="11:11">
      <c r="K2426" s="164"/>
    </row>
    <row r="2427" spans="11:11">
      <c r="K2427" s="164"/>
    </row>
    <row r="2428" spans="11:11">
      <c r="K2428" s="164"/>
    </row>
    <row r="2429" spans="11:11">
      <c r="K2429" s="164"/>
    </row>
    <row r="2430" spans="11:11">
      <c r="K2430" s="164"/>
    </row>
    <row r="2431" spans="11:11">
      <c r="K2431" s="164"/>
    </row>
    <row r="2432" spans="11:11">
      <c r="K2432" s="164"/>
    </row>
    <row r="2433" spans="11:11">
      <c r="K2433" s="164"/>
    </row>
    <row r="2434" spans="11:11">
      <c r="K2434" s="164"/>
    </row>
    <row r="2435" spans="11:11">
      <c r="K2435" s="164"/>
    </row>
    <row r="2436" spans="11:11">
      <c r="K2436" s="164"/>
    </row>
    <row r="2437" spans="11:11">
      <c r="K2437" s="164"/>
    </row>
    <row r="2438" spans="11:11">
      <c r="K2438" s="164"/>
    </row>
    <row r="2439" spans="11:11">
      <c r="K2439" s="164"/>
    </row>
    <row r="2440" spans="11:11">
      <c r="K2440" s="164"/>
    </row>
    <row r="2441" spans="11:11">
      <c r="K2441" s="164"/>
    </row>
    <row r="2442" spans="11:11">
      <c r="K2442" s="164"/>
    </row>
    <row r="2443" spans="11:11">
      <c r="K2443" s="164"/>
    </row>
    <row r="2444" spans="11:11">
      <c r="K2444" s="164"/>
    </row>
    <row r="2445" spans="11:11">
      <c r="K2445" s="164"/>
    </row>
    <row r="2446" spans="11:11">
      <c r="K2446" s="164"/>
    </row>
    <row r="2447" spans="11:11">
      <c r="K2447" s="164"/>
    </row>
    <row r="2448" spans="11:11">
      <c r="K2448" s="164"/>
    </row>
    <row r="2449" spans="11:11">
      <c r="K2449" s="164"/>
    </row>
    <row r="2450" spans="11:11">
      <c r="K2450" s="164"/>
    </row>
    <row r="2451" spans="11:11">
      <c r="K2451" s="164"/>
    </row>
    <row r="2452" spans="11:11">
      <c r="K2452" s="164"/>
    </row>
    <row r="2453" spans="11:11">
      <c r="K2453" s="164"/>
    </row>
    <row r="2454" spans="11:11">
      <c r="K2454" s="164"/>
    </row>
    <row r="2455" spans="11:11">
      <c r="K2455" s="164"/>
    </row>
    <row r="2456" spans="11:11">
      <c r="K2456" s="164"/>
    </row>
    <row r="2457" spans="11:11">
      <c r="K2457" s="164"/>
    </row>
    <row r="2458" spans="11:11">
      <c r="K2458" s="164"/>
    </row>
    <row r="2459" spans="11:11">
      <c r="K2459" s="164"/>
    </row>
    <row r="2460" spans="11:11">
      <c r="K2460" s="164"/>
    </row>
    <row r="2461" spans="11:11">
      <c r="K2461" s="164"/>
    </row>
    <row r="2462" spans="11:11">
      <c r="K2462" s="164"/>
    </row>
    <row r="2463" spans="11:11">
      <c r="K2463" s="164"/>
    </row>
    <row r="2464" spans="11:11">
      <c r="K2464" s="164"/>
    </row>
    <row r="2465" spans="11:11">
      <c r="K2465" s="164"/>
    </row>
    <row r="2466" spans="11:11">
      <c r="K2466" s="164"/>
    </row>
    <row r="2467" spans="11:11">
      <c r="K2467" s="164"/>
    </row>
    <row r="2468" spans="11:11">
      <c r="K2468" s="164"/>
    </row>
    <row r="2469" spans="11:11">
      <c r="K2469" s="164"/>
    </row>
    <row r="2470" spans="11:11">
      <c r="K2470" s="164"/>
    </row>
    <row r="2471" spans="11:11">
      <c r="K2471" s="164"/>
    </row>
    <row r="2472" spans="11:11">
      <c r="K2472" s="164"/>
    </row>
    <row r="2473" spans="11:11">
      <c r="K2473" s="164"/>
    </row>
    <row r="2474" spans="11:11">
      <c r="K2474" s="164"/>
    </row>
    <row r="2475" spans="11:11">
      <c r="K2475" s="164"/>
    </row>
    <row r="2476" spans="11:11">
      <c r="K2476" s="164"/>
    </row>
    <row r="2477" spans="11:11">
      <c r="K2477" s="164"/>
    </row>
    <row r="2478" spans="11:11">
      <c r="K2478" s="164"/>
    </row>
    <row r="2479" spans="11:11">
      <c r="K2479" s="164"/>
    </row>
    <row r="2480" spans="11:11">
      <c r="K2480" s="164"/>
    </row>
    <row r="2481" spans="11:11">
      <c r="K2481" s="164"/>
    </row>
    <row r="2482" spans="11:11">
      <c r="K2482" s="164"/>
    </row>
    <row r="2483" spans="11:11">
      <c r="K2483" s="164"/>
    </row>
    <row r="2484" spans="11:11">
      <c r="K2484" s="164"/>
    </row>
    <row r="2485" spans="11:11">
      <c r="K2485" s="164"/>
    </row>
    <row r="2486" spans="11:11">
      <c r="K2486" s="164"/>
    </row>
    <row r="2487" spans="11:11">
      <c r="K2487" s="164"/>
    </row>
    <row r="2488" spans="11:11">
      <c r="K2488" s="164"/>
    </row>
    <row r="2489" spans="11:11">
      <c r="K2489" s="164"/>
    </row>
    <row r="2490" spans="11:11">
      <c r="K2490" s="164"/>
    </row>
    <row r="2491" spans="11:11">
      <c r="K2491" s="164"/>
    </row>
    <row r="2492" spans="11:11">
      <c r="K2492" s="164"/>
    </row>
    <row r="2493" spans="11:11">
      <c r="K2493" s="164"/>
    </row>
    <row r="2494" spans="11:11">
      <c r="K2494" s="164"/>
    </row>
    <row r="2495" spans="11:11">
      <c r="K2495" s="164"/>
    </row>
    <row r="2496" spans="11:11">
      <c r="K2496" s="164"/>
    </row>
    <row r="2497" spans="11:11">
      <c r="K2497" s="164"/>
    </row>
    <row r="2498" spans="11:11">
      <c r="K2498" s="164"/>
    </row>
    <row r="2499" spans="11:11">
      <c r="K2499" s="164"/>
    </row>
    <row r="2500" spans="11:11">
      <c r="K2500" s="164"/>
    </row>
    <row r="2501" spans="11:11">
      <c r="K2501" s="164"/>
    </row>
    <row r="2502" spans="11:11">
      <c r="K2502" s="164"/>
    </row>
    <row r="2503" spans="11:11">
      <c r="K2503" s="164"/>
    </row>
    <row r="2504" spans="11:11">
      <c r="K2504" s="164"/>
    </row>
    <row r="2505" spans="11:11">
      <c r="K2505" s="164"/>
    </row>
    <row r="2506" spans="11:11">
      <c r="K2506" s="164"/>
    </row>
    <row r="2507" spans="11:11">
      <c r="K2507" s="164"/>
    </row>
    <row r="2508" spans="11:11">
      <c r="K2508" s="164"/>
    </row>
    <row r="2509" spans="11:11">
      <c r="K2509" s="164"/>
    </row>
    <row r="2510" spans="11:11">
      <c r="K2510" s="164"/>
    </row>
    <row r="2511" spans="11:11">
      <c r="K2511" s="164"/>
    </row>
    <row r="2512" spans="11:11">
      <c r="K2512" s="164"/>
    </row>
    <row r="2513" spans="11:11">
      <c r="K2513" s="164"/>
    </row>
    <row r="2514" spans="11:11">
      <c r="K2514" s="164"/>
    </row>
    <row r="2515" spans="11:11">
      <c r="K2515" s="164"/>
    </row>
    <row r="2516" spans="11:11">
      <c r="K2516" s="164"/>
    </row>
    <row r="2517" spans="11:11">
      <c r="K2517" s="164"/>
    </row>
    <row r="2518" spans="11:11">
      <c r="K2518" s="164"/>
    </row>
    <row r="2519" spans="11:11">
      <c r="K2519" s="164"/>
    </row>
    <row r="2520" spans="11:11">
      <c r="K2520" s="164"/>
    </row>
    <row r="2521" spans="11:11">
      <c r="K2521" s="164"/>
    </row>
    <row r="2522" spans="11:11">
      <c r="K2522" s="164"/>
    </row>
    <row r="2523" spans="11:11">
      <c r="K2523" s="164"/>
    </row>
    <row r="2524" spans="11:11">
      <c r="K2524" s="164"/>
    </row>
    <row r="2525" spans="11:11">
      <c r="K2525" s="164"/>
    </row>
    <row r="2526" spans="11:11">
      <c r="K2526" s="164"/>
    </row>
    <row r="2527" spans="11:11">
      <c r="K2527" s="164"/>
    </row>
    <row r="2528" spans="11:11">
      <c r="K2528" s="164"/>
    </row>
    <row r="2529" spans="11:11">
      <c r="K2529" s="164"/>
    </row>
    <row r="2530" spans="11:11">
      <c r="K2530" s="164"/>
    </row>
    <row r="2531" spans="11:11">
      <c r="K2531" s="164"/>
    </row>
    <row r="2532" spans="11:11">
      <c r="K2532" s="164"/>
    </row>
    <row r="2533" spans="11:11">
      <c r="K2533" s="164"/>
    </row>
    <row r="2534" spans="11:11">
      <c r="K2534" s="164"/>
    </row>
    <row r="2535" spans="11:11">
      <c r="K2535" s="164"/>
    </row>
    <row r="2536" spans="11:11">
      <c r="K2536" s="164"/>
    </row>
    <row r="2537" spans="11:11">
      <c r="K2537" s="164"/>
    </row>
    <row r="2538" spans="11:11">
      <c r="K2538" s="164"/>
    </row>
    <row r="2539" spans="11:11">
      <c r="K2539" s="164"/>
    </row>
    <row r="2540" spans="11:11">
      <c r="K2540" s="164"/>
    </row>
    <row r="2541" spans="11:11">
      <c r="K2541" s="164"/>
    </row>
    <row r="2542" spans="11:11">
      <c r="K2542" s="164"/>
    </row>
    <row r="2543" spans="11:11">
      <c r="K2543" s="164"/>
    </row>
    <row r="2544" spans="11:11">
      <c r="K2544" s="164"/>
    </row>
    <row r="2545" spans="11:11">
      <c r="K2545" s="164"/>
    </row>
    <row r="2546" spans="11:11">
      <c r="K2546" s="164"/>
    </row>
    <row r="2547" spans="11:11">
      <c r="K2547" s="164"/>
    </row>
    <row r="2548" spans="11:11">
      <c r="K2548" s="164"/>
    </row>
    <row r="2549" spans="11:11">
      <c r="K2549" s="164"/>
    </row>
    <row r="2550" spans="11:11">
      <c r="K2550" s="164"/>
    </row>
    <row r="2551" spans="11:11">
      <c r="K2551" s="164"/>
    </row>
    <row r="2552" spans="11:11">
      <c r="K2552" s="164"/>
    </row>
    <row r="2553" spans="11:11">
      <c r="K2553" s="164"/>
    </row>
    <row r="2554" spans="11:11">
      <c r="K2554" s="164"/>
    </row>
    <row r="2555" spans="11:11">
      <c r="K2555" s="164"/>
    </row>
    <row r="2556" spans="11:11">
      <c r="K2556" s="164"/>
    </row>
    <row r="2557" spans="11:11">
      <c r="K2557" s="164"/>
    </row>
    <row r="2558" spans="11:11">
      <c r="K2558" s="164"/>
    </row>
    <row r="2559" spans="11:11">
      <c r="K2559" s="164"/>
    </row>
    <row r="2560" spans="11:11">
      <c r="K2560" s="164"/>
    </row>
    <row r="2561" spans="11:11">
      <c r="K2561" s="164"/>
    </row>
    <row r="2562" spans="11:11">
      <c r="K2562" s="164"/>
    </row>
    <row r="2563" spans="11:11">
      <c r="K2563" s="164"/>
    </row>
    <row r="2564" spans="11:11">
      <c r="K2564" s="164"/>
    </row>
    <row r="2565" spans="11:11">
      <c r="K2565" s="164"/>
    </row>
    <row r="2566" spans="11:11">
      <c r="K2566" s="164"/>
    </row>
    <row r="2567" spans="11:11">
      <c r="K2567" s="164"/>
    </row>
    <row r="2568" spans="11:11">
      <c r="K2568" s="164"/>
    </row>
    <row r="2569" spans="11:11">
      <c r="K2569" s="164"/>
    </row>
    <row r="2570" spans="11:11">
      <c r="K2570" s="164"/>
    </row>
    <row r="2571" spans="11:11">
      <c r="K2571" s="164"/>
    </row>
    <row r="2572" spans="11:11">
      <c r="K2572" s="164"/>
    </row>
    <row r="2573" spans="11:11">
      <c r="K2573" s="164"/>
    </row>
    <row r="2574" spans="11:11">
      <c r="K2574" s="164"/>
    </row>
    <row r="2575" spans="11:11">
      <c r="K2575" s="164"/>
    </row>
    <row r="2576" spans="11:11">
      <c r="K2576" s="164"/>
    </row>
    <row r="2577" spans="11:11">
      <c r="K2577" s="164"/>
    </row>
    <row r="2578" spans="11:11">
      <c r="K2578" s="164"/>
    </row>
    <row r="2579" spans="11:11">
      <c r="K2579" s="164"/>
    </row>
    <row r="2580" spans="11:11">
      <c r="K2580" s="164"/>
    </row>
    <row r="2581" spans="11:11">
      <c r="K2581" s="164"/>
    </row>
    <row r="2582" spans="11:11">
      <c r="K2582" s="164"/>
    </row>
    <row r="2583" spans="11:11">
      <c r="K2583" s="164"/>
    </row>
    <row r="2584" spans="11:11">
      <c r="K2584" s="164"/>
    </row>
    <row r="2585" spans="11:11">
      <c r="K2585" s="164"/>
    </row>
    <row r="2586" spans="11:11">
      <c r="K2586" s="164"/>
    </row>
    <row r="2587" spans="11:11">
      <c r="K2587" s="164"/>
    </row>
    <row r="2588" spans="11:11">
      <c r="K2588" s="164"/>
    </row>
    <row r="2589" spans="11:11">
      <c r="K2589" s="164"/>
    </row>
    <row r="2590" spans="11:11">
      <c r="K2590" s="164"/>
    </row>
    <row r="2591" spans="11:11">
      <c r="K2591" s="164"/>
    </row>
    <row r="2592" spans="11:11">
      <c r="K2592" s="164"/>
    </row>
    <row r="2593" spans="11:11">
      <c r="K2593" s="164"/>
    </row>
    <row r="2594" spans="11:11">
      <c r="K2594" s="164"/>
    </row>
    <row r="2595" spans="11:11">
      <c r="K2595" s="164"/>
    </row>
    <row r="2596" spans="11:11">
      <c r="K2596" s="164"/>
    </row>
    <row r="2597" spans="11:11">
      <c r="K2597" s="164"/>
    </row>
    <row r="2598" spans="11:11">
      <c r="K2598" s="164"/>
    </row>
    <row r="2599" spans="11:11">
      <c r="K2599" s="164"/>
    </row>
    <row r="2600" spans="11:11">
      <c r="K2600" s="164"/>
    </row>
    <row r="2601" spans="11:11">
      <c r="K2601" s="164"/>
    </row>
    <row r="2602" spans="11:11">
      <c r="K2602" s="164"/>
    </row>
    <row r="2603" spans="11:11">
      <c r="K2603" s="164"/>
    </row>
    <row r="2604" spans="11:11">
      <c r="K2604" s="164"/>
    </row>
    <row r="2605" spans="11:11">
      <c r="K2605" s="164"/>
    </row>
    <row r="2606" spans="11:11">
      <c r="K2606" s="164"/>
    </row>
    <row r="2607" spans="11:11">
      <c r="K2607" s="164"/>
    </row>
    <row r="2608" spans="11:11">
      <c r="K2608" s="164"/>
    </row>
    <row r="2609" spans="11:11">
      <c r="K2609" s="164"/>
    </row>
    <row r="2610" spans="11:11">
      <c r="K2610" s="164"/>
    </row>
    <row r="2611" spans="11:11">
      <c r="K2611" s="164"/>
    </row>
    <row r="2612" spans="11:11">
      <c r="K2612" s="164"/>
    </row>
    <row r="2613" spans="11:11">
      <c r="K2613" s="164"/>
    </row>
    <row r="2614" spans="11:11">
      <c r="K2614" s="164"/>
    </row>
    <row r="2615" spans="11:11">
      <c r="K2615" s="164"/>
    </row>
    <row r="2616" spans="11:11">
      <c r="K2616" s="164"/>
    </row>
    <row r="2617" spans="11:11">
      <c r="K2617" s="164"/>
    </row>
    <row r="2618" spans="11:11">
      <c r="K2618" s="164"/>
    </row>
    <row r="2619" spans="11:11">
      <c r="K2619" s="164"/>
    </row>
    <row r="2620" spans="11:11">
      <c r="K2620" s="164"/>
    </row>
    <row r="2621" spans="11:11">
      <c r="K2621" s="164"/>
    </row>
    <row r="2622" spans="11:11">
      <c r="K2622" s="164"/>
    </row>
    <row r="2623" spans="11:11">
      <c r="K2623" s="164"/>
    </row>
    <row r="2624" spans="11:11">
      <c r="K2624" s="164"/>
    </row>
    <row r="2625" spans="11:11">
      <c r="K2625" s="164"/>
    </row>
    <row r="2626" spans="11:11">
      <c r="K2626" s="164"/>
    </row>
    <row r="2627" spans="11:11">
      <c r="K2627" s="164"/>
    </row>
    <row r="2628" spans="11:11">
      <c r="K2628" s="164"/>
    </row>
    <row r="2629" spans="11:11">
      <c r="K2629" s="164"/>
    </row>
    <row r="2630" spans="11:11">
      <c r="K2630" s="164"/>
    </row>
    <row r="2631" spans="11:11">
      <c r="K2631" s="164"/>
    </row>
    <row r="2632" spans="11:11">
      <c r="K2632" s="164"/>
    </row>
    <row r="2633" spans="11:11">
      <c r="K2633" s="164"/>
    </row>
    <row r="2634" spans="11:11">
      <c r="K2634" s="164"/>
    </row>
    <row r="2635" spans="11:11">
      <c r="K2635" s="164"/>
    </row>
    <row r="2636" spans="11:11">
      <c r="K2636" s="164"/>
    </row>
    <row r="2637" spans="11:11">
      <c r="K2637" s="164"/>
    </row>
    <row r="2638" spans="11:11">
      <c r="K2638" s="164"/>
    </row>
    <row r="2639" spans="11:11">
      <c r="K2639" s="164"/>
    </row>
    <row r="2640" spans="11:11">
      <c r="K2640" s="164"/>
    </row>
    <row r="2641" spans="11:11">
      <c r="K2641" s="164"/>
    </row>
    <row r="2642" spans="11:11">
      <c r="K2642" s="164"/>
    </row>
    <row r="2643" spans="11:11">
      <c r="K2643" s="164"/>
    </row>
    <row r="2644" spans="11:11">
      <c r="K2644" s="164"/>
    </row>
    <row r="2645" spans="11:11">
      <c r="K2645" s="164"/>
    </row>
    <row r="2646" spans="11:11">
      <c r="K2646" s="164"/>
    </row>
    <row r="2647" spans="11:11">
      <c r="K2647" s="164"/>
    </row>
    <row r="2648" spans="11:11">
      <c r="K2648" s="164"/>
    </row>
    <row r="2649" spans="11:11">
      <c r="K2649" s="164"/>
    </row>
    <row r="2650" spans="11:11">
      <c r="K2650" s="164"/>
    </row>
    <row r="2651" spans="11:11">
      <c r="K2651" s="164"/>
    </row>
    <row r="2652" spans="11:11">
      <c r="K2652" s="164"/>
    </row>
    <row r="2653" spans="11:11">
      <c r="K2653" s="164"/>
    </row>
    <row r="2654" spans="11:11">
      <c r="K2654" s="164"/>
    </row>
    <row r="2655" spans="11:11">
      <c r="K2655" s="164"/>
    </row>
    <row r="2656" spans="11:11">
      <c r="K2656" s="164"/>
    </row>
    <row r="2657" spans="11:11">
      <c r="K2657" s="164"/>
    </row>
    <row r="2658" spans="11:11">
      <c r="K2658" s="164"/>
    </row>
    <row r="2659" spans="11:11">
      <c r="K2659" s="164"/>
    </row>
    <row r="2660" spans="11:11">
      <c r="K2660" s="164"/>
    </row>
    <row r="2661" spans="11:11">
      <c r="K2661" s="164"/>
    </row>
    <row r="2662" spans="11:11">
      <c r="K2662" s="164"/>
    </row>
    <row r="2663" spans="11:11">
      <c r="K2663" s="164"/>
    </row>
    <row r="2664" spans="11:11">
      <c r="K2664" s="164"/>
    </row>
    <row r="2665" spans="11:11">
      <c r="K2665" s="164"/>
    </row>
    <row r="2666" spans="11:11">
      <c r="K2666" s="164"/>
    </row>
    <row r="2667" spans="11:11">
      <c r="K2667" s="164"/>
    </row>
    <row r="2668" spans="11:11">
      <c r="K2668" s="164"/>
    </row>
    <row r="2669" spans="11:11">
      <c r="K2669" s="164"/>
    </row>
    <row r="2670" spans="11:11">
      <c r="K2670" s="164"/>
    </row>
    <row r="2671" spans="11:11">
      <c r="K2671" s="164"/>
    </row>
    <row r="2672" spans="11:11">
      <c r="K2672" s="164"/>
    </row>
    <row r="2673" spans="11:11">
      <c r="K2673" s="164"/>
    </row>
    <row r="2674" spans="11:11">
      <c r="K2674" s="164"/>
    </row>
    <row r="2675" spans="11:11">
      <c r="K2675" s="164"/>
    </row>
    <row r="2676" spans="11:11">
      <c r="K2676" s="164"/>
    </row>
    <row r="2677" spans="11:11">
      <c r="K2677" s="164"/>
    </row>
    <row r="2678" spans="11:11">
      <c r="K2678" s="164"/>
    </row>
    <row r="2679" spans="11:11">
      <c r="K2679" s="164"/>
    </row>
    <row r="2680" spans="11:11">
      <c r="K2680" s="164"/>
    </row>
    <row r="2681" spans="11:11">
      <c r="K2681" s="164"/>
    </row>
    <row r="2682" spans="11:11">
      <c r="K2682" s="164"/>
    </row>
    <row r="2683" spans="11:11">
      <c r="K2683" s="164"/>
    </row>
    <row r="2684" spans="11:11">
      <c r="K2684" s="164"/>
    </row>
    <row r="2685" spans="11:11">
      <c r="K2685" s="164"/>
    </row>
    <row r="2686" spans="11:11">
      <c r="K2686" s="164"/>
    </row>
    <row r="2687" spans="11:11">
      <c r="K2687" s="164"/>
    </row>
    <row r="2688" spans="11:11">
      <c r="K2688" s="164"/>
    </row>
    <row r="2689" spans="11:11">
      <c r="K2689" s="164"/>
    </row>
    <row r="2690" spans="11:11">
      <c r="K2690" s="164"/>
    </row>
    <row r="2691" spans="11:11">
      <c r="K2691" s="164"/>
    </row>
    <row r="2692" spans="11:11">
      <c r="K2692" s="164"/>
    </row>
    <row r="2693" spans="11:11">
      <c r="K2693" s="164"/>
    </row>
    <row r="2694" spans="11:11">
      <c r="K2694" s="164"/>
    </row>
    <row r="2695" spans="11:11">
      <c r="K2695" s="164"/>
    </row>
    <row r="2696" spans="11:11">
      <c r="K2696" s="164"/>
    </row>
    <row r="2697" spans="11:11">
      <c r="K2697" s="164"/>
    </row>
    <row r="2698" spans="11:11">
      <c r="K2698" s="164"/>
    </row>
    <row r="2699" spans="11:11">
      <c r="K2699" s="164"/>
    </row>
    <row r="2700" spans="11:11">
      <c r="K2700" s="164"/>
    </row>
    <row r="2701" spans="11:11">
      <c r="K2701" s="164"/>
    </row>
    <row r="2702" spans="11:11">
      <c r="K2702" s="164"/>
    </row>
    <row r="2703" spans="11:11">
      <c r="K2703" s="164"/>
    </row>
    <row r="2704" spans="11:11">
      <c r="K2704" s="164"/>
    </row>
    <row r="2705" spans="11:11">
      <c r="K2705" s="164"/>
    </row>
    <row r="2706" spans="11:11">
      <c r="K2706" s="164"/>
    </row>
    <row r="2707" spans="11:11">
      <c r="K2707" s="164"/>
    </row>
    <row r="2708" spans="11:11">
      <c r="K2708" s="164"/>
    </row>
    <row r="2709" spans="11:11">
      <c r="K2709" s="164"/>
    </row>
    <row r="2710" spans="11:11">
      <c r="K2710" s="164"/>
    </row>
    <row r="2711" spans="11:11">
      <c r="K2711" s="164"/>
    </row>
    <row r="2712" spans="11:11">
      <c r="K2712" s="164"/>
    </row>
    <row r="2713" spans="11:11">
      <c r="K2713" s="164"/>
    </row>
    <row r="2714" spans="11:11">
      <c r="K2714" s="164"/>
    </row>
    <row r="2715" spans="11:11">
      <c r="K2715" s="164"/>
    </row>
    <row r="2716" spans="11:11">
      <c r="K2716" s="164"/>
    </row>
    <row r="2717" spans="11:11">
      <c r="K2717" s="164"/>
    </row>
    <row r="2718" spans="11:11">
      <c r="K2718" s="164"/>
    </row>
    <row r="2719" spans="11:11">
      <c r="K2719" s="164"/>
    </row>
    <row r="2720" spans="11:11">
      <c r="K2720" s="164"/>
    </row>
    <row r="2721" spans="11:11">
      <c r="K2721" s="164"/>
    </row>
    <row r="2722" spans="11:11">
      <c r="K2722" s="164"/>
    </row>
    <row r="2723" spans="11:11">
      <c r="K2723" s="164"/>
    </row>
    <row r="2724" spans="11:11">
      <c r="K2724" s="164"/>
    </row>
    <row r="2725" spans="11:11">
      <c r="K2725" s="164"/>
    </row>
    <row r="2726" spans="11:11">
      <c r="K2726" s="164"/>
    </row>
    <row r="2727" spans="11:11">
      <c r="K2727" s="164"/>
    </row>
    <row r="2728" spans="11:11">
      <c r="K2728" s="164"/>
    </row>
    <row r="2729" spans="11:11">
      <c r="K2729" s="164"/>
    </row>
    <row r="2730" spans="11:11">
      <c r="K2730" s="164"/>
    </row>
    <row r="2731" spans="11:11">
      <c r="K2731" s="164"/>
    </row>
    <row r="2732" spans="11:11">
      <c r="K2732" s="164"/>
    </row>
    <row r="2733" spans="11:11">
      <c r="K2733" s="164"/>
    </row>
    <row r="2734" spans="11:11">
      <c r="K2734" s="164"/>
    </row>
    <row r="2735" spans="11:11">
      <c r="K2735" s="164"/>
    </row>
    <row r="2736" spans="11:11">
      <c r="K2736" s="164"/>
    </row>
    <row r="2737" spans="11:11">
      <c r="K2737" s="164"/>
    </row>
    <row r="2738" spans="11:11">
      <c r="K2738" s="164"/>
    </row>
    <row r="2739" spans="11:11">
      <c r="K2739" s="164"/>
    </row>
    <row r="2740" spans="11:11">
      <c r="K2740" s="164"/>
    </row>
    <row r="2741" spans="11:11">
      <c r="K2741" s="164"/>
    </row>
    <row r="2742" spans="11:11">
      <c r="K2742" s="164"/>
    </row>
    <row r="2743" spans="11:11">
      <c r="K2743" s="164"/>
    </row>
    <row r="2744" spans="11:11">
      <c r="K2744" s="164"/>
    </row>
    <row r="2745" spans="11:11">
      <c r="K2745" s="164"/>
    </row>
    <row r="2746" spans="11:11">
      <c r="K2746" s="164"/>
    </row>
    <row r="2747" spans="11:11">
      <c r="K2747" s="164"/>
    </row>
    <row r="2748" spans="11:11">
      <c r="K2748" s="164"/>
    </row>
    <row r="2749" spans="11:11">
      <c r="K2749" s="164"/>
    </row>
    <row r="2750" spans="11:11">
      <c r="K2750" s="164"/>
    </row>
    <row r="2751" spans="11:11">
      <c r="K2751" s="164"/>
    </row>
    <row r="2752" spans="11:11">
      <c r="K2752" s="164"/>
    </row>
    <row r="2753" spans="11:11">
      <c r="K2753" s="164"/>
    </row>
    <row r="2754" spans="11:11">
      <c r="K2754" s="164"/>
    </row>
    <row r="2755" spans="11:11">
      <c r="K2755" s="164"/>
    </row>
    <row r="2756" spans="11:11">
      <c r="K2756" s="164"/>
    </row>
    <row r="2757" spans="11:11">
      <c r="K2757" s="164"/>
    </row>
    <row r="2758" spans="11:11">
      <c r="K2758" s="164"/>
    </row>
    <row r="2759" spans="11:11">
      <c r="K2759" s="164"/>
    </row>
    <row r="2760" spans="11:11">
      <c r="K2760" s="164"/>
    </row>
    <row r="2761" spans="11:11">
      <c r="K2761" s="164"/>
    </row>
    <row r="2762" spans="11:11">
      <c r="K2762" s="164"/>
    </row>
    <row r="2763" spans="11:11">
      <c r="K2763" s="164"/>
    </row>
    <row r="2764" spans="11:11">
      <c r="K2764" s="164"/>
    </row>
    <row r="2765" spans="11:11">
      <c r="K2765" s="164"/>
    </row>
    <row r="2766" spans="11:11">
      <c r="K2766" s="164"/>
    </row>
    <row r="2767" spans="11:11">
      <c r="K2767" s="164"/>
    </row>
    <row r="2768" spans="11:11">
      <c r="K2768" s="164"/>
    </row>
    <row r="2769" spans="11:11">
      <c r="K2769" s="164"/>
    </row>
    <row r="2770" spans="11:11">
      <c r="K2770" s="164"/>
    </row>
    <row r="2771" spans="11:11">
      <c r="K2771" s="164"/>
    </row>
    <row r="2772" spans="11:11">
      <c r="K2772" s="164"/>
    </row>
    <row r="2773" spans="11:11">
      <c r="K2773" s="164"/>
    </row>
    <row r="2774" spans="11:11">
      <c r="K2774" s="164"/>
    </row>
    <row r="2775" spans="11:11">
      <c r="K2775" s="164"/>
    </row>
    <row r="2776" spans="11:11">
      <c r="K2776" s="164"/>
    </row>
    <row r="2777" spans="11:11">
      <c r="K2777" s="164"/>
    </row>
    <row r="2778" spans="11:11">
      <c r="K2778" s="164"/>
    </row>
    <row r="2779" spans="11:11">
      <c r="K2779" s="164"/>
    </row>
    <row r="2780" spans="11:11">
      <c r="K2780" s="164"/>
    </row>
    <row r="2781" spans="11:11">
      <c r="K2781" s="164"/>
    </row>
    <row r="2782" spans="11:11">
      <c r="K2782" s="164"/>
    </row>
    <row r="2783" spans="11:11">
      <c r="K2783" s="164"/>
    </row>
    <row r="2784" spans="11:11">
      <c r="K2784" s="164"/>
    </row>
    <row r="2785" spans="11:11">
      <c r="K2785" s="164"/>
    </row>
    <row r="2786" spans="11:11">
      <c r="K2786" s="164"/>
    </row>
    <row r="2787" spans="11:11">
      <c r="K2787" s="164"/>
    </row>
    <row r="2788" spans="11:11">
      <c r="K2788" s="164"/>
    </row>
    <row r="2789" spans="11:11">
      <c r="K2789" s="164"/>
    </row>
    <row r="2790" spans="11:11">
      <c r="K2790" s="164"/>
    </row>
    <row r="2791" spans="11:11">
      <c r="K2791" s="164"/>
    </row>
    <row r="2792" spans="11:11">
      <c r="K2792" s="164"/>
    </row>
    <row r="2793" spans="11:11">
      <c r="K2793" s="164"/>
    </row>
    <row r="2794" spans="11:11">
      <c r="K2794" s="164"/>
    </row>
    <row r="2795" spans="11:11">
      <c r="K2795" s="164"/>
    </row>
    <row r="2796" spans="11:11">
      <c r="K2796" s="164"/>
    </row>
    <row r="2797" spans="11:11">
      <c r="K2797" s="164"/>
    </row>
    <row r="2798" spans="11:11">
      <c r="K2798" s="164"/>
    </row>
    <row r="2799" spans="11:11">
      <c r="K2799" s="164"/>
    </row>
    <row r="2800" spans="11:11">
      <c r="K2800" s="164"/>
    </row>
    <row r="2801" spans="11:11">
      <c r="K2801" s="164"/>
    </row>
    <row r="2802" spans="11:11">
      <c r="K2802" s="164"/>
    </row>
    <row r="2803" spans="11:11">
      <c r="K2803" s="164"/>
    </row>
    <row r="2804" spans="11:11">
      <c r="K2804" s="164"/>
    </row>
    <row r="2805" spans="11:11">
      <c r="K2805" s="164"/>
    </row>
    <row r="2806" spans="11:11">
      <c r="K2806" s="164"/>
    </row>
    <row r="2807" spans="11:11">
      <c r="K2807" s="164"/>
    </row>
    <row r="2808" spans="11:11">
      <c r="K2808" s="164"/>
    </row>
    <row r="2809" spans="11:11">
      <c r="K2809" s="164"/>
    </row>
    <row r="2810" spans="11:11">
      <c r="K2810" s="164"/>
    </row>
    <row r="2811" spans="11:11">
      <c r="K2811" s="164"/>
    </row>
    <row r="2812" spans="11:11">
      <c r="K2812" s="164"/>
    </row>
    <row r="2813" spans="11:11">
      <c r="K2813" s="164"/>
    </row>
    <row r="2814" spans="11:11">
      <c r="K2814" s="164"/>
    </row>
    <row r="2815" spans="11:11">
      <c r="K2815" s="164"/>
    </row>
    <row r="2816" spans="11:11">
      <c r="K2816" s="164"/>
    </row>
    <row r="2817" spans="11:11">
      <c r="K2817" s="164"/>
    </row>
    <row r="2818" spans="11:11">
      <c r="K2818" s="164"/>
    </row>
    <row r="2819" spans="11:11">
      <c r="K2819" s="164"/>
    </row>
    <row r="2820" spans="11:11">
      <c r="K2820" s="164"/>
    </row>
    <row r="2821" spans="11:11">
      <c r="K2821" s="164"/>
    </row>
    <row r="2822" spans="11:11">
      <c r="K2822" s="164"/>
    </row>
    <row r="2823" spans="11:11">
      <c r="K2823" s="164"/>
    </row>
    <row r="2824" spans="11:11">
      <c r="K2824" s="164"/>
    </row>
    <row r="2825" spans="11:11">
      <c r="K2825" s="164"/>
    </row>
    <row r="2826" spans="11:11">
      <c r="K2826" s="164"/>
    </row>
    <row r="2827" spans="11:11">
      <c r="K2827" s="164"/>
    </row>
    <row r="2828" spans="11:11">
      <c r="K2828" s="164"/>
    </row>
    <row r="2829" spans="11:11">
      <c r="K2829" s="164"/>
    </row>
    <row r="2830" spans="11:11">
      <c r="K2830" s="164"/>
    </row>
    <row r="2831" spans="11:11">
      <c r="K2831" s="164"/>
    </row>
    <row r="2832" spans="11:11">
      <c r="K2832" s="164"/>
    </row>
    <row r="2833" spans="11:11">
      <c r="K2833" s="164"/>
    </row>
    <row r="2834" spans="11:11">
      <c r="K2834" s="164"/>
    </row>
    <row r="2835" spans="11:11">
      <c r="K2835" s="164"/>
    </row>
    <row r="2836" spans="11:11">
      <c r="K2836" s="164"/>
    </row>
    <row r="2837" spans="11:11">
      <c r="K2837" s="164"/>
    </row>
    <row r="2838" spans="11:11">
      <c r="K2838" s="164"/>
    </row>
    <row r="2839" spans="11:11">
      <c r="K2839" s="164"/>
    </row>
    <row r="2840" spans="11:11">
      <c r="K2840" s="164"/>
    </row>
    <row r="2841" spans="11:11">
      <c r="K2841" s="164"/>
    </row>
    <row r="2842" spans="11:11">
      <c r="K2842" s="164"/>
    </row>
    <row r="2843" spans="11:11">
      <c r="K2843" s="164"/>
    </row>
    <row r="2844" spans="11:11">
      <c r="K2844" s="164"/>
    </row>
    <row r="2845" spans="11:11">
      <c r="K2845" s="164"/>
    </row>
    <row r="2846" spans="11:11">
      <c r="K2846" s="164"/>
    </row>
    <row r="2847" spans="11:11">
      <c r="K2847" s="164"/>
    </row>
    <row r="2848" spans="11:11">
      <c r="K2848" s="164"/>
    </row>
    <row r="2849" spans="11:11">
      <c r="K2849" s="164"/>
    </row>
    <row r="2850" spans="11:11">
      <c r="K2850" s="164"/>
    </row>
    <row r="2851" spans="11:11">
      <c r="K2851" s="164"/>
    </row>
    <row r="2852" spans="11:11">
      <c r="K2852" s="164"/>
    </row>
    <row r="2853" spans="11:11">
      <c r="K2853" s="164"/>
    </row>
    <row r="2854" spans="11:11">
      <c r="K2854" s="164"/>
    </row>
    <row r="2855" spans="11:11">
      <c r="K2855" s="164"/>
    </row>
    <row r="2856" spans="11:11">
      <c r="K2856" s="164"/>
    </row>
    <row r="2857" spans="11:11">
      <c r="K2857" s="164"/>
    </row>
    <row r="2858" spans="11:11">
      <c r="K2858" s="164"/>
    </row>
    <row r="2859" spans="11:11">
      <c r="K2859" s="164"/>
    </row>
    <row r="2860" spans="11:11">
      <c r="K2860" s="164"/>
    </row>
    <row r="2861" spans="11:11">
      <c r="K2861" s="164"/>
    </row>
    <row r="2862" spans="11:11">
      <c r="K2862" s="164"/>
    </row>
    <row r="2863" spans="11:11">
      <c r="K2863" s="164"/>
    </row>
    <row r="2864" spans="11:11">
      <c r="K2864" s="164"/>
    </row>
    <row r="2865" spans="11:11">
      <c r="K2865" s="164"/>
    </row>
    <row r="2866" spans="11:11">
      <c r="K2866" s="164"/>
    </row>
    <row r="2867" spans="11:11">
      <c r="K2867" s="164"/>
    </row>
    <row r="2868" spans="11:11">
      <c r="K2868" s="164"/>
    </row>
    <row r="2869" spans="11:11">
      <c r="K2869" s="164"/>
    </row>
    <row r="2870" spans="11:11">
      <c r="K2870" s="164"/>
    </row>
    <row r="2871" spans="11:11">
      <c r="K2871" s="164"/>
    </row>
    <row r="2872" spans="11:11">
      <c r="K2872" s="164"/>
    </row>
    <row r="2873" spans="11:11">
      <c r="K2873" s="164"/>
    </row>
    <row r="2874" spans="11:11">
      <c r="K2874" s="164"/>
    </row>
    <row r="2875" spans="11:11">
      <c r="K2875" s="164"/>
    </row>
    <row r="2876" spans="11:11">
      <c r="K2876" s="164"/>
    </row>
    <row r="2877" spans="11:11">
      <c r="K2877" s="164"/>
    </row>
    <row r="2878" spans="11:11">
      <c r="K2878" s="164"/>
    </row>
    <row r="2879" spans="11:11">
      <c r="K2879" s="164"/>
    </row>
    <row r="2880" spans="11:11">
      <c r="K2880" s="164"/>
    </row>
    <row r="2881" spans="11:11">
      <c r="K2881" s="164"/>
    </row>
    <row r="2882" spans="11:11">
      <c r="K2882" s="164"/>
    </row>
    <row r="2883" spans="11:11">
      <c r="K2883" s="164"/>
    </row>
    <row r="2884" spans="11:11">
      <c r="K2884" s="164"/>
    </row>
    <row r="2885" spans="11:11">
      <c r="K2885" s="164"/>
    </row>
    <row r="2886" spans="11:11">
      <c r="K2886" s="164"/>
    </row>
    <row r="2887" spans="11:11">
      <c r="K2887" s="164"/>
    </row>
    <row r="2888" spans="11:11">
      <c r="K2888" s="164"/>
    </row>
    <row r="2889" spans="11:11">
      <c r="K2889" s="164"/>
    </row>
    <row r="2890" spans="11:11">
      <c r="K2890" s="164"/>
    </row>
    <row r="2891" spans="11:11">
      <c r="K2891" s="164"/>
    </row>
    <row r="2892" spans="11:11">
      <c r="K2892" s="164"/>
    </row>
    <row r="2893" spans="11:11">
      <c r="K2893" s="164"/>
    </row>
    <row r="2894" spans="11:11">
      <c r="K2894" s="164"/>
    </row>
    <row r="2895" spans="11:11">
      <c r="K2895" s="164"/>
    </row>
    <row r="2896" spans="11:11">
      <c r="K2896" s="164"/>
    </row>
    <row r="2897" spans="11:11">
      <c r="K2897" s="164"/>
    </row>
    <row r="2898" spans="11:11">
      <c r="K2898" s="164"/>
    </row>
    <row r="2899" spans="11:11">
      <c r="K2899" s="164"/>
    </row>
    <row r="2900" spans="11:11">
      <c r="K2900" s="164"/>
    </row>
    <row r="2901" spans="11:11">
      <c r="K2901" s="164"/>
    </row>
    <row r="2902" spans="11:11">
      <c r="K2902" s="164"/>
    </row>
    <row r="2903" spans="11:11">
      <c r="K2903" s="164"/>
    </row>
    <row r="2904" spans="11:11">
      <c r="K2904" s="164"/>
    </row>
    <row r="2905" spans="11:11">
      <c r="K2905" s="164"/>
    </row>
    <row r="2906" spans="11:11">
      <c r="K2906" s="164"/>
    </row>
    <row r="2907" spans="11:11">
      <c r="K2907" s="164"/>
    </row>
    <row r="2908" spans="11:11">
      <c r="K2908" s="164"/>
    </row>
    <row r="2909" spans="11:11">
      <c r="K2909" s="164"/>
    </row>
    <row r="2910" spans="11:11">
      <c r="K2910" s="164"/>
    </row>
    <row r="2911" spans="11:11">
      <c r="K2911" s="164"/>
    </row>
    <row r="2912" spans="11:11">
      <c r="K2912" s="164"/>
    </row>
    <row r="2913" spans="11:11">
      <c r="K2913" s="164"/>
    </row>
    <row r="2914" spans="11:11">
      <c r="K2914" s="164"/>
    </row>
    <row r="2915" spans="11:11">
      <c r="K2915" s="164"/>
    </row>
    <row r="2916" spans="11:11">
      <c r="K2916" s="164"/>
    </row>
    <row r="2917" spans="11:11">
      <c r="K2917" s="164"/>
    </row>
    <row r="2918" spans="11:11">
      <c r="K2918" s="164"/>
    </row>
    <row r="2919" spans="11:11">
      <c r="K2919" s="164"/>
    </row>
    <row r="2920" spans="11:11">
      <c r="K2920" s="164"/>
    </row>
    <row r="2921" spans="11:11">
      <c r="K2921" s="164"/>
    </row>
    <row r="2922" spans="11:11">
      <c r="K2922" s="164"/>
    </row>
    <row r="2923" spans="11:11">
      <c r="K2923" s="164"/>
    </row>
    <row r="2924" spans="11:11">
      <c r="K2924" s="164"/>
    </row>
    <row r="2925" spans="11:11">
      <c r="K2925" s="164"/>
    </row>
    <row r="2926" spans="11:11">
      <c r="K2926" s="164"/>
    </row>
    <row r="2927" spans="11:11">
      <c r="K2927" s="164"/>
    </row>
    <row r="2928" spans="11:11">
      <c r="K2928" s="164"/>
    </row>
    <row r="2929" spans="11:11">
      <c r="K2929" s="164"/>
    </row>
    <row r="2930" spans="11:11">
      <c r="K2930" s="164"/>
    </row>
    <row r="2931" spans="11:11">
      <c r="K2931" s="164"/>
    </row>
    <row r="2932" spans="11:11">
      <c r="K2932" s="164"/>
    </row>
    <row r="2933" spans="11:11">
      <c r="K2933" s="164"/>
    </row>
    <row r="2934" spans="11:11">
      <c r="K2934" s="164"/>
    </row>
    <row r="2935" spans="11:11">
      <c r="K2935" s="164"/>
    </row>
    <row r="2936" spans="11:11">
      <c r="K2936" s="164"/>
    </row>
    <row r="2937" spans="11:11">
      <c r="K2937" s="164"/>
    </row>
    <row r="2938" spans="11:11">
      <c r="K2938" s="164"/>
    </row>
    <row r="2939" spans="11:11">
      <c r="K2939" s="164"/>
    </row>
    <row r="2940" spans="11:11">
      <c r="K2940" s="164"/>
    </row>
    <row r="2941" spans="11:11">
      <c r="K2941" s="164"/>
    </row>
    <row r="2942" spans="11:11">
      <c r="K2942" s="164"/>
    </row>
    <row r="2943" spans="11:11">
      <c r="K2943" s="164"/>
    </row>
    <row r="2944" spans="11:11">
      <c r="K2944" s="164"/>
    </row>
    <row r="2945" spans="11:11">
      <c r="K2945" s="164"/>
    </row>
    <row r="2946" spans="11:11">
      <c r="K2946" s="164"/>
    </row>
    <row r="2947" spans="11:11">
      <c r="K2947" s="164"/>
    </row>
    <row r="2948" spans="11:11">
      <c r="K2948" s="164"/>
    </row>
    <row r="2949" spans="11:11">
      <c r="K2949" s="164"/>
    </row>
    <row r="2950" spans="11:11">
      <c r="K2950" s="164"/>
    </row>
    <row r="2951" spans="11:11">
      <c r="K2951" s="164"/>
    </row>
    <row r="2952" spans="11:11">
      <c r="K2952" s="164"/>
    </row>
    <row r="2953" spans="11:11">
      <c r="K2953" s="164"/>
    </row>
    <row r="2954" spans="11:11">
      <c r="K2954" s="164"/>
    </row>
    <row r="2955" spans="11:11">
      <c r="K2955" s="164"/>
    </row>
    <row r="2956" spans="11:11">
      <c r="K2956" s="164"/>
    </row>
    <row r="2957" spans="11:11">
      <c r="K2957" s="164"/>
    </row>
    <row r="2958" spans="11:11">
      <c r="K2958" s="164"/>
    </row>
    <row r="2959" spans="11:11">
      <c r="K2959" s="164"/>
    </row>
    <row r="2960" spans="11:11">
      <c r="K2960" s="164"/>
    </row>
    <row r="2961" spans="11:11">
      <c r="K2961" s="164"/>
    </row>
    <row r="2962" spans="11:11">
      <c r="K2962" s="164"/>
    </row>
    <row r="2963" spans="11:11">
      <c r="K2963" s="164"/>
    </row>
    <row r="2964" spans="11:11">
      <c r="K2964" s="164"/>
    </row>
    <row r="2965" spans="11:11">
      <c r="K2965" s="164"/>
    </row>
    <row r="2966" spans="11:11">
      <c r="K2966" s="164"/>
    </row>
    <row r="2967" spans="11:11">
      <c r="K2967" s="164"/>
    </row>
    <row r="2968" spans="11:11">
      <c r="K2968" s="164"/>
    </row>
    <row r="2969" spans="11:11">
      <c r="K2969" s="164"/>
    </row>
    <row r="2970" spans="11:11">
      <c r="K2970" s="164"/>
    </row>
    <row r="2971" spans="11:11">
      <c r="K2971" s="164"/>
    </row>
    <row r="2972" spans="11:11">
      <c r="K2972" s="164"/>
    </row>
    <row r="2973" spans="11:11">
      <c r="K2973" s="164"/>
    </row>
    <row r="2974" spans="11:11">
      <c r="K2974" s="164"/>
    </row>
    <row r="2975" spans="11:11">
      <c r="K2975" s="164"/>
    </row>
    <row r="2976" spans="11:11">
      <c r="K2976" s="164"/>
    </row>
    <row r="2977" spans="11:11">
      <c r="K2977" s="164"/>
    </row>
    <row r="2978" spans="11:11">
      <c r="K2978" s="164"/>
    </row>
    <row r="2979" spans="11:11">
      <c r="K2979" s="164"/>
    </row>
    <row r="2980" spans="11:11">
      <c r="K2980" s="164"/>
    </row>
    <row r="2981" spans="11:11">
      <c r="K2981" s="164"/>
    </row>
    <row r="2982" spans="11:11">
      <c r="K2982" s="164"/>
    </row>
    <row r="2983" spans="11:11">
      <c r="K2983" s="164"/>
    </row>
    <row r="2984" spans="11:11">
      <c r="K2984" s="164"/>
    </row>
    <row r="2985" spans="11:11">
      <c r="K2985" s="164"/>
    </row>
    <row r="2986" spans="11:11">
      <c r="K2986" s="164"/>
    </row>
    <row r="2987" spans="11:11">
      <c r="K2987" s="164"/>
    </row>
    <row r="2988" spans="11:11">
      <c r="K2988" s="164"/>
    </row>
    <row r="2989" spans="11:11">
      <c r="K2989" s="164"/>
    </row>
    <row r="2990" spans="11:11">
      <c r="K2990" s="164"/>
    </row>
    <row r="2991" spans="11:11">
      <c r="K2991" s="164"/>
    </row>
    <row r="2992" spans="11:11">
      <c r="K2992" s="164"/>
    </row>
    <row r="2993" spans="11:11">
      <c r="K2993" s="164"/>
    </row>
    <row r="2994" spans="11:11">
      <c r="K2994" s="164"/>
    </row>
    <row r="2995" spans="11:11">
      <c r="K2995" s="164"/>
    </row>
    <row r="2996" spans="11:11">
      <c r="K2996" s="164"/>
    </row>
    <row r="2997" spans="11:11">
      <c r="K2997" s="164"/>
    </row>
    <row r="2998" spans="11:11">
      <c r="K2998" s="164"/>
    </row>
    <row r="2999" spans="11:11">
      <c r="K2999" s="164"/>
    </row>
    <row r="3000" spans="11:11">
      <c r="K3000" s="164"/>
    </row>
    <row r="3001" spans="11:11">
      <c r="K3001" s="164"/>
    </row>
    <row r="3002" spans="11:11">
      <c r="K3002" s="164"/>
    </row>
    <row r="3003" spans="11:11">
      <c r="K3003" s="164"/>
    </row>
    <row r="3004" spans="11:11">
      <c r="K3004" s="164"/>
    </row>
    <row r="3005" spans="11:11">
      <c r="K3005" s="164"/>
    </row>
    <row r="3006" spans="11:11">
      <c r="K3006" s="164"/>
    </row>
    <row r="3007" spans="11:11">
      <c r="K3007" s="164"/>
    </row>
    <row r="3008" spans="11:11">
      <c r="K3008" s="164"/>
    </row>
    <row r="3009" spans="11:11">
      <c r="K3009" s="164"/>
    </row>
    <row r="3010" spans="11:11">
      <c r="K3010" s="164"/>
    </row>
    <row r="3011" spans="11:11">
      <c r="K3011" s="164"/>
    </row>
    <row r="3012" spans="11:11">
      <c r="K3012" s="164"/>
    </row>
    <row r="3013" spans="11:11">
      <c r="K3013" s="164"/>
    </row>
    <row r="3014" spans="11:11">
      <c r="K3014" s="164"/>
    </row>
    <row r="3015" spans="11:11">
      <c r="K3015" s="164"/>
    </row>
    <row r="3016" spans="11:11">
      <c r="K3016" s="164"/>
    </row>
    <row r="3017" spans="11:11">
      <c r="K3017" s="164"/>
    </row>
    <row r="3018" spans="11:11">
      <c r="K3018" s="164"/>
    </row>
    <row r="3019" spans="11:11">
      <c r="K3019" s="164"/>
    </row>
    <row r="3020" spans="11:11">
      <c r="K3020" s="164"/>
    </row>
    <row r="3021" spans="11:11">
      <c r="K3021" s="164"/>
    </row>
    <row r="3022" spans="11:11">
      <c r="K3022" s="164"/>
    </row>
    <row r="3023" spans="11:11">
      <c r="K3023" s="164"/>
    </row>
    <row r="3024" spans="11:11">
      <c r="K3024" s="164"/>
    </row>
    <row r="3025" spans="11:11">
      <c r="K3025" s="164"/>
    </row>
    <row r="3026" spans="11:11">
      <c r="K3026" s="164"/>
    </row>
    <row r="3027" spans="11:11">
      <c r="K3027" s="164"/>
    </row>
    <row r="3028" spans="11:11">
      <c r="K3028" s="164"/>
    </row>
    <row r="3029" spans="11:11">
      <c r="K3029" s="164"/>
    </row>
    <row r="3030" spans="11:11">
      <c r="K3030" s="164"/>
    </row>
    <row r="3031" spans="11:11">
      <c r="K3031" s="164"/>
    </row>
    <row r="3032" spans="11:11">
      <c r="K3032" s="164"/>
    </row>
    <row r="3033" spans="11:11">
      <c r="K3033" s="164"/>
    </row>
    <row r="3034" spans="11:11">
      <c r="K3034" s="164"/>
    </row>
    <row r="3035" spans="11:11">
      <c r="K3035" s="164"/>
    </row>
    <row r="3036" spans="11:11">
      <c r="K3036" s="164"/>
    </row>
    <row r="3037" spans="11:11">
      <c r="K3037" s="164"/>
    </row>
    <row r="3038" spans="11:11">
      <c r="K3038" s="164"/>
    </row>
    <row r="3039" spans="11:11">
      <c r="K3039" s="164"/>
    </row>
    <row r="3040" spans="11:11">
      <c r="K3040" s="164"/>
    </row>
    <row r="3041" spans="11:11">
      <c r="K3041" s="164"/>
    </row>
    <row r="3042" spans="11:11">
      <c r="K3042" s="164"/>
    </row>
    <row r="3043" spans="11:11">
      <c r="K3043" s="164"/>
    </row>
    <row r="3044" spans="11:11">
      <c r="K3044" s="164"/>
    </row>
    <row r="3045" spans="11:11">
      <c r="K3045" s="164"/>
    </row>
    <row r="3046" spans="11:11">
      <c r="K3046" s="164"/>
    </row>
    <row r="3047" spans="11:11">
      <c r="K3047" s="164"/>
    </row>
    <row r="3048" spans="11:11">
      <c r="K3048" s="164"/>
    </row>
    <row r="3049" spans="11:11">
      <c r="K3049" s="164"/>
    </row>
    <row r="3050" spans="11:11">
      <c r="K3050" s="164"/>
    </row>
    <row r="3051" spans="11:11">
      <c r="K3051" s="164"/>
    </row>
    <row r="3052" spans="11:11">
      <c r="K3052" s="164"/>
    </row>
    <row r="3053" spans="11:11">
      <c r="K3053" s="164"/>
    </row>
    <row r="3054" spans="11:11">
      <c r="K3054" s="164"/>
    </row>
    <row r="3055" spans="11:11">
      <c r="K3055" s="164"/>
    </row>
    <row r="3056" spans="11:11">
      <c r="K3056" s="164"/>
    </row>
    <row r="3057" spans="11:11">
      <c r="K3057" s="164"/>
    </row>
    <row r="3058" spans="11:11">
      <c r="K3058" s="164"/>
    </row>
    <row r="3059" spans="11:11">
      <c r="K3059" s="164"/>
    </row>
    <row r="3060" spans="11:11">
      <c r="K3060" s="164"/>
    </row>
    <row r="3061" spans="11:11">
      <c r="K3061" s="164"/>
    </row>
    <row r="3062" spans="11:11">
      <c r="K3062" s="164"/>
    </row>
    <row r="3063" spans="11:11">
      <c r="K3063" s="164"/>
    </row>
    <row r="3064" spans="11:11">
      <c r="K3064" s="164"/>
    </row>
    <row r="3065" spans="11:11">
      <c r="K3065" s="164"/>
    </row>
    <row r="3066" spans="11:11">
      <c r="K3066" s="164"/>
    </row>
    <row r="3067" spans="11:11">
      <c r="K3067" s="164"/>
    </row>
    <row r="3068" spans="11:11">
      <c r="K3068" s="164"/>
    </row>
    <row r="3069" spans="11:11">
      <c r="K3069" s="164"/>
    </row>
    <row r="3070" spans="11:11">
      <c r="K3070" s="164"/>
    </row>
    <row r="3071" spans="11:11">
      <c r="K3071" s="164"/>
    </row>
    <row r="3072" spans="11:11">
      <c r="K3072" s="164"/>
    </row>
    <row r="3073" spans="11:11">
      <c r="K3073" s="164"/>
    </row>
    <row r="3074" spans="11:11">
      <c r="K3074" s="164"/>
    </row>
    <row r="3075" spans="11:11">
      <c r="K3075" s="164"/>
    </row>
    <row r="3076" spans="11:11">
      <c r="K3076" s="164"/>
    </row>
    <row r="3077" spans="11:11">
      <c r="K3077" s="164"/>
    </row>
    <row r="3078" spans="11:11">
      <c r="K3078" s="164"/>
    </row>
    <row r="3079" spans="11:11">
      <c r="K3079" s="164"/>
    </row>
    <row r="3080" spans="11:11">
      <c r="K3080" s="164"/>
    </row>
    <row r="3081" spans="11:11">
      <c r="K3081" s="164"/>
    </row>
    <row r="3082" spans="11:11">
      <c r="K3082" s="164"/>
    </row>
    <row r="3083" spans="11:11">
      <c r="K3083" s="164"/>
    </row>
    <row r="3084" spans="11:11">
      <c r="K3084" s="164"/>
    </row>
    <row r="3085" spans="11:11">
      <c r="K3085" s="164"/>
    </row>
    <row r="3086" spans="11:11">
      <c r="K3086" s="164"/>
    </row>
    <row r="3087" spans="11:11">
      <c r="K3087" s="164"/>
    </row>
    <row r="3088" spans="11:11">
      <c r="K3088" s="164"/>
    </row>
    <row r="3089" spans="11:11">
      <c r="K3089" s="164"/>
    </row>
    <row r="3090" spans="11:11">
      <c r="K3090" s="164"/>
    </row>
    <row r="3091" spans="11:11">
      <c r="K3091" s="164"/>
    </row>
    <row r="3092" spans="11:11">
      <c r="K3092" s="164"/>
    </row>
    <row r="3093" spans="11:11">
      <c r="K3093" s="164"/>
    </row>
    <row r="3094" spans="11:11">
      <c r="K3094" s="164"/>
    </row>
    <row r="3095" spans="11:11">
      <c r="K3095" s="164"/>
    </row>
    <row r="3096" spans="11:11">
      <c r="K3096" s="164"/>
    </row>
    <row r="3097" spans="11:11">
      <c r="K3097" s="164"/>
    </row>
    <row r="3098" spans="11:11">
      <c r="K3098" s="164"/>
    </row>
    <row r="3099" spans="11:11">
      <c r="K3099" s="164"/>
    </row>
    <row r="3100" spans="11:11">
      <c r="K3100" s="164"/>
    </row>
    <row r="3101" spans="11:11">
      <c r="K3101" s="164"/>
    </row>
    <row r="3102" spans="11:11">
      <c r="K3102" s="164"/>
    </row>
    <row r="3103" spans="11:11">
      <c r="K3103" s="164"/>
    </row>
    <row r="3104" spans="11:11">
      <c r="K3104" s="164"/>
    </row>
    <row r="3105" spans="11:11">
      <c r="K3105" s="164"/>
    </row>
    <row r="3106" spans="11:11">
      <c r="K3106" s="164"/>
    </row>
    <row r="3107" spans="11:11">
      <c r="K3107" s="164"/>
    </row>
    <row r="3108" spans="11:11">
      <c r="K3108" s="164"/>
    </row>
    <row r="3109" spans="11:11">
      <c r="K3109" s="164"/>
    </row>
    <row r="3110" spans="11:11">
      <c r="K3110" s="164"/>
    </row>
    <row r="3111" spans="11:11">
      <c r="K3111" s="164"/>
    </row>
    <row r="3112" spans="11:11">
      <c r="K3112" s="164"/>
    </row>
    <row r="3113" spans="11:11">
      <c r="K3113" s="164"/>
    </row>
    <row r="3114" spans="11:11">
      <c r="K3114" s="164"/>
    </row>
    <row r="3115" spans="11:11">
      <c r="K3115" s="164"/>
    </row>
    <row r="3116" spans="11:11">
      <c r="K3116" s="164"/>
    </row>
    <row r="3117" spans="11:11">
      <c r="K3117" s="164"/>
    </row>
    <row r="3118" spans="11:11">
      <c r="K3118" s="164"/>
    </row>
    <row r="3119" spans="11:11">
      <c r="K3119" s="164"/>
    </row>
    <row r="3120" spans="11:11">
      <c r="K3120" s="164"/>
    </row>
    <row r="3121" spans="11:11">
      <c r="K3121" s="164"/>
    </row>
    <row r="3122" spans="11:11">
      <c r="K3122" s="164"/>
    </row>
    <row r="3123" spans="11:11">
      <c r="K3123" s="164"/>
    </row>
    <row r="3124" spans="11:11">
      <c r="K3124" s="164"/>
    </row>
    <row r="3125" spans="11:11">
      <c r="K3125" s="164"/>
    </row>
    <row r="3126" spans="11:11">
      <c r="K3126" s="164"/>
    </row>
    <row r="3127" spans="11:11">
      <c r="K3127" s="164"/>
    </row>
    <row r="3128" spans="11:11">
      <c r="K3128" s="164"/>
    </row>
    <row r="3129" spans="11:11">
      <c r="K3129" s="164"/>
    </row>
    <row r="3130" spans="11:11">
      <c r="K3130" s="164"/>
    </row>
    <row r="3131" spans="11:11">
      <c r="K3131" s="164"/>
    </row>
    <row r="3132" spans="11:11">
      <c r="K3132" s="164"/>
    </row>
    <row r="3133" spans="11:11">
      <c r="K3133" s="164"/>
    </row>
    <row r="3134" spans="11:11">
      <c r="K3134" s="164"/>
    </row>
    <row r="3135" spans="11:11">
      <c r="K3135" s="164"/>
    </row>
    <row r="3136" spans="11:11">
      <c r="K3136" s="164"/>
    </row>
    <row r="3137" spans="11:11">
      <c r="K3137" s="164"/>
    </row>
    <row r="3138" spans="11:11">
      <c r="K3138" s="164"/>
    </row>
    <row r="3139" spans="11:11">
      <c r="K3139" s="164"/>
    </row>
    <row r="3140" spans="11:11">
      <c r="K3140" s="164"/>
    </row>
    <row r="3141" spans="11:11">
      <c r="K3141" s="164"/>
    </row>
    <row r="3142" spans="11:11">
      <c r="K3142" s="164"/>
    </row>
    <row r="3143" spans="11:11">
      <c r="K3143" s="164"/>
    </row>
    <row r="3144" spans="11:11">
      <c r="K3144" s="164"/>
    </row>
    <row r="3145" spans="11:11">
      <c r="K3145" s="164"/>
    </row>
    <row r="3146" spans="11:11">
      <c r="K3146" s="164"/>
    </row>
    <row r="3147" spans="11:11">
      <c r="K3147" s="164"/>
    </row>
    <row r="3148" spans="11:11">
      <c r="K3148" s="164"/>
    </row>
    <row r="3149" spans="11:11">
      <c r="K3149" s="164"/>
    </row>
    <row r="3150" spans="11:11">
      <c r="K3150" s="164"/>
    </row>
    <row r="3151" spans="11:11">
      <c r="K3151" s="164"/>
    </row>
    <row r="3152" spans="11:11">
      <c r="K3152" s="164"/>
    </row>
    <row r="3153" spans="11:11">
      <c r="K3153" s="164"/>
    </row>
    <row r="3154" spans="11:11">
      <c r="K3154" s="164"/>
    </row>
    <row r="3155" spans="11:11">
      <c r="K3155" s="164"/>
    </row>
    <row r="3156" spans="11:11">
      <c r="K3156" s="164"/>
    </row>
    <row r="3157" spans="11:11">
      <c r="K3157" s="164"/>
    </row>
    <row r="3158" spans="11:11">
      <c r="K3158" s="164"/>
    </row>
    <row r="3159" spans="11:11">
      <c r="K3159" s="164"/>
    </row>
    <row r="3160" spans="11:11">
      <c r="K3160" s="164"/>
    </row>
    <row r="3161" spans="11:11">
      <c r="K3161" s="164"/>
    </row>
    <row r="3162" spans="11:11">
      <c r="K3162" s="164"/>
    </row>
    <row r="3163" spans="11:11">
      <c r="K3163" s="164"/>
    </row>
    <row r="3164" spans="11:11">
      <c r="K3164" s="164"/>
    </row>
    <row r="3165" spans="11:11">
      <c r="K3165" s="164"/>
    </row>
    <row r="3166" spans="11:11">
      <c r="K3166" s="164"/>
    </row>
    <row r="3167" spans="11:11">
      <c r="K3167" s="164"/>
    </row>
    <row r="3168" spans="11:11">
      <c r="K3168" s="164"/>
    </row>
    <row r="3169" spans="11:11">
      <c r="K3169" s="164"/>
    </row>
    <row r="3170" spans="11:11">
      <c r="K3170" s="164"/>
    </row>
    <row r="3171" spans="11:11">
      <c r="K3171" s="164"/>
    </row>
    <row r="3172" spans="11:11">
      <c r="K3172" s="164"/>
    </row>
    <row r="3173" spans="11:11">
      <c r="K3173" s="164"/>
    </row>
    <row r="3174" spans="11:11">
      <c r="K3174" s="164"/>
    </row>
    <row r="3175" spans="11:11">
      <c r="K3175" s="164"/>
    </row>
    <row r="3176" spans="11:11">
      <c r="K3176" s="164"/>
    </row>
    <row r="3177" spans="11:11">
      <c r="K3177" s="164"/>
    </row>
    <row r="3178" spans="11:11">
      <c r="K3178" s="164"/>
    </row>
    <row r="3179" spans="11:11">
      <c r="K3179" s="164"/>
    </row>
    <row r="3180" spans="11:11">
      <c r="K3180" s="164"/>
    </row>
    <row r="3181" spans="11:11">
      <c r="K3181" s="164"/>
    </row>
    <row r="3182" spans="11:11">
      <c r="K3182" s="164"/>
    </row>
    <row r="3183" spans="11:11">
      <c r="K3183" s="164"/>
    </row>
    <row r="3184" spans="11:11">
      <c r="K3184" s="164"/>
    </row>
    <row r="3185" spans="11:11">
      <c r="K3185" s="164"/>
    </row>
    <row r="3186" spans="11:11">
      <c r="K3186" s="164"/>
    </row>
    <row r="3187" spans="11:11">
      <c r="K3187" s="164"/>
    </row>
    <row r="3188" spans="11:11">
      <c r="K3188" s="164"/>
    </row>
    <row r="3189" spans="11:11">
      <c r="K3189" s="164"/>
    </row>
    <row r="3190" spans="11:11">
      <c r="K3190" s="164"/>
    </row>
    <row r="3191" spans="11:11">
      <c r="K3191" s="164"/>
    </row>
    <row r="3192" spans="11:11">
      <c r="K3192" s="164"/>
    </row>
    <row r="3193" spans="11:11">
      <c r="K3193" s="164"/>
    </row>
    <row r="3194" spans="11:11">
      <c r="K3194" s="164"/>
    </row>
    <row r="3195" spans="11:11">
      <c r="K3195" s="164"/>
    </row>
    <row r="3196" spans="11:11">
      <c r="K3196" s="164"/>
    </row>
    <row r="3197" spans="11:11">
      <c r="K3197" s="164"/>
    </row>
    <row r="3198" spans="11:11">
      <c r="K3198" s="164"/>
    </row>
    <row r="3199" spans="11:11">
      <c r="K3199" s="164"/>
    </row>
    <row r="3200" spans="11:11">
      <c r="K3200" s="164"/>
    </row>
    <row r="3201" spans="11:11">
      <c r="K3201" s="164"/>
    </row>
    <row r="3202" spans="11:11">
      <c r="K3202" s="164"/>
    </row>
    <row r="3203" spans="11:11">
      <c r="K3203" s="164"/>
    </row>
    <row r="3204" spans="11:11">
      <c r="K3204" s="164"/>
    </row>
    <row r="3205" spans="11:11">
      <c r="K3205" s="164"/>
    </row>
    <row r="3206" spans="11:11">
      <c r="K3206" s="164"/>
    </row>
    <row r="3207" spans="11:11">
      <c r="K3207" s="164"/>
    </row>
    <row r="3208" spans="11:11">
      <c r="K3208" s="164"/>
    </row>
    <row r="3209" spans="11:11">
      <c r="K3209" s="164"/>
    </row>
    <row r="3210" spans="11:11">
      <c r="K3210" s="164"/>
    </row>
    <row r="3211" spans="11:11">
      <c r="K3211" s="164"/>
    </row>
    <row r="3212" spans="11:11">
      <c r="K3212" s="164"/>
    </row>
    <row r="3213" spans="11:11">
      <c r="K3213" s="164"/>
    </row>
    <row r="3214" spans="11:11">
      <c r="K3214" s="164"/>
    </row>
    <row r="3215" spans="11:11">
      <c r="K3215" s="164"/>
    </row>
    <row r="3216" spans="11:11">
      <c r="K3216" s="164"/>
    </row>
    <row r="3217" spans="11:11">
      <c r="K3217" s="164"/>
    </row>
    <row r="3218" spans="11:11">
      <c r="K3218" s="164"/>
    </row>
    <row r="3219" spans="11:11">
      <c r="K3219" s="164"/>
    </row>
    <row r="3220" spans="11:11">
      <c r="K3220" s="164"/>
    </row>
    <row r="3221" spans="11:11">
      <c r="K3221" s="164"/>
    </row>
    <row r="3222" spans="11:11">
      <c r="K3222" s="164"/>
    </row>
    <row r="3223" spans="11:11">
      <c r="K3223" s="164"/>
    </row>
    <row r="3224" spans="11:11">
      <c r="K3224" s="164"/>
    </row>
    <row r="3225" spans="11:11">
      <c r="K3225" s="164"/>
    </row>
    <row r="3226" spans="11:11">
      <c r="K3226" s="164"/>
    </row>
    <row r="3227" spans="11:11">
      <c r="K3227" s="164"/>
    </row>
    <row r="3228" spans="11:11">
      <c r="K3228" s="164"/>
    </row>
    <row r="3229" spans="11:11">
      <c r="K3229" s="164"/>
    </row>
    <row r="3230" spans="11:11">
      <c r="K3230" s="164"/>
    </row>
    <row r="3231" spans="11:11">
      <c r="K3231" s="164"/>
    </row>
    <row r="3232" spans="11:11">
      <c r="K3232" s="164"/>
    </row>
    <row r="3233" spans="11:11">
      <c r="K3233" s="164"/>
    </row>
    <row r="3234" spans="11:11">
      <c r="K3234" s="164"/>
    </row>
    <row r="3235" spans="11:11">
      <c r="K3235" s="164"/>
    </row>
    <row r="3236" spans="11:11">
      <c r="K3236" s="164"/>
    </row>
    <row r="3237" spans="11:11">
      <c r="K3237" s="164"/>
    </row>
    <row r="3238" spans="11:11">
      <c r="K3238" s="164"/>
    </row>
    <row r="3239" spans="11:11">
      <c r="K3239" s="164"/>
    </row>
    <row r="3240" spans="11:11">
      <c r="K3240" s="164"/>
    </row>
    <row r="3241" spans="11:11">
      <c r="K3241" s="164"/>
    </row>
    <row r="3242" spans="11:11">
      <c r="K3242" s="164"/>
    </row>
    <row r="3243" spans="11:11">
      <c r="K3243" s="164"/>
    </row>
    <row r="3244" spans="11:11">
      <c r="K3244" s="164"/>
    </row>
    <row r="3245" spans="11:11">
      <c r="K3245" s="164"/>
    </row>
    <row r="3246" spans="11:11">
      <c r="K3246" s="164"/>
    </row>
    <row r="3247" spans="11:11">
      <c r="K3247" s="164"/>
    </row>
    <row r="3248" spans="11:11">
      <c r="K3248" s="164"/>
    </row>
    <row r="3249" spans="11:11">
      <c r="K3249" s="164"/>
    </row>
    <row r="3250" spans="11:11">
      <c r="K3250" s="164"/>
    </row>
    <row r="3251" spans="11:11">
      <c r="K3251" s="164"/>
    </row>
    <row r="3252" spans="11:11">
      <c r="K3252" s="164"/>
    </row>
    <row r="3253" spans="11:11">
      <c r="K3253" s="164"/>
    </row>
    <row r="3254" spans="11:11">
      <c r="K3254" s="164"/>
    </row>
    <row r="3255" spans="11:11">
      <c r="K3255" s="164"/>
    </row>
    <row r="3256" spans="11:11">
      <c r="K3256" s="164"/>
    </row>
    <row r="3257" spans="11:11">
      <c r="K3257" s="164"/>
    </row>
    <row r="3258" spans="11:11">
      <c r="K3258" s="164"/>
    </row>
    <row r="3259" spans="11:11">
      <c r="K3259" s="164"/>
    </row>
    <row r="3260" spans="11:11">
      <c r="K3260" s="164"/>
    </row>
    <row r="3261" spans="11:11">
      <c r="K3261" s="164"/>
    </row>
    <row r="3262" spans="11:11">
      <c r="K3262" s="164"/>
    </row>
    <row r="3263" spans="11:11">
      <c r="K3263" s="164"/>
    </row>
    <row r="3264" spans="11:11">
      <c r="K3264" s="164"/>
    </row>
    <row r="3265" spans="11:11">
      <c r="K3265" s="164"/>
    </row>
    <row r="3266" spans="11:11">
      <c r="K3266" s="164"/>
    </row>
    <row r="3267" spans="11:11">
      <c r="K3267" s="164"/>
    </row>
    <row r="3268" spans="11:11">
      <c r="K3268" s="164"/>
    </row>
    <row r="3269" spans="11:11">
      <c r="K3269" s="164"/>
    </row>
    <row r="3270" spans="11:11">
      <c r="K3270" s="164"/>
    </row>
    <row r="3271" spans="11:11">
      <c r="K3271" s="164"/>
    </row>
    <row r="3272" spans="11:11">
      <c r="K3272" s="164"/>
    </row>
    <row r="3273" spans="11:11">
      <c r="K3273" s="164"/>
    </row>
    <row r="3274" spans="11:11">
      <c r="K3274" s="164"/>
    </row>
    <row r="3275" spans="11:11">
      <c r="K3275" s="164"/>
    </row>
    <row r="3276" spans="11:11">
      <c r="K3276" s="164"/>
    </row>
    <row r="3277" spans="11:11">
      <c r="K3277" s="164"/>
    </row>
    <row r="3278" spans="11:11">
      <c r="K3278" s="164"/>
    </row>
    <row r="3279" spans="11:11">
      <c r="K3279" s="164"/>
    </row>
    <row r="3280" spans="11:11">
      <c r="K3280" s="164"/>
    </row>
    <row r="3281" spans="11:11">
      <c r="K3281" s="164"/>
    </row>
    <row r="3282" spans="11:11">
      <c r="K3282" s="164"/>
    </row>
    <row r="3283" spans="11:11">
      <c r="K3283" s="164"/>
    </row>
    <row r="3284" spans="11:11">
      <c r="K3284" s="164"/>
    </row>
    <row r="3285" spans="11:11">
      <c r="K3285" s="164"/>
    </row>
    <row r="3286" spans="11:11">
      <c r="K3286" s="164"/>
    </row>
    <row r="3287" spans="11:11">
      <c r="K3287" s="164"/>
    </row>
    <row r="3288" spans="11:11">
      <c r="K3288" s="164"/>
    </row>
    <row r="3289" spans="11:11">
      <c r="K3289" s="164"/>
    </row>
    <row r="3290" spans="11:11">
      <c r="K3290" s="164"/>
    </row>
    <row r="3291" spans="11:11">
      <c r="K3291" s="164"/>
    </row>
    <row r="3292" spans="11:11">
      <c r="K3292" s="164"/>
    </row>
    <row r="3293" spans="11:11">
      <c r="K3293" s="164"/>
    </row>
    <row r="3294" spans="11:11">
      <c r="K3294" s="164"/>
    </row>
    <row r="3295" spans="11:11">
      <c r="K3295" s="164"/>
    </row>
    <row r="3296" spans="11:11">
      <c r="K3296" s="164"/>
    </row>
    <row r="3297" spans="11:11">
      <c r="K3297" s="164"/>
    </row>
    <row r="3298" spans="11:11">
      <c r="K3298" s="164"/>
    </row>
    <row r="3299" spans="11:11">
      <c r="K3299" s="164"/>
    </row>
    <row r="3300" spans="11:11">
      <c r="K3300" s="164"/>
    </row>
    <row r="3301" spans="11:11">
      <c r="K3301" s="164"/>
    </row>
    <row r="3302" spans="11:11">
      <c r="K3302" s="164"/>
    </row>
    <row r="3303" spans="11:11">
      <c r="K3303" s="164"/>
    </row>
    <row r="3304" spans="11:11">
      <c r="K3304" s="164"/>
    </row>
    <row r="3305" spans="11:11">
      <c r="K3305" s="164"/>
    </row>
    <row r="3306" spans="11:11">
      <c r="K3306" s="164"/>
    </row>
    <row r="3307" spans="11:11">
      <c r="K3307" s="164"/>
    </row>
    <row r="3308" spans="11:11">
      <c r="K3308" s="164"/>
    </row>
    <row r="3309" spans="11:11">
      <c r="K3309" s="164"/>
    </row>
    <row r="3310" spans="11:11">
      <c r="K3310" s="164"/>
    </row>
    <row r="3311" spans="11:11">
      <c r="K3311" s="164"/>
    </row>
    <row r="3312" spans="11:11">
      <c r="K3312" s="164"/>
    </row>
    <row r="3313" spans="11:11">
      <c r="K3313" s="164"/>
    </row>
    <row r="3314" spans="11:11">
      <c r="K3314" s="164"/>
    </row>
    <row r="3315" spans="11:11">
      <c r="K3315" s="164"/>
    </row>
    <row r="3316" spans="11:11">
      <c r="K3316" s="164"/>
    </row>
    <row r="3317" spans="11:11">
      <c r="K3317" s="164"/>
    </row>
    <row r="3318" spans="11:11">
      <c r="K3318" s="164"/>
    </row>
    <row r="3319" spans="11:11">
      <c r="K3319" s="164"/>
    </row>
    <row r="3320" spans="11:11">
      <c r="K3320" s="164"/>
    </row>
    <row r="3321" spans="11:11">
      <c r="K3321" s="164"/>
    </row>
    <row r="3322" spans="11:11">
      <c r="K3322" s="164"/>
    </row>
    <row r="3323" spans="11:11">
      <c r="K3323" s="164"/>
    </row>
    <row r="3324" spans="11:11">
      <c r="K3324" s="164"/>
    </row>
    <row r="3325" spans="11:11">
      <c r="K3325" s="164"/>
    </row>
    <row r="3326" spans="11:11">
      <c r="K3326" s="164"/>
    </row>
    <row r="3327" spans="11:11">
      <c r="K3327" s="164"/>
    </row>
    <row r="3328" spans="11:11">
      <c r="K3328" s="164"/>
    </row>
    <row r="3329" spans="11:11">
      <c r="K3329" s="164"/>
    </row>
    <row r="3330" spans="11:11">
      <c r="K3330" s="164"/>
    </row>
    <row r="3331" spans="11:11">
      <c r="K3331" s="164"/>
    </row>
    <row r="3332" spans="11:11">
      <c r="K3332" s="164"/>
    </row>
    <row r="3333" spans="11:11">
      <c r="K3333" s="164"/>
    </row>
    <row r="3334" spans="11:11">
      <c r="K3334" s="164"/>
    </row>
    <row r="3335" spans="11:11">
      <c r="K3335" s="164"/>
    </row>
    <row r="3336" spans="11:11">
      <c r="K3336" s="164"/>
    </row>
    <row r="3337" spans="11:11">
      <c r="K3337" s="164"/>
    </row>
    <row r="3338" spans="11:11">
      <c r="K3338" s="164"/>
    </row>
    <row r="3339" spans="11:11">
      <c r="K3339" s="164"/>
    </row>
    <row r="3340" spans="11:11">
      <c r="K3340" s="164"/>
    </row>
    <row r="3341" spans="11:11">
      <c r="K3341" s="164"/>
    </row>
    <row r="3342" spans="11:11">
      <c r="K3342" s="164"/>
    </row>
    <row r="3343" spans="11:11">
      <c r="K3343" s="164"/>
    </row>
    <row r="3344" spans="11:11">
      <c r="K3344" s="164"/>
    </row>
    <row r="3345" spans="11:11">
      <c r="K3345" s="164"/>
    </row>
    <row r="3346" spans="11:11">
      <c r="K3346" s="164"/>
    </row>
    <row r="3347" spans="11:11">
      <c r="K3347" s="164"/>
    </row>
    <row r="3348" spans="11:11">
      <c r="K3348" s="164"/>
    </row>
    <row r="3349" spans="11:11">
      <c r="K3349" s="164"/>
    </row>
    <row r="3350" spans="11:11">
      <c r="K3350" s="164"/>
    </row>
    <row r="3351" spans="11:11">
      <c r="K3351" s="164"/>
    </row>
    <row r="3352" spans="11:11">
      <c r="K3352" s="164"/>
    </row>
    <row r="3353" spans="11:11">
      <c r="K3353" s="164"/>
    </row>
    <row r="3354" spans="11:11">
      <c r="K3354" s="164"/>
    </row>
    <row r="3355" spans="11:11">
      <c r="K3355" s="164"/>
    </row>
    <row r="3356" spans="11:11">
      <c r="K3356" s="164"/>
    </row>
    <row r="3357" spans="11:11">
      <c r="K3357" s="164"/>
    </row>
    <row r="3358" spans="11:11">
      <c r="K3358" s="164"/>
    </row>
    <row r="3359" spans="11:11">
      <c r="K3359" s="164"/>
    </row>
    <row r="3360" spans="11:11">
      <c r="K3360" s="164"/>
    </row>
    <row r="3361" spans="11:11">
      <c r="K3361" s="164"/>
    </row>
    <row r="3362" spans="11:11">
      <c r="K3362" s="164"/>
    </row>
    <row r="3363" spans="11:11">
      <c r="K3363" s="164"/>
    </row>
    <row r="3364" spans="11:11">
      <c r="K3364" s="164"/>
    </row>
    <row r="3365" spans="11:11">
      <c r="K3365" s="164"/>
    </row>
    <row r="3366" spans="11:11">
      <c r="K3366" s="164"/>
    </row>
    <row r="3367" spans="11:11">
      <c r="K3367" s="164"/>
    </row>
    <row r="3368" spans="11:11">
      <c r="K3368" s="164"/>
    </row>
    <row r="3369" spans="11:11">
      <c r="K3369" s="164"/>
    </row>
    <row r="3370" spans="11:11">
      <c r="K3370" s="164"/>
    </row>
    <row r="3371" spans="11:11">
      <c r="K3371" s="164"/>
    </row>
    <row r="3372" spans="11:11">
      <c r="K3372" s="164"/>
    </row>
    <row r="3373" spans="11:11">
      <c r="K3373" s="164"/>
    </row>
    <row r="3374" spans="11:11">
      <c r="K3374" s="164"/>
    </row>
    <row r="3375" spans="11:11">
      <c r="K3375" s="164"/>
    </row>
    <row r="3376" spans="11:11">
      <c r="K3376" s="164"/>
    </row>
    <row r="3377" spans="11:11">
      <c r="K3377" s="164"/>
    </row>
    <row r="3378" spans="11:11">
      <c r="K3378" s="164"/>
    </row>
    <row r="3379" spans="11:11">
      <c r="K3379" s="164"/>
    </row>
    <row r="3380" spans="11:11">
      <c r="K3380" s="164"/>
    </row>
    <row r="3381" spans="11:11">
      <c r="K3381" s="164"/>
    </row>
    <row r="3382" spans="11:11">
      <c r="K3382" s="164"/>
    </row>
    <row r="3383" spans="11:11">
      <c r="K3383" s="164"/>
    </row>
    <row r="3384" spans="11:11">
      <c r="K3384" s="164"/>
    </row>
    <row r="3385" spans="11:11">
      <c r="K3385" s="164"/>
    </row>
    <row r="3386" spans="11:11">
      <c r="K3386" s="164"/>
    </row>
    <row r="3387" spans="11:11">
      <c r="K3387" s="164"/>
    </row>
    <row r="3388" spans="11:11">
      <c r="K3388" s="164"/>
    </row>
    <row r="3389" spans="11:11">
      <c r="K3389" s="164"/>
    </row>
    <row r="3390" spans="11:11">
      <c r="K3390" s="164"/>
    </row>
    <row r="3391" spans="11:11">
      <c r="K3391" s="164"/>
    </row>
    <row r="3392" spans="11:11">
      <c r="K3392" s="164"/>
    </row>
    <row r="3393" spans="11:11">
      <c r="K3393" s="164"/>
    </row>
    <row r="3394" spans="11:11">
      <c r="K3394" s="164"/>
    </row>
    <row r="3395" spans="11:11">
      <c r="K3395" s="164"/>
    </row>
    <row r="3396" spans="11:11">
      <c r="K3396" s="164"/>
    </row>
    <row r="3397" spans="11:11">
      <c r="K3397" s="164"/>
    </row>
    <row r="3398" spans="11:11">
      <c r="K3398" s="164"/>
    </row>
    <row r="3399" spans="11:11">
      <c r="K3399" s="164"/>
    </row>
    <row r="3400" spans="11:11">
      <c r="K3400" s="164"/>
    </row>
    <row r="3401" spans="11:11">
      <c r="K3401" s="164"/>
    </row>
    <row r="3402" spans="11:11">
      <c r="K3402" s="164"/>
    </row>
    <row r="3403" spans="11:11">
      <c r="K3403" s="164"/>
    </row>
    <row r="3404" spans="11:11">
      <c r="K3404" s="164"/>
    </row>
    <row r="3405" spans="11:11">
      <c r="K3405" s="164"/>
    </row>
    <row r="3406" spans="11:11">
      <c r="K3406" s="164"/>
    </row>
    <row r="3407" spans="11:11">
      <c r="K3407" s="164"/>
    </row>
    <row r="3408" spans="11:11">
      <c r="K3408" s="164"/>
    </row>
    <row r="3409" spans="11:11">
      <c r="K3409" s="164"/>
    </row>
    <row r="3410" spans="11:11">
      <c r="K3410" s="164"/>
    </row>
    <row r="3411" spans="11:11">
      <c r="K3411" s="164"/>
    </row>
    <row r="3412" spans="11:11">
      <c r="K3412" s="164"/>
    </row>
    <row r="3413" spans="11:11">
      <c r="K3413" s="164"/>
    </row>
    <row r="3414" spans="11:11">
      <c r="K3414" s="164"/>
    </row>
    <row r="3415" spans="11:11">
      <c r="K3415" s="164"/>
    </row>
    <row r="3416" spans="11:11">
      <c r="K3416" s="164"/>
    </row>
    <row r="3417" spans="11:11">
      <c r="K3417" s="164"/>
    </row>
    <row r="3418" spans="11:11">
      <c r="K3418" s="164"/>
    </row>
    <row r="3419" spans="11:11">
      <c r="K3419" s="164"/>
    </row>
    <row r="3420" spans="11:11">
      <c r="K3420" s="164"/>
    </row>
    <row r="3421" spans="11:11">
      <c r="K3421" s="164"/>
    </row>
    <row r="3422" spans="11:11">
      <c r="K3422" s="164"/>
    </row>
    <row r="3423" spans="11:11">
      <c r="K3423" s="164"/>
    </row>
    <row r="3424" spans="11:11">
      <c r="K3424" s="164"/>
    </row>
    <row r="3425" spans="11:11">
      <c r="K3425" s="164"/>
    </row>
    <row r="3426" spans="11:11">
      <c r="K3426" s="164"/>
    </row>
    <row r="3427" spans="11:11">
      <c r="K3427" s="164"/>
    </row>
    <row r="3428" spans="11:11">
      <c r="K3428" s="164"/>
    </row>
    <row r="3429" spans="11:11">
      <c r="K3429" s="164"/>
    </row>
    <row r="3430" spans="11:11">
      <c r="K3430" s="164"/>
    </row>
    <row r="3431" spans="11:11">
      <c r="K3431" s="164"/>
    </row>
    <row r="3432" spans="11:11">
      <c r="K3432" s="164"/>
    </row>
    <row r="3433" spans="11:11">
      <c r="K3433" s="164"/>
    </row>
    <row r="3434" spans="11:11">
      <c r="K3434" s="164"/>
    </row>
    <row r="3435" spans="11:11">
      <c r="K3435" s="164"/>
    </row>
    <row r="3436" spans="11:11">
      <c r="K3436" s="164"/>
    </row>
    <row r="3437" spans="11:11">
      <c r="K3437" s="164"/>
    </row>
    <row r="3438" spans="11:11">
      <c r="K3438" s="164"/>
    </row>
    <row r="3439" spans="11:11">
      <c r="K3439" s="164"/>
    </row>
    <row r="3440" spans="11:11">
      <c r="K3440" s="164"/>
    </row>
    <row r="3441" spans="11:11">
      <c r="K3441" s="164"/>
    </row>
    <row r="3442" spans="11:11">
      <c r="K3442" s="164"/>
    </row>
    <row r="3443" spans="11:11">
      <c r="K3443" s="164"/>
    </row>
    <row r="3444" spans="11:11">
      <c r="K3444" s="164"/>
    </row>
    <row r="3445" spans="11:11">
      <c r="K3445" s="164"/>
    </row>
    <row r="3446" spans="11:11">
      <c r="K3446" s="164"/>
    </row>
    <row r="3447" spans="11:11">
      <c r="K3447" s="164"/>
    </row>
    <row r="3448" spans="11:11">
      <c r="K3448" s="164"/>
    </row>
    <row r="3449" spans="11:11">
      <c r="K3449" s="164"/>
    </row>
    <row r="3450" spans="11:11">
      <c r="K3450" s="164"/>
    </row>
    <row r="3451" spans="11:11">
      <c r="K3451" s="164"/>
    </row>
    <row r="3452" spans="11:11">
      <c r="K3452" s="164"/>
    </row>
    <row r="3453" spans="11:11">
      <c r="K3453" s="164"/>
    </row>
    <row r="3454" spans="11:11">
      <c r="K3454" s="164"/>
    </row>
    <row r="3455" spans="11:11">
      <c r="K3455" s="164"/>
    </row>
    <row r="3456" spans="11:11">
      <c r="K3456" s="164"/>
    </row>
    <row r="3457" spans="11:11">
      <c r="K3457" s="164"/>
    </row>
    <row r="3458" spans="11:11">
      <c r="K3458" s="164"/>
    </row>
    <row r="3459" spans="11:11">
      <c r="K3459" s="164"/>
    </row>
    <row r="3460" spans="11:11">
      <c r="K3460" s="164"/>
    </row>
    <row r="3461" spans="11:11">
      <c r="K3461" s="164"/>
    </row>
    <row r="3462" spans="11:11">
      <c r="K3462" s="164"/>
    </row>
    <row r="3463" spans="11:11">
      <c r="K3463" s="164"/>
    </row>
    <row r="3464" spans="11:11">
      <c r="K3464" s="164"/>
    </row>
    <row r="3465" spans="11:11">
      <c r="K3465" s="164"/>
    </row>
    <row r="3466" spans="11:11">
      <c r="K3466" s="164"/>
    </row>
    <row r="3467" spans="11:11">
      <c r="K3467" s="164"/>
    </row>
    <row r="3468" spans="11:11">
      <c r="K3468" s="164"/>
    </row>
    <row r="3469" spans="11:11">
      <c r="K3469" s="164"/>
    </row>
    <row r="3470" spans="11:11">
      <c r="K3470" s="164"/>
    </row>
    <row r="3471" spans="11:11">
      <c r="K3471" s="164"/>
    </row>
    <row r="3472" spans="11:11">
      <c r="K3472" s="164"/>
    </row>
    <row r="3473" spans="11:11">
      <c r="K3473" s="164"/>
    </row>
    <row r="3474" spans="11:11">
      <c r="K3474" s="164"/>
    </row>
    <row r="3475" spans="11:11">
      <c r="K3475" s="164"/>
    </row>
    <row r="3476" spans="11:11">
      <c r="K3476" s="164"/>
    </row>
    <row r="3477" spans="11:11">
      <c r="K3477" s="164"/>
    </row>
    <row r="3478" spans="11:11">
      <c r="K3478" s="164"/>
    </row>
    <row r="3479" spans="11:11">
      <c r="K3479" s="164"/>
    </row>
    <row r="3480" spans="11:11">
      <c r="K3480" s="164"/>
    </row>
    <row r="3481" spans="11:11">
      <c r="K3481" s="164"/>
    </row>
    <row r="3482" spans="11:11">
      <c r="K3482" s="164"/>
    </row>
    <row r="3483" spans="11:11">
      <c r="K3483" s="164"/>
    </row>
    <row r="3484" spans="11:11">
      <c r="K3484" s="164"/>
    </row>
    <row r="3485" spans="11:11">
      <c r="K3485" s="164"/>
    </row>
    <row r="3486" spans="11:11">
      <c r="K3486" s="164"/>
    </row>
    <row r="3487" spans="11:11">
      <c r="K3487" s="164"/>
    </row>
    <row r="3488" spans="11:11">
      <c r="K3488" s="164"/>
    </row>
    <row r="3489" spans="11:11">
      <c r="K3489" s="164"/>
    </row>
    <row r="3490" spans="11:11">
      <c r="K3490" s="164"/>
    </row>
    <row r="3491" spans="11:11">
      <c r="K3491" s="164"/>
    </row>
    <row r="3492" spans="11:11">
      <c r="K3492" s="164"/>
    </row>
    <row r="3493" spans="11:11">
      <c r="K3493" s="164"/>
    </row>
    <row r="3494" spans="11:11">
      <c r="K3494" s="164"/>
    </row>
    <row r="3495" spans="11:11">
      <c r="K3495" s="164"/>
    </row>
    <row r="3496" spans="11:11">
      <c r="K3496" s="164"/>
    </row>
    <row r="3497" spans="11:11">
      <c r="K3497" s="164"/>
    </row>
    <row r="3498" spans="11:11">
      <c r="K3498" s="164"/>
    </row>
    <row r="3499" spans="11:11">
      <c r="K3499" s="164"/>
    </row>
    <row r="3500" spans="11:11">
      <c r="K3500" s="164"/>
    </row>
    <row r="3501" spans="11:11">
      <c r="K3501" s="164"/>
    </row>
    <row r="3502" spans="11:11">
      <c r="K3502" s="164"/>
    </row>
    <row r="3503" spans="11:11">
      <c r="K3503" s="164"/>
    </row>
    <row r="3504" spans="11:11">
      <c r="K3504" s="164"/>
    </row>
    <row r="3505" spans="11:11">
      <c r="K3505" s="164"/>
    </row>
    <row r="3506" spans="11:11">
      <c r="K3506" s="164"/>
    </row>
    <row r="3507" spans="11:11">
      <c r="K3507" s="164"/>
    </row>
    <row r="3508" spans="11:11">
      <c r="K3508" s="164"/>
    </row>
    <row r="3509" spans="11:11">
      <c r="K3509" s="164"/>
    </row>
    <row r="3510" spans="11:11">
      <c r="K3510" s="164"/>
    </row>
    <row r="3511" spans="11:11">
      <c r="K3511" s="164"/>
    </row>
    <row r="3512" spans="11:11">
      <c r="K3512" s="164"/>
    </row>
    <row r="3513" spans="11:11">
      <c r="K3513" s="164"/>
    </row>
    <row r="3514" spans="11:11">
      <c r="K3514" s="164"/>
    </row>
    <row r="3515" spans="11:11">
      <c r="K3515" s="164"/>
    </row>
    <row r="3516" spans="11:11">
      <c r="K3516" s="164"/>
    </row>
    <row r="3517" spans="11:11">
      <c r="K3517" s="164"/>
    </row>
    <row r="3518" spans="11:11">
      <c r="K3518" s="164"/>
    </row>
    <row r="3519" spans="11:11">
      <c r="K3519" s="164"/>
    </row>
    <row r="3520" spans="11:11">
      <c r="K3520" s="164"/>
    </row>
    <row r="3521" spans="11:11">
      <c r="K3521" s="164"/>
    </row>
    <row r="3522" spans="11:11">
      <c r="K3522" s="164"/>
    </row>
    <row r="3523" spans="11:11">
      <c r="K3523" s="164"/>
    </row>
    <row r="3524" spans="11:11">
      <c r="K3524" s="164"/>
    </row>
    <row r="3525" spans="11:11">
      <c r="K3525" s="164"/>
    </row>
    <row r="3526" spans="11:11">
      <c r="K3526" s="164"/>
    </row>
    <row r="3527" spans="11:11">
      <c r="K3527" s="164"/>
    </row>
    <row r="3528" spans="11:11">
      <c r="K3528" s="164"/>
    </row>
    <row r="3529" spans="11:11">
      <c r="K3529" s="164"/>
    </row>
    <row r="3530" spans="11:11">
      <c r="K3530" s="164"/>
    </row>
    <row r="3531" spans="11:11">
      <c r="K3531" s="164"/>
    </row>
    <row r="3532" spans="11:11">
      <c r="K3532" s="164"/>
    </row>
    <row r="3533" spans="11:11">
      <c r="K3533" s="164"/>
    </row>
    <row r="3534" spans="11:11">
      <c r="K3534" s="164"/>
    </row>
    <row r="3535" spans="11:11">
      <c r="K3535" s="164"/>
    </row>
    <row r="3536" spans="11:11">
      <c r="K3536" s="164"/>
    </row>
    <row r="3537" spans="11:11">
      <c r="K3537" s="164"/>
    </row>
    <row r="3538" spans="11:11">
      <c r="K3538" s="164"/>
    </row>
    <row r="3539" spans="11:11">
      <c r="K3539" s="164"/>
    </row>
    <row r="3540" spans="11:11">
      <c r="K3540" s="164"/>
    </row>
    <row r="3541" spans="11:11">
      <c r="K3541" s="164"/>
    </row>
    <row r="3542" spans="11:11">
      <c r="K3542" s="164"/>
    </row>
    <row r="3543" spans="11:11">
      <c r="K3543" s="164"/>
    </row>
    <row r="3544" spans="11:11">
      <c r="K3544" s="164"/>
    </row>
    <row r="3545" spans="11:11">
      <c r="K3545" s="164"/>
    </row>
    <row r="3546" spans="11:11">
      <c r="K3546" s="164"/>
    </row>
    <row r="3547" spans="11:11">
      <c r="K3547" s="164"/>
    </row>
    <row r="3548" spans="11:11">
      <c r="K3548" s="164"/>
    </row>
    <row r="3549" spans="11:11">
      <c r="K3549" s="164"/>
    </row>
    <row r="3550" spans="11:11">
      <c r="K3550" s="164"/>
    </row>
    <row r="3551" spans="11:11">
      <c r="K3551" s="164"/>
    </row>
    <row r="3552" spans="11:11">
      <c r="K3552" s="164"/>
    </row>
    <row r="3553" spans="11:11">
      <c r="K3553" s="164"/>
    </row>
    <row r="3554" spans="11:11">
      <c r="K3554" s="164"/>
    </row>
    <row r="3555" spans="11:11">
      <c r="K3555" s="164"/>
    </row>
    <row r="3556" spans="11:11">
      <c r="K3556" s="164"/>
    </row>
    <row r="3557" spans="11:11">
      <c r="K3557" s="164"/>
    </row>
    <row r="3558" spans="11:11">
      <c r="K3558" s="164"/>
    </row>
    <row r="3559" spans="11:11">
      <c r="K3559" s="164"/>
    </row>
    <row r="3560" spans="11:11">
      <c r="K3560" s="164"/>
    </row>
    <row r="3561" spans="11:11">
      <c r="K3561" s="164"/>
    </row>
    <row r="3562" spans="11:11">
      <c r="K3562" s="164"/>
    </row>
    <row r="3563" spans="11:11">
      <c r="K3563" s="164"/>
    </row>
    <row r="3564" spans="11:11">
      <c r="K3564" s="164"/>
    </row>
    <row r="3565" spans="11:11">
      <c r="K3565" s="164"/>
    </row>
    <row r="3566" spans="11:11">
      <c r="K3566" s="164"/>
    </row>
    <row r="3567" spans="11:11">
      <c r="K3567" s="164"/>
    </row>
    <row r="3568" spans="11:11">
      <c r="K3568" s="164"/>
    </row>
    <row r="3569" spans="11:11">
      <c r="K3569" s="164"/>
    </row>
    <row r="3570" spans="11:11">
      <c r="K3570" s="164"/>
    </row>
    <row r="3571" spans="11:11">
      <c r="K3571" s="164"/>
    </row>
    <row r="3572" spans="11:11">
      <c r="K3572" s="164"/>
    </row>
    <row r="3573" spans="11:11">
      <c r="K3573" s="164"/>
    </row>
    <row r="3574" spans="11:11">
      <c r="K3574" s="164"/>
    </row>
    <row r="3575" spans="11:11">
      <c r="K3575" s="164"/>
    </row>
    <row r="3576" spans="11:11">
      <c r="K3576" s="164"/>
    </row>
    <row r="3577" spans="11:11">
      <c r="K3577" s="164"/>
    </row>
    <row r="3578" spans="11:11">
      <c r="K3578" s="164"/>
    </row>
    <row r="3579" spans="11:11">
      <c r="K3579" s="164"/>
    </row>
    <row r="3580" spans="11:11">
      <c r="K3580" s="164"/>
    </row>
    <row r="3581" spans="11:11">
      <c r="K3581" s="164"/>
    </row>
    <row r="3582" spans="11:11">
      <c r="K3582" s="164"/>
    </row>
    <row r="3583" spans="11:11">
      <c r="K3583" s="164"/>
    </row>
    <row r="3584" spans="11:11">
      <c r="K3584" s="164"/>
    </row>
    <row r="3585" spans="11:11">
      <c r="K3585" s="164"/>
    </row>
    <row r="3586" spans="11:11">
      <c r="K3586" s="164"/>
    </row>
    <row r="3587" spans="11:11">
      <c r="K3587" s="164"/>
    </row>
    <row r="3588" spans="11:11">
      <c r="K3588" s="164"/>
    </row>
    <row r="3589" spans="11:11">
      <c r="K3589" s="164"/>
    </row>
    <row r="3590" spans="11:11">
      <c r="K3590" s="164"/>
    </row>
    <row r="3591" spans="11:11">
      <c r="K3591" s="164"/>
    </row>
    <row r="3592" spans="11:11">
      <c r="K3592" s="164"/>
    </row>
    <row r="3593" spans="11:11">
      <c r="K3593" s="164"/>
    </row>
    <row r="3594" spans="11:11">
      <c r="K3594" s="164"/>
    </row>
    <row r="3595" spans="11:11">
      <c r="K3595" s="164"/>
    </row>
    <row r="3596" spans="11:11">
      <c r="K3596" s="164"/>
    </row>
    <row r="3597" spans="11:11">
      <c r="K3597" s="164"/>
    </row>
    <row r="3598" spans="11:11">
      <c r="K3598" s="164"/>
    </row>
    <row r="3599" spans="11:11">
      <c r="K3599" s="164"/>
    </row>
    <row r="3600" spans="11:11">
      <c r="K3600" s="164"/>
    </row>
    <row r="3601" spans="11:11">
      <c r="K3601" s="164"/>
    </row>
    <row r="3602" spans="11:11">
      <c r="K3602" s="164"/>
    </row>
    <row r="3603" spans="11:11">
      <c r="K3603" s="164"/>
    </row>
    <row r="3604" spans="11:11">
      <c r="K3604" s="164"/>
    </row>
    <row r="3605" spans="11:11">
      <c r="K3605" s="164"/>
    </row>
    <row r="3606" spans="11:11">
      <c r="K3606" s="164"/>
    </row>
    <row r="3607" spans="11:11">
      <c r="K3607" s="164"/>
    </row>
    <row r="3608" spans="11:11">
      <c r="K3608" s="164"/>
    </row>
    <row r="3609" spans="11:11">
      <c r="K3609" s="164"/>
    </row>
    <row r="3610" spans="11:11">
      <c r="K3610" s="164"/>
    </row>
    <row r="3611" spans="11:11">
      <c r="K3611" s="164"/>
    </row>
    <row r="3612" spans="11:11">
      <c r="K3612" s="164"/>
    </row>
    <row r="3613" spans="11:11">
      <c r="K3613" s="164"/>
    </row>
    <row r="3614" spans="11:11">
      <c r="K3614" s="164"/>
    </row>
    <row r="3615" spans="11:11">
      <c r="K3615" s="164"/>
    </row>
    <row r="3616" spans="11:11">
      <c r="K3616" s="164"/>
    </row>
    <row r="3617" spans="11:11">
      <c r="K3617" s="164"/>
    </row>
    <row r="3618" spans="11:11">
      <c r="K3618" s="164"/>
    </row>
    <row r="3619" spans="11:11">
      <c r="K3619" s="164"/>
    </row>
    <row r="3620" spans="11:11">
      <c r="K3620" s="164"/>
    </row>
    <row r="3621" spans="11:11">
      <c r="K3621" s="164"/>
    </row>
    <row r="3622" spans="11:11">
      <c r="K3622" s="164"/>
    </row>
    <row r="3623" spans="11:11">
      <c r="K3623" s="164"/>
    </row>
    <row r="3624" spans="11:11">
      <c r="K3624" s="164"/>
    </row>
    <row r="3625" spans="11:11">
      <c r="K3625" s="164"/>
    </row>
    <row r="3626" spans="11:11">
      <c r="K3626" s="164"/>
    </row>
    <row r="3627" spans="11:11">
      <c r="K3627" s="164"/>
    </row>
    <row r="3628" spans="11:11">
      <c r="K3628" s="164"/>
    </row>
    <row r="3629" spans="11:11">
      <c r="K3629" s="164"/>
    </row>
    <row r="3630" spans="11:11">
      <c r="K3630" s="164"/>
    </row>
    <row r="3631" spans="11:11">
      <c r="K3631" s="164"/>
    </row>
    <row r="3632" spans="11:11">
      <c r="K3632" s="164"/>
    </row>
    <row r="3633" spans="11:11">
      <c r="K3633" s="164"/>
    </row>
    <row r="3634" spans="11:11">
      <c r="K3634" s="164"/>
    </row>
    <row r="3635" spans="11:11">
      <c r="K3635" s="164"/>
    </row>
    <row r="3636" spans="11:11">
      <c r="K3636" s="164"/>
    </row>
    <row r="3637" spans="11:11">
      <c r="K3637" s="164"/>
    </row>
    <row r="3638" spans="11:11">
      <c r="K3638" s="164"/>
    </row>
    <row r="3639" spans="11:11">
      <c r="K3639" s="164"/>
    </row>
    <row r="3640" spans="11:11">
      <c r="K3640" s="164"/>
    </row>
    <row r="3641" spans="11:11">
      <c r="K3641" s="164"/>
    </row>
    <row r="3642" spans="11:11">
      <c r="K3642" s="164"/>
    </row>
    <row r="3643" spans="11:11">
      <c r="K3643" s="164"/>
    </row>
    <row r="3644" spans="11:11">
      <c r="K3644" s="164"/>
    </row>
    <row r="3645" spans="11:11">
      <c r="K3645" s="164"/>
    </row>
    <row r="3646" spans="11:11">
      <c r="K3646" s="164"/>
    </row>
    <row r="3647" spans="11:11">
      <c r="K3647" s="164"/>
    </row>
    <row r="3648" spans="11:11">
      <c r="K3648" s="164"/>
    </row>
    <row r="3649" spans="11:11">
      <c r="K3649" s="164"/>
    </row>
    <row r="3650" spans="11:11">
      <c r="K3650" s="164"/>
    </row>
    <row r="3651" spans="11:11">
      <c r="K3651" s="164"/>
    </row>
    <row r="3652" spans="11:11">
      <c r="K3652" s="164"/>
    </row>
    <row r="3653" spans="11:11">
      <c r="K3653" s="164"/>
    </row>
    <row r="3654" spans="11:11">
      <c r="K3654" s="164"/>
    </row>
    <row r="3655" spans="11:11">
      <c r="K3655" s="164"/>
    </row>
    <row r="3656" spans="11:11">
      <c r="K3656" s="164"/>
    </row>
    <row r="3657" spans="11:11">
      <c r="K3657" s="164"/>
    </row>
    <row r="3658" spans="11:11">
      <c r="K3658" s="164"/>
    </row>
    <row r="3659" spans="11:11">
      <c r="K3659" s="164"/>
    </row>
    <row r="3660" spans="11:11">
      <c r="K3660" s="164"/>
    </row>
    <row r="3661" spans="11:11">
      <c r="K3661" s="164"/>
    </row>
    <row r="3662" spans="11:11">
      <c r="K3662" s="164"/>
    </row>
    <row r="3663" spans="11:11">
      <c r="K3663" s="164"/>
    </row>
    <row r="3664" spans="11:11">
      <c r="K3664" s="164"/>
    </row>
    <row r="3665" spans="11:11">
      <c r="K3665" s="164"/>
    </row>
    <row r="3666" spans="11:11">
      <c r="K3666" s="164"/>
    </row>
    <row r="3667" spans="11:11">
      <c r="K3667" s="164"/>
    </row>
    <row r="3668" spans="11:11">
      <c r="K3668" s="164"/>
    </row>
    <row r="3669" spans="11:11">
      <c r="K3669" s="164"/>
    </row>
    <row r="3670" spans="11:11">
      <c r="K3670" s="164"/>
    </row>
    <row r="3671" spans="11:11">
      <c r="K3671" s="164"/>
    </row>
    <row r="3672" spans="11:11">
      <c r="K3672" s="164"/>
    </row>
    <row r="3673" spans="11:11">
      <c r="K3673" s="164"/>
    </row>
    <row r="3674" spans="11:11">
      <c r="K3674" s="164"/>
    </row>
    <row r="3675" spans="11:11">
      <c r="K3675" s="164"/>
    </row>
    <row r="3676" spans="11:11">
      <c r="K3676" s="164"/>
    </row>
    <row r="3677" spans="11:11">
      <c r="K3677" s="164"/>
    </row>
    <row r="3678" spans="11:11">
      <c r="K3678" s="164"/>
    </row>
    <row r="3679" spans="11:11">
      <c r="K3679" s="164"/>
    </row>
    <row r="3680" spans="11:11">
      <c r="K3680" s="164"/>
    </row>
    <row r="3681" spans="11:11">
      <c r="K3681" s="164"/>
    </row>
    <row r="3682" spans="11:11">
      <c r="K3682" s="164"/>
    </row>
    <row r="3683" spans="11:11">
      <c r="K3683" s="164"/>
    </row>
    <row r="3684" spans="11:11">
      <c r="K3684" s="164"/>
    </row>
    <row r="3685" spans="11:11">
      <c r="K3685" s="164"/>
    </row>
    <row r="3686" spans="11:11">
      <c r="K3686" s="164"/>
    </row>
    <row r="3687" spans="11:11">
      <c r="K3687" s="164"/>
    </row>
    <row r="3688" spans="11:11">
      <c r="K3688" s="164"/>
    </row>
    <row r="3689" spans="11:11">
      <c r="K3689" s="164"/>
    </row>
    <row r="3690" spans="11:11">
      <c r="K3690" s="164"/>
    </row>
    <row r="3691" spans="11:11">
      <c r="K3691" s="164"/>
    </row>
    <row r="3692" spans="11:11">
      <c r="K3692" s="164"/>
    </row>
    <row r="3693" spans="11:11">
      <c r="K3693" s="164"/>
    </row>
    <row r="3694" spans="11:11">
      <c r="K3694" s="164"/>
    </row>
    <row r="3695" spans="11:11">
      <c r="K3695" s="164"/>
    </row>
    <row r="3696" spans="11:11">
      <c r="K3696" s="164"/>
    </row>
    <row r="3697" spans="11:11">
      <c r="K3697" s="164"/>
    </row>
    <row r="3698" spans="11:11">
      <c r="K3698" s="164"/>
    </row>
    <row r="3699" spans="11:11">
      <c r="K3699" s="164"/>
    </row>
    <row r="3700" spans="11:11">
      <c r="K3700" s="164"/>
    </row>
    <row r="3701" spans="11:11">
      <c r="K3701" s="164"/>
    </row>
    <row r="3702" spans="11:11">
      <c r="K3702" s="164"/>
    </row>
    <row r="3703" spans="11:11">
      <c r="K3703" s="164"/>
    </row>
    <row r="3704" spans="11:11">
      <c r="K3704" s="164"/>
    </row>
    <row r="3705" spans="11:11">
      <c r="K3705" s="164"/>
    </row>
    <row r="3706" spans="11:11">
      <c r="K3706" s="164"/>
    </row>
    <row r="3707" spans="11:11">
      <c r="K3707" s="164"/>
    </row>
    <row r="3708" spans="11:11">
      <c r="K3708" s="164"/>
    </row>
    <row r="3709" spans="11:11">
      <c r="K3709" s="164"/>
    </row>
    <row r="3710" spans="11:11">
      <c r="K3710" s="164"/>
    </row>
    <row r="3711" spans="11:11">
      <c r="K3711" s="164"/>
    </row>
    <row r="3712" spans="11:11">
      <c r="K3712" s="164"/>
    </row>
    <row r="3713" spans="11:11">
      <c r="K3713" s="164"/>
    </row>
    <row r="3714" spans="11:11">
      <c r="K3714" s="164"/>
    </row>
    <row r="3715" spans="11:11">
      <c r="K3715" s="164"/>
    </row>
    <row r="3716" spans="11:11">
      <c r="K3716" s="164"/>
    </row>
    <row r="3717" spans="11:11">
      <c r="K3717" s="164"/>
    </row>
    <row r="3718" spans="11:11">
      <c r="K3718" s="164"/>
    </row>
    <row r="3719" spans="11:11">
      <c r="K3719" s="164"/>
    </row>
    <row r="3720" spans="11:11">
      <c r="K3720" s="164"/>
    </row>
    <row r="3721" spans="11:11">
      <c r="K3721" s="164"/>
    </row>
    <row r="3722" spans="11:11">
      <c r="K3722" s="164"/>
    </row>
    <row r="3723" spans="11:11">
      <c r="K3723" s="164"/>
    </row>
    <row r="3724" spans="11:11">
      <c r="K3724" s="164"/>
    </row>
    <row r="3725" spans="11:11">
      <c r="K3725" s="164"/>
    </row>
    <row r="3726" spans="11:11">
      <c r="K3726" s="164"/>
    </row>
    <row r="3727" spans="11:11">
      <c r="K3727" s="164"/>
    </row>
    <row r="3728" spans="11:11">
      <c r="K3728" s="164"/>
    </row>
    <row r="3729" spans="11:11">
      <c r="K3729" s="164"/>
    </row>
    <row r="3730" spans="11:11">
      <c r="K3730" s="164"/>
    </row>
    <row r="3731" spans="11:11">
      <c r="K3731" s="164"/>
    </row>
    <row r="3732" spans="11:11">
      <c r="K3732" s="164"/>
    </row>
    <row r="3733" spans="11:11">
      <c r="K3733" s="164"/>
    </row>
    <row r="3734" spans="11:11">
      <c r="K3734" s="164"/>
    </row>
    <row r="3735" spans="11:11">
      <c r="K3735" s="164"/>
    </row>
    <row r="3736" spans="11:11">
      <c r="K3736" s="164"/>
    </row>
    <row r="3737" spans="11:11">
      <c r="K3737" s="164"/>
    </row>
    <row r="3738" spans="11:11">
      <c r="K3738" s="164"/>
    </row>
    <row r="3739" spans="11:11">
      <c r="K3739" s="164"/>
    </row>
    <row r="3740" spans="11:11">
      <c r="K3740" s="164"/>
    </row>
    <row r="3741" spans="11:11">
      <c r="K3741" s="164"/>
    </row>
    <row r="3742" spans="11:11">
      <c r="K3742" s="164"/>
    </row>
    <row r="3743" spans="11:11">
      <c r="K3743" s="164"/>
    </row>
    <row r="3744" spans="11:11">
      <c r="K3744" s="164"/>
    </row>
    <row r="3745" spans="11:11">
      <c r="K3745" s="164"/>
    </row>
    <row r="3746" spans="11:11">
      <c r="K3746" s="164"/>
    </row>
    <row r="3747" spans="11:11">
      <c r="K3747" s="164"/>
    </row>
    <row r="3748" spans="11:11">
      <c r="K3748" s="164"/>
    </row>
    <row r="3749" spans="11:11">
      <c r="K3749" s="164"/>
    </row>
    <row r="3750" spans="11:11">
      <c r="K3750" s="164"/>
    </row>
    <row r="3751" spans="11:11">
      <c r="K3751" s="164"/>
    </row>
    <row r="3752" spans="11:11">
      <c r="K3752" s="164"/>
    </row>
    <row r="3753" spans="11:11">
      <c r="K3753" s="164"/>
    </row>
    <row r="3754" spans="11:11">
      <c r="K3754" s="164"/>
    </row>
    <row r="3755" spans="11:11">
      <c r="K3755" s="164"/>
    </row>
    <row r="3756" spans="11:11">
      <c r="K3756" s="164"/>
    </row>
    <row r="3757" spans="11:11">
      <c r="K3757" s="164"/>
    </row>
    <row r="3758" spans="11:11">
      <c r="K3758" s="164"/>
    </row>
    <row r="3759" spans="11:11">
      <c r="K3759" s="164"/>
    </row>
    <row r="3760" spans="11:11">
      <c r="K3760" s="164"/>
    </row>
    <row r="3761" spans="11:11">
      <c r="K3761" s="164"/>
    </row>
    <row r="3762" spans="11:11">
      <c r="K3762" s="164"/>
    </row>
    <row r="3763" spans="11:11">
      <c r="K3763" s="164"/>
    </row>
    <row r="3764" spans="11:11">
      <c r="K3764" s="164"/>
    </row>
    <row r="3765" spans="11:11">
      <c r="K3765" s="164"/>
    </row>
    <row r="3766" spans="11:11">
      <c r="K3766" s="164"/>
    </row>
    <row r="3767" spans="11:11">
      <c r="K3767" s="164"/>
    </row>
    <row r="3768" spans="11:11">
      <c r="K3768" s="164"/>
    </row>
    <row r="3769" spans="11:11">
      <c r="K3769" s="164"/>
    </row>
    <row r="3770" spans="11:11">
      <c r="K3770" s="164"/>
    </row>
    <row r="3771" spans="11:11">
      <c r="K3771" s="164"/>
    </row>
    <row r="3772" spans="11:11">
      <c r="K3772" s="164"/>
    </row>
    <row r="3773" spans="11:11">
      <c r="K3773" s="164"/>
    </row>
    <row r="3774" spans="11:11">
      <c r="K3774" s="164"/>
    </row>
    <row r="3775" spans="11:11">
      <c r="K3775" s="164"/>
    </row>
    <row r="3776" spans="11:11">
      <c r="K3776" s="164"/>
    </row>
    <row r="3777" spans="11:11">
      <c r="K3777" s="164"/>
    </row>
    <row r="3778" spans="11:11">
      <c r="K3778" s="164"/>
    </row>
    <row r="3779" spans="11:11">
      <c r="K3779" s="164"/>
    </row>
    <row r="3780" spans="11:11">
      <c r="K3780" s="164"/>
    </row>
    <row r="3781" spans="11:11">
      <c r="K3781" s="164"/>
    </row>
    <row r="3782" spans="11:11">
      <c r="K3782" s="164"/>
    </row>
    <row r="3783" spans="11:11">
      <c r="K3783" s="164"/>
    </row>
    <row r="3784" spans="11:11">
      <c r="K3784" s="164"/>
    </row>
    <row r="3785" spans="11:11">
      <c r="K3785" s="164"/>
    </row>
    <row r="3786" spans="11:11">
      <c r="K3786" s="164"/>
    </row>
    <row r="3787" spans="11:11">
      <c r="K3787" s="164"/>
    </row>
    <row r="3788" spans="11:11">
      <c r="K3788" s="164"/>
    </row>
    <row r="3789" spans="11:11">
      <c r="K3789" s="164"/>
    </row>
    <row r="3790" spans="11:11">
      <c r="K3790" s="164"/>
    </row>
    <row r="3791" spans="11:11">
      <c r="K3791" s="164"/>
    </row>
    <row r="3792" spans="11:11">
      <c r="K3792" s="164"/>
    </row>
    <row r="3793" spans="11:11">
      <c r="K3793" s="164"/>
    </row>
    <row r="3794" spans="11:11">
      <c r="K3794" s="164"/>
    </row>
    <row r="3795" spans="11:11">
      <c r="K3795" s="164"/>
    </row>
    <row r="3796" spans="11:11">
      <c r="K3796" s="164"/>
    </row>
    <row r="3797" spans="11:11">
      <c r="K3797" s="164"/>
    </row>
    <row r="3798" spans="11:11">
      <c r="K3798" s="164"/>
    </row>
    <row r="3799" spans="11:11">
      <c r="K3799" s="164"/>
    </row>
    <row r="3800" spans="11:11">
      <c r="K3800" s="164"/>
    </row>
    <row r="3801" spans="11:11">
      <c r="K3801" s="164"/>
    </row>
    <row r="3802" spans="11:11">
      <c r="K3802" s="164"/>
    </row>
    <row r="3803" spans="11:11">
      <c r="K3803" s="164"/>
    </row>
    <row r="3804" spans="11:11">
      <c r="K3804" s="164"/>
    </row>
    <row r="3805" spans="11:11">
      <c r="K3805" s="164"/>
    </row>
    <row r="3806" spans="11:11">
      <c r="K3806" s="164"/>
    </row>
    <row r="3807" spans="11:11">
      <c r="K3807" s="164"/>
    </row>
    <row r="3808" spans="11:11">
      <c r="K3808" s="164"/>
    </row>
    <row r="3809" spans="11:11">
      <c r="K3809" s="164"/>
    </row>
    <row r="3810" spans="11:11">
      <c r="K3810" s="164"/>
    </row>
    <row r="3811" spans="11:11">
      <c r="K3811" s="164"/>
    </row>
    <row r="3812" spans="11:11">
      <c r="K3812" s="164"/>
    </row>
    <row r="3813" spans="11:11">
      <c r="K3813" s="164"/>
    </row>
    <row r="3814" spans="11:11">
      <c r="K3814" s="164"/>
    </row>
    <row r="3815" spans="11:11">
      <c r="K3815" s="164"/>
    </row>
    <row r="3816" spans="11:11">
      <c r="K3816" s="164"/>
    </row>
    <row r="3817" spans="11:11">
      <c r="K3817" s="164"/>
    </row>
    <row r="3818" spans="11:11">
      <c r="K3818" s="164"/>
    </row>
    <row r="3819" spans="11:11">
      <c r="K3819" s="164"/>
    </row>
    <row r="3820" spans="11:11">
      <c r="K3820" s="164"/>
    </row>
    <row r="3821" spans="11:11">
      <c r="K3821" s="164"/>
    </row>
    <row r="3822" spans="11:11">
      <c r="K3822" s="164"/>
    </row>
    <row r="3823" spans="11:11">
      <c r="K3823" s="164"/>
    </row>
    <row r="3824" spans="11:11">
      <c r="K3824" s="164"/>
    </row>
    <row r="3825" spans="11:11">
      <c r="K3825" s="164"/>
    </row>
    <row r="3826" spans="11:11">
      <c r="K3826" s="164"/>
    </row>
    <row r="3827" spans="11:11">
      <c r="K3827" s="164"/>
    </row>
    <row r="3828" spans="11:11">
      <c r="K3828" s="164"/>
    </row>
    <row r="3829" spans="11:11">
      <c r="K3829" s="164"/>
    </row>
    <row r="3830" spans="11:11">
      <c r="K3830" s="164"/>
    </row>
    <row r="3831" spans="11:11">
      <c r="K3831" s="164"/>
    </row>
    <row r="3832" spans="11:11">
      <c r="K3832" s="164"/>
    </row>
    <row r="3833" spans="11:11">
      <c r="K3833" s="164"/>
    </row>
    <row r="3834" spans="11:11">
      <c r="K3834" s="164"/>
    </row>
    <row r="3835" spans="11:11">
      <c r="K3835" s="164"/>
    </row>
    <row r="3836" spans="11:11">
      <c r="K3836" s="164"/>
    </row>
    <row r="3837" spans="11:11">
      <c r="K3837" s="164"/>
    </row>
    <row r="3838" spans="11:11">
      <c r="K3838" s="164"/>
    </row>
    <row r="3839" spans="11:11">
      <c r="K3839" s="164"/>
    </row>
    <row r="3840" spans="11:11">
      <c r="K3840" s="164"/>
    </row>
    <row r="3841" spans="11:11">
      <c r="K3841" s="164"/>
    </row>
    <row r="3842" spans="11:11">
      <c r="K3842" s="164"/>
    </row>
    <row r="3843" spans="11:11">
      <c r="K3843" s="164"/>
    </row>
    <row r="3844" spans="11:11">
      <c r="K3844" s="164"/>
    </row>
    <row r="3845" spans="11:11">
      <c r="K3845" s="164"/>
    </row>
    <row r="3846" spans="11:11">
      <c r="K3846" s="164"/>
    </row>
    <row r="3847" spans="11:11">
      <c r="K3847" s="164"/>
    </row>
    <row r="3848" spans="11:11">
      <c r="K3848" s="164"/>
    </row>
    <row r="3849" spans="11:11">
      <c r="K3849" s="164"/>
    </row>
    <row r="3850" spans="11:11">
      <c r="K3850" s="164"/>
    </row>
    <row r="3851" spans="11:11">
      <c r="K3851" s="164"/>
    </row>
    <row r="3852" spans="11:11">
      <c r="K3852" s="164"/>
    </row>
    <row r="3853" spans="11:11">
      <c r="K3853" s="164"/>
    </row>
    <row r="3854" spans="11:11">
      <c r="K3854" s="164"/>
    </row>
    <row r="3855" spans="11:11">
      <c r="K3855" s="164"/>
    </row>
    <row r="3856" spans="11:11">
      <c r="K3856" s="164"/>
    </row>
    <row r="3857" spans="11:11">
      <c r="K3857" s="164"/>
    </row>
    <row r="3858" spans="11:11">
      <c r="K3858" s="164"/>
    </row>
    <row r="3859" spans="11:11">
      <c r="K3859" s="164"/>
    </row>
    <row r="3860" spans="11:11">
      <c r="K3860" s="164"/>
    </row>
    <row r="3861" spans="11:11">
      <c r="K3861" s="164"/>
    </row>
    <row r="3862" spans="11:11">
      <c r="K3862" s="164"/>
    </row>
    <row r="3863" spans="11:11">
      <c r="K3863" s="164"/>
    </row>
    <row r="3864" spans="11:11">
      <c r="K3864" s="164"/>
    </row>
    <row r="3865" spans="11:11">
      <c r="K3865" s="164"/>
    </row>
    <row r="3866" spans="11:11">
      <c r="K3866" s="164"/>
    </row>
    <row r="3867" spans="11:11">
      <c r="K3867" s="164"/>
    </row>
    <row r="3868" spans="11:11">
      <c r="K3868" s="164"/>
    </row>
    <row r="3869" spans="11:11">
      <c r="K3869" s="164"/>
    </row>
    <row r="3870" spans="11:11">
      <c r="K3870" s="164"/>
    </row>
    <row r="3871" spans="11:11">
      <c r="K3871" s="164"/>
    </row>
    <row r="3872" spans="11:11">
      <c r="K3872" s="164"/>
    </row>
    <row r="3873" spans="11:11">
      <c r="K3873" s="164"/>
    </row>
    <row r="3874" spans="11:11">
      <c r="K3874" s="164"/>
    </row>
    <row r="3875" spans="11:11">
      <c r="K3875" s="164"/>
    </row>
    <row r="3876" spans="11:11">
      <c r="K3876" s="164"/>
    </row>
    <row r="3877" spans="11:11">
      <c r="K3877" s="164"/>
    </row>
    <row r="3878" spans="11:11">
      <c r="K3878" s="164"/>
    </row>
    <row r="3879" spans="11:11">
      <c r="K3879" s="164"/>
    </row>
    <row r="3880" spans="11:11">
      <c r="K3880" s="164"/>
    </row>
    <row r="3881" spans="11:11">
      <c r="K3881" s="164"/>
    </row>
    <row r="3882" spans="11:11">
      <c r="K3882" s="164"/>
    </row>
    <row r="3883" spans="11:11">
      <c r="K3883" s="164"/>
    </row>
    <row r="3884" spans="11:11">
      <c r="K3884" s="164"/>
    </row>
    <row r="3885" spans="11:11">
      <c r="K3885" s="164"/>
    </row>
    <row r="3886" spans="11:11">
      <c r="K3886" s="164"/>
    </row>
    <row r="3887" spans="11:11">
      <c r="K3887" s="164"/>
    </row>
    <row r="3888" spans="11:11">
      <c r="K3888" s="164"/>
    </row>
    <row r="3889" spans="11:11">
      <c r="K3889" s="164"/>
    </row>
    <row r="3890" spans="11:11">
      <c r="K3890" s="164"/>
    </row>
    <row r="3891" spans="11:11">
      <c r="K3891" s="164"/>
    </row>
    <row r="3892" spans="11:11">
      <c r="K3892" s="164"/>
    </row>
    <row r="3893" spans="11:11">
      <c r="K3893" s="164"/>
    </row>
    <row r="3894" spans="11:11">
      <c r="K3894" s="164"/>
    </row>
    <row r="3895" spans="11:11">
      <c r="K3895" s="164"/>
    </row>
    <row r="3896" spans="11:11">
      <c r="K3896" s="164"/>
    </row>
    <row r="3897" spans="11:11">
      <c r="K3897" s="164"/>
    </row>
    <row r="3898" spans="11:11">
      <c r="K3898" s="164"/>
    </row>
    <row r="3899" spans="11:11">
      <c r="K3899" s="164"/>
    </row>
    <row r="3900" spans="11:11">
      <c r="K3900" s="164"/>
    </row>
    <row r="3901" spans="11:11">
      <c r="K3901" s="164"/>
    </row>
    <row r="3902" spans="11:11">
      <c r="K3902" s="164"/>
    </row>
    <row r="3903" spans="11:11">
      <c r="K3903" s="164"/>
    </row>
    <row r="3904" spans="11:11">
      <c r="K3904" s="164"/>
    </row>
    <row r="3905" spans="11:11">
      <c r="K3905" s="164"/>
    </row>
    <row r="3906" spans="11:11">
      <c r="K3906" s="164"/>
    </row>
    <row r="3907" spans="11:11">
      <c r="K3907" s="164"/>
    </row>
    <row r="3908" spans="11:11">
      <c r="K3908" s="164"/>
    </row>
    <row r="3909" spans="11:11">
      <c r="K3909" s="164"/>
    </row>
    <row r="3910" spans="11:11">
      <c r="K3910" s="164"/>
    </row>
    <row r="3911" spans="11:11">
      <c r="K3911" s="164"/>
    </row>
    <row r="3912" spans="11:11">
      <c r="K3912" s="164"/>
    </row>
    <row r="3913" spans="11:11">
      <c r="K3913" s="164"/>
    </row>
    <row r="3914" spans="11:11">
      <c r="K3914" s="164"/>
    </row>
    <row r="3915" spans="11:11">
      <c r="K3915" s="164"/>
    </row>
    <row r="3916" spans="11:11">
      <c r="K3916" s="164"/>
    </row>
    <row r="3917" spans="11:11">
      <c r="K3917" s="164"/>
    </row>
    <row r="3918" spans="11:11">
      <c r="K3918" s="164"/>
    </row>
    <row r="3919" spans="11:11">
      <c r="K3919" s="164"/>
    </row>
    <row r="3920" spans="11:11">
      <c r="K3920" s="164"/>
    </row>
    <row r="3921" spans="11:11">
      <c r="K3921" s="164"/>
    </row>
    <row r="3922" spans="11:11">
      <c r="K3922" s="164"/>
    </row>
    <row r="3923" spans="11:11">
      <c r="K3923" s="164"/>
    </row>
    <row r="3924" spans="11:11">
      <c r="K3924" s="164"/>
    </row>
    <row r="3925" spans="11:11">
      <c r="K3925" s="164"/>
    </row>
    <row r="3926" spans="11:11">
      <c r="K3926" s="164"/>
    </row>
    <row r="3927" spans="11:11">
      <c r="K3927" s="164"/>
    </row>
    <row r="3928" spans="11:11">
      <c r="K3928" s="164"/>
    </row>
    <row r="3929" spans="11:11">
      <c r="K3929" s="164"/>
    </row>
    <row r="3930" spans="11:11">
      <c r="K3930" s="164"/>
    </row>
    <row r="3931" spans="11:11">
      <c r="K3931" s="164"/>
    </row>
    <row r="3932" spans="11:11">
      <c r="K3932" s="164"/>
    </row>
    <row r="3933" spans="11:11">
      <c r="K3933" s="164"/>
    </row>
    <row r="3934" spans="11:11">
      <c r="K3934" s="164"/>
    </row>
    <row r="3935" spans="11:11">
      <c r="K3935" s="164"/>
    </row>
    <row r="3936" spans="11:11">
      <c r="K3936" s="164"/>
    </row>
    <row r="3937" spans="11:11">
      <c r="K3937" s="164"/>
    </row>
    <row r="3938" spans="11:11">
      <c r="K3938" s="164"/>
    </row>
    <row r="3939" spans="11:11">
      <c r="K3939" s="164"/>
    </row>
    <row r="3940" spans="11:11">
      <c r="K3940" s="164"/>
    </row>
    <row r="3941" spans="11:11">
      <c r="K3941" s="164"/>
    </row>
    <row r="3942" spans="11:11">
      <c r="K3942" s="164"/>
    </row>
    <row r="3943" spans="11:11">
      <c r="K3943" s="164"/>
    </row>
    <row r="3944" spans="11:11">
      <c r="K3944" s="164"/>
    </row>
    <row r="3945" spans="11:11">
      <c r="K3945" s="164"/>
    </row>
    <row r="3946" spans="11:11">
      <c r="K3946" s="164"/>
    </row>
    <row r="3947" spans="11:11">
      <c r="K3947" s="164"/>
    </row>
    <row r="3948" spans="11:11">
      <c r="K3948" s="164"/>
    </row>
    <row r="3949" spans="11:11">
      <c r="K3949" s="164"/>
    </row>
    <row r="3950" spans="11:11">
      <c r="K3950" s="164"/>
    </row>
    <row r="3951" spans="11:11">
      <c r="K3951" s="164"/>
    </row>
    <row r="3952" spans="11:11">
      <c r="K3952" s="164"/>
    </row>
    <row r="3953" spans="11:11">
      <c r="K3953" s="164"/>
    </row>
    <row r="3954" spans="11:11">
      <c r="K3954" s="164"/>
    </row>
    <row r="3955" spans="11:11">
      <c r="K3955" s="164"/>
    </row>
    <row r="3956" spans="11:11">
      <c r="K3956" s="164"/>
    </row>
    <row r="3957" spans="11:11">
      <c r="K3957" s="164"/>
    </row>
    <row r="3958" spans="11:11">
      <c r="K3958" s="164"/>
    </row>
    <row r="3959" spans="11:11">
      <c r="K3959" s="164"/>
    </row>
    <row r="3960" spans="11:11">
      <c r="K3960" s="164"/>
    </row>
    <row r="3961" spans="11:11">
      <c r="K3961" s="164"/>
    </row>
    <row r="3962" spans="11:11">
      <c r="K3962" s="164"/>
    </row>
    <row r="3963" spans="11:11">
      <c r="K3963" s="164"/>
    </row>
    <row r="3964" spans="11:11">
      <c r="K3964" s="164"/>
    </row>
    <row r="3965" spans="11:11">
      <c r="K3965" s="164"/>
    </row>
    <row r="3966" spans="11:11">
      <c r="K3966" s="164"/>
    </row>
    <row r="3967" spans="11:11">
      <c r="K3967" s="164"/>
    </row>
    <row r="3968" spans="11:11">
      <c r="K3968" s="164"/>
    </row>
    <row r="3969" spans="11:11">
      <c r="K3969" s="164"/>
    </row>
    <row r="3970" spans="11:11">
      <c r="K3970" s="164"/>
    </row>
    <row r="3971" spans="11:11">
      <c r="K3971" s="164"/>
    </row>
    <row r="3972" spans="11:11">
      <c r="K3972" s="164"/>
    </row>
    <row r="3973" spans="11:11">
      <c r="K3973" s="164"/>
    </row>
    <row r="3974" spans="11:11">
      <c r="K3974" s="164"/>
    </row>
    <row r="3975" spans="11:11">
      <c r="K3975" s="164"/>
    </row>
    <row r="3976" spans="11:11">
      <c r="K3976" s="164"/>
    </row>
    <row r="3977" spans="11:11">
      <c r="K3977" s="164"/>
    </row>
    <row r="3978" spans="11:11">
      <c r="K3978" s="164"/>
    </row>
    <row r="3979" spans="11:11">
      <c r="K3979" s="164"/>
    </row>
    <row r="3980" spans="11:11">
      <c r="K3980" s="164"/>
    </row>
    <row r="3981" spans="11:11">
      <c r="K3981" s="164"/>
    </row>
    <row r="3982" spans="11:11">
      <c r="K3982" s="164"/>
    </row>
    <row r="3983" spans="11:11">
      <c r="K3983" s="164"/>
    </row>
    <row r="3984" spans="11:11">
      <c r="K3984" s="164"/>
    </row>
    <row r="3985" spans="11:11">
      <c r="K3985" s="164"/>
    </row>
    <row r="3986" spans="11:11">
      <c r="K3986" s="164"/>
    </row>
    <row r="3987" spans="11:11">
      <c r="K3987" s="164"/>
    </row>
    <row r="3988" spans="11:11">
      <c r="K3988" s="164"/>
    </row>
    <row r="3989" spans="11:11">
      <c r="K3989" s="164"/>
    </row>
    <row r="3990" spans="11:11">
      <c r="K3990" s="164"/>
    </row>
    <row r="3991" spans="11:11">
      <c r="K3991" s="164"/>
    </row>
    <row r="3992" spans="11:11">
      <c r="K3992" s="164"/>
    </row>
    <row r="3993" spans="11:11">
      <c r="K3993" s="164"/>
    </row>
    <row r="3994" spans="11:11">
      <c r="K3994" s="164"/>
    </row>
    <row r="3995" spans="11:11">
      <c r="K3995" s="164"/>
    </row>
    <row r="3996" spans="11:11">
      <c r="K3996" s="164"/>
    </row>
    <row r="3997" spans="11:11">
      <c r="K3997" s="164"/>
    </row>
    <row r="3998" spans="11:11">
      <c r="K3998" s="164"/>
    </row>
    <row r="3999" spans="11:11">
      <c r="K3999" s="164"/>
    </row>
    <row r="4000" spans="11:11">
      <c r="K4000" s="164"/>
    </row>
    <row r="4001" spans="11:11">
      <c r="K4001" s="164"/>
    </row>
    <row r="4002" spans="11:11">
      <c r="K4002" s="164"/>
    </row>
    <row r="4003" spans="11:11">
      <c r="K4003" s="164"/>
    </row>
    <row r="4004" spans="11:11">
      <c r="K4004" s="164"/>
    </row>
    <row r="4005" spans="11:11">
      <c r="K4005" s="164"/>
    </row>
    <row r="4006" spans="11:11">
      <c r="K4006" s="164"/>
    </row>
    <row r="4007" spans="11:11">
      <c r="K4007" s="164"/>
    </row>
    <row r="4008" spans="11:11">
      <c r="K4008" s="164"/>
    </row>
    <row r="4009" spans="11:11">
      <c r="K4009" s="164"/>
    </row>
    <row r="4010" spans="11:11">
      <c r="K4010" s="164"/>
    </row>
    <row r="4011" spans="11:11">
      <c r="K4011" s="164"/>
    </row>
    <row r="4012" spans="11:11">
      <c r="K4012" s="164"/>
    </row>
    <row r="4013" spans="11:11">
      <c r="K4013" s="164"/>
    </row>
    <row r="4014" spans="11:11">
      <c r="K4014" s="164"/>
    </row>
    <row r="4015" spans="11:11">
      <c r="K4015" s="164"/>
    </row>
    <row r="4016" spans="11:11">
      <c r="K4016" s="164"/>
    </row>
    <row r="4017" spans="11:11">
      <c r="K4017" s="164"/>
    </row>
    <row r="4018" spans="11:11">
      <c r="K4018" s="164"/>
    </row>
    <row r="4019" spans="11:11">
      <c r="K4019" s="164"/>
    </row>
    <row r="4020" spans="11:11">
      <c r="K4020" s="164"/>
    </row>
    <row r="4021" spans="11:11">
      <c r="K4021" s="164"/>
    </row>
    <row r="4022" spans="11:11">
      <c r="K4022" s="164"/>
    </row>
    <row r="4023" spans="11:11">
      <c r="K4023" s="164"/>
    </row>
    <row r="4024" spans="11:11">
      <c r="K4024" s="164"/>
    </row>
    <row r="4025" spans="11:11">
      <c r="K4025" s="164"/>
    </row>
    <row r="4026" spans="11:11">
      <c r="K4026" s="164"/>
    </row>
    <row r="4027" spans="11:11">
      <c r="K4027" s="164"/>
    </row>
    <row r="4028" spans="11:11">
      <c r="K4028" s="164"/>
    </row>
    <row r="4029" spans="11:11">
      <c r="K4029" s="164"/>
    </row>
    <row r="4030" spans="11:11">
      <c r="K4030" s="164"/>
    </row>
    <row r="4031" spans="11:11">
      <c r="K4031" s="164"/>
    </row>
    <row r="4032" spans="11:11">
      <c r="K4032" s="164"/>
    </row>
    <row r="4033" spans="11:11">
      <c r="K4033" s="164"/>
    </row>
    <row r="4034" spans="11:11">
      <c r="K4034" s="164"/>
    </row>
    <row r="4035" spans="11:11">
      <c r="K4035" s="164"/>
    </row>
    <row r="4036" spans="11:11">
      <c r="K4036" s="164"/>
    </row>
    <row r="4037" spans="11:11">
      <c r="K4037" s="164"/>
    </row>
    <row r="4038" spans="11:11">
      <c r="K4038" s="164"/>
    </row>
    <row r="4039" spans="11:11">
      <c r="K4039" s="164"/>
    </row>
    <row r="4040" spans="11:11">
      <c r="K4040" s="164"/>
    </row>
    <row r="4041" spans="11:11">
      <c r="K4041" s="164"/>
    </row>
    <row r="4042" spans="11:11">
      <c r="K4042" s="164"/>
    </row>
    <row r="4043" spans="11:11">
      <c r="K4043" s="164"/>
    </row>
    <row r="4044" spans="11:11">
      <c r="K4044" s="164"/>
    </row>
    <row r="4045" spans="11:11">
      <c r="K4045" s="164"/>
    </row>
    <row r="4046" spans="11:11">
      <c r="K4046" s="164"/>
    </row>
    <row r="4047" spans="11:11">
      <c r="K4047" s="164"/>
    </row>
    <row r="4048" spans="11:11">
      <c r="K4048" s="164"/>
    </row>
    <row r="4049" spans="11:11">
      <c r="K4049" s="164"/>
    </row>
    <row r="4050" spans="11:11">
      <c r="K4050" s="164"/>
    </row>
    <row r="4051" spans="11:11">
      <c r="K4051" s="164"/>
    </row>
    <row r="4052" spans="11:11">
      <c r="K4052" s="164"/>
    </row>
    <row r="4053" spans="11:11">
      <c r="K4053" s="164"/>
    </row>
    <row r="4054" spans="11:11">
      <c r="K4054" s="164"/>
    </row>
    <row r="4055" spans="11:11">
      <c r="K4055" s="164"/>
    </row>
    <row r="4056" spans="11:11">
      <c r="K4056" s="164"/>
    </row>
    <row r="4057" spans="11:11">
      <c r="K4057" s="164"/>
    </row>
    <row r="4058" spans="11:11">
      <c r="K4058" s="164"/>
    </row>
    <row r="4059" spans="11:11">
      <c r="K4059" s="164"/>
    </row>
    <row r="4060" spans="11:11">
      <c r="K4060" s="164"/>
    </row>
    <row r="4061" spans="11:11">
      <c r="K4061" s="164"/>
    </row>
    <row r="4062" spans="11:11">
      <c r="K4062" s="164"/>
    </row>
    <row r="4063" spans="11:11">
      <c r="K4063" s="164"/>
    </row>
    <row r="4064" spans="11:11">
      <c r="K4064" s="164"/>
    </row>
    <row r="4065" spans="11:11">
      <c r="K4065" s="164"/>
    </row>
    <row r="4066" spans="11:11">
      <c r="K4066" s="164"/>
    </row>
    <row r="4067" spans="11:11">
      <c r="K4067" s="164"/>
    </row>
    <row r="4068" spans="11:11">
      <c r="K4068" s="164"/>
    </row>
    <row r="4069" spans="11:11">
      <c r="K4069" s="164"/>
    </row>
    <row r="4070" spans="11:11">
      <c r="K4070" s="164"/>
    </row>
    <row r="4071" spans="11:11">
      <c r="K4071" s="164"/>
    </row>
    <row r="4072" spans="11:11">
      <c r="K4072" s="164"/>
    </row>
    <row r="4073" spans="11:11">
      <c r="K4073" s="164"/>
    </row>
    <row r="4074" spans="11:11">
      <c r="K4074" s="164"/>
    </row>
    <row r="4075" spans="11:11">
      <c r="K4075" s="164"/>
    </row>
    <row r="4076" spans="11:11">
      <c r="K4076" s="164"/>
    </row>
    <row r="4077" spans="11:11">
      <c r="K4077" s="164"/>
    </row>
    <row r="4078" spans="11:11">
      <c r="K4078" s="164"/>
    </row>
    <row r="4079" spans="11:11">
      <c r="K4079" s="164"/>
    </row>
    <row r="4080" spans="11:11">
      <c r="K4080" s="164"/>
    </row>
    <row r="4081" spans="11:11">
      <c r="K4081" s="164"/>
    </row>
    <row r="4082" spans="11:11">
      <c r="K4082" s="164"/>
    </row>
    <row r="4083" spans="11:11">
      <c r="K4083" s="164"/>
    </row>
    <row r="4084" spans="11:11">
      <c r="K4084" s="164"/>
    </row>
    <row r="4085" spans="11:11">
      <c r="K4085" s="164"/>
    </row>
    <row r="4086" spans="11:11">
      <c r="K4086" s="164"/>
    </row>
    <row r="4087" spans="11:11">
      <c r="K4087" s="164"/>
    </row>
    <row r="4088" spans="11:11">
      <c r="K4088" s="164"/>
    </row>
    <row r="4089" spans="11:11">
      <c r="K4089" s="164"/>
    </row>
    <row r="4090" spans="11:11">
      <c r="K4090" s="164"/>
    </row>
    <row r="4091" spans="11:11">
      <c r="K4091" s="164"/>
    </row>
    <row r="4092" spans="11:11">
      <c r="K4092" s="164"/>
    </row>
    <row r="4093" spans="11:11">
      <c r="K4093" s="164"/>
    </row>
    <row r="4094" spans="11:11">
      <c r="K4094" s="164"/>
    </row>
    <row r="4095" spans="11:11">
      <c r="K4095" s="164"/>
    </row>
    <row r="4096" spans="11:11">
      <c r="K4096" s="164"/>
    </row>
    <row r="4097" spans="11:11">
      <c r="K4097" s="164"/>
    </row>
    <row r="4098" spans="11:11">
      <c r="K4098" s="164"/>
    </row>
    <row r="4099" spans="11:11">
      <c r="K4099" s="164"/>
    </row>
    <row r="4100" spans="11:11">
      <c r="K4100" s="164"/>
    </row>
    <row r="4101" spans="11:11">
      <c r="K4101" s="164"/>
    </row>
    <row r="4102" spans="11:11">
      <c r="K4102" s="164"/>
    </row>
    <row r="4103" spans="11:11">
      <c r="K4103" s="164"/>
    </row>
    <row r="4104" spans="11:11">
      <c r="K4104" s="164"/>
    </row>
    <row r="4105" spans="11:11">
      <c r="K4105" s="164"/>
    </row>
    <row r="4106" spans="11:11">
      <c r="K4106" s="164"/>
    </row>
    <row r="4107" spans="11:11">
      <c r="K4107" s="164"/>
    </row>
    <row r="4108" spans="11:11">
      <c r="K4108" s="164"/>
    </row>
    <row r="4109" spans="11:11">
      <c r="K4109" s="164"/>
    </row>
    <row r="4110" spans="11:11">
      <c r="K4110" s="164"/>
    </row>
    <row r="4111" spans="11:11">
      <c r="K4111" s="164"/>
    </row>
    <row r="4112" spans="11:11">
      <c r="K4112" s="164"/>
    </row>
    <row r="4113" spans="11:11">
      <c r="K4113" s="164"/>
    </row>
    <row r="4114" spans="11:11">
      <c r="K4114" s="164"/>
    </row>
    <row r="4115" spans="11:11">
      <c r="K4115" s="164"/>
    </row>
    <row r="4116" spans="11:11">
      <c r="K4116" s="164"/>
    </row>
    <row r="4117" spans="11:11">
      <c r="K4117" s="164"/>
    </row>
    <row r="4118" spans="11:11">
      <c r="K4118" s="164"/>
    </row>
    <row r="4119" spans="11:11">
      <c r="K4119" s="164"/>
    </row>
    <row r="4120" spans="11:11">
      <c r="K4120" s="164"/>
    </row>
    <row r="4121" spans="11:11">
      <c r="K4121" s="164"/>
    </row>
    <row r="4122" spans="11:11">
      <c r="K4122" s="164"/>
    </row>
    <row r="4123" spans="11:11">
      <c r="K4123" s="164"/>
    </row>
    <row r="4124" spans="11:11">
      <c r="K4124" s="164"/>
    </row>
    <row r="4125" spans="11:11">
      <c r="K4125" s="164"/>
    </row>
    <row r="4126" spans="11:11">
      <c r="K4126" s="164"/>
    </row>
    <row r="4127" spans="11:11">
      <c r="K4127" s="164"/>
    </row>
    <row r="4128" spans="11:11">
      <c r="K4128" s="164"/>
    </row>
    <row r="4129" spans="11:11">
      <c r="K4129" s="164"/>
    </row>
    <row r="4130" spans="11:11">
      <c r="K4130" s="164"/>
    </row>
    <row r="4131" spans="11:11">
      <c r="K4131" s="164"/>
    </row>
    <row r="4132" spans="11:11">
      <c r="K4132" s="164"/>
    </row>
    <row r="4133" spans="11:11">
      <c r="K4133" s="164"/>
    </row>
    <row r="4134" spans="11:11">
      <c r="K4134" s="164"/>
    </row>
    <row r="4135" spans="11:11">
      <c r="K4135" s="164"/>
    </row>
    <row r="4136" spans="11:11">
      <c r="K4136" s="164"/>
    </row>
    <row r="4137" spans="11:11">
      <c r="K4137" s="164"/>
    </row>
    <row r="4138" spans="11:11">
      <c r="K4138" s="164"/>
    </row>
    <row r="4139" spans="11:11">
      <c r="K4139" s="164"/>
    </row>
    <row r="4140" spans="11:11">
      <c r="K4140" s="164"/>
    </row>
    <row r="4141" spans="11:11">
      <c r="K4141" s="164"/>
    </row>
    <row r="4142" spans="11:11">
      <c r="K4142" s="164"/>
    </row>
    <row r="4143" spans="11:11">
      <c r="K4143" s="164"/>
    </row>
    <row r="4144" spans="11:11">
      <c r="K4144" s="164"/>
    </row>
    <row r="4145" spans="11:11">
      <c r="K4145" s="164"/>
    </row>
    <row r="4146" spans="11:11">
      <c r="K4146" s="164"/>
    </row>
    <row r="4147" spans="11:11">
      <c r="K4147" s="164"/>
    </row>
    <row r="4148" spans="11:11">
      <c r="K4148" s="164"/>
    </row>
    <row r="4149" spans="11:11">
      <c r="K4149" s="164"/>
    </row>
    <row r="4150" spans="11:11">
      <c r="K4150" s="164"/>
    </row>
    <row r="4151" spans="11:11">
      <c r="K4151" s="164"/>
    </row>
    <row r="4152" spans="11:11">
      <c r="K4152" s="164"/>
    </row>
    <row r="4153" spans="11:11">
      <c r="K4153" s="164"/>
    </row>
    <row r="4154" spans="11:11">
      <c r="K4154" s="164"/>
    </row>
    <row r="4155" spans="11:11">
      <c r="K4155" s="164"/>
    </row>
    <row r="4156" spans="11:11">
      <c r="K4156" s="164"/>
    </row>
    <row r="4157" spans="11:11">
      <c r="K4157" s="164"/>
    </row>
    <row r="4158" spans="11:11">
      <c r="K4158" s="164"/>
    </row>
    <row r="4159" spans="11:11">
      <c r="K4159" s="164"/>
    </row>
    <row r="4160" spans="11:11">
      <c r="K4160" s="164"/>
    </row>
    <row r="4161" spans="11:11">
      <c r="K4161" s="164"/>
    </row>
    <row r="4162" spans="11:11">
      <c r="K4162" s="164"/>
    </row>
    <row r="4163" spans="11:11">
      <c r="K4163" s="164"/>
    </row>
    <row r="4164" spans="11:11">
      <c r="K4164" s="164"/>
    </row>
    <row r="4165" spans="11:11">
      <c r="K4165" s="164"/>
    </row>
    <row r="4166" spans="11:11">
      <c r="K4166" s="164"/>
    </row>
    <row r="4167" spans="11:11">
      <c r="K4167" s="164"/>
    </row>
    <row r="4168" spans="11:11">
      <c r="K4168" s="164"/>
    </row>
    <row r="4169" spans="11:11">
      <c r="K4169" s="164"/>
    </row>
    <row r="4170" spans="11:11">
      <c r="K4170" s="164"/>
    </row>
    <row r="4171" spans="11:11">
      <c r="K4171" s="164"/>
    </row>
    <row r="4172" spans="11:11">
      <c r="K4172" s="164"/>
    </row>
    <row r="4173" spans="11:11">
      <c r="K4173" s="164"/>
    </row>
    <row r="4174" spans="11:11">
      <c r="K4174" s="164"/>
    </row>
    <row r="4175" spans="11:11">
      <c r="K4175" s="164"/>
    </row>
    <row r="4176" spans="11:11">
      <c r="K4176" s="164"/>
    </row>
    <row r="4177" spans="11:11">
      <c r="K4177" s="164"/>
    </row>
    <row r="4178" spans="11:11">
      <c r="K4178" s="164"/>
    </row>
    <row r="4179" spans="11:11">
      <c r="K4179" s="164"/>
    </row>
    <row r="4180" spans="11:11">
      <c r="K4180" s="164"/>
    </row>
    <row r="4181" spans="11:11">
      <c r="K4181" s="164"/>
    </row>
    <row r="4182" spans="11:11">
      <c r="K4182" s="164"/>
    </row>
    <row r="4183" spans="11:11">
      <c r="K4183" s="164"/>
    </row>
    <row r="4184" spans="11:11">
      <c r="K4184" s="164"/>
    </row>
    <row r="4185" spans="11:11">
      <c r="K4185" s="164"/>
    </row>
    <row r="4186" spans="11:11">
      <c r="K4186" s="164"/>
    </row>
    <row r="4187" spans="11:11">
      <c r="K4187" s="164"/>
    </row>
    <row r="4188" spans="11:11">
      <c r="K4188" s="164"/>
    </row>
    <row r="4189" spans="11:11">
      <c r="K4189" s="164"/>
    </row>
    <row r="4190" spans="11:11">
      <c r="K4190" s="164"/>
    </row>
    <row r="4191" spans="11:11">
      <c r="K4191" s="164"/>
    </row>
    <row r="4192" spans="11:11">
      <c r="K4192" s="164"/>
    </row>
    <row r="4193" spans="11:11">
      <c r="K4193" s="164"/>
    </row>
    <row r="4194" spans="11:11">
      <c r="K4194" s="164"/>
    </row>
    <row r="4195" spans="11:11">
      <c r="K4195" s="164"/>
    </row>
    <row r="4196" spans="11:11">
      <c r="K4196" s="164"/>
    </row>
    <row r="4197" spans="11:11">
      <c r="K4197" s="164"/>
    </row>
    <row r="4198" spans="11:11">
      <c r="K4198" s="164"/>
    </row>
    <row r="4199" spans="11:11">
      <c r="K4199" s="164"/>
    </row>
    <row r="4200" spans="11:11">
      <c r="K4200" s="164"/>
    </row>
    <row r="4201" spans="11:11">
      <c r="K4201" s="164"/>
    </row>
    <row r="4202" spans="11:11">
      <c r="K4202" s="164"/>
    </row>
    <row r="4203" spans="11:11">
      <c r="K4203" s="164"/>
    </row>
    <row r="4204" spans="11:11">
      <c r="K4204" s="164"/>
    </row>
    <row r="4205" spans="11:11">
      <c r="K4205" s="164"/>
    </row>
    <row r="4206" spans="11:11">
      <c r="K4206" s="164"/>
    </row>
    <row r="4207" spans="11:11">
      <c r="K4207" s="164"/>
    </row>
    <row r="4208" spans="11:11">
      <c r="K4208" s="164"/>
    </row>
    <row r="4209" spans="11:11">
      <c r="K4209" s="164"/>
    </row>
    <row r="4210" spans="11:11">
      <c r="K4210" s="164"/>
    </row>
    <row r="4211" spans="11:11">
      <c r="K4211" s="164"/>
    </row>
    <row r="4212" spans="11:11">
      <c r="K4212" s="164"/>
    </row>
    <row r="4213" spans="11:11">
      <c r="K4213" s="164"/>
    </row>
    <row r="4214" spans="11:11">
      <c r="K4214" s="164"/>
    </row>
    <row r="4215" spans="11:11">
      <c r="K4215" s="164"/>
    </row>
    <row r="4216" spans="11:11">
      <c r="K4216" s="164"/>
    </row>
    <row r="4217" spans="11:11">
      <c r="K4217" s="164"/>
    </row>
    <row r="4218" spans="11:11">
      <c r="K4218" s="164"/>
    </row>
    <row r="4219" spans="11:11">
      <c r="K4219" s="164"/>
    </row>
    <row r="4220" spans="11:11">
      <c r="K4220" s="164"/>
    </row>
    <row r="4221" spans="11:11">
      <c r="K4221" s="164"/>
    </row>
    <row r="4222" spans="11:11">
      <c r="K4222" s="164"/>
    </row>
    <row r="4223" spans="11:11">
      <c r="K4223" s="164"/>
    </row>
    <row r="4224" spans="11:11">
      <c r="K4224" s="164"/>
    </row>
    <row r="4225" spans="11:11">
      <c r="K4225" s="164"/>
    </row>
    <row r="4226" spans="11:11">
      <c r="K4226" s="164"/>
    </row>
    <row r="4227" spans="11:11">
      <c r="K4227" s="164"/>
    </row>
    <row r="4228" spans="11:11">
      <c r="K4228" s="164"/>
    </row>
    <row r="4229" spans="11:11">
      <c r="K4229" s="164"/>
    </row>
    <row r="4230" spans="11:11">
      <c r="K4230" s="164"/>
    </row>
    <row r="4231" spans="11:11">
      <c r="K4231" s="164"/>
    </row>
    <row r="4232" spans="11:11">
      <c r="K4232" s="164"/>
    </row>
    <row r="4233" spans="11:11">
      <c r="K4233" s="164"/>
    </row>
    <row r="4234" spans="11:11">
      <c r="K4234" s="164"/>
    </row>
    <row r="4235" spans="11:11">
      <c r="K4235" s="164"/>
    </row>
    <row r="4236" spans="11:11">
      <c r="K4236" s="164"/>
    </row>
    <row r="4237" spans="11:11">
      <c r="K4237" s="164"/>
    </row>
    <row r="4238" spans="11:11">
      <c r="K4238" s="164"/>
    </row>
    <row r="4239" spans="11:11">
      <c r="K4239" s="164"/>
    </row>
    <row r="4240" spans="11:11">
      <c r="K4240" s="164"/>
    </row>
    <row r="4241" spans="11:11">
      <c r="K4241" s="164"/>
    </row>
    <row r="4242" spans="11:11">
      <c r="K4242" s="164"/>
    </row>
    <row r="4243" spans="11:11">
      <c r="K4243" s="164"/>
    </row>
    <row r="4244" spans="11:11">
      <c r="K4244" s="164"/>
    </row>
    <row r="4245" spans="11:11">
      <c r="K4245" s="164"/>
    </row>
    <row r="4246" spans="11:11">
      <c r="K4246" s="164"/>
    </row>
    <row r="4247" spans="11:11">
      <c r="K4247" s="164"/>
    </row>
    <row r="4248" spans="11:11">
      <c r="K4248" s="164"/>
    </row>
    <row r="4249" spans="11:11">
      <c r="K4249" s="164"/>
    </row>
    <row r="4250" spans="11:11">
      <c r="K4250" s="164"/>
    </row>
    <row r="4251" spans="11:11">
      <c r="K4251" s="164"/>
    </row>
    <row r="4252" spans="11:11">
      <c r="K4252" s="164"/>
    </row>
    <row r="4253" spans="11:11">
      <c r="K4253" s="164"/>
    </row>
    <row r="4254" spans="11:11">
      <c r="K4254" s="164"/>
    </row>
    <row r="4255" spans="11:11">
      <c r="K4255" s="164"/>
    </row>
    <row r="4256" spans="11:11">
      <c r="K4256" s="164"/>
    </row>
    <row r="4257" spans="11:11">
      <c r="K4257" s="164"/>
    </row>
    <row r="4258" spans="11:11">
      <c r="K4258" s="164"/>
    </row>
    <row r="4259" spans="11:11">
      <c r="K4259" s="164"/>
    </row>
    <row r="4260" spans="11:11">
      <c r="K4260" s="164"/>
    </row>
    <row r="4261" spans="11:11">
      <c r="K4261" s="164"/>
    </row>
    <row r="4262" spans="11:11">
      <c r="K4262" s="164"/>
    </row>
    <row r="4263" spans="11:11">
      <c r="K4263" s="164"/>
    </row>
    <row r="4264" spans="11:11">
      <c r="K4264" s="164"/>
    </row>
    <row r="4265" spans="11:11">
      <c r="K4265" s="164"/>
    </row>
    <row r="4266" spans="11:11">
      <c r="K4266" s="164"/>
    </row>
    <row r="4267" spans="11:11">
      <c r="K4267" s="164"/>
    </row>
    <row r="4268" spans="11:11">
      <c r="K4268" s="164"/>
    </row>
    <row r="4269" spans="11:11">
      <c r="K4269" s="164"/>
    </row>
    <row r="4270" spans="11:11">
      <c r="K4270" s="164"/>
    </row>
    <row r="4271" spans="11:11">
      <c r="K4271" s="164"/>
    </row>
    <row r="4272" spans="11:11">
      <c r="K4272" s="164"/>
    </row>
    <row r="4273" spans="11:11">
      <c r="K4273" s="164"/>
    </row>
    <row r="4274" spans="11:11">
      <c r="K4274" s="164"/>
    </row>
    <row r="4275" spans="11:11">
      <c r="K4275" s="164"/>
    </row>
    <row r="4276" spans="11:11">
      <c r="K4276" s="164"/>
    </row>
    <row r="4277" spans="11:11">
      <c r="K4277" s="164"/>
    </row>
    <row r="4278" spans="11:11">
      <c r="K4278" s="164"/>
    </row>
    <row r="4279" spans="11:11">
      <c r="K4279" s="164"/>
    </row>
    <row r="4280" spans="11:11">
      <c r="K4280" s="164"/>
    </row>
    <row r="4281" spans="11:11">
      <c r="K4281" s="164"/>
    </row>
    <row r="4282" spans="11:11">
      <c r="K4282" s="164"/>
    </row>
    <row r="4283" spans="11:11">
      <c r="K4283" s="164"/>
    </row>
    <row r="4284" spans="11:11">
      <c r="K4284" s="164"/>
    </row>
    <row r="4285" spans="11:11">
      <c r="K4285" s="164"/>
    </row>
    <row r="4286" spans="11:11">
      <c r="K4286" s="164"/>
    </row>
    <row r="4287" spans="11:11">
      <c r="K4287" s="164"/>
    </row>
    <row r="4288" spans="11:11">
      <c r="K4288" s="164"/>
    </row>
    <row r="4289" spans="11:11">
      <c r="K4289" s="164"/>
    </row>
    <row r="4290" spans="11:11">
      <c r="K4290" s="164"/>
    </row>
    <row r="4291" spans="11:11">
      <c r="K4291" s="164"/>
    </row>
    <row r="4292" spans="11:11">
      <c r="K4292" s="164"/>
    </row>
    <row r="4293" spans="11:11">
      <c r="K4293" s="164"/>
    </row>
    <row r="4294" spans="11:11">
      <c r="K4294" s="164"/>
    </row>
    <row r="4295" spans="11:11">
      <c r="K4295" s="164"/>
    </row>
    <row r="4296" spans="11:11">
      <c r="K4296" s="164"/>
    </row>
    <row r="4297" spans="11:11">
      <c r="K4297" s="164"/>
    </row>
    <row r="4298" spans="11:11">
      <c r="K4298" s="164"/>
    </row>
    <row r="4299" spans="11:11">
      <c r="K4299" s="164"/>
    </row>
    <row r="4300" spans="11:11">
      <c r="K4300" s="164"/>
    </row>
    <row r="4301" spans="11:11">
      <c r="K4301" s="164"/>
    </row>
    <row r="4302" spans="11:11">
      <c r="K4302" s="164"/>
    </row>
    <row r="4303" spans="11:11">
      <c r="K4303" s="164"/>
    </row>
    <row r="4304" spans="11:11">
      <c r="K4304" s="164"/>
    </row>
    <row r="4305" spans="11:11">
      <c r="K4305" s="164"/>
    </row>
    <row r="4306" spans="11:11">
      <c r="K4306" s="164"/>
    </row>
    <row r="4307" spans="11:11">
      <c r="K4307" s="164"/>
    </row>
    <row r="4308" spans="11:11">
      <c r="K4308" s="164"/>
    </row>
    <row r="4309" spans="11:11">
      <c r="K4309" s="164"/>
    </row>
    <row r="4310" spans="11:11">
      <c r="K4310" s="164"/>
    </row>
    <row r="4311" spans="11:11">
      <c r="K4311" s="164"/>
    </row>
    <row r="4312" spans="11:11">
      <c r="K4312" s="164"/>
    </row>
    <row r="4313" spans="11:11">
      <c r="K4313" s="164"/>
    </row>
    <row r="4314" spans="11:11">
      <c r="K4314" s="164"/>
    </row>
    <row r="4315" spans="11:11">
      <c r="K4315" s="164"/>
    </row>
    <row r="4316" spans="11:11">
      <c r="K4316" s="164"/>
    </row>
    <row r="4317" spans="11:11">
      <c r="K4317" s="164"/>
    </row>
    <row r="4318" spans="11:11">
      <c r="K4318" s="164"/>
    </row>
    <row r="4319" spans="11:11">
      <c r="K4319" s="164"/>
    </row>
    <row r="4320" spans="11:11">
      <c r="K4320" s="164"/>
    </row>
    <row r="4321" spans="11:11">
      <c r="K4321" s="164"/>
    </row>
    <row r="4322" spans="11:11">
      <c r="K4322" s="164"/>
    </row>
    <row r="4323" spans="11:11">
      <c r="K4323" s="164"/>
    </row>
    <row r="4324" spans="11:11">
      <c r="K4324" s="164"/>
    </row>
    <row r="4325" spans="11:11">
      <c r="K4325" s="164"/>
    </row>
    <row r="4326" spans="11:11">
      <c r="K4326" s="164"/>
    </row>
    <row r="4327" spans="11:11">
      <c r="K4327" s="164"/>
    </row>
    <row r="4328" spans="11:11">
      <c r="K4328" s="164"/>
    </row>
    <row r="4329" spans="11:11">
      <c r="K4329" s="164"/>
    </row>
    <row r="4330" spans="11:11">
      <c r="K4330" s="164"/>
    </row>
    <row r="4331" spans="11:11">
      <c r="K4331" s="164"/>
    </row>
    <row r="4332" spans="11:11">
      <c r="K4332" s="164"/>
    </row>
    <row r="4333" spans="11:11">
      <c r="K4333" s="164"/>
    </row>
    <row r="4334" spans="11:11">
      <c r="K4334" s="164"/>
    </row>
    <row r="4335" spans="11:11">
      <c r="K4335" s="164"/>
    </row>
    <row r="4336" spans="11:11">
      <c r="K4336" s="164"/>
    </row>
    <row r="4337" spans="11:11">
      <c r="K4337" s="164"/>
    </row>
    <row r="4338" spans="11:11">
      <c r="K4338" s="164"/>
    </row>
    <row r="4339" spans="11:11">
      <c r="K4339" s="164"/>
    </row>
    <row r="4340" spans="11:11">
      <c r="K4340" s="164"/>
    </row>
    <row r="4341" spans="11:11">
      <c r="K4341" s="164"/>
    </row>
    <row r="4342" spans="11:11">
      <c r="K4342" s="164"/>
    </row>
    <row r="4343" spans="11:11">
      <c r="K4343" s="164"/>
    </row>
    <row r="4344" spans="11:11">
      <c r="K4344" s="164"/>
    </row>
    <row r="4345" spans="11:11">
      <c r="K4345" s="164"/>
    </row>
    <row r="4346" spans="11:11">
      <c r="K4346" s="164"/>
    </row>
    <row r="4347" spans="11:11">
      <c r="K4347" s="164"/>
    </row>
    <row r="4348" spans="11:11">
      <c r="K4348" s="164"/>
    </row>
    <row r="4349" spans="11:11">
      <c r="K4349" s="164"/>
    </row>
    <row r="4350" spans="11:11">
      <c r="K4350" s="164"/>
    </row>
    <row r="4351" spans="11:11">
      <c r="K4351" s="164"/>
    </row>
    <row r="4352" spans="11:11">
      <c r="K4352" s="164"/>
    </row>
    <row r="4353" spans="11:11">
      <c r="K4353" s="164"/>
    </row>
    <row r="4354" spans="11:11">
      <c r="K4354" s="164"/>
    </row>
    <row r="4355" spans="11:11">
      <c r="K4355" s="164"/>
    </row>
    <row r="4356" spans="11:11">
      <c r="K4356" s="164"/>
    </row>
    <row r="4357" spans="11:11">
      <c r="K4357" s="164"/>
    </row>
    <row r="4358" spans="11:11">
      <c r="K4358" s="164"/>
    </row>
    <row r="4359" spans="11:11">
      <c r="K4359" s="164"/>
    </row>
    <row r="4360" spans="11:11">
      <c r="K4360" s="164"/>
    </row>
    <row r="4361" spans="11:11">
      <c r="K4361" s="164"/>
    </row>
    <row r="4362" spans="11:11">
      <c r="K4362" s="164"/>
    </row>
    <row r="4363" spans="11:11">
      <c r="K4363" s="164"/>
    </row>
    <row r="4364" spans="11:11">
      <c r="K4364" s="164"/>
    </row>
    <row r="4365" spans="11:11">
      <c r="K4365" s="164"/>
    </row>
    <row r="4366" spans="11:11">
      <c r="K4366" s="164"/>
    </row>
    <row r="4367" spans="11:11">
      <c r="K4367" s="164"/>
    </row>
    <row r="4368" spans="11:11">
      <c r="K4368" s="164"/>
    </row>
    <row r="4369" spans="11:11">
      <c r="K4369" s="164"/>
    </row>
    <row r="4370" spans="11:11">
      <c r="K4370" s="164"/>
    </row>
    <row r="4371" spans="11:11">
      <c r="K4371" s="164"/>
    </row>
    <row r="4372" spans="11:11">
      <c r="K4372" s="164"/>
    </row>
    <row r="4373" spans="11:11">
      <c r="K4373" s="164"/>
    </row>
    <row r="4374" spans="11:11">
      <c r="K4374" s="164"/>
    </row>
    <row r="4375" spans="11:11">
      <c r="K4375" s="164"/>
    </row>
    <row r="4376" spans="11:11">
      <c r="K4376" s="164"/>
    </row>
    <row r="4377" spans="11:11">
      <c r="K4377" s="164"/>
    </row>
    <row r="4378" spans="11:11">
      <c r="K4378" s="164"/>
    </row>
    <row r="4379" spans="11:11">
      <c r="K4379" s="164"/>
    </row>
    <row r="4380" spans="11:11">
      <c r="K4380" s="164"/>
    </row>
    <row r="4381" spans="11:11">
      <c r="K4381" s="164"/>
    </row>
    <row r="4382" spans="11:11">
      <c r="K4382" s="164"/>
    </row>
    <row r="4383" spans="11:11">
      <c r="K4383" s="164"/>
    </row>
    <row r="4384" spans="11:11">
      <c r="K4384" s="164"/>
    </row>
    <row r="4385" spans="11:11">
      <c r="K4385" s="164"/>
    </row>
    <row r="4386" spans="11:11">
      <c r="K4386" s="164"/>
    </row>
    <row r="4387" spans="11:11">
      <c r="K4387" s="164"/>
    </row>
    <row r="4388" spans="11:11">
      <c r="K4388" s="164"/>
    </row>
    <row r="4389" spans="11:11">
      <c r="K4389" s="164"/>
    </row>
    <row r="4390" spans="11:11">
      <c r="K4390" s="164"/>
    </row>
    <row r="4391" spans="11:11">
      <c r="K4391" s="164"/>
    </row>
    <row r="4392" spans="11:11">
      <c r="K4392" s="164"/>
    </row>
    <row r="4393" spans="11:11">
      <c r="K4393" s="164"/>
    </row>
    <row r="4394" spans="11:11">
      <c r="K4394" s="164"/>
    </row>
    <row r="4395" spans="11:11">
      <c r="K4395" s="164"/>
    </row>
    <row r="4396" spans="11:11">
      <c r="K4396" s="164"/>
    </row>
    <row r="4397" spans="11:11">
      <c r="K4397" s="164"/>
    </row>
    <row r="4398" spans="11:11">
      <c r="K4398" s="164"/>
    </row>
    <row r="4399" spans="11:11">
      <c r="K4399" s="164"/>
    </row>
    <row r="4400" spans="11:11">
      <c r="K4400" s="164"/>
    </row>
    <row r="4401" spans="11:11">
      <c r="K4401" s="164"/>
    </row>
    <row r="4402" spans="11:11">
      <c r="K4402" s="164"/>
    </row>
    <row r="4403" spans="11:11">
      <c r="K4403" s="164"/>
    </row>
    <row r="4404" spans="11:11">
      <c r="K4404" s="164"/>
    </row>
    <row r="4405" spans="11:11">
      <c r="K4405" s="164"/>
    </row>
    <row r="4406" spans="11:11">
      <c r="K4406" s="164"/>
    </row>
    <row r="4407" spans="11:11">
      <c r="K4407" s="164"/>
    </row>
    <row r="4408" spans="11:11">
      <c r="K4408" s="164"/>
    </row>
    <row r="4409" spans="11:11">
      <c r="K4409" s="164"/>
    </row>
    <row r="4410" spans="11:11">
      <c r="K4410" s="164"/>
    </row>
    <row r="4411" spans="11:11">
      <c r="K4411" s="164"/>
    </row>
    <row r="4412" spans="11:11">
      <c r="K4412" s="164"/>
    </row>
    <row r="4413" spans="11:11">
      <c r="K4413" s="164"/>
    </row>
    <row r="4414" spans="11:11">
      <c r="K4414" s="164"/>
    </row>
    <row r="4415" spans="11:11">
      <c r="K4415" s="164"/>
    </row>
    <row r="4416" spans="11:11">
      <c r="K4416" s="164"/>
    </row>
    <row r="4417" spans="11:11">
      <c r="K4417" s="164"/>
    </row>
    <row r="4418" spans="11:11">
      <c r="K4418" s="164"/>
    </row>
    <row r="4419" spans="11:11">
      <c r="K4419" s="164"/>
    </row>
    <row r="4420" spans="11:11">
      <c r="K4420" s="164"/>
    </row>
    <row r="4421" spans="11:11">
      <c r="K4421" s="164"/>
    </row>
    <row r="4422" spans="11:11">
      <c r="K4422" s="164"/>
    </row>
    <row r="4423" spans="11:11">
      <c r="K4423" s="164"/>
    </row>
    <row r="4424" spans="11:11">
      <c r="K4424" s="164"/>
    </row>
    <row r="4425" spans="11:11">
      <c r="K4425" s="164"/>
    </row>
    <row r="4426" spans="11:11">
      <c r="K4426" s="164"/>
    </row>
    <row r="4427" spans="11:11">
      <c r="K4427" s="164"/>
    </row>
    <row r="4428" spans="11:11">
      <c r="K4428" s="164"/>
    </row>
    <row r="4429" spans="11:11">
      <c r="K4429" s="164"/>
    </row>
    <row r="4430" spans="11:11">
      <c r="K4430" s="164"/>
    </row>
    <row r="4431" spans="11:11">
      <c r="K4431" s="164"/>
    </row>
    <row r="4432" spans="11:11">
      <c r="K4432" s="164"/>
    </row>
    <row r="4433" spans="11:11">
      <c r="K4433" s="164"/>
    </row>
    <row r="4434" spans="11:11">
      <c r="K4434" s="164"/>
    </row>
    <row r="4435" spans="11:11">
      <c r="K4435" s="164"/>
    </row>
    <row r="4436" spans="11:11">
      <c r="K4436" s="164"/>
    </row>
    <row r="4437" spans="11:11">
      <c r="K4437" s="164"/>
    </row>
    <row r="4438" spans="11:11">
      <c r="K4438" s="164"/>
    </row>
    <row r="4439" spans="11:11">
      <c r="K4439" s="164"/>
    </row>
    <row r="4440" spans="11:11">
      <c r="K4440" s="164"/>
    </row>
    <row r="4441" spans="11:11">
      <c r="K4441" s="164"/>
    </row>
    <row r="4442" spans="11:11">
      <c r="K4442" s="164"/>
    </row>
    <row r="4443" spans="11:11">
      <c r="K4443" s="164"/>
    </row>
    <row r="4444" spans="11:11">
      <c r="K4444" s="164"/>
    </row>
    <row r="4445" spans="11:11">
      <c r="K4445" s="164"/>
    </row>
    <row r="4446" spans="11:11">
      <c r="K4446" s="164"/>
    </row>
    <row r="4447" spans="11:11">
      <c r="K4447" s="164"/>
    </row>
    <row r="4448" spans="11:11">
      <c r="K4448" s="164"/>
    </row>
    <row r="4449" spans="11:11">
      <c r="K4449" s="164"/>
    </row>
    <row r="4450" spans="11:11">
      <c r="K4450" s="164"/>
    </row>
    <row r="4451" spans="11:11">
      <c r="K4451" s="164"/>
    </row>
    <row r="4452" spans="11:11">
      <c r="K4452" s="164"/>
    </row>
    <row r="4453" spans="11:11">
      <c r="K4453" s="164"/>
    </row>
    <row r="4454" spans="11:11">
      <c r="K4454" s="164"/>
    </row>
    <row r="4455" spans="11:11">
      <c r="K4455" s="164"/>
    </row>
    <row r="4456" spans="11:11">
      <c r="K4456" s="164"/>
    </row>
    <row r="4457" spans="11:11">
      <c r="K4457" s="164"/>
    </row>
    <row r="4458" spans="11:11">
      <c r="K4458" s="164"/>
    </row>
    <row r="4459" spans="11:11">
      <c r="K4459" s="164"/>
    </row>
    <row r="4460" spans="11:11">
      <c r="K4460" s="164"/>
    </row>
    <row r="4461" spans="11:11">
      <c r="K4461" s="164"/>
    </row>
    <row r="4462" spans="11:11">
      <c r="K4462" s="164"/>
    </row>
    <row r="4463" spans="11:11">
      <c r="K4463" s="164"/>
    </row>
    <row r="4464" spans="11:11">
      <c r="K4464" s="164"/>
    </row>
    <row r="4465" spans="11:11">
      <c r="K4465" s="164"/>
    </row>
    <row r="4466" spans="11:11">
      <c r="K4466" s="164"/>
    </row>
    <row r="4467" spans="11:11">
      <c r="K4467" s="164"/>
    </row>
    <row r="4468" spans="11:11">
      <c r="K4468" s="164"/>
    </row>
    <row r="4469" spans="11:11">
      <c r="K4469" s="164"/>
    </row>
    <row r="4470" spans="11:11">
      <c r="K4470" s="164"/>
    </row>
    <row r="4471" spans="11:11">
      <c r="K4471" s="164"/>
    </row>
    <row r="4472" spans="11:11">
      <c r="K4472" s="164"/>
    </row>
    <row r="4473" spans="11:11">
      <c r="K4473" s="164"/>
    </row>
    <row r="4474" spans="11:11">
      <c r="K4474" s="164"/>
    </row>
    <row r="4475" spans="11:11">
      <c r="K4475" s="164"/>
    </row>
    <row r="4476" spans="11:11">
      <c r="K4476" s="164"/>
    </row>
    <row r="4477" spans="11:11">
      <c r="K4477" s="164"/>
    </row>
    <row r="4478" spans="11:11">
      <c r="K4478" s="164"/>
    </row>
    <row r="4479" spans="11:11">
      <c r="K4479" s="164"/>
    </row>
    <row r="4480" spans="11:11">
      <c r="K4480" s="164"/>
    </row>
    <row r="4481" spans="11:11">
      <c r="K4481" s="164"/>
    </row>
    <row r="4482" spans="11:11">
      <c r="K4482" s="164"/>
    </row>
    <row r="4483" spans="11:11">
      <c r="K4483" s="164"/>
    </row>
    <row r="4484" spans="11:11">
      <c r="K4484" s="164"/>
    </row>
    <row r="4485" spans="11:11">
      <c r="K4485" s="164"/>
    </row>
    <row r="4486" spans="11:11">
      <c r="K4486" s="164"/>
    </row>
    <row r="4487" spans="11:11">
      <c r="K4487" s="164"/>
    </row>
    <row r="4488" spans="11:11">
      <c r="K4488" s="164"/>
    </row>
    <row r="4489" spans="11:11">
      <c r="K4489" s="164"/>
    </row>
    <row r="4490" spans="11:11">
      <c r="K4490" s="164"/>
    </row>
    <row r="4491" spans="11:11">
      <c r="K4491" s="164"/>
    </row>
    <row r="4492" spans="11:11">
      <c r="K4492" s="164"/>
    </row>
    <row r="4493" spans="11:11">
      <c r="K4493" s="164"/>
    </row>
    <row r="4494" spans="11:11">
      <c r="K4494" s="164"/>
    </row>
    <row r="4495" spans="11:11">
      <c r="K4495" s="164"/>
    </row>
    <row r="4496" spans="11:11">
      <c r="K4496" s="164"/>
    </row>
    <row r="4497" spans="11:11">
      <c r="K4497" s="164"/>
    </row>
    <row r="4498" spans="11:11">
      <c r="K4498" s="164"/>
    </row>
    <row r="4499" spans="11:11">
      <c r="K4499" s="164"/>
    </row>
    <row r="4500" spans="11:11">
      <c r="K4500" s="164"/>
    </row>
    <row r="4501" spans="11:11">
      <c r="K4501" s="164"/>
    </row>
    <row r="4502" spans="11:11">
      <c r="K4502" s="164"/>
    </row>
    <row r="4503" spans="11:11">
      <c r="K4503" s="164"/>
    </row>
    <row r="4504" spans="11:11">
      <c r="K4504" s="164"/>
    </row>
    <row r="4505" spans="11:11">
      <c r="K4505" s="164"/>
    </row>
    <row r="4506" spans="11:11">
      <c r="K4506" s="164"/>
    </row>
    <row r="4507" spans="11:11">
      <c r="K4507" s="164"/>
    </row>
    <row r="4508" spans="11:11">
      <c r="K4508" s="164"/>
    </row>
    <row r="4509" spans="11:11">
      <c r="K4509" s="164"/>
    </row>
    <row r="4510" spans="11:11">
      <c r="K4510" s="164"/>
    </row>
    <row r="4511" spans="11:11">
      <c r="K4511" s="164"/>
    </row>
    <row r="4512" spans="11:11">
      <c r="K4512" s="164"/>
    </row>
    <row r="4513" spans="11:11">
      <c r="K4513" s="164"/>
    </row>
    <row r="4514" spans="11:11">
      <c r="K4514" s="164"/>
    </row>
    <row r="4515" spans="11:11">
      <c r="K4515" s="164"/>
    </row>
    <row r="4516" spans="11:11">
      <c r="K4516" s="164"/>
    </row>
    <row r="4517" spans="11:11">
      <c r="K4517" s="164"/>
    </row>
    <row r="4518" spans="11:11">
      <c r="K4518" s="164"/>
    </row>
    <row r="4519" spans="11:11">
      <c r="K4519" s="164"/>
    </row>
    <row r="4520" spans="11:11">
      <c r="K4520" s="164"/>
    </row>
    <row r="4521" spans="11:11">
      <c r="K4521" s="164"/>
    </row>
    <row r="4522" spans="11:11">
      <c r="K4522" s="164"/>
    </row>
    <row r="4523" spans="11:11">
      <c r="K4523" s="164"/>
    </row>
    <row r="4524" spans="11:11">
      <c r="K4524" s="164"/>
    </row>
    <row r="4525" spans="11:11">
      <c r="K4525" s="164"/>
    </row>
    <row r="4526" spans="11:11">
      <c r="K4526" s="164"/>
    </row>
    <row r="4527" spans="11:11">
      <c r="K4527" s="164"/>
    </row>
    <row r="4528" spans="11:11">
      <c r="K4528" s="164"/>
    </row>
    <row r="4529" spans="11:11">
      <c r="K4529" s="164"/>
    </row>
    <row r="4530" spans="11:11">
      <c r="K4530" s="164"/>
    </row>
    <row r="4531" spans="11:11">
      <c r="K4531" s="164"/>
    </row>
    <row r="4532" spans="11:11">
      <c r="K4532" s="164"/>
    </row>
    <row r="4533" spans="11:11">
      <c r="K4533" s="164"/>
    </row>
    <row r="4534" spans="11:11">
      <c r="K4534" s="164"/>
    </row>
    <row r="4535" spans="11:11">
      <c r="K4535" s="164"/>
    </row>
    <row r="4536" spans="11:11">
      <c r="K4536" s="164"/>
    </row>
    <row r="4537" spans="11:11">
      <c r="K4537" s="164"/>
    </row>
    <row r="4538" spans="11:11">
      <c r="K4538" s="164"/>
    </row>
    <row r="4539" spans="11:11">
      <c r="K4539" s="164"/>
    </row>
    <row r="4540" spans="11:11">
      <c r="K4540" s="164"/>
    </row>
    <row r="4541" spans="11:11">
      <c r="K4541" s="164"/>
    </row>
    <row r="4542" spans="11:11">
      <c r="K4542" s="164"/>
    </row>
    <row r="4543" spans="11:11">
      <c r="K4543" s="164"/>
    </row>
    <row r="4544" spans="11:11">
      <c r="K4544" s="164"/>
    </row>
    <row r="4545" spans="11:11">
      <c r="K4545" s="164"/>
    </row>
    <row r="4546" spans="11:11">
      <c r="K4546" s="164"/>
    </row>
    <row r="4547" spans="11:11">
      <c r="K4547" s="164"/>
    </row>
    <row r="4548" spans="11:11">
      <c r="K4548" s="164"/>
    </row>
    <row r="4549" spans="11:11">
      <c r="K4549" s="164"/>
    </row>
    <row r="4550" spans="11:11">
      <c r="K4550" s="164"/>
    </row>
    <row r="4551" spans="11:11">
      <c r="K4551" s="164"/>
    </row>
    <row r="4552" spans="11:11">
      <c r="K4552" s="164"/>
    </row>
    <row r="4553" spans="11:11">
      <c r="K4553" s="164"/>
    </row>
    <row r="4554" spans="11:11">
      <c r="K4554" s="164"/>
    </row>
    <row r="4555" spans="11:11">
      <c r="K4555" s="164"/>
    </row>
    <row r="4556" spans="11:11">
      <c r="K4556" s="164"/>
    </row>
    <row r="4557" spans="11:11">
      <c r="K4557" s="164"/>
    </row>
    <row r="4558" spans="11:11">
      <c r="K4558" s="164"/>
    </row>
    <row r="4559" spans="11:11">
      <c r="K4559" s="164"/>
    </row>
    <row r="4560" spans="11:11">
      <c r="K4560" s="164"/>
    </row>
    <row r="4561" spans="11:11">
      <c r="K4561" s="164"/>
    </row>
    <row r="4562" spans="11:11">
      <c r="K4562" s="164"/>
    </row>
    <row r="4563" spans="11:11">
      <c r="K4563" s="164"/>
    </row>
    <row r="4564" spans="11:11">
      <c r="K4564" s="164"/>
    </row>
    <row r="4565" spans="11:11">
      <c r="K4565" s="164"/>
    </row>
    <row r="4566" spans="11:11">
      <c r="K4566" s="164"/>
    </row>
    <row r="4567" spans="11:11">
      <c r="K4567" s="164"/>
    </row>
    <row r="4568" spans="11:11">
      <c r="K4568" s="164"/>
    </row>
    <row r="4569" spans="11:11">
      <c r="K4569" s="164"/>
    </row>
    <row r="4570" spans="11:11">
      <c r="K4570" s="164"/>
    </row>
    <row r="4571" spans="11:11">
      <c r="K4571" s="164"/>
    </row>
    <row r="4572" spans="11:11">
      <c r="K4572" s="164"/>
    </row>
    <row r="4573" spans="11:11">
      <c r="K4573" s="164"/>
    </row>
    <row r="4574" spans="11:11">
      <c r="K4574" s="164"/>
    </row>
    <row r="4575" spans="11:11">
      <c r="K4575" s="164"/>
    </row>
    <row r="4576" spans="11:11">
      <c r="K4576" s="164"/>
    </row>
    <row r="4577" spans="11:11">
      <c r="K4577" s="164"/>
    </row>
    <row r="4578" spans="11:11">
      <c r="K4578" s="164"/>
    </row>
    <row r="4579" spans="11:11">
      <c r="K4579" s="164"/>
    </row>
    <row r="4580" spans="11:11">
      <c r="K4580" s="164"/>
    </row>
    <row r="4581" spans="11:11">
      <c r="K4581" s="164"/>
    </row>
    <row r="4582" spans="11:11">
      <c r="K4582" s="164"/>
    </row>
    <row r="4583" spans="11:11">
      <c r="K4583" s="164"/>
    </row>
    <row r="4584" spans="11:11">
      <c r="K4584" s="164"/>
    </row>
    <row r="4585" spans="11:11">
      <c r="K4585" s="164"/>
    </row>
    <row r="4586" spans="11:11">
      <c r="K4586" s="164"/>
    </row>
    <row r="4587" spans="11:11">
      <c r="K4587" s="164"/>
    </row>
    <row r="4588" spans="11:11">
      <c r="K4588" s="164"/>
    </row>
    <row r="4589" spans="11:11">
      <c r="K4589" s="164"/>
    </row>
    <row r="4590" spans="11:11">
      <c r="K4590" s="164"/>
    </row>
    <row r="4591" spans="11:11">
      <c r="K4591" s="164"/>
    </row>
    <row r="4592" spans="11:11">
      <c r="K4592" s="164"/>
    </row>
    <row r="4593" spans="11:11">
      <c r="K4593" s="164"/>
    </row>
    <row r="4594" spans="11:11">
      <c r="K4594" s="164"/>
    </row>
    <row r="4595" spans="11:11">
      <c r="K4595" s="164"/>
    </row>
    <row r="4596" spans="11:11">
      <c r="K4596" s="164"/>
    </row>
    <row r="4597" spans="11:11">
      <c r="K4597" s="164"/>
    </row>
    <row r="4598" spans="11:11">
      <c r="K4598" s="164"/>
    </row>
    <row r="4599" spans="11:11">
      <c r="K4599" s="164"/>
    </row>
    <row r="4600" spans="11:11">
      <c r="K4600" s="164"/>
    </row>
    <row r="4601" spans="11:11">
      <c r="K4601" s="164"/>
    </row>
    <row r="4602" spans="11:11">
      <c r="K4602" s="164"/>
    </row>
    <row r="4603" spans="11:11">
      <c r="K4603" s="164"/>
    </row>
    <row r="4604" spans="11:11">
      <c r="K4604" s="164"/>
    </row>
    <row r="4605" spans="11:11">
      <c r="K4605" s="164"/>
    </row>
    <row r="4606" spans="11:11">
      <c r="K4606" s="164"/>
    </row>
    <row r="4607" spans="11:11">
      <c r="K4607" s="164"/>
    </row>
    <row r="4608" spans="11:11">
      <c r="K4608" s="164"/>
    </row>
    <row r="4609" spans="11:11">
      <c r="K4609" s="164"/>
    </row>
    <row r="4610" spans="11:11">
      <c r="K4610" s="164"/>
    </row>
    <row r="4611" spans="11:11">
      <c r="K4611" s="164"/>
    </row>
    <row r="4612" spans="11:11">
      <c r="K4612" s="164"/>
    </row>
    <row r="4613" spans="11:11">
      <c r="K4613" s="164"/>
    </row>
    <row r="4614" spans="11:11">
      <c r="K4614" s="164"/>
    </row>
    <row r="4615" spans="11:11">
      <c r="K4615" s="164"/>
    </row>
    <row r="4616" spans="11:11">
      <c r="K4616" s="164"/>
    </row>
    <row r="4617" spans="11:11">
      <c r="K4617" s="164"/>
    </row>
    <row r="4618" spans="11:11">
      <c r="K4618" s="164"/>
    </row>
    <row r="4619" spans="11:11">
      <c r="K4619" s="164"/>
    </row>
    <row r="4620" spans="11:11">
      <c r="K4620" s="164"/>
    </row>
    <row r="4621" spans="11:11">
      <c r="K4621" s="164"/>
    </row>
    <row r="4622" spans="11:11">
      <c r="K4622" s="164"/>
    </row>
    <row r="4623" spans="11:11">
      <c r="K4623" s="164"/>
    </row>
    <row r="4624" spans="11:11">
      <c r="K4624" s="164"/>
    </row>
    <row r="4625" spans="11:11">
      <c r="K4625" s="164"/>
    </row>
    <row r="4626" spans="11:11">
      <c r="K4626" s="164"/>
    </row>
    <row r="4627" spans="11:11">
      <c r="K4627" s="164"/>
    </row>
    <row r="4628" spans="11:11">
      <c r="K4628" s="164"/>
    </row>
    <row r="4629" spans="11:11">
      <c r="K4629" s="164"/>
    </row>
    <row r="4630" spans="11:11">
      <c r="K4630" s="164"/>
    </row>
    <row r="4631" spans="11:11">
      <c r="K4631" s="164"/>
    </row>
    <row r="4632" spans="11:11">
      <c r="K4632" s="164"/>
    </row>
    <row r="4633" spans="11:11">
      <c r="K4633" s="164"/>
    </row>
    <row r="4634" spans="11:11">
      <c r="K4634" s="164"/>
    </row>
    <row r="4635" spans="11:11">
      <c r="K4635" s="164"/>
    </row>
    <row r="4636" spans="11:11">
      <c r="K4636" s="164"/>
    </row>
    <row r="4637" spans="11:11">
      <c r="K4637" s="164"/>
    </row>
    <row r="4638" spans="11:11">
      <c r="K4638" s="164"/>
    </row>
    <row r="4639" spans="11:11">
      <c r="K4639" s="164"/>
    </row>
    <row r="4640" spans="11:11">
      <c r="K4640" s="164"/>
    </row>
    <row r="4641" spans="11:11">
      <c r="K4641" s="164"/>
    </row>
    <row r="4642" spans="11:11">
      <c r="K4642" s="164"/>
    </row>
    <row r="4643" spans="11:11">
      <c r="K4643" s="164"/>
    </row>
    <row r="4644" spans="11:11">
      <c r="K4644" s="164"/>
    </row>
    <row r="4645" spans="11:11">
      <c r="K4645" s="164"/>
    </row>
    <row r="4646" spans="11:11">
      <c r="K4646" s="164"/>
    </row>
    <row r="4647" spans="11:11">
      <c r="K4647" s="164"/>
    </row>
    <row r="4648" spans="11:11">
      <c r="K4648" s="164"/>
    </row>
    <row r="4649" spans="11:11">
      <c r="K4649" s="164"/>
    </row>
    <row r="4650" spans="11:11">
      <c r="K4650" s="164"/>
    </row>
    <row r="4651" spans="11:11">
      <c r="K4651" s="164"/>
    </row>
    <row r="4652" spans="11:11">
      <c r="K4652" s="164"/>
    </row>
    <row r="4653" spans="11:11">
      <c r="K4653" s="164"/>
    </row>
    <row r="4654" spans="11:11">
      <c r="K4654" s="164"/>
    </row>
    <row r="4655" spans="11:11">
      <c r="K4655" s="164"/>
    </row>
    <row r="4656" spans="11:11">
      <c r="K4656" s="164"/>
    </row>
    <row r="4657" spans="11:11">
      <c r="K4657" s="164"/>
    </row>
    <row r="4658" spans="11:11">
      <c r="K4658" s="164"/>
    </row>
    <row r="4659" spans="11:11">
      <c r="K4659" s="164"/>
    </row>
    <row r="4660" spans="11:11">
      <c r="K4660" s="164"/>
    </row>
    <row r="4661" spans="11:11">
      <c r="K4661" s="164"/>
    </row>
    <row r="4662" spans="11:11">
      <c r="K4662" s="164"/>
    </row>
    <row r="4663" spans="11:11">
      <c r="K4663" s="164"/>
    </row>
    <row r="4664" spans="11:11">
      <c r="K4664" s="164"/>
    </row>
    <row r="4665" spans="11:11">
      <c r="K4665" s="164"/>
    </row>
    <row r="4666" spans="11:11">
      <c r="K4666" s="164"/>
    </row>
    <row r="4667" spans="11:11">
      <c r="K4667" s="164"/>
    </row>
    <row r="4668" spans="11:11">
      <c r="K4668" s="164"/>
    </row>
    <row r="4669" spans="11:11">
      <c r="K4669" s="164"/>
    </row>
    <row r="4670" spans="11:11">
      <c r="K4670" s="164"/>
    </row>
    <row r="4671" spans="11:11">
      <c r="K4671" s="164"/>
    </row>
    <row r="4672" spans="11:11">
      <c r="K4672" s="164"/>
    </row>
    <row r="4673" spans="11:11">
      <c r="K4673" s="164"/>
    </row>
    <row r="4674" spans="11:11">
      <c r="K4674" s="164"/>
    </row>
    <row r="4675" spans="11:11">
      <c r="K4675" s="164"/>
    </row>
    <row r="4676" spans="11:11">
      <c r="K4676" s="164"/>
    </row>
    <row r="4677" spans="11:11">
      <c r="K4677" s="164"/>
    </row>
    <row r="4678" spans="11:11">
      <c r="K4678" s="164"/>
    </row>
    <row r="4679" spans="11:11">
      <c r="K4679" s="164"/>
    </row>
    <row r="4680" spans="11:11">
      <c r="K4680" s="164"/>
    </row>
    <row r="4681" spans="11:11">
      <c r="K4681" s="164"/>
    </row>
    <row r="4682" spans="11:11">
      <c r="K4682" s="164"/>
    </row>
    <row r="4683" spans="11:11">
      <c r="K4683" s="164"/>
    </row>
    <row r="4684" spans="11:11">
      <c r="K4684" s="164"/>
    </row>
    <row r="4685" spans="11:11">
      <c r="K4685" s="164"/>
    </row>
    <row r="4686" spans="11:11">
      <c r="K4686" s="164"/>
    </row>
    <row r="4687" spans="11:11">
      <c r="K4687" s="164"/>
    </row>
    <row r="4688" spans="11:11">
      <c r="K4688" s="164"/>
    </row>
    <row r="4689" spans="11:11">
      <c r="K4689" s="164"/>
    </row>
    <row r="4690" spans="11:11">
      <c r="K4690" s="164"/>
    </row>
    <row r="4691" spans="11:11">
      <c r="K4691" s="164"/>
    </row>
    <row r="4692" spans="11:11">
      <c r="K4692" s="164"/>
    </row>
    <row r="4693" spans="11:11">
      <c r="K4693" s="164"/>
    </row>
    <row r="4694" spans="11:11">
      <c r="K4694" s="164"/>
    </row>
    <row r="4695" spans="11:11">
      <c r="K4695" s="164"/>
    </row>
    <row r="4696" spans="11:11">
      <c r="K4696" s="164"/>
    </row>
    <row r="4697" spans="11:11">
      <c r="K4697" s="164"/>
    </row>
    <row r="4698" spans="11:11">
      <c r="K4698" s="164"/>
    </row>
    <row r="4699" spans="11:11">
      <c r="K4699" s="164"/>
    </row>
    <row r="4700" spans="11:11">
      <c r="K4700" s="164"/>
    </row>
    <row r="4701" spans="11:11">
      <c r="K4701" s="164"/>
    </row>
    <row r="4702" spans="11:11">
      <c r="K4702" s="164"/>
    </row>
    <row r="4703" spans="11:11">
      <c r="K4703" s="164"/>
    </row>
    <row r="4704" spans="11:11">
      <c r="K4704" s="164"/>
    </row>
    <row r="4705" spans="11:11">
      <c r="K4705" s="164"/>
    </row>
    <row r="4706" spans="11:11">
      <c r="K4706" s="164"/>
    </row>
    <row r="4707" spans="11:11">
      <c r="K4707" s="164"/>
    </row>
    <row r="4708" spans="11:11">
      <c r="K4708" s="164"/>
    </row>
    <row r="4709" spans="11:11">
      <c r="K4709" s="164"/>
    </row>
    <row r="4710" spans="11:11">
      <c r="K4710" s="164"/>
    </row>
    <row r="4711" spans="11:11">
      <c r="K4711" s="164"/>
    </row>
    <row r="4712" spans="11:11">
      <c r="K4712" s="164"/>
    </row>
    <row r="4713" spans="11:11">
      <c r="K4713" s="164"/>
    </row>
    <row r="4714" spans="11:11">
      <c r="K4714" s="164"/>
    </row>
    <row r="4715" spans="11:11">
      <c r="K4715" s="164"/>
    </row>
    <row r="4716" spans="11:11">
      <c r="K4716" s="164"/>
    </row>
    <row r="4717" spans="11:11">
      <c r="K4717" s="164"/>
    </row>
    <row r="4718" spans="11:11">
      <c r="K4718" s="164"/>
    </row>
    <row r="4719" spans="11:11">
      <c r="K4719" s="164"/>
    </row>
    <row r="4720" spans="11:11">
      <c r="K4720" s="164"/>
    </row>
    <row r="4721" spans="11:11">
      <c r="K4721" s="164"/>
    </row>
    <row r="4722" spans="11:11">
      <c r="K4722" s="164"/>
    </row>
    <row r="4723" spans="11:11">
      <c r="K4723" s="164"/>
    </row>
    <row r="4724" spans="11:11">
      <c r="K4724" s="164"/>
    </row>
    <row r="4725" spans="11:11">
      <c r="K4725" s="164"/>
    </row>
    <row r="4726" spans="11:11">
      <c r="K4726" s="164"/>
    </row>
    <row r="4727" spans="11:11">
      <c r="K4727" s="164"/>
    </row>
    <row r="4728" spans="11:11">
      <c r="K4728" s="164"/>
    </row>
    <row r="4729" spans="11:11">
      <c r="K4729" s="164"/>
    </row>
    <row r="4730" spans="11:11">
      <c r="K4730" s="164"/>
    </row>
    <row r="4731" spans="11:11">
      <c r="K4731" s="164"/>
    </row>
    <row r="4732" spans="11:11">
      <c r="K4732" s="164"/>
    </row>
    <row r="4733" spans="11:11">
      <c r="K4733" s="164"/>
    </row>
    <row r="4734" spans="11:11">
      <c r="K4734" s="164"/>
    </row>
    <row r="4735" spans="11:11">
      <c r="K4735" s="164"/>
    </row>
    <row r="4736" spans="11:11">
      <c r="K4736" s="164"/>
    </row>
    <row r="4737" spans="11:11">
      <c r="K4737" s="164"/>
    </row>
    <row r="4738" spans="11:11">
      <c r="K4738" s="164"/>
    </row>
    <row r="4739" spans="11:11">
      <c r="K4739" s="164"/>
    </row>
    <row r="4740" spans="11:11">
      <c r="K4740" s="164"/>
    </row>
    <row r="4741" spans="11:11">
      <c r="K4741" s="164"/>
    </row>
    <row r="4742" spans="11:11">
      <c r="K4742" s="164"/>
    </row>
    <row r="4743" spans="11:11">
      <c r="K4743" s="164"/>
    </row>
    <row r="4744" spans="11:11">
      <c r="K4744" s="164"/>
    </row>
    <row r="4745" spans="11:11">
      <c r="K4745" s="164"/>
    </row>
    <row r="4746" spans="11:11">
      <c r="K4746" s="164"/>
    </row>
    <row r="4747" spans="11:11">
      <c r="K4747" s="164"/>
    </row>
    <row r="4748" spans="11:11">
      <c r="K4748" s="164"/>
    </row>
    <row r="4749" spans="11:11">
      <c r="K4749" s="164"/>
    </row>
    <row r="4750" spans="11:11">
      <c r="K4750" s="164"/>
    </row>
    <row r="4751" spans="11:11">
      <c r="K4751" s="164"/>
    </row>
    <row r="4752" spans="11:11">
      <c r="K4752" s="164"/>
    </row>
    <row r="4753" spans="11:11">
      <c r="K4753" s="164"/>
    </row>
    <row r="4754" spans="11:11">
      <c r="K4754" s="164"/>
    </row>
    <row r="4755" spans="11:11">
      <c r="K4755" s="164"/>
    </row>
    <row r="4756" spans="11:11">
      <c r="K4756" s="164"/>
    </row>
    <row r="4757" spans="11:11">
      <c r="K4757" s="164"/>
    </row>
    <row r="4758" spans="11:11">
      <c r="K4758" s="164"/>
    </row>
    <row r="4759" spans="11:11">
      <c r="K4759" s="164"/>
    </row>
    <row r="4760" spans="11:11">
      <c r="K4760" s="164"/>
    </row>
    <row r="4761" spans="11:11">
      <c r="K4761" s="164"/>
    </row>
    <row r="4762" spans="11:11">
      <c r="K4762" s="164"/>
    </row>
    <row r="4763" spans="11:11">
      <c r="K4763" s="164"/>
    </row>
    <row r="4764" spans="11:11">
      <c r="K4764" s="164"/>
    </row>
    <row r="4765" spans="11:11">
      <c r="K4765" s="164"/>
    </row>
    <row r="4766" spans="11:11">
      <c r="K4766" s="164"/>
    </row>
    <row r="4767" spans="11:11">
      <c r="K4767" s="164"/>
    </row>
    <row r="4768" spans="11:11">
      <c r="K4768" s="164"/>
    </row>
    <row r="4769" spans="11:11">
      <c r="K4769" s="164"/>
    </row>
    <row r="4770" spans="11:11">
      <c r="K4770" s="164"/>
    </row>
    <row r="4771" spans="11:11">
      <c r="K4771" s="164"/>
    </row>
    <row r="4772" spans="11:11">
      <c r="K4772" s="164"/>
    </row>
    <row r="4773" spans="11:11">
      <c r="K4773" s="164"/>
    </row>
    <row r="4774" spans="11:11">
      <c r="K4774" s="164"/>
    </row>
    <row r="4775" spans="11:11">
      <c r="K4775" s="164"/>
    </row>
    <row r="4776" spans="11:11">
      <c r="K4776" s="164"/>
    </row>
    <row r="4777" spans="11:11">
      <c r="K4777" s="164"/>
    </row>
    <row r="4778" spans="11:11">
      <c r="K4778" s="164"/>
    </row>
    <row r="4779" spans="11:11">
      <c r="K4779" s="164"/>
    </row>
    <row r="4780" spans="11:11">
      <c r="K4780" s="164"/>
    </row>
    <row r="4781" spans="11:11">
      <c r="K4781" s="164"/>
    </row>
    <row r="4782" spans="11:11">
      <c r="K4782" s="164"/>
    </row>
    <row r="4783" spans="11:11">
      <c r="K4783" s="164"/>
    </row>
    <row r="4784" spans="11:11">
      <c r="K4784" s="164"/>
    </row>
    <row r="4785" spans="11:11">
      <c r="K4785" s="164"/>
    </row>
    <row r="4786" spans="11:11">
      <c r="K4786" s="164"/>
    </row>
    <row r="4787" spans="11:11">
      <c r="K4787" s="164"/>
    </row>
    <row r="4788" spans="11:11">
      <c r="K4788" s="164"/>
    </row>
    <row r="4789" spans="11:11">
      <c r="K4789" s="164"/>
    </row>
    <row r="4790" spans="11:11">
      <c r="K4790" s="164"/>
    </row>
    <row r="4791" spans="11:11">
      <c r="K4791" s="164"/>
    </row>
    <row r="4792" spans="11:11">
      <c r="K4792" s="164"/>
    </row>
    <row r="4793" spans="11:11">
      <c r="K4793" s="164"/>
    </row>
    <row r="4794" spans="11:11">
      <c r="K4794" s="164"/>
    </row>
    <row r="4795" spans="11:11">
      <c r="K4795" s="164"/>
    </row>
    <row r="4796" spans="11:11">
      <c r="K4796" s="164"/>
    </row>
    <row r="4797" spans="11:11">
      <c r="K4797" s="164"/>
    </row>
    <row r="4798" spans="11:11">
      <c r="K4798" s="164"/>
    </row>
    <row r="4799" spans="11:11">
      <c r="K4799" s="164"/>
    </row>
    <row r="4800" spans="11:11">
      <c r="K4800" s="164"/>
    </row>
    <row r="4801" spans="11:11">
      <c r="K4801" s="164"/>
    </row>
    <row r="4802" spans="11:11">
      <c r="K4802" s="164"/>
    </row>
    <row r="4803" spans="11:11">
      <c r="K4803" s="164"/>
    </row>
    <row r="4804" spans="11:11">
      <c r="K4804" s="164"/>
    </row>
    <row r="4805" spans="11:11">
      <c r="K4805" s="164"/>
    </row>
    <row r="4806" spans="11:11">
      <c r="K4806" s="164"/>
    </row>
    <row r="4807" spans="11:11">
      <c r="K4807" s="164"/>
    </row>
    <row r="4808" spans="11:11">
      <c r="K4808" s="164"/>
    </row>
    <row r="4809" spans="11:11">
      <c r="K4809" s="164"/>
    </row>
    <row r="4810" spans="11:11">
      <c r="K4810" s="164"/>
    </row>
    <row r="4811" spans="11:11">
      <c r="K4811" s="164"/>
    </row>
    <row r="4812" spans="11:11">
      <c r="K4812" s="164"/>
    </row>
    <row r="4813" spans="11:11">
      <c r="K4813" s="164"/>
    </row>
    <row r="4814" spans="11:11">
      <c r="K4814" s="164"/>
    </row>
    <row r="4815" spans="11:11">
      <c r="K4815" s="164"/>
    </row>
    <row r="4816" spans="11:11">
      <c r="K4816" s="164"/>
    </row>
    <row r="4817" spans="11:11">
      <c r="K4817" s="164"/>
    </row>
    <row r="4818" spans="11:11">
      <c r="K4818" s="164"/>
    </row>
    <row r="4819" spans="11:11">
      <c r="K4819" s="164"/>
    </row>
    <row r="4820" spans="11:11">
      <c r="K4820" s="164"/>
    </row>
    <row r="4821" spans="11:11">
      <c r="K4821" s="164"/>
    </row>
    <row r="4822" spans="11:11">
      <c r="K4822" s="164"/>
    </row>
    <row r="4823" spans="11:11">
      <c r="K4823" s="164"/>
    </row>
    <row r="4824" spans="11:11">
      <c r="K4824" s="164"/>
    </row>
    <row r="4825" spans="11:11">
      <c r="K4825" s="164"/>
    </row>
    <row r="4826" spans="11:11">
      <c r="K4826" s="164"/>
    </row>
    <row r="4827" spans="11:11">
      <c r="K4827" s="164"/>
    </row>
    <row r="4828" spans="11:11">
      <c r="K4828" s="164"/>
    </row>
    <row r="4829" spans="11:11">
      <c r="K4829" s="164"/>
    </row>
    <row r="4830" spans="11:11">
      <c r="K4830" s="164"/>
    </row>
    <row r="4831" spans="11:11">
      <c r="K4831" s="164"/>
    </row>
    <row r="4832" spans="11:11">
      <c r="K4832" s="164"/>
    </row>
    <row r="4833" spans="11:11">
      <c r="K4833" s="164"/>
    </row>
    <row r="4834" spans="11:11">
      <c r="K4834" s="164"/>
    </row>
    <row r="4835" spans="11:11">
      <c r="K4835" s="164"/>
    </row>
    <row r="4836" spans="11:11">
      <c r="K4836" s="164"/>
    </row>
    <row r="4837" spans="11:11">
      <c r="K4837" s="164"/>
    </row>
    <row r="4838" spans="11:11">
      <c r="K4838" s="164"/>
    </row>
    <row r="4839" spans="11:11">
      <c r="K4839" s="164"/>
    </row>
    <row r="4840" spans="11:11">
      <c r="K4840" s="164"/>
    </row>
    <row r="4841" spans="11:11">
      <c r="K4841" s="164"/>
    </row>
    <row r="4842" spans="11:11">
      <c r="K4842" s="164"/>
    </row>
    <row r="4843" spans="11:11">
      <c r="K4843" s="164"/>
    </row>
    <row r="4844" spans="11:11">
      <c r="K4844" s="164"/>
    </row>
    <row r="4845" spans="11:11">
      <c r="K4845" s="164"/>
    </row>
    <row r="4846" spans="11:11">
      <c r="K4846" s="164"/>
    </row>
    <row r="4847" spans="11:11">
      <c r="K4847" s="164"/>
    </row>
    <row r="4848" spans="11:11">
      <c r="K4848" s="164"/>
    </row>
    <row r="4849" spans="11:11">
      <c r="K4849" s="164"/>
    </row>
    <row r="4850" spans="11:11">
      <c r="K4850" s="164"/>
    </row>
    <row r="4851" spans="11:11">
      <c r="K4851" s="164"/>
    </row>
    <row r="4852" spans="11:11">
      <c r="K4852" s="164"/>
    </row>
    <row r="4853" spans="11:11">
      <c r="K4853" s="164"/>
    </row>
    <row r="4854" spans="11:11">
      <c r="K4854" s="164"/>
    </row>
    <row r="4855" spans="11:11">
      <c r="K4855" s="164"/>
    </row>
    <row r="4856" spans="11:11">
      <c r="K4856" s="164"/>
    </row>
    <row r="4857" spans="11:11">
      <c r="K4857" s="164"/>
    </row>
    <row r="4858" spans="11:11">
      <c r="K4858" s="164"/>
    </row>
    <row r="4859" spans="11:11">
      <c r="K4859" s="164"/>
    </row>
    <row r="4860" spans="11:11">
      <c r="K4860" s="164"/>
    </row>
    <row r="4861" spans="11:11">
      <c r="K4861" s="164"/>
    </row>
    <row r="4862" spans="11:11">
      <c r="K4862" s="164"/>
    </row>
    <row r="4863" spans="11:11">
      <c r="K4863" s="164"/>
    </row>
    <row r="4864" spans="11:11">
      <c r="K4864" s="164"/>
    </row>
    <row r="4865" spans="11:11">
      <c r="K4865" s="164"/>
    </row>
    <row r="4866" spans="11:11">
      <c r="K4866" s="164"/>
    </row>
    <row r="4867" spans="11:11">
      <c r="K4867" s="164"/>
    </row>
    <row r="4868" spans="11:11">
      <c r="K4868" s="164"/>
    </row>
    <row r="4869" spans="11:11">
      <c r="K4869" s="164"/>
    </row>
    <row r="4870" spans="11:11">
      <c r="K4870" s="164"/>
    </row>
    <row r="4871" spans="11:11">
      <c r="K4871" s="164"/>
    </row>
    <row r="4872" spans="11:11">
      <c r="K4872" s="164"/>
    </row>
    <row r="4873" spans="11:11">
      <c r="K4873" s="164"/>
    </row>
    <row r="4874" spans="11:11">
      <c r="K4874" s="164"/>
    </row>
    <row r="4875" spans="11:11">
      <c r="K4875" s="164"/>
    </row>
    <row r="4876" spans="11:11">
      <c r="K4876" s="164"/>
    </row>
    <row r="4877" spans="11:11">
      <c r="K4877" s="164"/>
    </row>
    <row r="4878" spans="11:11">
      <c r="K4878" s="164"/>
    </row>
    <row r="4879" spans="11:11">
      <c r="K4879" s="164"/>
    </row>
    <row r="4880" spans="11:11">
      <c r="K4880" s="164"/>
    </row>
    <row r="4881" spans="11:11">
      <c r="K4881" s="164"/>
    </row>
    <row r="4882" spans="11:11">
      <c r="K4882" s="164"/>
    </row>
    <row r="4883" spans="11:11">
      <c r="K4883" s="164"/>
    </row>
    <row r="4884" spans="11:11">
      <c r="K4884" s="164"/>
    </row>
    <row r="4885" spans="11:11">
      <c r="K4885" s="164"/>
    </row>
    <row r="4886" spans="11:11">
      <c r="K4886" s="164"/>
    </row>
    <row r="4887" spans="11:11">
      <c r="K4887" s="164"/>
    </row>
    <row r="4888" spans="11:11">
      <c r="K4888" s="164"/>
    </row>
    <row r="4889" spans="11:11">
      <c r="K4889" s="164"/>
    </row>
    <row r="4890" spans="11:11">
      <c r="K4890" s="164"/>
    </row>
    <row r="4891" spans="11:11">
      <c r="K4891" s="164"/>
    </row>
    <row r="4892" spans="11:11">
      <c r="K4892" s="164"/>
    </row>
    <row r="4893" spans="11:11">
      <c r="K4893" s="164"/>
    </row>
    <row r="4894" spans="11:11">
      <c r="K4894" s="164"/>
    </row>
    <row r="4895" spans="11:11">
      <c r="K4895" s="164"/>
    </row>
    <row r="4896" spans="11:11">
      <c r="K4896" s="164"/>
    </row>
    <row r="4897" spans="11:11">
      <c r="K4897" s="164"/>
    </row>
    <row r="4898" spans="11:11">
      <c r="K4898" s="164"/>
    </row>
    <row r="4899" spans="11:11">
      <c r="K4899" s="164"/>
    </row>
    <row r="4900" spans="11:11">
      <c r="K4900" s="164"/>
    </row>
    <row r="4901" spans="11:11">
      <c r="K4901" s="164"/>
    </row>
    <row r="4902" spans="11:11">
      <c r="K4902" s="164"/>
    </row>
    <row r="4903" spans="11:11">
      <c r="K4903" s="164"/>
    </row>
    <row r="4904" spans="11:11">
      <c r="K4904" s="164"/>
    </row>
    <row r="4905" spans="11:11">
      <c r="K4905" s="164"/>
    </row>
    <row r="4906" spans="11:11">
      <c r="K4906" s="164"/>
    </row>
    <row r="4907" spans="11:11">
      <c r="K4907" s="164"/>
    </row>
    <row r="4908" spans="11:11">
      <c r="K4908" s="164"/>
    </row>
    <row r="4909" spans="11:11">
      <c r="K4909" s="164"/>
    </row>
    <row r="4910" spans="11:11">
      <c r="K4910" s="164"/>
    </row>
    <row r="4911" spans="11:11">
      <c r="K4911" s="164"/>
    </row>
    <row r="4912" spans="11:11">
      <c r="K4912" s="164"/>
    </row>
    <row r="4913" spans="11:11">
      <c r="K4913" s="164"/>
    </row>
    <row r="4914" spans="11:11">
      <c r="K4914" s="164"/>
    </row>
    <row r="4915" spans="11:11">
      <c r="K4915" s="164"/>
    </row>
    <row r="4916" spans="11:11">
      <c r="K4916" s="164"/>
    </row>
    <row r="4917" spans="11:11">
      <c r="K4917" s="164"/>
    </row>
    <row r="4918" spans="11:11">
      <c r="K4918" s="164"/>
    </row>
    <row r="4919" spans="11:11">
      <c r="K4919" s="164"/>
    </row>
    <row r="4920" spans="11:11">
      <c r="K4920" s="164"/>
    </row>
    <row r="4921" spans="11:11">
      <c r="K4921" s="164"/>
    </row>
    <row r="4922" spans="11:11">
      <c r="K4922" s="164"/>
    </row>
    <row r="4923" spans="11:11">
      <c r="K4923" s="164"/>
    </row>
    <row r="4924" spans="11:11">
      <c r="K4924" s="164"/>
    </row>
    <row r="4925" spans="11:11">
      <c r="K4925" s="164"/>
    </row>
    <row r="4926" spans="11:11">
      <c r="K4926" s="164"/>
    </row>
    <row r="4927" spans="11:11">
      <c r="K4927" s="164"/>
    </row>
    <row r="4928" spans="11:11">
      <c r="K4928" s="164"/>
    </row>
    <row r="4929" spans="11:11">
      <c r="K4929" s="164"/>
    </row>
    <row r="4930" spans="11:11">
      <c r="K4930" s="164"/>
    </row>
    <row r="4931" spans="11:11">
      <c r="K4931" s="164"/>
    </row>
    <row r="4932" spans="11:11">
      <c r="K4932" s="164"/>
    </row>
    <row r="4933" spans="11:11">
      <c r="K4933" s="164"/>
    </row>
    <row r="4934" spans="11:11">
      <c r="K4934" s="164"/>
    </row>
    <row r="4935" spans="11:11">
      <c r="K4935" s="164"/>
    </row>
    <row r="4936" spans="11:11">
      <c r="K4936" s="164"/>
    </row>
    <row r="4937" spans="11:11">
      <c r="K4937" s="164"/>
    </row>
    <row r="4938" spans="11:11">
      <c r="K4938" s="164"/>
    </row>
    <row r="4939" spans="11:11">
      <c r="K4939" s="164"/>
    </row>
    <row r="4940" spans="11:11">
      <c r="K4940" s="164"/>
    </row>
    <row r="4941" spans="11:11">
      <c r="K4941" s="164"/>
    </row>
    <row r="4942" spans="11:11">
      <c r="K4942" s="164"/>
    </row>
    <row r="4943" spans="11:11">
      <c r="K4943" s="164"/>
    </row>
    <row r="4944" spans="11:11">
      <c r="K4944" s="164"/>
    </row>
    <row r="4945" spans="11:11">
      <c r="K4945" s="164"/>
    </row>
    <row r="4946" spans="11:11">
      <c r="K4946" s="164"/>
    </row>
    <row r="4947" spans="11:11">
      <c r="K4947" s="164"/>
    </row>
    <row r="4948" spans="11:11">
      <c r="K4948" s="164"/>
    </row>
    <row r="4949" spans="11:11">
      <c r="K4949" s="164"/>
    </row>
    <row r="4950" spans="11:11">
      <c r="K4950" s="164"/>
    </row>
    <row r="4951" spans="11:11">
      <c r="K4951" s="164"/>
    </row>
    <row r="4952" spans="11:11">
      <c r="K4952" s="164"/>
    </row>
    <row r="4953" spans="11:11">
      <c r="K4953" s="164"/>
    </row>
    <row r="4954" spans="11:11">
      <c r="K4954" s="164"/>
    </row>
    <row r="4955" spans="11:11">
      <c r="K4955" s="164"/>
    </row>
    <row r="4956" spans="11:11">
      <c r="K4956" s="164"/>
    </row>
    <row r="4957" spans="11:11">
      <c r="K4957" s="164"/>
    </row>
    <row r="4958" spans="11:11">
      <c r="K4958" s="164"/>
    </row>
    <row r="4959" spans="11:11">
      <c r="K4959" s="164"/>
    </row>
    <row r="4960" spans="11:11">
      <c r="K4960" s="164"/>
    </row>
    <row r="4961" spans="11:11">
      <c r="K4961" s="164"/>
    </row>
    <row r="4962" spans="11:11">
      <c r="K4962" s="164"/>
    </row>
    <row r="4963" spans="11:11">
      <c r="K4963" s="164"/>
    </row>
    <row r="4964" spans="11:11">
      <c r="K4964" s="164"/>
    </row>
    <row r="4965" spans="11:11">
      <c r="K4965" s="164"/>
    </row>
    <row r="4966" spans="11:11">
      <c r="K4966" s="164"/>
    </row>
    <row r="4967" spans="11:11">
      <c r="K4967" s="164"/>
    </row>
    <row r="4968" spans="11:11">
      <c r="K4968" s="164"/>
    </row>
    <row r="4969" spans="11:11">
      <c r="K4969" s="164"/>
    </row>
    <row r="4970" spans="11:11">
      <c r="K4970" s="164"/>
    </row>
    <row r="4971" spans="11:11">
      <c r="K4971" s="164"/>
    </row>
    <row r="4972" spans="11:11">
      <c r="K4972" s="164"/>
    </row>
    <row r="4973" spans="11:11">
      <c r="K4973" s="164"/>
    </row>
    <row r="4974" spans="11:11">
      <c r="K4974" s="164"/>
    </row>
    <row r="4975" spans="11:11">
      <c r="K4975" s="164"/>
    </row>
    <row r="4976" spans="11:11">
      <c r="K4976" s="164"/>
    </row>
    <row r="4977" spans="11:11">
      <c r="K4977" s="164"/>
    </row>
    <row r="4978" spans="11:11">
      <c r="K4978" s="164"/>
    </row>
    <row r="4979" spans="11:11">
      <c r="K4979" s="164"/>
    </row>
    <row r="4980" spans="11:11">
      <c r="K4980" s="164"/>
    </row>
    <row r="4981" spans="11:11">
      <c r="K4981" s="164"/>
    </row>
    <row r="4982" spans="11:11">
      <c r="K4982" s="164"/>
    </row>
    <row r="4983" spans="11:11">
      <c r="K4983" s="164"/>
    </row>
    <row r="4984" spans="11:11">
      <c r="K4984" s="164"/>
    </row>
    <row r="4985" spans="11:11">
      <c r="K4985" s="164"/>
    </row>
    <row r="4986" spans="11:11">
      <c r="K4986" s="164"/>
    </row>
    <row r="4987" spans="11:11">
      <c r="K4987" s="164"/>
    </row>
    <row r="4988" spans="11:11">
      <c r="K4988" s="164"/>
    </row>
    <row r="4989" spans="11:11">
      <c r="K4989" s="164"/>
    </row>
    <row r="4990" spans="11:11">
      <c r="K4990" s="164"/>
    </row>
    <row r="4991" spans="11:11">
      <c r="K4991" s="164"/>
    </row>
    <row r="4992" spans="11:11">
      <c r="K4992" s="164"/>
    </row>
    <row r="4993" spans="11:11">
      <c r="K4993" s="164"/>
    </row>
    <row r="4994" spans="11:11">
      <c r="K4994" s="164"/>
    </row>
    <row r="4995" spans="11:11">
      <c r="K4995" s="164"/>
    </row>
    <row r="4996" spans="11:11">
      <c r="K4996" s="164"/>
    </row>
    <row r="4997" spans="11:11">
      <c r="K4997" s="164"/>
    </row>
    <row r="4998" spans="11:11">
      <c r="K4998" s="164"/>
    </row>
    <row r="4999" spans="11:11">
      <c r="K4999" s="164"/>
    </row>
    <row r="5000" spans="11:11">
      <c r="K5000" s="164"/>
    </row>
    <row r="5001" spans="11:11">
      <c r="K5001" s="164"/>
    </row>
    <row r="5002" spans="11:11">
      <c r="K5002" s="164"/>
    </row>
    <row r="5003" spans="11:11">
      <c r="K5003" s="164"/>
    </row>
    <row r="5004" spans="11:11">
      <c r="K5004" s="164"/>
    </row>
    <row r="5005" spans="11:11">
      <c r="K5005" s="164"/>
    </row>
    <row r="5006" spans="11:11">
      <c r="K5006" s="164"/>
    </row>
    <row r="5007" spans="11:11">
      <c r="K5007" s="164"/>
    </row>
    <row r="5008" spans="11:11">
      <c r="K5008" s="164"/>
    </row>
    <row r="5009" spans="11:11">
      <c r="K5009" s="164"/>
    </row>
    <row r="5010" spans="11:11">
      <c r="K5010" s="164"/>
    </row>
    <row r="5011" spans="11:11">
      <c r="K5011" s="164"/>
    </row>
    <row r="5012" spans="11:11">
      <c r="K5012" s="164"/>
    </row>
    <row r="5013" spans="11:11">
      <c r="K5013" s="164"/>
    </row>
    <row r="5014" spans="11:11">
      <c r="K5014" s="164"/>
    </row>
    <row r="5015" spans="11:11">
      <c r="K5015" s="164"/>
    </row>
    <row r="5016" spans="11:11">
      <c r="K5016" s="164"/>
    </row>
    <row r="5017" spans="11:11">
      <c r="K5017" s="164"/>
    </row>
    <row r="5018" spans="11:11">
      <c r="K5018" s="164"/>
    </row>
    <row r="5019" spans="11:11">
      <c r="K5019" s="164"/>
    </row>
    <row r="5020" spans="11:11">
      <c r="K5020" s="164"/>
    </row>
    <row r="5021" spans="11:11">
      <c r="K5021" s="164"/>
    </row>
    <row r="5022" spans="11:11">
      <c r="K5022" s="164"/>
    </row>
    <row r="5023" spans="11:11">
      <c r="K5023" s="164"/>
    </row>
    <row r="5024" spans="11:11">
      <c r="K5024" s="164"/>
    </row>
    <row r="5025" spans="11:11">
      <c r="K5025" s="164"/>
    </row>
    <row r="5026" spans="11:11">
      <c r="K5026" s="164"/>
    </row>
    <row r="5027" spans="11:11">
      <c r="K5027" s="164"/>
    </row>
    <row r="5028" spans="11:11">
      <c r="K5028" s="164"/>
    </row>
    <row r="5029" spans="11:11">
      <c r="K5029" s="164"/>
    </row>
    <row r="5030" spans="11:11">
      <c r="K5030" s="164"/>
    </row>
    <row r="5031" spans="11:11">
      <c r="K5031" s="164"/>
    </row>
    <row r="5032" spans="11:11">
      <c r="K5032" s="164"/>
    </row>
    <row r="5033" spans="11:11">
      <c r="K5033" s="164"/>
    </row>
    <row r="5034" spans="11:11">
      <c r="K5034" s="164"/>
    </row>
    <row r="5035" spans="11:11">
      <c r="K5035" s="164"/>
    </row>
    <row r="5036" spans="11:11">
      <c r="K5036" s="164"/>
    </row>
    <row r="5037" spans="11:11">
      <c r="K5037" s="164"/>
    </row>
    <row r="5038" spans="11:11">
      <c r="K5038" s="164"/>
    </row>
    <row r="5039" spans="11:11">
      <c r="K5039" s="164"/>
    </row>
    <row r="5040" spans="11:11">
      <c r="K5040" s="164"/>
    </row>
    <row r="5041" spans="11:11">
      <c r="K5041" s="164"/>
    </row>
    <row r="5042" spans="11:11">
      <c r="K5042" s="164"/>
    </row>
    <row r="5043" spans="11:11">
      <c r="K5043" s="164"/>
    </row>
    <row r="5044" spans="11:11">
      <c r="K5044" s="164"/>
    </row>
    <row r="5045" spans="11:11">
      <c r="K5045" s="164"/>
    </row>
    <row r="5046" spans="11:11">
      <c r="K5046" s="164"/>
    </row>
    <row r="5047" spans="11:11">
      <c r="K5047" s="164"/>
    </row>
    <row r="5048" spans="11:11">
      <c r="K5048" s="164"/>
    </row>
    <row r="5049" spans="11:11">
      <c r="K5049" s="164"/>
    </row>
    <row r="5050" spans="11:11">
      <c r="K5050" s="164"/>
    </row>
    <row r="5051" spans="11:11">
      <c r="K5051" s="164"/>
    </row>
    <row r="5052" spans="11:11">
      <c r="K5052" s="164"/>
    </row>
    <row r="5053" spans="11:11">
      <c r="K5053" s="164"/>
    </row>
    <row r="5054" spans="11:11">
      <c r="K5054" s="164"/>
    </row>
    <row r="5055" spans="11:11">
      <c r="K5055" s="164"/>
    </row>
    <row r="5056" spans="11:11">
      <c r="K5056" s="164"/>
    </row>
    <row r="5057" spans="11:11">
      <c r="K5057" s="164"/>
    </row>
    <row r="5058" spans="11:11">
      <c r="K5058" s="164"/>
    </row>
    <row r="5059" spans="11:11">
      <c r="K5059" s="164"/>
    </row>
    <row r="5060" spans="11:11">
      <c r="K5060" s="164"/>
    </row>
    <row r="5061" spans="11:11">
      <c r="K5061" s="164"/>
    </row>
    <row r="5062" spans="11:11">
      <c r="K5062" s="164"/>
    </row>
    <row r="5063" spans="11:11">
      <c r="K5063" s="164"/>
    </row>
    <row r="5064" spans="11:11">
      <c r="K5064" s="164"/>
    </row>
    <row r="5065" spans="11:11">
      <c r="K5065" s="164"/>
    </row>
    <row r="5066" spans="11:11">
      <c r="K5066" s="164"/>
    </row>
    <row r="5067" spans="11:11">
      <c r="K5067" s="164"/>
    </row>
    <row r="5068" spans="11:11">
      <c r="K5068" s="164"/>
    </row>
    <row r="5069" spans="11:11">
      <c r="K5069" s="164"/>
    </row>
    <row r="5070" spans="11:11">
      <c r="K5070" s="164"/>
    </row>
    <row r="5071" spans="11:11">
      <c r="K5071" s="164"/>
    </row>
    <row r="5072" spans="11:11">
      <c r="K5072" s="164"/>
    </row>
    <row r="5073" spans="11:11">
      <c r="K5073" s="164"/>
    </row>
    <row r="5074" spans="11:11">
      <c r="K5074" s="164"/>
    </row>
    <row r="5075" spans="11:11">
      <c r="K5075" s="164"/>
    </row>
    <row r="5076" spans="11:11">
      <c r="K5076" s="164"/>
    </row>
    <row r="5077" spans="11:11">
      <c r="K5077" s="164"/>
    </row>
    <row r="5078" spans="11:11">
      <c r="K5078" s="164"/>
    </row>
    <row r="5079" spans="11:11">
      <c r="K5079" s="164"/>
    </row>
    <row r="5080" spans="11:11">
      <c r="K5080" s="164"/>
    </row>
    <row r="5081" spans="11:11">
      <c r="K5081" s="164"/>
    </row>
    <row r="5082" spans="11:11">
      <c r="K5082" s="164"/>
    </row>
    <row r="5083" spans="11:11">
      <c r="K5083" s="164"/>
    </row>
    <row r="5084" spans="11:11">
      <c r="K5084" s="164"/>
    </row>
    <row r="5085" spans="11:11">
      <c r="K5085" s="164"/>
    </row>
    <row r="5086" spans="11:11">
      <c r="K5086" s="164"/>
    </row>
    <row r="5087" spans="11:11">
      <c r="K5087" s="164"/>
    </row>
    <row r="5088" spans="11:11">
      <c r="K5088" s="164"/>
    </row>
    <row r="5089" spans="11:11">
      <c r="K5089" s="164"/>
    </row>
    <row r="5090" spans="11:11">
      <c r="K5090" s="164"/>
    </row>
    <row r="5091" spans="11:11">
      <c r="K5091" s="164"/>
    </row>
    <row r="5092" spans="11:11">
      <c r="K5092" s="164"/>
    </row>
    <row r="5093" spans="11:11">
      <c r="K5093" s="164"/>
    </row>
    <row r="5094" spans="11:11">
      <c r="K5094" s="164"/>
    </row>
    <row r="5095" spans="11:11">
      <c r="K5095" s="164"/>
    </row>
    <row r="5096" spans="11:11">
      <c r="K5096" s="164"/>
    </row>
    <row r="5097" spans="11:11">
      <c r="K5097" s="164"/>
    </row>
    <row r="5098" spans="11:11">
      <c r="K5098" s="164"/>
    </row>
    <row r="5099" spans="11:11">
      <c r="K5099" s="164"/>
    </row>
    <row r="5100" spans="11:11">
      <c r="K5100" s="164"/>
    </row>
    <row r="5101" spans="11:11">
      <c r="K5101" s="164"/>
    </row>
    <row r="5102" spans="11:11">
      <c r="K5102" s="164"/>
    </row>
    <row r="5103" spans="11:11">
      <c r="K5103" s="164"/>
    </row>
    <row r="5104" spans="11:11">
      <c r="K5104" s="164"/>
    </row>
    <row r="5105" spans="11:11">
      <c r="K5105" s="164"/>
    </row>
    <row r="5106" spans="11:11">
      <c r="K5106" s="164"/>
    </row>
    <row r="5107" spans="11:11">
      <c r="K5107" s="164"/>
    </row>
    <row r="5108" spans="11:11">
      <c r="K5108" s="164"/>
    </row>
    <row r="5109" spans="11:11">
      <c r="K5109" s="164"/>
    </row>
    <row r="5110" spans="11:11">
      <c r="K5110" s="164"/>
    </row>
    <row r="5111" spans="11:11">
      <c r="K5111" s="164"/>
    </row>
    <row r="5112" spans="11:11">
      <c r="K5112" s="164"/>
    </row>
    <row r="5113" spans="11:11">
      <c r="K5113" s="164"/>
    </row>
    <row r="5114" spans="11:11">
      <c r="K5114" s="164"/>
    </row>
    <row r="5115" spans="11:11">
      <c r="K5115" s="164"/>
    </row>
    <row r="5116" spans="11:11">
      <c r="K5116" s="164"/>
    </row>
    <row r="5117" spans="11:11">
      <c r="K5117" s="164"/>
    </row>
    <row r="5118" spans="11:11">
      <c r="K5118" s="164"/>
    </row>
    <row r="5119" spans="11:11">
      <c r="K5119" s="164"/>
    </row>
    <row r="5120" spans="11:11">
      <c r="K5120" s="164"/>
    </row>
    <row r="5121" spans="11:11">
      <c r="K5121" s="164"/>
    </row>
    <row r="5122" spans="11:11">
      <c r="K5122" s="164"/>
    </row>
    <row r="5123" spans="11:11">
      <c r="K5123" s="164"/>
    </row>
    <row r="5124" spans="11:11">
      <c r="K5124" s="164"/>
    </row>
    <row r="5125" spans="11:11">
      <c r="K5125" s="164"/>
    </row>
    <row r="5126" spans="11:11">
      <c r="K5126" s="164"/>
    </row>
    <row r="5127" spans="11:11">
      <c r="K5127" s="164"/>
    </row>
    <row r="5128" spans="11:11">
      <c r="K5128" s="164"/>
    </row>
    <row r="5129" spans="11:11">
      <c r="K5129" s="164"/>
    </row>
    <row r="5130" spans="11:11">
      <c r="K5130" s="164"/>
    </row>
    <row r="5131" spans="11:11">
      <c r="K5131" s="164"/>
    </row>
    <row r="5132" spans="11:11">
      <c r="K5132" s="164"/>
    </row>
    <row r="5133" spans="11:11">
      <c r="K5133" s="164"/>
    </row>
    <row r="5134" spans="11:11">
      <c r="K5134" s="164"/>
    </row>
    <row r="5135" spans="11:11">
      <c r="K5135" s="164"/>
    </row>
    <row r="5136" spans="11:11">
      <c r="K5136" s="164"/>
    </row>
    <row r="5137" spans="11:11">
      <c r="K5137" s="164"/>
    </row>
    <row r="5138" spans="11:11">
      <c r="K5138" s="164"/>
    </row>
    <row r="5139" spans="11:11">
      <c r="K5139" s="164"/>
    </row>
    <row r="5140" spans="11:11">
      <c r="K5140" s="164"/>
    </row>
    <row r="5141" spans="11:11">
      <c r="K5141" s="164"/>
    </row>
    <row r="5142" spans="11:11">
      <c r="K5142" s="164"/>
    </row>
    <row r="5143" spans="11:11">
      <c r="K5143" s="164"/>
    </row>
    <row r="5144" spans="11:11">
      <c r="K5144" s="164"/>
    </row>
    <row r="5145" spans="11:11">
      <c r="K5145" s="164"/>
    </row>
    <row r="5146" spans="11:11">
      <c r="K5146" s="164"/>
    </row>
    <row r="5147" spans="11:11">
      <c r="K5147" s="164"/>
    </row>
    <row r="5148" spans="11:11">
      <c r="K5148" s="164"/>
    </row>
    <row r="5149" spans="11:11">
      <c r="K5149" s="164"/>
    </row>
    <row r="5150" spans="11:11">
      <c r="K5150" s="164"/>
    </row>
    <row r="5151" spans="11:11">
      <c r="K5151" s="164"/>
    </row>
    <row r="5152" spans="11:11">
      <c r="K5152" s="164"/>
    </row>
    <row r="5153" spans="11:11">
      <c r="K5153" s="164"/>
    </row>
    <row r="5154" spans="11:11">
      <c r="K5154" s="164"/>
    </row>
    <row r="5155" spans="11:11">
      <c r="K5155" s="164"/>
    </row>
    <row r="5156" spans="11:11">
      <c r="K5156" s="164"/>
    </row>
    <row r="5157" spans="11:11">
      <c r="K5157" s="164"/>
    </row>
    <row r="5158" spans="11:11">
      <c r="K5158" s="164"/>
    </row>
    <row r="5159" spans="11:11">
      <c r="K5159" s="164"/>
    </row>
    <row r="5160" spans="11:11">
      <c r="K5160" s="164"/>
    </row>
    <row r="5161" spans="11:11">
      <c r="K5161" s="164"/>
    </row>
    <row r="5162" spans="11:11">
      <c r="K5162" s="164"/>
    </row>
    <row r="5163" spans="11:11">
      <c r="K5163" s="164"/>
    </row>
    <row r="5164" spans="11:11">
      <c r="K5164" s="164"/>
    </row>
    <row r="5165" spans="11:11">
      <c r="K5165" s="164"/>
    </row>
    <row r="5166" spans="11:11">
      <c r="K5166" s="164"/>
    </row>
    <row r="5167" spans="11:11">
      <c r="K5167" s="164"/>
    </row>
    <row r="5168" spans="11:11">
      <c r="K5168" s="164"/>
    </row>
    <row r="5169" spans="11:11">
      <c r="K5169" s="164"/>
    </row>
    <row r="5170" spans="11:11">
      <c r="K5170" s="164"/>
    </row>
    <row r="5171" spans="11:11">
      <c r="K5171" s="164"/>
    </row>
    <row r="5172" spans="11:11">
      <c r="K5172" s="164"/>
    </row>
    <row r="5173" spans="11:11">
      <c r="K5173" s="164"/>
    </row>
    <row r="5174" spans="11:11">
      <c r="K5174" s="164"/>
    </row>
    <row r="5175" spans="11:11">
      <c r="K5175" s="164"/>
    </row>
    <row r="5176" spans="11:11">
      <c r="K5176" s="164"/>
    </row>
    <row r="5177" spans="11:11">
      <c r="K5177" s="164"/>
    </row>
    <row r="5178" spans="11:11">
      <c r="K5178" s="164"/>
    </row>
    <row r="5179" spans="11:11">
      <c r="K5179" s="164"/>
    </row>
    <row r="5180" spans="11:11">
      <c r="K5180" s="164"/>
    </row>
    <row r="5181" spans="11:11">
      <c r="K5181" s="164"/>
    </row>
    <row r="5182" spans="11:11">
      <c r="K5182" s="164"/>
    </row>
    <row r="5183" spans="11:11">
      <c r="K5183" s="164"/>
    </row>
    <row r="5184" spans="11:11">
      <c r="K5184" s="164"/>
    </row>
    <row r="5185" spans="11:11">
      <c r="K5185" s="164"/>
    </row>
    <row r="5186" spans="11:11">
      <c r="K5186" s="164"/>
    </row>
    <row r="5187" spans="11:11">
      <c r="K5187" s="164"/>
    </row>
    <row r="5188" spans="11:11">
      <c r="K5188" s="164"/>
    </row>
    <row r="5189" spans="11:11">
      <c r="K5189" s="164"/>
    </row>
    <row r="5190" spans="11:11">
      <c r="K5190" s="164"/>
    </row>
    <row r="5191" spans="11:11">
      <c r="K5191" s="164"/>
    </row>
    <row r="5192" spans="11:11">
      <c r="K5192" s="164"/>
    </row>
    <row r="5193" spans="11:11">
      <c r="K5193" s="164"/>
    </row>
    <row r="5194" spans="11:11">
      <c r="K5194" s="164"/>
    </row>
    <row r="5195" spans="11:11">
      <c r="K5195" s="164"/>
    </row>
    <row r="5196" spans="11:11">
      <c r="K5196" s="164"/>
    </row>
    <row r="5197" spans="11:11">
      <c r="K5197" s="164"/>
    </row>
    <row r="5198" spans="11:11">
      <c r="K5198" s="164"/>
    </row>
    <row r="5199" spans="11:11">
      <c r="K5199" s="164"/>
    </row>
    <row r="5200" spans="11:11">
      <c r="K5200" s="164"/>
    </row>
    <row r="5201" spans="11:11">
      <c r="K5201" s="164"/>
    </row>
    <row r="5202" spans="11:11">
      <c r="K5202" s="164"/>
    </row>
    <row r="5203" spans="11:11">
      <c r="K5203" s="164"/>
    </row>
    <row r="5204" spans="11:11">
      <c r="K5204" s="164"/>
    </row>
    <row r="5205" spans="11:11">
      <c r="K5205" s="164"/>
    </row>
    <row r="5206" spans="11:11">
      <c r="K5206" s="164"/>
    </row>
    <row r="5207" spans="11:11">
      <c r="K5207" s="164"/>
    </row>
    <row r="5208" spans="11:11">
      <c r="K5208" s="164"/>
    </row>
    <row r="5209" spans="11:11">
      <c r="K5209" s="164"/>
    </row>
    <row r="5210" spans="11:11">
      <c r="K5210" s="164"/>
    </row>
    <row r="5211" spans="11:11">
      <c r="K5211" s="164"/>
    </row>
    <row r="5212" spans="11:11">
      <c r="K5212" s="164"/>
    </row>
    <row r="5213" spans="11:11">
      <c r="K5213" s="164"/>
    </row>
    <row r="5214" spans="11:11">
      <c r="K5214" s="164"/>
    </row>
    <row r="5215" spans="11:11">
      <c r="K5215" s="164"/>
    </row>
    <row r="5216" spans="11:11">
      <c r="K5216" s="164"/>
    </row>
    <row r="5217" spans="11:11">
      <c r="K5217" s="164"/>
    </row>
    <row r="5218" spans="11:11">
      <c r="K5218" s="164"/>
    </row>
    <row r="5219" spans="11:11">
      <c r="K5219" s="164"/>
    </row>
    <row r="5220" spans="11:11">
      <c r="K5220" s="164"/>
    </row>
    <row r="5221" spans="11:11">
      <c r="K5221" s="164"/>
    </row>
    <row r="5222" spans="11:11">
      <c r="K5222" s="164"/>
    </row>
    <row r="5223" spans="11:11">
      <c r="K5223" s="164"/>
    </row>
    <row r="5224" spans="11:11">
      <c r="K5224" s="164"/>
    </row>
    <row r="5225" spans="11:11">
      <c r="K5225" s="164"/>
    </row>
    <row r="5226" spans="11:11">
      <c r="K5226" s="164"/>
    </row>
    <row r="5227" spans="11:11">
      <c r="K5227" s="164"/>
    </row>
    <row r="5228" spans="11:11">
      <c r="K5228" s="164"/>
    </row>
    <row r="5229" spans="11:11">
      <c r="K5229" s="164"/>
    </row>
    <row r="5230" spans="11:11">
      <c r="K5230" s="164"/>
    </row>
    <row r="5231" spans="11:11">
      <c r="K5231" s="164"/>
    </row>
    <row r="5232" spans="11:11">
      <c r="K5232" s="164"/>
    </row>
    <row r="5233" spans="11:11">
      <c r="K5233" s="164"/>
    </row>
    <row r="5234" spans="11:11">
      <c r="K5234" s="164"/>
    </row>
    <row r="5235" spans="11:11">
      <c r="K5235" s="164"/>
    </row>
    <row r="5236" spans="11:11">
      <c r="K5236" s="164"/>
    </row>
    <row r="5237" spans="11:11">
      <c r="K5237" s="164"/>
    </row>
    <row r="5238" spans="11:11">
      <c r="K5238" s="164"/>
    </row>
    <row r="5239" spans="11:11">
      <c r="K5239" s="164"/>
    </row>
    <row r="5240" spans="11:11">
      <c r="K5240" s="164"/>
    </row>
    <row r="5241" spans="11:11">
      <c r="K5241" s="164"/>
    </row>
    <row r="5242" spans="11:11">
      <c r="K5242" s="164"/>
    </row>
    <row r="5243" spans="11:11">
      <c r="K5243" s="164"/>
    </row>
    <row r="5244" spans="11:11">
      <c r="K5244" s="164"/>
    </row>
    <row r="5245" spans="11:11">
      <c r="K5245" s="164"/>
    </row>
    <row r="5246" spans="11:11">
      <c r="K5246" s="164"/>
    </row>
    <row r="5247" spans="11:11">
      <c r="K5247" s="164"/>
    </row>
    <row r="5248" spans="11:11">
      <c r="K5248" s="164"/>
    </row>
    <row r="5249" spans="11:11">
      <c r="K5249" s="164"/>
    </row>
    <row r="5250" spans="11:11">
      <c r="K5250" s="164"/>
    </row>
    <row r="5251" spans="11:11">
      <c r="K5251" s="164"/>
    </row>
    <row r="5252" spans="11:11">
      <c r="K5252" s="164"/>
    </row>
    <row r="5253" spans="11:11">
      <c r="K5253" s="164"/>
    </row>
    <row r="5254" spans="11:11">
      <c r="K5254" s="164"/>
    </row>
    <row r="5255" spans="11:11">
      <c r="K5255" s="164"/>
    </row>
    <row r="5256" spans="11:11">
      <c r="K5256" s="164"/>
    </row>
    <row r="5257" spans="11:11">
      <c r="K5257" s="164"/>
    </row>
    <row r="5258" spans="11:11">
      <c r="K5258" s="164"/>
    </row>
    <row r="5259" spans="11:11">
      <c r="K5259" s="164"/>
    </row>
    <row r="5260" spans="11:11">
      <c r="K5260" s="164"/>
    </row>
    <row r="5261" spans="11:11">
      <c r="K5261" s="164"/>
    </row>
    <row r="5262" spans="11:11">
      <c r="K5262" s="164"/>
    </row>
    <row r="5263" spans="11:11">
      <c r="K5263" s="164"/>
    </row>
    <row r="5264" spans="11:11">
      <c r="K5264" s="164"/>
    </row>
    <row r="5265" spans="11:11">
      <c r="K5265" s="164"/>
    </row>
    <row r="5266" spans="11:11">
      <c r="K5266" s="164"/>
    </row>
    <row r="5267" spans="11:11">
      <c r="K5267" s="164"/>
    </row>
    <row r="5268" spans="11:11">
      <c r="K5268" s="164"/>
    </row>
    <row r="5269" spans="11:11">
      <c r="K5269" s="164"/>
    </row>
    <row r="5270" spans="11:11">
      <c r="K5270" s="164"/>
    </row>
    <row r="5271" spans="11:11">
      <c r="K5271" s="164"/>
    </row>
    <row r="5272" spans="11:11">
      <c r="K5272" s="164"/>
    </row>
    <row r="5273" spans="11:11">
      <c r="K5273" s="164"/>
    </row>
    <row r="5274" spans="11:11">
      <c r="K5274" s="164"/>
    </row>
    <row r="5275" spans="11:11">
      <c r="K5275" s="164"/>
    </row>
    <row r="5276" spans="11:11">
      <c r="K5276" s="164"/>
    </row>
    <row r="5277" spans="11:11">
      <c r="K5277" s="164"/>
    </row>
    <row r="5278" spans="11:11">
      <c r="K5278" s="164"/>
    </row>
    <row r="5279" spans="11:11">
      <c r="K5279" s="164"/>
    </row>
    <row r="5280" spans="11:11">
      <c r="K5280" s="164"/>
    </row>
    <row r="5281" spans="11:11">
      <c r="K5281" s="164"/>
    </row>
    <row r="5282" spans="11:11">
      <c r="K5282" s="164"/>
    </row>
    <row r="5283" spans="11:11">
      <c r="K5283" s="164"/>
    </row>
    <row r="5284" spans="11:11">
      <c r="K5284" s="164"/>
    </row>
    <row r="5285" spans="11:11">
      <c r="K5285" s="164"/>
    </row>
    <row r="5286" spans="11:11">
      <c r="K5286" s="164"/>
    </row>
    <row r="5287" spans="11:11">
      <c r="K5287" s="164"/>
    </row>
    <row r="5288" spans="11:11">
      <c r="K5288" s="164"/>
    </row>
    <row r="5289" spans="11:11">
      <c r="K5289" s="164"/>
    </row>
    <row r="5290" spans="11:11">
      <c r="K5290" s="164"/>
    </row>
    <row r="5291" spans="11:11">
      <c r="K5291" s="164"/>
    </row>
    <row r="5292" spans="11:11">
      <c r="K5292" s="164"/>
    </row>
    <row r="5293" spans="11:11">
      <c r="K5293" s="164"/>
    </row>
    <row r="5294" spans="11:11">
      <c r="K5294" s="164"/>
    </row>
    <row r="5295" spans="11:11">
      <c r="K5295" s="164"/>
    </row>
    <row r="5296" spans="11:11">
      <c r="K5296" s="164"/>
    </row>
    <row r="5297" spans="11:11">
      <c r="K5297" s="164"/>
    </row>
    <row r="5298" spans="11:11">
      <c r="K5298" s="164"/>
    </row>
    <row r="5299" spans="11:11">
      <c r="K5299" s="164"/>
    </row>
    <row r="5300" spans="11:11">
      <c r="K5300" s="164"/>
    </row>
    <row r="5301" spans="11:11">
      <c r="K5301" s="164"/>
    </row>
    <row r="5302" spans="11:11">
      <c r="K5302" s="164"/>
    </row>
    <row r="5303" spans="11:11">
      <c r="K5303" s="164"/>
    </row>
    <row r="5304" spans="11:11">
      <c r="K5304" s="164"/>
    </row>
    <row r="5305" spans="11:11">
      <c r="K5305" s="164"/>
    </row>
    <row r="5306" spans="11:11">
      <c r="K5306" s="164"/>
    </row>
    <row r="5307" spans="11:11">
      <c r="K5307" s="164"/>
    </row>
    <row r="5308" spans="11:11">
      <c r="K5308" s="164"/>
    </row>
    <row r="5309" spans="11:11">
      <c r="K5309" s="164"/>
    </row>
    <row r="5310" spans="11:11">
      <c r="K5310" s="164"/>
    </row>
    <row r="5311" spans="11:11">
      <c r="K5311" s="164"/>
    </row>
    <row r="5312" spans="11:11">
      <c r="K5312" s="164"/>
    </row>
    <row r="5313" spans="11:11">
      <c r="K5313" s="164"/>
    </row>
    <row r="5314" spans="11:11">
      <c r="K5314" s="164"/>
    </row>
    <row r="5315" spans="11:11">
      <c r="K5315" s="164"/>
    </row>
    <row r="5316" spans="11:11">
      <c r="K5316" s="164"/>
    </row>
    <row r="5317" spans="11:11">
      <c r="K5317" s="164"/>
    </row>
    <row r="5318" spans="11:11">
      <c r="K5318" s="164"/>
    </row>
    <row r="5319" spans="11:11">
      <c r="K5319" s="164"/>
    </row>
    <row r="5320" spans="11:11">
      <c r="K5320" s="164"/>
    </row>
    <row r="5321" spans="11:11">
      <c r="K5321" s="164"/>
    </row>
    <row r="5322" spans="11:11">
      <c r="K5322" s="164"/>
    </row>
    <row r="5323" spans="11:11">
      <c r="K5323" s="164"/>
    </row>
    <row r="5324" spans="11:11">
      <c r="K5324" s="164"/>
    </row>
    <row r="5325" spans="11:11">
      <c r="K5325" s="164"/>
    </row>
    <row r="5326" spans="11:11">
      <c r="K5326" s="164"/>
    </row>
    <row r="5327" spans="11:11">
      <c r="K5327" s="164"/>
    </row>
    <row r="5328" spans="11:11">
      <c r="K5328" s="164"/>
    </row>
    <row r="5329" spans="11:11">
      <c r="K5329" s="164"/>
    </row>
    <row r="5330" spans="11:11">
      <c r="K5330" s="164"/>
    </row>
    <row r="5331" spans="11:11">
      <c r="K5331" s="164"/>
    </row>
    <row r="5332" spans="11:11">
      <c r="K5332" s="164"/>
    </row>
    <row r="5333" spans="11:11">
      <c r="K5333" s="164"/>
    </row>
    <row r="5334" spans="11:11">
      <c r="K5334" s="164"/>
    </row>
    <row r="5335" spans="11:11">
      <c r="K5335" s="164"/>
    </row>
    <row r="5336" spans="11:11">
      <c r="K5336" s="164"/>
    </row>
    <row r="5337" spans="11:11">
      <c r="K5337" s="164"/>
    </row>
    <row r="5338" spans="11:11">
      <c r="K5338" s="164"/>
    </row>
    <row r="5339" spans="11:11">
      <c r="K5339" s="164"/>
    </row>
    <row r="5340" spans="11:11">
      <c r="K5340" s="164"/>
    </row>
    <row r="5341" spans="11:11">
      <c r="K5341" s="164"/>
    </row>
    <row r="5342" spans="11:11">
      <c r="K5342" s="164"/>
    </row>
    <row r="5343" spans="11:11">
      <c r="K5343" s="164"/>
    </row>
    <row r="5344" spans="11:11">
      <c r="K5344" s="164"/>
    </row>
    <row r="5345" spans="11:11">
      <c r="K5345" s="164"/>
    </row>
    <row r="5346" spans="11:11">
      <c r="K5346" s="164"/>
    </row>
    <row r="5347" spans="11:11">
      <c r="K5347" s="164"/>
    </row>
    <row r="5348" spans="11:11">
      <c r="K5348" s="164"/>
    </row>
    <row r="5349" spans="11:11">
      <c r="K5349" s="164"/>
    </row>
    <row r="5350" spans="11:11">
      <c r="K5350" s="164"/>
    </row>
    <row r="5351" spans="11:11">
      <c r="K5351" s="164"/>
    </row>
    <row r="5352" spans="11:11">
      <c r="K5352" s="164"/>
    </row>
    <row r="5353" spans="11:11">
      <c r="K5353" s="164"/>
    </row>
    <row r="5354" spans="11:11">
      <c r="K5354" s="164"/>
    </row>
    <row r="5355" spans="11:11">
      <c r="K5355" s="164"/>
    </row>
    <row r="5356" spans="11:11">
      <c r="K5356" s="164"/>
    </row>
    <row r="5357" spans="11:11">
      <c r="K5357" s="164"/>
    </row>
    <row r="5358" spans="11:11">
      <c r="K5358" s="164"/>
    </row>
    <row r="5359" spans="11:11">
      <c r="K5359" s="164"/>
    </row>
    <row r="5360" spans="11:11">
      <c r="K5360" s="164"/>
    </row>
    <row r="5361" spans="11:11">
      <c r="K5361" s="164"/>
    </row>
    <row r="5362" spans="11:11">
      <c r="K5362" s="164"/>
    </row>
    <row r="5363" spans="11:11">
      <c r="K5363" s="164"/>
    </row>
    <row r="5364" spans="11:11">
      <c r="K5364" s="164"/>
    </row>
    <row r="5365" spans="11:11">
      <c r="K5365" s="164"/>
    </row>
    <row r="5366" spans="11:11">
      <c r="K5366" s="164"/>
    </row>
    <row r="5367" spans="11:11">
      <c r="K5367" s="164"/>
    </row>
    <row r="5368" spans="11:11">
      <c r="K5368" s="164"/>
    </row>
    <row r="5369" spans="11:11">
      <c r="K5369" s="164"/>
    </row>
    <row r="5370" spans="11:11">
      <c r="K5370" s="164"/>
    </row>
    <row r="5371" spans="11:11">
      <c r="K5371" s="164"/>
    </row>
    <row r="5372" spans="11:11">
      <c r="K5372" s="164"/>
    </row>
    <row r="5373" spans="11:11">
      <c r="K5373" s="164"/>
    </row>
    <row r="5374" spans="11:11">
      <c r="K5374" s="164"/>
    </row>
    <row r="5375" spans="11:11">
      <c r="K5375" s="164"/>
    </row>
    <row r="5376" spans="11:11">
      <c r="K5376" s="164"/>
    </row>
    <row r="5377" spans="11:11">
      <c r="K5377" s="164"/>
    </row>
    <row r="5378" spans="11:11">
      <c r="K5378" s="164"/>
    </row>
    <row r="5379" spans="11:11">
      <c r="K5379" s="164"/>
    </row>
    <row r="5380" spans="11:11">
      <c r="K5380" s="164"/>
    </row>
    <row r="5381" spans="11:11">
      <c r="K5381" s="164"/>
    </row>
    <row r="5382" spans="11:11">
      <c r="K5382" s="164"/>
    </row>
    <row r="5383" spans="11:11">
      <c r="K5383" s="164"/>
    </row>
    <row r="5384" spans="11:11">
      <c r="K5384" s="164"/>
    </row>
    <row r="5385" spans="11:11">
      <c r="K5385" s="164"/>
    </row>
    <row r="5386" spans="11:11">
      <c r="K5386" s="164"/>
    </row>
    <row r="5387" spans="11:11">
      <c r="K5387" s="164"/>
    </row>
    <row r="5388" spans="11:11">
      <c r="K5388" s="164"/>
    </row>
    <row r="5389" spans="11:11">
      <c r="K5389" s="164"/>
    </row>
    <row r="5390" spans="11:11">
      <c r="K5390" s="164"/>
    </row>
    <row r="5391" spans="11:11">
      <c r="K5391" s="164"/>
    </row>
    <row r="5392" spans="11:11">
      <c r="K5392" s="164"/>
    </row>
    <row r="5393" spans="11:11">
      <c r="K5393" s="164"/>
    </row>
    <row r="5394" spans="11:11">
      <c r="K5394" s="164"/>
    </row>
    <row r="5395" spans="11:11">
      <c r="K5395" s="164"/>
    </row>
    <row r="5396" spans="11:11">
      <c r="K5396" s="164"/>
    </row>
    <row r="5397" spans="11:11">
      <c r="K5397" s="164"/>
    </row>
    <row r="5398" spans="11:11">
      <c r="K5398" s="164"/>
    </row>
    <row r="5399" spans="11:11">
      <c r="K5399" s="164"/>
    </row>
    <row r="5400" spans="11:11">
      <c r="K5400" s="164"/>
    </row>
    <row r="5401" spans="11:11">
      <c r="K5401" s="164"/>
    </row>
    <row r="5402" spans="11:11">
      <c r="K5402" s="164"/>
    </row>
    <row r="5403" spans="11:11">
      <c r="K5403" s="164"/>
    </row>
    <row r="5404" spans="11:11">
      <c r="K5404" s="164"/>
    </row>
    <row r="5405" spans="11:11">
      <c r="K5405" s="164"/>
    </row>
    <row r="5406" spans="11:11">
      <c r="K5406" s="164"/>
    </row>
    <row r="5407" spans="11:11">
      <c r="K5407" s="164"/>
    </row>
    <row r="5408" spans="11:11">
      <c r="K5408" s="164"/>
    </row>
    <row r="5409" spans="11:11">
      <c r="K5409" s="164"/>
    </row>
    <row r="5410" spans="11:11">
      <c r="K5410" s="164"/>
    </row>
    <row r="5411" spans="11:11">
      <c r="K5411" s="164"/>
    </row>
    <row r="5412" spans="11:11">
      <c r="K5412" s="164"/>
    </row>
    <row r="5413" spans="11:11">
      <c r="K5413" s="164"/>
    </row>
    <row r="5414" spans="11:11">
      <c r="K5414" s="164"/>
    </row>
    <row r="5415" spans="11:11">
      <c r="K5415" s="164"/>
    </row>
    <row r="5416" spans="11:11">
      <c r="K5416" s="164"/>
    </row>
    <row r="5417" spans="11:11">
      <c r="K5417" s="164"/>
    </row>
    <row r="5418" spans="11:11">
      <c r="K5418" s="164"/>
    </row>
    <row r="5419" spans="11:11">
      <c r="K5419" s="164"/>
    </row>
    <row r="5420" spans="11:11">
      <c r="K5420" s="164"/>
    </row>
    <row r="5421" spans="11:11">
      <c r="K5421" s="164"/>
    </row>
    <row r="5422" spans="11:11">
      <c r="K5422" s="164"/>
    </row>
    <row r="5423" spans="11:11">
      <c r="K5423" s="164"/>
    </row>
    <row r="5424" spans="11:11">
      <c r="K5424" s="164"/>
    </row>
    <row r="5425" spans="11:11">
      <c r="K5425" s="164"/>
    </row>
    <row r="5426" spans="11:11">
      <c r="K5426" s="164"/>
    </row>
    <row r="5427" spans="11:11">
      <c r="K5427" s="164"/>
    </row>
    <row r="5428" spans="11:11">
      <c r="K5428" s="164"/>
    </row>
    <row r="5429" spans="11:11">
      <c r="K5429" s="164"/>
    </row>
    <row r="5430" spans="11:11">
      <c r="K5430" s="164"/>
    </row>
    <row r="5431" spans="11:11">
      <c r="K5431" s="164"/>
    </row>
    <row r="5432" spans="11:11">
      <c r="K5432" s="164"/>
    </row>
    <row r="5433" spans="11:11">
      <c r="K5433" s="164"/>
    </row>
    <row r="5434" spans="11:11">
      <c r="K5434" s="164"/>
    </row>
    <row r="5435" spans="11:11">
      <c r="K5435" s="164"/>
    </row>
    <row r="5436" spans="11:11">
      <c r="K5436" s="164"/>
    </row>
    <row r="5437" spans="11:11">
      <c r="K5437" s="164"/>
    </row>
    <row r="5438" spans="11:11">
      <c r="K5438" s="164"/>
    </row>
    <row r="5439" spans="11:11">
      <c r="K5439" s="164"/>
    </row>
    <row r="5440" spans="11:11">
      <c r="K5440" s="164"/>
    </row>
    <row r="5441" spans="11:11">
      <c r="K5441" s="164"/>
    </row>
    <row r="5442" spans="11:11">
      <c r="K5442" s="164"/>
    </row>
    <row r="5443" spans="11:11">
      <c r="K5443" s="164"/>
    </row>
    <row r="5444" spans="11:11">
      <c r="K5444" s="164"/>
    </row>
    <row r="5445" spans="11:11">
      <c r="K5445" s="164"/>
    </row>
    <row r="5446" spans="11:11">
      <c r="K5446" s="164"/>
    </row>
    <row r="5447" spans="11:11">
      <c r="K5447" s="164"/>
    </row>
    <row r="5448" spans="11:11">
      <c r="K5448" s="164"/>
    </row>
    <row r="5449" spans="11:11">
      <c r="K5449" s="164"/>
    </row>
    <row r="5450" spans="11:11">
      <c r="K5450" s="164"/>
    </row>
    <row r="5451" spans="11:11">
      <c r="K5451" s="164"/>
    </row>
    <row r="5452" spans="11:11">
      <c r="K5452" s="164"/>
    </row>
    <row r="5453" spans="11:11">
      <c r="K5453" s="164"/>
    </row>
    <row r="5454" spans="11:11">
      <c r="K5454" s="164"/>
    </row>
    <row r="5455" spans="11:11">
      <c r="K5455" s="164"/>
    </row>
    <row r="5456" spans="11:11">
      <c r="K5456" s="164"/>
    </row>
    <row r="5457" spans="11:11">
      <c r="K5457" s="164"/>
    </row>
    <row r="5458" spans="11:11">
      <c r="K5458" s="164"/>
    </row>
    <row r="5459" spans="11:11">
      <c r="K5459" s="164"/>
    </row>
    <row r="5460" spans="11:11">
      <c r="K5460" s="164"/>
    </row>
    <row r="5461" spans="11:11">
      <c r="K5461" s="164"/>
    </row>
    <row r="5462" spans="11:11">
      <c r="K5462" s="164"/>
    </row>
    <row r="5463" spans="11:11">
      <c r="K5463" s="164"/>
    </row>
    <row r="5464" spans="11:11">
      <c r="K5464" s="164"/>
    </row>
    <row r="5465" spans="11:11">
      <c r="K5465" s="164"/>
    </row>
    <row r="5466" spans="11:11">
      <c r="K5466" s="164"/>
    </row>
    <row r="5467" spans="11:11">
      <c r="K5467" s="164"/>
    </row>
    <row r="5468" spans="11:11">
      <c r="K5468" s="164"/>
    </row>
    <row r="5469" spans="11:11">
      <c r="K5469" s="164"/>
    </row>
    <row r="5470" spans="11:11">
      <c r="K5470" s="164"/>
    </row>
    <row r="5471" spans="11:11">
      <c r="K5471" s="164"/>
    </row>
    <row r="5472" spans="11:11">
      <c r="K5472" s="164"/>
    </row>
    <row r="5473" spans="11:11">
      <c r="K5473" s="164"/>
    </row>
    <row r="5474" spans="11:11">
      <c r="K5474" s="164"/>
    </row>
    <row r="5475" spans="11:11">
      <c r="K5475" s="164"/>
    </row>
    <row r="5476" spans="11:11">
      <c r="K5476" s="164"/>
    </row>
    <row r="5477" spans="11:11">
      <c r="K5477" s="164"/>
    </row>
    <row r="5478" spans="11:11">
      <c r="K5478" s="164"/>
    </row>
    <row r="5479" spans="11:11">
      <c r="K5479" s="164"/>
    </row>
    <row r="5480" spans="11:11">
      <c r="K5480" s="164"/>
    </row>
    <row r="5481" spans="11:11">
      <c r="K5481" s="164"/>
    </row>
    <row r="5482" spans="11:11">
      <c r="K5482" s="164"/>
    </row>
    <row r="5483" spans="11:11">
      <c r="K5483" s="164"/>
    </row>
    <row r="5484" spans="11:11">
      <c r="K5484" s="164"/>
    </row>
    <row r="5485" spans="11:11">
      <c r="K5485" s="164"/>
    </row>
    <row r="5486" spans="11:11">
      <c r="K5486" s="164"/>
    </row>
    <row r="5487" spans="11:11">
      <c r="K5487" s="164"/>
    </row>
    <row r="5488" spans="11:11">
      <c r="K5488" s="164"/>
    </row>
    <row r="5489" spans="11:11">
      <c r="K5489" s="164"/>
    </row>
    <row r="5490" spans="11:11">
      <c r="K5490" s="164"/>
    </row>
    <row r="5491" spans="11:11">
      <c r="K5491" s="164"/>
    </row>
    <row r="5492" spans="11:11">
      <c r="K5492" s="164"/>
    </row>
    <row r="5493" spans="11:11">
      <c r="K5493" s="164"/>
    </row>
    <row r="5494" spans="11:11">
      <c r="K5494" s="164"/>
    </row>
    <row r="5495" spans="11:11">
      <c r="K5495" s="164"/>
    </row>
    <row r="5496" spans="11:11">
      <c r="K5496" s="164"/>
    </row>
    <row r="5497" spans="11:11">
      <c r="K5497" s="164"/>
    </row>
    <row r="5498" spans="11:11">
      <c r="K5498" s="164"/>
    </row>
    <row r="5499" spans="11:11">
      <c r="K5499" s="164"/>
    </row>
    <row r="5500" spans="11:11">
      <c r="K5500" s="164"/>
    </row>
    <row r="5501" spans="11:11">
      <c r="K5501" s="164"/>
    </row>
    <row r="5502" spans="11:11">
      <c r="K5502" s="164"/>
    </row>
    <row r="5503" spans="11:11">
      <c r="K5503" s="164"/>
    </row>
    <row r="5504" spans="11:11">
      <c r="K5504" s="164"/>
    </row>
    <row r="5505" spans="11:11">
      <c r="K5505" s="164"/>
    </row>
    <row r="5506" spans="11:11">
      <c r="K5506" s="164"/>
    </row>
    <row r="5507" spans="11:11">
      <c r="K5507" s="164"/>
    </row>
    <row r="5508" spans="11:11">
      <c r="K5508" s="164"/>
    </row>
    <row r="5509" spans="11:11">
      <c r="K5509" s="164"/>
    </row>
    <row r="5510" spans="11:11">
      <c r="K5510" s="164"/>
    </row>
    <row r="5511" spans="11:11">
      <c r="K5511" s="164"/>
    </row>
    <row r="5512" spans="11:11">
      <c r="K5512" s="164"/>
    </row>
    <row r="5513" spans="11:11">
      <c r="K5513" s="164"/>
    </row>
    <row r="5514" spans="11:11">
      <c r="K5514" s="164"/>
    </row>
    <row r="5515" spans="11:11">
      <c r="K5515" s="164"/>
    </row>
    <row r="5516" spans="11:11">
      <c r="K5516" s="164"/>
    </row>
    <row r="5517" spans="11:11">
      <c r="K5517" s="164"/>
    </row>
    <row r="5518" spans="11:11">
      <c r="K5518" s="164"/>
    </row>
    <row r="5519" spans="11:11">
      <c r="K5519" s="164"/>
    </row>
    <row r="5520" spans="11:11">
      <c r="K5520" s="164"/>
    </row>
    <row r="5521" spans="11:11">
      <c r="K5521" s="164"/>
    </row>
    <row r="5522" spans="11:11">
      <c r="K5522" s="164"/>
    </row>
    <row r="5523" spans="11:11">
      <c r="K5523" s="164"/>
    </row>
    <row r="5524" spans="11:11">
      <c r="K5524" s="164"/>
    </row>
    <row r="5525" spans="11:11">
      <c r="K5525" s="164"/>
    </row>
    <row r="5526" spans="11:11">
      <c r="K5526" s="164"/>
    </row>
    <row r="5527" spans="11:11">
      <c r="K5527" s="164"/>
    </row>
    <row r="5528" spans="11:11">
      <c r="K5528" s="164"/>
    </row>
    <row r="5529" spans="11:11">
      <c r="K5529" s="164"/>
    </row>
    <row r="5530" spans="11:11">
      <c r="K5530" s="164"/>
    </row>
    <row r="5531" spans="11:11">
      <c r="K5531" s="164"/>
    </row>
    <row r="5532" spans="11:11">
      <c r="K5532" s="164"/>
    </row>
    <row r="5533" spans="11:11">
      <c r="K5533" s="164"/>
    </row>
    <row r="5534" spans="11:11">
      <c r="K5534" s="164"/>
    </row>
    <row r="5535" spans="11:11">
      <c r="K5535" s="164"/>
    </row>
    <row r="5536" spans="11:11">
      <c r="K5536" s="164"/>
    </row>
    <row r="5537" spans="11:11">
      <c r="K5537" s="164"/>
    </row>
    <row r="5538" spans="11:11">
      <c r="K5538" s="164"/>
    </row>
    <row r="5539" spans="11:11">
      <c r="K5539" s="164"/>
    </row>
    <row r="5540" spans="11:11">
      <c r="K5540" s="164"/>
    </row>
    <row r="5541" spans="11:11">
      <c r="K5541" s="164"/>
    </row>
    <row r="5542" spans="11:11">
      <c r="K5542" s="164"/>
    </row>
    <row r="5543" spans="11:11">
      <c r="K5543" s="164"/>
    </row>
    <row r="5544" spans="11:11">
      <c r="K5544" s="164"/>
    </row>
    <row r="5545" spans="11:11">
      <c r="K5545" s="164"/>
    </row>
    <row r="5546" spans="11:11">
      <c r="K5546" s="164"/>
    </row>
    <row r="5547" spans="11:11">
      <c r="K5547" s="164"/>
    </row>
    <row r="5548" spans="11:11">
      <c r="K5548" s="164"/>
    </row>
    <row r="5549" spans="11:11">
      <c r="K5549" s="164"/>
    </row>
    <row r="5550" spans="11:11">
      <c r="K5550" s="164"/>
    </row>
    <row r="5551" spans="11:11">
      <c r="K5551" s="164"/>
    </row>
    <row r="5552" spans="11:11">
      <c r="K5552" s="164"/>
    </row>
    <row r="5553" spans="11:11">
      <c r="K5553" s="164"/>
    </row>
    <row r="5554" spans="11:11">
      <c r="K5554" s="164"/>
    </row>
    <row r="5555" spans="11:11">
      <c r="K5555" s="164"/>
    </row>
    <row r="5556" spans="11:11">
      <c r="K5556" s="164"/>
    </row>
    <row r="5557" spans="11:11">
      <c r="K5557" s="164"/>
    </row>
    <row r="5558" spans="11:11">
      <c r="K5558" s="164"/>
    </row>
    <row r="5559" spans="11:11">
      <c r="K5559" s="164"/>
    </row>
    <row r="5560" spans="11:11">
      <c r="K5560" s="164"/>
    </row>
    <row r="5561" spans="11:11">
      <c r="K5561" s="164"/>
    </row>
    <row r="5562" spans="11:11">
      <c r="K5562" s="164"/>
    </row>
    <row r="5563" spans="11:11">
      <c r="K5563" s="164"/>
    </row>
    <row r="5564" spans="11:11">
      <c r="K5564" s="164"/>
    </row>
    <row r="5565" spans="11:11">
      <c r="K5565" s="164"/>
    </row>
    <row r="5566" spans="11:11">
      <c r="K5566" s="164"/>
    </row>
    <row r="5567" spans="11:11">
      <c r="K5567" s="164"/>
    </row>
    <row r="5568" spans="11:11">
      <c r="K5568" s="164"/>
    </row>
    <row r="5569" spans="11:11">
      <c r="K5569" s="164"/>
    </row>
    <row r="5570" spans="11:11">
      <c r="K5570" s="164"/>
    </row>
    <row r="5571" spans="11:11">
      <c r="K5571" s="164"/>
    </row>
    <row r="5572" spans="11:11">
      <c r="K5572" s="164"/>
    </row>
    <row r="5573" spans="11:11">
      <c r="K5573" s="164"/>
    </row>
    <row r="5574" spans="11:11">
      <c r="K5574" s="164"/>
    </row>
    <row r="5575" spans="11:11">
      <c r="K5575" s="164"/>
    </row>
    <row r="5576" spans="11:11">
      <c r="K5576" s="164"/>
    </row>
    <row r="5577" spans="11:11">
      <c r="K5577" s="164"/>
    </row>
    <row r="5578" spans="11:11">
      <c r="K5578" s="164"/>
    </row>
    <row r="5579" spans="11:11">
      <c r="K5579" s="164"/>
    </row>
    <row r="5580" spans="11:11">
      <c r="K5580" s="164"/>
    </row>
    <row r="5581" spans="11:11">
      <c r="K5581" s="164"/>
    </row>
    <row r="5582" spans="11:11">
      <c r="K5582" s="164"/>
    </row>
    <row r="5583" spans="11:11">
      <c r="K5583" s="164"/>
    </row>
    <row r="5584" spans="11:11">
      <c r="K5584" s="164"/>
    </row>
    <row r="5585" spans="11:11">
      <c r="K5585" s="164"/>
    </row>
    <row r="5586" spans="11:11">
      <c r="K5586" s="164"/>
    </row>
    <row r="5587" spans="11:11">
      <c r="K5587" s="164"/>
    </row>
    <row r="5588" spans="11:11">
      <c r="K5588" s="164"/>
    </row>
    <row r="5589" spans="11:11">
      <c r="K5589" s="164"/>
    </row>
    <row r="5590" spans="11:11">
      <c r="K5590" s="164"/>
    </row>
    <row r="5591" spans="11:11">
      <c r="K5591" s="164"/>
    </row>
    <row r="5592" spans="11:11">
      <c r="K5592" s="164"/>
    </row>
    <row r="5593" spans="11:11">
      <c r="K5593" s="164"/>
    </row>
    <row r="5594" spans="11:11">
      <c r="K5594" s="164"/>
    </row>
    <row r="5595" spans="11:11">
      <c r="K5595" s="164"/>
    </row>
    <row r="5596" spans="11:11">
      <c r="K5596" s="164"/>
    </row>
    <row r="5597" spans="11:11">
      <c r="K5597" s="164"/>
    </row>
    <row r="5598" spans="11:11">
      <c r="K5598" s="164"/>
    </row>
    <row r="5599" spans="11:11">
      <c r="K5599" s="164"/>
    </row>
    <row r="5600" spans="11:11">
      <c r="K5600" s="164"/>
    </row>
    <row r="5601" spans="11:11">
      <c r="K5601" s="164"/>
    </row>
    <row r="5602" spans="11:11">
      <c r="K5602" s="164"/>
    </row>
    <row r="5603" spans="11:11">
      <c r="K5603" s="164"/>
    </row>
    <row r="5604" spans="11:11">
      <c r="K5604" s="164"/>
    </row>
    <row r="5605" spans="11:11">
      <c r="K5605" s="164"/>
    </row>
    <row r="5606" spans="11:11">
      <c r="K5606" s="164"/>
    </row>
    <row r="5607" spans="11:11">
      <c r="K5607" s="164"/>
    </row>
    <row r="5608" spans="11:11">
      <c r="K5608" s="164"/>
    </row>
    <row r="5609" spans="11:11">
      <c r="K5609" s="164"/>
    </row>
    <row r="5610" spans="11:11">
      <c r="K5610" s="164"/>
    </row>
    <row r="5611" spans="11:11">
      <c r="K5611" s="164"/>
    </row>
    <row r="5612" spans="11:11">
      <c r="K5612" s="164"/>
    </row>
    <row r="5613" spans="11:11">
      <c r="K5613" s="164"/>
    </row>
    <row r="5614" spans="11:11">
      <c r="K5614" s="164"/>
    </row>
    <row r="5615" spans="11:11">
      <c r="K5615" s="164"/>
    </row>
    <row r="5616" spans="11:11">
      <c r="K5616" s="164"/>
    </row>
    <row r="5617" spans="11:11">
      <c r="K5617" s="164"/>
    </row>
    <row r="5618" spans="11:11">
      <c r="K5618" s="164"/>
    </row>
    <row r="5619" spans="11:11">
      <c r="K5619" s="164"/>
    </row>
    <row r="5620" spans="11:11">
      <c r="K5620" s="164"/>
    </row>
    <row r="5621" spans="11:11">
      <c r="K5621" s="164"/>
    </row>
    <row r="5622" spans="11:11">
      <c r="K5622" s="164"/>
    </row>
    <row r="5623" spans="11:11">
      <c r="K5623" s="164"/>
    </row>
    <row r="5624" spans="11:11">
      <c r="K5624" s="164"/>
    </row>
    <row r="5625" spans="11:11">
      <c r="K5625" s="164"/>
    </row>
    <row r="5626" spans="11:11">
      <c r="K5626" s="164"/>
    </row>
    <row r="5627" spans="11:11">
      <c r="K5627" s="164"/>
    </row>
    <row r="5628" spans="11:11">
      <c r="K5628" s="164"/>
    </row>
    <row r="5629" spans="11:11">
      <c r="K5629" s="164"/>
    </row>
    <row r="5630" spans="11:11">
      <c r="K5630" s="164"/>
    </row>
    <row r="5631" spans="11:11">
      <c r="K5631" s="164"/>
    </row>
    <row r="5632" spans="11:11">
      <c r="K5632" s="164"/>
    </row>
    <row r="5633" spans="11:11">
      <c r="K5633" s="164"/>
    </row>
    <row r="5634" spans="11:11">
      <c r="K5634" s="164"/>
    </row>
    <row r="5635" spans="11:11">
      <c r="K5635" s="164"/>
    </row>
    <row r="5636" spans="11:11">
      <c r="K5636" s="164"/>
    </row>
    <row r="5637" spans="11:11">
      <c r="K5637" s="164"/>
    </row>
    <row r="5638" spans="11:11">
      <c r="K5638" s="164"/>
    </row>
    <row r="5639" spans="11:11">
      <c r="K5639" s="164"/>
    </row>
    <row r="5640" spans="11:11">
      <c r="K5640" s="164"/>
    </row>
    <row r="5641" spans="11:11">
      <c r="K5641" s="164"/>
    </row>
    <row r="5642" spans="11:11">
      <c r="K5642" s="164"/>
    </row>
    <row r="5643" spans="11:11">
      <c r="K5643" s="164"/>
    </row>
    <row r="5644" spans="11:11">
      <c r="K5644" s="164"/>
    </row>
    <row r="5645" spans="11:11">
      <c r="K5645" s="164"/>
    </row>
    <row r="5646" spans="11:11">
      <c r="K5646" s="164"/>
    </row>
    <row r="5647" spans="11:11">
      <c r="K5647" s="164"/>
    </row>
    <row r="5648" spans="11:11">
      <c r="K5648" s="164"/>
    </row>
    <row r="5649" spans="11:11">
      <c r="K5649" s="164"/>
    </row>
    <row r="5650" spans="11:11">
      <c r="K5650" s="164"/>
    </row>
    <row r="5651" spans="11:11">
      <c r="K5651" s="164"/>
    </row>
    <row r="5652" spans="11:11">
      <c r="K5652" s="164"/>
    </row>
    <row r="5653" spans="11:11">
      <c r="K5653" s="164"/>
    </row>
    <row r="5654" spans="11:11">
      <c r="K5654" s="164"/>
    </row>
    <row r="5655" spans="11:11">
      <c r="K5655" s="164"/>
    </row>
    <row r="5656" spans="11:11">
      <c r="K5656" s="164"/>
    </row>
    <row r="5657" spans="11:11">
      <c r="K5657" s="164"/>
    </row>
    <row r="5658" spans="11:11">
      <c r="K5658" s="164"/>
    </row>
    <row r="5659" spans="11:11">
      <c r="K5659" s="164"/>
    </row>
    <row r="5660" spans="11:11">
      <c r="K5660" s="164"/>
    </row>
    <row r="5661" spans="11:11">
      <c r="K5661" s="164"/>
    </row>
    <row r="5662" spans="11:11">
      <c r="K5662" s="164"/>
    </row>
    <row r="5663" spans="11:11">
      <c r="K5663" s="164"/>
    </row>
    <row r="5664" spans="11:11">
      <c r="K5664" s="164"/>
    </row>
    <row r="5665" spans="11:11">
      <c r="K5665" s="164"/>
    </row>
    <row r="5666" spans="11:11">
      <c r="K5666" s="164"/>
    </row>
    <row r="5667" spans="11:11">
      <c r="K5667" s="164"/>
    </row>
    <row r="5668" spans="11:11">
      <c r="K5668" s="164"/>
    </row>
    <row r="5669" spans="11:11">
      <c r="K5669" s="164"/>
    </row>
    <row r="5670" spans="11:11">
      <c r="K5670" s="164"/>
    </row>
    <row r="5671" spans="11:11">
      <c r="K5671" s="164"/>
    </row>
    <row r="5672" spans="11:11">
      <c r="K5672" s="164"/>
    </row>
    <row r="5673" spans="11:11">
      <c r="K5673" s="164"/>
    </row>
    <row r="5674" spans="11:11">
      <c r="K5674" s="164"/>
    </row>
    <row r="5675" spans="11:11">
      <c r="K5675" s="164"/>
    </row>
    <row r="5676" spans="11:11">
      <c r="K5676" s="164"/>
    </row>
    <row r="5677" spans="11:11">
      <c r="K5677" s="164"/>
    </row>
    <row r="5678" spans="11:11">
      <c r="K5678" s="164"/>
    </row>
    <row r="5679" spans="11:11">
      <c r="K5679" s="164"/>
    </row>
    <row r="5680" spans="11:11">
      <c r="K5680" s="164"/>
    </row>
    <row r="5681" spans="11:11">
      <c r="K5681" s="164"/>
    </row>
    <row r="5682" spans="11:11">
      <c r="K5682" s="164"/>
    </row>
    <row r="5683" spans="11:11">
      <c r="K5683" s="164"/>
    </row>
    <row r="5684" spans="11:11">
      <c r="K5684" s="164"/>
    </row>
    <row r="5685" spans="11:11">
      <c r="K5685" s="164"/>
    </row>
    <row r="5686" spans="11:11">
      <c r="K5686" s="164"/>
    </row>
    <row r="5687" spans="11:11">
      <c r="K5687" s="164"/>
    </row>
    <row r="5688" spans="11:11">
      <c r="K5688" s="164"/>
    </row>
    <row r="5689" spans="11:11">
      <c r="K5689" s="164"/>
    </row>
    <row r="5690" spans="11:11">
      <c r="K5690" s="164"/>
    </row>
    <row r="5691" spans="11:11">
      <c r="K5691" s="164"/>
    </row>
    <row r="5692" spans="11:11">
      <c r="K5692" s="164"/>
    </row>
    <row r="5693" spans="11:11">
      <c r="K5693" s="164"/>
    </row>
    <row r="5694" spans="11:11">
      <c r="K5694" s="164"/>
    </row>
    <row r="5695" spans="11:11">
      <c r="K5695" s="164"/>
    </row>
    <row r="5696" spans="11:11">
      <c r="K5696" s="164"/>
    </row>
    <row r="5697" spans="11:11">
      <c r="K5697" s="164"/>
    </row>
    <row r="5698" spans="11:11">
      <c r="K5698" s="164"/>
    </row>
    <row r="5699" spans="11:11">
      <c r="K5699" s="164"/>
    </row>
    <row r="5700" spans="11:11">
      <c r="K5700" s="164"/>
    </row>
    <row r="5701" spans="11:11">
      <c r="K5701" s="164"/>
    </row>
    <row r="5702" spans="11:11">
      <c r="K5702" s="164"/>
    </row>
    <row r="5703" spans="11:11">
      <c r="K5703" s="164"/>
    </row>
    <row r="5704" spans="11:11">
      <c r="K5704" s="164"/>
    </row>
    <row r="5705" spans="11:11">
      <c r="K5705" s="164"/>
    </row>
    <row r="5706" spans="11:11">
      <c r="K5706" s="164"/>
    </row>
    <row r="5707" spans="11:11">
      <c r="K5707" s="164"/>
    </row>
    <row r="5708" spans="11:11">
      <c r="K5708" s="164"/>
    </row>
    <row r="5709" spans="11:11">
      <c r="K5709" s="164"/>
    </row>
    <row r="5710" spans="11:11">
      <c r="K5710" s="164"/>
    </row>
    <row r="5711" spans="11:11">
      <c r="K5711" s="164"/>
    </row>
    <row r="5712" spans="11:11">
      <c r="K5712" s="164"/>
    </row>
    <row r="5713" spans="11:11">
      <c r="K5713" s="164"/>
    </row>
    <row r="5714" spans="11:11">
      <c r="K5714" s="164"/>
    </row>
    <row r="5715" spans="11:11">
      <c r="K5715" s="164"/>
    </row>
    <row r="5716" spans="11:11">
      <c r="K5716" s="164"/>
    </row>
    <row r="5717" spans="11:11">
      <c r="K5717" s="164"/>
    </row>
    <row r="5718" spans="11:11">
      <c r="K5718" s="164"/>
    </row>
    <row r="5719" spans="11:11">
      <c r="K5719" s="164"/>
    </row>
    <row r="5720" spans="11:11">
      <c r="K5720" s="164"/>
    </row>
    <row r="5721" spans="11:11">
      <c r="K5721" s="164"/>
    </row>
    <row r="5722" spans="11:11">
      <c r="K5722" s="164"/>
    </row>
    <row r="5723" spans="11:11">
      <c r="K5723" s="164"/>
    </row>
    <row r="5724" spans="11:11">
      <c r="K5724" s="164"/>
    </row>
    <row r="5725" spans="11:11">
      <c r="K5725" s="164"/>
    </row>
    <row r="5726" spans="11:11">
      <c r="K5726" s="164"/>
    </row>
    <row r="5727" spans="11:11">
      <c r="K5727" s="164"/>
    </row>
    <row r="5728" spans="11:11">
      <c r="K5728" s="164"/>
    </row>
    <row r="5729" spans="11:11">
      <c r="K5729" s="164"/>
    </row>
    <row r="5730" spans="11:11">
      <c r="K5730" s="164"/>
    </row>
    <row r="5731" spans="11:11">
      <c r="K5731" s="164"/>
    </row>
    <row r="5732" spans="11:11">
      <c r="K5732" s="164"/>
    </row>
    <row r="5733" spans="11:11">
      <c r="K5733" s="164"/>
    </row>
    <row r="5734" spans="11:11">
      <c r="K5734" s="164"/>
    </row>
    <row r="5735" spans="11:11">
      <c r="K5735" s="164"/>
    </row>
    <row r="5736" spans="11:11">
      <c r="K5736" s="164"/>
    </row>
    <row r="5737" spans="11:11">
      <c r="K5737" s="164"/>
    </row>
    <row r="5738" spans="11:11">
      <c r="K5738" s="164"/>
    </row>
    <row r="5739" spans="11:11">
      <c r="K5739" s="164"/>
    </row>
    <row r="5740" spans="11:11">
      <c r="K5740" s="164"/>
    </row>
    <row r="5741" spans="11:11">
      <c r="K5741" s="164"/>
    </row>
    <row r="5742" spans="11:11">
      <c r="K5742" s="164"/>
    </row>
    <row r="5743" spans="11:11">
      <c r="K5743" s="164"/>
    </row>
    <row r="5744" spans="11:11">
      <c r="K5744" s="164"/>
    </row>
    <row r="5745" spans="11:11">
      <c r="K5745" s="164"/>
    </row>
    <row r="5746" spans="11:11">
      <c r="K5746" s="164"/>
    </row>
    <row r="5747" spans="11:11">
      <c r="K5747" s="164"/>
    </row>
    <row r="5748" spans="11:11">
      <c r="K5748" s="164"/>
    </row>
    <row r="5749" spans="11:11">
      <c r="K5749" s="164"/>
    </row>
    <row r="5750" spans="11:11">
      <c r="K5750" s="164"/>
    </row>
    <row r="5751" spans="11:11">
      <c r="K5751" s="164"/>
    </row>
    <row r="5752" spans="11:11">
      <c r="K5752" s="164"/>
    </row>
    <row r="5753" spans="11:11">
      <c r="K5753" s="164"/>
    </row>
    <row r="5754" spans="11:11">
      <c r="K5754" s="164"/>
    </row>
    <row r="5755" spans="11:11">
      <c r="K5755" s="164"/>
    </row>
    <row r="5756" spans="11:11">
      <c r="K5756" s="164"/>
    </row>
    <row r="5757" spans="11:11">
      <c r="K5757" s="164"/>
    </row>
    <row r="5758" spans="11:11">
      <c r="K5758" s="164"/>
    </row>
    <row r="5759" spans="11:11">
      <c r="K5759" s="164"/>
    </row>
    <row r="5760" spans="11:11">
      <c r="K5760" s="164"/>
    </row>
    <row r="5761" spans="11:11">
      <c r="K5761" s="164"/>
    </row>
    <row r="5762" spans="11:11">
      <c r="K5762" s="164"/>
    </row>
    <row r="5763" spans="11:11">
      <c r="K5763" s="164"/>
    </row>
    <row r="5764" spans="11:11">
      <c r="K5764" s="164"/>
    </row>
    <row r="5765" spans="11:11">
      <c r="K5765" s="164"/>
    </row>
    <row r="5766" spans="11:11">
      <c r="K5766" s="164"/>
    </row>
    <row r="5767" spans="11:11">
      <c r="K5767" s="164"/>
    </row>
    <row r="5768" spans="11:11">
      <c r="K5768" s="164"/>
    </row>
    <row r="5769" spans="11:11">
      <c r="K5769" s="164"/>
    </row>
    <row r="5770" spans="11:11">
      <c r="K5770" s="164"/>
    </row>
    <row r="5771" spans="11:11">
      <c r="K5771" s="164"/>
    </row>
    <row r="5772" spans="11:11">
      <c r="K5772" s="164"/>
    </row>
    <row r="5773" spans="11:11">
      <c r="K5773" s="164"/>
    </row>
    <row r="5774" spans="11:11">
      <c r="K5774" s="164"/>
    </row>
    <row r="5775" spans="11:11">
      <c r="K5775" s="164"/>
    </row>
    <row r="5776" spans="11:11">
      <c r="K5776" s="164"/>
    </row>
    <row r="5777" spans="11:11">
      <c r="K5777" s="164"/>
    </row>
    <row r="5778" spans="11:11">
      <c r="K5778" s="164"/>
    </row>
    <row r="5779" spans="11:11">
      <c r="K5779" s="164"/>
    </row>
    <row r="5780" spans="11:11">
      <c r="K5780" s="164"/>
    </row>
    <row r="5781" spans="11:11">
      <c r="K5781" s="164"/>
    </row>
    <row r="5782" spans="11:11">
      <c r="K5782" s="164"/>
    </row>
    <row r="5783" spans="11:11">
      <c r="K5783" s="164"/>
    </row>
    <row r="5784" spans="11:11">
      <c r="K5784" s="164"/>
    </row>
    <row r="5785" spans="11:11">
      <c r="K5785" s="164"/>
    </row>
    <row r="5786" spans="11:11">
      <c r="K5786" s="164"/>
    </row>
    <row r="5787" spans="11:11">
      <c r="K5787" s="164"/>
    </row>
    <row r="5788" spans="11:11">
      <c r="K5788" s="164"/>
    </row>
    <row r="5789" spans="11:11">
      <c r="K5789" s="164"/>
    </row>
    <row r="5790" spans="11:11">
      <c r="K5790" s="164"/>
    </row>
    <row r="5791" spans="11:11">
      <c r="K5791" s="164"/>
    </row>
    <row r="5792" spans="11:11">
      <c r="K5792" s="164"/>
    </row>
    <row r="5793" spans="11:11">
      <c r="K5793" s="164"/>
    </row>
    <row r="5794" spans="11:11">
      <c r="K5794" s="164"/>
    </row>
    <row r="5795" spans="11:11">
      <c r="K5795" s="164"/>
    </row>
    <row r="5796" spans="11:11">
      <c r="K5796" s="164"/>
    </row>
    <row r="5797" spans="11:11">
      <c r="K5797" s="164"/>
    </row>
    <row r="5798" spans="11:11">
      <c r="K5798" s="164"/>
    </row>
    <row r="5799" spans="11:11">
      <c r="K5799" s="164"/>
    </row>
    <row r="5800" spans="11:11">
      <c r="K5800" s="164"/>
    </row>
    <row r="5801" spans="11:11">
      <c r="K5801" s="164"/>
    </row>
    <row r="5802" spans="11:11">
      <c r="K5802" s="164"/>
    </row>
    <row r="5803" spans="11:11">
      <c r="K5803" s="164"/>
    </row>
    <row r="5804" spans="11:11">
      <c r="K5804" s="164"/>
    </row>
    <row r="5805" spans="11:11">
      <c r="K5805" s="164"/>
    </row>
    <row r="5806" spans="11:11">
      <c r="K5806" s="164"/>
    </row>
    <row r="5807" spans="11:11">
      <c r="K5807" s="164"/>
    </row>
    <row r="5808" spans="11:11">
      <c r="K5808" s="164"/>
    </row>
    <row r="5809" spans="11:11">
      <c r="K5809" s="164"/>
    </row>
    <row r="5810" spans="11:11">
      <c r="K5810" s="164"/>
    </row>
    <row r="5811" spans="11:11">
      <c r="K5811" s="164"/>
    </row>
    <row r="5812" spans="11:11">
      <c r="K5812" s="164"/>
    </row>
    <row r="5813" spans="11:11">
      <c r="K5813" s="164"/>
    </row>
    <row r="5814" spans="11:11">
      <c r="K5814" s="164"/>
    </row>
    <row r="5815" spans="11:11">
      <c r="K5815" s="164"/>
    </row>
    <row r="5816" spans="11:11">
      <c r="K5816" s="164"/>
    </row>
    <row r="5817" spans="11:11">
      <c r="K5817" s="164"/>
    </row>
    <row r="5818" spans="11:11">
      <c r="K5818" s="164"/>
    </row>
    <row r="5819" spans="11:11">
      <c r="K5819" s="164"/>
    </row>
    <row r="5820" spans="11:11">
      <c r="K5820" s="164"/>
    </row>
    <row r="5821" spans="11:11">
      <c r="K5821" s="164"/>
    </row>
    <row r="5822" spans="11:11">
      <c r="K5822" s="164"/>
    </row>
    <row r="5823" spans="11:11">
      <c r="K5823" s="164"/>
    </row>
    <row r="5824" spans="11:11">
      <c r="K5824" s="164"/>
    </row>
    <row r="5825" spans="11:11">
      <c r="K5825" s="164"/>
    </row>
    <row r="5826" spans="11:11">
      <c r="K5826" s="164"/>
    </row>
    <row r="5827" spans="11:11">
      <c r="K5827" s="164"/>
    </row>
    <row r="5828" spans="11:11">
      <c r="K5828" s="164"/>
    </row>
    <row r="5829" spans="11:11">
      <c r="K5829" s="164"/>
    </row>
    <row r="5830" spans="11:11">
      <c r="K5830" s="164"/>
    </row>
    <row r="5831" spans="11:11">
      <c r="K5831" s="164"/>
    </row>
    <row r="5832" spans="11:11">
      <c r="K5832" s="164"/>
    </row>
    <row r="5833" spans="11:11">
      <c r="K5833" s="164"/>
    </row>
    <row r="5834" spans="11:11">
      <c r="K5834" s="164"/>
    </row>
    <row r="5835" spans="11:11">
      <c r="K5835" s="164"/>
    </row>
    <row r="5836" spans="11:11">
      <c r="K5836" s="164"/>
    </row>
    <row r="5837" spans="11:11">
      <c r="K5837" s="164"/>
    </row>
    <row r="5838" spans="11:11">
      <c r="K5838" s="164"/>
    </row>
    <row r="5839" spans="11:11">
      <c r="K5839" s="164"/>
    </row>
    <row r="5840" spans="11:11">
      <c r="K5840" s="164"/>
    </row>
    <row r="5841" spans="11:11">
      <c r="K5841" s="164"/>
    </row>
    <row r="5842" spans="11:11">
      <c r="K5842" s="164"/>
    </row>
    <row r="5843" spans="11:11">
      <c r="K5843" s="164"/>
    </row>
    <row r="5844" spans="11:11">
      <c r="K5844" s="164"/>
    </row>
    <row r="5845" spans="11:11">
      <c r="K5845" s="164"/>
    </row>
    <row r="5846" spans="11:11">
      <c r="K5846" s="164"/>
    </row>
    <row r="5847" spans="11:11">
      <c r="K5847" s="164"/>
    </row>
    <row r="5848" spans="11:11">
      <c r="K5848" s="164"/>
    </row>
    <row r="5849" spans="11:11">
      <c r="K5849" s="164"/>
    </row>
    <row r="5850" spans="11:11">
      <c r="K5850" s="164"/>
    </row>
    <row r="5851" spans="11:11">
      <c r="K5851" s="164"/>
    </row>
    <row r="5852" spans="11:11">
      <c r="K5852" s="164"/>
    </row>
    <row r="5853" spans="11:11">
      <c r="K5853" s="164"/>
    </row>
    <row r="5854" spans="11:11">
      <c r="K5854" s="164"/>
    </row>
    <row r="5855" spans="11:11">
      <c r="K5855" s="164"/>
    </row>
    <row r="5856" spans="11:11">
      <c r="K5856" s="164"/>
    </row>
    <row r="5857" spans="11:11">
      <c r="K5857" s="164"/>
    </row>
    <row r="5858" spans="11:11">
      <c r="K5858" s="164"/>
    </row>
    <row r="5859" spans="11:11">
      <c r="K5859" s="164"/>
    </row>
    <row r="5860" spans="11:11">
      <c r="K5860" s="164"/>
    </row>
    <row r="5861" spans="11:11">
      <c r="K5861" s="164"/>
    </row>
    <row r="5862" spans="11:11">
      <c r="K5862" s="164"/>
    </row>
    <row r="5863" spans="11:11">
      <c r="K5863" s="164"/>
    </row>
    <row r="5864" spans="11:11">
      <c r="K5864" s="164"/>
    </row>
    <row r="5865" spans="11:11">
      <c r="K5865" s="164"/>
    </row>
    <row r="5866" spans="11:11">
      <c r="K5866" s="164"/>
    </row>
    <row r="5867" spans="11:11">
      <c r="K5867" s="164"/>
    </row>
    <row r="5868" spans="11:11">
      <c r="K5868" s="164"/>
    </row>
    <row r="5869" spans="11:11">
      <c r="K5869" s="164"/>
    </row>
    <row r="5870" spans="11:11">
      <c r="K5870" s="164"/>
    </row>
    <row r="5871" spans="11:11">
      <c r="K5871" s="164"/>
    </row>
    <row r="5872" spans="11:11">
      <c r="K5872" s="164"/>
    </row>
    <row r="5873" spans="11:11">
      <c r="K5873" s="164"/>
    </row>
    <row r="5874" spans="11:11">
      <c r="K5874" s="164"/>
    </row>
    <row r="5875" spans="11:11">
      <c r="K5875" s="164"/>
    </row>
    <row r="5876" spans="11:11">
      <c r="K5876" s="164"/>
    </row>
    <row r="5877" spans="11:11">
      <c r="K5877" s="164"/>
    </row>
    <row r="5878" spans="11:11">
      <c r="K5878" s="164"/>
    </row>
    <row r="5879" spans="11:11">
      <c r="K5879" s="164"/>
    </row>
    <row r="5880" spans="11:11">
      <c r="K5880" s="164"/>
    </row>
    <row r="5881" spans="11:11">
      <c r="K5881" s="164"/>
    </row>
    <row r="5882" spans="11:11">
      <c r="K5882" s="164"/>
    </row>
    <row r="5883" spans="11:11">
      <c r="K5883" s="164"/>
    </row>
    <row r="5884" spans="11:11">
      <c r="K5884" s="164"/>
    </row>
    <row r="5885" spans="11:11">
      <c r="K5885" s="164"/>
    </row>
    <row r="5886" spans="11:11">
      <c r="K5886" s="164"/>
    </row>
    <row r="5887" spans="11:11">
      <c r="K5887" s="164"/>
    </row>
    <row r="5888" spans="11:11">
      <c r="K5888" s="164"/>
    </row>
    <row r="5889" spans="11:11">
      <c r="K5889" s="164"/>
    </row>
    <row r="5890" spans="11:11">
      <c r="K5890" s="164"/>
    </row>
    <row r="5891" spans="11:11">
      <c r="K5891" s="164"/>
    </row>
    <row r="5892" spans="11:11">
      <c r="K5892" s="164"/>
    </row>
    <row r="5893" spans="11:11">
      <c r="K5893" s="164"/>
    </row>
    <row r="5894" spans="11:11">
      <c r="K5894" s="164"/>
    </row>
    <row r="5895" spans="11:11">
      <c r="K5895" s="164"/>
    </row>
    <row r="5896" spans="11:11">
      <c r="K5896" s="164"/>
    </row>
    <row r="5897" spans="11:11">
      <c r="K5897" s="164"/>
    </row>
    <row r="5898" spans="11:11">
      <c r="K5898" s="164"/>
    </row>
    <row r="5899" spans="11:11">
      <c r="K5899" s="164"/>
    </row>
    <row r="5900" spans="11:11">
      <c r="K5900" s="164"/>
    </row>
    <row r="5901" spans="11:11">
      <c r="K5901" s="164"/>
    </row>
    <row r="5902" spans="11:11">
      <c r="K5902" s="164"/>
    </row>
    <row r="5903" spans="11:11">
      <c r="K5903" s="164"/>
    </row>
    <row r="5904" spans="11:11">
      <c r="K5904" s="164"/>
    </row>
    <row r="5905" spans="11:11">
      <c r="K5905" s="164"/>
    </row>
    <row r="5906" spans="11:11">
      <c r="K5906" s="164"/>
    </row>
    <row r="5907" spans="11:11">
      <c r="K5907" s="164"/>
    </row>
    <row r="5908" spans="11:11">
      <c r="K5908" s="164"/>
    </row>
    <row r="5909" spans="11:11">
      <c r="K5909" s="164"/>
    </row>
    <row r="5910" spans="11:11">
      <c r="K5910" s="164"/>
    </row>
    <row r="5911" spans="11:11">
      <c r="K5911" s="164"/>
    </row>
    <row r="5912" spans="11:11">
      <c r="K5912" s="164"/>
    </row>
    <row r="5913" spans="11:11">
      <c r="K5913" s="164"/>
    </row>
    <row r="5914" spans="11:11">
      <c r="K5914" s="164"/>
    </row>
    <row r="5915" spans="11:11">
      <c r="K5915" s="164"/>
    </row>
    <row r="5916" spans="11:11">
      <c r="K5916" s="164"/>
    </row>
    <row r="5917" spans="11:11">
      <c r="K5917" s="164"/>
    </row>
    <row r="5918" spans="11:11">
      <c r="K5918" s="164"/>
    </row>
    <row r="5919" spans="11:11">
      <c r="K5919" s="164"/>
    </row>
    <row r="5920" spans="11:11">
      <c r="K5920" s="164"/>
    </row>
    <row r="5921" spans="11:11">
      <c r="K5921" s="164"/>
    </row>
    <row r="5922" spans="11:11">
      <c r="K5922" s="164"/>
    </row>
    <row r="5923" spans="11:11">
      <c r="K5923" s="164"/>
    </row>
    <row r="5924" spans="11:11">
      <c r="K5924" s="164"/>
    </row>
    <row r="5925" spans="11:11">
      <c r="K5925" s="164"/>
    </row>
    <row r="5926" spans="11:11">
      <c r="K5926" s="164"/>
    </row>
    <row r="5927" spans="11:11">
      <c r="K5927" s="164"/>
    </row>
    <row r="5928" spans="11:11">
      <c r="K5928" s="164"/>
    </row>
    <row r="5929" spans="11:11">
      <c r="K5929" s="164"/>
    </row>
    <row r="5930" spans="11:11">
      <c r="K5930" s="164"/>
    </row>
    <row r="5931" spans="11:11">
      <c r="K5931" s="164"/>
    </row>
    <row r="5932" spans="11:11">
      <c r="K5932" s="164"/>
    </row>
    <row r="5933" spans="11:11">
      <c r="K5933" s="164"/>
    </row>
    <row r="5934" spans="11:11">
      <c r="K5934" s="164"/>
    </row>
    <row r="5935" spans="11:11">
      <c r="K5935" s="164"/>
    </row>
    <row r="5936" spans="11:11">
      <c r="K5936" s="164"/>
    </row>
    <row r="5937" spans="11:11">
      <c r="K5937" s="164"/>
    </row>
    <row r="5938" spans="11:11">
      <c r="K5938" s="164"/>
    </row>
    <row r="5939" spans="11:11">
      <c r="K5939" s="164"/>
    </row>
    <row r="5940" spans="11:11">
      <c r="K5940" s="164"/>
    </row>
    <row r="5941" spans="11:11">
      <c r="K5941" s="164"/>
    </row>
    <row r="5942" spans="11:11">
      <c r="K5942" s="164"/>
    </row>
    <row r="5943" spans="11:11">
      <c r="K5943" s="164"/>
    </row>
    <row r="5944" spans="11:11">
      <c r="K5944" s="164"/>
    </row>
    <row r="5945" spans="11:11">
      <c r="K5945" s="164"/>
    </row>
    <row r="5946" spans="11:11">
      <c r="K5946" s="164"/>
    </row>
    <row r="5947" spans="11:11">
      <c r="K5947" s="164"/>
    </row>
    <row r="5948" spans="11:11">
      <c r="K5948" s="164"/>
    </row>
    <row r="5949" spans="11:11">
      <c r="K5949" s="164"/>
    </row>
    <row r="5950" spans="11:11">
      <c r="K5950" s="164"/>
    </row>
    <row r="5951" spans="11:11">
      <c r="K5951" s="164"/>
    </row>
    <row r="5952" spans="11:11">
      <c r="K5952" s="164"/>
    </row>
    <row r="5953" spans="11:11">
      <c r="K5953" s="164"/>
    </row>
    <row r="5954" spans="11:11">
      <c r="K5954" s="164"/>
    </row>
    <row r="5955" spans="11:11">
      <c r="K5955" s="164"/>
    </row>
    <row r="5956" spans="11:11">
      <c r="K5956" s="164"/>
    </row>
    <row r="5957" spans="11:11">
      <c r="K5957" s="164"/>
    </row>
    <row r="5958" spans="11:11">
      <c r="K5958" s="164"/>
    </row>
    <row r="5959" spans="11:11">
      <c r="K5959" s="164"/>
    </row>
    <row r="5960" spans="11:11">
      <c r="K5960" s="164"/>
    </row>
    <row r="5961" spans="11:11">
      <c r="K5961" s="164"/>
    </row>
    <row r="5962" spans="11:11">
      <c r="K5962" s="164"/>
    </row>
    <row r="5963" spans="11:11">
      <c r="K5963" s="164"/>
    </row>
    <row r="5964" spans="11:11">
      <c r="K5964" s="164"/>
    </row>
    <row r="5965" spans="11:11">
      <c r="K5965" s="164"/>
    </row>
    <row r="5966" spans="11:11">
      <c r="K5966" s="164"/>
    </row>
    <row r="5967" spans="11:11">
      <c r="K5967" s="164"/>
    </row>
    <row r="5968" spans="11:11">
      <c r="K5968" s="164"/>
    </row>
    <row r="5969" spans="11:11">
      <c r="K5969" s="164"/>
    </row>
    <row r="5970" spans="11:11">
      <c r="K5970" s="164"/>
    </row>
    <row r="5971" spans="11:11">
      <c r="K5971" s="164"/>
    </row>
    <row r="5972" spans="11:11">
      <c r="K5972" s="164"/>
    </row>
    <row r="5973" spans="11:11">
      <c r="K5973" s="164"/>
    </row>
    <row r="5974" spans="11:11">
      <c r="K5974" s="164"/>
    </row>
    <row r="5975" spans="11:11">
      <c r="K5975" s="164"/>
    </row>
    <row r="5976" spans="11:11">
      <c r="K5976" s="164"/>
    </row>
    <row r="5977" spans="11:11">
      <c r="K5977" s="164"/>
    </row>
    <row r="5978" spans="11:11">
      <c r="K5978" s="164"/>
    </row>
    <row r="5979" spans="11:11">
      <c r="K5979" s="164"/>
    </row>
    <row r="5980" spans="11:11">
      <c r="K5980" s="164"/>
    </row>
    <row r="5981" spans="11:11">
      <c r="K5981" s="164"/>
    </row>
    <row r="5982" spans="11:11">
      <c r="K5982" s="164"/>
    </row>
    <row r="5983" spans="11:11">
      <c r="K5983" s="164"/>
    </row>
    <row r="5984" spans="11:11">
      <c r="K5984" s="164"/>
    </row>
    <row r="5985" spans="11:11">
      <c r="K5985" s="164"/>
    </row>
    <row r="5986" spans="11:11">
      <c r="K5986" s="164"/>
    </row>
    <row r="5987" spans="11:11">
      <c r="K5987" s="164"/>
    </row>
    <row r="5988" spans="11:11">
      <c r="K5988" s="164"/>
    </row>
    <row r="5989" spans="11:11">
      <c r="K5989" s="164"/>
    </row>
    <row r="5990" spans="11:11">
      <c r="K5990" s="164"/>
    </row>
    <row r="5991" spans="11:11">
      <c r="K5991" s="164"/>
    </row>
    <row r="5992" spans="11:11">
      <c r="K5992" s="164"/>
    </row>
    <row r="5993" spans="11:11">
      <c r="K5993" s="164"/>
    </row>
    <row r="5994" spans="11:11">
      <c r="K5994" s="164"/>
    </row>
    <row r="5995" spans="11:11">
      <c r="K5995" s="164"/>
    </row>
    <row r="5996" spans="11:11">
      <c r="K5996" s="164"/>
    </row>
    <row r="5997" spans="11:11">
      <c r="K5997" s="164"/>
    </row>
    <row r="5998" spans="11:11">
      <c r="K5998" s="164"/>
    </row>
    <row r="5999" spans="11:11">
      <c r="K5999" s="164"/>
    </row>
    <row r="6000" spans="11:11">
      <c r="K6000" s="164"/>
    </row>
    <row r="6001" spans="11:11">
      <c r="K6001" s="164"/>
    </row>
    <row r="6002" spans="11:11">
      <c r="K6002" s="164"/>
    </row>
    <row r="6003" spans="11:11">
      <c r="K6003" s="164"/>
    </row>
    <row r="6004" spans="11:11">
      <c r="K6004" s="164"/>
    </row>
    <row r="6005" spans="11:11">
      <c r="K6005" s="164"/>
    </row>
    <row r="6006" spans="11:11">
      <c r="K6006" s="164"/>
    </row>
    <row r="6007" spans="11:11">
      <c r="K6007" s="164"/>
    </row>
    <row r="6008" spans="11:11">
      <c r="K6008" s="164"/>
    </row>
    <row r="6009" spans="11:11">
      <c r="K6009" s="164"/>
    </row>
    <row r="6010" spans="11:11">
      <c r="K6010" s="164"/>
    </row>
    <row r="6011" spans="11:11">
      <c r="K6011" s="164"/>
    </row>
    <row r="6012" spans="11:11">
      <c r="K6012" s="164"/>
    </row>
    <row r="6013" spans="11:11">
      <c r="K6013" s="164"/>
    </row>
    <row r="6014" spans="11:11">
      <c r="K6014" s="164"/>
    </row>
    <row r="6015" spans="11:11">
      <c r="K6015" s="164"/>
    </row>
    <row r="6016" spans="11:11">
      <c r="K6016" s="164"/>
    </row>
    <row r="6017" spans="11:11">
      <c r="K6017" s="164"/>
    </row>
    <row r="6018" spans="11:11">
      <c r="K6018" s="164"/>
    </row>
    <row r="6019" spans="11:11">
      <c r="K6019" s="164"/>
    </row>
    <row r="6020" spans="11:11">
      <c r="K6020" s="164"/>
    </row>
    <row r="6021" spans="11:11">
      <c r="K6021" s="164"/>
    </row>
    <row r="6022" spans="11:11">
      <c r="K6022" s="164"/>
    </row>
    <row r="6023" spans="11:11">
      <c r="K6023" s="164"/>
    </row>
    <row r="6024" spans="11:11">
      <c r="K6024" s="164"/>
    </row>
    <row r="6025" spans="11:11">
      <c r="K6025" s="164"/>
    </row>
    <row r="6026" spans="11:11">
      <c r="K6026" s="164"/>
    </row>
    <row r="6027" spans="11:11">
      <c r="K6027" s="164"/>
    </row>
    <row r="6028" spans="11:11">
      <c r="K6028" s="164"/>
    </row>
    <row r="6029" spans="11:11">
      <c r="K6029" s="164"/>
    </row>
    <row r="6030" spans="11:11">
      <c r="K6030" s="164"/>
    </row>
    <row r="6031" spans="11:11">
      <c r="K6031" s="164"/>
    </row>
    <row r="6032" spans="11:11">
      <c r="K6032" s="164"/>
    </row>
    <row r="6033" spans="11:11">
      <c r="K6033" s="164"/>
    </row>
    <row r="6034" spans="11:11">
      <c r="K6034" s="164"/>
    </row>
    <row r="6035" spans="11:11">
      <c r="K6035" s="164"/>
    </row>
    <row r="6036" spans="11:11">
      <c r="K6036" s="164"/>
    </row>
    <row r="6037" spans="11:11">
      <c r="K6037" s="164"/>
    </row>
    <row r="6038" spans="11:11">
      <c r="K6038" s="164"/>
    </row>
    <row r="6039" spans="11:11">
      <c r="K6039" s="164"/>
    </row>
    <row r="6040" spans="11:11">
      <c r="K6040" s="164"/>
    </row>
    <row r="6041" spans="11:11">
      <c r="K6041" s="164"/>
    </row>
    <row r="6042" spans="11:11">
      <c r="K6042" s="164"/>
    </row>
    <row r="6043" spans="11:11">
      <c r="K6043" s="164"/>
    </row>
    <row r="6044" spans="11:11">
      <c r="K6044" s="164"/>
    </row>
    <row r="6045" spans="11:11">
      <c r="K6045" s="164"/>
    </row>
    <row r="6046" spans="11:11">
      <c r="K6046" s="164"/>
    </row>
    <row r="6047" spans="11:11">
      <c r="K6047" s="164"/>
    </row>
    <row r="6048" spans="11:11">
      <c r="K6048" s="164"/>
    </row>
    <row r="6049" spans="11:11">
      <c r="K6049" s="164"/>
    </row>
    <row r="6050" spans="11:11">
      <c r="K6050" s="164"/>
    </row>
    <row r="6051" spans="11:11">
      <c r="K6051" s="164"/>
    </row>
    <row r="6052" spans="11:11">
      <c r="K6052" s="164"/>
    </row>
    <row r="6053" spans="11:11">
      <c r="K6053" s="164"/>
    </row>
    <row r="6054" spans="11:11">
      <c r="K6054" s="164"/>
    </row>
    <row r="6055" spans="11:11">
      <c r="K6055" s="164"/>
    </row>
    <row r="6056" spans="11:11">
      <c r="K6056" s="164"/>
    </row>
    <row r="6057" spans="11:11">
      <c r="K6057" s="164"/>
    </row>
    <row r="6058" spans="11:11">
      <c r="K6058" s="164"/>
    </row>
    <row r="6059" spans="11:11">
      <c r="K6059" s="164"/>
    </row>
    <row r="6060" spans="11:11">
      <c r="K6060" s="164"/>
    </row>
    <row r="6061" spans="11:11">
      <c r="K6061" s="164"/>
    </row>
    <row r="6062" spans="11:11">
      <c r="K6062" s="164"/>
    </row>
    <row r="6063" spans="11:11">
      <c r="K6063" s="164"/>
    </row>
    <row r="6064" spans="11:11">
      <c r="K6064" s="164"/>
    </row>
    <row r="6065" spans="11:11">
      <c r="K6065" s="164"/>
    </row>
    <row r="6066" spans="11:11">
      <c r="K6066" s="164"/>
    </row>
    <row r="6067" spans="11:11">
      <c r="K6067" s="164"/>
    </row>
    <row r="6068" spans="11:11">
      <c r="K6068" s="164"/>
    </row>
    <row r="6069" spans="11:11">
      <c r="K6069" s="164"/>
    </row>
    <row r="6070" spans="11:11">
      <c r="K6070" s="164"/>
    </row>
    <row r="6071" spans="11:11">
      <c r="K6071" s="164"/>
    </row>
    <row r="6072" spans="11:11">
      <c r="K6072" s="164"/>
    </row>
    <row r="6073" spans="11:11">
      <c r="K6073" s="164"/>
    </row>
    <row r="6074" spans="11:11">
      <c r="K6074" s="164"/>
    </row>
    <row r="6075" spans="11:11">
      <c r="K6075" s="164"/>
    </row>
    <row r="6076" spans="11:11">
      <c r="K6076" s="164"/>
    </row>
    <row r="6077" spans="11:11">
      <c r="K6077" s="164"/>
    </row>
    <row r="6078" spans="11:11">
      <c r="K6078" s="164"/>
    </row>
    <row r="6079" spans="11:11">
      <c r="K6079" s="164"/>
    </row>
    <row r="6080" spans="11:11">
      <c r="K6080" s="164"/>
    </row>
    <row r="6081" spans="11:11">
      <c r="K6081" s="164"/>
    </row>
    <row r="6082" spans="11:11">
      <c r="K6082" s="164"/>
    </row>
    <row r="6083" spans="11:11">
      <c r="K6083" s="164"/>
    </row>
    <row r="6084" spans="11:11">
      <c r="K6084" s="164"/>
    </row>
    <row r="6085" spans="11:11">
      <c r="K6085" s="164"/>
    </row>
    <row r="6086" spans="11:11">
      <c r="K6086" s="164"/>
    </row>
    <row r="6087" spans="11:11">
      <c r="K6087" s="164"/>
    </row>
    <row r="6088" spans="11:11">
      <c r="K6088" s="164"/>
    </row>
    <row r="6089" spans="11:11">
      <c r="K6089" s="164"/>
    </row>
    <row r="6090" spans="11:11">
      <c r="K6090" s="164"/>
    </row>
    <row r="6091" spans="11:11">
      <c r="K6091" s="164"/>
    </row>
    <row r="6092" spans="11:11">
      <c r="K6092" s="164"/>
    </row>
    <row r="6093" spans="11:11">
      <c r="K6093" s="164"/>
    </row>
    <row r="6094" spans="11:11">
      <c r="K6094" s="164"/>
    </row>
    <row r="6095" spans="11:11">
      <c r="K6095" s="164"/>
    </row>
    <row r="6096" spans="11:11">
      <c r="K6096" s="164"/>
    </row>
    <row r="6097" spans="11:11">
      <c r="K6097" s="164"/>
    </row>
    <row r="6098" spans="11:11">
      <c r="K6098" s="164"/>
    </row>
    <row r="6099" spans="11:11">
      <c r="K6099" s="164"/>
    </row>
    <row r="6100" spans="11:11">
      <c r="K6100" s="164"/>
    </row>
    <row r="6101" spans="11:11">
      <c r="K6101" s="164"/>
    </row>
    <row r="6102" spans="11:11">
      <c r="K6102" s="164"/>
    </row>
    <row r="6103" spans="11:11">
      <c r="K6103" s="164"/>
    </row>
    <row r="6104" spans="11:11">
      <c r="K6104" s="164"/>
    </row>
    <row r="6105" spans="11:11">
      <c r="K6105" s="164"/>
    </row>
    <row r="6106" spans="11:11">
      <c r="K6106" s="164"/>
    </row>
    <row r="6107" spans="11:11">
      <c r="K6107" s="164"/>
    </row>
    <row r="6108" spans="11:11">
      <c r="K6108" s="164"/>
    </row>
    <row r="6109" spans="11:11">
      <c r="K6109" s="164"/>
    </row>
    <row r="6110" spans="11:11">
      <c r="K6110" s="164"/>
    </row>
    <row r="6111" spans="11:11">
      <c r="K6111" s="164"/>
    </row>
    <row r="6112" spans="11:11">
      <c r="K6112" s="164"/>
    </row>
    <row r="6113" spans="11:11">
      <c r="K6113" s="164"/>
    </row>
    <row r="6114" spans="11:11">
      <c r="K6114" s="164"/>
    </row>
    <row r="6115" spans="11:11">
      <c r="K6115" s="164"/>
    </row>
    <row r="6116" spans="11:11">
      <c r="K6116" s="164"/>
    </row>
    <row r="6117" spans="11:11">
      <c r="K6117" s="164"/>
    </row>
    <row r="6118" spans="11:11">
      <c r="K6118" s="164"/>
    </row>
    <row r="6119" spans="11:11">
      <c r="K6119" s="164"/>
    </row>
    <row r="6120" spans="11:11">
      <c r="K6120" s="164"/>
    </row>
    <row r="6121" spans="11:11">
      <c r="K6121" s="164"/>
    </row>
    <row r="6122" spans="11:11">
      <c r="K6122" s="164"/>
    </row>
    <row r="6123" spans="11:11">
      <c r="K6123" s="164"/>
    </row>
    <row r="6124" spans="11:11">
      <c r="K6124" s="164"/>
    </row>
    <row r="6125" spans="11:11">
      <c r="K6125" s="164"/>
    </row>
    <row r="6126" spans="11:11">
      <c r="K6126" s="164"/>
    </row>
    <row r="6127" spans="11:11">
      <c r="K6127" s="164"/>
    </row>
    <row r="6128" spans="11:11">
      <c r="K6128" s="164"/>
    </row>
    <row r="6129" spans="11:11">
      <c r="K6129" s="164"/>
    </row>
    <row r="6130" spans="11:11">
      <c r="K6130" s="164"/>
    </row>
    <row r="6131" spans="11:11">
      <c r="K6131" s="164"/>
    </row>
    <row r="6132" spans="11:11">
      <c r="K6132" s="164"/>
    </row>
    <row r="6133" spans="11:11">
      <c r="K6133" s="164"/>
    </row>
    <row r="6134" spans="11:11">
      <c r="K6134" s="164"/>
    </row>
    <row r="6135" spans="11:11">
      <c r="K6135" s="164"/>
    </row>
    <row r="6136" spans="11:11">
      <c r="K6136" s="164"/>
    </row>
    <row r="6137" spans="11:11">
      <c r="K6137" s="164"/>
    </row>
    <row r="6138" spans="11:11">
      <c r="K6138" s="164"/>
    </row>
    <row r="6139" spans="11:11">
      <c r="K6139" s="164"/>
    </row>
    <row r="6140" spans="11:11">
      <c r="K6140" s="164"/>
    </row>
    <row r="6141" spans="11:11">
      <c r="K6141" s="164"/>
    </row>
    <row r="6142" spans="11:11">
      <c r="K6142" s="164"/>
    </row>
    <row r="6143" spans="11:11">
      <c r="K6143" s="164"/>
    </row>
    <row r="6144" spans="11:11">
      <c r="K6144" s="164"/>
    </row>
    <row r="6145" spans="11:11">
      <c r="K6145" s="164"/>
    </row>
    <row r="6146" spans="11:11">
      <c r="K6146" s="164"/>
    </row>
    <row r="6147" spans="11:11">
      <c r="K6147" s="164"/>
    </row>
    <row r="6148" spans="11:11">
      <c r="K6148" s="164"/>
    </row>
    <row r="6149" spans="11:11">
      <c r="K6149" s="164"/>
    </row>
    <row r="6150" spans="11:11">
      <c r="K6150" s="164"/>
    </row>
    <row r="6151" spans="11:11">
      <c r="K6151" s="164"/>
    </row>
    <row r="6152" spans="11:11">
      <c r="K6152" s="164"/>
    </row>
    <row r="6153" spans="11:11">
      <c r="K6153" s="164"/>
    </row>
    <row r="6154" spans="11:11">
      <c r="K6154" s="164"/>
    </row>
    <row r="6155" spans="11:11">
      <c r="K6155" s="164"/>
    </row>
    <row r="6156" spans="11:11">
      <c r="K6156" s="164"/>
    </row>
    <row r="6157" spans="11:11">
      <c r="K6157" s="164"/>
    </row>
    <row r="6158" spans="11:11">
      <c r="K6158" s="164"/>
    </row>
    <row r="6159" spans="11:11">
      <c r="K6159" s="164"/>
    </row>
    <row r="6160" spans="11:11">
      <c r="K6160" s="164"/>
    </row>
    <row r="6161" spans="11:11">
      <c r="K6161" s="164"/>
    </row>
    <row r="6162" spans="11:11">
      <c r="K6162" s="164"/>
    </row>
    <row r="6163" spans="11:11">
      <c r="K6163" s="164"/>
    </row>
    <row r="6164" spans="11:11">
      <c r="K6164" s="164"/>
    </row>
    <row r="6165" spans="11:11">
      <c r="K6165" s="164"/>
    </row>
    <row r="6166" spans="11:11">
      <c r="K6166" s="164"/>
    </row>
    <row r="6167" spans="11:11">
      <c r="K6167" s="164"/>
    </row>
    <row r="6168" spans="11:11">
      <c r="K6168" s="164"/>
    </row>
    <row r="6169" spans="11:11">
      <c r="K6169" s="164"/>
    </row>
    <row r="6170" spans="11:11">
      <c r="K6170" s="164"/>
    </row>
    <row r="6171" spans="11:11">
      <c r="K6171" s="164"/>
    </row>
    <row r="6172" spans="11:11">
      <c r="K6172" s="164"/>
    </row>
    <row r="6173" spans="11:11">
      <c r="K6173" s="164"/>
    </row>
    <row r="6174" spans="11:11">
      <c r="K6174" s="164"/>
    </row>
    <row r="6175" spans="11:11">
      <c r="K6175" s="164"/>
    </row>
    <row r="6176" spans="11:11">
      <c r="K6176" s="164"/>
    </row>
    <row r="6177" spans="11:11">
      <c r="K6177" s="164"/>
    </row>
    <row r="6178" spans="11:11">
      <c r="K6178" s="164"/>
    </row>
    <row r="6179" spans="11:11">
      <c r="K6179" s="164"/>
    </row>
    <row r="6180" spans="11:11">
      <c r="K6180" s="164"/>
    </row>
    <row r="6181" spans="11:11">
      <c r="K6181" s="164"/>
    </row>
    <row r="6182" spans="11:11">
      <c r="K6182" s="164"/>
    </row>
    <row r="6183" spans="11:11">
      <c r="K6183" s="164"/>
    </row>
    <row r="6184" spans="11:11">
      <c r="K6184" s="164"/>
    </row>
    <row r="6185" spans="11:11">
      <c r="K6185" s="164"/>
    </row>
    <row r="6186" spans="11:11">
      <c r="K6186" s="164"/>
    </row>
    <row r="6187" spans="11:11">
      <c r="K6187" s="164"/>
    </row>
    <row r="6188" spans="11:11">
      <c r="K6188" s="164"/>
    </row>
    <row r="6189" spans="11:11">
      <c r="K6189" s="164"/>
    </row>
    <row r="6190" spans="11:11">
      <c r="K6190" s="164"/>
    </row>
    <row r="6191" spans="11:11">
      <c r="K6191" s="164"/>
    </row>
    <row r="6192" spans="11:11">
      <c r="K6192" s="164"/>
    </row>
    <row r="6193" spans="11:11">
      <c r="K6193" s="164"/>
    </row>
    <row r="6194" spans="11:11">
      <c r="K6194" s="164"/>
    </row>
    <row r="6195" spans="11:11">
      <c r="K6195" s="164"/>
    </row>
    <row r="6196" spans="11:11">
      <c r="K6196" s="164"/>
    </row>
    <row r="6197" spans="11:11">
      <c r="K6197" s="164"/>
    </row>
    <row r="6198" spans="11:11">
      <c r="K6198" s="164"/>
    </row>
    <row r="6199" spans="11:11">
      <c r="K6199" s="164"/>
    </row>
    <row r="6200" spans="11:11">
      <c r="K6200" s="164"/>
    </row>
    <row r="6201" spans="11:11">
      <c r="K6201" s="164"/>
    </row>
    <row r="6202" spans="11:11">
      <c r="K6202" s="164"/>
    </row>
    <row r="6203" spans="11:11">
      <c r="K6203" s="164"/>
    </row>
    <row r="6204" spans="11:11">
      <c r="K6204" s="164"/>
    </row>
    <row r="6205" spans="11:11">
      <c r="K6205" s="164"/>
    </row>
    <row r="6206" spans="11:11">
      <c r="K6206" s="164"/>
    </row>
    <row r="6207" spans="11:11">
      <c r="K6207" s="164"/>
    </row>
    <row r="6208" spans="11:11">
      <c r="K6208" s="164"/>
    </row>
    <row r="6209" spans="11:11">
      <c r="K6209" s="164"/>
    </row>
    <row r="6210" spans="11:11">
      <c r="K6210" s="164"/>
    </row>
    <row r="6211" spans="11:11">
      <c r="K6211" s="164"/>
    </row>
    <row r="6212" spans="11:11">
      <c r="K6212" s="164"/>
    </row>
    <row r="6213" spans="11:11">
      <c r="K6213" s="164"/>
    </row>
    <row r="6214" spans="11:11">
      <c r="K6214" s="164"/>
    </row>
    <row r="6215" spans="11:11">
      <c r="K6215" s="164"/>
    </row>
    <row r="6216" spans="11:11">
      <c r="K6216" s="164"/>
    </row>
    <row r="6217" spans="11:11">
      <c r="K6217" s="164"/>
    </row>
    <row r="6218" spans="11:11">
      <c r="K6218" s="164"/>
    </row>
    <row r="6219" spans="11:11">
      <c r="K6219" s="164"/>
    </row>
    <row r="6220" spans="11:11">
      <c r="K6220" s="164"/>
    </row>
    <row r="6221" spans="11:11">
      <c r="K6221" s="164"/>
    </row>
    <row r="6222" spans="11:11">
      <c r="K6222" s="164"/>
    </row>
    <row r="6223" spans="11:11">
      <c r="K6223" s="164"/>
    </row>
    <row r="6224" spans="11:11">
      <c r="K6224" s="164"/>
    </row>
    <row r="6225" spans="11:11">
      <c r="K6225" s="164"/>
    </row>
    <row r="6226" spans="11:11">
      <c r="K6226" s="164"/>
    </row>
    <row r="6227" spans="11:11">
      <c r="K6227" s="164"/>
    </row>
    <row r="6228" spans="11:11">
      <c r="K6228" s="164"/>
    </row>
    <row r="6229" spans="11:11">
      <c r="K6229" s="164"/>
    </row>
    <row r="6230" spans="11:11">
      <c r="K6230" s="164"/>
    </row>
    <row r="6231" spans="11:11">
      <c r="K6231" s="164"/>
    </row>
    <row r="6232" spans="11:11">
      <c r="K6232" s="164"/>
    </row>
    <row r="6233" spans="11:11">
      <c r="K6233" s="164"/>
    </row>
    <row r="6234" spans="11:11">
      <c r="K6234" s="164"/>
    </row>
    <row r="6235" spans="11:11">
      <c r="K6235" s="164"/>
    </row>
    <row r="6236" spans="11:11">
      <c r="K6236" s="164"/>
    </row>
    <row r="6237" spans="11:11">
      <c r="K6237" s="164"/>
    </row>
    <row r="6238" spans="11:11">
      <c r="K6238" s="164"/>
    </row>
    <row r="6239" spans="11:11">
      <c r="K6239" s="164"/>
    </row>
    <row r="6240" spans="11:11">
      <c r="K6240" s="164"/>
    </row>
    <row r="6241" spans="11:11">
      <c r="K6241" s="164"/>
    </row>
    <row r="6242" spans="11:11">
      <c r="K6242" s="164"/>
    </row>
    <row r="6243" spans="11:11">
      <c r="K6243" s="164"/>
    </row>
    <row r="6244" spans="11:11">
      <c r="K6244" s="164"/>
    </row>
    <row r="6245" spans="11:11">
      <c r="K6245" s="164"/>
    </row>
    <row r="6246" spans="11:11">
      <c r="K6246" s="164"/>
    </row>
    <row r="6247" spans="11:11">
      <c r="K6247" s="164"/>
    </row>
    <row r="6248" spans="11:11">
      <c r="K6248" s="164"/>
    </row>
    <row r="6249" spans="11:11">
      <c r="K6249" s="164"/>
    </row>
    <row r="6250" spans="11:11">
      <c r="K6250" s="164"/>
    </row>
    <row r="6251" spans="11:11">
      <c r="K6251" s="164"/>
    </row>
    <row r="6252" spans="11:11">
      <c r="K6252" s="164"/>
    </row>
    <row r="6253" spans="11:11">
      <c r="K6253" s="164"/>
    </row>
    <row r="6254" spans="11:11">
      <c r="K6254" s="164"/>
    </row>
    <row r="6255" spans="11:11">
      <c r="K6255" s="164"/>
    </row>
    <row r="6256" spans="11:11">
      <c r="K6256" s="164"/>
    </row>
    <row r="6257" spans="11:11">
      <c r="K6257" s="164"/>
    </row>
    <row r="6258" spans="11:11">
      <c r="K6258" s="164"/>
    </row>
    <row r="6259" spans="11:11">
      <c r="K6259" s="164"/>
    </row>
    <row r="6260" spans="11:11">
      <c r="K6260" s="164"/>
    </row>
    <row r="6261" spans="11:11">
      <c r="K6261" s="164"/>
    </row>
    <row r="6262" spans="11:11">
      <c r="K6262" s="164"/>
    </row>
    <row r="6263" spans="11:11">
      <c r="K6263" s="164"/>
    </row>
    <row r="6264" spans="11:11">
      <c r="K6264" s="164"/>
    </row>
    <row r="6265" spans="11:11">
      <c r="K6265" s="164"/>
    </row>
    <row r="6266" spans="11:11">
      <c r="K6266" s="164"/>
    </row>
    <row r="6267" spans="11:11">
      <c r="K6267" s="164"/>
    </row>
    <row r="6268" spans="11:11">
      <c r="K6268" s="164"/>
    </row>
    <row r="6269" spans="11:11">
      <c r="K6269" s="164"/>
    </row>
    <row r="6270" spans="11:11">
      <c r="K6270" s="164"/>
    </row>
    <row r="6271" spans="11:11">
      <c r="K6271" s="164"/>
    </row>
    <row r="6272" spans="11:11">
      <c r="K6272" s="164"/>
    </row>
    <row r="6273" spans="11:11">
      <c r="K6273" s="164"/>
    </row>
    <row r="6274" spans="11:11">
      <c r="K6274" s="164"/>
    </row>
    <row r="6275" spans="11:11">
      <c r="K6275" s="164"/>
    </row>
    <row r="6276" spans="11:11">
      <c r="K6276" s="164"/>
    </row>
    <row r="6277" spans="11:11">
      <c r="K6277" s="164"/>
    </row>
    <row r="6278" spans="11:11">
      <c r="K6278" s="164"/>
    </row>
    <row r="6279" spans="11:11">
      <c r="K6279" s="164"/>
    </row>
    <row r="6280" spans="11:11">
      <c r="K6280" s="164"/>
    </row>
    <row r="6281" spans="11:11">
      <c r="K6281" s="164"/>
    </row>
    <row r="6282" spans="11:11">
      <c r="K6282" s="164"/>
    </row>
    <row r="6283" spans="11:11">
      <c r="K6283" s="164"/>
    </row>
    <row r="6284" spans="11:11">
      <c r="K6284" s="164"/>
    </row>
    <row r="6285" spans="11:11">
      <c r="K6285" s="164"/>
    </row>
    <row r="6286" spans="11:11">
      <c r="K6286" s="164"/>
    </row>
    <row r="6287" spans="11:11">
      <c r="K6287" s="164"/>
    </row>
    <row r="6288" spans="11:11">
      <c r="K6288" s="164"/>
    </row>
    <row r="6289" spans="11:11">
      <c r="K6289" s="164"/>
    </row>
    <row r="6290" spans="11:11">
      <c r="K6290" s="164"/>
    </row>
    <row r="6291" spans="11:11">
      <c r="K6291" s="164"/>
    </row>
    <row r="6292" spans="11:11">
      <c r="K6292" s="164"/>
    </row>
    <row r="6293" spans="11:11">
      <c r="K6293" s="164"/>
    </row>
    <row r="6294" spans="11:11">
      <c r="K6294" s="164"/>
    </row>
    <row r="6295" spans="11:11">
      <c r="K6295" s="164"/>
    </row>
    <row r="6296" spans="11:11">
      <c r="K6296" s="164"/>
    </row>
    <row r="6297" spans="11:11">
      <c r="K6297" s="164"/>
    </row>
    <row r="6298" spans="11:11">
      <c r="K6298" s="164"/>
    </row>
    <row r="6299" spans="11:11">
      <c r="K6299" s="164"/>
    </row>
    <row r="6300" spans="11:11">
      <c r="K6300" s="164"/>
    </row>
    <row r="6301" spans="11:11">
      <c r="K6301" s="164"/>
    </row>
    <row r="6302" spans="11:11">
      <c r="K6302" s="164"/>
    </row>
    <row r="6303" spans="11:11">
      <c r="K6303" s="164"/>
    </row>
    <row r="6304" spans="11:11">
      <c r="K6304" s="164"/>
    </row>
    <row r="6305" spans="11:11">
      <c r="K6305" s="164"/>
    </row>
    <row r="6306" spans="11:11">
      <c r="K6306" s="164"/>
    </row>
    <row r="6307" spans="11:11">
      <c r="K6307" s="164"/>
    </row>
    <row r="6308" spans="11:11">
      <c r="K6308" s="164"/>
    </row>
    <row r="6309" spans="11:11">
      <c r="K6309" s="164"/>
    </row>
    <row r="6310" spans="11:11">
      <c r="K6310" s="164"/>
    </row>
    <row r="6311" spans="11:11">
      <c r="K6311" s="164"/>
    </row>
    <row r="6312" spans="11:11">
      <c r="K6312" s="164"/>
    </row>
    <row r="6313" spans="11:11">
      <c r="K6313" s="164"/>
    </row>
    <row r="6314" spans="11:11">
      <c r="K6314" s="164"/>
    </row>
    <row r="6315" spans="11:11">
      <c r="K6315" s="164"/>
    </row>
    <row r="6316" spans="11:11">
      <c r="K6316" s="164"/>
    </row>
    <row r="6317" spans="11:11">
      <c r="K6317" s="164"/>
    </row>
    <row r="6318" spans="11:11">
      <c r="K6318" s="164"/>
    </row>
    <row r="6319" spans="11:11">
      <c r="K6319" s="164"/>
    </row>
    <row r="6320" spans="11:11">
      <c r="K6320" s="164"/>
    </row>
    <row r="6321" spans="11:11">
      <c r="K6321" s="164"/>
    </row>
    <row r="6322" spans="11:11">
      <c r="K6322" s="164"/>
    </row>
    <row r="6323" spans="11:11">
      <c r="K6323" s="164"/>
    </row>
    <row r="6324" spans="11:11">
      <c r="K6324" s="164"/>
    </row>
    <row r="6325" spans="11:11">
      <c r="K6325" s="164"/>
    </row>
    <row r="6326" spans="11:11">
      <c r="K6326" s="164"/>
    </row>
    <row r="6327" spans="11:11">
      <c r="K6327" s="164"/>
    </row>
    <row r="6328" spans="11:11">
      <c r="K6328" s="164"/>
    </row>
    <row r="6329" spans="11:11">
      <c r="K6329" s="164"/>
    </row>
    <row r="6330" spans="11:11">
      <c r="K6330" s="164"/>
    </row>
    <row r="6331" spans="11:11">
      <c r="K6331" s="164"/>
    </row>
    <row r="6332" spans="11:11">
      <c r="K6332" s="164"/>
    </row>
    <row r="6333" spans="11:11">
      <c r="K6333" s="164"/>
    </row>
    <row r="6334" spans="11:11">
      <c r="K6334" s="164"/>
    </row>
    <row r="6335" spans="11:11">
      <c r="K6335" s="164"/>
    </row>
    <row r="6336" spans="11:11">
      <c r="K6336" s="164"/>
    </row>
    <row r="6337" spans="11:11">
      <c r="K6337" s="164"/>
    </row>
    <row r="6338" spans="11:11">
      <c r="K6338" s="164"/>
    </row>
    <row r="6339" spans="11:11">
      <c r="K6339" s="164"/>
    </row>
    <row r="6340" spans="11:11">
      <c r="K6340" s="164"/>
    </row>
    <row r="6341" spans="11:11">
      <c r="K6341" s="164"/>
    </row>
    <row r="6342" spans="11:11">
      <c r="K6342" s="164"/>
    </row>
    <row r="6343" spans="11:11">
      <c r="K6343" s="164"/>
    </row>
    <row r="6344" spans="11:11">
      <c r="K6344" s="164"/>
    </row>
    <row r="6345" spans="11:11">
      <c r="K6345" s="164"/>
    </row>
    <row r="6346" spans="11:11">
      <c r="K6346" s="164"/>
    </row>
    <row r="6347" spans="11:11">
      <c r="K6347" s="164"/>
    </row>
    <row r="6348" spans="11:11">
      <c r="K6348" s="164"/>
    </row>
    <row r="6349" spans="11:11">
      <c r="K6349" s="164"/>
    </row>
    <row r="6350" spans="11:11">
      <c r="K6350" s="164"/>
    </row>
    <row r="6351" spans="11:11">
      <c r="K6351" s="164"/>
    </row>
    <row r="6352" spans="11:11">
      <c r="K6352" s="164"/>
    </row>
    <row r="6353" spans="11:11">
      <c r="K6353" s="164"/>
    </row>
    <row r="6354" spans="11:11">
      <c r="K6354" s="164"/>
    </row>
    <row r="6355" spans="11:11">
      <c r="K6355" s="164"/>
    </row>
    <row r="6356" spans="11:11">
      <c r="K6356" s="164"/>
    </row>
    <row r="6357" spans="11:11">
      <c r="K6357" s="164"/>
    </row>
    <row r="6358" spans="11:11">
      <c r="K6358" s="164"/>
    </row>
    <row r="6359" spans="11:11">
      <c r="K6359" s="164"/>
    </row>
    <row r="6360" spans="11:11">
      <c r="K6360" s="164"/>
    </row>
    <row r="6361" spans="11:11">
      <c r="K6361" s="164"/>
    </row>
    <row r="6362" spans="11:11">
      <c r="K6362" s="164"/>
    </row>
    <row r="6363" spans="11:11">
      <c r="K6363" s="164"/>
    </row>
    <row r="6364" spans="11:11">
      <c r="K6364" s="164"/>
    </row>
    <row r="6365" spans="11:11">
      <c r="K6365" s="164"/>
    </row>
    <row r="6366" spans="11:11">
      <c r="K6366" s="164"/>
    </row>
    <row r="6367" spans="11:11">
      <c r="K6367" s="164"/>
    </row>
    <row r="6368" spans="11:11">
      <c r="K6368" s="164"/>
    </row>
    <row r="6369" spans="11:11">
      <c r="K6369" s="164"/>
    </row>
    <row r="6370" spans="11:11">
      <c r="K6370" s="164"/>
    </row>
    <row r="6371" spans="11:11">
      <c r="K6371" s="164"/>
    </row>
    <row r="6372" spans="11:11">
      <c r="K6372" s="164"/>
    </row>
    <row r="6373" spans="11:11">
      <c r="K6373" s="164"/>
    </row>
    <row r="6374" spans="11:11">
      <c r="K6374" s="164"/>
    </row>
    <row r="6375" spans="11:11">
      <c r="K6375" s="164"/>
    </row>
    <row r="6376" spans="11:11">
      <c r="K6376" s="164"/>
    </row>
    <row r="6377" spans="11:11">
      <c r="K6377" s="164"/>
    </row>
    <row r="6378" spans="11:11">
      <c r="K6378" s="164"/>
    </row>
    <row r="6379" spans="11:11">
      <c r="K6379" s="164"/>
    </row>
    <row r="6380" spans="11:11">
      <c r="K6380" s="164"/>
    </row>
    <row r="6381" spans="11:11">
      <c r="K6381" s="164"/>
    </row>
    <row r="6382" spans="11:11">
      <c r="K6382" s="164"/>
    </row>
    <row r="6383" spans="11:11">
      <c r="K6383" s="164"/>
    </row>
    <row r="6384" spans="11:11">
      <c r="K6384" s="164"/>
    </row>
    <row r="6385" spans="11:11">
      <c r="K6385" s="164"/>
    </row>
    <row r="6386" spans="11:11">
      <c r="K6386" s="164"/>
    </row>
    <row r="6387" spans="11:11">
      <c r="K6387" s="164"/>
    </row>
    <row r="6388" spans="11:11">
      <c r="K6388" s="164"/>
    </row>
    <row r="6389" spans="11:11">
      <c r="K6389" s="164"/>
    </row>
    <row r="6390" spans="11:11">
      <c r="K6390" s="164"/>
    </row>
    <row r="6391" spans="11:11">
      <c r="K6391" s="164"/>
    </row>
    <row r="6392" spans="11:11">
      <c r="K6392" s="164"/>
    </row>
    <row r="6393" spans="11:11">
      <c r="K6393" s="164"/>
    </row>
    <row r="6394" spans="11:11">
      <c r="K6394" s="164"/>
    </row>
    <row r="6395" spans="11:11">
      <c r="K6395" s="164"/>
    </row>
    <row r="6396" spans="11:11">
      <c r="K6396" s="164"/>
    </row>
    <row r="6397" spans="11:11">
      <c r="K6397" s="164"/>
    </row>
    <row r="6398" spans="11:11">
      <c r="K6398" s="164"/>
    </row>
    <row r="6399" spans="11:11">
      <c r="K6399" s="164"/>
    </row>
    <row r="6400" spans="11:11">
      <c r="K6400" s="164"/>
    </row>
    <row r="6401" spans="11:11">
      <c r="K6401" s="164"/>
    </row>
    <row r="6402" spans="11:11">
      <c r="K6402" s="164"/>
    </row>
    <row r="6403" spans="11:11">
      <c r="K6403" s="164"/>
    </row>
    <row r="6404" spans="11:11">
      <c r="K6404" s="164"/>
    </row>
    <row r="6405" spans="11:11">
      <c r="K6405" s="164"/>
    </row>
    <row r="6406" spans="11:11">
      <c r="K6406" s="164"/>
    </row>
    <row r="6407" spans="11:11">
      <c r="K6407" s="164"/>
    </row>
    <row r="6408" spans="11:11">
      <c r="K6408" s="164"/>
    </row>
    <row r="6409" spans="11:11">
      <c r="K6409" s="164"/>
    </row>
    <row r="6410" spans="11:11">
      <c r="K6410" s="164"/>
    </row>
    <row r="6411" spans="11:11">
      <c r="K6411" s="164"/>
    </row>
    <row r="6412" spans="11:11">
      <c r="K6412" s="164"/>
    </row>
    <row r="6413" spans="11:11">
      <c r="K6413" s="164"/>
    </row>
    <row r="6414" spans="11:11">
      <c r="K6414" s="164"/>
    </row>
    <row r="6415" spans="11:11">
      <c r="K6415" s="164"/>
    </row>
    <row r="6416" spans="11:11">
      <c r="K6416" s="164"/>
    </row>
    <row r="6417" spans="11:11">
      <c r="K6417" s="164"/>
    </row>
    <row r="6418" spans="11:11">
      <c r="K6418" s="164"/>
    </row>
    <row r="6419" spans="11:11">
      <c r="K6419" s="164"/>
    </row>
    <row r="6420" spans="11:11">
      <c r="K6420" s="164"/>
    </row>
    <row r="6421" spans="11:11">
      <c r="K6421" s="164"/>
    </row>
    <row r="6422" spans="11:11">
      <c r="K6422" s="164"/>
    </row>
    <row r="6423" spans="11:11">
      <c r="K6423" s="164"/>
    </row>
    <row r="6424" spans="11:11">
      <c r="K6424" s="164"/>
    </row>
    <row r="6425" spans="11:11">
      <c r="K6425" s="164"/>
    </row>
    <row r="6426" spans="11:11">
      <c r="K6426" s="164"/>
    </row>
    <row r="6427" spans="11:11">
      <c r="K6427" s="164"/>
    </row>
    <row r="6428" spans="11:11">
      <c r="K6428" s="164"/>
    </row>
    <row r="6429" spans="11:11">
      <c r="K6429" s="164"/>
    </row>
    <row r="6430" spans="11:11">
      <c r="K6430" s="164"/>
    </row>
    <row r="6431" spans="11:11">
      <c r="K6431" s="164"/>
    </row>
    <row r="6432" spans="11:11">
      <c r="K6432" s="164"/>
    </row>
    <row r="6433" spans="11:11">
      <c r="K6433" s="164"/>
    </row>
    <row r="6434" spans="11:11">
      <c r="K6434" s="164"/>
    </row>
    <row r="6435" spans="11:11">
      <c r="K6435" s="164"/>
    </row>
    <row r="6436" spans="11:11">
      <c r="K6436" s="164"/>
    </row>
    <row r="6437" spans="11:11">
      <c r="K6437" s="164"/>
    </row>
    <row r="6438" spans="11:11">
      <c r="K6438" s="164"/>
    </row>
    <row r="6439" spans="11:11">
      <c r="K6439" s="164"/>
    </row>
    <row r="6440" spans="11:11">
      <c r="K6440" s="164"/>
    </row>
    <row r="6441" spans="11:11">
      <c r="K6441" s="164"/>
    </row>
    <row r="6442" spans="11:11">
      <c r="K6442" s="164"/>
    </row>
    <row r="6443" spans="11:11">
      <c r="K6443" s="164"/>
    </row>
    <row r="6444" spans="11:11">
      <c r="K6444" s="164"/>
    </row>
    <row r="6445" spans="11:11">
      <c r="K6445" s="164"/>
    </row>
    <row r="6446" spans="11:11">
      <c r="K6446" s="164"/>
    </row>
    <row r="6447" spans="11:11">
      <c r="K6447" s="164"/>
    </row>
    <row r="6448" spans="11:11">
      <c r="K6448" s="164"/>
    </row>
    <row r="6449" spans="11:11">
      <c r="K6449" s="164"/>
    </row>
    <row r="6450" spans="11:11">
      <c r="K6450" s="164"/>
    </row>
    <row r="6451" spans="11:11">
      <c r="K6451" s="164"/>
    </row>
    <row r="6452" spans="11:11">
      <c r="K6452" s="164"/>
    </row>
    <row r="6453" spans="11:11">
      <c r="K6453" s="164"/>
    </row>
    <row r="6454" spans="11:11">
      <c r="K6454" s="164"/>
    </row>
    <row r="6455" spans="11:11">
      <c r="K6455" s="164"/>
    </row>
    <row r="6456" spans="11:11">
      <c r="K6456" s="164"/>
    </row>
    <row r="6457" spans="11:11">
      <c r="K6457" s="164"/>
    </row>
    <row r="6458" spans="11:11">
      <c r="K6458" s="164"/>
    </row>
    <row r="6459" spans="11:11">
      <c r="K6459" s="164"/>
    </row>
    <row r="6460" spans="11:11">
      <c r="K6460" s="164"/>
    </row>
    <row r="6461" spans="11:11">
      <c r="K6461" s="164"/>
    </row>
    <row r="6462" spans="11:11">
      <c r="K6462" s="164"/>
    </row>
    <row r="6463" spans="11:11">
      <c r="K6463" s="164"/>
    </row>
    <row r="6464" spans="11:11">
      <c r="K6464" s="164"/>
    </row>
    <row r="6465" spans="11:11">
      <c r="K6465" s="164"/>
    </row>
    <row r="6466" spans="11:11">
      <c r="K6466" s="164"/>
    </row>
    <row r="6467" spans="11:11">
      <c r="K6467" s="164"/>
    </row>
    <row r="6468" spans="11:11">
      <c r="K6468" s="164"/>
    </row>
    <row r="6469" spans="11:11">
      <c r="K6469" s="164"/>
    </row>
    <row r="6470" spans="11:11">
      <c r="K6470" s="164"/>
    </row>
    <row r="6471" spans="11:11">
      <c r="K6471" s="164"/>
    </row>
    <row r="6472" spans="11:11">
      <c r="K6472" s="164"/>
    </row>
    <row r="6473" spans="11:11">
      <c r="K6473" s="164"/>
    </row>
    <row r="6474" spans="11:11">
      <c r="K6474" s="164"/>
    </row>
    <row r="6475" spans="11:11">
      <c r="K6475" s="164"/>
    </row>
    <row r="6476" spans="11:11">
      <c r="K6476" s="164"/>
    </row>
    <row r="6477" spans="11:11">
      <c r="K6477" s="164"/>
    </row>
    <row r="6478" spans="11:11">
      <c r="K6478" s="164"/>
    </row>
    <row r="6479" spans="11:11">
      <c r="K6479" s="164"/>
    </row>
    <row r="6480" spans="11:11">
      <c r="K6480" s="164"/>
    </row>
    <row r="6481" spans="11:11">
      <c r="K6481" s="164"/>
    </row>
    <row r="6482" spans="11:11">
      <c r="K6482" s="164"/>
    </row>
    <row r="6483" spans="11:11">
      <c r="K6483" s="164"/>
    </row>
    <row r="6484" spans="11:11">
      <c r="K6484" s="164"/>
    </row>
    <row r="6485" spans="11:11">
      <c r="K6485" s="164"/>
    </row>
    <row r="6486" spans="11:11">
      <c r="K6486" s="164"/>
    </row>
    <row r="6487" spans="11:11">
      <c r="K6487" s="164"/>
    </row>
    <row r="6488" spans="11:11">
      <c r="K6488" s="164"/>
    </row>
    <row r="6489" spans="11:11">
      <c r="K6489" s="164"/>
    </row>
    <row r="6490" spans="11:11">
      <c r="K6490" s="164"/>
    </row>
    <row r="6491" spans="11:11">
      <c r="K6491" s="164"/>
    </row>
    <row r="6492" spans="11:11">
      <c r="K6492" s="164"/>
    </row>
    <row r="6493" spans="11:11">
      <c r="K6493" s="164"/>
    </row>
    <row r="6494" spans="11:11">
      <c r="K6494" s="164"/>
    </row>
    <row r="6495" spans="11:11">
      <c r="K6495" s="164"/>
    </row>
    <row r="6496" spans="11:11">
      <c r="K6496" s="164"/>
    </row>
    <row r="6497" spans="11:11">
      <c r="K6497" s="164"/>
    </row>
    <row r="6498" spans="11:11">
      <c r="K6498" s="164"/>
    </row>
    <row r="6499" spans="11:11">
      <c r="K6499" s="164"/>
    </row>
    <row r="6500" spans="11:11">
      <c r="K6500" s="164"/>
    </row>
    <row r="6501" spans="11:11">
      <c r="K6501" s="164"/>
    </row>
    <row r="6502" spans="11:11">
      <c r="K6502" s="164"/>
    </row>
    <row r="6503" spans="11:11">
      <c r="K6503" s="164"/>
    </row>
    <row r="6504" spans="11:11">
      <c r="K6504" s="164"/>
    </row>
    <row r="6505" spans="11:11">
      <c r="K6505" s="164"/>
    </row>
    <row r="6506" spans="11:11">
      <c r="K6506" s="164"/>
    </row>
    <row r="6507" spans="11:11">
      <c r="K6507" s="164"/>
    </row>
    <row r="6508" spans="11:11">
      <c r="K6508" s="164"/>
    </row>
    <row r="6509" spans="11:11">
      <c r="K6509" s="164"/>
    </row>
    <row r="6510" spans="11:11">
      <c r="K6510" s="164"/>
    </row>
    <row r="6511" spans="11:11">
      <c r="K6511" s="164"/>
    </row>
    <row r="6512" spans="11:11">
      <c r="K6512" s="164"/>
    </row>
    <row r="6513" spans="11:11">
      <c r="K6513" s="164"/>
    </row>
    <row r="6514" spans="11:11">
      <c r="K6514" s="164"/>
    </row>
    <row r="6515" spans="11:11">
      <c r="K6515" s="164"/>
    </row>
    <row r="6516" spans="11:11">
      <c r="K6516" s="164"/>
    </row>
    <row r="6517" spans="11:11">
      <c r="K6517" s="164"/>
    </row>
    <row r="6518" spans="11:11">
      <c r="K6518" s="164"/>
    </row>
    <row r="6519" spans="11:11">
      <c r="K6519" s="164"/>
    </row>
    <row r="6520" spans="11:11">
      <c r="K6520" s="164"/>
    </row>
    <row r="6521" spans="11:11">
      <c r="K6521" s="164"/>
    </row>
    <row r="6522" spans="11:11">
      <c r="K6522" s="164"/>
    </row>
    <row r="6523" spans="11:11">
      <c r="K6523" s="164"/>
    </row>
    <row r="6524" spans="11:11">
      <c r="K6524" s="164"/>
    </row>
    <row r="6525" spans="11:11">
      <c r="K6525" s="164"/>
    </row>
    <row r="6526" spans="11:11">
      <c r="K6526" s="164"/>
    </row>
    <row r="6527" spans="11:11">
      <c r="K6527" s="164"/>
    </row>
    <row r="6528" spans="11:11">
      <c r="K6528" s="164"/>
    </row>
    <row r="6529" spans="11:11">
      <c r="K6529" s="164"/>
    </row>
    <row r="6530" spans="11:11">
      <c r="K6530" s="164"/>
    </row>
    <row r="6531" spans="11:11">
      <c r="K6531" s="164"/>
    </row>
    <row r="6532" spans="11:11">
      <c r="K6532" s="164"/>
    </row>
    <row r="6533" spans="11:11">
      <c r="K6533" s="164"/>
    </row>
    <row r="6534" spans="11:11">
      <c r="K6534" s="164"/>
    </row>
    <row r="6535" spans="11:11">
      <c r="K6535" s="164"/>
    </row>
    <row r="6536" spans="11:11">
      <c r="K6536" s="164"/>
    </row>
    <row r="6537" spans="11:11">
      <c r="K6537" s="164"/>
    </row>
    <row r="6538" spans="11:11">
      <c r="K6538" s="164"/>
    </row>
    <row r="6539" spans="11:11">
      <c r="K6539" s="164"/>
    </row>
    <row r="6540" spans="11:11">
      <c r="K6540" s="164"/>
    </row>
    <row r="6541" spans="11:11">
      <c r="K6541" s="164"/>
    </row>
    <row r="6542" spans="11:11">
      <c r="K6542" s="164"/>
    </row>
    <row r="6543" spans="11:11">
      <c r="K6543" s="164"/>
    </row>
    <row r="6544" spans="11:11">
      <c r="K6544" s="164"/>
    </row>
    <row r="6545" spans="11:11">
      <c r="K6545" s="164"/>
    </row>
    <row r="6546" spans="11:11">
      <c r="K6546" s="164"/>
    </row>
    <row r="6547" spans="11:11">
      <c r="K6547" s="164"/>
    </row>
    <row r="6548" spans="11:11">
      <c r="K6548" s="164"/>
    </row>
    <row r="6549" spans="11:11">
      <c r="K6549" s="164"/>
    </row>
    <row r="6550" spans="11:11">
      <c r="K6550" s="164"/>
    </row>
    <row r="6551" spans="11:11">
      <c r="K6551" s="164"/>
    </row>
    <row r="6552" spans="11:11">
      <c r="K6552" s="164"/>
    </row>
    <row r="6553" spans="11:11">
      <c r="K6553" s="164"/>
    </row>
    <row r="6554" spans="11:11">
      <c r="K6554" s="164"/>
    </row>
    <row r="6555" spans="11:11">
      <c r="K6555" s="164"/>
    </row>
    <row r="6556" spans="11:11">
      <c r="K6556" s="164"/>
    </row>
    <row r="6557" spans="11:11">
      <c r="K6557" s="164"/>
    </row>
    <row r="6558" spans="11:11">
      <c r="K6558" s="164"/>
    </row>
    <row r="6559" spans="11:11">
      <c r="K6559" s="164"/>
    </row>
    <row r="6560" spans="11:11">
      <c r="K6560" s="164"/>
    </row>
    <row r="6561" spans="11:11">
      <c r="K6561" s="164"/>
    </row>
    <row r="6562" spans="11:11">
      <c r="K6562" s="164"/>
    </row>
    <row r="6563" spans="11:11">
      <c r="K6563" s="164"/>
    </row>
    <row r="6564" spans="11:11">
      <c r="K6564" s="164"/>
    </row>
    <row r="6565" spans="11:11">
      <c r="K6565" s="164"/>
    </row>
    <row r="6566" spans="11:11">
      <c r="K6566" s="164"/>
    </row>
    <row r="6567" spans="11:11">
      <c r="K6567" s="164"/>
    </row>
    <row r="6568" spans="11:11">
      <c r="K6568" s="164"/>
    </row>
    <row r="6569" spans="11:11">
      <c r="K6569" s="164"/>
    </row>
    <row r="6570" spans="11:11">
      <c r="K6570" s="164"/>
    </row>
    <row r="6571" spans="11:11">
      <c r="K6571" s="164"/>
    </row>
    <row r="6572" spans="11:11">
      <c r="K6572" s="164"/>
    </row>
    <row r="6573" spans="11:11">
      <c r="K6573" s="164"/>
    </row>
    <row r="6574" spans="11:11">
      <c r="K6574" s="164"/>
    </row>
    <row r="6575" spans="11:11">
      <c r="K6575" s="164"/>
    </row>
    <row r="6576" spans="11:11">
      <c r="K6576" s="164"/>
    </row>
    <row r="6577" spans="11:11">
      <c r="K6577" s="164"/>
    </row>
    <row r="6578" spans="11:11">
      <c r="K6578" s="164"/>
    </row>
    <row r="6579" spans="11:11">
      <c r="K6579" s="164"/>
    </row>
    <row r="6580" spans="11:11">
      <c r="K6580" s="164"/>
    </row>
    <row r="6581" spans="11:11">
      <c r="K6581" s="164"/>
    </row>
    <row r="6582" spans="11:11">
      <c r="K6582" s="164"/>
    </row>
    <row r="6583" spans="11:11">
      <c r="K6583" s="164"/>
    </row>
    <row r="6584" spans="11:11">
      <c r="K6584" s="164"/>
    </row>
    <row r="6585" spans="11:11">
      <c r="K6585" s="164"/>
    </row>
    <row r="6586" spans="11:11">
      <c r="K6586" s="164"/>
    </row>
    <row r="6587" spans="11:11">
      <c r="K6587" s="164"/>
    </row>
    <row r="6588" spans="11:11">
      <c r="K6588" s="164"/>
    </row>
    <row r="6589" spans="11:11">
      <c r="K6589" s="164"/>
    </row>
    <row r="6590" spans="11:11">
      <c r="K6590" s="164"/>
    </row>
    <row r="6591" spans="11:11">
      <c r="K6591" s="164"/>
    </row>
    <row r="6592" spans="11:11">
      <c r="K6592" s="164"/>
    </row>
    <row r="6593" spans="11:11">
      <c r="K6593" s="164"/>
    </row>
    <row r="6594" spans="11:11">
      <c r="K6594" s="164"/>
    </row>
    <row r="6595" spans="11:11">
      <c r="K6595" s="164"/>
    </row>
    <row r="6596" spans="11:11">
      <c r="K6596" s="164"/>
    </row>
    <row r="6597" spans="11:11">
      <c r="K6597" s="164"/>
    </row>
    <row r="6598" spans="11:11">
      <c r="K6598" s="164"/>
    </row>
    <row r="6599" spans="11:11">
      <c r="K6599" s="164"/>
    </row>
    <row r="6600" spans="11:11">
      <c r="K6600" s="164"/>
    </row>
    <row r="6601" spans="11:11">
      <c r="K6601" s="164"/>
    </row>
    <row r="6602" spans="11:11">
      <c r="K6602" s="164"/>
    </row>
    <row r="6603" spans="11:11">
      <c r="K6603" s="164"/>
    </row>
    <row r="6604" spans="11:11">
      <c r="K6604" s="164"/>
    </row>
    <row r="6605" spans="11:11">
      <c r="K6605" s="164"/>
    </row>
    <row r="6606" spans="11:11">
      <c r="K6606" s="164"/>
    </row>
    <row r="6607" spans="11:11">
      <c r="K6607" s="164"/>
    </row>
    <row r="6608" spans="11:11">
      <c r="K6608" s="164"/>
    </row>
    <row r="6609" spans="11:11">
      <c r="K6609" s="164"/>
    </row>
    <row r="6610" spans="11:11">
      <c r="K6610" s="164"/>
    </row>
    <row r="6611" spans="11:11">
      <c r="K6611" s="164"/>
    </row>
    <row r="6612" spans="11:11">
      <c r="K6612" s="164"/>
    </row>
    <row r="6613" spans="11:11">
      <c r="K6613" s="164"/>
    </row>
    <row r="6614" spans="11:11">
      <c r="K6614" s="164"/>
    </row>
    <row r="6615" spans="11:11">
      <c r="K6615" s="164"/>
    </row>
    <row r="6616" spans="11:11">
      <c r="K6616" s="164"/>
    </row>
    <row r="6617" spans="11:11">
      <c r="K6617" s="164"/>
    </row>
    <row r="6618" spans="11:11">
      <c r="K6618" s="164"/>
    </row>
    <row r="6619" spans="11:11">
      <c r="K6619" s="164"/>
    </row>
    <row r="6620" spans="11:11">
      <c r="K6620" s="164"/>
    </row>
    <row r="6621" spans="11:11">
      <c r="K6621" s="164"/>
    </row>
    <row r="6622" spans="11:11">
      <c r="K6622" s="164"/>
    </row>
    <row r="6623" spans="11:11">
      <c r="K6623" s="164"/>
    </row>
    <row r="6624" spans="11:11">
      <c r="K6624" s="164"/>
    </row>
    <row r="6625" spans="11:11">
      <c r="K6625" s="164"/>
    </row>
    <row r="6626" spans="11:11">
      <c r="K6626" s="164"/>
    </row>
    <row r="6627" spans="11:11">
      <c r="K6627" s="164"/>
    </row>
    <row r="6628" spans="11:11">
      <c r="K6628" s="164"/>
    </row>
    <row r="6629" spans="11:11">
      <c r="K6629" s="164"/>
    </row>
    <row r="6630" spans="11:11">
      <c r="K6630" s="164"/>
    </row>
    <row r="6631" spans="11:11">
      <c r="K6631" s="164"/>
    </row>
    <row r="6632" spans="11:11">
      <c r="K6632" s="164"/>
    </row>
    <row r="6633" spans="11:11">
      <c r="K6633" s="164"/>
    </row>
    <row r="6634" spans="11:11">
      <c r="K6634" s="164"/>
    </row>
    <row r="6635" spans="11:11">
      <c r="K6635" s="164"/>
    </row>
    <row r="6636" spans="11:11">
      <c r="K6636" s="164"/>
    </row>
    <row r="6637" spans="11:11">
      <c r="K6637" s="164"/>
    </row>
    <row r="6638" spans="11:11">
      <c r="K6638" s="164"/>
    </row>
    <row r="6639" spans="11:11">
      <c r="K6639" s="164"/>
    </row>
    <row r="6640" spans="11:11">
      <c r="K6640" s="164"/>
    </row>
    <row r="6641" spans="11:11">
      <c r="K6641" s="164"/>
    </row>
    <row r="6642" spans="11:11">
      <c r="K6642" s="164"/>
    </row>
    <row r="6643" spans="11:11">
      <c r="K6643" s="164"/>
    </row>
    <row r="6644" spans="11:11">
      <c r="K6644" s="164"/>
    </row>
    <row r="6645" spans="11:11">
      <c r="K6645" s="164"/>
    </row>
    <row r="6646" spans="11:11">
      <c r="K6646" s="164"/>
    </row>
    <row r="6647" spans="11:11">
      <c r="K6647" s="164"/>
    </row>
    <row r="6648" spans="11:11">
      <c r="K6648" s="164"/>
    </row>
    <row r="6649" spans="11:11">
      <c r="K6649" s="164"/>
    </row>
    <row r="6650" spans="11:11">
      <c r="K6650" s="164"/>
    </row>
    <row r="6651" spans="11:11">
      <c r="K6651" s="164"/>
    </row>
    <row r="6652" spans="11:11">
      <c r="K6652" s="164"/>
    </row>
    <row r="6653" spans="11:11">
      <c r="K6653" s="164"/>
    </row>
    <row r="6654" spans="11:11">
      <c r="K6654" s="164"/>
    </row>
    <row r="6655" spans="11:11">
      <c r="K6655" s="164"/>
    </row>
    <row r="6656" spans="11:11">
      <c r="K6656" s="164"/>
    </row>
    <row r="6657" spans="11:11">
      <c r="K6657" s="164"/>
    </row>
    <row r="6658" spans="11:11">
      <c r="K6658" s="164"/>
    </row>
    <row r="6659" spans="11:11">
      <c r="K6659" s="164"/>
    </row>
    <row r="6660" spans="11:11">
      <c r="K6660" s="164"/>
    </row>
    <row r="6661" spans="11:11">
      <c r="K6661" s="164"/>
    </row>
    <row r="6662" spans="11:11">
      <c r="K6662" s="164"/>
    </row>
    <row r="6663" spans="11:11">
      <c r="K6663" s="164"/>
    </row>
    <row r="6664" spans="11:11">
      <c r="K6664" s="164"/>
    </row>
    <row r="6665" spans="11:11">
      <c r="K6665" s="164"/>
    </row>
    <row r="6666" spans="11:11">
      <c r="K6666" s="164"/>
    </row>
    <row r="6667" spans="11:11">
      <c r="K6667" s="164"/>
    </row>
    <row r="6668" spans="11:11">
      <c r="K6668" s="164"/>
    </row>
    <row r="6669" spans="11:11">
      <c r="K6669" s="164"/>
    </row>
    <row r="6670" spans="11:11">
      <c r="K6670" s="164"/>
    </row>
    <row r="6671" spans="11:11">
      <c r="K6671" s="164"/>
    </row>
    <row r="6672" spans="11:11">
      <c r="K6672" s="164"/>
    </row>
    <row r="6673" spans="11:11">
      <c r="K6673" s="164"/>
    </row>
    <row r="6674" spans="11:11">
      <c r="K6674" s="164"/>
    </row>
    <row r="6675" spans="11:11">
      <c r="K6675" s="164"/>
    </row>
    <row r="6676" spans="11:11">
      <c r="K6676" s="164"/>
    </row>
    <row r="6677" spans="11:11">
      <c r="K6677" s="164"/>
    </row>
    <row r="6678" spans="11:11">
      <c r="K6678" s="164"/>
    </row>
    <row r="6679" spans="11:11">
      <c r="K6679" s="164"/>
    </row>
    <row r="6680" spans="11:11">
      <c r="K6680" s="164"/>
    </row>
    <row r="6681" spans="11:11">
      <c r="K6681" s="164"/>
    </row>
    <row r="6682" spans="11:11">
      <c r="K6682" s="164"/>
    </row>
    <row r="6683" spans="11:11">
      <c r="K6683" s="164"/>
    </row>
    <row r="6684" spans="11:11">
      <c r="K6684" s="164"/>
    </row>
    <row r="6685" spans="11:11">
      <c r="K6685" s="164"/>
    </row>
    <row r="6686" spans="11:11">
      <c r="K6686" s="164"/>
    </row>
    <row r="6687" spans="11:11">
      <c r="K6687" s="164"/>
    </row>
    <row r="6688" spans="11:11">
      <c r="K6688" s="164"/>
    </row>
    <row r="6689" spans="11:11">
      <c r="K6689" s="164"/>
    </row>
    <row r="6690" spans="11:11">
      <c r="K6690" s="164"/>
    </row>
    <row r="6691" spans="11:11">
      <c r="K6691" s="164"/>
    </row>
    <row r="6692" spans="11:11">
      <c r="K6692" s="164"/>
    </row>
    <row r="6693" spans="11:11">
      <c r="K6693" s="164"/>
    </row>
    <row r="6694" spans="11:11">
      <c r="K6694" s="164"/>
    </row>
    <row r="6695" spans="11:11">
      <c r="K6695" s="164"/>
    </row>
    <row r="6696" spans="11:11">
      <c r="K6696" s="164"/>
    </row>
    <row r="6697" spans="11:11">
      <c r="K6697" s="164"/>
    </row>
    <row r="6698" spans="11:11">
      <c r="K6698" s="164"/>
    </row>
    <row r="6699" spans="11:11">
      <c r="K6699" s="164"/>
    </row>
    <row r="6700" spans="11:11">
      <c r="K6700" s="164"/>
    </row>
    <row r="6701" spans="11:11">
      <c r="K6701" s="164"/>
    </row>
    <row r="6702" spans="11:11">
      <c r="K6702" s="164"/>
    </row>
    <row r="6703" spans="11:11">
      <c r="K6703" s="164"/>
    </row>
    <row r="6704" spans="11:11">
      <c r="K6704" s="164"/>
    </row>
    <row r="6705" spans="11:11">
      <c r="K6705" s="164"/>
    </row>
    <row r="6706" spans="11:11">
      <c r="K6706" s="164"/>
    </row>
    <row r="6707" spans="11:11">
      <c r="K6707" s="164"/>
    </row>
    <row r="6708" spans="11:11">
      <c r="K6708" s="164"/>
    </row>
    <row r="6709" spans="11:11">
      <c r="K6709" s="164"/>
    </row>
    <row r="6710" spans="11:11">
      <c r="K6710" s="164"/>
    </row>
    <row r="6711" spans="11:11">
      <c r="K6711" s="164"/>
    </row>
    <row r="6712" spans="11:11">
      <c r="K6712" s="164"/>
    </row>
    <row r="6713" spans="11:11">
      <c r="K6713" s="164"/>
    </row>
    <row r="6714" spans="11:11">
      <c r="K6714" s="164"/>
    </row>
    <row r="6715" spans="11:11">
      <c r="K6715" s="164"/>
    </row>
    <row r="6716" spans="11:11">
      <c r="K6716" s="164"/>
    </row>
    <row r="6717" spans="11:11">
      <c r="K6717" s="164"/>
    </row>
    <row r="6718" spans="11:11">
      <c r="K6718" s="164"/>
    </row>
    <row r="6719" spans="11:11">
      <c r="K6719" s="164"/>
    </row>
    <row r="6720" spans="11:11">
      <c r="K6720" s="164"/>
    </row>
    <row r="6721" spans="11:11">
      <c r="K6721" s="164"/>
    </row>
    <row r="6722" spans="11:11">
      <c r="K6722" s="164"/>
    </row>
    <row r="6723" spans="11:11">
      <c r="K6723" s="164"/>
    </row>
    <row r="6724" spans="11:11">
      <c r="K6724" s="164"/>
    </row>
    <row r="6725" spans="11:11">
      <c r="K6725" s="164"/>
    </row>
    <row r="6726" spans="11:11">
      <c r="K6726" s="164"/>
    </row>
    <row r="6727" spans="11:11">
      <c r="K6727" s="164"/>
    </row>
    <row r="6728" spans="11:11">
      <c r="K6728" s="164"/>
    </row>
    <row r="6729" spans="11:11">
      <c r="K6729" s="164"/>
    </row>
    <row r="6730" spans="11:11">
      <c r="K6730" s="164"/>
    </row>
    <row r="6731" spans="11:11">
      <c r="K6731" s="164"/>
    </row>
    <row r="6732" spans="11:11">
      <c r="K6732" s="164"/>
    </row>
    <row r="6733" spans="11:11">
      <c r="K6733" s="164"/>
    </row>
    <row r="6734" spans="11:11">
      <c r="K6734" s="164"/>
    </row>
    <row r="6735" spans="11:11">
      <c r="K6735" s="164"/>
    </row>
    <row r="6736" spans="11:11">
      <c r="K6736" s="164"/>
    </row>
    <row r="6737" spans="11:11">
      <c r="K6737" s="164"/>
    </row>
    <row r="6738" spans="11:11">
      <c r="K6738" s="164"/>
    </row>
    <row r="6739" spans="11:11">
      <c r="K6739" s="164"/>
    </row>
    <row r="6740" spans="11:11">
      <c r="K6740" s="164"/>
    </row>
    <row r="6741" spans="11:11">
      <c r="K6741" s="164"/>
    </row>
    <row r="6742" spans="11:11">
      <c r="K6742" s="164"/>
    </row>
    <row r="6743" spans="11:11">
      <c r="K6743" s="164"/>
    </row>
    <row r="6744" spans="11:11">
      <c r="K6744" s="164"/>
    </row>
    <row r="6745" spans="11:11">
      <c r="K6745" s="164"/>
    </row>
    <row r="6746" spans="11:11">
      <c r="K6746" s="164"/>
    </row>
    <row r="6747" spans="11:11">
      <c r="K6747" s="164"/>
    </row>
    <row r="6748" spans="11:11">
      <c r="K6748" s="164"/>
    </row>
    <row r="6749" spans="11:11">
      <c r="K6749" s="164"/>
    </row>
    <row r="6750" spans="11:11">
      <c r="K6750" s="164"/>
    </row>
    <row r="6751" spans="11:11">
      <c r="K6751" s="164"/>
    </row>
    <row r="6752" spans="11:11">
      <c r="K6752" s="164"/>
    </row>
    <row r="6753" spans="11:11">
      <c r="K6753" s="164"/>
    </row>
    <row r="6754" spans="11:11">
      <c r="K6754" s="164"/>
    </row>
    <row r="6755" spans="11:11">
      <c r="K6755" s="164"/>
    </row>
    <row r="6756" spans="11:11">
      <c r="K6756" s="164"/>
    </row>
    <row r="6757" spans="11:11">
      <c r="K6757" s="164"/>
    </row>
    <row r="6758" spans="11:11">
      <c r="K6758" s="164"/>
    </row>
    <row r="6759" spans="11:11">
      <c r="K6759" s="164"/>
    </row>
    <row r="6760" spans="11:11">
      <c r="K6760" s="164"/>
    </row>
    <row r="6761" spans="11:11">
      <c r="K6761" s="164"/>
    </row>
    <row r="6762" spans="11:11">
      <c r="K6762" s="164"/>
    </row>
    <row r="6763" spans="11:11">
      <c r="K6763" s="164"/>
    </row>
    <row r="6764" spans="11:11">
      <c r="K6764" s="164"/>
    </row>
    <row r="6765" spans="11:11">
      <c r="K6765" s="164"/>
    </row>
    <row r="6766" spans="11:11">
      <c r="K6766" s="164"/>
    </row>
    <row r="6767" spans="11:11">
      <c r="K6767" s="164"/>
    </row>
    <row r="6768" spans="11:11">
      <c r="K6768" s="164"/>
    </row>
    <row r="6769" spans="11:11">
      <c r="K6769" s="164"/>
    </row>
    <row r="6770" spans="11:11">
      <c r="K6770" s="164"/>
    </row>
    <row r="6771" spans="11:11">
      <c r="K6771" s="164"/>
    </row>
    <row r="6772" spans="11:11">
      <c r="K6772" s="164"/>
    </row>
    <row r="6773" spans="11:11">
      <c r="K6773" s="164"/>
    </row>
    <row r="6774" spans="11:11">
      <c r="K6774" s="164"/>
    </row>
    <row r="6775" spans="11:11">
      <c r="K6775" s="164"/>
    </row>
    <row r="6776" spans="11:11">
      <c r="K6776" s="164"/>
    </row>
    <row r="6777" spans="11:11">
      <c r="K6777" s="164"/>
    </row>
    <row r="6778" spans="11:11">
      <c r="K6778" s="164"/>
    </row>
    <row r="6779" spans="11:11">
      <c r="K6779" s="164"/>
    </row>
    <row r="6780" spans="11:11">
      <c r="K6780" s="164"/>
    </row>
    <row r="6781" spans="11:11">
      <c r="K6781" s="164"/>
    </row>
    <row r="6782" spans="11:11">
      <c r="K6782" s="164"/>
    </row>
    <row r="6783" spans="11:11">
      <c r="K6783" s="164"/>
    </row>
    <row r="6784" spans="11:11">
      <c r="K6784" s="164"/>
    </row>
    <row r="6785" spans="11:11">
      <c r="K6785" s="164"/>
    </row>
    <row r="6786" spans="11:11">
      <c r="K6786" s="164"/>
    </row>
    <row r="6787" spans="11:11">
      <c r="K6787" s="164"/>
    </row>
    <row r="6788" spans="11:11">
      <c r="K6788" s="164"/>
    </row>
    <row r="6789" spans="11:11">
      <c r="K6789" s="164"/>
    </row>
    <row r="6790" spans="11:11">
      <c r="K6790" s="164"/>
    </row>
    <row r="6791" spans="11:11">
      <c r="K6791" s="164"/>
    </row>
    <row r="6792" spans="11:11">
      <c r="K6792" s="164"/>
    </row>
    <row r="6793" spans="11:11">
      <c r="K6793" s="164"/>
    </row>
    <row r="6794" spans="11:11">
      <c r="K6794" s="164"/>
    </row>
    <row r="6795" spans="11:11">
      <c r="K6795" s="164"/>
    </row>
    <row r="6796" spans="11:11">
      <c r="K6796" s="164"/>
    </row>
    <row r="6797" spans="11:11">
      <c r="K6797" s="164"/>
    </row>
    <row r="6798" spans="11:11">
      <c r="K6798" s="164"/>
    </row>
    <row r="6799" spans="11:11">
      <c r="K6799" s="164"/>
    </row>
    <row r="6800" spans="11:11">
      <c r="K6800" s="164"/>
    </row>
    <row r="6801" spans="11:11">
      <c r="K6801" s="164"/>
    </row>
    <row r="6802" spans="11:11">
      <c r="K6802" s="164"/>
    </row>
    <row r="6803" spans="11:11">
      <c r="K6803" s="164"/>
    </row>
    <row r="6804" spans="11:11">
      <c r="K6804" s="164"/>
    </row>
    <row r="6805" spans="11:11">
      <c r="K6805" s="164"/>
    </row>
    <row r="6806" spans="11:11">
      <c r="K6806" s="164"/>
    </row>
    <row r="6807" spans="11:11">
      <c r="K6807" s="164"/>
    </row>
    <row r="6808" spans="11:11">
      <c r="K6808" s="164"/>
    </row>
    <row r="6809" spans="11:11">
      <c r="K6809" s="164"/>
    </row>
    <row r="6810" spans="11:11">
      <c r="K6810" s="164"/>
    </row>
    <row r="6811" spans="11:11">
      <c r="K6811" s="164"/>
    </row>
    <row r="6812" spans="11:11">
      <c r="K6812" s="164"/>
    </row>
    <row r="6813" spans="11:11">
      <c r="K6813" s="164"/>
    </row>
    <row r="6814" spans="11:11">
      <c r="K6814" s="164"/>
    </row>
    <row r="6815" spans="11:11">
      <c r="K6815" s="164"/>
    </row>
    <row r="6816" spans="11:11">
      <c r="K6816" s="164"/>
    </row>
    <row r="6817" spans="11:11">
      <c r="K6817" s="164"/>
    </row>
    <row r="6818" spans="11:11">
      <c r="K6818" s="164"/>
    </row>
    <row r="6819" spans="11:11">
      <c r="K6819" s="164"/>
    </row>
    <row r="6820" spans="11:11">
      <c r="K6820" s="164"/>
    </row>
    <row r="6821" spans="11:11">
      <c r="K6821" s="164"/>
    </row>
    <row r="6822" spans="11:11">
      <c r="K6822" s="164"/>
    </row>
    <row r="6823" spans="11:11">
      <c r="K6823" s="164"/>
    </row>
    <row r="6824" spans="11:11">
      <c r="K6824" s="164"/>
    </row>
    <row r="6825" spans="11:11">
      <c r="K6825" s="164"/>
    </row>
    <row r="6826" spans="11:11">
      <c r="K6826" s="164"/>
    </row>
    <row r="6827" spans="11:11">
      <c r="K6827" s="164"/>
    </row>
    <row r="6828" spans="11:11">
      <c r="K6828" s="164"/>
    </row>
    <row r="6829" spans="11:11">
      <c r="K6829" s="164"/>
    </row>
    <row r="6830" spans="11:11">
      <c r="K6830" s="164"/>
    </row>
    <row r="6831" spans="11:11">
      <c r="K6831" s="164"/>
    </row>
    <row r="6832" spans="11:11">
      <c r="K6832" s="164"/>
    </row>
    <row r="6833" spans="11:11">
      <c r="K6833" s="164"/>
    </row>
    <row r="6834" spans="11:11">
      <c r="K6834" s="164"/>
    </row>
    <row r="6835" spans="11:11">
      <c r="K6835" s="164"/>
    </row>
    <row r="6836" spans="11:11">
      <c r="K6836" s="164"/>
    </row>
    <row r="6837" spans="11:11">
      <c r="K6837" s="164"/>
    </row>
    <row r="6838" spans="11:11">
      <c r="K6838" s="164"/>
    </row>
    <row r="6839" spans="11:11">
      <c r="K6839" s="164"/>
    </row>
    <row r="6840" spans="11:11">
      <c r="K6840" s="164"/>
    </row>
    <row r="6841" spans="11:11">
      <c r="K6841" s="164"/>
    </row>
    <row r="6842" spans="11:11">
      <c r="K6842" s="164"/>
    </row>
    <row r="6843" spans="11:11">
      <c r="K6843" s="164"/>
    </row>
    <row r="6844" spans="11:11">
      <c r="K6844" s="164"/>
    </row>
    <row r="6845" spans="11:11">
      <c r="K6845" s="164"/>
    </row>
    <row r="6846" spans="11:11">
      <c r="K6846" s="164"/>
    </row>
    <row r="6847" spans="11:11">
      <c r="K6847" s="164"/>
    </row>
    <row r="6848" spans="11:11">
      <c r="K6848" s="164"/>
    </row>
    <row r="6849" spans="11:11">
      <c r="K6849" s="164"/>
    </row>
    <row r="6850" spans="11:11">
      <c r="K6850" s="164"/>
    </row>
    <row r="6851" spans="11:11">
      <c r="K6851" s="164"/>
    </row>
    <row r="6852" spans="11:11">
      <c r="K6852" s="164"/>
    </row>
    <row r="6853" spans="11:11">
      <c r="K6853" s="164"/>
    </row>
    <row r="6854" spans="11:11">
      <c r="K6854" s="164"/>
    </row>
    <row r="6855" spans="11:11">
      <c r="K6855" s="164"/>
    </row>
    <row r="6856" spans="11:11">
      <c r="K6856" s="164"/>
    </row>
    <row r="6857" spans="11:11">
      <c r="K6857" s="164"/>
    </row>
    <row r="6858" spans="11:11">
      <c r="K6858" s="164"/>
    </row>
    <row r="6859" spans="11:11">
      <c r="K6859" s="164"/>
    </row>
    <row r="6860" spans="11:11">
      <c r="K6860" s="164"/>
    </row>
    <row r="6861" spans="11:11">
      <c r="K6861" s="164"/>
    </row>
    <row r="6862" spans="11:11">
      <c r="K6862" s="164"/>
    </row>
    <row r="6863" spans="11:11">
      <c r="K6863" s="164"/>
    </row>
    <row r="6864" spans="11:11">
      <c r="K6864" s="164"/>
    </row>
    <row r="6865" spans="11:11">
      <c r="K6865" s="164"/>
    </row>
    <row r="6866" spans="11:11">
      <c r="K6866" s="164"/>
    </row>
    <row r="6867" spans="11:11">
      <c r="K6867" s="164"/>
    </row>
    <row r="6868" spans="11:11">
      <c r="K6868" s="164"/>
    </row>
    <row r="6869" spans="11:11">
      <c r="K6869" s="164"/>
    </row>
    <row r="6870" spans="11:11">
      <c r="K6870" s="164"/>
    </row>
    <row r="6871" spans="11:11">
      <c r="K6871" s="164"/>
    </row>
    <row r="6872" spans="11:11">
      <c r="K6872" s="164"/>
    </row>
    <row r="6873" spans="11:11">
      <c r="K6873" s="164"/>
    </row>
    <row r="6874" spans="11:11">
      <c r="K6874" s="164"/>
    </row>
    <row r="6875" spans="11:11">
      <c r="K6875" s="164"/>
    </row>
    <row r="6876" spans="11:11">
      <c r="K6876" s="164"/>
    </row>
    <row r="6877" spans="11:11">
      <c r="K6877" s="164"/>
    </row>
    <row r="6878" spans="11:11">
      <c r="K6878" s="164"/>
    </row>
    <row r="6879" spans="11:11">
      <c r="K6879" s="164"/>
    </row>
    <row r="6880" spans="11:11">
      <c r="K6880" s="164"/>
    </row>
    <row r="6881" spans="11:11">
      <c r="K6881" s="164"/>
    </row>
    <row r="6882" spans="11:11">
      <c r="K6882" s="164"/>
    </row>
    <row r="6883" spans="11:11">
      <c r="K6883" s="164"/>
    </row>
    <row r="6884" spans="11:11">
      <c r="K6884" s="164"/>
    </row>
    <row r="6885" spans="11:11">
      <c r="K6885" s="164"/>
    </row>
    <row r="6886" spans="11:11">
      <c r="K6886" s="164"/>
    </row>
    <row r="6887" spans="11:11">
      <c r="K6887" s="164"/>
    </row>
    <row r="6888" spans="11:11">
      <c r="K6888" s="164"/>
    </row>
    <row r="6889" spans="11:11">
      <c r="K6889" s="164"/>
    </row>
    <row r="6890" spans="11:11">
      <c r="K6890" s="164"/>
    </row>
    <row r="6891" spans="11:11">
      <c r="K6891" s="164"/>
    </row>
    <row r="6892" spans="11:11">
      <c r="K6892" s="164"/>
    </row>
    <row r="6893" spans="11:11">
      <c r="K6893" s="164"/>
    </row>
    <row r="6894" spans="11:11">
      <c r="K6894" s="164"/>
    </row>
    <row r="6895" spans="11:11">
      <c r="K6895" s="164"/>
    </row>
    <row r="6896" spans="11:11">
      <c r="K6896" s="164"/>
    </row>
    <row r="6897" spans="11:11">
      <c r="K6897" s="164"/>
    </row>
    <row r="6898" spans="11:11">
      <c r="K6898" s="164"/>
    </row>
    <row r="6899" spans="11:11">
      <c r="K6899" s="164"/>
    </row>
    <row r="6900" spans="11:11">
      <c r="K6900" s="164"/>
    </row>
    <row r="6901" spans="11:11">
      <c r="K6901" s="164"/>
    </row>
    <row r="6902" spans="11:11">
      <c r="K6902" s="164"/>
    </row>
    <row r="6903" spans="11:11">
      <c r="K6903" s="164"/>
    </row>
    <row r="6904" spans="11:11">
      <c r="K6904" s="164"/>
    </row>
    <row r="6905" spans="11:11">
      <c r="K6905" s="164"/>
    </row>
    <row r="6906" spans="11:11">
      <c r="K6906" s="164"/>
    </row>
    <row r="6907" spans="11:11">
      <c r="K6907" s="164"/>
    </row>
    <row r="6908" spans="11:11">
      <c r="K6908" s="164"/>
    </row>
    <row r="6909" spans="11:11">
      <c r="K6909" s="164"/>
    </row>
    <row r="6910" spans="11:11">
      <c r="K6910" s="164"/>
    </row>
    <row r="6911" spans="11:11">
      <c r="K6911" s="164"/>
    </row>
  </sheetData>
  <mergeCells count="20">
    <mergeCell ref="A2:A25"/>
    <mergeCell ref="C11:C14"/>
    <mergeCell ref="D11:D14"/>
    <mergeCell ref="B2:B25"/>
    <mergeCell ref="C2:C10"/>
    <mergeCell ref="D2:D9"/>
    <mergeCell ref="J16:J24"/>
    <mergeCell ref="P4:P14"/>
    <mergeCell ref="E8:E9"/>
    <mergeCell ref="H2:H3"/>
    <mergeCell ref="E2:E3"/>
    <mergeCell ref="E4:E7"/>
    <mergeCell ref="E11:E13"/>
    <mergeCell ref="O11:O14"/>
    <mergeCell ref="P15:P25"/>
    <mergeCell ref="O16:O24"/>
    <mergeCell ref="C16:C24"/>
    <mergeCell ref="E16:E24"/>
    <mergeCell ref="F16:F24"/>
    <mergeCell ref="H16:H2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Q45"/>
  <sheetViews>
    <sheetView rightToLeft="1" topLeftCell="A25" workbookViewId="0">
      <selection activeCell="A46" sqref="A46:XFD46"/>
    </sheetView>
  </sheetViews>
  <sheetFormatPr defaultRowHeight="15"/>
  <cols>
    <col min="1" max="1" width="8.42578125" customWidth="1"/>
    <col min="2" max="2" width="32.85546875" customWidth="1"/>
    <col min="3" max="3" width="50" customWidth="1"/>
    <col min="4" max="4" width="9.28515625" bestFit="1" customWidth="1"/>
    <col min="5" max="5" width="19.28515625" customWidth="1"/>
    <col min="6" max="6" width="14.42578125" customWidth="1"/>
    <col min="7" max="7" width="38.5703125" customWidth="1"/>
    <col min="8" max="8" width="51.140625" customWidth="1"/>
    <col min="9" max="9" width="25.42578125" customWidth="1"/>
    <col min="10" max="10" width="55.42578125" customWidth="1"/>
    <col min="11" max="11" width="26.7109375" customWidth="1"/>
    <col min="12" max="12" width="70.140625" customWidth="1"/>
    <col min="13" max="13" width="46" customWidth="1"/>
    <col min="14" max="14" width="19.7109375" customWidth="1"/>
    <col min="15" max="15" width="23.140625" customWidth="1"/>
    <col min="16" max="16" width="28.5703125" customWidth="1"/>
    <col min="17" max="17" width="78.42578125" customWidth="1"/>
    <col min="18" max="18" width="47.7109375" customWidth="1"/>
  </cols>
  <sheetData>
    <row r="1" spans="1:17" ht="19.5">
      <c r="A1" s="125" t="s">
        <v>0</v>
      </c>
      <c r="B1" s="125" t="s">
        <v>7</v>
      </c>
      <c r="C1" s="126" t="s">
        <v>4321</v>
      </c>
      <c r="D1" s="125" t="s">
        <v>196</v>
      </c>
      <c r="E1" s="125" t="s">
        <v>4322</v>
      </c>
      <c r="F1" s="125" t="s">
        <v>4323</v>
      </c>
      <c r="G1" s="125" t="s">
        <v>4324</v>
      </c>
      <c r="H1" s="125" t="s">
        <v>4325</v>
      </c>
      <c r="I1" s="125" t="s">
        <v>21</v>
      </c>
      <c r="J1" s="125" t="s">
        <v>4408</v>
      </c>
      <c r="K1" s="125" t="s">
        <v>4409</v>
      </c>
      <c r="L1" s="125" t="s">
        <v>4326</v>
      </c>
      <c r="M1" s="125" t="s">
        <v>4327</v>
      </c>
      <c r="N1" s="125" t="s">
        <v>4328</v>
      </c>
      <c r="O1" s="125" t="s">
        <v>4329</v>
      </c>
      <c r="P1" s="125" t="s">
        <v>4404</v>
      </c>
      <c r="Q1" s="125" t="s">
        <v>4406</v>
      </c>
    </row>
    <row r="2" spans="1:17" ht="18" customHeight="1">
      <c r="A2" s="758">
        <v>1</v>
      </c>
      <c r="B2" s="762" t="s">
        <v>4402</v>
      </c>
      <c r="C2" s="118" t="s">
        <v>4330</v>
      </c>
      <c r="D2" s="117" t="s">
        <v>4412</v>
      </c>
      <c r="E2" s="117" t="s">
        <v>28</v>
      </c>
      <c r="F2" s="117" t="s">
        <v>2329</v>
      </c>
      <c r="G2" s="117" t="s">
        <v>4331</v>
      </c>
      <c r="H2" s="738" t="s">
        <v>43</v>
      </c>
      <c r="I2" s="117">
        <v>439</v>
      </c>
      <c r="J2" s="119" t="s">
        <v>4415</v>
      </c>
      <c r="K2" s="117" t="s">
        <v>423</v>
      </c>
      <c r="L2" s="738" t="s">
        <v>43</v>
      </c>
      <c r="M2" s="738" t="s">
        <v>43</v>
      </c>
      <c r="N2" s="738" t="s">
        <v>43</v>
      </c>
      <c r="O2" s="738" t="s">
        <v>43</v>
      </c>
      <c r="P2" s="117" t="s">
        <v>4410</v>
      </c>
      <c r="Q2" s="738" t="s">
        <v>43</v>
      </c>
    </row>
    <row r="3" spans="1:17" ht="18">
      <c r="A3" s="761"/>
      <c r="B3" s="763"/>
      <c r="C3" s="118">
        <v>40767</v>
      </c>
      <c r="D3" s="117" t="s">
        <v>204</v>
      </c>
      <c r="E3" s="117" t="s">
        <v>1659</v>
      </c>
      <c r="F3" s="117" t="s">
        <v>4332</v>
      </c>
      <c r="G3" s="738" t="s">
        <v>43</v>
      </c>
      <c r="H3" s="738" t="s">
        <v>43</v>
      </c>
      <c r="I3" s="738" t="s">
        <v>43</v>
      </c>
      <c r="J3" s="738" t="s">
        <v>43</v>
      </c>
      <c r="K3" s="738" t="s">
        <v>43</v>
      </c>
      <c r="L3" s="738" t="s">
        <v>43</v>
      </c>
      <c r="M3" s="738" t="s">
        <v>43</v>
      </c>
      <c r="N3" s="738" t="s">
        <v>43</v>
      </c>
      <c r="O3" s="738" t="s">
        <v>43</v>
      </c>
      <c r="P3" s="117" t="s">
        <v>4407</v>
      </c>
      <c r="Q3" s="117" t="s">
        <v>4405</v>
      </c>
    </row>
    <row r="4" spans="1:17" ht="18">
      <c r="A4" s="761"/>
      <c r="B4" s="763"/>
      <c r="C4" s="738" t="s">
        <v>43</v>
      </c>
      <c r="D4" s="117" t="s">
        <v>197</v>
      </c>
      <c r="E4" s="117" t="s">
        <v>51</v>
      </c>
      <c r="F4" s="117" t="s">
        <v>4414</v>
      </c>
      <c r="G4" s="737" t="s">
        <v>43</v>
      </c>
      <c r="H4" s="738" t="s">
        <v>43</v>
      </c>
      <c r="I4" s="117">
        <v>366</v>
      </c>
      <c r="J4" s="738" t="s">
        <v>43</v>
      </c>
      <c r="K4" s="738" t="s">
        <v>43</v>
      </c>
      <c r="L4" s="738" t="s">
        <v>43</v>
      </c>
      <c r="M4" s="738" t="s">
        <v>43</v>
      </c>
      <c r="N4" s="738" t="s">
        <v>43</v>
      </c>
      <c r="O4" s="738" t="s">
        <v>43</v>
      </c>
      <c r="P4" s="738" t="s">
        <v>4411</v>
      </c>
      <c r="Q4" s="738" t="s">
        <v>43</v>
      </c>
    </row>
    <row r="5" spans="1:17" ht="18">
      <c r="A5" s="761"/>
      <c r="B5" s="764"/>
      <c r="C5" s="118">
        <v>95019215002</v>
      </c>
      <c r="D5" s="117" t="s">
        <v>199</v>
      </c>
      <c r="E5" s="117" t="s">
        <v>335</v>
      </c>
      <c r="F5" s="117" t="s">
        <v>2329</v>
      </c>
      <c r="G5" s="117" t="s">
        <v>4333</v>
      </c>
      <c r="H5" s="738" t="s">
        <v>43</v>
      </c>
      <c r="I5" s="117">
        <v>910</v>
      </c>
      <c r="J5" s="117" t="s">
        <v>4416</v>
      </c>
      <c r="K5" s="117" t="s">
        <v>423</v>
      </c>
      <c r="L5" s="738" t="s">
        <v>43</v>
      </c>
      <c r="M5" s="738" t="s">
        <v>14413</v>
      </c>
      <c r="N5" s="738" t="s">
        <v>43</v>
      </c>
      <c r="O5" s="738" t="s">
        <v>14416</v>
      </c>
      <c r="P5" s="117" t="s">
        <v>4410</v>
      </c>
      <c r="Q5" s="738" t="s">
        <v>43</v>
      </c>
    </row>
    <row r="6" spans="1:17" ht="18" customHeight="1">
      <c r="A6" s="761"/>
      <c r="B6" s="762" t="s">
        <v>4403</v>
      </c>
      <c r="C6" s="107" t="s">
        <v>4429</v>
      </c>
      <c r="D6" s="117" t="s">
        <v>203</v>
      </c>
      <c r="E6" s="117" t="s">
        <v>335</v>
      </c>
      <c r="F6" s="117" t="s">
        <v>2329</v>
      </c>
      <c r="G6" s="117" t="s">
        <v>4380</v>
      </c>
      <c r="H6" s="738" t="s">
        <v>43</v>
      </c>
      <c r="I6" s="117">
        <v>1346</v>
      </c>
      <c r="J6" s="738" t="s">
        <v>43</v>
      </c>
      <c r="K6" s="738" t="s">
        <v>43</v>
      </c>
      <c r="L6" s="738" t="s">
        <v>43</v>
      </c>
      <c r="M6" s="738" t="s">
        <v>43</v>
      </c>
      <c r="N6" s="738" t="s">
        <v>43</v>
      </c>
      <c r="O6" s="738" t="s">
        <v>43</v>
      </c>
      <c r="P6" s="117" t="s">
        <v>4410</v>
      </c>
      <c r="Q6" s="738" t="s">
        <v>43</v>
      </c>
    </row>
    <row r="7" spans="1:17" ht="18">
      <c r="A7" s="761"/>
      <c r="B7" s="756"/>
      <c r="C7" s="738" t="s">
        <v>43</v>
      </c>
      <c r="D7" s="117" t="s">
        <v>197</v>
      </c>
      <c r="E7" s="117" t="s">
        <v>51</v>
      </c>
      <c r="F7" s="117" t="s">
        <v>4414</v>
      </c>
      <c r="G7" s="737" t="s">
        <v>43</v>
      </c>
      <c r="H7" s="738" t="s">
        <v>43</v>
      </c>
      <c r="I7" s="737" t="s">
        <v>43</v>
      </c>
      <c r="J7" s="738" t="s">
        <v>43</v>
      </c>
      <c r="K7" s="738" t="s">
        <v>43</v>
      </c>
      <c r="L7" s="738" t="s">
        <v>43</v>
      </c>
      <c r="M7" s="738" t="s">
        <v>43</v>
      </c>
      <c r="N7" s="738" t="s">
        <v>43</v>
      </c>
      <c r="O7" s="738" t="s">
        <v>43</v>
      </c>
      <c r="P7" s="738" t="s">
        <v>4411</v>
      </c>
      <c r="Q7" s="738" t="s">
        <v>43</v>
      </c>
    </row>
    <row r="8" spans="1:17" ht="18">
      <c r="A8" s="766">
        <v>2</v>
      </c>
      <c r="B8" s="115" t="s">
        <v>4334</v>
      </c>
      <c r="C8" s="118" t="s">
        <v>4335</v>
      </c>
      <c r="D8" s="117" t="s">
        <v>4413</v>
      </c>
      <c r="E8" s="127" t="s">
        <v>4417</v>
      </c>
      <c r="F8" s="117" t="s">
        <v>2329</v>
      </c>
      <c r="G8" s="117" t="s">
        <v>4336</v>
      </c>
      <c r="H8" s="738" t="s">
        <v>43</v>
      </c>
      <c r="I8" s="117" t="s">
        <v>4490</v>
      </c>
      <c r="J8" s="117" t="s">
        <v>4418</v>
      </c>
      <c r="K8" s="117" t="s">
        <v>423</v>
      </c>
      <c r="L8" s="738" t="s">
        <v>43</v>
      </c>
      <c r="M8" s="738" t="s">
        <v>14413</v>
      </c>
      <c r="N8" s="738" t="s">
        <v>43</v>
      </c>
      <c r="O8" s="738" t="s">
        <v>14414</v>
      </c>
      <c r="P8" s="117" t="s">
        <v>4410</v>
      </c>
      <c r="Q8" s="738" t="s">
        <v>43</v>
      </c>
    </row>
    <row r="9" spans="1:17" ht="18" customHeight="1">
      <c r="A9" s="693">
        <v>3</v>
      </c>
      <c r="B9" s="117" t="s">
        <v>4343</v>
      </c>
      <c r="C9" s="118">
        <v>960112052626</v>
      </c>
      <c r="D9" s="117" t="s">
        <v>204</v>
      </c>
      <c r="E9" s="127" t="s">
        <v>4417</v>
      </c>
      <c r="F9" s="154" t="s">
        <v>4344</v>
      </c>
      <c r="G9" s="117" t="s">
        <v>4345</v>
      </c>
      <c r="H9" s="117" t="s">
        <v>4346</v>
      </c>
      <c r="I9" s="117">
        <v>71</v>
      </c>
      <c r="J9" s="738" t="s">
        <v>43</v>
      </c>
      <c r="K9" s="117" t="s">
        <v>423</v>
      </c>
      <c r="L9" s="119" t="s">
        <v>4423</v>
      </c>
      <c r="M9" s="738" t="s">
        <v>14413</v>
      </c>
      <c r="N9" s="738" t="s">
        <v>43</v>
      </c>
      <c r="O9" s="738" t="s">
        <v>14415</v>
      </c>
      <c r="P9" s="738" t="s">
        <v>43</v>
      </c>
      <c r="Q9" s="117" t="s">
        <v>4424</v>
      </c>
    </row>
    <row r="10" spans="1:17" ht="18" customHeight="1">
      <c r="A10" s="758">
        <v>4</v>
      </c>
      <c r="B10" s="754" t="s">
        <v>12800</v>
      </c>
      <c r="C10" s="694" t="s">
        <v>14190</v>
      </c>
      <c r="D10" s="117" t="s">
        <v>204</v>
      </c>
      <c r="E10" s="127" t="s">
        <v>4417</v>
      </c>
      <c r="F10" s="754" t="s">
        <v>2329</v>
      </c>
      <c r="G10" s="107" t="s">
        <v>4498</v>
      </c>
      <c r="H10" s="739" t="s">
        <v>4496</v>
      </c>
      <c r="I10" s="117" t="s">
        <v>4497</v>
      </c>
      <c r="J10" s="117" t="s">
        <v>4432</v>
      </c>
      <c r="K10" s="117" t="s">
        <v>423</v>
      </c>
      <c r="L10" s="738" t="s">
        <v>43</v>
      </c>
      <c r="M10" s="738" t="s">
        <v>43</v>
      </c>
      <c r="N10" s="738" t="s">
        <v>43</v>
      </c>
      <c r="O10" s="738" t="s">
        <v>14415</v>
      </c>
      <c r="P10" s="117" t="s">
        <v>4410</v>
      </c>
      <c r="Q10" s="738" t="s">
        <v>4495</v>
      </c>
    </row>
    <row r="11" spans="1:17" ht="18" customHeight="1">
      <c r="A11" s="761"/>
      <c r="B11" s="755"/>
      <c r="C11" s="427">
        <v>990114954905</v>
      </c>
      <c r="D11" s="117" t="s">
        <v>4413</v>
      </c>
      <c r="E11" s="127" t="s">
        <v>14423</v>
      </c>
      <c r="F11" s="755"/>
      <c r="G11" s="107" t="s">
        <v>12142</v>
      </c>
      <c r="H11" s="739"/>
      <c r="I11" s="117">
        <v>3701</v>
      </c>
      <c r="J11" s="117" t="s">
        <v>4432</v>
      </c>
      <c r="K11" s="117"/>
      <c r="L11" s="738"/>
      <c r="M11" s="738" t="s">
        <v>14413</v>
      </c>
      <c r="N11" s="738"/>
      <c r="O11" s="738" t="s">
        <v>14424</v>
      </c>
      <c r="P11" s="117"/>
      <c r="Q11" s="738"/>
    </row>
    <row r="12" spans="1:17" ht="18" customHeight="1">
      <c r="A12" s="759"/>
      <c r="B12" s="756"/>
      <c r="C12" s="132" t="s">
        <v>14189</v>
      </c>
      <c r="D12" s="128"/>
      <c r="E12" s="127" t="s">
        <v>4417</v>
      </c>
      <c r="F12" s="756"/>
      <c r="G12" s="107" t="s">
        <v>4499</v>
      </c>
      <c r="H12" s="107" t="s">
        <v>4501</v>
      </c>
      <c r="I12" s="117" t="s">
        <v>4500</v>
      </c>
      <c r="J12" s="117" t="s">
        <v>4432</v>
      </c>
      <c r="K12" s="117" t="s">
        <v>423</v>
      </c>
      <c r="L12" s="738" t="s">
        <v>43</v>
      </c>
      <c r="M12" s="738" t="s">
        <v>43</v>
      </c>
      <c r="N12" s="738" t="s">
        <v>43</v>
      </c>
      <c r="O12" s="738" t="s">
        <v>43</v>
      </c>
      <c r="P12" s="117" t="s">
        <v>4410</v>
      </c>
      <c r="Q12" s="738" t="s">
        <v>4502</v>
      </c>
    </row>
    <row r="13" spans="1:17" ht="18">
      <c r="A13" s="693">
        <v>5</v>
      </c>
      <c r="B13" s="117" t="s">
        <v>4337</v>
      </c>
      <c r="C13" s="118">
        <v>970114348917</v>
      </c>
      <c r="D13" s="117" t="s">
        <v>4412</v>
      </c>
      <c r="E13" s="127" t="s">
        <v>4417</v>
      </c>
      <c r="F13" s="117" t="s">
        <v>2329</v>
      </c>
      <c r="G13" s="117" t="s">
        <v>4338</v>
      </c>
      <c r="H13" s="117" t="s">
        <v>4339</v>
      </c>
      <c r="I13" s="117" t="s">
        <v>4484</v>
      </c>
      <c r="J13" s="117" t="s">
        <v>4418</v>
      </c>
      <c r="K13" s="117" t="s">
        <v>423</v>
      </c>
      <c r="L13" s="117" t="s">
        <v>4419</v>
      </c>
      <c r="M13" s="117" t="s">
        <v>4420</v>
      </c>
      <c r="N13" s="738" t="s">
        <v>14413</v>
      </c>
      <c r="O13" s="738" t="s">
        <v>9245</v>
      </c>
      <c r="P13" s="117" t="s">
        <v>4410</v>
      </c>
      <c r="Q13" s="738" t="s">
        <v>43</v>
      </c>
    </row>
    <row r="14" spans="1:17" ht="18">
      <c r="A14" s="766">
        <v>6</v>
      </c>
      <c r="B14" s="115" t="s">
        <v>4340</v>
      </c>
      <c r="C14" s="118">
        <v>613666</v>
      </c>
      <c r="D14" s="117" t="s">
        <v>4412</v>
      </c>
      <c r="E14" s="127" t="s">
        <v>4417</v>
      </c>
      <c r="F14" s="117" t="s">
        <v>2329</v>
      </c>
      <c r="G14" s="117" t="s">
        <v>4341</v>
      </c>
      <c r="H14" s="117" t="s">
        <v>4342</v>
      </c>
      <c r="I14" s="117" t="s">
        <v>4493</v>
      </c>
      <c r="J14" s="117" t="s">
        <v>4418</v>
      </c>
      <c r="K14" s="117" t="s">
        <v>423</v>
      </c>
      <c r="L14" s="117" t="s">
        <v>4422</v>
      </c>
      <c r="M14" s="738" t="s">
        <v>14413</v>
      </c>
      <c r="N14" s="738" t="s">
        <v>43</v>
      </c>
      <c r="O14" s="738" t="s">
        <v>9245</v>
      </c>
      <c r="P14" s="117" t="s">
        <v>4410</v>
      </c>
      <c r="Q14" s="738" t="s">
        <v>43</v>
      </c>
    </row>
    <row r="15" spans="1:17" ht="18">
      <c r="A15" s="117">
        <v>7</v>
      </c>
      <c r="B15" s="115" t="s">
        <v>4347</v>
      </c>
      <c r="C15" s="118">
        <v>960113032523</v>
      </c>
      <c r="D15" s="117" t="s">
        <v>204</v>
      </c>
      <c r="E15" s="127" t="s">
        <v>4417</v>
      </c>
      <c r="F15" s="117" t="s">
        <v>4344</v>
      </c>
      <c r="G15" s="737" t="s">
        <v>43</v>
      </c>
      <c r="H15" s="117" t="s">
        <v>4348</v>
      </c>
      <c r="I15" s="117">
        <v>70</v>
      </c>
      <c r="J15" s="738" t="s">
        <v>43</v>
      </c>
      <c r="K15" s="117" t="s">
        <v>423</v>
      </c>
      <c r="L15" s="117" t="s">
        <v>4425</v>
      </c>
      <c r="M15" s="738" t="s">
        <v>43</v>
      </c>
      <c r="N15" s="738" t="s">
        <v>43</v>
      </c>
      <c r="O15" s="738" t="s">
        <v>43</v>
      </c>
      <c r="P15" s="117" t="s">
        <v>4407</v>
      </c>
      <c r="Q15" s="738" t="s">
        <v>4426</v>
      </c>
    </row>
    <row r="16" spans="1:17" ht="17.25" customHeight="1">
      <c r="A16" s="766">
        <v>8</v>
      </c>
      <c r="B16" s="115" t="s">
        <v>4349</v>
      </c>
      <c r="C16" s="116">
        <v>615991</v>
      </c>
      <c r="D16" s="117" t="s">
        <v>204</v>
      </c>
      <c r="E16" s="127" t="s">
        <v>4417</v>
      </c>
      <c r="F16" s="117" t="s">
        <v>2329</v>
      </c>
      <c r="G16" s="115" t="s">
        <v>4350</v>
      </c>
      <c r="H16" s="115" t="s">
        <v>4351</v>
      </c>
      <c r="I16" s="115">
        <v>423</v>
      </c>
      <c r="J16" s="117" t="s">
        <v>4418</v>
      </c>
      <c r="K16" s="117" t="s">
        <v>423</v>
      </c>
      <c r="L16" s="120" t="s">
        <v>4352</v>
      </c>
      <c r="M16" s="738" t="s">
        <v>14413</v>
      </c>
      <c r="N16" s="738" t="s">
        <v>43</v>
      </c>
      <c r="O16" s="738" t="s">
        <v>14415</v>
      </c>
      <c r="P16" s="117" t="s">
        <v>4410</v>
      </c>
      <c r="Q16" s="738" t="s">
        <v>43</v>
      </c>
    </row>
    <row r="17" spans="1:17" ht="18">
      <c r="A17" s="693">
        <v>9</v>
      </c>
      <c r="B17" s="117" t="s">
        <v>4353</v>
      </c>
      <c r="C17" s="118" t="s">
        <v>14411</v>
      </c>
      <c r="D17" s="117" t="s">
        <v>968</v>
      </c>
      <c r="E17" s="127" t="s">
        <v>4417</v>
      </c>
      <c r="F17" s="117" t="s">
        <v>2329</v>
      </c>
      <c r="G17" s="117" t="s">
        <v>4354</v>
      </c>
      <c r="H17" s="117" t="s">
        <v>4355</v>
      </c>
      <c r="I17" s="117" t="s">
        <v>4483</v>
      </c>
      <c r="J17" s="117" t="s">
        <v>4418</v>
      </c>
      <c r="K17" s="117" t="s">
        <v>423</v>
      </c>
      <c r="L17" s="117" t="s">
        <v>4356</v>
      </c>
      <c r="M17" s="738" t="s">
        <v>14413</v>
      </c>
      <c r="N17" s="738" t="s">
        <v>43</v>
      </c>
      <c r="O17" s="738" t="s">
        <v>14412</v>
      </c>
      <c r="P17" s="117" t="s">
        <v>4410</v>
      </c>
      <c r="Q17" s="738" t="s">
        <v>4428</v>
      </c>
    </row>
    <row r="18" spans="1:17" ht="17.25" customHeight="1">
      <c r="A18" s="766">
        <v>10</v>
      </c>
      <c r="B18" s="115" t="s">
        <v>4427</v>
      </c>
      <c r="C18" s="121" t="s">
        <v>4370</v>
      </c>
      <c r="D18" s="115" t="s">
        <v>199</v>
      </c>
      <c r="E18" s="127" t="s">
        <v>4417</v>
      </c>
      <c r="F18" s="117" t="s">
        <v>2329</v>
      </c>
      <c r="G18" s="115" t="s">
        <v>4371</v>
      </c>
      <c r="H18" s="738" t="s">
        <v>43</v>
      </c>
      <c r="I18" s="115">
        <v>722</v>
      </c>
      <c r="J18" s="117" t="s">
        <v>4416</v>
      </c>
      <c r="K18" s="117" t="s">
        <v>423</v>
      </c>
      <c r="L18" s="115" t="s">
        <v>4372</v>
      </c>
      <c r="M18" s="738" t="s">
        <v>14413</v>
      </c>
      <c r="N18" s="738" t="s">
        <v>43</v>
      </c>
      <c r="O18" s="738" t="s">
        <v>9245</v>
      </c>
      <c r="P18" s="117" t="s">
        <v>4410</v>
      </c>
      <c r="Q18" s="738" t="s">
        <v>43</v>
      </c>
    </row>
    <row r="19" spans="1:17" ht="18">
      <c r="A19" s="693">
        <v>11</v>
      </c>
      <c r="B19" s="117" t="s">
        <v>4430</v>
      </c>
      <c r="C19" s="118">
        <v>970114404400</v>
      </c>
      <c r="D19" s="117" t="s">
        <v>4412</v>
      </c>
      <c r="E19" s="127" t="s">
        <v>4417</v>
      </c>
      <c r="F19" s="117" t="s">
        <v>2329</v>
      </c>
      <c r="G19" s="117" t="s">
        <v>4381</v>
      </c>
      <c r="H19" s="738" t="s">
        <v>43</v>
      </c>
      <c r="I19" s="117">
        <v>3908</v>
      </c>
      <c r="J19" s="117" t="s">
        <v>4418</v>
      </c>
      <c r="K19" s="117" t="s">
        <v>423</v>
      </c>
      <c r="L19" s="117" t="s">
        <v>4382</v>
      </c>
      <c r="M19" s="738" t="s">
        <v>14413</v>
      </c>
      <c r="N19" s="738" t="s">
        <v>43</v>
      </c>
      <c r="O19" s="738" t="s">
        <v>9245</v>
      </c>
      <c r="P19" s="117" t="s">
        <v>4410</v>
      </c>
      <c r="Q19" s="738" t="s">
        <v>43</v>
      </c>
    </row>
    <row r="20" spans="1:17" ht="18">
      <c r="A20" s="115">
        <v>12</v>
      </c>
      <c r="B20" s="117" t="s">
        <v>4362</v>
      </c>
      <c r="C20" s="738" t="s">
        <v>43</v>
      </c>
      <c r="D20" s="117" t="s">
        <v>4413</v>
      </c>
      <c r="E20" s="117" t="s">
        <v>4451</v>
      </c>
      <c r="F20" s="117" t="s">
        <v>4414</v>
      </c>
      <c r="G20" s="117" t="s">
        <v>4363</v>
      </c>
      <c r="H20" s="117" t="s">
        <v>4364</v>
      </c>
      <c r="I20" s="117">
        <v>75</v>
      </c>
      <c r="J20" s="738" t="s">
        <v>43</v>
      </c>
      <c r="K20" s="117" t="s">
        <v>423</v>
      </c>
      <c r="L20" s="117" t="s">
        <v>4431</v>
      </c>
      <c r="M20" s="738" t="s">
        <v>43</v>
      </c>
      <c r="N20" s="738" t="s">
        <v>43</v>
      </c>
      <c r="O20" s="738" t="s">
        <v>43</v>
      </c>
      <c r="P20" s="738" t="s">
        <v>43</v>
      </c>
      <c r="Q20" s="738" t="s">
        <v>43</v>
      </c>
    </row>
    <row r="21" spans="1:17" ht="18">
      <c r="A21" s="117">
        <v>13</v>
      </c>
      <c r="B21" s="117" t="s">
        <v>14420</v>
      </c>
      <c r="C21" s="118" t="s">
        <v>4377</v>
      </c>
      <c r="D21" s="117" t="s">
        <v>204</v>
      </c>
      <c r="E21" s="127" t="s">
        <v>4417</v>
      </c>
      <c r="F21" s="117" t="s">
        <v>2329</v>
      </c>
      <c r="G21" s="117" t="s">
        <v>4378</v>
      </c>
      <c r="H21" s="117" t="s">
        <v>4379</v>
      </c>
      <c r="I21" s="117">
        <v>3901</v>
      </c>
      <c r="J21" s="117" t="s">
        <v>4418</v>
      </c>
      <c r="K21" s="117" t="s">
        <v>423</v>
      </c>
      <c r="L21" s="738" t="s">
        <v>43</v>
      </c>
      <c r="M21" s="738" t="s">
        <v>14413</v>
      </c>
      <c r="N21" s="738" t="s">
        <v>43</v>
      </c>
      <c r="O21" s="738" t="s">
        <v>14415</v>
      </c>
      <c r="P21" s="117" t="s">
        <v>4410</v>
      </c>
      <c r="Q21" s="738" t="s">
        <v>43</v>
      </c>
    </row>
    <row r="22" spans="1:17" ht="18">
      <c r="A22" s="766">
        <v>14</v>
      </c>
      <c r="B22" s="117" t="s">
        <v>14419</v>
      </c>
      <c r="C22" s="118">
        <v>960111492041</v>
      </c>
      <c r="D22" s="117" t="s">
        <v>204</v>
      </c>
      <c r="E22" s="127" t="s">
        <v>4417</v>
      </c>
      <c r="F22" s="117" t="s">
        <v>2329</v>
      </c>
      <c r="G22" s="117" t="s">
        <v>4389</v>
      </c>
      <c r="H22" s="738" t="s">
        <v>43</v>
      </c>
      <c r="I22" s="128">
        <v>3901</v>
      </c>
      <c r="J22" s="117" t="s">
        <v>4432</v>
      </c>
      <c r="K22" s="130" t="s">
        <v>4433</v>
      </c>
      <c r="L22" s="117" t="s">
        <v>4388</v>
      </c>
      <c r="M22" s="738" t="s">
        <v>14413</v>
      </c>
      <c r="N22" s="738" t="s">
        <v>43</v>
      </c>
      <c r="O22" s="738" t="s">
        <v>14415</v>
      </c>
      <c r="P22" s="117" t="s">
        <v>4410</v>
      </c>
      <c r="Q22" s="738" t="s">
        <v>43</v>
      </c>
    </row>
    <row r="23" spans="1:17" ht="18">
      <c r="A23" s="693">
        <v>15</v>
      </c>
      <c r="B23" s="117" t="s">
        <v>14417</v>
      </c>
      <c r="C23" s="118" t="s">
        <v>4391</v>
      </c>
      <c r="D23" s="154" t="s">
        <v>197</v>
      </c>
      <c r="E23" s="127" t="s">
        <v>4417</v>
      </c>
      <c r="F23" s="117" t="s">
        <v>2329</v>
      </c>
      <c r="G23" s="117" t="s">
        <v>4392</v>
      </c>
      <c r="H23" s="738" t="s">
        <v>43</v>
      </c>
      <c r="I23" s="117">
        <v>3902</v>
      </c>
      <c r="J23" s="117" t="s">
        <v>4432</v>
      </c>
      <c r="K23" s="130" t="s">
        <v>4433</v>
      </c>
      <c r="L23" s="117" t="s">
        <v>4388</v>
      </c>
      <c r="M23" s="738" t="s">
        <v>14413</v>
      </c>
      <c r="N23" s="738" t="s">
        <v>43</v>
      </c>
      <c r="O23" s="738" t="s">
        <v>14418</v>
      </c>
      <c r="P23" s="117" t="s">
        <v>4410</v>
      </c>
      <c r="Q23" s="738" t="s">
        <v>43</v>
      </c>
    </row>
    <row r="24" spans="1:17" ht="18">
      <c r="A24" s="766">
        <v>16</v>
      </c>
      <c r="B24" s="117" t="s">
        <v>14425</v>
      </c>
      <c r="C24" s="118" t="s">
        <v>4386</v>
      </c>
      <c r="D24" s="117" t="s">
        <v>4412</v>
      </c>
      <c r="E24" s="127" t="s">
        <v>4417</v>
      </c>
      <c r="F24" s="117" t="s">
        <v>2329</v>
      </c>
      <c r="G24" s="117" t="s">
        <v>4387</v>
      </c>
      <c r="H24" s="738" t="s">
        <v>43</v>
      </c>
      <c r="I24" s="117">
        <v>3900</v>
      </c>
      <c r="J24" s="117" t="s">
        <v>4432</v>
      </c>
      <c r="K24" s="130" t="s">
        <v>4433</v>
      </c>
      <c r="L24" s="117" t="s">
        <v>4388</v>
      </c>
      <c r="M24" s="738" t="s">
        <v>14413</v>
      </c>
      <c r="N24" s="738" t="s">
        <v>43</v>
      </c>
      <c r="O24" s="738" t="s">
        <v>9245</v>
      </c>
      <c r="P24" s="117" t="s">
        <v>4410</v>
      </c>
      <c r="Q24" s="738" t="s">
        <v>43</v>
      </c>
    </row>
    <row r="25" spans="1:17" ht="18">
      <c r="A25" s="693">
        <v>17</v>
      </c>
      <c r="B25" s="117" t="s">
        <v>4434</v>
      </c>
      <c r="C25" s="118" t="s">
        <v>4393</v>
      </c>
      <c r="D25" s="117" t="s">
        <v>4412</v>
      </c>
      <c r="E25" s="127" t="s">
        <v>4417</v>
      </c>
      <c r="F25" s="117" t="s">
        <v>2329</v>
      </c>
      <c r="G25" s="117" t="s">
        <v>4394</v>
      </c>
      <c r="H25" s="738" t="s">
        <v>43</v>
      </c>
      <c r="I25" s="117">
        <v>3916</v>
      </c>
      <c r="J25" s="117" t="s">
        <v>4416</v>
      </c>
      <c r="K25" s="117" t="s">
        <v>423</v>
      </c>
      <c r="L25" s="738" t="s">
        <v>43</v>
      </c>
      <c r="M25" s="738" t="s">
        <v>14413</v>
      </c>
      <c r="N25" s="738" t="s">
        <v>43</v>
      </c>
      <c r="O25" s="738" t="s">
        <v>9245</v>
      </c>
      <c r="P25" s="117" t="s">
        <v>4410</v>
      </c>
      <c r="Q25" s="738" t="s">
        <v>43</v>
      </c>
    </row>
    <row r="26" spans="1:17" ht="18">
      <c r="A26" s="1533">
        <v>18</v>
      </c>
      <c r="B26" s="1727" t="s">
        <v>4390</v>
      </c>
      <c r="C26" s="118" t="s">
        <v>4435</v>
      </c>
      <c r="D26" s="117" t="s">
        <v>204</v>
      </c>
      <c r="E26" s="127" t="s">
        <v>4452</v>
      </c>
      <c r="F26" s="117" t="s">
        <v>2329</v>
      </c>
      <c r="G26" s="117" t="s">
        <v>4436</v>
      </c>
      <c r="H26" s="738" t="s">
        <v>43</v>
      </c>
      <c r="I26" s="117" t="s">
        <v>4438</v>
      </c>
      <c r="J26" s="117" t="s">
        <v>4418</v>
      </c>
      <c r="K26" s="754" t="s">
        <v>423</v>
      </c>
      <c r="L26" s="757" t="s">
        <v>4396</v>
      </c>
      <c r="M26" s="738" t="s">
        <v>14413</v>
      </c>
      <c r="N26" s="738" t="s">
        <v>43</v>
      </c>
      <c r="O26" s="738" t="s">
        <v>14426</v>
      </c>
      <c r="P26" s="117" t="s">
        <v>4410</v>
      </c>
      <c r="Q26" s="738" t="s">
        <v>43</v>
      </c>
    </row>
    <row r="27" spans="1:17" ht="18">
      <c r="A27" s="1534"/>
      <c r="B27" s="1728"/>
      <c r="C27" s="738" t="s">
        <v>43</v>
      </c>
      <c r="D27" s="117" t="s">
        <v>197</v>
      </c>
      <c r="E27" s="127" t="s">
        <v>4450</v>
      </c>
      <c r="F27" s="117" t="s">
        <v>4414</v>
      </c>
      <c r="G27" s="117" t="s">
        <v>4437</v>
      </c>
      <c r="H27" s="738" t="s">
        <v>43</v>
      </c>
      <c r="I27" s="117">
        <v>887</v>
      </c>
      <c r="J27" s="738" t="s">
        <v>43</v>
      </c>
      <c r="K27" s="756"/>
      <c r="L27" s="738" t="s">
        <v>43</v>
      </c>
      <c r="M27" s="738" t="s">
        <v>43</v>
      </c>
      <c r="N27" s="738" t="s">
        <v>43</v>
      </c>
      <c r="O27" s="738" t="s">
        <v>43</v>
      </c>
      <c r="P27" s="738" t="s">
        <v>4448</v>
      </c>
      <c r="Q27" s="738" t="s">
        <v>4494</v>
      </c>
    </row>
    <row r="28" spans="1:17" s="113" customFormat="1" ht="18">
      <c r="A28" s="1533">
        <v>19</v>
      </c>
      <c r="B28" s="1533" t="s">
        <v>16508</v>
      </c>
      <c r="C28" s="1272" t="s">
        <v>4439</v>
      </c>
      <c r="D28" s="154" t="s">
        <v>199</v>
      </c>
      <c r="E28" s="1270" t="s">
        <v>28</v>
      </c>
      <c r="F28" s="154" t="s">
        <v>29</v>
      </c>
      <c r="G28" s="154" t="s">
        <v>4754</v>
      </c>
      <c r="H28" s="154" t="s">
        <v>15760</v>
      </c>
      <c r="I28" s="154">
        <v>2000</v>
      </c>
      <c r="J28" s="107" t="s">
        <v>4441</v>
      </c>
      <c r="K28" s="1533" t="s">
        <v>4440</v>
      </c>
      <c r="L28" s="107" t="s">
        <v>4444</v>
      </c>
      <c r="M28" s="1230" t="s">
        <v>43</v>
      </c>
      <c r="N28" s="1230" t="s">
        <v>43</v>
      </c>
      <c r="O28" s="1230" t="s">
        <v>43</v>
      </c>
      <c r="P28" s="1230" t="s">
        <v>4443</v>
      </c>
      <c r="Q28" s="107" t="s">
        <v>4442</v>
      </c>
    </row>
    <row r="29" spans="1:17" s="113" customFormat="1" ht="18">
      <c r="A29" s="1647"/>
      <c r="B29" s="1647"/>
      <c r="C29" s="1273" t="s">
        <v>43</v>
      </c>
      <c r="D29" s="154" t="s">
        <v>4489</v>
      </c>
      <c r="E29" s="1271" t="s">
        <v>4450</v>
      </c>
      <c r="F29" s="154" t="s">
        <v>4414</v>
      </c>
      <c r="G29" s="154"/>
      <c r="H29" s="154" t="s">
        <v>15759</v>
      </c>
      <c r="I29" s="154">
        <v>237</v>
      </c>
      <c r="J29" s="1230" t="s">
        <v>43</v>
      </c>
      <c r="K29" s="1647"/>
      <c r="L29" s="1230" t="s">
        <v>43</v>
      </c>
      <c r="M29" s="1230" t="s">
        <v>43</v>
      </c>
      <c r="N29" s="1230" t="s">
        <v>43</v>
      </c>
      <c r="O29" s="1230" t="s">
        <v>43</v>
      </c>
      <c r="P29" s="1230" t="s">
        <v>4448</v>
      </c>
      <c r="Q29" s="1230" t="s">
        <v>43</v>
      </c>
    </row>
    <row r="30" spans="1:17" s="113" customFormat="1" ht="18">
      <c r="A30" s="1647"/>
      <c r="B30" s="1647"/>
      <c r="C30" s="461" t="s">
        <v>4473</v>
      </c>
      <c r="D30" s="117" t="s">
        <v>4476</v>
      </c>
      <c r="E30" s="122" t="s">
        <v>4474</v>
      </c>
      <c r="F30" s="117" t="s">
        <v>29</v>
      </c>
      <c r="G30" s="117" t="s">
        <v>4400</v>
      </c>
      <c r="H30" s="117" t="s">
        <v>4401</v>
      </c>
      <c r="I30" s="117">
        <v>2500</v>
      </c>
      <c r="J30" s="1729" t="s">
        <v>4441</v>
      </c>
      <c r="K30" s="1647"/>
      <c r="L30" s="1231" t="s">
        <v>43</v>
      </c>
      <c r="M30" s="1231" t="s">
        <v>14413</v>
      </c>
      <c r="N30" s="1231" t="s">
        <v>43</v>
      </c>
      <c r="O30" s="1231" t="s">
        <v>14428</v>
      </c>
      <c r="P30" s="1501" t="s">
        <v>4443</v>
      </c>
      <c r="Q30" s="1231" t="s">
        <v>43</v>
      </c>
    </row>
    <row r="31" spans="1:17" s="113" customFormat="1" ht="18">
      <c r="A31" s="1534"/>
      <c r="B31" s="1534"/>
      <c r="C31" s="123" t="s">
        <v>4475</v>
      </c>
      <c r="D31" s="117" t="s">
        <v>198</v>
      </c>
      <c r="E31" s="124" t="s">
        <v>4477</v>
      </c>
      <c r="F31" s="117" t="s">
        <v>29</v>
      </c>
      <c r="G31" s="117" t="s">
        <v>4480</v>
      </c>
      <c r="H31" s="117" t="s">
        <v>4479</v>
      </c>
      <c r="I31" s="117">
        <v>2000</v>
      </c>
      <c r="J31" s="1730"/>
      <c r="K31" s="1534"/>
      <c r="L31" s="1231" t="s">
        <v>43</v>
      </c>
      <c r="M31" s="1231" t="s">
        <v>43</v>
      </c>
      <c r="N31" s="1231" t="s">
        <v>43</v>
      </c>
      <c r="O31" s="1231" t="s">
        <v>43</v>
      </c>
      <c r="P31" s="1503"/>
      <c r="Q31" s="117" t="s">
        <v>4478</v>
      </c>
    </row>
    <row r="32" spans="1:17" ht="18">
      <c r="A32" s="1533">
        <v>20</v>
      </c>
      <c r="B32" s="1727" t="s">
        <v>4385</v>
      </c>
      <c r="C32" s="757" t="s">
        <v>4445</v>
      </c>
      <c r="D32" s="117" t="s">
        <v>204</v>
      </c>
      <c r="E32" s="127" t="s">
        <v>4417</v>
      </c>
      <c r="F32" s="117" t="s">
        <v>2329</v>
      </c>
      <c r="G32" s="117" t="s">
        <v>4446</v>
      </c>
      <c r="H32" s="738" t="s">
        <v>43</v>
      </c>
      <c r="I32" s="117" t="s">
        <v>4447</v>
      </c>
      <c r="J32" s="117" t="s">
        <v>4416</v>
      </c>
      <c r="K32" s="1727" t="s">
        <v>423</v>
      </c>
      <c r="L32" s="1727" t="s">
        <v>4384</v>
      </c>
      <c r="M32" s="738" t="s">
        <v>14413</v>
      </c>
      <c r="N32" s="738" t="s">
        <v>43</v>
      </c>
      <c r="O32" s="738" t="s">
        <v>14415</v>
      </c>
      <c r="P32" s="117" t="s">
        <v>4410</v>
      </c>
      <c r="Q32" s="738" t="s">
        <v>43</v>
      </c>
    </row>
    <row r="33" spans="1:17" ht="18">
      <c r="A33" s="1534"/>
      <c r="B33" s="1728"/>
      <c r="C33" s="738" t="s">
        <v>43</v>
      </c>
      <c r="D33" s="117" t="s">
        <v>199</v>
      </c>
      <c r="E33" s="127" t="s">
        <v>4450</v>
      </c>
      <c r="F33" s="117" t="s">
        <v>4414</v>
      </c>
      <c r="G33" s="117" t="s">
        <v>4383</v>
      </c>
      <c r="H33" s="738" t="s">
        <v>43</v>
      </c>
      <c r="I33" s="117">
        <v>237</v>
      </c>
      <c r="J33" s="738" t="s">
        <v>43</v>
      </c>
      <c r="K33" s="1728"/>
      <c r="L33" s="1728"/>
      <c r="M33" s="738" t="s">
        <v>43</v>
      </c>
      <c r="N33" s="738" t="s">
        <v>43</v>
      </c>
      <c r="O33" s="738" t="s">
        <v>43</v>
      </c>
      <c r="P33" s="738" t="s">
        <v>4448</v>
      </c>
      <c r="Q33" s="738" t="s">
        <v>43</v>
      </c>
    </row>
    <row r="34" spans="1:17" ht="18">
      <c r="A34" s="1533">
        <v>21</v>
      </c>
      <c r="B34" s="1727" t="s">
        <v>14429</v>
      </c>
      <c r="C34" s="757" t="s">
        <v>4449</v>
      </c>
      <c r="D34" s="131" t="s">
        <v>968</v>
      </c>
      <c r="E34" s="127" t="s">
        <v>4452</v>
      </c>
      <c r="F34" s="117" t="s">
        <v>2329</v>
      </c>
      <c r="G34" s="117" t="s">
        <v>4453</v>
      </c>
      <c r="H34" s="738" t="s">
        <v>43</v>
      </c>
      <c r="I34" s="117" t="s">
        <v>4454</v>
      </c>
      <c r="J34" s="117" t="s">
        <v>4418</v>
      </c>
      <c r="K34" s="1727" t="s">
        <v>423</v>
      </c>
      <c r="L34" s="738" t="s">
        <v>43</v>
      </c>
      <c r="M34" s="738" t="s">
        <v>14413</v>
      </c>
      <c r="N34" s="738" t="s">
        <v>43</v>
      </c>
      <c r="O34" s="738" t="s">
        <v>14430</v>
      </c>
      <c r="P34" s="117" t="s">
        <v>4410</v>
      </c>
      <c r="Q34" s="738" t="s">
        <v>43</v>
      </c>
    </row>
    <row r="35" spans="1:17" ht="18">
      <c r="A35" s="1534"/>
      <c r="B35" s="1728"/>
      <c r="C35" s="738" t="s">
        <v>43</v>
      </c>
      <c r="D35" s="117" t="s">
        <v>968</v>
      </c>
      <c r="E35" s="127" t="s">
        <v>4742</v>
      </c>
      <c r="F35" s="117" t="s">
        <v>4414</v>
      </c>
      <c r="G35" s="154" t="s">
        <v>4743</v>
      </c>
      <c r="H35" s="738" t="s">
        <v>43</v>
      </c>
      <c r="I35" s="1275" t="s">
        <v>16520</v>
      </c>
      <c r="J35" s="738" t="s">
        <v>43</v>
      </c>
      <c r="K35" s="1728"/>
      <c r="L35" s="738" t="s">
        <v>43</v>
      </c>
      <c r="M35" s="738" t="s">
        <v>43</v>
      </c>
      <c r="N35" s="738" t="s">
        <v>43</v>
      </c>
      <c r="O35" s="738" t="s">
        <v>43</v>
      </c>
      <c r="P35" s="738" t="s">
        <v>4448</v>
      </c>
      <c r="Q35" s="738" t="s">
        <v>43</v>
      </c>
    </row>
    <row r="36" spans="1:17" ht="18">
      <c r="A36" s="693">
        <v>22</v>
      </c>
      <c r="B36" s="117" t="s">
        <v>12639</v>
      </c>
      <c r="C36" s="118">
        <v>623784</v>
      </c>
      <c r="D36" s="117" t="s">
        <v>199</v>
      </c>
      <c r="E36" s="127" t="s">
        <v>4417</v>
      </c>
      <c r="F36" s="117" t="s">
        <v>2329</v>
      </c>
      <c r="G36" s="117" t="s">
        <v>4357</v>
      </c>
      <c r="H36" s="117" t="s">
        <v>4358</v>
      </c>
      <c r="I36" s="117">
        <v>907</v>
      </c>
      <c r="J36" s="117" t="s">
        <v>4418</v>
      </c>
      <c r="K36" s="117" t="s">
        <v>423</v>
      </c>
      <c r="L36" s="738" t="s">
        <v>43</v>
      </c>
      <c r="M36" s="738" t="s">
        <v>14413</v>
      </c>
      <c r="N36" s="738" t="s">
        <v>43</v>
      </c>
      <c r="O36" s="738" t="s">
        <v>14416</v>
      </c>
      <c r="P36" s="117" t="s">
        <v>4410</v>
      </c>
      <c r="Q36" s="738" t="s">
        <v>43</v>
      </c>
    </row>
    <row r="37" spans="1:17" ht="18">
      <c r="A37" s="693">
        <v>23</v>
      </c>
      <c r="B37" s="117" t="s">
        <v>4455</v>
      </c>
      <c r="C37" s="118" t="s">
        <v>4359</v>
      </c>
      <c r="D37" s="117" t="s">
        <v>4412</v>
      </c>
      <c r="E37" s="127" t="s">
        <v>4417</v>
      </c>
      <c r="F37" s="117" t="s">
        <v>4457</v>
      </c>
      <c r="G37" s="117" t="s">
        <v>4360</v>
      </c>
      <c r="H37" s="117" t="s">
        <v>4361</v>
      </c>
      <c r="I37" s="738" t="s">
        <v>43</v>
      </c>
      <c r="J37" s="738" t="s">
        <v>43</v>
      </c>
      <c r="K37" s="117" t="s">
        <v>4458</v>
      </c>
      <c r="L37" s="738" t="s">
        <v>43</v>
      </c>
      <c r="M37" s="738" t="s">
        <v>14413</v>
      </c>
      <c r="N37" s="738" t="s">
        <v>43</v>
      </c>
      <c r="O37" s="738" t="s">
        <v>9245</v>
      </c>
      <c r="P37" s="738" t="s">
        <v>4459</v>
      </c>
      <c r="Q37" s="738" t="s">
        <v>43</v>
      </c>
    </row>
    <row r="38" spans="1:17" ht="18">
      <c r="A38" s="693">
        <v>24</v>
      </c>
      <c r="B38" s="117" t="s">
        <v>4456</v>
      </c>
      <c r="C38" s="118">
        <v>960112295304</v>
      </c>
      <c r="D38" s="117" t="s">
        <v>4412</v>
      </c>
      <c r="E38" s="127" t="s">
        <v>4417</v>
      </c>
      <c r="F38" s="117" t="s">
        <v>4457</v>
      </c>
      <c r="G38" s="117" t="s">
        <v>4365</v>
      </c>
      <c r="H38" s="117" t="s">
        <v>4366</v>
      </c>
      <c r="I38" s="738" t="s">
        <v>43</v>
      </c>
      <c r="J38" s="738" t="s">
        <v>43</v>
      </c>
      <c r="K38" s="117" t="s">
        <v>4458</v>
      </c>
      <c r="L38" s="738" t="s">
        <v>43</v>
      </c>
      <c r="M38" s="738" t="s">
        <v>14413</v>
      </c>
      <c r="N38" s="738" t="s">
        <v>43</v>
      </c>
      <c r="O38" s="738" t="s">
        <v>9245</v>
      </c>
      <c r="P38" s="738" t="s">
        <v>4459</v>
      </c>
      <c r="Q38" s="738" t="s">
        <v>43</v>
      </c>
    </row>
    <row r="39" spans="1:17" ht="18">
      <c r="A39" s="117">
        <v>25</v>
      </c>
      <c r="B39" s="117" t="s">
        <v>4373</v>
      </c>
      <c r="C39" s="738" t="s">
        <v>43</v>
      </c>
      <c r="D39" s="117" t="s">
        <v>204</v>
      </c>
      <c r="E39" s="117" t="s">
        <v>4451</v>
      </c>
      <c r="F39" s="117" t="s">
        <v>5135</v>
      </c>
      <c r="G39" s="117" t="s">
        <v>4374</v>
      </c>
      <c r="H39" s="117" t="s">
        <v>4375</v>
      </c>
      <c r="I39" s="117">
        <v>76</v>
      </c>
      <c r="J39" s="738" t="s">
        <v>43</v>
      </c>
      <c r="K39" s="117" t="s">
        <v>423</v>
      </c>
      <c r="L39" s="117" t="s">
        <v>4376</v>
      </c>
      <c r="M39" s="738" t="s">
        <v>43</v>
      </c>
      <c r="N39" s="738" t="s">
        <v>43</v>
      </c>
      <c r="O39" s="738" t="s">
        <v>43</v>
      </c>
      <c r="P39" s="738" t="s">
        <v>4448</v>
      </c>
      <c r="Q39" s="738" t="s">
        <v>43</v>
      </c>
    </row>
    <row r="40" spans="1:17" ht="18">
      <c r="A40" s="693">
        <v>26</v>
      </c>
      <c r="B40" s="117" t="s">
        <v>4395</v>
      </c>
      <c r="C40" s="118">
        <v>4010114981853</v>
      </c>
      <c r="D40" s="117" t="s">
        <v>204</v>
      </c>
      <c r="E40" s="127" t="s">
        <v>4417</v>
      </c>
      <c r="F40" s="117" t="s">
        <v>4457</v>
      </c>
      <c r="G40" s="128"/>
      <c r="H40" s="738" t="s">
        <v>43</v>
      </c>
      <c r="I40" s="738" t="s">
        <v>43</v>
      </c>
      <c r="J40" s="738" t="s">
        <v>43</v>
      </c>
      <c r="K40" s="117" t="s">
        <v>4460</v>
      </c>
      <c r="L40" s="738" t="s">
        <v>43</v>
      </c>
      <c r="M40" s="738" t="s">
        <v>14413</v>
      </c>
      <c r="N40" s="738" t="s">
        <v>43</v>
      </c>
      <c r="O40" s="738" t="s">
        <v>14415</v>
      </c>
      <c r="P40" s="738" t="s">
        <v>4459</v>
      </c>
      <c r="Q40" s="738" t="s">
        <v>43</v>
      </c>
    </row>
    <row r="41" spans="1:17" ht="18">
      <c r="A41" s="693">
        <v>27</v>
      </c>
      <c r="B41" s="754" t="s">
        <v>4397</v>
      </c>
      <c r="C41" s="116" t="s">
        <v>4461</v>
      </c>
      <c r="D41" s="117" t="s">
        <v>968</v>
      </c>
      <c r="E41" s="127" t="s">
        <v>4452</v>
      </c>
      <c r="F41" s="117" t="s">
        <v>2329</v>
      </c>
      <c r="G41" s="120" t="s">
        <v>4462</v>
      </c>
      <c r="H41" s="738" t="s">
        <v>43</v>
      </c>
      <c r="I41" s="115" t="s">
        <v>4463</v>
      </c>
      <c r="J41" s="117" t="s">
        <v>4418</v>
      </c>
      <c r="K41" s="117" t="s">
        <v>423</v>
      </c>
      <c r="L41" s="738" t="s">
        <v>43</v>
      </c>
      <c r="M41" s="738" t="s">
        <v>14413</v>
      </c>
      <c r="N41" s="738" t="s">
        <v>43</v>
      </c>
      <c r="O41" s="738" t="s">
        <v>14427</v>
      </c>
      <c r="P41" s="117" t="s">
        <v>4410</v>
      </c>
      <c r="Q41" s="738" t="s">
        <v>15764</v>
      </c>
    </row>
    <row r="42" spans="1:17" ht="18">
      <c r="A42" s="117">
        <v>28</v>
      </c>
      <c r="B42" s="115" t="s">
        <v>4472</v>
      </c>
      <c r="C42" s="116" t="s">
        <v>4464</v>
      </c>
      <c r="D42" s="117" t="s">
        <v>197</v>
      </c>
      <c r="E42" s="127" t="s">
        <v>4452</v>
      </c>
      <c r="F42" s="117" t="s">
        <v>2329</v>
      </c>
      <c r="G42" s="120" t="s">
        <v>4465</v>
      </c>
      <c r="H42" s="738" t="s">
        <v>43</v>
      </c>
      <c r="I42" s="115" t="s">
        <v>4466</v>
      </c>
      <c r="J42" s="117" t="s">
        <v>4467</v>
      </c>
      <c r="K42" s="117" t="s">
        <v>4468</v>
      </c>
      <c r="L42" s="738" t="s">
        <v>43</v>
      </c>
      <c r="M42" s="738" t="s">
        <v>43</v>
      </c>
      <c r="N42" s="738" t="s">
        <v>43</v>
      </c>
      <c r="O42" s="738" t="s">
        <v>43</v>
      </c>
      <c r="P42" s="117" t="s">
        <v>4410</v>
      </c>
      <c r="Q42" s="738" t="s">
        <v>43</v>
      </c>
    </row>
    <row r="43" spans="1:17" ht="18">
      <c r="A43" s="117">
        <v>29</v>
      </c>
      <c r="B43" s="115" t="s">
        <v>4469</v>
      </c>
      <c r="C43" s="132"/>
      <c r="D43" s="117" t="s">
        <v>203</v>
      </c>
      <c r="E43" s="127" t="s">
        <v>4417</v>
      </c>
      <c r="F43" s="117" t="s">
        <v>2329</v>
      </c>
      <c r="G43" s="117" t="s">
        <v>4398</v>
      </c>
      <c r="H43" s="117" t="s">
        <v>4399</v>
      </c>
      <c r="I43" s="117">
        <v>1877</v>
      </c>
      <c r="J43" s="117" t="s">
        <v>4470</v>
      </c>
      <c r="K43" s="117" t="s">
        <v>2476</v>
      </c>
      <c r="L43" s="738" t="s">
        <v>43</v>
      </c>
      <c r="M43" s="738" t="s">
        <v>43</v>
      </c>
      <c r="N43" s="738" t="s">
        <v>43</v>
      </c>
      <c r="O43" s="738" t="s">
        <v>43</v>
      </c>
      <c r="P43" s="117" t="s">
        <v>4410</v>
      </c>
      <c r="Q43" s="738" t="s">
        <v>4471</v>
      </c>
    </row>
    <row r="44" spans="1:17" ht="18">
      <c r="A44" s="117">
        <v>30</v>
      </c>
      <c r="B44" s="115" t="s">
        <v>4491</v>
      </c>
      <c r="C44" s="738" t="s">
        <v>43</v>
      </c>
      <c r="D44" s="117" t="s">
        <v>4413</v>
      </c>
      <c r="E44" s="117" t="s">
        <v>4451</v>
      </c>
      <c r="F44" s="117" t="s">
        <v>4414</v>
      </c>
      <c r="G44" s="738" t="s">
        <v>43</v>
      </c>
      <c r="H44" s="738" t="s">
        <v>43</v>
      </c>
      <c r="I44" s="117">
        <v>635</v>
      </c>
      <c r="J44" s="738" t="s">
        <v>43</v>
      </c>
      <c r="K44" s="117" t="s">
        <v>423</v>
      </c>
      <c r="L44" s="738" t="s">
        <v>43</v>
      </c>
      <c r="M44" s="738" t="s">
        <v>43</v>
      </c>
      <c r="N44" s="738" t="s">
        <v>43</v>
      </c>
      <c r="O44" s="738" t="s">
        <v>43</v>
      </c>
      <c r="P44" s="738" t="s">
        <v>4448</v>
      </c>
      <c r="Q44" s="738" t="s">
        <v>4492</v>
      </c>
    </row>
    <row r="45" spans="1:17" ht="17.25" customHeight="1">
      <c r="A45" s="756">
        <v>32</v>
      </c>
      <c r="B45" s="760" t="s">
        <v>4503</v>
      </c>
      <c r="C45" s="116" t="s">
        <v>4504</v>
      </c>
      <c r="D45" s="117" t="s">
        <v>4413</v>
      </c>
      <c r="E45" s="127" t="s">
        <v>4505</v>
      </c>
      <c r="F45" s="117" t="s">
        <v>2329</v>
      </c>
      <c r="G45" s="117" t="s">
        <v>4506</v>
      </c>
      <c r="H45" s="738" t="s">
        <v>43</v>
      </c>
      <c r="I45" s="129" t="s">
        <v>4507</v>
      </c>
      <c r="J45" s="117" t="s">
        <v>4416</v>
      </c>
      <c r="K45" s="117" t="s">
        <v>4508</v>
      </c>
      <c r="L45" s="738" t="s">
        <v>43</v>
      </c>
      <c r="M45" s="738" t="s">
        <v>43</v>
      </c>
      <c r="N45" s="738" t="s">
        <v>43</v>
      </c>
      <c r="O45" s="738" t="s">
        <v>43</v>
      </c>
      <c r="P45" s="117" t="s">
        <v>4410</v>
      </c>
      <c r="Q45" s="738" t="s">
        <v>43</v>
      </c>
    </row>
  </sheetData>
  <mergeCells count="14">
    <mergeCell ref="B34:B35"/>
    <mergeCell ref="A34:A35"/>
    <mergeCell ref="A26:A27"/>
    <mergeCell ref="B26:B27"/>
    <mergeCell ref="K34:K35"/>
    <mergeCell ref="A28:A31"/>
    <mergeCell ref="B28:B31"/>
    <mergeCell ref="J30:J31"/>
    <mergeCell ref="K28:K31"/>
    <mergeCell ref="P30:P31"/>
    <mergeCell ref="A32:A33"/>
    <mergeCell ref="B32:B33"/>
    <mergeCell ref="K32:K33"/>
    <mergeCell ref="L32:L3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E50"/>
  <sheetViews>
    <sheetView rightToLeft="1" workbookViewId="0">
      <selection activeCell="A16" sqref="A1:XFD1048576"/>
    </sheetView>
  </sheetViews>
  <sheetFormatPr defaultRowHeight="15"/>
  <cols>
    <col min="1" max="1" width="16.28515625" customWidth="1"/>
    <col min="2" max="2" width="21.42578125" customWidth="1"/>
    <col min="3" max="3" width="23.5703125" customWidth="1"/>
    <col min="4" max="4" width="24.140625" customWidth="1"/>
    <col min="5" max="5" width="33.140625" customWidth="1"/>
  </cols>
  <sheetData>
    <row r="2" spans="1:5" ht="19.5">
      <c r="A2" s="1731" t="s">
        <v>5282</v>
      </c>
      <c r="B2" s="1732"/>
      <c r="D2" s="1733" t="s">
        <v>5307</v>
      </c>
      <c r="E2" s="1734"/>
    </row>
    <row r="3" spans="1:5">
      <c r="A3" s="377" t="s">
        <v>5283</v>
      </c>
      <c r="B3" s="378" t="s">
        <v>5284</v>
      </c>
      <c r="D3" s="379" t="s">
        <v>5287</v>
      </c>
      <c r="E3" s="379" t="s">
        <v>5308</v>
      </c>
    </row>
    <row r="4" spans="1:5">
      <c r="A4" s="377" t="s">
        <v>5285</v>
      </c>
      <c r="B4" s="378" t="s">
        <v>5278</v>
      </c>
      <c r="D4" s="379" t="s">
        <v>5287</v>
      </c>
      <c r="E4" s="379" t="s">
        <v>5280</v>
      </c>
    </row>
    <row r="5" spans="1:5">
      <c r="A5" s="378" t="s">
        <v>5286</v>
      </c>
      <c r="B5" s="378" t="s">
        <v>5279</v>
      </c>
      <c r="D5" s="379" t="s">
        <v>5287</v>
      </c>
      <c r="E5" s="379" t="s">
        <v>5309</v>
      </c>
    </row>
    <row r="6" spans="1:5">
      <c r="A6" s="378" t="s">
        <v>5287</v>
      </c>
      <c r="B6" s="378" t="s">
        <v>5247</v>
      </c>
      <c r="D6" s="379" t="s">
        <v>5287</v>
      </c>
      <c r="E6" s="379" t="s">
        <v>5310</v>
      </c>
    </row>
    <row r="7" spans="1:5">
      <c r="A7" s="378" t="s">
        <v>5287</v>
      </c>
      <c r="B7" s="378" t="s">
        <v>5245</v>
      </c>
      <c r="D7" s="379" t="s">
        <v>5289</v>
      </c>
      <c r="E7" s="379" t="s">
        <v>5311</v>
      </c>
    </row>
    <row r="8" spans="1:5">
      <c r="A8" s="378" t="s">
        <v>5287</v>
      </c>
      <c r="B8" s="378" t="s">
        <v>5246</v>
      </c>
      <c r="D8" s="379" t="s">
        <v>5291</v>
      </c>
      <c r="E8" s="379" t="s">
        <v>5312</v>
      </c>
    </row>
    <row r="9" spans="1:5">
      <c r="A9" s="378" t="s">
        <v>5287</v>
      </c>
      <c r="B9" s="378" t="s">
        <v>5242</v>
      </c>
      <c r="D9" s="379" t="s">
        <v>5291</v>
      </c>
      <c r="E9" s="379" t="s">
        <v>5313</v>
      </c>
    </row>
    <row r="10" spans="1:5">
      <c r="A10" s="378" t="s">
        <v>5287</v>
      </c>
      <c r="B10" s="378" t="s">
        <v>5288</v>
      </c>
      <c r="D10" s="379" t="s">
        <v>5291</v>
      </c>
      <c r="E10" s="379" t="s">
        <v>5314</v>
      </c>
    </row>
    <row r="11" spans="1:5">
      <c r="A11" s="378" t="s">
        <v>5287</v>
      </c>
      <c r="B11" s="378" t="s">
        <v>5241</v>
      </c>
      <c r="D11" s="379" t="s">
        <v>5294</v>
      </c>
      <c r="E11" s="379" t="s">
        <v>5265</v>
      </c>
    </row>
    <row r="12" spans="1:5">
      <c r="A12" s="378" t="s">
        <v>5287</v>
      </c>
      <c r="B12" s="378" t="s">
        <v>5244</v>
      </c>
      <c r="D12" s="379" t="s">
        <v>5295</v>
      </c>
      <c r="E12" s="379" t="s">
        <v>5281</v>
      </c>
    </row>
    <row r="13" spans="1:5">
      <c r="A13" s="378" t="s">
        <v>5287</v>
      </c>
      <c r="B13" s="378" t="s">
        <v>5243</v>
      </c>
      <c r="D13" s="379" t="s">
        <v>5295</v>
      </c>
      <c r="E13" s="379" t="s">
        <v>5281</v>
      </c>
    </row>
    <row r="14" spans="1:5">
      <c r="A14" s="378" t="s">
        <v>5289</v>
      </c>
      <c r="B14" s="378" t="s">
        <v>5248</v>
      </c>
    </row>
    <row r="15" spans="1:5">
      <c r="A15" s="378" t="s">
        <v>5289</v>
      </c>
      <c r="B15" s="378" t="s">
        <v>5249</v>
      </c>
    </row>
    <row r="16" spans="1:5">
      <c r="A16" s="378" t="s">
        <v>5289</v>
      </c>
      <c r="B16" s="378" t="s">
        <v>5290</v>
      </c>
    </row>
    <row r="17" spans="1:5" ht="19.5">
      <c r="A17" s="378" t="s">
        <v>5291</v>
      </c>
      <c r="B17" s="378" t="s">
        <v>5256</v>
      </c>
      <c r="D17" s="1733" t="s">
        <v>5315</v>
      </c>
      <c r="E17" s="1734"/>
    </row>
    <row r="18" spans="1:5">
      <c r="A18" s="378" t="s">
        <v>5291</v>
      </c>
      <c r="B18" s="378" t="s">
        <v>5292</v>
      </c>
      <c r="D18" s="380" t="s">
        <v>5286</v>
      </c>
      <c r="E18" s="380" t="s">
        <v>5316</v>
      </c>
    </row>
    <row r="19" spans="1:5">
      <c r="A19" s="378" t="s">
        <v>5291</v>
      </c>
      <c r="B19" s="378" t="s">
        <v>5251</v>
      </c>
      <c r="D19" s="380" t="s">
        <v>5286</v>
      </c>
      <c r="E19" s="380" t="s">
        <v>5317</v>
      </c>
    </row>
    <row r="20" spans="1:5">
      <c r="A20" s="378" t="s">
        <v>5291</v>
      </c>
      <c r="B20" s="378" t="s">
        <v>5252</v>
      </c>
      <c r="D20" s="380" t="s">
        <v>5287</v>
      </c>
      <c r="E20" s="380" t="s">
        <v>5318</v>
      </c>
    </row>
    <row r="21" spans="1:5">
      <c r="A21" s="378" t="s">
        <v>5291</v>
      </c>
      <c r="B21" s="378" t="s">
        <v>5293</v>
      </c>
      <c r="D21" s="380" t="s">
        <v>5287</v>
      </c>
      <c r="E21" s="380" t="s">
        <v>5319</v>
      </c>
    </row>
    <row r="22" spans="1:5">
      <c r="A22" s="378" t="s">
        <v>5291</v>
      </c>
      <c r="B22" s="378" t="s">
        <v>5259</v>
      </c>
      <c r="D22" s="380" t="s">
        <v>5287</v>
      </c>
      <c r="E22" s="380" t="s">
        <v>5320</v>
      </c>
    </row>
    <row r="23" spans="1:5">
      <c r="A23" s="378" t="s">
        <v>5291</v>
      </c>
      <c r="B23" s="378" t="s">
        <v>5250</v>
      </c>
      <c r="D23" s="380" t="s">
        <v>5289</v>
      </c>
      <c r="E23" s="380" t="s">
        <v>5321</v>
      </c>
    </row>
    <row r="24" spans="1:5">
      <c r="A24" s="378" t="s">
        <v>5291</v>
      </c>
      <c r="B24" s="378" t="s">
        <v>5253</v>
      </c>
      <c r="D24" s="380" t="s">
        <v>5289</v>
      </c>
      <c r="E24" s="380" t="s">
        <v>5322</v>
      </c>
    </row>
    <row r="25" spans="1:5">
      <c r="A25" s="378" t="s">
        <v>5294</v>
      </c>
      <c r="B25" s="378" t="s">
        <v>5258</v>
      </c>
      <c r="D25" s="380" t="s">
        <v>5291</v>
      </c>
      <c r="E25" s="380" t="s">
        <v>5323</v>
      </c>
    </row>
    <row r="26" spans="1:5">
      <c r="A26" s="378" t="s">
        <v>5294</v>
      </c>
      <c r="B26" s="378" t="s">
        <v>5276</v>
      </c>
      <c r="D26" s="380" t="s">
        <v>5294</v>
      </c>
      <c r="E26" s="380" t="s">
        <v>5324</v>
      </c>
    </row>
    <row r="27" spans="1:5">
      <c r="A27" s="378" t="s">
        <v>5294</v>
      </c>
      <c r="B27" s="378" t="s">
        <v>5281</v>
      </c>
      <c r="D27" s="380" t="s">
        <v>5294</v>
      </c>
      <c r="E27" s="380" t="s">
        <v>5325</v>
      </c>
    </row>
    <row r="28" spans="1:5">
      <c r="A28" s="378" t="s">
        <v>5294</v>
      </c>
      <c r="B28" s="378" t="s">
        <v>5254</v>
      </c>
      <c r="D28" s="380" t="s">
        <v>5294</v>
      </c>
      <c r="E28" s="380" t="s">
        <v>5326</v>
      </c>
    </row>
    <row r="29" spans="1:5">
      <c r="A29" s="378" t="s">
        <v>5294</v>
      </c>
      <c r="B29" s="378" t="s">
        <v>5262</v>
      </c>
      <c r="D29" s="380" t="s">
        <v>5295</v>
      </c>
      <c r="E29" s="380" t="s">
        <v>4707</v>
      </c>
    </row>
    <row r="30" spans="1:5">
      <c r="A30" s="378" t="s">
        <v>5294</v>
      </c>
      <c r="B30" s="378" t="s">
        <v>5255</v>
      </c>
      <c r="D30" s="380" t="s">
        <v>5295</v>
      </c>
      <c r="E30" s="380" t="s">
        <v>5327</v>
      </c>
    </row>
    <row r="31" spans="1:5">
      <c r="A31" s="378" t="s">
        <v>5294</v>
      </c>
      <c r="B31" s="378" t="s">
        <v>5257</v>
      </c>
      <c r="D31" s="380" t="s">
        <v>5295</v>
      </c>
      <c r="E31" s="380" t="s">
        <v>5328</v>
      </c>
    </row>
    <row r="32" spans="1:5">
      <c r="A32" s="378" t="s">
        <v>5294</v>
      </c>
      <c r="B32" s="378" t="s">
        <v>5260</v>
      </c>
      <c r="D32" s="380" t="s">
        <v>5295</v>
      </c>
      <c r="E32" s="380" t="s">
        <v>5329</v>
      </c>
    </row>
    <row r="33" spans="1:5">
      <c r="A33" s="378" t="s">
        <v>5295</v>
      </c>
      <c r="B33" s="378" t="s">
        <v>5263</v>
      </c>
      <c r="D33" s="380" t="s">
        <v>5296</v>
      </c>
      <c r="E33" s="380" t="s">
        <v>5330</v>
      </c>
    </row>
    <row r="34" spans="1:5">
      <c r="A34" s="378" t="s">
        <v>5295</v>
      </c>
      <c r="B34" s="378" t="s">
        <v>5264</v>
      </c>
      <c r="D34" s="380" t="s">
        <v>5296</v>
      </c>
      <c r="E34" s="380" t="s">
        <v>5331</v>
      </c>
    </row>
    <row r="35" spans="1:5">
      <c r="A35" s="378" t="s">
        <v>5295</v>
      </c>
      <c r="B35" s="378" t="s">
        <v>5261</v>
      </c>
      <c r="D35" s="380" t="s">
        <v>5296</v>
      </c>
      <c r="E35" s="380" t="s">
        <v>5332</v>
      </c>
    </row>
    <row r="36" spans="1:5">
      <c r="A36" s="378" t="s">
        <v>5296</v>
      </c>
      <c r="B36" s="378" t="s">
        <v>5266</v>
      </c>
      <c r="D36" s="380" t="s">
        <v>5297</v>
      </c>
      <c r="E36" s="380" t="s">
        <v>5333</v>
      </c>
    </row>
    <row r="37" spans="1:5">
      <c r="A37" s="378" t="s">
        <v>5296</v>
      </c>
      <c r="B37" s="378" t="s">
        <v>5268</v>
      </c>
      <c r="D37" s="380" t="s">
        <v>5298</v>
      </c>
      <c r="E37" s="380" t="s">
        <v>5334</v>
      </c>
    </row>
    <row r="38" spans="1:5">
      <c r="A38" s="378" t="s">
        <v>5296</v>
      </c>
      <c r="B38" s="378" t="s">
        <v>5267</v>
      </c>
      <c r="D38" s="380" t="s">
        <v>5335</v>
      </c>
      <c r="E38" s="380" t="s">
        <v>5336</v>
      </c>
    </row>
    <row r="39" spans="1:5">
      <c r="A39" s="378" t="s">
        <v>5296</v>
      </c>
      <c r="B39" s="378" t="s">
        <v>5269</v>
      </c>
      <c r="D39" s="380" t="s">
        <v>11156</v>
      </c>
      <c r="E39" s="380" t="s">
        <v>5337</v>
      </c>
    </row>
    <row r="40" spans="1:5">
      <c r="A40" s="378" t="s">
        <v>5296</v>
      </c>
      <c r="B40" s="378" t="s">
        <v>5270</v>
      </c>
      <c r="D40" s="380" t="s">
        <v>11157</v>
      </c>
      <c r="E40" s="380" t="s">
        <v>5338</v>
      </c>
    </row>
    <row r="41" spans="1:5">
      <c r="A41" s="378" t="s">
        <v>5297</v>
      </c>
      <c r="B41" s="378" t="s">
        <v>5271</v>
      </c>
      <c r="D41" s="380" t="s">
        <v>5298</v>
      </c>
      <c r="E41" s="380" t="s">
        <v>5334</v>
      </c>
    </row>
    <row r="42" spans="1:5">
      <c r="A42" s="378" t="s">
        <v>5297</v>
      </c>
      <c r="B42" s="378" t="s">
        <v>5273</v>
      </c>
      <c r="D42" s="380" t="s">
        <v>5335</v>
      </c>
      <c r="E42" s="380" t="s">
        <v>5336</v>
      </c>
    </row>
    <row r="43" spans="1:5">
      <c r="A43" s="378" t="s">
        <v>5297</v>
      </c>
      <c r="B43" s="378" t="s">
        <v>5274</v>
      </c>
      <c r="D43" s="380" t="s">
        <v>11159</v>
      </c>
      <c r="E43" s="380" t="s">
        <v>11158</v>
      </c>
    </row>
    <row r="44" spans="1:5">
      <c r="A44" s="378" t="s">
        <v>5297</v>
      </c>
      <c r="B44" s="378" t="s">
        <v>5272</v>
      </c>
      <c r="D44" s="380" t="s">
        <v>11160</v>
      </c>
      <c r="E44" s="380" t="s">
        <v>11161</v>
      </c>
    </row>
    <row r="45" spans="1:5">
      <c r="A45" s="378" t="s">
        <v>5298</v>
      </c>
      <c r="B45" s="378" t="s">
        <v>5275</v>
      </c>
      <c r="D45" s="380" t="s">
        <v>11162</v>
      </c>
      <c r="E45" s="380" t="s">
        <v>11163</v>
      </c>
    </row>
    <row r="46" spans="1:5">
      <c r="A46" s="378" t="s">
        <v>5299</v>
      </c>
      <c r="B46" s="378" t="s">
        <v>5300</v>
      </c>
    </row>
    <row r="47" spans="1:5">
      <c r="A47" s="378" t="s">
        <v>5301</v>
      </c>
      <c r="B47" s="378" t="s">
        <v>5302</v>
      </c>
    </row>
    <row r="48" spans="1:5">
      <c r="A48" s="378" t="s">
        <v>11164</v>
      </c>
      <c r="B48" s="378" t="s">
        <v>5277</v>
      </c>
    </row>
    <row r="49" spans="1:2">
      <c r="A49" s="378" t="s">
        <v>5303</v>
      </c>
      <c r="B49" s="378" t="s">
        <v>5304</v>
      </c>
    </row>
    <row r="50" spans="1:2">
      <c r="A50" s="378" t="s">
        <v>5305</v>
      </c>
      <c r="B50" s="378" t="s">
        <v>5306</v>
      </c>
    </row>
  </sheetData>
  <mergeCells count="3">
    <mergeCell ref="A2:B2"/>
    <mergeCell ref="D2:E2"/>
    <mergeCell ref="D17:E1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31"/>
  <sheetViews>
    <sheetView rightToLeft="1" topLeftCell="A70" zoomScale="98" zoomScaleNormal="98" workbookViewId="0">
      <selection activeCell="B84" sqref="B84"/>
    </sheetView>
  </sheetViews>
  <sheetFormatPr defaultColWidth="9.140625" defaultRowHeight="15"/>
  <cols>
    <col min="1" max="1" width="10.140625" style="114" bestFit="1" customWidth="1"/>
    <col min="2" max="2" width="11.5703125" style="114" bestFit="1" customWidth="1"/>
    <col min="3" max="3" width="16.28515625" style="114" bestFit="1" customWidth="1"/>
    <col min="4" max="4" width="11.5703125" style="114" bestFit="1" customWidth="1"/>
    <col min="5" max="5" width="87.140625" style="114" customWidth="1"/>
    <col min="6" max="6" width="41.140625" style="114" customWidth="1"/>
    <col min="7" max="7" width="12" style="114" bestFit="1" customWidth="1"/>
    <col min="8" max="8" width="15.42578125" style="114" bestFit="1" customWidth="1"/>
    <col min="9" max="9" width="18.28515625" style="114" bestFit="1" customWidth="1"/>
    <col min="10" max="11" width="9.140625" style="114"/>
    <col min="12" max="12" width="11" style="114" bestFit="1" customWidth="1"/>
    <col min="13" max="13" width="10.5703125" style="114" bestFit="1" customWidth="1"/>
    <col min="14" max="14" width="23.28515625" style="114" bestFit="1" customWidth="1"/>
    <col min="15" max="15" width="21.7109375" style="114" bestFit="1" customWidth="1"/>
    <col min="16" max="16" width="5.85546875" style="114" bestFit="1" customWidth="1"/>
    <col min="17" max="18" width="17" style="114" bestFit="1" customWidth="1"/>
    <col min="19" max="19" width="124.85546875" style="114" bestFit="1" customWidth="1"/>
    <col min="20" max="16384" width="9.140625" style="114"/>
  </cols>
  <sheetData>
    <row r="1" spans="1:19" s="205" customFormat="1" ht="25.5" customHeight="1" thickTop="1" thickBot="1">
      <c r="A1" s="398" t="s">
        <v>0</v>
      </c>
      <c r="B1" s="398" t="s">
        <v>11182</v>
      </c>
      <c r="C1" s="398" t="s">
        <v>2</v>
      </c>
      <c r="D1" s="398" t="s">
        <v>3</v>
      </c>
      <c r="E1" s="398" t="s">
        <v>11181</v>
      </c>
      <c r="F1" s="398" t="s">
        <v>11181</v>
      </c>
      <c r="G1" s="398" t="s">
        <v>7</v>
      </c>
      <c r="H1" s="398" t="s">
        <v>11183</v>
      </c>
      <c r="I1" s="398" t="s">
        <v>11184</v>
      </c>
      <c r="J1" s="570" t="s">
        <v>12063</v>
      </c>
      <c r="L1" s="308" t="s">
        <v>0</v>
      </c>
      <c r="M1" s="309" t="s">
        <v>7726</v>
      </c>
      <c r="N1" s="309" t="s">
        <v>7731</v>
      </c>
      <c r="O1" s="309" t="s">
        <v>196</v>
      </c>
      <c r="P1" s="309" t="s">
        <v>7727</v>
      </c>
      <c r="Q1" s="309" t="s">
        <v>7728</v>
      </c>
      <c r="R1" s="309" t="s">
        <v>11096</v>
      </c>
      <c r="S1" s="310" t="s">
        <v>4406</v>
      </c>
    </row>
    <row r="2" spans="1:19" ht="21.75" thickTop="1">
      <c r="A2" s="1136">
        <v>1</v>
      </c>
      <c r="B2" s="1137">
        <v>344</v>
      </c>
      <c r="C2" s="1138" t="s">
        <v>2476</v>
      </c>
      <c r="D2" s="1138" t="s">
        <v>2476</v>
      </c>
      <c r="E2" s="1138" t="s">
        <v>11354</v>
      </c>
      <c r="F2" s="1139" t="s">
        <v>4594</v>
      </c>
      <c r="G2" s="1138" t="s">
        <v>16272</v>
      </c>
      <c r="H2" s="1138" t="s">
        <v>45</v>
      </c>
      <c r="I2" s="1140">
        <v>12288</v>
      </c>
      <c r="J2" s="1141" t="s">
        <v>16271</v>
      </c>
      <c r="L2" s="311">
        <v>1</v>
      </c>
      <c r="M2" s="1735" t="s">
        <v>51</v>
      </c>
      <c r="N2" s="313" t="s">
        <v>7748</v>
      </c>
      <c r="O2" s="312" t="s">
        <v>7746</v>
      </c>
      <c r="P2" s="312">
        <v>1</v>
      </c>
      <c r="Q2" s="314">
        <f>9900000000+990000000</f>
        <v>10890000000</v>
      </c>
      <c r="R2" s="314">
        <f>P2*Q2</f>
        <v>10890000000</v>
      </c>
      <c r="S2" s="315" t="s">
        <v>7749</v>
      </c>
    </row>
    <row r="3" spans="1:19" ht="21">
      <c r="A3" s="391">
        <v>2</v>
      </c>
      <c r="B3" s="396">
        <v>200</v>
      </c>
      <c r="C3" s="394" t="s">
        <v>423</v>
      </c>
      <c r="D3" s="394" t="s">
        <v>423</v>
      </c>
      <c r="E3" s="394" t="s">
        <v>11340</v>
      </c>
      <c r="F3" s="394" t="s">
        <v>4595</v>
      </c>
      <c r="G3" s="393" t="s">
        <v>51</v>
      </c>
      <c r="H3" s="393" t="s">
        <v>45</v>
      </c>
      <c r="I3" s="397">
        <v>2048</v>
      </c>
      <c r="J3" s="566"/>
      <c r="L3" s="386"/>
      <c r="M3" s="1736"/>
      <c r="N3" s="387"/>
      <c r="O3" s="388"/>
      <c r="P3" s="388"/>
      <c r="Q3" s="389"/>
      <c r="R3" s="389"/>
      <c r="S3" s="390"/>
    </row>
    <row r="4" spans="1:19" ht="21">
      <c r="A4" s="391">
        <v>3</v>
      </c>
      <c r="B4" s="392">
        <v>234</v>
      </c>
      <c r="C4" s="393" t="s">
        <v>1595</v>
      </c>
      <c r="D4" s="393" t="s">
        <v>1829</v>
      </c>
      <c r="E4" s="393" t="s">
        <v>11285</v>
      </c>
      <c r="F4" s="394" t="s">
        <v>1830</v>
      </c>
      <c r="G4" s="393" t="s">
        <v>51</v>
      </c>
      <c r="H4" s="393" t="s">
        <v>45</v>
      </c>
      <c r="I4" s="395">
        <v>256</v>
      </c>
      <c r="J4" s="566"/>
      <c r="L4" s="256">
        <v>2</v>
      </c>
      <c r="M4" s="1737"/>
      <c r="N4" s="267" t="s">
        <v>7729</v>
      </c>
      <c r="O4" s="257" t="s">
        <v>7745</v>
      </c>
      <c r="P4" s="257" t="s">
        <v>7745</v>
      </c>
      <c r="Q4" s="258">
        <f>25000000+2500000</f>
        <v>27500000</v>
      </c>
      <c r="R4" s="257" t="s">
        <v>7745</v>
      </c>
      <c r="S4" s="259" t="s">
        <v>9163</v>
      </c>
    </row>
    <row r="5" spans="1:19" ht="21">
      <c r="A5" s="391">
        <v>4</v>
      </c>
      <c r="B5" s="396">
        <v>216</v>
      </c>
      <c r="C5" s="394" t="s">
        <v>1604</v>
      </c>
      <c r="D5" s="394" t="s">
        <v>1605</v>
      </c>
      <c r="E5" s="394" t="s">
        <v>11309</v>
      </c>
      <c r="F5" s="394" t="s">
        <v>2259</v>
      </c>
      <c r="G5" s="393" t="s">
        <v>51</v>
      </c>
      <c r="H5" s="393" t="s">
        <v>45</v>
      </c>
      <c r="I5" s="397">
        <v>256</v>
      </c>
      <c r="J5" s="566"/>
      <c r="L5" s="256">
        <v>3</v>
      </c>
      <c r="M5" s="1737"/>
      <c r="N5" s="267" t="s">
        <v>7730</v>
      </c>
      <c r="O5" s="257" t="s">
        <v>7745</v>
      </c>
      <c r="P5" s="257" t="s">
        <v>7745</v>
      </c>
      <c r="Q5" s="258">
        <f>30000000+3000000</f>
        <v>33000000</v>
      </c>
      <c r="R5" s="257" t="s">
        <v>7745</v>
      </c>
      <c r="S5" s="259" t="s">
        <v>9163</v>
      </c>
    </row>
    <row r="6" spans="1:19" ht="21">
      <c r="A6" s="391">
        <v>5</v>
      </c>
      <c r="B6" s="392">
        <v>384</v>
      </c>
      <c r="C6" s="393" t="s">
        <v>2554</v>
      </c>
      <c r="D6" s="393" t="s">
        <v>2555</v>
      </c>
      <c r="E6" s="393" t="s">
        <v>11332</v>
      </c>
      <c r="F6" s="394" t="s">
        <v>2555</v>
      </c>
      <c r="G6" s="393" t="s">
        <v>51</v>
      </c>
      <c r="H6" s="393" t="s">
        <v>45</v>
      </c>
      <c r="I6" s="395">
        <v>128</v>
      </c>
      <c r="J6" s="566"/>
      <c r="L6" s="316">
        <v>4</v>
      </c>
      <c r="M6" s="1738"/>
      <c r="N6" s="317" t="s">
        <v>9252</v>
      </c>
      <c r="O6" s="257" t="s">
        <v>7745</v>
      </c>
      <c r="P6" s="307">
        <v>61</v>
      </c>
      <c r="Q6" s="318">
        <f>4250000+425000</f>
        <v>4675000</v>
      </c>
      <c r="R6" s="258">
        <f>P6*Q6</f>
        <v>285175000</v>
      </c>
      <c r="S6" s="319" t="s">
        <v>9253</v>
      </c>
    </row>
    <row r="7" spans="1:19" ht="21.75" thickBot="1">
      <c r="A7" s="391">
        <v>6</v>
      </c>
      <c r="B7" s="396" t="s">
        <v>43</v>
      </c>
      <c r="C7" s="394" t="s">
        <v>2592</v>
      </c>
      <c r="D7" s="394" t="s">
        <v>2592</v>
      </c>
      <c r="E7" s="394" t="s">
        <v>11262</v>
      </c>
      <c r="F7" s="394" t="s">
        <v>2664</v>
      </c>
      <c r="G7" s="393" t="s">
        <v>51</v>
      </c>
      <c r="H7" s="393" t="s">
        <v>45</v>
      </c>
      <c r="I7" s="397">
        <v>128</v>
      </c>
      <c r="J7" s="566"/>
      <c r="L7" s="260">
        <v>3</v>
      </c>
      <c r="M7" s="1739"/>
      <c r="N7" s="268" t="s">
        <v>9162</v>
      </c>
      <c r="O7" s="261" t="s">
        <v>7745</v>
      </c>
      <c r="P7" s="261">
        <v>6</v>
      </c>
      <c r="Q7" s="262">
        <f>90227004/6</f>
        <v>15037834</v>
      </c>
      <c r="R7" s="258">
        <f>P7*Q7</f>
        <v>90227004</v>
      </c>
      <c r="S7" s="263" t="s">
        <v>9254</v>
      </c>
    </row>
    <row r="8" spans="1:19" ht="21.75" thickTop="1">
      <c r="A8" s="391">
        <v>7</v>
      </c>
      <c r="B8" s="392" t="s">
        <v>43</v>
      </c>
      <c r="C8" s="393" t="s">
        <v>2592</v>
      </c>
      <c r="D8" s="393" t="s">
        <v>2592</v>
      </c>
      <c r="E8" s="393" t="s">
        <v>11263</v>
      </c>
      <c r="F8" s="394" t="s">
        <v>2669</v>
      </c>
      <c r="G8" s="393" t="s">
        <v>51</v>
      </c>
      <c r="H8" s="393" t="s">
        <v>45</v>
      </c>
      <c r="I8" s="395">
        <v>128</v>
      </c>
      <c r="J8" s="566"/>
      <c r="Q8" s="114" t="s">
        <v>9164</v>
      </c>
      <c r="R8" s="269"/>
    </row>
    <row r="9" spans="1:19" ht="21">
      <c r="A9" s="391">
        <v>8</v>
      </c>
      <c r="B9" s="396" t="s">
        <v>43</v>
      </c>
      <c r="C9" s="394" t="s">
        <v>2592</v>
      </c>
      <c r="D9" s="394" t="s">
        <v>2592</v>
      </c>
      <c r="E9" s="394" t="s">
        <v>11260</v>
      </c>
      <c r="F9" s="394" t="s">
        <v>2687</v>
      </c>
      <c r="G9" s="393" t="s">
        <v>51</v>
      </c>
      <c r="H9" s="393" t="s">
        <v>45</v>
      </c>
      <c r="I9" s="397">
        <v>128</v>
      </c>
      <c r="J9" s="566"/>
    </row>
    <row r="10" spans="1:19" ht="21">
      <c r="A10" s="391">
        <v>9</v>
      </c>
      <c r="B10" s="392" t="s">
        <v>43</v>
      </c>
      <c r="C10" s="393" t="s">
        <v>334</v>
      </c>
      <c r="D10" s="393" t="s">
        <v>331</v>
      </c>
      <c r="E10" s="393" t="s">
        <v>11249</v>
      </c>
      <c r="F10" s="394" t="s">
        <v>374</v>
      </c>
      <c r="G10" s="393" t="s">
        <v>51</v>
      </c>
      <c r="H10" s="393" t="s">
        <v>45</v>
      </c>
      <c r="I10" s="395">
        <v>128</v>
      </c>
      <c r="J10" s="566"/>
    </row>
    <row r="11" spans="1:19" ht="21">
      <c r="A11" s="391">
        <v>10</v>
      </c>
      <c r="B11" s="396">
        <v>304</v>
      </c>
      <c r="C11" s="394" t="s">
        <v>25</v>
      </c>
      <c r="D11" s="394" t="s">
        <v>25</v>
      </c>
      <c r="E11" s="394" t="s">
        <v>11253</v>
      </c>
      <c r="F11" s="394" t="s">
        <v>25</v>
      </c>
      <c r="G11" s="393" t="s">
        <v>51</v>
      </c>
      <c r="H11" s="393" t="s">
        <v>45</v>
      </c>
      <c r="I11" s="397">
        <v>64</v>
      </c>
      <c r="J11" s="566"/>
    </row>
    <row r="12" spans="1:19" ht="21">
      <c r="A12" s="391">
        <v>11</v>
      </c>
      <c r="B12" s="392">
        <v>249</v>
      </c>
      <c r="C12" s="393" t="s">
        <v>267</v>
      </c>
      <c r="D12" s="393" t="s">
        <v>267</v>
      </c>
      <c r="E12" s="393" t="s">
        <v>11259</v>
      </c>
      <c r="F12" s="394" t="s">
        <v>268</v>
      </c>
      <c r="G12" s="393" t="s">
        <v>51</v>
      </c>
      <c r="H12" s="393" t="s">
        <v>45</v>
      </c>
      <c r="I12" s="395">
        <v>64</v>
      </c>
      <c r="J12" s="566"/>
    </row>
    <row r="13" spans="1:19" ht="21">
      <c r="A13" s="391">
        <v>12</v>
      </c>
      <c r="B13" s="396">
        <v>353</v>
      </c>
      <c r="C13" s="394" t="s">
        <v>267</v>
      </c>
      <c r="D13" s="394" t="s">
        <v>267</v>
      </c>
      <c r="E13" s="394" t="s">
        <v>11276</v>
      </c>
      <c r="F13" s="394" t="s">
        <v>294</v>
      </c>
      <c r="G13" s="393" t="s">
        <v>51</v>
      </c>
      <c r="H13" s="393" t="s">
        <v>45</v>
      </c>
      <c r="I13" s="397">
        <v>64</v>
      </c>
      <c r="J13" s="566"/>
    </row>
    <row r="14" spans="1:19" ht="21">
      <c r="A14" s="391">
        <v>13</v>
      </c>
      <c r="B14" s="392">
        <v>399</v>
      </c>
      <c r="C14" s="393" t="s">
        <v>331</v>
      </c>
      <c r="D14" s="393" t="s">
        <v>339</v>
      </c>
      <c r="E14" s="393" t="s">
        <v>11250</v>
      </c>
      <c r="F14" s="394" t="s">
        <v>339</v>
      </c>
      <c r="G14" s="393" t="s">
        <v>51</v>
      </c>
      <c r="H14" s="393" t="s">
        <v>45</v>
      </c>
      <c r="I14" s="395">
        <v>64</v>
      </c>
      <c r="J14" s="566"/>
    </row>
    <row r="15" spans="1:19" ht="21">
      <c r="A15" s="391">
        <v>14</v>
      </c>
      <c r="B15" s="396">
        <v>505</v>
      </c>
      <c r="C15" s="394" t="s">
        <v>331</v>
      </c>
      <c r="D15" s="394" t="s">
        <v>332</v>
      </c>
      <c r="E15" s="394" t="s">
        <v>11251</v>
      </c>
      <c r="F15" s="394" t="s">
        <v>350</v>
      </c>
      <c r="G15" s="393" t="s">
        <v>51</v>
      </c>
      <c r="H15" s="393" t="s">
        <v>45</v>
      </c>
      <c r="I15" s="397">
        <v>64</v>
      </c>
      <c r="J15" s="566"/>
    </row>
    <row r="16" spans="1:19" ht="21">
      <c r="A16" s="391">
        <v>15</v>
      </c>
      <c r="B16" s="392">
        <v>355</v>
      </c>
      <c r="C16" s="393" t="s">
        <v>331</v>
      </c>
      <c r="D16" s="393" t="s">
        <v>332</v>
      </c>
      <c r="E16" s="393" t="s">
        <v>11252</v>
      </c>
      <c r="F16" s="394" t="s">
        <v>333</v>
      </c>
      <c r="G16" s="393" t="s">
        <v>51</v>
      </c>
      <c r="H16" s="393" t="s">
        <v>45</v>
      </c>
      <c r="I16" s="395">
        <v>64</v>
      </c>
      <c r="J16" s="566"/>
    </row>
    <row r="17" spans="1:10" ht="21">
      <c r="A17" s="391">
        <v>16</v>
      </c>
      <c r="B17" s="392">
        <v>471</v>
      </c>
      <c r="C17" s="393" t="s">
        <v>234</v>
      </c>
      <c r="D17" s="393" t="s">
        <v>234</v>
      </c>
      <c r="E17" s="393" t="s">
        <v>11258</v>
      </c>
      <c r="F17" s="394" t="s">
        <v>254</v>
      </c>
      <c r="G17" s="393" t="s">
        <v>51</v>
      </c>
      <c r="H17" s="393" t="s">
        <v>45</v>
      </c>
      <c r="I17" s="395">
        <v>64</v>
      </c>
      <c r="J17" s="566"/>
    </row>
    <row r="18" spans="1:10" ht="21">
      <c r="A18" s="391">
        <v>17</v>
      </c>
      <c r="B18" s="396">
        <v>314</v>
      </c>
      <c r="C18" s="394" t="s">
        <v>26</v>
      </c>
      <c r="D18" s="394" t="s">
        <v>138</v>
      </c>
      <c r="E18" s="394" t="s">
        <v>11255</v>
      </c>
      <c r="F18" s="394" t="s">
        <v>138</v>
      </c>
      <c r="G18" s="393" t="s">
        <v>51</v>
      </c>
      <c r="H18" s="393" t="s">
        <v>45</v>
      </c>
      <c r="I18" s="397">
        <v>64</v>
      </c>
      <c r="J18" s="566"/>
    </row>
    <row r="19" spans="1:10" ht="21">
      <c r="A19" s="391">
        <v>18</v>
      </c>
      <c r="B19" s="392">
        <v>322</v>
      </c>
      <c r="C19" s="393" t="s">
        <v>94</v>
      </c>
      <c r="D19" s="393" t="s">
        <v>95</v>
      </c>
      <c r="E19" s="393" t="s">
        <v>11254</v>
      </c>
      <c r="F19" s="394" t="s">
        <v>95</v>
      </c>
      <c r="G19" s="393" t="s">
        <v>51</v>
      </c>
      <c r="H19" s="393" t="s">
        <v>45</v>
      </c>
      <c r="I19" s="395">
        <v>64</v>
      </c>
      <c r="J19" s="566"/>
    </row>
    <row r="20" spans="1:10" ht="21">
      <c r="A20" s="391">
        <v>19</v>
      </c>
      <c r="B20" s="396" t="s">
        <v>9064</v>
      </c>
      <c r="C20" s="394" t="s">
        <v>376</v>
      </c>
      <c r="D20" s="394" t="s">
        <v>396</v>
      </c>
      <c r="E20" s="394" t="s">
        <v>11257</v>
      </c>
      <c r="F20" s="394" t="s">
        <v>11355</v>
      </c>
      <c r="G20" s="393" t="s">
        <v>51</v>
      </c>
      <c r="H20" s="393" t="s">
        <v>45</v>
      </c>
      <c r="I20" s="397">
        <v>128</v>
      </c>
      <c r="J20" s="566"/>
    </row>
    <row r="21" spans="1:10" ht="21">
      <c r="A21" s="391">
        <v>20</v>
      </c>
      <c r="B21" s="392">
        <v>456</v>
      </c>
      <c r="C21" s="393" t="s">
        <v>376</v>
      </c>
      <c r="D21" s="393" t="s">
        <v>376</v>
      </c>
      <c r="E21" s="393" t="s">
        <v>11256</v>
      </c>
      <c r="F21" s="394" t="s">
        <v>377</v>
      </c>
      <c r="G21" s="393" t="s">
        <v>51</v>
      </c>
      <c r="H21" s="393" t="s">
        <v>45</v>
      </c>
      <c r="I21" s="395">
        <v>64</v>
      </c>
      <c r="J21" s="566"/>
    </row>
    <row r="22" spans="1:10" ht="21">
      <c r="A22" s="391">
        <v>21</v>
      </c>
      <c r="B22" s="396">
        <v>248</v>
      </c>
      <c r="C22" s="394" t="s">
        <v>423</v>
      </c>
      <c r="D22" s="394" t="s">
        <v>423</v>
      </c>
      <c r="E22" s="394" t="s">
        <v>11345</v>
      </c>
      <c r="F22" s="394" t="s">
        <v>424</v>
      </c>
      <c r="G22" s="393" t="s">
        <v>51</v>
      </c>
      <c r="H22" s="393" t="s">
        <v>45</v>
      </c>
      <c r="I22" s="397">
        <v>64</v>
      </c>
      <c r="J22" s="566"/>
    </row>
    <row r="23" spans="1:10" ht="21">
      <c r="A23" s="391">
        <v>22</v>
      </c>
      <c r="B23" s="392">
        <v>266</v>
      </c>
      <c r="C23" s="393" t="s">
        <v>423</v>
      </c>
      <c r="D23" s="393" t="s">
        <v>423</v>
      </c>
      <c r="E23" s="393" t="s">
        <v>11341</v>
      </c>
      <c r="F23" s="394" t="s">
        <v>440</v>
      </c>
      <c r="G23" s="393" t="s">
        <v>51</v>
      </c>
      <c r="H23" s="393" t="s">
        <v>45</v>
      </c>
      <c r="I23" s="395">
        <v>64</v>
      </c>
      <c r="J23" s="566"/>
    </row>
    <row r="24" spans="1:10" ht="21">
      <c r="A24" s="391">
        <v>23</v>
      </c>
      <c r="B24" s="396">
        <v>287</v>
      </c>
      <c r="C24" s="394" t="s">
        <v>423</v>
      </c>
      <c r="D24" s="394" t="s">
        <v>423</v>
      </c>
      <c r="E24" s="394" t="s">
        <v>11342</v>
      </c>
      <c r="F24" s="394" t="s">
        <v>451</v>
      </c>
      <c r="G24" s="393" t="s">
        <v>51</v>
      </c>
      <c r="H24" s="393" t="s">
        <v>45</v>
      </c>
      <c r="I24" s="397">
        <v>64</v>
      </c>
      <c r="J24" s="566"/>
    </row>
    <row r="25" spans="1:10" ht="21">
      <c r="A25" s="391">
        <v>24</v>
      </c>
      <c r="B25" s="392">
        <v>295</v>
      </c>
      <c r="C25" s="393" t="s">
        <v>423</v>
      </c>
      <c r="D25" s="393" t="s">
        <v>423</v>
      </c>
      <c r="E25" s="393" t="s">
        <v>11344</v>
      </c>
      <c r="F25" s="394" t="s">
        <v>462</v>
      </c>
      <c r="G25" s="393" t="s">
        <v>51</v>
      </c>
      <c r="H25" s="393" t="s">
        <v>45</v>
      </c>
      <c r="I25" s="395">
        <v>64</v>
      </c>
      <c r="J25" s="566"/>
    </row>
    <row r="26" spans="1:10" ht="21">
      <c r="A26" s="391">
        <v>25</v>
      </c>
      <c r="B26" s="396">
        <v>340</v>
      </c>
      <c r="C26" s="394" t="s">
        <v>423</v>
      </c>
      <c r="D26" s="394" t="s">
        <v>423</v>
      </c>
      <c r="E26" s="394" t="s">
        <v>11343</v>
      </c>
      <c r="F26" s="394" t="s">
        <v>467</v>
      </c>
      <c r="G26" s="393" t="s">
        <v>51</v>
      </c>
      <c r="H26" s="393" t="s">
        <v>45</v>
      </c>
      <c r="I26" s="397">
        <v>64</v>
      </c>
      <c r="J26" s="566"/>
    </row>
    <row r="27" spans="1:10" ht="21">
      <c r="A27" s="391">
        <v>26</v>
      </c>
      <c r="B27" s="392">
        <v>410</v>
      </c>
      <c r="C27" s="393" t="s">
        <v>423</v>
      </c>
      <c r="D27" s="393" t="s">
        <v>423</v>
      </c>
      <c r="E27" s="393" t="s">
        <v>11338</v>
      </c>
      <c r="F27" s="394" t="s">
        <v>497</v>
      </c>
      <c r="G27" s="393" t="s">
        <v>51</v>
      </c>
      <c r="H27" s="393" t="s">
        <v>45</v>
      </c>
      <c r="I27" s="395">
        <v>64</v>
      </c>
      <c r="J27" s="566"/>
    </row>
    <row r="28" spans="1:10" ht="21">
      <c r="A28" s="391">
        <v>27</v>
      </c>
      <c r="B28" s="396">
        <v>454</v>
      </c>
      <c r="C28" s="394" t="s">
        <v>423</v>
      </c>
      <c r="D28" s="394" t="s">
        <v>423</v>
      </c>
      <c r="E28" s="394" t="s">
        <v>11347</v>
      </c>
      <c r="F28" s="394" t="s">
        <v>11356</v>
      </c>
      <c r="G28" s="393" t="s">
        <v>51</v>
      </c>
      <c r="H28" s="393" t="s">
        <v>45</v>
      </c>
      <c r="I28" s="397">
        <v>64</v>
      </c>
      <c r="J28" s="566"/>
    </row>
    <row r="29" spans="1:10" ht="21">
      <c r="A29" s="391">
        <v>28</v>
      </c>
      <c r="B29" s="392">
        <v>457</v>
      </c>
      <c r="C29" s="393" t="s">
        <v>423</v>
      </c>
      <c r="D29" s="393" t="s">
        <v>604</v>
      </c>
      <c r="E29" s="393" t="s">
        <v>11337</v>
      </c>
      <c r="F29" s="394" t="s">
        <v>605</v>
      </c>
      <c r="G29" s="393" t="s">
        <v>51</v>
      </c>
      <c r="H29" s="393" t="s">
        <v>45</v>
      </c>
      <c r="I29" s="395">
        <v>64</v>
      </c>
      <c r="J29" s="566"/>
    </row>
    <row r="30" spans="1:10" ht="21">
      <c r="A30" s="391">
        <v>29</v>
      </c>
      <c r="B30" s="396">
        <v>458</v>
      </c>
      <c r="C30" s="394" t="s">
        <v>423</v>
      </c>
      <c r="D30" s="394" t="s">
        <v>423</v>
      </c>
      <c r="E30" s="394" t="s">
        <v>11336</v>
      </c>
      <c r="F30" s="394" t="s">
        <v>612</v>
      </c>
      <c r="G30" s="393" t="s">
        <v>51</v>
      </c>
      <c r="H30" s="393" t="s">
        <v>45</v>
      </c>
      <c r="I30" s="397">
        <v>64</v>
      </c>
      <c r="J30" s="566"/>
    </row>
    <row r="31" spans="1:10" ht="21">
      <c r="A31" s="391">
        <v>30</v>
      </c>
      <c r="B31" s="392">
        <v>459</v>
      </c>
      <c r="C31" s="393" t="s">
        <v>423</v>
      </c>
      <c r="D31" s="393" t="s">
        <v>423</v>
      </c>
      <c r="E31" s="393" t="s">
        <v>11339</v>
      </c>
      <c r="F31" s="394" t="s">
        <v>617</v>
      </c>
      <c r="G31" s="393" t="s">
        <v>51</v>
      </c>
      <c r="H31" s="393" t="s">
        <v>45</v>
      </c>
      <c r="I31" s="395">
        <v>64</v>
      </c>
      <c r="J31" s="566"/>
    </row>
    <row r="32" spans="1:10" ht="21">
      <c r="A32" s="391">
        <v>31</v>
      </c>
      <c r="B32" s="396">
        <v>461</v>
      </c>
      <c r="C32" s="394" t="s">
        <v>423</v>
      </c>
      <c r="D32" s="394" t="s">
        <v>423</v>
      </c>
      <c r="E32" s="394" t="s">
        <v>11346</v>
      </c>
      <c r="F32" s="394" t="s">
        <v>627</v>
      </c>
      <c r="G32" s="393" t="s">
        <v>51</v>
      </c>
      <c r="H32" s="393" t="s">
        <v>45</v>
      </c>
      <c r="I32" s="397">
        <v>64</v>
      </c>
      <c r="J32" s="566"/>
    </row>
    <row r="33" spans="1:10" ht="21">
      <c r="A33" s="391">
        <v>32</v>
      </c>
      <c r="B33" s="392">
        <v>465</v>
      </c>
      <c r="C33" s="393" t="s">
        <v>423</v>
      </c>
      <c r="D33" s="393" t="s">
        <v>648</v>
      </c>
      <c r="E33" s="393" t="s">
        <v>11350</v>
      </c>
      <c r="F33" s="394" t="s">
        <v>648</v>
      </c>
      <c r="G33" s="393" t="s">
        <v>51</v>
      </c>
      <c r="H33" s="393" t="s">
        <v>45</v>
      </c>
      <c r="I33" s="395">
        <v>64</v>
      </c>
      <c r="J33" s="566"/>
    </row>
    <row r="34" spans="1:10" ht="21">
      <c r="A34" s="391">
        <v>33</v>
      </c>
      <c r="B34" s="396">
        <v>499</v>
      </c>
      <c r="C34" s="394" t="s">
        <v>423</v>
      </c>
      <c r="D34" s="394" t="s">
        <v>423</v>
      </c>
      <c r="E34" s="394" t="s">
        <v>11333</v>
      </c>
      <c r="F34" s="394" t="s">
        <v>735</v>
      </c>
      <c r="G34" s="393" t="s">
        <v>51</v>
      </c>
      <c r="H34" s="393" t="s">
        <v>45</v>
      </c>
      <c r="I34" s="397">
        <v>64</v>
      </c>
      <c r="J34" s="566"/>
    </row>
    <row r="35" spans="1:10" ht="21">
      <c r="A35" s="391">
        <v>34</v>
      </c>
      <c r="B35" s="392">
        <v>528</v>
      </c>
      <c r="C35" s="393" t="s">
        <v>423</v>
      </c>
      <c r="D35" s="393" t="s">
        <v>423</v>
      </c>
      <c r="E35" s="393" t="s">
        <v>11348</v>
      </c>
      <c r="F35" s="394" t="s">
        <v>848</v>
      </c>
      <c r="G35" s="393" t="s">
        <v>51</v>
      </c>
      <c r="H35" s="393" t="s">
        <v>45</v>
      </c>
      <c r="I35" s="395">
        <v>64</v>
      </c>
      <c r="J35" s="566"/>
    </row>
    <row r="36" spans="1:10" ht="21">
      <c r="A36" s="391">
        <v>35</v>
      </c>
      <c r="B36" s="396">
        <v>534</v>
      </c>
      <c r="C36" s="394" t="s">
        <v>423</v>
      </c>
      <c r="D36" s="394" t="s">
        <v>423</v>
      </c>
      <c r="E36" s="394" t="s">
        <v>11349</v>
      </c>
      <c r="F36" s="394" t="s">
        <v>11177</v>
      </c>
      <c r="G36" s="393" t="s">
        <v>51</v>
      </c>
      <c r="H36" s="393" t="s">
        <v>45</v>
      </c>
      <c r="I36" s="397">
        <v>64</v>
      </c>
      <c r="J36" s="566"/>
    </row>
    <row r="37" spans="1:10" ht="21">
      <c r="A37" s="1136">
        <v>36</v>
      </c>
      <c r="B37" s="1142" t="s">
        <v>43</v>
      </c>
      <c r="C37" s="1139" t="s">
        <v>423</v>
      </c>
      <c r="D37" s="1139" t="s">
        <v>423</v>
      </c>
      <c r="E37" s="1139" t="s">
        <v>11335</v>
      </c>
      <c r="F37" s="1139" t="s">
        <v>11357</v>
      </c>
      <c r="G37" s="1138" t="s">
        <v>51</v>
      </c>
      <c r="H37" s="1138" t="s">
        <v>45</v>
      </c>
      <c r="I37" s="1143">
        <v>64</v>
      </c>
      <c r="J37" s="1141" t="s">
        <v>16271</v>
      </c>
    </row>
    <row r="38" spans="1:10" ht="21">
      <c r="A38" s="391">
        <v>37</v>
      </c>
      <c r="B38" s="392" t="s">
        <v>43</v>
      </c>
      <c r="C38" s="393" t="s">
        <v>423</v>
      </c>
      <c r="D38" s="393" t="s">
        <v>423</v>
      </c>
      <c r="E38" s="393" t="s">
        <v>11334</v>
      </c>
      <c r="F38" s="394" t="s">
        <v>11178</v>
      </c>
      <c r="G38" s="393" t="s">
        <v>51</v>
      </c>
      <c r="H38" s="393" t="s">
        <v>45</v>
      </c>
      <c r="I38" s="397">
        <v>64</v>
      </c>
      <c r="J38" s="566"/>
    </row>
    <row r="39" spans="1:10" ht="21">
      <c r="A39" s="391">
        <v>38</v>
      </c>
      <c r="B39" s="396">
        <v>315</v>
      </c>
      <c r="C39" s="394" t="s">
        <v>1506</v>
      </c>
      <c r="D39" s="394" t="s">
        <v>1507</v>
      </c>
      <c r="E39" s="394" t="s">
        <v>11248</v>
      </c>
      <c r="F39" s="394" t="s">
        <v>1507</v>
      </c>
      <c r="G39" s="393" t="s">
        <v>51</v>
      </c>
      <c r="H39" s="393" t="s">
        <v>45</v>
      </c>
      <c r="I39" s="397">
        <v>64</v>
      </c>
      <c r="J39" s="566"/>
    </row>
    <row r="40" spans="1:10" ht="21">
      <c r="A40" s="391">
        <v>39</v>
      </c>
      <c r="B40" s="392">
        <v>382</v>
      </c>
      <c r="C40" s="393" t="s">
        <v>1506</v>
      </c>
      <c r="D40" s="393" t="s">
        <v>1513</v>
      </c>
      <c r="E40" s="393" t="s">
        <v>11247</v>
      </c>
      <c r="F40" s="394" t="s">
        <v>1513</v>
      </c>
      <c r="G40" s="393" t="s">
        <v>51</v>
      </c>
      <c r="H40" s="393" t="s">
        <v>45</v>
      </c>
      <c r="I40" s="395">
        <v>64</v>
      </c>
      <c r="J40" s="566"/>
    </row>
    <row r="41" spans="1:10" ht="21">
      <c r="A41" s="391">
        <v>40</v>
      </c>
      <c r="B41" s="396">
        <v>246</v>
      </c>
      <c r="C41" s="394" t="s">
        <v>1592</v>
      </c>
      <c r="D41" s="394" t="s">
        <v>1594</v>
      </c>
      <c r="E41" s="394" t="s">
        <v>11281</v>
      </c>
      <c r="F41" s="394" t="s">
        <v>1611</v>
      </c>
      <c r="G41" s="393" t="s">
        <v>51</v>
      </c>
      <c r="H41" s="393" t="s">
        <v>45</v>
      </c>
      <c r="I41" s="397">
        <v>64</v>
      </c>
      <c r="J41" s="566"/>
    </row>
    <row r="42" spans="1:10" ht="21">
      <c r="A42" s="391">
        <v>41</v>
      </c>
      <c r="B42" s="392">
        <v>343</v>
      </c>
      <c r="C42" s="393" t="s">
        <v>1592</v>
      </c>
      <c r="D42" s="393" t="s">
        <v>1594</v>
      </c>
      <c r="E42" s="393" t="s">
        <v>11280</v>
      </c>
      <c r="F42" s="394" t="s">
        <v>1632</v>
      </c>
      <c r="G42" s="393" t="s">
        <v>51</v>
      </c>
      <c r="H42" s="393" t="s">
        <v>45</v>
      </c>
      <c r="I42" s="395">
        <v>64</v>
      </c>
      <c r="J42" s="566"/>
    </row>
    <row r="43" spans="1:10" ht="21">
      <c r="A43" s="391">
        <v>42</v>
      </c>
      <c r="B43" s="396">
        <v>100</v>
      </c>
      <c r="C43" s="394" t="s">
        <v>1595</v>
      </c>
      <c r="D43" s="394" t="s">
        <v>1598</v>
      </c>
      <c r="E43" s="394" t="s">
        <v>11287</v>
      </c>
      <c r="F43" s="394" t="s">
        <v>1598</v>
      </c>
      <c r="G43" s="393" t="s">
        <v>51</v>
      </c>
      <c r="H43" s="393" t="s">
        <v>45</v>
      </c>
      <c r="I43" s="397">
        <v>64</v>
      </c>
      <c r="J43" s="566"/>
    </row>
    <row r="44" spans="1:10" ht="21">
      <c r="A44" s="391">
        <v>43</v>
      </c>
      <c r="B44" s="396">
        <v>218</v>
      </c>
      <c r="C44" s="394" t="s">
        <v>1595</v>
      </c>
      <c r="D44" s="394" t="s">
        <v>1598</v>
      </c>
      <c r="E44" s="394" t="s">
        <v>11289</v>
      </c>
      <c r="F44" s="394" t="s">
        <v>1748</v>
      </c>
      <c r="G44" s="393" t="s">
        <v>51</v>
      </c>
      <c r="H44" s="393" t="s">
        <v>45</v>
      </c>
      <c r="I44" s="397">
        <v>64</v>
      </c>
      <c r="J44" s="566"/>
    </row>
    <row r="45" spans="1:10" ht="21">
      <c r="A45" s="391">
        <v>44</v>
      </c>
      <c r="B45" s="392">
        <v>219</v>
      </c>
      <c r="C45" s="393" t="s">
        <v>1595</v>
      </c>
      <c r="D45" s="393" t="s">
        <v>1598</v>
      </c>
      <c r="E45" s="393" t="s">
        <v>11296</v>
      </c>
      <c r="F45" s="394" t="s">
        <v>1754</v>
      </c>
      <c r="G45" s="393" t="s">
        <v>51</v>
      </c>
      <c r="H45" s="393" t="s">
        <v>45</v>
      </c>
      <c r="I45" s="395">
        <v>64</v>
      </c>
      <c r="J45" s="566"/>
    </row>
    <row r="46" spans="1:10" ht="21">
      <c r="A46" s="391">
        <v>45</v>
      </c>
      <c r="B46" s="396">
        <v>220</v>
      </c>
      <c r="C46" s="394" t="s">
        <v>1595</v>
      </c>
      <c r="D46" s="394" t="s">
        <v>1598</v>
      </c>
      <c r="E46" s="394" t="s">
        <v>11302</v>
      </c>
      <c r="F46" s="394" t="s">
        <v>1760</v>
      </c>
      <c r="G46" s="393" t="s">
        <v>51</v>
      </c>
      <c r="H46" s="393" t="s">
        <v>45</v>
      </c>
      <c r="I46" s="397">
        <v>64</v>
      </c>
      <c r="J46" s="566"/>
    </row>
    <row r="47" spans="1:10" ht="21">
      <c r="A47" s="391">
        <v>46</v>
      </c>
      <c r="B47" s="392">
        <v>222</v>
      </c>
      <c r="C47" s="393" t="s">
        <v>1595</v>
      </c>
      <c r="D47" s="393" t="s">
        <v>1598</v>
      </c>
      <c r="E47" s="393" t="s">
        <v>11305</v>
      </c>
      <c r="F47" s="394" t="s">
        <v>1771</v>
      </c>
      <c r="G47" s="393" t="s">
        <v>51</v>
      </c>
      <c r="H47" s="393" t="s">
        <v>45</v>
      </c>
      <c r="I47" s="395">
        <v>64</v>
      </c>
      <c r="J47" s="566"/>
    </row>
    <row r="48" spans="1:10" ht="21">
      <c r="A48" s="391">
        <v>47</v>
      </c>
      <c r="B48" s="396">
        <v>223</v>
      </c>
      <c r="C48" s="394" t="s">
        <v>1595</v>
      </c>
      <c r="D48" s="394" t="s">
        <v>1772</v>
      </c>
      <c r="E48" s="394" t="s">
        <v>11306</v>
      </c>
      <c r="F48" s="394" t="s">
        <v>1596</v>
      </c>
      <c r="G48" s="393" t="s">
        <v>51</v>
      </c>
      <c r="H48" s="393" t="s">
        <v>45</v>
      </c>
      <c r="I48" s="397">
        <v>64</v>
      </c>
      <c r="J48" s="566"/>
    </row>
    <row r="49" spans="1:10" ht="21">
      <c r="A49" s="391">
        <v>48</v>
      </c>
      <c r="B49" s="396">
        <v>225</v>
      </c>
      <c r="C49" s="394" t="s">
        <v>1595</v>
      </c>
      <c r="D49" s="394" t="s">
        <v>1598</v>
      </c>
      <c r="E49" s="394" t="s">
        <v>11300</v>
      </c>
      <c r="F49" s="394" t="s">
        <v>1782</v>
      </c>
      <c r="G49" s="393" t="s">
        <v>51</v>
      </c>
      <c r="H49" s="393" t="s">
        <v>45</v>
      </c>
      <c r="I49" s="397">
        <v>64</v>
      </c>
      <c r="J49" s="566"/>
    </row>
    <row r="50" spans="1:10" ht="21">
      <c r="A50" s="391">
        <v>49</v>
      </c>
      <c r="B50" s="392">
        <v>227</v>
      </c>
      <c r="C50" s="393" t="s">
        <v>1595</v>
      </c>
      <c r="D50" s="393" t="s">
        <v>1598</v>
      </c>
      <c r="E50" s="393" t="s">
        <v>11288</v>
      </c>
      <c r="F50" s="394" t="s">
        <v>1791</v>
      </c>
      <c r="G50" s="393" t="s">
        <v>51</v>
      </c>
      <c r="H50" s="393" t="s">
        <v>45</v>
      </c>
      <c r="I50" s="395">
        <v>64</v>
      </c>
      <c r="J50" s="566"/>
    </row>
    <row r="51" spans="1:10" ht="21">
      <c r="A51" s="391">
        <v>50</v>
      </c>
      <c r="B51" s="396">
        <v>229</v>
      </c>
      <c r="C51" s="394" t="s">
        <v>1595</v>
      </c>
      <c r="D51" s="394" t="s">
        <v>1598</v>
      </c>
      <c r="E51" s="394" t="s">
        <v>11294</v>
      </c>
      <c r="F51" s="394" t="s">
        <v>1802</v>
      </c>
      <c r="G51" s="393" t="s">
        <v>51</v>
      </c>
      <c r="H51" s="393" t="s">
        <v>45</v>
      </c>
      <c r="I51" s="397">
        <v>64</v>
      </c>
      <c r="J51" s="566"/>
    </row>
    <row r="52" spans="1:10" ht="21">
      <c r="A52" s="391">
        <v>51</v>
      </c>
      <c r="B52" s="392">
        <v>231</v>
      </c>
      <c r="C52" s="393" t="s">
        <v>1595</v>
      </c>
      <c r="D52" s="393" t="s">
        <v>1598</v>
      </c>
      <c r="E52" s="393" t="s">
        <v>11297</v>
      </c>
      <c r="F52" s="394" t="s">
        <v>1811</v>
      </c>
      <c r="G52" s="393" t="s">
        <v>51</v>
      </c>
      <c r="H52" s="393" t="s">
        <v>45</v>
      </c>
      <c r="I52" s="395">
        <v>64</v>
      </c>
      <c r="J52" s="566"/>
    </row>
    <row r="53" spans="1:10" ht="21">
      <c r="A53" s="391">
        <v>52</v>
      </c>
      <c r="B53" s="396">
        <v>233</v>
      </c>
      <c r="C53" s="394" t="s">
        <v>1595</v>
      </c>
      <c r="D53" s="394" t="s">
        <v>1598</v>
      </c>
      <c r="E53" s="394" t="s">
        <v>11293</v>
      </c>
      <c r="F53" s="394" t="s">
        <v>1823</v>
      </c>
      <c r="G53" s="393" t="s">
        <v>51</v>
      </c>
      <c r="H53" s="393" t="s">
        <v>45</v>
      </c>
      <c r="I53" s="397">
        <v>64</v>
      </c>
      <c r="J53" s="566"/>
    </row>
    <row r="54" spans="1:10" ht="21">
      <c r="A54" s="391">
        <v>53</v>
      </c>
      <c r="B54" s="392">
        <v>237</v>
      </c>
      <c r="C54" s="393" t="s">
        <v>1595</v>
      </c>
      <c r="D54" s="393" t="s">
        <v>1598</v>
      </c>
      <c r="E54" s="393" t="s">
        <v>11292</v>
      </c>
      <c r="F54" s="394" t="s">
        <v>1844</v>
      </c>
      <c r="G54" s="393" t="s">
        <v>51</v>
      </c>
      <c r="H54" s="393" t="s">
        <v>45</v>
      </c>
      <c r="I54" s="395">
        <v>64</v>
      </c>
      <c r="J54" s="566"/>
    </row>
    <row r="55" spans="1:10" ht="21">
      <c r="A55" s="391">
        <v>54</v>
      </c>
      <c r="B55" s="396">
        <v>238</v>
      </c>
      <c r="C55" s="394" t="s">
        <v>1595</v>
      </c>
      <c r="D55" s="394" t="s">
        <v>1598</v>
      </c>
      <c r="E55" s="394" t="s">
        <v>11299</v>
      </c>
      <c r="F55" s="394" t="s">
        <v>1849</v>
      </c>
      <c r="G55" s="393" t="s">
        <v>51</v>
      </c>
      <c r="H55" s="393" t="s">
        <v>45</v>
      </c>
      <c r="I55" s="397">
        <v>64</v>
      </c>
      <c r="J55" s="566"/>
    </row>
    <row r="56" spans="1:10" ht="21">
      <c r="A56" s="391">
        <v>55</v>
      </c>
      <c r="B56" s="392">
        <v>243</v>
      </c>
      <c r="C56" s="393" t="s">
        <v>1595</v>
      </c>
      <c r="D56" s="393" t="s">
        <v>1858</v>
      </c>
      <c r="E56" s="393" t="s">
        <v>11284</v>
      </c>
      <c r="F56" s="394" t="s">
        <v>1829</v>
      </c>
      <c r="G56" s="393" t="s">
        <v>51</v>
      </c>
      <c r="H56" s="393" t="s">
        <v>45</v>
      </c>
      <c r="I56" s="395">
        <v>64</v>
      </c>
      <c r="J56" s="566"/>
    </row>
    <row r="57" spans="1:10" ht="21">
      <c r="A57" s="391">
        <v>56</v>
      </c>
      <c r="B57" s="396">
        <v>244</v>
      </c>
      <c r="C57" s="394" t="s">
        <v>1595</v>
      </c>
      <c r="D57" s="394" t="s">
        <v>1598</v>
      </c>
      <c r="E57" s="394" t="s">
        <v>11295</v>
      </c>
      <c r="F57" s="394" t="s">
        <v>1862</v>
      </c>
      <c r="G57" s="393" t="s">
        <v>51</v>
      </c>
      <c r="H57" s="393" t="s">
        <v>45</v>
      </c>
      <c r="I57" s="397">
        <v>64</v>
      </c>
      <c r="J57" s="566"/>
    </row>
    <row r="58" spans="1:10" ht="21">
      <c r="A58" s="391">
        <v>57</v>
      </c>
      <c r="B58" s="392">
        <v>245</v>
      </c>
      <c r="C58" s="393" t="s">
        <v>1595</v>
      </c>
      <c r="D58" s="393" t="s">
        <v>1598</v>
      </c>
      <c r="E58" s="393" t="s">
        <v>11303</v>
      </c>
      <c r="F58" s="394" t="s">
        <v>11179</v>
      </c>
      <c r="G58" s="393" t="s">
        <v>51</v>
      </c>
      <c r="H58" s="393" t="s">
        <v>45</v>
      </c>
      <c r="I58" s="395">
        <v>64</v>
      </c>
      <c r="J58" s="566"/>
    </row>
    <row r="59" spans="1:10" ht="21">
      <c r="A59" s="391">
        <v>58</v>
      </c>
      <c r="B59" s="396">
        <v>255</v>
      </c>
      <c r="C59" s="394" t="s">
        <v>1595</v>
      </c>
      <c r="D59" s="394" t="s">
        <v>1603</v>
      </c>
      <c r="E59" s="394" t="s">
        <v>11282</v>
      </c>
      <c r="F59" s="394" t="s">
        <v>1603</v>
      </c>
      <c r="G59" s="393" t="s">
        <v>51</v>
      </c>
      <c r="H59" s="393" t="s">
        <v>45</v>
      </c>
      <c r="I59" s="397">
        <v>64</v>
      </c>
      <c r="J59" s="566"/>
    </row>
    <row r="60" spans="1:10" ht="21">
      <c r="A60" s="391">
        <v>59</v>
      </c>
      <c r="B60" s="392">
        <v>259</v>
      </c>
      <c r="C60" s="393" t="s">
        <v>1595</v>
      </c>
      <c r="D60" s="393" t="s">
        <v>1598</v>
      </c>
      <c r="E60" s="393" t="s">
        <v>11301</v>
      </c>
      <c r="F60" s="394" t="s">
        <v>1883</v>
      </c>
      <c r="G60" s="393" t="s">
        <v>51</v>
      </c>
      <c r="H60" s="393" t="s">
        <v>45</v>
      </c>
      <c r="I60" s="395">
        <v>64</v>
      </c>
      <c r="J60" s="566"/>
    </row>
    <row r="61" spans="1:10" ht="21">
      <c r="A61" s="391">
        <v>60</v>
      </c>
      <c r="B61" s="392">
        <v>268</v>
      </c>
      <c r="C61" s="393" t="s">
        <v>1595</v>
      </c>
      <c r="D61" s="393" t="s">
        <v>1600</v>
      </c>
      <c r="E61" s="393" t="s">
        <v>11283</v>
      </c>
      <c r="F61" s="394" t="s">
        <v>1600</v>
      </c>
      <c r="G61" s="393" t="s">
        <v>51</v>
      </c>
      <c r="H61" s="393" t="s">
        <v>45</v>
      </c>
      <c r="I61" s="395">
        <v>64</v>
      </c>
      <c r="J61" s="566"/>
    </row>
    <row r="62" spans="1:10" ht="21">
      <c r="A62" s="391">
        <v>61</v>
      </c>
      <c r="B62" s="396">
        <v>277</v>
      </c>
      <c r="C62" s="394" t="s">
        <v>1595</v>
      </c>
      <c r="D62" s="394" t="s">
        <v>1917</v>
      </c>
      <c r="E62" s="394" t="s">
        <v>11304</v>
      </c>
      <c r="F62" s="394" t="s">
        <v>1917</v>
      </c>
      <c r="G62" s="393" t="s">
        <v>51</v>
      </c>
      <c r="H62" s="393" t="s">
        <v>45</v>
      </c>
      <c r="I62" s="397">
        <v>64</v>
      </c>
      <c r="J62" s="566"/>
    </row>
    <row r="63" spans="1:10" ht="21">
      <c r="A63" s="391">
        <v>62</v>
      </c>
      <c r="B63" s="396">
        <v>312</v>
      </c>
      <c r="C63" s="394" t="s">
        <v>1595</v>
      </c>
      <c r="D63" s="394" t="s">
        <v>1598</v>
      </c>
      <c r="E63" s="394" t="s">
        <v>11298</v>
      </c>
      <c r="F63" s="394" t="s">
        <v>1946</v>
      </c>
      <c r="G63" s="393" t="s">
        <v>51</v>
      </c>
      <c r="H63" s="393" t="s">
        <v>45</v>
      </c>
      <c r="I63" s="397">
        <v>64</v>
      </c>
      <c r="J63" s="566"/>
    </row>
    <row r="64" spans="1:10" ht="21">
      <c r="A64" s="391">
        <v>63</v>
      </c>
      <c r="B64" s="392">
        <v>318</v>
      </c>
      <c r="C64" s="393" t="s">
        <v>1595</v>
      </c>
      <c r="D64" s="393" t="s">
        <v>1954</v>
      </c>
      <c r="E64" s="393" t="s">
        <v>11286</v>
      </c>
      <c r="F64" s="394" t="s">
        <v>1599</v>
      </c>
      <c r="G64" s="393" t="s">
        <v>51</v>
      </c>
      <c r="H64" s="393" t="s">
        <v>45</v>
      </c>
      <c r="I64" s="395">
        <v>64</v>
      </c>
      <c r="J64" s="566"/>
    </row>
    <row r="65" spans="1:10" ht="21">
      <c r="A65" s="391">
        <v>64</v>
      </c>
      <c r="B65" s="396">
        <v>477</v>
      </c>
      <c r="C65" s="394" t="s">
        <v>1595</v>
      </c>
      <c r="D65" s="394" t="s">
        <v>1598</v>
      </c>
      <c r="E65" s="394" t="s">
        <v>11290</v>
      </c>
      <c r="F65" s="394" t="s">
        <v>1974</v>
      </c>
      <c r="G65" s="393" t="s">
        <v>51</v>
      </c>
      <c r="H65" s="393" t="s">
        <v>45</v>
      </c>
      <c r="I65" s="397">
        <v>64</v>
      </c>
      <c r="J65" s="566"/>
    </row>
    <row r="66" spans="1:10" ht="21">
      <c r="A66" s="391">
        <v>65</v>
      </c>
      <c r="B66" s="392" t="s">
        <v>43</v>
      </c>
      <c r="C66" s="393" t="s">
        <v>1595</v>
      </c>
      <c r="D66" s="393" t="s">
        <v>1598</v>
      </c>
      <c r="E66" s="393" t="s">
        <v>11291</v>
      </c>
      <c r="F66" s="394" t="s">
        <v>1989</v>
      </c>
      <c r="G66" s="393" t="s">
        <v>51</v>
      </c>
      <c r="H66" s="393" t="s">
        <v>45</v>
      </c>
      <c r="I66" s="397">
        <v>64</v>
      </c>
      <c r="J66" s="566"/>
    </row>
    <row r="67" spans="1:10" ht="21">
      <c r="A67" s="391">
        <v>66</v>
      </c>
      <c r="B67" s="396">
        <v>275</v>
      </c>
      <c r="C67" s="394" t="s">
        <v>1604</v>
      </c>
      <c r="D67" s="394" t="s">
        <v>1608</v>
      </c>
      <c r="E67" s="394" t="s">
        <v>11307</v>
      </c>
      <c r="F67" s="394" t="s">
        <v>2247</v>
      </c>
      <c r="G67" s="393" t="s">
        <v>51</v>
      </c>
      <c r="H67" s="393" t="s">
        <v>45</v>
      </c>
      <c r="I67" s="397">
        <v>64</v>
      </c>
      <c r="J67" s="566"/>
    </row>
    <row r="68" spans="1:10" ht="21">
      <c r="A68" s="391">
        <v>67</v>
      </c>
      <c r="B68" s="392">
        <v>260</v>
      </c>
      <c r="C68" s="393" t="s">
        <v>1604</v>
      </c>
      <c r="D68" s="393" t="s">
        <v>1606</v>
      </c>
      <c r="E68" s="393" t="s">
        <v>11308</v>
      </c>
      <c r="F68" s="394" t="s">
        <v>1606</v>
      </c>
      <c r="G68" s="393" t="s">
        <v>51</v>
      </c>
      <c r="H68" s="393" t="s">
        <v>45</v>
      </c>
      <c r="I68" s="395">
        <v>64</v>
      </c>
      <c r="J68" s="566"/>
    </row>
    <row r="69" spans="1:10" ht="21">
      <c r="A69" s="391">
        <v>68</v>
      </c>
      <c r="B69" s="396">
        <v>334</v>
      </c>
      <c r="C69" s="394" t="s">
        <v>1609</v>
      </c>
      <c r="D69" s="394" t="s">
        <v>2388</v>
      </c>
      <c r="E69" s="394" t="s">
        <v>11310</v>
      </c>
      <c r="F69" s="394" t="s">
        <v>2388</v>
      </c>
      <c r="G69" s="393" t="s">
        <v>51</v>
      </c>
      <c r="H69" s="393" t="s">
        <v>45</v>
      </c>
      <c r="I69" s="397">
        <v>64</v>
      </c>
      <c r="J69" s="566"/>
    </row>
    <row r="70" spans="1:10" ht="21">
      <c r="A70" s="391">
        <v>69</v>
      </c>
      <c r="B70" s="392">
        <v>370</v>
      </c>
      <c r="C70" s="393" t="s">
        <v>1609</v>
      </c>
      <c r="D70" s="393" t="s">
        <v>2326</v>
      </c>
      <c r="E70" s="393" t="s">
        <v>11313</v>
      </c>
      <c r="F70" s="394" t="s">
        <v>2327</v>
      </c>
      <c r="G70" s="393" t="s">
        <v>51</v>
      </c>
      <c r="H70" s="393" t="s">
        <v>45</v>
      </c>
      <c r="I70" s="395">
        <v>64</v>
      </c>
      <c r="J70" s="566"/>
    </row>
    <row r="71" spans="1:10" ht="21">
      <c r="A71" s="391">
        <v>70</v>
      </c>
      <c r="B71" s="396">
        <v>276</v>
      </c>
      <c r="C71" s="394" t="s">
        <v>1609</v>
      </c>
      <c r="D71" s="394" t="s">
        <v>1610</v>
      </c>
      <c r="E71" s="394" t="s">
        <v>11314</v>
      </c>
      <c r="F71" s="394" t="s">
        <v>1610</v>
      </c>
      <c r="G71" s="393" t="s">
        <v>51</v>
      </c>
      <c r="H71" s="393" t="s">
        <v>45</v>
      </c>
      <c r="I71" s="397">
        <v>64</v>
      </c>
      <c r="J71" s="566"/>
    </row>
    <row r="72" spans="1:10" ht="21">
      <c r="A72" s="391">
        <v>71</v>
      </c>
      <c r="B72" s="392">
        <v>296</v>
      </c>
      <c r="C72" s="393" t="s">
        <v>1609</v>
      </c>
      <c r="D72" s="393" t="s">
        <v>2326</v>
      </c>
      <c r="E72" s="393" t="s">
        <v>11311</v>
      </c>
      <c r="F72" s="394" t="s">
        <v>2326</v>
      </c>
      <c r="G72" s="393" t="s">
        <v>51</v>
      </c>
      <c r="H72" s="393" t="s">
        <v>45</v>
      </c>
      <c r="I72" s="395">
        <v>64</v>
      </c>
      <c r="J72" s="566"/>
    </row>
    <row r="73" spans="1:10" ht="21">
      <c r="A73" s="391">
        <v>72</v>
      </c>
      <c r="B73" s="396">
        <v>335</v>
      </c>
      <c r="C73" s="394" t="s">
        <v>1609</v>
      </c>
      <c r="D73" s="394" t="s">
        <v>2326</v>
      </c>
      <c r="E73" s="394" t="s">
        <v>11312</v>
      </c>
      <c r="F73" s="394" t="s">
        <v>11358</v>
      </c>
      <c r="G73" s="393" t="s">
        <v>51</v>
      </c>
      <c r="H73" s="393" t="s">
        <v>45</v>
      </c>
      <c r="I73" s="397">
        <v>64</v>
      </c>
      <c r="J73" s="566"/>
    </row>
    <row r="74" spans="1:10" ht="21">
      <c r="A74" s="391">
        <v>73</v>
      </c>
      <c r="B74" s="392">
        <v>363</v>
      </c>
      <c r="C74" s="393" t="s">
        <v>1609</v>
      </c>
      <c r="D74" s="393" t="s">
        <v>2400</v>
      </c>
      <c r="E74" s="393" t="s">
        <v>11316</v>
      </c>
      <c r="F74" s="394" t="s">
        <v>2400</v>
      </c>
      <c r="G74" s="393" t="s">
        <v>51</v>
      </c>
      <c r="H74" s="393" t="s">
        <v>45</v>
      </c>
      <c r="I74" s="395">
        <v>64</v>
      </c>
      <c r="J74" s="566"/>
    </row>
    <row r="75" spans="1:10" ht="21">
      <c r="A75" s="391">
        <v>74</v>
      </c>
      <c r="B75" s="396">
        <v>297</v>
      </c>
      <c r="C75" s="394" t="s">
        <v>1609</v>
      </c>
      <c r="D75" s="394" t="s">
        <v>2364</v>
      </c>
      <c r="E75" s="394" t="s">
        <v>11317</v>
      </c>
      <c r="F75" s="394" t="s">
        <v>2364</v>
      </c>
      <c r="G75" s="393" t="s">
        <v>51</v>
      </c>
      <c r="H75" s="393" t="s">
        <v>45</v>
      </c>
      <c r="I75" s="397">
        <v>64</v>
      </c>
      <c r="J75" s="566"/>
    </row>
    <row r="76" spans="1:10" ht="21">
      <c r="A76" s="391">
        <v>75</v>
      </c>
      <c r="B76" s="392">
        <v>432</v>
      </c>
      <c r="C76" s="393" t="s">
        <v>1609</v>
      </c>
      <c r="D76" s="393" t="s">
        <v>2411</v>
      </c>
      <c r="E76" s="393" t="s">
        <v>11319</v>
      </c>
      <c r="F76" s="394" t="s">
        <v>2411</v>
      </c>
      <c r="G76" s="393" t="s">
        <v>51</v>
      </c>
      <c r="H76" s="393" t="s">
        <v>45</v>
      </c>
      <c r="I76" s="395">
        <v>64</v>
      </c>
      <c r="J76" s="566"/>
    </row>
    <row r="77" spans="1:10" ht="21">
      <c r="A77" s="391">
        <v>76</v>
      </c>
      <c r="B77" s="396">
        <v>547</v>
      </c>
      <c r="C77" s="394" t="s">
        <v>1609</v>
      </c>
      <c r="D77" s="394" t="s">
        <v>2428</v>
      </c>
      <c r="E77" s="394" t="s">
        <v>11318</v>
      </c>
      <c r="F77" s="394" t="s">
        <v>2428</v>
      </c>
      <c r="G77" s="393" t="s">
        <v>51</v>
      </c>
      <c r="H77" s="393" t="s">
        <v>45</v>
      </c>
      <c r="I77" s="397">
        <v>64</v>
      </c>
      <c r="J77" s="566"/>
    </row>
    <row r="78" spans="1:10" ht="21">
      <c r="A78" s="391">
        <v>77</v>
      </c>
      <c r="B78" s="392">
        <v>549</v>
      </c>
      <c r="C78" s="393" t="s">
        <v>1609</v>
      </c>
      <c r="D78" s="393" t="s">
        <v>2432</v>
      </c>
      <c r="E78" s="393" t="s">
        <v>11315</v>
      </c>
      <c r="F78" s="394" t="s">
        <v>2432</v>
      </c>
      <c r="G78" s="393" t="s">
        <v>51</v>
      </c>
      <c r="H78" s="393" t="s">
        <v>45</v>
      </c>
      <c r="I78" s="395">
        <v>64</v>
      </c>
      <c r="J78" s="566"/>
    </row>
    <row r="79" spans="1:10" ht="21">
      <c r="A79" s="391">
        <v>78</v>
      </c>
      <c r="B79" s="396">
        <v>551</v>
      </c>
      <c r="C79" s="394" t="s">
        <v>1609</v>
      </c>
      <c r="D79" s="394" t="s">
        <v>2438</v>
      </c>
      <c r="E79" s="394" t="s">
        <v>11320</v>
      </c>
      <c r="F79" s="394" t="s">
        <v>2438</v>
      </c>
      <c r="G79" s="393" t="s">
        <v>51</v>
      </c>
      <c r="H79" s="393" t="s">
        <v>45</v>
      </c>
      <c r="I79" s="397">
        <v>64</v>
      </c>
      <c r="J79" s="566"/>
    </row>
    <row r="80" spans="1:10" ht="21">
      <c r="A80" s="391">
        <v>79</v>
      </c>
      <c r="B80" s="392">
        <v>464</v>
      </c>
      <c r="C80" s="393" t="s">
        <v>2449</v>
      </c>
      <c r="D80" s="393" t="s">
        <v>2449</v>
      </c>
      <c r="E80" s="393" t="s">
        <v>11353</v>
      </c>
      <c r="F80" s="394" t="s">
        <v>2450</v>
      </c>
      <c r="G80" s="393" t="s">
        <v>51</v>
      </c>
      <c r="H80" s="393" t="s">
        <v>45</v>
      </c>
      <c r="I80" s="395">
        <v>64</v>
      </c>
      <c r="J80" s="566"/>
    </row>
    <row r="81" spans="1:10" ht="21">
      <c r="A81" s="391">
        <v>80</v>
      </c>
      <c r="B81" s="396">
        <v>272</v>
      </c>
      <c r="C81" s="394" t="s">
        <v>2476</v>
      </c>
      <c r="D81" s="394" t="s">
        <v>2476</v>
      </c>
      <c r="E81" s="394" t="s">
        <v>11328</v>
      </c>
      <c r="F81" s="394" t="s">
        <v>2476</v>
      </c>
      <c r="G81" s="393" t="s">
        <v>51</v>
      </c>
      <c r="H81" s="393" t="s">
        <v>45</v>
      </c>
      <c r="I81" s="397">
        <v>64</v>
      </c>
      <c r="J81" s="566"/>
    </row>
    <row r="82" spans="1:10" ht="21">
      <c r="A82" s="391">
        <v>81</v>
      </c>
      <c r="B82" s="392">
        <v>403</v>
      </c>
      <c r="C82" s="393" t="s">
        <v>2554</v>
      </c>
      <c r="D82" s="393" t="s">
        <v>2555</v>
      </c>
      <c r="E82" s="393" t="s">
        <v>11331</v>
      </c>
      <c r="F82" s="394" t="s">
        <v>2566</v>
      </c>
      <c r="G82" s="393" t="s">
        <v>51</v>
      </c>
      <c r="H82" s="393" t="s">
        <v>45</v>
      </c>
      <c r="I82" s="395">
        <v>64</v>
      </c>
      <c r="J82" s="566"/>
    </row>
    <row r="83" spans="1:10" ht="21">
      <c r="A83" s="391">
        <v>82</v>
      </c>
      <c r="B83" s="396">
        <v>417</v>
      </c>
      <c r="C83" s="394" t="s">
        <v>2554</v>
      </c>
      <c r="D83" s="394" t="s">
        <v>2570</v>
      </c>
      <c r="E83" s="394" t="s">
        <v>11329</v>
      </c>
      <c r="F83" s="394" t="s">
        <v>2571</v>
      </c>
      <c r="G83" s="393" t="s">
        <v>51</v>
      </c>
      <c r="H83" s="393" t="s">
        <v>45</v>
      </c>
      <c r="I83" s="397">
        <v>64</v>
      </c>
      <c r="J83" s="566"/>
    </row>
    <row r="84" spans="1:10" ht="21">
      <c r="A84" s="391">
        <v>83</v>
      </c>
      <c r="B84" s="392">
        <v>492</v>
      </c>
      <c r="C84" s="393" t="s">
        <v>2554</v>
      </c>
      <c r="D84" s="393" t="s">
        <v>2555</v>
      </c>
      <c r="E84" s="393" t="s">
        <v>11330</v>
      </c>
      <c r="F84" s="394" t="s">
        <v>2575</v>
      </c>
      <c r="G84" s="393" t="s">
        <v>51</v>
      </c>
      <c r="H84" s="393" t="s">
        <v>45</v>
      </c>
      <c r="I84" s="395">
        <v>64</v>
      </c>
      <c r="J84" s="566"/>
    </row>
    <row r="85" spans="1:10" ht="21">
      <c r="A85" s="391">
        <v>84</v>
      </c>
      <c r="B85" s="396">
        <v>336</v>
      </c>
      <c r="C85" s="394" t="s">
        <v>2592</v>
      </c>
      <c r="D85" s="394" t="s">
        <v>2593</v>
      </c>
      <c r="E85" s="394" t="s">
        <v>11264</v>
      </c>
      <c r="F85" s="394" t="s">
        <v>11180</v>
      </c>
      <c r="G85" s="393" t="s">
        <v>51</v>
      </c>
      <c r="H85" s="393" t="s">
        <v>45</v>
      </c>
      <c r="I85" s="397">
        <v>64</v>
      </c>
      <c r="J85" s="566"/>
    </row>
    <row r="86" spans="1:10" ht="21">
      <c r="A86" s="391">
        <v>85</v>
      </c>
      <c r="B86" s="392">
        <v>389</v>
      </c>
      <c r="C86" s="393" t="s">
        <v>2592</v>
      </c>
      <c r="D86" s="393" t="s">
        <v>2614</v>
      </c>
      <c r="E86" s="393" t="s">
        <v>11261</v>
      </c>
      <c r="F86" s="394" t="s">
        <v>2614</v>
      </c>
      <c r="G86" s="393" t="s">
        <v>51</v>
      </c>
      <c r="H86" s="393" t="s">
        <v>45</v>
      </c>
      <c r="I86" s="395">
        <v>64</v>
      </c>
      <c r="J86" s="566"/>
    </row>
    <row r="87" spans="1:10" ht="21">
      <c r="A87" s="391">
        <v>86</v>
      </c>
      <c r="B87" s="396">
        <v>542</v>
      </c>
      <c r="C87" s="394" t="s">
        <v>2592</v>
      </c>
      <c r="D87" s="394" t="s">
        <v>2593</v>
      </c>
      <c r="E87" s="394" t="s">
        <v>11265</v>
      </c>
      <c r="F87" s="394" t="s">
        <v>1543</v>
      </c>
      <c r="G87" s="393" t="s">
        <v>51</v>
      </c>
      <c r="H87" s="393" t="s">
        <v>45</v>
      </c>
      <c r="I87" s="397">
        <v>64</v>
      </c>
      <c r="J87" s="566"/>
    </row>
    <row r="88" spans="1:10" ht="21">
      <c r="A88" s="391">
        <v>87</v>
      </c>
      <c r="B88" s="392">
        <v>345</v>
      </c>
      <c r="C88" s="393" t="s">
        <v>334</v>
      </c>
      <c r="D88" s="393" t="s">
        <v>334</v>
      </c>
      <c r="E88" s="393" t="s">
        <v>11326</v>
      </c>
      <c r="F88" s="394" t="s">
        <v>2695</v>
      </c>
      <c r="G88" s="393" t="s">
        <v>51</v>
      </c>
      <c r="H88" s="393" t="s">
        <v>45</v>
      </c>
      <c r="I88" s="395">
        <v>64</v>
      </c>
      <c r="J88" s="566"/>
    </row>
    <row r="89" spans="1:10" ht="21">
      <c r="A89" s="391">
        <v>88</v>
      </c>
      <c r="B89" s="396">
        <v>332</v>
      </c>
      <c r="C89" s="394" t="s">
        <v>2969</v>
      </c>
      <c r="D89" s="394" t="s">
        <v>2969</v>
      </c>
      <c r="E89" s="394" t="s">
        <v>11327</v>
      </c>
      <c r="F89" s="394" t="s">
        <v>2969</v>
      </c>
      <c r="G89" s="393" t="s">
        <v>51</v>
      </c>
      <c r="H89" s="393" t="s">
        <v>45</v>
      </c>
      <c r="I89" s="397">
        <v>64</v>
      </c>
      <c r="J89" s="566"/>
    </row>
    <row r="90" spans="1:10" ht="21">
      <c r="A90" s="391">
        <v>89</v>
      </c>
      <c r="B90" s="392">
        <v>359</v>
      </c>
      <c r="C90" s="393" t="s">
        <v>3001</v>
      </c>
      <c r="D90" s="393" t="s">
        <v>3002</v>
      </c>
      <c r="E90" s="393" t="s">
        <v>11322</v>
      </c>
      <c r="F90" s="394" t="s">
        <v>3001</v>
      </c>
      <c r="G90" s="393" t="s">
        <v>51</v>
      </c>
      <c r="H90" s="393" t="s">
        <v>45</v>
      </c>
      <c r="I90" s="395">
        <v>64</v>
      </c>
      <c r="J90" s="566"/>
    </row>
    <row r="91" spans="1:10" ht="21">
      <c r="A91" s="391">
        <v>90</v>
      </c>
      <c r="B91" s="396">
        <v>365</v>
      </c>
      <c r="C91" s="394" t="s">
        <v>3018</v>
      </c>
      <c r="D91" s="394" t="s">
        <v>3018</v>
      </c>
      <c r="E91" s="394" t="s">
        <v>11278</v>
      </c>
      <c r="F91" s="394" t="s">
        <v>3019</v>
      </c>
      <c r="G91" s="393" t="s">
        <v>51</v>
      </c>
      <c r="H91" s="393" t="s">
        <v>45</v>
      </c>
      <c r="I91" s="397">
        <v>64</v>
      </c>
      <c r="J91" s="566"/>
    </row>
    <row r="92" spans="1:10" ht="21">
      <c r="A92" s="391">
        <v>91</v>
      </c>
      <c r="B92" s="392">
        <v>374</v>
      </c>
      <c r="C92" s="393" t="s">
        <v>3018</v>
      </c>
      <c r="D92" s="393" t="s">
        <v>3018</v>
      </c>
      <c r="E92" s="393" t="s">
        <v>11277</v>
      </c>
      <c r="F92" s="394" t="s">
        <v>3037</v>
      </c>
      <c r="G92" s="393" t="s">
        <v>51</v>
      </c>
      <c r="H92" s="393" t="s">
        <v>45</v>
      </c>
      <c r="I92" s="395">
        <v>64</v>
      </c>
      <c r="J92" s="566"/>
    </row>
    <row r="93" spans="1:10" ht="21">
      <c r="A93" s="391">
        <v>92</v>
      </c>
      <c r="B93" s="396">
        <v>443</v>
      </c>
      <c r="C93" s="394" t="s">
        <v>235</v>
      </c>
      <c r="D93" s="394" t="s">
        <v>235</v>
      </c>
      <c r="E93" s="394" t="s">
        <v>11279</v>
      </c>
      <c r="F93" s="394" t="s">
        <v>3124</v>
      </c>
      <c r="G93" s="393" t="s">
        <v>51</v>
      </c>
      <c r="H93" s="393" t="s">
        <v>45</v>
      </c>
      <c r="I93" s="397">
        <v>64</v>
      </c>
      <c r="J93" s="566"/>
    </row>
    <row r="94" spans="1:10" ht="21">
      <c r="A94" s="391">
        <v>93</v>
      </c>
      <c r="B94" s="392">
        <v>412</v>
      </c>
      <c r="C94" s="393" t="s">
        <v>3163</v>
      </c>
      <c r="D94" s="393" t="s">
        <v>3164</v>
      </c>
      <c r="E94" s="393" t="s">
        <v>11321</v>
      </c>
      <c r="F94" s="394" t="s">
        <v>3164</v>
      </c>
      <c r="G94" s="393" t="s">
        <v>51</v>
      </c>
      <c r="H94" s="393" t="s">
        <v>45</v>
      </c>
      <c r="I94" s="395">
        <v>64</v>
      </c>
      <c r="J94" s="566"/>
    </row>
    <row r="95" spans="1:10" ht="21">
      <c r="A95" s="391">
        <v>94</v>
      </c>
      <c r="B95" s="396">
        <v>253</v>
      </c>
      <c r="C95" s="394" t="s">
        <v>933</v>
      </c>
      <c r="D95" s="394" t="s">
        <v>3328</v>
      </c>
      <c r="E95" s="394" t="s">
        <v>11269</v>
      </c>
      <c r="F95" s="394" t="s">
        <v>3329</v>
      </c>
      <c r="G95" s="393" t="s">
        <v>51</v>
      </c>
      <c r="H95" s="393" t="s">
        <v>45</v>
      </c>
      <c r="I95" s="397">
        <v>64</v>
      </c>
      <c r="J95" s="566"/>
    </row>
    <row r="96" spans="1:10" ht="21">
      <c r="A96" s="391">
        <v>95</v>
      </c>
      <c r="B96" s="392">
        <v>279</v>
      </c>
      <c r="C96" s="393" t="s">
        <v>3212</v>
      </c>
      <c r="D96" s="393" t="s">
        <v>3213</v>
      </c>
      <c r="E96" s="393" t="s">
        <v>11267</v>
      </c>
      <c r="F96" s="394" t="s">
        <v>3214</v>
      </c>
      <c r="G96" s="393" t="s">
        <v>51</v>
      </c>
      <c r="H96" s="393" t="s">
        <v>45</v>
      </c>
      <c r="I96" s="395">
        <v>64</v>
      </c>
      <c r="J96" s="566"/>
    </row>
    <row r="97" spans="1:10" ht="21">
      <c r="A97" s="391">
        <v>96</v>
      </c>
      <c r="B97" s="396">
        <v>284</v>
      </c>
      <c r="C97" s="394" t="s">
        <v>3212</v>
      </c>
      <c r="D97" s="394" t="s">
        <v>3233</v>
      </c>
      <c r="E97" s="394" t="s">
        <v>11268</v>
      </c>
      <c r="F97" s="394" t="s">
        <v>3233</v>
      </c>
      <c r="G97" s="393" t="s">
        <v>51</v>
      </c>
      <c r="H97" s="393" t="s">
        <v>45</v>
      </c>
      <c r="I97" s="397">
        <v>64</v>
      </c>
      <c r="J97" s="566"/>
    </row>
    <row r="98" spans="1:10" ht="21">
      <c r="A98" s="391">
        <v>97</v>
      </c>
      <c r="B98" s="396">
        <v>303</v>
      </c>
      <c r="C98" s="394" t="s">
        <v>3212</v>
      </c>
      <c r="D98" s="394" t="s">
        <v>3251</v>
      </c>
      <c r="E98" s="394" t="s">
        <v>11266</v>
      </c>
      <c r="F98" s="394" t="s">
        <v>3251</v>
      </c>
      <c r="G98" s="393" t="s">
        <v>51</v>
      </c>
      <c r="H98" s="393" t="s">
        <v>45</v>
      </c>
      <c r="I98" s="397">
        <v>64</v>
      </c>
      <c r="J98" s="566"/>
    </row>
    <row r="99" spans="1:10" ht="21">
      <c r="A99" s="391">
        <v>98</v>
      </c>
      <c r="B99" s="392" t="s">
        <v>3502</v>
      </c>
      <c r="C99" s="393" t="s">
        <v>3467</v>
      </c>
      <c r="D99" s="393" t="s">
        <v>3503</v>
      </c>
      <c r="E99" s="393" t="s">
        <v>11323</v>
      </c>
      <c r="F99" s="394" t="s">
        <v>3503</v>
      </c>
      <c r="G99" s="393" t="s">
        <v>51</v>
      </c>
      <c r="H99" s="393" t="s">
        <v>45</v>
      </c>
      <c r="I99" s="395">
        <v>64</v>
      </c>
      <c r="J99" s="566"/>
    </row>
    <row r="100" spans="1:10" ht="21">
      <c r="A100" s="391">
        <v>99</v>
      </c>
      <c r="B100" s="396" t="s">
        <v>5</v>
      </c>
      <c r="C100" s="394" t="s">
        <v>3705</v>
      </c>
      <c r="D100" s="394" t="s">
        <v>4869</v>
      </c>
      <c r="E100" s="394" t="s">
        <v>11325</v>
      </c>
      <c r="F100" s="394" t="s">
        <v>4870</v>
      </c>
      <c r="G100" s="393" t="s">
        <v>51</v>
      </c>
      <c r="H100" s="393" t="s">
        <v>45</v>
      </c>
      <c r="I100" s="397">
        <v>64</v>
      </c>
      <c r="J100" s="566"/>
    </row>
    <row r="101" spans="1:10" ht="21">
      <c r="A101" s="391">
        <v>100</v>
      </c>
      <c r="B101" s="392">
        <v>580</v>
      </c>
      <c r="C101" s="393" t="s">
        <v>2970</v>
      </c>
      <c r="D101" s="393" t="s">
        <v>4814</v>
      </c>
      <c r="E101" s="393" t="s">
        <v>11324</v>
      </c>
      <c r="F101" s="394" t="s">
        <v>4815</v>
      </c>
      <c r="G101" s="393" t="s">
        <v>51</v>
      </c>
      <c r="H101" s="393" t="s">
        <v>45</v>
      </c>
      <c r="I101" s="395">
        <v>64</v>
      </c>
      <c r="J101" s="566"/>
    </row>
    <row r="102" spans="1:10" ht="21">
      <c r="A102" s="391">
        <v>101</v>
      </c>
      <c r="B102" s="396">
        <v>408</v>
      </c>
      <c r="C102" s="394" t="s">
        <v>3873</v>
      </c>
      <c r="D102" s="394" t="s">
        <v>4994</v>
      </c>
      <c r="E102" s="394" t="s">
        <v>11273</v>
      </c>
      <c r="F102" s="394" t="s">
        <v>4994</v>
      </c>
      <c r="G102" s="393" t="s">
        <v>51</v>
      </c>
      <c r="H102" s="393" t="s">
        <v>45</v>
      </c>
      <c r="I102" s="397">
        <v>64</v>
      </c>
      <c r="J102" s="566"/>
    </row>
    <row r="103" spans="1:10" ht="21">
      <c r="A103" s="391">
        <v>102</v>
      </c>
      <c r="B103" s="392">
        <v>429</v>
      </c>
      <c r="C103" s="393" t="s">
        <v>3873</v>
      </c>
      <c r="D103" s="393" t="s">
        <v>5013</v>
      </c>
      <c r="E103" s="393" t="s">
        <v>11274</v>
      </c>
      <c r="F103" s="394" t="s">
        <v>5014</v>
      </c>
      <c r="G103" s="393" t="s">
        <v>51</v>
      </c>
      <c r="H103" s="393" t="s">
        <v>45</v>
      </c>
      <c r="I103" s="395">
        <v>64</v>
      </c>
      <c r="J103" s="566"/>
    </row>
    <row r="104" spans="1:10" ht="21">
      <c r="A104" s="391">
        <v>103</v>
      </c>
      <c r="B104" s="396">
        <v>554</v>
      </c>
      <c r="C104" s="394" t="s">
        <v>3873</v>
      </c>
      <c r="D104" s="394" t="s">
        <v>5017</v>
      </c>
      <c r="E104" s="394" t="s">
        <v>11275</v>
      </c>
      <c r="F104" s="394" t="s">
        <v>5017</v>
      </c>
      <c r="G104" s="393" t="s">
        <v>51</v>
      </c>
      <c r="H104" s="393" t="s">
        <v>45</v>
      </c>
      <c r="I104" s="397">
        <v>64</v>
      </c>
      <c r="J104" s="566"/>
    </row>
    <row r="105" spans="1:10" ht="21">
      <c r="A105" s="391">
        <v>104</v>
      </c>
      <c r="B105" s="392">
        <v>372</v>
      </c>
      <c r="C105" s="393" t="s">
        <v>3742</v>
      </c>
      <c r="D105" s="393" t="s">
        <v>3742</v>
      </c>
      <c r="E105" s="393" t="s">
        <v>11270</v>
      </c>
      <c r="F105" s="394" t="s">
        <v>3742</v>
      </c>
      <c r="G105" s="393" t="s">
        <v>51</v>
      </c>
      <c r="H105" s="393" t="s">
        <v>45</v>
      </c>
      <c r="I105" s="395">
        <v>64</v>
      </c>
      <c r="J105" s="566"/>
    </row>
    <row r="106" spans="1:10" ht="21">
      <c r="A106" s="391">
        <v>105</v>
      </c>
      <c r="B106" s="396">
        <v>406</v>
      </c>
      <c r="C106" s="394" t="s">
        <v>3742</v>
      </c>
      <c r="D106" s="394" t="s">
        <v>3742</v>
      </c>
      <c r="E106" s="394" t="s">
        <v>11271</v>
      </c>
      <c r="F106" s="394" t="s">
        <v>4774</v>
      </c>
      <c r="G106" s="393" t="s">
        <v>51</v>
      </c>
      <c r="H106" s="393" t="s">
        <v>45</v>
      </c>
      <c r="I106" s="397">
        <v>64</v>
      </c>
      <c r="J106" s="566"/>
    </row>
    <row r="107" spans="1:10" ht="21">
      <c r="A107" s="391">
        <v>106</v>
      </c>
      <c r="B107" s="392">
        <v>495</v>
      </c>
      <c r="C107" s="393" t="s">
        <v>3742</v>
      </c>
      <c r="D107" s="393" t="s">
        <v>4775</v>
      </c>
      <c r="E107" s="393" t="s">
        <v>11272</v>
      </c>
      <c r="F107" s="394" t="s">
        <v>4776</v>
      </c>
      <c r="G107" s="393" t="s">
        <v>51</v>
      </c>
      <c r="H107" s="393" t="s">
        <v>45</v>
      </c>
      <c r="I107" s="395">
        <v>64</v>
      </c>
      <c r="J107" s="566"/>
    </row>
    <row r="108" spans="1:10" ht="21">
      <c r="A108" s="391">
        <v>107</v>
      </c>
      <c r="B108" s="396">
        <v>247</v>
      </c>
      <c r="C108" s="394" t="s">
        <v>3191</v>
      </c>
      <c r="D108" s="394" t="s">
        <v>3191</v>
      </c>
      <c r="E108" s="394" t="s">
        <v>11351</v>
      </c>
      <c r="F108" s="394" t="s">
        <v>3191</v>
      </c>
      <c r="G108" s="393" t="s">
        <v>51</v>
      </c>
      <c r="H108" s="393" t="s">
        <v>45</v>
      </c>
      <c r="I108" s="397">
        <v>64</v>
      </c>
      <c r="J108" s="566"/>
    </row>
    <row r="109" spans="1:10" ht="21">
      <c r="A109" s="391">
        <v>108</v>
      </c>
      <c r="B109" s="392">
        <v>349</v>
      </c>
      <c r="C109" s="393" t="s">
        <v>3191</v>
      </c>
      <c r="D109" s="393" t="s">
        <v>3191</v>
      </c>
      <c r="E109" s="393" t="s">
        <v>11352</v>
      </c>
      <c r="F109" s="394" t="s">
        <v>3196</v>
      </c>
      <c r="G109" s="393" t="s">
        <v>51</v>
      </c>
      <c r="H109" s="393" t="s">
        <v>45</v>
      </c>
      <c r="I109" s="395">
        <v>64</v>
      </c>
      <c r="J109" s="566"/>
    </row>
    <row r="115" spans="5:8" ht="19.5">
      <c r="E115" s="1740" t="s">
        <v>11087</v>
      </c>
      <c r="F115" s="1741"/>
      <c r="G115" s="1741"/>
      <c r="H115" s="1741"/>
    </row>
    <row r="116" spans="5:8" ht="19.5">
      <c r="E116" s="1742" t="s">
        <v>11088</v>
      </c>
      <c r="F116" s="1743"/>
      <c r="G116" s="1743"/>
      <c r="H116" s="1743"/>
    </row>
    <row r="117" spans="5:8" ht="19.5">
      <c r="E117" s="1744" t="s">
        <v>11091</v>
      </c>
      <c r="F117" s="1745"/>
      <c r="G117" s="359">
        <v>10890000000</v>
      </c>
      <c r="H117" s="359" t="s">
        <v>11107</v>
      </c>
    </row>
    <row r="118" spans="5:8" ht="19.5">
      <c r="E118" s="1744" t="s">
        <v>9693</v>
      </c>
      <c r="F118" s="1745"/>
      <c r="G118" s="359">
        <v>0</v>
      </c>
      <c r="H118" s="359" t="s">
        <v>11107</v>
      </c>
    </row>
    <row r="119" spans="5:8" ht="19.5">
      <c r="E119" s="1744" t="s">
        <v>11069</v>
      </c>
      <c r="F119" s="1745"/>
      <c r="G119" s="359">
        <v>0</v>
      </c>
      <c r="H119" s="359" t="s">
        <v>11107</v>
      </c>
    </row>
    <row r="120" spans="5:8" ht="19.5">
      <c r="E120" s="1744" t="s">
        <v>11124</v>
      </c>
      <c r="F120" s="1745"/>
      <c r="G120" s="359">
        <v>0</v>
      </c>
      <c r="H120" s="371" t="s">
        <v>11106</v>
      </c>
    </row>
    <row r="121" spans="5:8" ht="19.5">
      <c r="E121" s="1744" t="s">
        <v>11097</v>
      </c>
      <c r="F121" s="1745"/>
      <c r="G121" s="359">
        <v>285175000</v>
      </c>
      <c r="H121" s="359" t="s">
        <v>11107</v>
      </c>
    </row>
    <row r="122" spans="5:8" ht="19.5">
      <c r="E122" s="1746" t="s">
        <v>11070</v>
      </c>
      <c r="F122" s="1747"/>
      <c r="G122" s="360">
        <f>SUM(G117:G121)</f>
        <v>11175175000</v>
      </c>
      <c r="H122" s="372"/>
    </row>
    <row r="123" spans="5:8" ht="19.5">
      <c r="E123" s="1748" t="s">
        <v>11071</v>
      </c>
      <c r="F123" s="1749"/>
      <c r="G123" s="1750"/>
      <c r="H123" s="373"/>
    </row>
    <row r="124" spans="5:8" ht="19.5">
      <c r="E124" s="1744" t="s">
        <v>11091</v>
      </c>
      <c r="F124" s="1745"/>
      <c r="G124" s="359">
        <v>1</v>
      </c>
      <c r="H124" s="373"/>
    </row>
    <row r="125" spans="5:8" ht="19.5">
      <c r="E125" s="1744" t="s">
        <v>11359</v>
      </c>
      <c r="F125" s="1745"/>
      <c r="G125" s="359">
        <v>107</v>
      </c>
      <c r="H125" s="373"/>
    </row>
    <row r="126" spans="5:8" ht="19.5">
      <c r="E126" s="1744" t="s">
        <v>11069</v>
      </c>
      <c r="F126" s="1745"/>
      <c r="G126" s="359">
        <v>5</v>
      </c>
      <c r="H126" s="373"/>
    </row>
    <row r="127" spans="5:8" ht="19.5">
      <c r="E127" s="1746" t="s">
        <v>11070</v>
      </c>
      <c r="F127" s="1747"/>
      <c r="G127" s="361">
        <f>G124+G125+G126</f>
        <v>113</v>
      </c>
      <c r="H127" s="373"/>
    </row>
    <row r="128" spans="5:8" ht="19.5">
      <c r="E128" s="374" t="s">
        <v>11112</v>
      </c>
      <c r="F128" s="374" t="s">
        <v>7727</v>
      </c>
      <c r="G128" s="375" t="s">
        <v>196</v>
      </c>
      <c r="H128" s="373"/>
    </row>
    <row r="129" spans="5:8" ht="19.5">
      <c r="E129" s="1751">
        <v>0</v>
      </c>
      <c r="F129" s="1751">
        <v>1210</v>
      </c>
      <c r="G129" s="359" t="s">
        <v>200</v>
      </c>
      <c r="H129" s="373"/>
    </row>
    <row r="130" spans="5:8" ht="19.5">
      <c r="E130" s="1751" t="s">
        <v>11098</v>
      </c>
      <c r="F130" s="1751">
        <v>7</v>
      </c>
      <c r="G130" s="359" t="s">
        <v>11063</v>
      </c>
      <c r="H130" s="373"/>
    </row>
    <row r="131" spans="5:8" ht="19.5">
      <c r="E131" s="351" t="s">
        <v>11098</v>
      </c>
      <c r="F131" s="351">
        <v>117</v>
      </c>
      <c r="G131" s="225" t="s">
        <v>11063</v>
      </c>
      <c r="H131" s="373"/>
    </row>
  </sheetData>
  <mergeCells count="16">
    <mergeCell ref="E130:F130"/>
    <mergeCell ref="E124:F124"/>
    <mergeCell ref="E125:F125"/>
    <mergeCell ref="E126:F126"/>
    <mergeCell ref="E127:F127"/>
    <mergeCell ref="E129:F129"/>
    <mergeCell ref="E119:F119"/>
    <mergeCell ref="E120:F120"/>
    <mergeCell ref="E121:F121"/>
    <mergeCell ref="E122:F122"/>
    <mergeCell ref="E123:G123"/>
    <mergeCell ref="M2:M7"/>
    <mergeCell ref="E115:H115"/>
    <mergeCell ref="E116:H116"/>
    <mergeCell ref="E117:F117"/>
    <mergeCell ref="E118:F118"/>
  </mergeCells>
  <pageMargins left="0.7" right="0.7" top="0.75" bottom="0.75" header="0.3" footer="0.3"/>
  <pageSetup paperSize="9" orientation="portrait" horizontalDpi="200" verticalDpi="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V132"/>
  <sheetViews>
    <sheetView rightToLeft="1" topLeftCell="I79" zoomScale="70" zoomScaleNormal="70" workbookViewId="0">
      <selection activeCell="M92" sqref="M92"/>
    </sheetView>
  </sheetViews>
  <sheetFormatPr defaultColWidth="9.140625" defaultRowHeight="15.75"/>
  <cols>
    <col min="1" max="1" width="6.28515625" style="381" customWidth="1"/>
    <col min="2" max="2" width="22.42578125" style="381" customWidth="1"/>
    <col min="3" max="3" width="24.140625" style="381" customWidth="1"/>
    <col min="4" max="4" width="9.140625" style="381"/>
    <col min="5" max="5" width="32.7109375" style="381" customWidth="1"/>
    <col min="6" max="6" width="15" style="381" customWidth="1"/>
    <col min="7" max="7" width="68.42578125" style="381" customWidth="1"/>
    <col min="8" max="8" width="26" style="381" bestFit="1" customWidth="1"/>
    <col min="9" max="9" width="81.5703125" style="381" customWidth="1"/>
    <col min="10" max="10" width="25.85546875" style="381" bestFit="1" customWidth="1"/>
    <col min="11" max="11" width="94.85546875" style="381" bestFit="1" customWidth="1"/>
    <col min="12" max="12" width="127" style="381" customWidth="1"/>
    <col min="13" max="13" width="19.85546875" style="381" customWidth="1"/>
    <col min="14" max="14" width="14.85546875" style="381" customWidth="1"/>
    <col min="15" max="15" width="16.42578125" style="381" customWidth="1"/>
    <col min="16" max="16" width="61.140625" style="381" bestFit="1" customWidth="1"/>
    <col min="17" max="17" width="34.7109375" style="381" customWidth="1"/>
    <col min="18" max="18" width="32.140625" style="381" customWidth="1"/>
    <col min="19" max="19" width="39" style="381" customWidth="1"/>
    <col min="20" max="20" width="48.28515625" style="381" customWidth="1"/>
    <col min="21" max="21" width="15.7109375" style="381" bestFit="1" customWidth="1"/>
    <col min="22" max="16384" width="9.140625" style="381"/>
  </cols>
  <sheetData>
    <row r="1" spans="1:21" ht="18.75">
      <c r="A1" s="1762" t="s">
        <v>5160</v>
      </c>
      <c r="B1" s="1762"/>
      <c r="C1" s="1762"/>
      <c r="D1" s="1762"/>
      <c r="E1" s="1762"/>
      <c r="F1" s="1762"/>
      <c r="G1" s="1762"/>
      <c r="H1" s="1762"/>
      <c r="I1" s="1762"/>
      <c r="J1" s="1762"/>
      <c r="K1" s="1762"/>
      <c r="L1" s="1762"/>
      <c r="M1" s="1762"/>
      <c r="N1" s="1762"/>
      <c r="O1" s="1762"/>
      <c r="P1" s="1762"/>
      <c r="Q1" s="1762"/>
      <c r="R1" s="1762"/>
      <c r="S1" s="1762"/>
      <c r="T1" s="1762"/>
    </row>
    <row r="2" spans="1:21" s="383" customFormat="1" ht="24">
      <c r="A2" s="1015" t="s">
        <v>0</v>
      </c>
      <c r="B2" s="1015" t="s">
        <v>5161</v>
      </c>
      <c r="C2" s="1015" t="s">
        <v>2</v>
      </c>
      <c r="D2" s="1015" t="s">
        <v>3</v>
      </c>
      <c r="E2" s="1016" t="s">
        <v>6</v>
      </c>
      <c r="F2" s="1015" t="s">
        <v>7</v>
      </c>
      <c r="G2" s="1015" t="s">
        <v>8</v>
      </c>
      <c r="H2" s="1017" t="s">
        <v>233</v>
      </c>
      <c r="I2" s="1015" t="s">
        <v>9</v>
      </c>
      <c r="J2" s="1015" t="s">
        <v>10</v>
      </c>
      <c r="K2" s="1015" t="s">
        <v>11</v>
      </c>
      <c r="L2" s="1015" t="s">
        <v>12</v>
      </c>
      <c r="M2" s="1015" t="s">
        <v>18</v>
      </c>
      <c r="N2" s="1015" t="s">
        <v>20</v>
      </c>
      <c r="O2" s="1016" t="s">
        <v>21</v>
      </c>
      <c r="P2" s="1016" t="s">
        <v>5162</v>
      </c>
      <c r="Q2" s="1015" t="s">
        <v>5163</v>
      </c>
      <c r="R2" s="1016" t="s">
        <v>23</v>
      </c>
      <c r="S2" s="1016" t="s">
        <v>24</v>
      </c>
      <c r="T2" s="1018" t="s">
        <v>4406</v>
      </c>
      <c r="U2" s="382"/>
    </row>
    <row r="3" spans="1:21" ht="18.75">
      <c r="A3" s="1019">
        <v>1</v>
      </c>
      <c r="B3" s="1753" t="s">
        <v>5164</v>
      </c>
      <c r="C3" s="1753" t="s">
        <v>423</v>
      </c>
      <c r="D3" s="1753" t="s">
        <v>423</v>
      </c>
      <c r="E3" s="1020" t="s">
        <v>14952</v>
      </c>
      <c r="F3" s="1021" t="s">
        <v>28</v>
      </c>
      <c r="G3" s="1021" t="s">
        <v>5165</v>
      </c>
      <c r="H3" s="1022" t="s">
        <v>1994</v>
      </c>
      <c r="I3" s="1023" t="s">
        <v>5166</v>
      </c>
      <c r="J3" s="1023"/>
      <c r="K3" s="1022" t="s">
        <v>14953</v>
      </c>
      <c r="L3" s="1022" t="s">
        <v>5167</v>
      </c>
      <c r="M3" s="1753" t="s">
        <v>5071</v>
      </c>
      <c r="N3" s="1764" t="s">
        <v>1534</v>
      </c>
      <c r="O3" s="1022">
        <v>906</v>
      </c>
      <c r="P3" s="1753" t="s">
        <v>4547</v>
      </c>
      <c r="Q3" s="1753" t="s">
        <v>5168</v>
      </c>
      <c r="R3" s="1753" t="s">
        <v>5169</v>
      </c>
      <c r="S3" s="1753" t="s">
        <v>5170</v>
      </c>
      <c r="T3" s="1753" t="s">
        <v>5171</v>
      </c>
    </row>
    <row r="4" spans="1:21" ht="18.75">
      <c r="A4" s="1019">
        <v>2</v>
      </c>
      <c r="B4" s="1754"/>
      <c r="C4" s="1754"/>
      <c r="D4" s="1754"/>
      <c r="E4" s="1020"/>
      <c r="F4" s="1021"/>
      <c r="G4" s="1021"/>
      <c r="H4" s="1022"/>
      <c r="I4" s="1023" t="s">
        <v>5172</v>
      </c>
      <c r="J4" s="1023"/>
      <c r="K4" s="1023"/>
      <c r="L4" s="1022"/>
      <c r="M4" s="1754"/>
      <c r="N4" s="1765"/>
      <c r="O4" s="1753"/>
      <c r="P4" s="1754"/>
      <c r="Q4" s="1754"/>
      <c r="R4" s="1754"/>
      <c r="S4" s="1754"/>
      <c r="T4" s="1754"/>
    </row>
    <row r="5" spans="1:21" ht="18.75">
      <c r="A5" s="1019">
        <v>3</v>
      </c>
      <c r="B5" s="1754"/>
      <c r="C5" s="1754"/>
      <c r="D5" s="1754"/>
      <c r="E5" s="1020"/>
      <c r="F5" s="1021"/>
      <c r="G5" s="1021"/>
      <c r="H5" s="1022"/>
      <c r="I5" s="1023" t="s">
        <v>5173</v>
      </c>
      <c r="J5" s="1023"/>
      <c r="K5" s="1023"/>
      <c r="L5" s="1022"/>
      <c r="M5" s="1754"/>
      <c r="N5" s="1765"/>
      <c r="O5" s="1754"/>
      <c r="P5" s="1754"/>
      <c r="Q5" s="1754"/>
      <c r="R5" s="1754"/>
      <c r="S5" s="1754"/>
      <c r="T5" s="1754"/>
    </row>
    <row r="6" spans="1:21" ht="18.75">
      <c r="A6" s="1019">
        <v>4</v>
      </c>
      <c r="B6" s="1754"/>
      <c r="C6" s="1754"/>
      <c r="D6" s="1754"/>
      <c r="E6" s="1020"/>
      <c r="F6" s="1021"/>
      <c r="G6" s="1021"/>
      <c r="H6" s="1022"/>
      <c r="I6" s="1023" t="s">
        <v>5174</v>
      </c>
      <c r="J6" s="1023"/>
      <c r="K6" s="1023"/>
      <c r="L6" s="1022"/>
      <c r="M6" s="1754"/>
      <c r="N6" s="1765"/>
      <c r="O6" s="1754"/>
      <c r="P6" s="1754"/>
      <c r="Q6" s="1754"/>
      <c r="R6" s="1754"/>
      <c r="S6" s="1754"/>
      <c r="T6" s="1754"/>
    </row>
    <row r="7" spans="1:21" ht="18.75">
      <c r="A7" s="1019">
        <v>5</v>
      </c>
      <c r="B7" s="1754"/>
      <c r="C7" s="1754"/>
      <c r="D7" s="1754"/>
      <c r="E7" s="1020"/>
      <c r="F7" s="1021"/>
      <c r="G7" s="1021"/>
      <c r="H7" s="1022"/>
      <c r="I7" s="1023" t="s">
        <v>5175</v>
      </c>
      <c r="J7" s="1023"/>
      <c r="K7" s="1023"/>
      <c r="L7" s="1022"/>
      <c r="M7" s="1754"/>
      <c r="N7" s="1765"/>
      <c r="O7" s="1754"/>
      <c r="P7" s="1754"/>
      <c r="Q7" s="1754"/>
      <c r="R7" s="1754"/>
      <c r="S7" s="1754"/>
      <c r="T7" s="1754"/>
    </row>
    <row r="8" spans="1:21" ht="18.75">
      <c r="A8" s="1019">
        <v>6</v>
      </c>
      <c r="B8" s="1754"/>
      <c r="C8" s="1754"/>
      <c r="D8" s="1754"/>
      <c r="E8" s="1020"/>
      <c r="F8" s="1021"/>
      <c r="G8" s="1021"/>
      <c r="H8" s="1022"/>
      <c r="I8" s="1023" t="s">
        <v>5176</v>
      </c>
      <c r="J8" s="1023"/>
      <c r="K8" s="1023"/>
      <c r="L8" s="1022"/>
      <c r="M8" s="1754"/>
      <c r="N8" s="1765"/>
      <c r="O8" s="1754"/>
      <c r="P8" s="1754"/>
      <c r="Q8" s="1754"/>
      <c r="R8" s="1754"/>
      <c r="S8" s="1754"/>
      <c r="T8" s="1754"/>
    </row>
    <row r="9" spans="1:21" ht="18.75">
      <c r="A9" s="1019">
        <v>7</v>
      </c>
      <c r="B9" s="1754"/>
      <c r="C9" s="1754"/>
      <c r="D9" s="1754"/>
      <c r="E9" s="1020"/>
      <c r="F9" s="1021"/>
      <c r="G9" s="1021"/>
      <c r="H9" s="1022"/>
      <c r="I9" s="1023" t="s">
        <v>5177</v>
      </c>
      <c r="J9" s="1023"/>
      <c r="K9" s="1023"/>
      <c r="L9" s="1022"/>
      <c r="M9" s="1754"/>
      <c r="N9" s="1765"/>
      <c r="O9" s="1754"/>
      <c r="P9" s="1754"/>
      <c r="Q9" s="1754"/>
      <c r="R9" s="1754"/>
      <c r="S9" s="1754"/>
      <c r="T9" s="1754"/>
    </row>
    <row r="10" spans="1:21" ht="18.75">
      <c r="A10" s="1019">
        <v>8</v>
      </c>
      <c r="B10" s="1754"/>
      <c r="C10" s="1754"/>
      <c r="D10" s="1754"/>
      <c r="E10" s="1020"/>
      <c r="F10" s="1021"/>
      <c r="G10" s="1021"/>
      <c r="H10" s="1022"/>
      <c r="I10" s="1023" t="s">
        <v>5178</v>
      </c>
      <c r="J10" s="1023"/>
      <c r="K10" s="1023"/>
      <c r="L10" s="1022"/>
      <c r="M10" s="1754"/>
      <c r="N10" s="1765"/>
      <c r="O10" s="1754"/>
      <c r="P10" s="1754"/>
      <c r="Q10" s="1754"/>
      <c r="R10" s="1754"/>
      <c r="S10" s="1754"/>
      <c r="T10" s="1754"/>
    </row>
    <row r="11" spans="1:21" ht="18.75">
      <c r="A11" s="1019">
        <v>9</v>
      </c>
      <c r="B11" s="1754"/>
      <c r="C11" s="1754"/>
      <c r="D11" s="1754"/>
      <c r="E11" s="1020"/>
      <c r="F11" s="1021"/>
      <c r="G11" s="1021"/>
      <c r="H11" s="1022"/>
      <c r="I11" s="1023" t="s">
        <v>5179</v>
      </c>
      <c r="J11" s="1023"/>
      <c r="K11" s="1023"/>
      <c r="L11" s="1022"/>
      <c r="M11" s="1754"/>
      <c r="N11" s="1765"/>
      <c r="O11" s="1754"/>
      <c r="P11" s="1754"/>
      <c r="Q11" s="1754"/>
      <c r="R11" s="1754"/>
      <c r="S11" s="1754"/>
      <c r="T11" s="1754"/>
    </row>
    <row r="12" spans="1:21" ht="18.75">
      <c r="A12" s="1019">
        <v>10</v>
      </c>
      <c r="B12" s="1754"/>
      <c r="C12" s="1754"/>
      <c r="D12" s="1754"/>
      <c r="E12" s="1020"/>
      <c r="F12" s="1021"/>
      <c r="G12" s="1021"/>
      <c r="H12" s="1022"/>
      <c r="I12" s="1023" t="s">
        <v>5180</v>
      </c>
      <c r="J12" s="1023"/>
      <c r="K12" s="1023"/>
      <c r="L12" s="1022"/>
      <c r="M12" s="1754"/>
      <c r="N12" s="1765"/>
      <c r="O12" s="1754"/>
      <c r="P12" s="1754"/>
      <c r="Q12" s="1754"/>
      <c r="R12" s="1754"/>
      <c r="S12" s="1754"/>
      <c r="T12" s="1754"/>
    </row>
    <row r="13" spans="1:21" ht="18.75">
      <c r="A13" s="1019">
        <v>11</v>
      </c>
      <c r="B13" s="1754"/>
      <c r="C13" s="1754"/>
      <c r="D13" s="1754"/>
      <c r="E13" s="1020"/>
      <c r="F13" s="1021"/>
      <c r="G13" s="1021"/>
      <c r="H13" s="1022"/>
      <c r="I13" s="1023" t="s">
        <v>5181</v>
      </c>
      <c r="J13" s="1023"/>
      <c r="K13" s="1023"/>
      <c r="L13" s="1022"/>
      <c r="M13" s="1754"/>
      <c r="N13" s="1765"/>
      <c r="O13" s="1754"/>
      <c r="P13" s="1754"/>
      <c r="Q13" s="1754"/>
      <c r="R13" s="1754"/>
      <c r="S13" s="1754"/>
      <c r="T13" s="1754"/>
    </row>
    <row r="14" spans="1:21" ht="18.75">
      <c r="A14" s="1019">
        <v>12</v>
      </c>
      <c r="B14" s="1754"/>
      <c r="C14" s="1754"/>
      <c r="D14" s="1754"/>
      <c r="E14" s="1020"/>
      <c r="F14" s="1021"/>
      <c r="G14" s="1021"/>
      <c r="H14" s="1022"/>
      <c r="I14" s="1023" t="s">
        <v>5182</v>
      </c>
      <c r="J14" s="1023"/>
      <c r="K14" s="1023"/>
      <c r="L14" s="1022"/>
      <c r="M14" s="1754"/>
      <c r="N14" s="1765"/>
      <c r="O14" s="1754"/>
      <c r="P14" s="1754"/>
      <c r="Q14" s="1754"/>
      <c r="R14" s="1754"/>
      <c r="S14" s="1754"/>
      <c r="T14" s="1754"/>
    </row>
    <row r="15" spans="1:21" ht="18.75">
      <c r="A15" s="1019">
        <v>13</v>
      </c>
      <c r="B15" s="1754"/>
      <c r="C15" s="1754"/>
      <c r="D15" s="1754"/>
      <c r="E15" s="1020"/>
      <c r="F15" s="1021"/>
      <c r="G15" s="1021"/>
      <c r="H15" s="1022"/>
      <c r="I15" s="1023" t="s">
        <v>5183</v>
      </c>
      <c r="J15" s="1023"/>
      <c r="K15" s="1023"/>
      <c r="L15" s="1022"/>
      <c r="M15" s="1754"/>
      <c r="N15" s="1765"/>
      <c r="O15" s="1754"/>
      <c r="P15" s="1754"/>
      <c r="Q15" s="1754"/>
      <c r="R15" s="1754"/>
      <c r="S15" s="1754"/>
      <c r="T15" s="1754"/>
    </row>
    <row r="16" spans="1:21" ht="18.75">
      <c r="A16" s="1019">
        <v>14</v>
      </c>
      <c r="B16" s="1754"/>
      <c r="C16" s="1754"/>
      <c r="D16" s="1754"/>
      <c r="E16" s="1020"/>
      <c r="F16" s="1021"/>
      <c r="G16" s="1021"/>
      <c r="H16" s="1022"/>
      <c r="I16" s="1023" t="s">
        <v>5184</v>
      </c>
      <c r="J16" s="1023"/>
      <c r="K16" s="1023"/>
      <c r="L16" s="1022"/>
      <c r="M16" s="1754"/>
      <c r="N16" s="1765"/>
      <c r="O16" s="1754"/>
      <c r="P16" s="1754"/>
      <c r="Q16" s="1754"/>
      <c r="R16" s="1754"/>
      <c r="S16" s="1754"/>
      <c r="T16" s="1754"/>
    </row>
    <row r="17" spans="1:21" ht="18.75">
      <c r="A17" s="1019">
        <v>15</v>
      </c>
      <c r="B17" s="1754"/>
      <c r="C17" s="1754"/>
      <c r="D17" s="1754"/>
      <c r="E17" s="1020"/>
      <c r="F17" s="1021"/>
      <c r="G17" s="1021"/>
      <c r="H17" s="1022"/>
      <c r="I17" s="1023" t="s">
        <v>5185</v>
      </c>
      <c r="J17" s="1023"/>
      <c r="K17" s="1023"/>
      <c r="L17" s="1022"/>
      <c r="M17" s="1754"/>
      <c r="N17" s="1765"/>
      <c r="O17" s="1754"/>
      <c r="P17" s="1754"/>
      <c r="Q17" s="1754"/>
      <c r="R17" s="1754"/>
      <c r="S17" s="1754"/>
      <c r="T17" s="1754"/>
    </row>
    <row r="18" spans="1:21" ht="18.75">
      <c r="A18" s="1019">
        <v>16</v>
      </c>
      <c r="B18" s="1754"/>
      <c r="C18" s="1754"/>
      <c r="D18" s="1754"/>
      <c r="E18" s="1020"/>
      <c r="F18" s="1021"/>
      <c r="G18" s="1021"/>
      <c r="H18" s="1022"/>
      <c r="I18" s="1023" t="s">
        <v>5186</v>
      </c>
      <c r="J18" s="1023"/>
      <c r="K18" s="1023"/>
      <c r="L18" s="1022"/>
      <c r="M18" s="1754"/>
      <c r="N18" s="1765"/>
      <c r="O18" s="1754"/>
      <c r="P18" s="1754"/>
      <c r="Q18" s="1754"/>
      <c r="R18" s="1754"/>
      <c r="S18" s="1754"/>
      <c r="T18" s="1754"/>
    </row>
    <row r="19" spans="1:21" ht="18.75">
      <c r="A19" s="1019">
        <v>17</v>
      </c>
      <c r="B19" s="1754"/>
      <c r="C19" s="1754"/>
      <c r="D19" s="1754"/>
      <c r="E19" s="1020"/>
      <c r="F19" s="1021"/>
      <c r="G19" s="1021"/>
      <c r="H19" s="1022"/>
      <c r="I19" s="1023" t="s">
        <v>5187</v>
      </c>
      <c r="J19" s="1023"/>
      <c r="K19" s="1023"/>
      <c r="L19" s="1022"/>
      <c r="M19" s="1754"/>
      <c r="N19" s="1765"/>
      <c r="O19" s="1763"/>
      <c r="P19" s="1754"/>
      <c r="Q19" s="1754"/>
      <c r="R19" s="1754"/>
      <c r="S19" s="1754"/>
      <c r="T19" s="1754"/>
    </row>
    <row r="20" spans="1:21" ht="22.5">
      <c r="A20" s="1019">
        <v>18</v>
      </c>
      <c r="B20" s="1754"/>
      <c r="C20" s="1754"/>
      <c r="D20" s="1754"/>
      <c r="E20" s="1024" t="s">
        <v>5188</v>
      </c>
      <c r="F20" s="1021" t="s">
        <v>107</v>
      </c>
      <c r="G20" s="1021" t="s">
        <v>5165</v>
      </c>
      <c r="H20" s="1022" t="s">
        <v>1995</v>
      </c>
      <c r="I20" s="1023"/>
      <c r="J20" s="1023"/>
      <c r="K20" s="1025" t="s">
        <v>5189</v>
      </c>
      <c r="L20" s="1022" t="s">
        <v>5190</v>
      </c>
      <c r="M20" s="1754"/>
      <c r="N20" s="1765"/>
      <c r="O20" s="1022">
        <v>700</v>
      </c>
      <c r="P20" s="1754"/>
      <c r="Q20" s="1754"/>
      <c r="R20" s="1754"/>
      <c r="S20" s="1754"/>
      <c r="T20" s="1754"/>
      <c r="U20" s="695">
        <v>104000000</v>
      </c>
    </row>
    <row r="21" spans="1:21" ht="22.5">
      <c r="A21" s="1019">
        <v>19</v>
      </c>
      <c r="B21" s="1754"/>
      <c r="C21" s="1754"/>
      <c r="D21" s="1754"/>
      <c r="E21" s="1024" t="s">
        <v>4673</v>
      </c>
      <c r="F21" s="1021" t="s">
        <v>4474</v>
      </c>
      <c r="G21" s="1021" t="s">
        <v>5165</v>
      </c>
      <c r="H21" s="1022" t="s">
        <v>4724</v>
      </c>
      <c r="I21" s="1023"/>
      <c r="J21" s="1023"/>
      <c r="K21" s="1025" t="s">
        <v>5191</v>
      </c>
      <c r="L21" s="1023"/>
      <c r="M21" s="1763"/>
      <c r="N21" s="1766"/>
      <c r="O21" s="1022">
        <v>912</v>
      </c>
      <c r="P21" s="1763"/>
      <c r="Q21" s="1763"/>
      <c r="R21" s="1763"/>
      <c r="S21" s="1763"/>
      <c r="T21" s="1763"/>
      <c r="U21" s="695">
        <v>214830000</v>
      </c>
    </row>
    <row r="22" spans="1:21" ht="18.75">
      <c r="A22" s="1019">
        <v>20</v>
      </c>
      <c r="B22" s="1754"/>
      <c r="C22" s="1754"/>
      <c r="D22" s="1754"/>
      <c r="E22" s="1026"/>
      <c r="F22" s="1023"/>
      <c r="G22" s="1023"/>
      <c r="H22" s="1023"/>
      <c r="I22" s="1051" t="s">
        <v>5192</v>
      </c>
      <c r="J22" s="1023"/>
      <c r="K22" s="1023"/>
      <c r="L22" s="1023"/>
      <c r="M22" s="1023"/>
      <c r="N22" s="1023"/>
      <c r="O22" s="1023"/>
      <c r="P22" s="1023"/>
      <c r="Q22" s="1023"/>
      <c r="R22" s="1023"/>
      <c r="S22" s="1023"/>
      <c r="T22" s="1023"/>
    </row>
    <row r="23" spans="1:21" ht="18.75">
      <c r="A23" s="1019">
        <v>21</v>
      </c>
      <c r="B23" s="1754"/>
      <c r="C23" s="1754"/>
      <c r="D23" s="1754"/>
      <c r="E23" s="1026"/>
      <c r="F23" s="1023"/>
      <c r="G23" s="1023"/>
      <c r="H23" s="1023"/>
      <c r="I23" s="1051" t="s">
        <v>5193</v>
      </c>
      <c r="J23" s="1023"/>
      <c r="K23" s="1023"/>
      <c r="L23" s="1023"/>
      <c r="M23" s="1023"/>
      <c r="N23" s="1023"/>
      <c r="O23" s="1023"/>
      <c r="P23" s="1022" t="s">
        <v>5194</v>
      </c>
      <c r="Q23" s="1023"/>
      <c r="R23" s="1023"/>
      <c r="S23" s="1022" t="s">
        <v>1084</v>
      </c>
      <c r="T23" s="1022" t="s">
        <v>5195</v>
      </c>
    </row>
    <row r="24" spans="1:21" ht="18.75">
      <c r="A24" s="1019">
        <v>22</v>
      </c>
      <c r="B24" s="1754"/>
      <c r="C24" s="1754"/>
      <c r="D24" s="1754"/>
      <c r="E24" s="1026"/>
      <c r="F24" s="1023"/>
      <c r="G24" s="1023"/>
      <c r="H24" s="1023"/>
      <c r="I24" s="1051" t="s">
        <v>5196</v>
      </c>
      <c r="J24" s="1023"/>
      <c r="K24" s="1023"/>
      <c r="L24" s="1023"/>
      <c r="M24" s="1023"/>
      <c r="N24" s="1023"/>
      <c r="O24" s="1023"/>
      <c r="P24" s="1022" t="s">
        <v>5197</v>
      </c>
      <c r="Q24" s="1023"/>
      <c r="R24" s="1023"/>
      <c r="S24" s="1022" t="s">
        <v>1084</v>
      </c>
      <c r="T24" s="1022" t="s">
        <v>5195</v>
      </c>
    </row>
    <row r="25" spans="1:21" ht="18.75">
      <c r="A25" s="1019">
        <v>23</v>
      </c>
      <c r="B25" s="1754"/>
      <c r="C25" s="1754"/>
      <c r="D25" s="1754"/>
      <c r="E25" s="1026"/>
      <c r="F25" s="1023"/>
      <c r="G25" s="1023"/>
      <c r="H25" s="1023"/>
      <c r="I25" s="1051" t="s">
        <v>5198</v>
      </c>
      <c r="J25" s="1023"/>
      <c r="K25" s="1023"/>
      <c r="L25" s="1023"/>
      <c r="M25" s="1023"/>
      <c r="N25" s="1023"/>
      <c r="O25" s="1023"/>
      <c r="P25" s="1022" t="s">
        <v>5199</v>
      </c>
      <c r="Q25" s="1023"/>
      <c r="R25" s="1023"/>
      <c r="S25" s="1022" t="s">
        <v>5200</v>
      </c>
      <c r="T25" s="1022" t="s">
        <v>5201</v>
      </c>
    </row>
    <row r="26" spans="1:21" ht="18.75">
      <c r="A26" s="1019">
        <v>24</v>
      </c>
      <c r="B26" s="1754"/>
      <c r="C26" s="1754"/>
      <c r="D26" s="1754"/>
      <c r="E26" s="1026"/>
      <c r="F26" s="1023"/>
      <c r="G26" s="1023"/>
      <c r="H26" s="1023"/>
      <c r="I26" s="1051" t="s">
        <v>5202</v>
      </c>
      <c r="J26" s="1023"/>
      <c r="K26" s="1023"/>
      <c r="L26" s="1023"/>
      <c r="M26" s="1023"/>
      <c r="N26" s="1023"/>
      <c r="O26" s="1023"/>
      <c r="P26" s="1022" t="s">
        <v>5203</v>
      </c>
      <c r="Q26" s="1023"/>
      <c r="R26" s="1023"/>
      <c r="S26" s="1022" t="s">
        <v>5204</v>
      </c>
      <c r="T26" s="1022" t="s">
        <v>5205</v>
      </c>
    </row>
    <row r="27" spans="1:21" ht="18.75">
      <c r="A27" s="1019">
        <v>25</v>
      </c>
      <c r="B27" s="1754"/>
      <c r="C27" s="1754"/>
      <c r="D27" s="1754"/>
      <c r="E27" s="1026"/>
      <c r="F27" s="1023"/>
      <c r="G27" s="1023"/>
      <c r="H27" s="1023"/>
      <c r="I27" s="1051" t="s">
        <v>5206</v>
      </c>
      <c r="J27" s="1023"/>
      <c r="K27" s="1023"/>
      <c r="L27" s="1023"/>
      <c r="M27" s="1023"/>
      <c r="N27" s="1023"/>
      <c r="O27" s="1023"/>
      <c r="P27" s="1022" t="s">
        <v>5207</v>
      </c>
      <c r="Q27" s="1023"/>
      <c r="R27" s="1023"/>
      <c r="S27" s="1022" t="s">
        <v>5208</v>
      </c>
      <c r="T27" s="1022" t="s">
        <v>5201</v>
      </c>
    </row>
    <row r="28" spans="1:21" ht="18.75">
      <c r="A28" s="1019">
        <v>26</v>
      </c>
      <c r="B28" s="1754"/>
      <c r="C28" s="1754"/>
      <c r="D28" s="1754"/>
      <c r="E28" s="1026"/>
      <c r="F28" s="1023"/>
      <c r="G28" s="1023"/>
      <c r="H28" s="1023"/>
      <c r="I28" s="1051" t="s">
        <v>5209</v>
      </c>
      <c r="J28" s="1023"/>
      <c r="K28" s="1023"/>
      <c r="L28" s="1023"/>
      <c r="M28" s="1023"/>
      <c r="N28" s="1023"/>
      <c r="O28" s="1023"/>
      <c r="P28" s="1022" t="s">
        <v>5210</v>
      </c>
      <c r="Q28" s="1023"/>
      <c r="R28" s="1023"/>
      <c r="S28" s="1022" t="s">
        <v>5211</v>
      </c>
      <c r="T28" s="1022" t="s">
        <v>5201</v>
      </c>
    </row>
    <row r="29" spans="1:21" ht="18.75">
      <c r="A29" s="1019">
        <v>27</v>
      </c>
      <c r="B29" s="1754"/>
      <c r="C29" s="1754"/>
      <c r="D29" s="1754"/>
      <c r="E29" s="1026"/>
      <c r="F29" s="1023"/>
      <c r="G29" s="1023"/>
      <c r="H29" s="1023"/>
      <c r="I29" s="1051" t="s">
        <v>5212</v>
      </c>
      <c r="J29" s="1023"/>
      <c r="K29" s="1023"/>
      <c r="L29" s="1023"/>
      <c r="M29" s="1023"/>
      <c r="N29" s="1023"/>
      <c r="O29" s="1023"/>
      <c r="P29" s="1022" t="s">
        <v>5213</v>
      </c>
      <c r="Q29" s="1023"/>
      <c r="R29" s="1023"/>
      <c r="S29" s="1022" t="s">
        <v>5211</v>
      </c>
      <c r="T29" s="1022" t="s">
        <v>5205</v>
      </c>
    </row>
    <row r="30" spans="1:21" ht="18.75">
      <c r="A30" s="1019">
        <v>28</v>
      </c>
      <c r="B30" s="1754"/>
      <c r="C30" s="1754"/>
      <c r="D30" s="1754"/>
      <c r="E30" s="1026"/>
      <c r="F30" s="1023"/>
      <c r="G30" s="1023"/>
      <c r="H30" s="1023"/>
      <c r="I30" s="1051" t="s">
        <v>5214</v>
      </c>
      <c r="J30" s="1023"/>
      <c r="K30" s="1023"/>
      <c r="L30" s="1023"/>
      <c r="M30" s="1023"/>
      <c r="N30" s="1023"/>
      <c r="O30" s="1023"/>
      <c r="P30" s="1022" t="s">
        <v>5215</v>
      </c>
      <c r="Q30" s="1023"/>
      <c r="R30" s="1023"/>
      <c r="S30" s="1022" t="s">
        <v>5208</v>
      </c>
      <c r="T30" s="1022" t="s">
        <v>5201</v>
      </c>
    </row>
    <row r="31" spans="1:21" ht="18.75">
      <c r="A31" s="1019">
        <v>29</v>
      </c>
      <c r="B31" s="1754"/>
      <c r="C31" s="1754"/>
      <c r="D31" s="1754"/>
      <c r="E31" s="1026"/>
      <c r="F31" s="1023"/>
      <c r="G31" s="1023"/>
      <c r="H31" s="1023"/>
      <c r="I31" s="1051" t="s">
        <v>5216</v>
      </c>
      <c r="J31" s="1023" t="s">
        <v>5217</v>
      </c>
      <c r="K31" s="1023"/>
      <c r="L31" s="1023"/>
      <c r="M31" s="1023"/>
      <c r="N31" s="1023"/>
      <c r="O31" s="1023"/>
      <c r="P31" s="1022" t="s">
        <v>5218</v>
      </c>
      <c r="Q31" s="1023"/>
      <c r="R31" s="1023"/>
      <c r="S31" s="1022" t="s">
        <v>5204</v>
      </c>
      <c r="T31" s="1022" t="s">
        <v>5205</v>
      </c>
    </row>
    <row r="32" spans="1:21" ht="18.75">
      <c r="A32" s="1019">
        <v>30</v>
      </c>
      <c r="B32" s="1754"/>
      <c r="C32" s="1754"/>
      <c r="D32" s="1754"/>
      <c r="E32" s="1026"/>
      <c r="F32" s="1023"/>
      <c r="G32" s="1023"/>
      <c r="H32" s="1023"/>
      <c r="I32" s="1051" t="s">
        <v>5219</v>
      </c>
      <c r="J32" s="1023"/>
      <c r="K32" s="1023"/>
      <c r="L32" s="1023"/>
      <c r="M32" s="1023"/>
      <c r="N32" s="1023"/>
      <c r="O32" s="1023"/>
      <c r="P32" s="1022" t="s">
        <v>5220</v>
      </c>
      <c r="Q32" s="1023"/>
      <c r="R32" s="1023"/>
      <c r="S32" s="1022" t="s">
        <v>5204</v>
      </c>
      <c r="T32" s="1022" t="s">
        <v>5205</v>
      </c>
    </row>
    <row r="33" spans="1:20" ht="18.75">
      <c r="A33" s="1019">
        <v>31</v>
      </c>
      <c r="B33" s="1754"/>
      <c r="C33" s="1754"/>
      <c r="D33" s="1754"/>
      <c r="E33" s="1026"/>
      <c r="F33" s="1023"/>
      <c r="G33" s="1023"/>
      <c r="H33" s="1023"/>
      <c r="I33" s="1051" t="s">
        <v>5221</v>
      </c>
      <c r="J33" s="1023"/>
      <c r="K33" s="1023"/>
      <c r="L33" s="1023"/>
      <c r="M33" s="1023"/>
      <c r="N33" s="1023"/>
      <c r="O33" s="1023"/>
      <c r="P33" s="1022" t="s">
        <v>5222</v>
      </c>
      <c r="Q33" s="1023"/>
      <c r="R33" s="1023"/>
      <c r="S33" s="1022" t="s">
        <v>1084</v>
      </c>
      <c r="T33" s="1022" t="s">
        <v>5195</v>
      </c>
    </row>
    <row r="34" spans="1:20" ht="18.75">
      <c r="A34" s="1019">
        <v>32</v>
      </c>
      <c r="B34" s="1754"/>
      <c r="C34" s="1754"/>
      <c r="D34" s="1754"/>
      <c r="E34" s="1026"/>
      <c r="F34" s="1023"/>
      <c r="G34" s="1023"/>
      <c r="H34" s="1023"/>
      <c r="I34" s="1051" t="s">
        <v>5223</v>
      </c>
      <c r="J34" s="1023"/>
      <c r="K34" s="1023"/>
      <c r="L34" s="1023"/>
      <c r="M34" s="1023"/>
      <c r="N34" s="1023"/>
      <c r="O34" s="1023"/>
      <c r="P34" s="1022" t="s">
        <v>5224</v>
      </c>
      <c r="Q34" s="1023"/>
      <c r="R34" s="1023"/>
      <c r="S34" s="1022" t="s">
        <v>5211</v>
      </c>
      <c r="T34" s="1022" t="s">
        <v>5205</v>
      </c>
    </row>
    <row r="35" spans="1:20" ht="18.75">
      <c r="A35" s="1019">
        <v>33</v>
      </c>
      <c r="B35" s="1754"/>
      <c r="C35" s="1754"/>
      <c r="D35" s="1754"/>
      <c r="E35" s="1026"/>
      <c r="F35" s="1023"/>
      <c r="G35" s="1023"/>
      <c r="H35" s="1023"/>
      <c r="I35" s="1051" t="s">
        <v>5225</v>
      </c>
      <c r="J35" s="1023"/>
      <c r="K35" s="1023"/>
      <c r="L35" s="1023"/>
      <c r="M35" s="1023"/>
      <c r="N35" s="1023"/>
      <c r="O35" s="1023"/>
      <c r="P35" s="1022" t="s">
        <v>5226</v>
      </c>
      <c r="Q35" s="1023"/>
      <c r="R35" s="1023"/>
      <c r="S35" s="1022" t="s">
        <v>5208</v>
      </c>
      <c r="T35" s="1022" t="s">
        <v>5201</v>
      </c>
    </row>
    <row r="36" spans="1:20" ht="18.75">
      <c r="A36" s="1019">
        <v>34</v>
      </c>
      <c r="B36" s="1754"/>
      <c r="C36" s="1754"/>
      <c r="D36" s="1754"/>
      <c r="E36" s="1026"/>
      <c r="F36" s="1023"/>
      <c r="G36" s="1023"/>
      <c r="H36" s="1023"/>
      <c r="I36" s="1051" t="s">
        <v>5227</v>
      </c>
      <c r="J36" s="1023"/>
      <c r="K36" s="1023"/>
      <c r="L36" s="1023"/>
      <c r="M36" s="1023"/>
      <c r="N36" s="1023"/>
      <c r="O36" s="1023"/>
      <c r="P36" s="1022" t="s">
        <v>5228</v>
      </c>
      <c r="Q36" s="1023"/>
      <c r="R36" s="1023"/>
      <c r="S36" s="1022" t="s">
        <v>5208</v>
      </c>
      <c r="T36" s="1022" t="s">
        <v>5205</v>
      </c>
    </row>
    <row r="37" spans="1:20" ht="18.75">
      <c r="A37" s="1019">
        <v>35</v>
      </c>
      <c r="B37" s="1754"/>
      <c r="C37" s="1754"/>
      <c r="D37" s="1754"/>
      <c r="E37" s="1026"/>
      <c r="F37" s="1023"/>
      <c r="G37" s="1023"/>
      <c r="H37" s="1023"/>
      <c r="I37" s="1051" t="s">
        <v>5229</v>
      </c>
      <c r="J37" s="1023"/>
      <c r="K37" s="1023"/>
      <c r="L37" s="1023"/>
      <c r="M37" s="1023"/>
      <c r="N37" s="1023"/>
      <c r="O37" s="1023"/>
      <c r="P37" s="1022" t="s">
        <v>5230</v>
      </c>
      <c r="Q37" s="1023"/>
      <c r="R37" s="1023"/>
      <c r="S37" s="1022" t="s">
        <v>5211</v>
      </c>
      <c r="T37" s="1022" t="s">
        <v>5205</v>
      </c>
    </row>
    <row r="38" spans="1:20" ht="18.75">
      <c r="A38" s="1019">
        <v>36</v>
      </c>
      <c r="B38" s="1754"/>
      <c r="C38" s="1754"/>
      <c r="D38" s="1754"/>
      <c r="E38" s="1026"/>
      <c r="F38" s="1023"/>
      <c r="G38" s="1023"/>
      <c r="H38" s="1023"/>
      <c r="I38" s="1051" t="s">
        <v>5231</v>
      </c>
      <c r="J38" s="1023"/>
      <c r="K38" s="1023"/>
      <c r="L38" s="1023"/>
      <c r="M38" s="1023"/>
      <c r="N38" s="1023"/>
      <c r="O38" s="1023"/>
      <c r="P38" s="1022" t="s">
        <v>5232</v>
      </c>
      <c r="Q38" s="1023"/>
      <c r="R38" s="1023"/>
      <c r="S38" s="1022" t="s">
        <v>5208</v>
      </c>
      <c r="T38" s="1022" t="s">
        <v>5201</v>
      </c>
    </row>
    <row r="39" spans="1:20" ht="18.75">
      <c r="A39" s="1019">
        <v>37</v>
      </c>
      <c r="B39" s="1754"/>
      <c r="C39" s="1754"/>
      <c r="D39" s="1754"/>
      <c r="E39" s="1026"/>
      <c r="F39" s="1023"/>
      <c r="G39" s="1023"/>
      <c r="H39" s="1023"/>
      <c r="I39" s="1051" t="s">
        <v>5233</v>
      </c>
      <c r="J39" s="1023"/>
      <c r="K39" s="1023"/>
      <c r="L39" s="1023"/>
      <c r="M39" s="1023"/>
      <c r="N39" s="1023"/>
      <c r="O39" s="1023"/>
      <c r="P39" s="1022" t="s">
        <v>5234</v>
      </c>
      <c r="Q39" s="1023"/>
      <c r="R39" s="1023"/>
      <c r="S39" s="1022" t="s">
        <v>5208</v>
      </c>
      <c r="T39" s="1022" t="s">
        <v>5201</v>
      </c>
    </row>
    <row r="40" spans="1:20" ht="18.75">
      <c r="A40" s="1019">
        <v>38</v>
      </c>
      <c r="B40" s="1754"/>
      <c r="C40" s="1754"/>
      <c r="D40" s="1754"/>
      <c r="E40" s="1026"/>
      <c r="F40" s="1023"/>
      <c r="G40" s="1023"/>
      <c r="H40" s="1023"/>
      <c r="I40" s="1051" t="s">
        <v>5235</v>
      </c>
      <c r="J40" s="1023"/>
      <c r="K40" s="1023"/>
      <c r="L40" s="1023"/>
      <c r="M40" s="1023"/>
      <c r="N40" s="1023"/>
      <c r="O40" s="1023"/>
      <c r="P40" s="1022" t="s">
        <v>5236</v>
      </c>
      <c r="Q40" s="1023"/>
      <c r="R40" s="1023"/>
      <c r="S40" s="1022" t="s">
        <v>5211</v>
      </c>
      <c r="T40" s="1022" t="s">
        <v>5205</v>
      </c>
    </row>
    <row r="41" spans="1:20" ht="18.75">
      <c r="A41" s="1019">
        <v>39</v>
      </c>
      <c r="B41" s="1754"/>
      <c r="C41" s="1754"/>
      <c r="D41" s="1754"/>
      <c r="E41" s="1023"/>
      <c r="F41" s="1023"/>
      <c r="G41" s="1023"/>
      <c r="H41" s="1023"/>
      <c r="I41" s="1051" t="s">
        <v>5237</v>
      </c>
      <c r="J41" s="1023"/>
      <c r="K41" s="1023"/>
      <c r="L41" s="1023"/>
      <c r="M41" s="1023"/>
      <c r="N41" s="1023"/>
      <c r="O41" s="1023"/>
      <c r="P41" s="1022"/>
      <c r="Q41" s="1023"/>
      <c r="R41" s="1023"/>
      <c r="S41" s="1022" t="s">
        <v>5204</v>
      </c>
      <c r="T41" s="1022" t="s">
        <v>5205</v>
      </c>
    </row>
    <row r="49" spans="1:21" s="1028" customFormat="1" ht="18.75">
      <c r="A49" s="1755" t="s">
        <v>11165</v>
      </c>
      <c r="B49" s="1755"/>
      <c r="C49" s="1755"/>
      <c r="D49" s="1755"/>
      <c r="E49" s="1755"/>
      <c r="F49" s="1755"/>
      <c r="G49" s="1755"/>
      <c r="H49" s="1755"/>
      <c r="I49" s="1755"/>
      <c r="J49" s="1755"/>
      <c r="K49" s="1755"/>
      <c r="L49" s="1755"/>
      <c r="M49" s="1755"/>
      <c r="N49" s="1755"/>
      <c r="O49" s="1755"/>
      <c r="P49" s="1755"/>
      <c r="Q49" s="1755"/>
      <c r="R49" s="1755"/>
      <c r="S49" s="1755"/>
      <c r="T49" s="1755"/>
    </row>
    <row r="50" spans="1:21" s="1030" customFormat="1" ht="24">
      <c r="A50" s="1015" t="s">
        <v>0</v>
      </c>
      <c r="B50" s="1015" t="s">
        <v>5161</v>
      </c>
      <c r="C50" s="1015" t="s">
        <v>2</v>
      </c>
      <c r="D50" s="1015" t="s">
        <v>3</v>
      </c>
      <c r="E50" s="1016" t="s">
        <v>6</v>
      </c>
      <c r="F50" s="1015" t="s">
        <v>7</v>
      </c>
      <c r="G50" s="1015" t="s">
        <v>8</v>
      </c>
      <c r="H50" s="1017" t="s">
        <v>233</v>
      </c>
      <c r="I50" s="1015" t="s">
        <v>9</v>
      </c>
      <c r="J50" s="1015" t="s">
        <v>10</v>
      </c>
      <c r="K50" s="1015" t="s">
        <v>11</v>
      </c>
      <c r="L50" s="1015" t="s">
        <v>12</v>
      </c>
      <c r="M50" s="1015" t="s">
        <v>18</v>
      </c>
      <c r="N50" s="1015" t="s">
        <v>20</v>
      </c>
      <c r="O50" s="1016" t="s">
        <v>21</v>
      </c>
      <c r="P50" s="1016" t="s">
        <v>5162</v>
      </c>
      <c r="Q50" s="1015" t="s">
        <v>5163</v>
      </c>
      <c r="R50" s="1016" t="s">
        <v>23</v>
      </c>
      <c r="S50" s="1016" t="s">
        <v>24</v>
      </c>
      <c r="T50" s="1018" t="s">
        <v>4406</v>
      </c>
      <c r="U50" s="1029"/>
    </row>
    <row r="51" spans="1:21" s="1028" customFormat="1" ht="17.25" customHeight="1">
      <c r="A51" s="1019">
        <v>1</v>
      </c>
      <c r="B51" s="1753" t="s">
        <v>5238</v>
      </c>
      <c r="C51" s="1753" t="s">
        <v>423</v>
      </c>
      <c r="D51" s="1753" t="s">
        <v>423</v>
      </c>
      <c r="E51" s="1020" t="s">
        <v>5239</v>
      </c>
      <c r="F51" s="1022" t="s">
        <v>28</v>
      </c>
      <c r="G51" s="1021" t="s">
        <v>11166</v>
      </c>
      <c r="H51" s="1022" t="s">
        <v>1994</v>
      </c>
      <c r="I51" s="1023" t="s">
        <v>14954</v>
      </c>
      <c r="J51" s="1023"/>
      <c r="K51" s="1022" t="s">
        <v>14955</v>
      </c>
      <c r="L51" s="1022" t="s">
        <v>14956</v>
      </c>
      <c r="M51" s="1753"/>
      <c r="N51" s="1764"/>
      <c r="O51" s="1022">
        <v>2500</v>
      </c>
      <c r="P51" s="1753" t="s">
        <v>4547</v>
      </c>
      <c r="Q51" s="1753" t="s">
        <v>5168</v>
      </c>
      <c r="R51" s="1753" t="s">
        <v>5169</v>
      </c>
      <c r="S51" s="1753" t="s">
        <v>5170</v>
      </c>
      <c r="T51" s="1753" t="s">
        <v>5171</v>
      </c>
      <c r="U51" s="1031">
        <v>134060606</v>
      </c>
    </row>
    <row r="52" spans="1:21" s="1028" customFormat="1" ht="18.75">
      <c r="A52" s="1019">
        <v>2</v>
      </c>
      <c r="B52" s="1754"/>
      <c r="C52" s="1754"/>
      <c r="D52" s="1754"/>
      <c r="E52" s="1032"/>
      <c r="F52" s="1023"/>
      <c r="G52" s="1023"/>
      <c r="H52" s="1023"/>
      <c r="I52" s="1023" t="s">
        <v>14957</v>
      </c>
      <c r="J52" s="1023"/>
      <c r="K52" s="1023"/>
      <c r="L52" s="1022" t="s">
        <v>14958</v>
      </c>
      <c r="M52" s="1754"/>
      <c r="N52" s="1765"/>
      <c r="O52" s="1022"/>
      <c r="P52" s="1754"/>
      <c r="Q52" s="1754"/>
      <c r="R52" s="1754"/>
      <c r="S52" s="1754"/>
      <c r="T52" s="1754"/>
    </row>
    <row r="53" spans="1:21" s="1028" customFormat="1" ht="18.75">
      <c r="A53" s="1019">
        <v>3</v>
      </c>
      <c r="B53" s="1754"/>
      <c r="C53" s="1754"/>
      <c r="D53" s="1754"/>
      <c r="E53" s="1032"/>
      <c r="F53" s="1023"/>
      <c r="G53" s="1023"/>
      <c r="H53" s="1023"/>
      <c r="I53" s="1023" t="s">
        <v>14959</v>
      </c>
      <c r="J53" s="1023"/>
      <c r="K53" s="1023"/>
      <c r="L53" s="1022" t="s">
        <v>14960</v>
      </c>
      <c r="M53" s="1754"/>
      <c r="N53" s="1765"/>
      <c r="O53" s="1022"/>
      <c r="P53" s="1754"/>
      <c r="Q53" s="1754"/>
      <c r="R53" s="1754"/>
      <c r="S53" s="1754"/>
      <c r="T53" s="1754"/>
    </row>
    <row r="54" spans="1:21" s="1028" customFormat="1" ht="18.75">
      <c r="A54" s="1019">
        <v>4</v>
      </c>
      <c r="B54" s="1754"/>
      <c r="C54" s="1754"/>
      <c r="D54" s="1754"/>
      <c r="E54" s="1032"/>
      <c r="F54" s="1023"/>
      <c r="G54" s="1023"/>
      <c r="H54" s="1023"/>
      <c r="I54" s="1023" t="s">
        <v>14961</v>
      </c>
      <c r="J54" s="1023"/>
      <c r="K54" s="1023"/>
      <c r="L54" s="1022" t="s">
        <v>14962</v>
      </c>
      <c r="M54" s="1754"/>
      <c r="N54" s="1765"/>
      <c r="O54" s="1022"/>
      <c r="P54" s="1754"/>
      <c r="Q54" s="1754"/>
      <c r="R54" s="1754"/>
      <c r="S54" s="1754"/>
      <c r="T54" s="1754"/>
    </row>
    <row r="55" spans="1:21" s="1028" customFormat="1" ht="18.75">
      <c r="A55" s="1019">
        <v>5</v>
      </c>
      <c r="B55" s="1754"/>
      <c r="C55" s="1754"/>
      <c r="D55" s="1754"/>
      <c r="E55" s="1032"/>
      <c r="F55" s="1023"/>
      <c r="G55" s="1023"/>
      <c r="H55" s="1023"/>
      <c r="I55" s="1023" t="s">
        <v>14963</v>
      </c>
      <c r="J55" s="1023"/>
      <c r="K55" s="1023"/>
      <c r="L55" s="1022" t="s">
        <v>14964</v>
      </c>
      <c r="M55" s="1754"/>
      <c r="N55" s="1765"/>
      <c r="O55" s="1022"/>
      <c r="P55" s="1754"/>
      <c r="Q55" s="1754"/>
      <c r="R55" s="1754"/>
      <c r="S55" s="1754"/>
      <c r="T55" s="1754"/>
    </row>
    <row r="56" spans="1:21" s="1028" customFormat="1" ht="18.75">
      <c r="A56" s="1019">
        <v>6</v>
      </c>
      <c r="B56" s="1754"/>
      <c r="C56" s="1754"/>
      <c r="D56" s="1754"/>
      <c r="E56" s="1032"/>
      <c r="F56" s="1023"/>
      <c r="G56" s="1023"/>
      <c r="H56" s="1023"/>
      <c r="I56" s="1023" t="s">
        <v>14965</v>
      </c>
      <c r="J56" s="1023"/>
      <c r="K56" s="1023"/>
      <c r="L56" s="1022" t="s">
        <v>14966</v>
      </c>
      <c r="M56" s="1754"/>
      <c r="N56" s="1765"/>
      <c r="O56" s="1022"/>
      <c r="P56" s="1754"/>
      <c r="Q56" s="1754"/>
      <c r="R56" s="1754"/>
      <c r="S56" s="1754"/>
      <c r="T56" s="1754"/>
    </row>
    <row r="57" spans="1:21" s="1028" customFormat="1" ht="18.75">
      <c r="A57" s="1019">
        <v>7</v>
      </c>
      <c r="B57" s="1754"/>
      <c r="C57" s="1754"/>
      <c r="D57" s="1754"/>
      <c r="E57" s="1032"/>
      <c r="F57" s="1023"/>
      <c r="G57" s="1023"/>
      <c r="H57" s="1023"/>
      <c r="I57" s="1023" t="s">
        <v>14967</v>
      </c>
      <c r="J57" s="1023"/>
      <c r="K57" s="1023"/>
      <c r="L57" s="1022" t="s">
        <v>14968</v>
      </c>
      <c r="M57" s="1754"/>
      <c r="N57" s="1765"/>
      <c r="O57" s="1022"/>
      <c r="P57" s="1754"/>
      <c r="Q57" s="1754"/>
      <c r="R57" s="1754"/>
      <c r="S57" s="1754"/>
      <c r="T57" s="1754"/>
    </row>
    <row r="58" spans="1:21" s="1028" customFormat="1" ht="18.75">
      <c r="A58" s="1019">
        <v>8</v>
      </c>
      <c r="B58" s="1754"/>
      <c r="C58" s="1754"/>
      <c r="D58" s="1754"/>
      <c r="E58" s="1032"/>
      <c r="F58" s="1023"/>
      <c r="G58" s="1023"/>
      <c r="H58" s="1023"/>
      <c r="I58" s="1023" t="s">
        <v>14967</v>
      </c>
      <c r="J58" s="1023"/>
      <c r="K58" s="1023"/>
      <c r="L58" s="1022" t="s">
        <v>14969</v>
      </c>
      <c r="M58" s="1754"/>
      <c r="N58" s="1765"/>
      <c r="O58" s="1022"/>
      <c r="P58" s="1754"/>
      <c r="Q58" s="1754"/>
      <c r="R58" s="1754"/>
      <c r="S58" s="1754"/>
      <c r="T58" s="1754"/>
    </row>
    <row r="59" spans="1:21" s="1028" customFormat="1" ht="18.75">
      <c r="A59" s="1019">
        <v>9</v>
      </c>
      <c r="B59" s="1754"/>
      <c r="C59" s="1754"/>
      <c r="D59" s="1754"/>
      <c r="E59" s="1032"/>
      <c r="F59" s="1023"/>
      <c r="G59" s="1023"/>
      <c r="H59" s="1023"/>
      <c r="I59" s="1023"/>
      <c r="J59" s="1023"/>
      <c r="K59" s="1023"/>
      <c r="L59" s="1022" t="s">
        <v>14970</v>
      </c>
      <c r="M59" s="1754"/>
      <c r="N59" s="1765"/>
      <c r="O59" s="1022"/>
      <c r="P59" s="1754"/>
      <c r="Q59" s="1754"/>
      <c r="R59" s="1754"/>
      <c r="S59" s="1754"/>
      <c r="T59" s="1754"/>
    </row>
    <row r="60" spans="1:21" s="1028" customFormat="1" ht="18.75">
      <c r="A60" s="1019">
        <v>10</v>
      </c>
      <c r="B60" s="1754"/>
      <c r="C60" s="1754"/>
      <c r="D60" s="1754"/>
      <c r="E60" s="1032"/>
      <c r="F60" s="1023"/>
      <c r="G60" s="1023"/>
      <c r="H60" s="1023"/>
      <c r="I60" s="1023"/>
      <c r="J60" s="1023"/>
      <c r="K60" s="1023"/>
      <c r="L60" s="1022" t="s">
        <v>14971</v>
      </c>
      <c r="M60" s="1754"/>
      <c r="N60" s="1765"/>
      <c r="O60" s="1022"/>
      <c r="P60" s="1754"/>
      <c r="Q60" s="1754"/>
      <c r="R60" s="1754"/>
      <c r="S60" s="1754"/>
      <c r="T60" s="1754"/>
    </row>
    <row r="61" spans="1:21" s="1028" customFormat="1" ht="18.75">
      <c r="A61" s="1019">
        <v>11</v>
      </c>
      <c r="B61" s="1754"/>
      <c r="C61" s="1754"/>
      <c r="D61" s="1754"/>
      <c r="E61" s="1032"/>
      <c r="F61" s="1023"/>
      <c r="G61" s="1023"/>
      <c r="H61" s="1023"/>
      <c r="I61" s="1023"/>
      <c r="J61" s="1023"/>
      <c r="K61" s="1023"/>
      <c r="L61" s="1023"/>
      <c r="M61" s="1754"/>
      <c r="N61" s="1765"/>
      <c r="O61" s="1022"/>
      <c r="P61" s="1754"/>
      <c r="Q61" s="1754"/>
      <c r="R61" s="1754"/>
      <c r="S61" s="1754"/>
      <c r="T61" s="1754"/>
    </row>
    <row r="62" spans="1:21" s="1028" customFormat="1" ht="18.75">
      <c r="A62" s="1019">
        <v>12</v>
      </c>
      <c r="B62" s="1754"/>
      <c r="C62" s="1754"/>
      <c r="D62" s="1754"/>
      <c r="E62" s="1032"/>
      <c r="F62" s="1023"/>
      <c r="G62" s="1023"/>
      <c r="H62" s="1023"/>
      <c r="I62" s="1023"/>
      <c r="J62" s="1023"/>
      <c r="K62" s="1023"/>
      <c r="L62" s="1023"/>
      <c r="M62" s="1754"/>
      <c r="N62" s="1765"/>
      <c r="O62" s="1022"/>
      <c r="P62" s="1754"/>
      <c r="Q62" s="1754"/>
      <c r="R62" s="1754"/>
      <c r="S62" s="1754"/>
      <c r="T62" s="1754"/>
    </row>
    <row r="63" spans="1:21" s="1028" customFormat="1" ht="18.75">
      <c r="A63" s="1019">
        <v>13</v>
      </c>
      <c r="B63" s="1754"/>
      <c r="C63" s="1754"/>
      <c r="D63" s="1754"/>
      <c r="E63" s="1032"/>
      <c r="F63" s="1023"/>
      <c r="G63" s="1023"/>
      <c r="H63" s="1023"/>
      <c r="I63" s="1023"/>
      <c r="J63" s="1023"/>
      <c r="K63" s="1023"/>
      <c r="L63" s="1023"/>
      <c r="M63" s="1754"/>
      <c r="N63" s="1765"/>
      <c r="O63" s="1022"/>
      <c r="P63" s="1754"/>
      <c r="Q63" s="1754"/>
      <c r="R63" s="1754"/>
      <c r="S63" s="1754"/>
      <c r="T63" s="1754"/>
    </row>
    <row r="64" spans="1:21" s="1028" customFormat="1" ht="18.75">
      <c r="A64" s="1019">
        <v>14</v>
      </c>
      <c r="B64" s="1754"/>
      <c r="C64" s="1754"/>
      <c r="D64" s="1754"/>
      <c r="E64" s="1032"/>
      <c r="F64" s="1023"/>
      <c r="G64" s="1023"/>
      <c r="H64" s="1023"/>
      <c r="I64" s="1023"/>
      <c r="J64" s="1023"/>
      <c r="K64" s="1023"/>
      <c r="L64" s="1023"/>
      <c r="M64" s="1754"/>
      <c r="N64" s="1765"/>
      <c r="O64" s="1022"/>
      <c r="P64" s="1754"/>
      <c r="Q64" s="1754"/>
      <c r="R64" s="1754"/>
      <c r="S64" s="1754"/>
      <c r="T64" s="1754"/>
    </row>
    <row r="65" spans="1:21" s="1028" customFormat="1" ht="18.75">
      <c r="A65" s="1019">
        <v>15</v>
      </c>
      <c r="B65" s="1754"/>
      <c r="C65" s="1754"/>
      <c r="D65" s="1754"/>
      <c r="E65" s="1032"/>
      <c r="F65" s="1023"/>
      <c r="G65" s="1023"/>
      <c r="H65" s="1023"/>
      <c r="I65" s="1023"/>
      <c r="J65" s="1023"/>
      <c r="K65" s="1023"/>
      <c r="L65" s="1023"/>
      <c r="M65" s="1754"/>
      <c r="N65" s="1765"/>
      <c r="O65" s="1022"/>
      <c r="P65" s="1754"/>
      <c r="Q65" s="1754"/>
      <c r="R65" s="1754"/>
      <c r="S65" s="1754"/>
      <c r="T65" s="1754"/>
    </row>
    <row r="66" spans="1:21" s="1028" customFormat="1" ht="18.75">
      <c r="A66" s="1019">
        <v>16</v>
      </c>
      <c r="B66" s="1754"/>
      <c r="C66" s="1754"/>
      <c r="D66" s="1754"/>
      <c r="E66" s="1032"/>
      <c r="F66" s="1023"/>
      <c r="G66" s="1023"/>
      <c r="H66" s="1023"/>
      <c r="I66" s="1023"/>
      <c r="J66" s="1023"/>
      <c r="K66" s="1023"/>
      <c r="L66" s="1023"/>
      <c r="M66" s="1754"/>
      <c r="N66" s="1765"/>
      <c r="O66" s="1022"/>
      <c r="P66" s="1754"/>
      <c r="Q66" s="1754"/>
      <c r="R66" s="1754"/>
      <c r="S66" s="1754"/>
      <c r="T66" s="1754"/>
    </row>
    <row r="67" spans="1:21" s="1028" customFormat="1" ht="18.75">
      <c r="A67" s="1019">
        <v>17</v>
      </c>
      <c r="B67" s="1754"/>
      <c r="C67" s="1754"/>
      <c r="D67" s="1754"/>
      <c r="E67" s="1032"/>
      <c r="F67" s="1023"/>
      <c r="G67" s="1023"/>
      <c r="H67" s="1023"/>
      <c r="I67" s="1023"/>
      <c r="J67" s="1023"/>
      <c r="K67" s="1023"/>
      <c r="L67" s="1023"/>
      <c r="M67" s="1754"/>
      <c r="N67" s="1765"/>
      <c r="O67" s="1022"/>
      <c r="P67" s="1754"/>
      <c r="Q67" s="1754"/>
      <c r="R67" s="1754"/>
      <c r="S67" s="1754"/>
      <c r="T67" s="1754"/>
    </row>
    <row r="68" spans="1:21" s="1028" customFormat="1" ht="22.5">
      <c r="A68" s="1019">
        <v>18</v>
      </c>
      <c r="B68" s="1754"/>
      <c r="C68" s="1754"/>
      <c r="D68" s="1754"/>
      <c r="E68" s="1024" t="s">
        <v>5240</v>
      </c>
      <c r="F68" s="1033" t="s">
        <v>107</v>
      </c>
      <c r="G68" s="1021" t="s">
        <v>11166</v>
      </c>
      <c r="H68" s="1033" t="s">
        <v>1994</v>
      </c>
      <c r="I68" s="1023" t="s">
        <v>15791</v>
      </c>
      <c r="J68" s="1023"/>
      <c r="K68" s="1022" t="s">
        <v>14972</v>
      </c>
      <c r="L68" s="1023"/>
      <c r="M68" s="1754"/>
      <c r="N68" s="1765"/>
      <c r="O68" s="1022">
        <v>2501</v>
      </c>
      <c r="P68" s="1754"/>
      <c r="Q68" s="1754"/>
      <c r="R68" s="1754"/>
      <c r="S68" s="1754"/>
      <c r="T68" s="1754"/>
      <c r="U68" s="1031">
        <v>155606661</v>
      </c>
    </row>
    <row r="69" spans="1:21" s="1028" customFormat="1" ht="22.5">
      <c r="A69" s="1019">
        <v>19</v>
      </c>
      <c r="B69" s="1754"/>
      <c r="C69" s="1754"/>
      <c r="D69" s="1754"/>
      <c r="E69" s="1024" t="s">
        <v>4679</v>
      </c>
      <c r="F69" s="1033" t="s">
        <v>4474</v>
      </c>
      <c r="G69" s="1021" t="s">
        <v>11166</v>
      </c>
      <c r="H69" s="1033" t="s">
        <v>4724</v>
      </c>
      <c r="I69" s="1023"/>
      <c r="J69" s="1023"/>
      <c r="K69" s="1023"/>
      <c r="L69" s="1023"/>
      <c r="M69" s="1763"/>
      <c r="N69" s="1766"/>
      <c r="O69" s="1022">
        <v>2502</v>
      </c>
      <c r="P69" s="1763"/>
      <c r="Q69" s="1763"/>
      <c r="R69" s="1763"/>
      <c r="S69" s="1763"/>
      <c r="T69" s="1763"/>
      <c r="U69" s="1031">
        <v>214830000</v>
      </c>
    </row>
    <row r="70" spans="1:21" s="1028" customFormat="1" ht="22.5">
      <c r="A70" s="1019">
        <v>20</v>
      </c>
      <c r="B70" s="1754"/>
      <c r="C70" s="1754"/>
      <c r="D70" s="1754"/>
      <c r="E70" s="1024"/>
      <c r="F70" s="1033" t="s">
        <v>4474</v>
      </c>
      <c r="G70" s="1033" t="s">
        <v>7594</v>
      </c>
      <c r="H70" s="1033" t="s">
        <v>4738</v>
      </c>
      <c r="I70" s="1023" t="s">
        <v>15791</v>
      </c>
      <c r="J70" s="1023"/>
      <c r="K70" s="1023" t="s">
        <v>4684</v>
      </c>
      <c r="L70" s="1023"/>
      <c r="M70" s="1034"/>
      <c r="N70" s="1035"/>
      <c r="O70" s="1022">
        <v>501</v>
      </c>
      <c r="P70" s="1034" t="s">
        <v>15792</v>
      </c>
      <c r="Q70" s="1034"/>
      <c r="R70" s="1034"/>
      <c r="S70" s="1034" t="s">
        <v>15793</v>
      </c>
      <c r="T70" s="1034" t="s">
        <v>5205</v>
      </c>
      <c r="U70" s="1031"/>
    </row>
    <row r="71" spans="1:21" s="1028" customFormat="1" ht="22.5">
      <c r="A71" s="1019">
        <v>21</v>
      </c>
      <c r="B71" s="1754"/>
      <c r="C71" s="1754"/>
      <c r="D71" s="1754"/>
      <c r="E71" s="1024"/>
      <c r="F71" s="1033" t="s">
        <v>7594</v>
      </c>
      <c r="G71" s="1021" t="s">
        <v>14973</v>
      </c>
      <c r="H71" s="1033"/>
      <c r="I71" s="1023"/>
      <c r="J71" s="1023"/>
      <c r="K71" s="1022" t="s">
        <v>14974</v>
      </c>
      <c r="L71" s="1023"/>
      <c r="M71" s="1034"/>
      <c r="N71" s="1035"/>
      <c r="O71" s="1022"/>
      <c r="P71" s="1034"/>
      <c r="Q71" s="1034"/>
      <c r="R71" s="1034"/>
      <c r="S71" s="1034"/>
      <c r="T71" s="1034"/>
      <c r="U71" s="1031"/>
    </row>
    <row r="72" spans="1:21" s="1028" customFormat="1" ht="18.75">
      <c r="A72" s="1019">
        <v>22</v>
      </c>
      <c r="B72" s="1754"/>
      <c r="C72" s="1754"/>
      <c r="D72" s="1754"/>
      <c r="E72" s="1026"/>
      <c r="F72" s="1023"/>
      <c r="G72" s="1023"/>
      <c r="H72" s="1052" t="s">
        <v>5295</v>
      </c>
      <c r="I72" s="1023" t="s">
        <v>5329</v>
      </c>
      <c r="J72" s="1023"/>
      <c r="K72" s="1023"/>
      <c r="L72" s="1023"/>
      <c r="M72" s="1023"/>
      <c r="N72" s="1023"/>
      <c r="O72" s="1023"/>
      <c r="P72" s="1023"/>
      <c r="Q72" s="1023"/>
      <c r="R72" s="1023"/>
      <c r="S72" s="1022"/>
      <c r="T72" s="1034"/>
    </row>
    <row r="73" spans="1:21" s="1028" customFormat="1" ht="18.75">
      <c r="A73" s="1019">
        <v>23</v>
      </c>
      <c r="B73" s="1754"/>
      <c r="C73" s="1754"/>
      <c r="D73" s="1754"/>
      <c r="E73" s="1026"/>
      <c r="F73" s="1023"/>
      <c r="G73" s="1023"/>
      <c r="H73" s="1052" t="s">
        <v>5296</v>
      </c>
      <c r="I73" s="1023" t="s">
        <v>5330</v>
      </c>
      <c r="J73" s="1023"/>
      <c r="K73" s="1023"/>
      <c r="L73" s="1023"/>
      <c r="M73" s="1023"/>
      <c r="N73" s="1023"/>
      <c r="O73" s="1023"/>
      <c r="P73" s="1022" t="s">
        <v>14975</v>
      </c>
      <c r="Q73" s="1023"/>
      <c r="R73" s="1023"/>
      <c r="S73" s="1022" t="s">
        <v>14976</v>
      </c>
      <c r="T73" s="1034" t="s">
        <v>14977</v>
      </c>
    </row>
    <row r="74" spans="1:21" s="1028" customFormat="1" ht="18.75">
      <c r="A74" s="1019">
        <v>24</v>
      </c>
      <c r="B74" s="1754"/>
      <c r="C74" s="1754"/>
      <c r="D74" s="1754"/>
      <c r="E74" s="1026"/>
      <c r="F74" s="1023"/>
      <c r="G74" s="1023"/>
      <c r="H74" s="1052" t="s">
        <v>5296</v>
      </c>
      <c r="I74" s="1023" t="s">
        <v>5331</v>
      </c>
      <c r="J74" s="1023"/>
      <c r="K74" s="1023"/>
      <c r="L74" s="1023"/>
      <c r="M74" s="1023"/>
      <c r="N74" s="1023"/>
      <c r="O74" s="1023"/>
      <c r="P74" s="1022" t="s">
        <v>14978</v>
      </c>
      <c r="Q74" s="1023"/>
      <c r="R74" s="1023"/>
      <c r="S74" s="1022" t="s">
        <v>5211</v>
      </c>
      <c r="T74" s="1034" t="s">
        <v>14977</v>
      </c>
    </row>
    <row r="75" spans="1:21" s="1028" customFormat="1" ht="18.75">
      <c r="A75" s="1019">
        <v>25</v>
      </c>
      <c r="B75" s="1754"/>
      <c r="C75" s="1754"/>
      <c r="D75" s="1754"/>
      <c r="E75" s="1026"/>
      <c r="F75" s="1023"/>
      <c r="G75" s="1023"/>
      <c r="H75" s="1052" t="s">
        <v>5296</v>
      </c>
      <c r="I75" s="1023" t="s">
        <v>5332</v>
      </c>
      <c r="J75" s="1023"/>
      <c r="K75" s="1023"/>
      <c r="L75" s="1023"/>
      <c r="M75" s="1023"/>
      <c r="N75" s="1023"/>
      <c r="O75" s="1023"/>
      <c r="P75" s="1022" t="s">
        <v>14978</v>
      </c>
      <c r="Q75" s="1023"/>
      <c r="R75" s="1023"/>
      <c r="S75" s="1022" t="s">
        <v>5211</v>
      </c>
      <c r="T75" s="1034" t="s">
        <v>14977</v>
      </c>
    </row>
    <row r="76" spans="1:21" s="1028" customFormat="1" ht="150">
      <c r="A76" s="1019">
        <v>26</v>
      </c>
      <c r="B76" s="1754"/>
      <c r="C76" s="1754"/>
      <c r="D76" s="1754"/>
      <c r="E76" s="1026"/>
      <c r="F76" s="1023"/>
      <c r="G76" s="1023"/>
      <c r="H76" s="1052" t="s">
        <v>11156</v>
      </c>
      <c r="I76" s="1023" t="s">
        <v>5337</v>
      </c>
      <c r="J76" s="1023"/>
      <c r="K76" s="1023"/>
      <c r="L76" s="1023"/>
      <c r="M76" s="1023"/>
      <c r="N76" s="1023"/>
      <c r="O76" s="1023"/>
      <c r="P76" s="1037" t="s">
        <v>14979</v>
      </c>
      <c r="Q76" s="1023"/>
      <c r="R76" s="1023"/>
      <c r="S76" s="1022" t="s">
        <v>14980</v>
      </c>
      <c r="T76" s="1034" t="s">
        <v>14977</v>
      </c>
    </row>
    <row r="77" spans="1:21" s="1028" customFormat="1" ht="18.75">
      <c r="A77" s="1019">
        <v>27</v>
      </c>
      <c r="B77" s="1754"/>
      <c r="C77" s="1754"/>
      <c r="D77" s="1754"/>
      <c r="E77" s="1026"/>
      <c r="F77" s="1023"/>
      <c r="G77" s="1023"/>
      <c r="H77" s="1052" t="s">
        <v>14981</v>
      </c>
      <c r="I77" s="1023" t="s">
        <v>14982</v>
      </c>
      <c r="J77" s="1023"/>
      <c r="K77" s="1023"/>
      <c r="L77" s="1023"/>
      <c r="M77" s="1023"/>
      <c r="N77" s="1023"/>
      <c r="O77" s="1023"/>
      <c r="P77" s="1022" t="s">
        <v>14983</v>
      </c>
      <c r="Q77" s="1023"/>
      <c r="R77" s="1023"/>
      <c r="S77" s="1022" t="s">
        <v>14984</v>
      </c>
      <c r="T77" s="1034" t="s">
        <v>5195</v>
      </c>
    </row>
    <row r="78" spans="1:21" s="1028" customFormat="1" ht="18.75">
      <c r="A78" s="1019">
        <v>28</v>
      </c>
      <c r="B78" s="1754"/>
      <c r="C78" s="1754"/>
      <c r="D78" s="1754"/>
      <c r="E78" s="1026"/>
      <c r="F78" s="1023"/>
      <c r="G78" s="1023"/>
      <c r="H78" s="1052" t="s">
        <v>11160</v>
      </c>
      <c r="I78" s="1023" t="s">
        <v>11161</v>
      </c>
      <c r="J78" s="1023"/>
      <c r="K78" s="1023"/>
      <c r="L78" s="1023"/>
      <c r="M78" s="1023"/>
      <c r="N78" s="1023"/>
      <c r="O78" s="1023"/>
      <c r="P78" s="1037"/>
      <c r="Q78" s="1023"/>
      <c r="R78" s="1023"/>
      <c r="T78" s="1034"/>
    </row>
    <row r="79" spans="1:21" s="1028" customFormat="1" ht="18.75"/>
    <row r="80" spans="1:21" s="1028" customFormat="1" ht="18.75">
      <c r="A80" s="1755" t="s">
        <v>14255</v>
      </c>
      <c r="B80" s="1755"/>
      <c r="C80" s="1755"/>
      <c r="D80" s="1755"/>
      <c r="E80" s="1755"/>
      <c r="F80" s="1755"/>
      <c r="G80" s="1755"/>
      <c r="H80" s="1755"/>
      <c r="I80" s="1755"/>
      <c r="J80" s="1755"/>
      <c r="K80" s="1755"/>
      <c r="L80" s="1755"/>
      <c r="M80" s="1755"/>
      <c r="N80" s="1755"/>
      <c r="O80" s="1755"/>
      <c r="P80" s="1755"/>
      <c r="Q80" s="1755"/>
      <c r="R80" s="1755"/>
      <c r="S80" s="1755"/>
      <c r="T80" s="1755"/>
    </row>
    <row r="81" spans="1:178" s="1030" customFormat="1" ht="24.75" thickBot="1">
      <c r="A81" s="1038" t="s">
        <v>0</v>
      </c>
      <c r="B81" s="1038" t="s">
        <v>5161</v>
      </c>
      <c r="C81" s="1038" t="s">
        <v>2</v>
      </c>
      <c r="D81" s="1038" t="s">
        <v>3</v>
      </c>
      <c r="E81" s="1039" t="s">
        <v>6</v>
      </c>
      <c r="F81" s="1038" t="s">
        <v>7</v>
      </c>
      <c r="G81" s="1038" t="s">
        <v>8</v>
      </c>
      <c r="H81" s="1040" t="s">
        <v>233</v>
      </c>
      <c r="I81" s="1038" t="s">
        <v>9</v>
      </c>
      <c r="J81" s="1038" t="s">
        <v>10</v>
      </c>
      <c r="K81" s="1038" t="s">
        <v>11</v>
      </c>
      <c r="L81" s="1038" t="s">
        <v>12</v>
      </c>
      <c r="M81" s="1038" t="s">
        <v>18</v>
      </c>
      <c r="N81" s="1038" t="s">
        <v>20</v>
      </c>
      <c r="O81" s="1039" t="s">
        <v>21</v>
      </c>
      <c r="P81" s="1039" t="s">
        <v>5162</v>
      </c>
      <c r="Q81" s="1038" t="s">
        <v>5163</v>
      </c>
      <c r="R81" s="1039" t="s">
        <v>23</v>
      </c>
      <c r="S81" s="1039" t="s">
        <v>24</v>
      </c>
      <c r="T81" s="1041" t="s">
        <v>4406</v>
      </c>
      <c r="U81" s="1028"/>
    </row>
    <row r="82" spans="1:178" s="1043" customFormat="1" ht="17.25" customHeight="1" thickBot="1">
      <c r="A82" s="1042">
        <v>1</v>
      </c>
      <c r="B82" s="1758" t="s">
        <v>14256</v>
      </c>
      <c r="E82" s="1020"/>
      <c r="F82" s="1043" t="s">
        <v>5088</v>
      </c>
      <c r="G82" s="1043" t="s">
        <v>15499</v>
      </c>
      <c r="H82" s="1043" t="s">
        <v>199</v>
      </c>
      <c r="I82" s="1756" t="s">
        <v>14257</v>
      </c>
      <c r="J82" s="1756" t="s">
        <v>14258</v>
      </c>
      <c r="K82" s="1043" t="s">
        <v>15487</v>
      </c>
      <c r="L82" s="1043" t="s">
        <v>15488</v>
      </c>
      <c r="O82" s="1043">
        <v>22</v>
      </c>
      <c r="R82" s="1043" t="s">
        <v>92</v>
      </c>
      <c r="S82" s="1043" t="s">
        <v>11560</v>
      </c>
      <c r="T82" s="1043" t="s">
        <v>15779</v>
      </c>
      <c r="U82" s="1028"/>
      <c r="V82" s="1028"/>
      <c r="W82" s="1028"/>
      <c r="X82" s="1028"/>
      <c r="Y82" s="1028"/>
      <c r="Z82" s="1028"/>
      <c r="AA82" s="1028"/>
      <c r="AB82" s="1028"/>
      <c r="AC82" s="1028"/>
      <c r="AD82" s="1028"/>
      <c r="AE82" s="1028"/>
      <c r="AF82" s="1028"/>
      <c r="AG82" s="1028"/>
      <c r="AH82" s="1028"/>
      <c r="AI82" s="1028"/>
      <c r="AJ82" s="1028"/>
      <c r="AK82" s="1028"/>
      <c r="AL82" s="1028"/>
      <c r="AM82" s="1028"/>
      <c r="AN82" s="1028"/>
      <c r="AO82" s="1028"/>
      <c r="AP82" s="1028"/>
      <c r="AQ82" s="1028"/>
      <c r="AR82" s="1028"/>
      <c r="AS82" s="1028"/>
      <c r="AT82" s="1028"/>
      <c r="AU82" s="1028"/>
      <c r="AV82" s="1028"/>
      <c r="AW82" s="1028"/>
      <c r="AX82" s="1028"/>
      <c r="AY82" s="1028"/>
      <c r="AZ82" s="1028"/>
      <c r="BA82" s="1028"/>
      <c r="BB82" s="1028"/>
      <c r="BC82" s="1028"/>
      <c r="BD82" s="1028"/>
      <c r="BE82" s="1028"/>
      <c r="BF82" s="1028"/>
      <c r="BG82" s="1028"/>
      <c r="BH82" s="1028"/>
      <c r="BI82" s="1028"/>
      <c r="BJ82" s="1028"/>
      <c r="BK82" s="1028"/>
      <c r="BL82" s="1028"/>
      <c r="BM82" s="1028"/>
      <c r="BN82" s="1028"/>
      <c r="BO82" s="1028"/>
      <c r="BP82" s="1028"/>
      <c r="BQ82" s="1028"/>
      <c r="BR82" s="1028"/>
      <c r="BS82" s="1028"/>
      <c r="BT82" s="1028"/>
      <c r="BU82" s="1028"/>
      <c r="BV82" s="1028"/>
      <c r="BW82" s="1028"/>
      <c r="BX82" s="1028"/>
      <c r="BY82" s="1028"/>
      <c r="BZ82" s="1028"/>
      <c r="CA82" s="1028"/>
      <c r="CB82" s="1028"/>
      <c r="CC82" s="1028"/>
      <c r="CD82" s="1028"/>
      <c r="CE82" s="1028"/>
      <c r="CF82" s="1028"/>
      <c r="CG82" s="1028"/>
      <c r="CH82" s="1028"/>
      <c r="CI82" s="1028"/>
      <c r="CJ82" s="1028"/>
      <c r="CK82" s="1028"/>
      <c r="CL82" s="1028"/>
      <c r="CM82" s="1028"/>
      <c r="CN82" s="1028"/>
      <c r="CO82" s="1028"/>
      <c r="CP82" s="1028"/>
      <c r="CQ82" s="1028"/>
      <c r="CR82" s="1028"/>
      <c r="CS82" s="1028"/>
      <c r="CT82" s="1028"/>
      <c r="CU82" s="1028"/>
      <c r="CV82" s="1028"/>
      <c r="CW82" s="1028"/>
      <c r="CX82" s="1028"/>
      <c r="CY82" s="1028"/>
      <c r="CZ82" s="1028"/>
      <c r="DA82" s="1028"/>
      <c r="DB82" s="1028"/>
      <c r="DC82" s="1028"/>
      <c r="DD82" s="1028"/>
      <c r="DE82" s="1028"/>
      <c r="DF82" s="1028"/>
      <c r="DG82" s="1028"/>
      <c r="DH82" s="1028"/>
      <c r="DI82" s="1028"/>
      <c r="DJ82" s="1028"/>
      <c r="DK82" s="1028"/>
      <c r="DL82" s="1028"/>
      <c r="DM82" s="1028"/>
      <c r="DN82" s="1028"/>
      <c r="DO82" s="1028"/>
      <c r="DP82" s="1028"/>
      <c r="DQ82" s="1028"/>
      <c r="DR82" s="1028"/>
      <c r="DS82" s="1028"/>
      <c r="DT82" s="1028"/>
      <c r="DU82" s="1028"/>
      <c r="DV82" s="1028"/>
      <c r="DW82" s="1028"/>
      <c r="DX82" s="1028"/>
      <c r="DY82" s="1028"/>
      <c r="DZ82" s="1028"/>
      <c r="EA82" s="1028"/>
      <c r="EB82" s="1028"/>
      <c r="EC82" s="1028"/>
      <c r="ED82" s="1028"/>
      <c r="EE82" s="1028"/>
      <c r="EF82" s="1028"/>
      <c r="EG82" s="1028"/>
      <c r="EH82" s="1028"/>
      <c r="EI82" s="1028"/>
      <c r="EJ82" s="1028"/>
      <c r="EK82" s="1028"/>
      <c r="EL82" s="1028"/>
      <c r="EM82" s="1028"/>
      <c r="EN82" s="1028"/>
      <c r="EO82" s="1028"/>
      <c r="EP82" s="1028"/>
      <c r="EQ82" s="1028"/>
      <c r="ER82" s="1028"/>
      <c r="ES82" s="1028"/>
      <c r="ET82" s="1028"/>
      <c r="EU82" s="1028"/>
      <c r="EV82" s="1028"/>
      <c r="EW82" s="1028"/>
      <c r="EX82" s="1028"/>
      <c r="EY82" s="1028"/>
      <c r="EZ82" s="1028"/>
      <c r="FA82" s="1028"/>
      <c r="FB82" s="1028"/>
      <c r="FC82" s="1028"/>
      <c r="FD82" s="1028"/>
      <c r="FE82" s="1028"/>
      <c r="FF82" s="1028"/>
      <c r="FG82" s="1028"/>
      <c r="FH82" s="1028"/>
      <c r="FI82" s="1028"/>
      <c r="FJ82" s="1028"/>
      <c r="FK82" s="1028"/>
      <c r="FL82" s="1028"/>
      <c r="FM82" s="1028"/>
      <c r="FN82" s="1028"/>
      <c r="FO82" s="1028"/>
      <c r="FP82" s="1028"/>
      <c r="FQ82" s="1028"/>
      <c r="FR82" s="1028"/>
      <c r="FS82" s="1028"/>
      <c r="FT82" s="1028"/>
      <c r="FU82" s="1028"/>
      <c r="FV82" s="1028"/>
    </row>
    <row r="83" spans="1:178" s="1021" customFormat="1" ht="18.75">
      <c r="A83" s="1044">
        <v>2</v>
      </c>
      <c r="B83" s="1759"/>
      <c r="E83" s="1020"/>
      <c r="F83" s="1021" t="s">
        <v>7594</v>
      </c>
      <c r="G83" s="1021" t="s">
        <v>15789</v>
      </c>
      <c r="H83" s="1021" t="s">
        <v>4738</v>
      </c>
      <c r="I83" s="1757"/>
      <c r="J83" s="1757"/>
      <c r="K83" s="1045" t="s">
        <v>14374</v>
      </c>
      <c r="L83" s="1021" t="s">
        <v>15489</v>
      </c>
      <c r="O83" s="1043"/>
      <c r="P83" s="1043"/>
      <c r="Q83" s="1043"/>
      <c r="R83" s="1043"/>
      <c r="S83" s="1043"/>
      <c r="T83" s="1043"/>
      <c r="U83" s="1028"/>
      <c r="V83" s="1028"/>
      <c r="W83" s="1028"/>
      <c r="X83" s="1028"/>
      <c r="Y83" s="1028"/>
      <c r="Z83" s="1028"/>
      <c r="AA83" s="1028"/>
      <c r="AB83" s="1028"/>
      <c r="AC83" s="1028"/>
      <c r="AD83" s="1028"/>
      <c r="AE83" s="1028"/>
      <c r="AF83" s="1028"/>
      <c r="AG83" s="1028"/>
      <c r="AH83" s="1028"/>
      <c r="AI83" s="1028"/>
      <c r="AJ83" s="1028"/>
      <c r="AK83" s="1028"/>
      <c r="AL83" s="1028"/>
      <c r="AM83" s="1028"/>
      <c r="AN83" s="1028"/>
      <c r="AO83" s="1028"/>
      <c r="AP83" s="1028"/>
      <c r="AQ83" s="1028"/>
      <c r="AR83" s="1028"/>
      <c r="AS83" s="1028"/>
      <c r="AT83" s="1028"/>
      <c r="AU83" s="1028"/>
      <c r="AV83" s="1028"/>
      <c r="AW83" s="1028"/>
      <c r="AX83" s="1028"/>
      <c r="AY83" s="1028"/>
      <c r="AZ83" s="1028"/>
      <c r="BA83" s="1028"/>
      <c r="BB83" s="1028"/>
      <c r="BC83" s="1028"/>
      <c r="BD83" s="1028"/>
      <c r="BE83" s="1028"/>
      <c r="BF83" s="1028"/>
      <c r="BG83" s="1028"/>
      <c r="BH83" s="1028"/>
      <c r="BI83" s="1028"/>
      <c r="BJ83" s="1028"/>
      <c r="BK83" s="1028"/>
      <c r="BL83" s="1028"/>
      <c r="BM83" s="1028"/>
      <c r="BN83" s="1028"/>
      <c r="BO83" s="1028"/>
      <c r="BP83" s="1028"/>
      <c r="BQ83" s="1028"/>
      <c r="BR83" s="1028"/>
      <c r="BS83" s="1028"/>
      <c r="BT83" s="1028"/>
      <c r="BU83" s="1028"/>
      <c r="BV83" s="1028"/>
      <c r="BW83" s="1028"/>
      <c r="BX83" s="1028"/>
      <c r="BY83" s="1028"/>
      <c r="BZ83" s="1028"/>
      <c r="CA83" s="1028"/>
      <c r="CB83" s="1028"/>
      <c r="CC83" s="1028"/>
      <c r="CD83" s="1028"/>
      <c r="CE83" s="1028"/>
      <c r="CF83" s="1028"/>
      <c r="CG83" s="1028"/>
      <c r="CH83" s="1028"/>
      <c r="CI83" s="1028"/>
      <c r="CJ83" s="1028"/>
      <c r="CK83" s="1028"/>
      <c r="CL83" s="1028"/>
      <c r="CM83" s="1028"/>
      <c r="CN83" s="1028"/>
      <c r="CO83" s="1028"/>
      <c r="CP83" s="1028"/>
      <c r="CQ83" s="1028"/>
      <c r="CR83" s="1028"/>
      <c r="CS83" s="1028"/>
      <c r="CT83" s="1028"/>
      <c r="CU83" s="1028"/>
      <c r="CV83" s="1028"/>
      <c r="CW83" s="1028"/>
      <c r="CX83" s="1028"/>
      <c r="CY83" s="1028"/>
      <c r="CZ83" s="1028"/>
      <c r="DA83" s="1028"/>
      <c r="DB83" s="1028"/>
      <c r="DC83" s="1028"/>
      <c r="DD83" s="1028"/>
      <c r="DE83" s="1028"/>
      <c r="DF83" s="1028"/>
      <c r="DG83" s="1028"/>
      <c r="DH83" s="1028"/>
      <c r="DI83" s="1028"/>
      <c r="DJ83" s="1028"/>
      <c r="DK83" s="1028"/>
      <c r="DL83" s="1028"/>
      <c r="DM83" s="1028"/>
      <c r="DN83" s="1028"/>
      <c r="DO83" s="1028"/>
      <c r="DP83" s="1028"/>
      <c r="DQ83" s="1028"/>
      <c r="DR83" s="1028"/>
      <c r="DS83" s="1028"/>
      <c r="DT83" s="1028"/>
      <c r="DU83" s="1028"/>
      <c r="DV83" s="1028"/>
      <c r="DW83" s="1028"/>
      <c r="DX83" s="1028"/>
      <c r="DY83" s="1028"/>
      <c r="DZ83" s="1028"/>
      <c r="EA83" s="1028"/>
      <c r="EB83" s="1028"/>
      <c r="EC83" s="1028"/>
      <c r="ED83" s="1028"/>
      <c r="EE83" s="1028"/>
      <c r="EF83" s="1028"/>
      <c r="EG83" s="1028"/>
      <c r="EH83" s="1028"/>
      <c r="EI83" s="1028"/>
      <c r="EJ83" s="1028"/>
      <c r="EK83" s="1028"/>
      <c r="EL83" s="1028"/>
      <c r="EM83" s="1028"/>
      <c r="EN83" s="1028"/>
      <c r="EO83" s="1028"/>
      <c r="EP83" s="1028"/>
      <c r="EQ83" s="1028"/>
      <c r="ER83" s="1028"/>
      <c r="ES83" s="1028"/>
      <c r="ET83" s="1028"/>
      <c r="EU83" s="1028"/>
      <c r="EV83" s="1028"/>
      <c r="EW83" s="1028"/>
      <c r="EX83" s="1028"/>
      <c r="EY83" s="1028"/>
      <c r="EZ83" s="1028"/>
      <c r="FA83" s="1028"/>
      <c r="FB83" s="1028"/>
      <c r="FC83" s="1028"/>
      <c r="FD83" s="1028"/>
      <c r="FE83" s="1028"/>
      <c r="FF83" s="1028"/>
      <c r="FG83" s="1028"/>
      <c r="FH83" s="1028"/>
      <c r="FI83" s="1028"/>
      <c r="FJ83" s="1028"/>
      <c r="FK83" s="1028"/>
      <c r="FL83" s="1028"/>
      <c r="FM83" s="1028"/>
      <c r="FN83" s="1028"/>
      <c r="FO83" s="1028"/>
      <c r="FP83" s="1028"/>
      <c r="FQ83" s="1028"/>
      <c r="FR83" s="1028"/>
      <c r="FS83" s="1028"/>
      <c r="FT83" s="1028"/>
      <c r="FU83" s="1028"/>
      <c r="FV83" s="1028"/>
    </row>
    <row r="84" spans="1:178" s="1021" customFormat="1" ht="18.75">
      <c r="A84" s="1044">
        <v>3</v>
      </c>
      <c r="B84" s="1759"/>
      <c r="E84" s="1020"/>
      <c r="I84" s="1021" t="s">
        <v>15490</v>
      </c>
      <c r="U84" s="1028"/>
      <c r="V84" s="1028"/>
      <c r="W84" s="1028"/>
      <c r="X84" s="1028"/>
      <c r="Y84" s="1028"/>
      <c r="Z84" s="1028"/>
      <c r="AA84" s="1028"/>
      <c r="AB84" s="1028"/>
      <c r="AC84" s="1028"/>
      <c r="AD84" s="1028"/>
      <c r="AE84" s="1028"/>
      <c r="AF84" s="1028"/>
      <c r="AG84" s="1028"/>
      <c r="AH84" s="1028"/>
      <c r="AI84" s="1028"/>
      <c r="AJ84" s="1028"/>
      <c r="AK84" s="1028"/>
      <c r="AL84" s="1028"/>
      <c r="AM84" s="1028"/>
      <c r="AN84" s="1028"/>
      <c r="AO84" s="1028"/>
      <c r="AP84" s="1028"/>
      <c r="AQ84" s="1028"/>
      <c r="AR84" s="1028"/>
      <c r="AS84" s="1028"/>
      <c r="AT84" s="1028"/>
      <c r="AU84" s="1028"/>
      <c r="AV84" s="1028"/>
      <c r="AW84" s="1028"/>
      <c r="AX84" s="1028"/>
      <c r="AY84" s="1028"/>
      <c r="AZ84" s="1028"/>
      <c r="BA84" s="1028"/>
      <c r="BB84" s="1028"/>
      <c r="BC84" s="1028"/>
      <c r="BD84" s="1028"/>
      <c r="BE84" s="1028"/>
      <c r="BF84" s="1028"/>
      <c r="BG84" s="1028"/>
      <c r="BH84" s="1028"/>
      <c r="BI84" s="1028"/>
      <c r="BJ84" s="1028"/>
      <c r="BK84" s="1028"/>
      <c r="BL84" s="1028"/>
      <c r="BM84" s="1028"/>
      <c r="BN84" s="1028"/>
      <c r="BO84" s="1028"/>
      <c r="BP84" s="1028"/>
      <c r="BQ84" s="1028"/>
      <c r="BR84" s="1028"/>
      <c r="BS84" s="1028"/>
      <c r="BT84" s="1028"/>
      <c r="BU84" s="1028"/>
      <c r="BV84" s="1028"/>
      <c r="BW84" s="1028"/>
      <c r="BX84" s="1028"/>
      <c r="BY84" s="1028"/>
      <c r="BZ84" s="1028"/>
      <c r="CA84" s="1028"/>
      <c r="CB84" s="1028"/>
      <c r="CC84" s="1028"/>
      <c r="CD84" s="1028"/>
      <c r="CE84" s="1028"/>
      <c r="CF84" s="1028"/>
      <c r="CG84" s="1028"/>
      <c r="CH84" s="1028"/>
      <c r="CI84" s="1028"/>
      <c r="CJ84" s="1028"/>
      <c r="CK84" s="1028"/>
      <c r="CL84" s="1028"/>
      <c r="CM84" s="1028"/>
      <c r="CN84" s="1028"/>
      <c r="CO84" s="1028"/>
      <c r="CP84" s="1028"/>
      <c r="CQ84" s="1028"/>
      <c r="CR84" s="1028"/>
      <c r="CS84" s="1028"/>
      <c r="CT84" s="1028"/>
      <c r="CU84" s="1028"/>
      <c r="CV84" s="1028"/>
      <c r="CW84" s="1028"/>
      <c r="CX84" s="1028"/>
      <c r="CY84" s="1028"/>
      <c r="CZ84" s="1028"/>
      <c r="DA84" s="1028"/>
      <c r="DB84" s="1028"/>
      <c r="DC84" s="1028"/>
      <c r="DD84" s="1028"/>
      <c r="DE84" s="1028"/>
      <c r="DF84" s="1028"/>
      <c r="DG84" s="1028"/>
      <c r="DH84" s="1028"/>
      <c r="DI84" s="1028"/>
      <c r="DJ84" s="1028"/>
      <c r="DK84" s="1028"/>
      <c r="DL84" s="1028"/>
      <c r="DM84" s="1028"/>
      <c r="DN84" s="1028"/>
      <c r="DO84" s="1028"/>
      <c r="DP84" s="1028"/>
      <c r="DQ84" s="1028"/>
      <c r="DR84" s="1028"/>
      <c r="DS84" s="1028"/>
      <c r="DT84" s="1028"/>
      <c r="DU84" s="1028"/>
      <c r="DV84" s="1028"/>
      <c r="DW84" s="1028"/>
      <c r="DX84" s="1028"/>
      <c r="DY84" s="1028"/>
      <c r="DZ84" s="1028"/>
      <c r="EA84" s="1028"/>
      <c r="EB84" s="1028"/>
      <c r="EC84" s="1028"/>
      <c r="ED84" s="1028"/>
      <c r="EE84" s="1028"/>
      <c r="EF84" s="1028"/>
      <c r="EG84" s="1028"/>
      <c r="EH84" s="1028"/>
      <c r="EI84" s="1028"/>
      <c r="EJ84" s="1028"/>
      <c r="EK84" s="1028"/>
      <c r="EL84" s="1028"/>
      <c r="EM84" s="1028"/>
      <c r="EN84" s="1028"/>
      <c r="EO84" s="1028"/>
      <c r="EP84" s="1028"/>
      <c r="EQ84" s="1028"/>
      <c r="ER84" s="1028"/>
      <c r="ES84" s="1028"/>
      <c r="ET84" s="1028"/>
      <c r="EU84" s="1028"/>
      <c r="EV84" s="1028"/>
      <c r="EW84" s="1028"/>
      <c r="EX84" s="1028"/>
      <c r="EY84" s="1028"/>
      <c r="EZ84" s="1028"/>
      <c r="FA84" s="1028"/>
      <c r="FB84" s="1028"/>
      <c r="FC84" s="1028"/>
      <c r="FD84" s="1028"/>
      <c r="FE84" s="1028"/>
      <c r="FF84" s="1028"/>
      <c r="FG84" s="1028"/>
      <c r="FH84" s="1028"/>
      <c r="FI84" s="1028"/>
      <c r="FJ84" s="1028"/>
      <c r="FK84" s="1028"/>
      <c r="FL84" s="1028"/>
      <c r="FM84" s="1028"/>
      <c r="FN84" s="1028"/>
      <c r="FO84" s="1028"/>
      <c r="FP84" s="1028"/>
      <c r="FQ84" s="1028"/>
      <c r="FR84" s="1028"/>
      <c r="FS84" s="1028"/>
      <c r="FT84" s="1028"/>
      <c r="FU84" s="1028"/>
      <c r="FV84" s="1028"/>
    </row>
    <row r="85" spans="1:178" s="1021" customFormat="1" ht="18.75">
      <c r="A85" s="1044">
        <v>3</v>
      </c>
      <c r="B85" s="1759"/>
      <c r="E85" s="1020"/>
      <c r="I85" s="1021" t="s">
        <v>15491</v>
      </c>
      <c r="U85" s="1028"/>
      <c r="V85" s="1028"/>
      <c r="W85" s="1028"/>
      <c r="X85" s="1028"/>
      <c r="Y85" s="1028"/>
      <c r="Z85" s="1028"/>
      <c r="AA85" s="1028"/>
      <c r="AB85" s="1028"/>
      <c r="AC85" s="1028"/>
      <c r="AD85" s="1028"/>
      <c r="AE85" s="1028"/>
      <c r="AF85" s="1028"/>
      <c r="AG85" s="1028"/>
      <c r="AH85" s="1028"/>
      <c r="AI85" s="1028"/>
      <c r="AJ85" s="1028"/>
      <c r="AK85" s="1028"/>
      <c r="AL85" s="1028"/>
      <c r="AM85" s="1028"/>
      <c r="AN85" s="1028"/>
      <c r="AO85" s="1028"/>
      <c r="AP85" s="1028"/>
      <c r="AQ85" s="1028"/>
      <c r="AR85" s="1028"/>
      <c r="AS85" s="1028"/>
      <c r="AT85" s="1028"/>
      <c r="AU85" s="1028"/>
      <c r="AV85" s="1028"/>
      <c r="AW85" s="1028"/>
      <c r="AX85" s="1028"/>
      <c r="AY85" s="1028"/>
      <c r="AZ85" s="1028"/>
      <c r="BA85" s="1028"/>
      <c r="BB85" s="1028"/>
      <c r="BC85" s="1028"/>
      <c r="BD85" s="1028"/>
      <c r="BE85" s="1028"/>
      <c r="BF85" s="1028"/>
      <c r="BG85" s="1028"/>
      <c r="BH85" s="1028"/>
      <c r="BI85" s="1028"/>
      <c r="BJ85" s="1028"/>
      <c r="BK85" s="1028"/>
      <c r="BL85" s="1028"/>
      <c r="BM85" s="1028"/>
      <c r="BN85" s="1028"/>
      <c r="BO85" s="1028"/>
      <c r="BP85" s="1028"/>
      <c r="BQ85" s="1028"/>
      <c r="BR85" s="1028"/>
      <c r="BS85" s="1028"/>
      <c r="BT85" s="1028"/>
      <c r="BU85" s="1028"/>
      <c r="BV85" s="1028"/>
      <c r="BW85" s="1028"/>
      <c r="BX85" s="1028"/>
      <c r="BY85" s="1028"/>
      <c r="BZ85" s="1028"/>
      <c r="CA85" s="1028"/>
      <c r="CB85" s="1028"/>
      <c r="CC85" s="1028"/>
      <c r="CD85" s="1028"/>
      <c r="CE85" s="1028"/>
      <c r="CF85" s="1028"/>
      <c r="CG85" s="1028"/>
      <c r="CH85" s="1028"/>
      <c r="CI85" s="1028"/>
      <c r="CJ85" s="1028"/>
      <c r="CK85" s="1028"/>
      <c r="CL85" s="1028"/>
      <c r="CM85" s="1028"/>
      <c r="CN85" s="1028"/>
      <c r="CO85" s="1028"/>
      <c r="CP85" s="1028"/>
      <c r="CQ85" s="1028"/>
      <c r="CR85" s="1028"/>
      <c r="CS85" s="1028"/>
      <c r="CT85" s="1028"/>
      <c r="CU85" s="1028"/>
      <c r="CV85" s="1028"/>
      <c r="CW85" s="1028"/>
      <c r="CX85" s="1028"/>
      <c r="CY85" s="1028"/>
      <c r="CZ85" s="1028"/>
      <c r="DA85" s="1028"/>
      <c r="DB85" s="1028"/>
      <c r="DC85" s="1028"/>
      <c r="DD85" s="1028"/>
      <c r="DE85" s="1028"/>
      <c r="DF85" s="1028"/>
      <c r="DG85" s="1028"/>
      <c r="DH85" s="1028"/>
      <c r="DI85" s="1028"/>
      <c r="DJ85" s="1028"/>
      <c r="DK85" s="1028"/>
      <c r="DL85" s="1028"/>
      <c r="DM85" s="1028"/>
      <c r="DN85" s="1028"/>
      <c r="DO85" s="1028"/>
      <c r="DP85" s="1028"/>
      <c r="DQ85" s="1028"/>
      <c r="DR85" s="1028"/>
      <c r="DS85" s="1028"/>
      <c r="DT85" s="1028"/>
      <c r="DU85" s="1028"/>
      <c r="DV85" s="1028"/>
      <c r="DW85" s="1028"/>
      <c r="DX85" s="1028"/>
      <c r="DY85" s="1028"/>
      <c r="DZ85" s="1028"/>
      <c r="EA85" s="1028"/>
      <c r="EB85" s="1028"/>
      <c r="EC85" s="1028"/>
      <c r="ED85" s="1028"/>
      <c r="EE85" s="1028"/>
      <c r="EF85" s="1028"/>
      <c r="EG85" s="1028"/>
      <c r="EH85" s="1028"/>
      <c r="EI85" s="1028"/>
      <c r="EJ85" s="1028"/>
      <c r="EK85" s="1028"/>
      <c r="EL85" s="1028"/>
      <c r="EM85" s="1028"/>
      <c r="EN85" s="1028"/>
      <c r="EO85" s="1028"/>
      <c r="EP85" s="1028"/>
      <c r="EQ85" s="1028"/>
      <c r="ER85" s="1028"/>
      <c r="ES85" s="1028"/>
      <c r="ET85" s="1028"/>
      <c r="EU85" s="1028"/>
      <c r="EV85" s="1028"/>
      <c r="EW85" s="1028"/>
      <c r="EX85" s="1028"/>
      <c r="EY85" s="1028"/>
      <c r="EZ85" s="1028"/>
      <c r="FA85" s="1028"/>
      <c r="FB85" s="1028"/>
      <c r="FC85" s="1028"/>
      <c r="FD85" s="1028"/>
      <c r="FE85" s="1028"/>
      <c r="FF85" s="1028"/>
      <c r="FG85" s="1028"/>
      <c r="FH85" s="1028"/>
      <c r="FI85" s="1028"/>
      <c r="FJ85" s="1028"/>
      <c r="FK85" s="1028"/>
      <c r="FL85" s="1028"/>
      <c r="FM85" s="1028"/>
      <c r="FN85" s="1028"/>
      <c r="FO85" s="1028"/>
      <c r="FP85" s="1028"/>
      <c r="FQ85" s="1028"/>
      <c r="FR85" s="1028"/>
      <c r="FS85" s="1028"/>
      <c r="FT85" s="1028"/>
      <c r="FU85" s="1028"/>
      <c r="FV85" s="1028"/>
    </row>
    <row r="86" spans="1:178" s="1021" customFormat="1" ht="18.75">
      <c r="A86" s="1044">
        <v>3</v>
      </c>
      <c r="B86" s="1759"/>
      <c r="E86" s="1020"/>
      <c r="I86" s="1021" t="s">
        <v>15492</v>
      </c>
      <c r="U86" s="1028"/>
      <c r="V86" s="1028"/>
      <c r="W86" s="1028"/>
      <c r="X86" s="1028"/>
      <c r="Y86" s="1028"/>
      <c r="Z86" s="1028"/>
      <c r="AA86" s="1028"/>
      <c r="AB86" s="1028"/>
      <c r="AC86" s="1028"/>
      <c r="AD86" s="1028"/>
      <c r="AE86" s="1028"/>
      <c r="AF86" s="1028"/>
      <c r="AG86" s="1028"/>
      <c r="AH86" s="1028"/>
      <c r="AI86" s="1028"/>
      <c r="AJ86" s="1028"/>
      <c r="AK86" s="1028"/>
      <c r="AL86" s="1028"/>
      <c r="AM86" s="1028"/>
      <c r="AN86" s="1028"/>
      <c r="AO86" s="1028"/>
      <c r="AP86" s="1028"/>
      <c r="AQ86" s="1028"/>
      <c r="AR86" s="1028"/>
      <c r="AS86" s="1028"/>
      <c r="AT86" s="1028"/>
      <c r="AU86" s="1028"/>
      <c r="AV86" s="1028"/>
      <c r="AW86" s="1028"/>
      <c r="AX86" s="1028"/>
      <c r="AY86" s="1028"/>
      <c r="AZ86" s="1028"/>
      <c r="BA86" s="1028"/>
      <c r="BB86" s="1028"/>
      <c r="BC86" s="1028"/>
      <c r="BD86" s="1028"/>
      <c r="BE86" s="1028"/>
      <c r="BF86" s="1028"/>
      <c r="BG86" s="1028"/>
      <c r="BH86" s="1028"/>
      <c r="BI86" s="1028"/>
      <c r="BJ86" s="1028"/>
      <c r="BK86" s="1028"/>
      <c r="BL86" s="1028"/>
      <c r="BM86" s="1028"/>
      <c r="BN86" s="1028"/>
      <c r="BO86" s="1028"/>
      <c r="BP86" s="1028"/>
      <c r="BQ86" s="1028"/>
      <c r="BR86" s="1028"/>
      <c r="BS86" s="1028"/>
      <c r="BT86" s="1028"/>
      <c r="BU86" s="1028"/>
      <c r="BV86" s="1028"/>
      <c r="BW86" s="1028"/>
      <c r="BX86" s="1028"/>
      <c r="BY86" s="1028"/>
      <c r="BZ86" s="1028"/>
      <c r="CA86" s="1028"/>
      <c r="CB86" s="1028"/>
      <c r="CC86" s="1028"/>
      <c r="CD86" s="1028"/>
      <c r="CE86" s="1028"/>
      <c r="CF86" s="1028"/>
      <c r="CG86" s="1028"/>
      <c r="CH86" s="1028"/>
      <c r="CI86" s="1028"/>
      <c r="CJ86" s="1028"/>
      <c r="CK86" s="1028"/>
      <c r="CL86" s="1028"/>
      <c r="CM86" s="1028"/>
      <c r="CN86" s="1028"/>
      <c r="CO86" s="1028"/>
      <c r="CP86" s="1028"/>
      <c r="CQ86" s="1028"/>
      <c r="CR86" s="1028"/>
      <c r="CS86" s="1028"/>
      <c r="CT86" s="1028"/>
      <c r="CU86" s="1028"/>
      <c r="CV86" s="1028"/>
      <c r="CW86" s="1028"/>
      <c r="CX86" s="1028"/>
      <c r="CY86" s="1028"/>
      <c r="CZ86" s="1028"/>
      <c r="DA86" s="1028"/>
      <c r="DB86" s="1028"/>
      <c r="DC86" s="1028"/>
      <c r="DD86" s="1028"/>
      <c r="DE86" s="1028"/>
      <c r="DF86" s="1028"/>
      <c r="DG86" s="1028"/>
      <c r="DH86" s="1028"/>
      <c r="DI86" s="1028"/>
      <c r="DJ86" s="1028"/>
      <c r="DK86" s="1028"/>
      <c r="DL86" s="1028"/>
      <c r="DM86" s="1028"/>
      <c r="DN86" s="1028"/>
      <c r="DO86" s="1028"/>
      <c r="DP86" s="1028"/>
      <c r="DQ86" s="1028"/>
      <c r="DR86" s="1028"/>
      <c r="DS86" s="1028"/>
      <c r="DT86" s="1028"/>
      <c r="DU86" s="1028"/>
      <c r="DV86" s="1028"/>
      <c r="DW86" s="1028"/>
      <c r="DX86" s="1028"/>
      <c r="DY86" s="1028"/>
      <c r="DZ86" s="1028"/>
      <c r="EA86" s="1028"/>
      <c r="EB86" s="1028"/>
      <c r="EC86" s="1028"/>
      <c r="ED86" s="1028"/>
      <c r="EE86" s="1028"/>
      <c r="EF86" s="1028"/>
      <c r="EG86" s="1028"/>
      <c r="EH86" s="1028"/>
      <c r="EI86" s="1028"/>
      <c r="EJ86" s="1028"/>
      <c r="EK86" s="1028"/>
      <c r="EL86" s="1028"/>
      <c r="EM86" s="1028"/>
      <c r="EN86" s="1028"/>
      <c r="EO86" s="1028"/>
      <c r="EP86" s="1028"/>
      <c r="EQ86" s="1028"/>
      <c r="ER86" s="1028"/>
      <c r="ES86" s="1028"/>
      <c r="ET86" s="1028"/>
      <c r="EU86" s="1028"/>
      <c r="EV86" s="1028"/>
      <c r="EW86" s="1028"/>
      <c r="EX86" s="1028"/>
      <c r="EY86" s="1028"/>
      <c r="EZ86" s="1028"/>
      <c r="FA86" s="1028"/>
      <c r="FB86" s="1028"/>
      <c r="FC86" s="1028"/>
      <c r="FD86" s="1028"/>
      <c r="FE86" s="1028"/>
      <c r="FF86" s="1028"/>
      <c r="FG86" s="1028"/>
      <c r="FH86" s="1028"/>
      <c r="FI86" s="1028"/>
      <c r="FJ86" s="1028"/>
      <c r="FK86" s="1028"/>
      <c r="FL86" s="1028"/>
      <c r="FM86" s="1028"/>
      <c r="FN86" s="1028"/>
      <c r="FO86" s="1028"/>
      <c r="FP86" s="1028"/>
      <c r="FQ86" s="1028"/>
      <c r="FR86" s="1028"/>
      <c r="FS86" s="1028"/>
      <c r="FT86" s="1028"/>
      <c r="FU86" s="1028"/>
      <c r="FV86" s="1028"/>
    </row>
    <row r="87" spans="1:178" s="1021" customFormat="1" ht="18.75">
      <c r="A87" s="1044">
        <v>3</v>
      </c>
      <c r="B87" s="1759"/>
      <c r="E87" s="1020"/>
      <c r="F87" s="1021" t="s">
        <v>7594</v>
      </c>
      <c r="G87" s="1021" t="s">
        <v>15790</v>
      </c>
      <c r="H87" s="1021" t="s">
        <v>4738</v>
      </c>
      <c r="K87" s="1021" t="s">
        <v>15500</v>
      </c>
      <c r="U87" s="1028"/>
      <c r="V87" s="1028"/>
      <c r="W87" s="1028"/>
      <c r="X87" s="1028"/>
      <c r="Y87" s="1028"/>
      <c r="Z87" s="1028"/>
      <c r="AA87" s="1028"/>
      <c r="AB87" s="1028"/>
      <c r="AC87" s="1028"/>
      <c r="AD87" s="1028"/>
      <c r="AE87" s="1028"/>
      <c r="AF87" s="1028"/>
      <c r="AG87" s="1028"/>
      <c r="AH87" s="1028"/>
      <c r="AI87" s="1028"/>
      <c r="AJ87" s="1028"/>
      <c r="AK87" s="1028"/>
      <c r="AL87" s="1028"/>
      <c r="AM87" s="1028"/>
      <c r="AN87" s="1028"/>
      <c r="AO87" s="1028"/>
      <c r="AP87" s="1028"/>
      <c r="AQ87" s="1028"/>
      <c r="AR87" s="1028"/>
      <c r="AS87" s="1028"/>
      <c r="AT87" s="1028"/>
      <c r="AU87" s="1028"/>
      <c r="AV87" s="1028"/>
      <c r="AW87" s="1028"/>
      <c r="AX87" s="1028"/>
      <c r="AY87" s="1028"/>
      <c r="AZ87" s="1028"/>
      <c r="BA87" s="1028"/>
      <c r="BB87" s="1028"/>
      <c r="BC87" s="1028"/>
      <c r="BD87" s="1028"/>
      <c r="BE87" s="1028"/>
      <c r="BF87" s="1028"/>
      <c r="BG87" s="1028"/>
      <c r="BH87" s="1028"/>
      <c r="BI87" s="1028"/>
      <c r="BJ87" s="1028"/>
      <c r="BK87" s="1028"/>
      <c r="BL87" s="1028"/>
      <c r="BM87" s="1028"/>
      <c r="BN87" s="1028"/>
      <c r="BO87" s="1028"/>
      <c r="BP87" s="1028"/>
      <c r="BQ87" s="1028"/>
      <c r="BR87" s="1028"/>
      <c r="BS87" s="1028"/>
      <c r="BT87" s="1028"/>
      <c r="BU87" s="1028"/>
      <c r="BV87" s="1028"/>
      <c r="BW87" s="1028"/>
      <c r="BX87" s="1028"/>
      <c r="BY87" s="1028"/>
      <c r="BZ87" s="1028"/>
      <c r="CA87" s="1028"/>
      <c r="CB87" s="1028"/>
      <c r="CC87" s="1028"/>
      <c r="CD87" s="1028"/>
      <c r="CE87" s="1028"/>
      <c r="CF87" s="1028"/>
      <c r="CG87" s="1028"/>
      <c r="CH87" s="1028"/>
      <c r="CI87" s="1028"/>
      <c r="CJ87" s="1028"/>
      <c r="CK87" s="1028"/>
      <c r="CL87" s="1028"/>
      <c r="CM87" s="1028"/>
      <c r="CN87" s="1028"/>
      <c r="CO87" s="1028"/>
      <c r="CP87" s="1028"/>
      <c r="CQ87" s="1028"/>
      <c r="CR87" s="1028"/>
      <c r="CS87" s="1028"/>
      <c r="CT87" s="1028"/>
      <c r="CU87" s="1028"/>
      <c r="CV87" s="1028"/>
      <c r="CW87" s="1028"/>
      <c r="CX87" s="1028"/>
      <c r="CY87" s="1028"/>
      <c r="CZ87" s="1028"/>
      <c r="DA87" s="1028"/>
      <c r="DB87" s="1028"/>
      <c r="DC87" s="1028"/>
      <c r="DD87" s="1028"/>
      <c r="DE87" s="1028"/>
      <c r="DF87" s="1028"/>
      <c r="DG87" s="1028"/>
      <c r="DH87" s="1028"/>
      <c r="DI87" s="1028"/>
      <c r="DJ87" s="1028"/>
      <c r="DK87" s="1028"/>
      <c r="DL87" s="1028"/>
      <c r="DM87" s="1028"/>
      <c r="DN87" s="1028"/>
      <c r="DO87" s="1028"/>
      <c r="DP87" s="1028"/>
      <c r="DQ87" s="1028"/>
      <c r="DR87" s="1028"/>
      <c r="DS87" s="1028"/>
      <c r="DT87" s="1028"/>
      <c r="DU87" s="1028"/>
      <c r="DV87" s="1028"/>
      <c r="DW87" s="1028"/>
      <c r="DX87" s="1028"/>
      <c r="DY87" s="1028"/>
      <c r="DZ87" s="1028"/>
      <c r="EA87" s="1028"/>
      <c r="EB87" s="1028"/>
      <c r="EC87" s="1028"/>
      <c r="ED87" s="1028"/>
      <c r="EE87" s="1028"/>
      <c r="EF87" s="1028"/>
      <c r="EG87" s="1028"/>
      <c r="EH87" s="1028"/>
      <c r="EI87" s="1028"/>
      <c r="EJ87" s="1028"/>
      <c r="EK87" s="1028"/>
      <c r="EL87" s="1028"/>
      <c r="EM87" s="1028"/>
      <c r="EN87" s="1028"/>
      <c r="EO87" s="1028"/>
      <c r="EP87" s="1028"/>
      <c r="EQ87" s="1028"/>
      <c r="ER87" s="1028"/>
      <c r="ES87" s="1028"/>
      <c r="ET87" s="1028"/>
      <c r="EU87" s="1028"/>
      <c r="EV87" s="1028"/>
      <c r="EW87" s="1028"/>
      <c r="EX87" s="1028"/>
      <c r="EY87" s="1028"/>
      <c r="EZ87" s="1028"/>
      <c r="FA87" s="1028"/>
      <c r="FB87" s="1028"/>
      <c r="FC87" s="1028"/>
      <c r="FD87" s="1028"/>
      <c r="FE87" s="1028"/>
      <c r="FF87" s="1028"/>
      <c r="FG87" s="1028"/>
      <c r="FH87" s="1028"/>
      <c r="FI87" s="1028"/>
      <c r="FJ87" s="1028"/>
      <c r="FK87" s="1028"/>
      <c r="FL87" s="1028"/>
      <c r="FM87" s="1028"/>
      <c r="FN87" s="1028"/>
      <c r="FO87" s="1028"/>
      <c r="FP87" s="1028"/>
      <c r="FQ87" s="1028"/>
      <c r="FR87" s="1028"/>
      <c r="FS87" s="1028"/>
      <c r="FT87" s="1028"/>
      <c r="FU87" s="1028"/>
      <c r="FV87" s="1028"/>
    </row>
    <row r="88" spans="1:178" s="1047" customFormat="1" ht="19.5" thickBot="1">
      <c r="A88" s="1046">
        <v>4</v>
      </c>
      <c r="B88" s="1760"/>
      <c r="E88" s="1048"/>
      <c r="O88" s="1021"/>
      <c r="P88" s="1021"/>
      <c r="Q88" s="1021"/>
      <c r="R88" s="1021"/>
      <c r="S88" s="1021"/>
      <c r="T88" s="1021"/>
      <c r="U88" s="1028"/>
      <c r="V88" s="1028"/>
      <c r="W88" s="1028"/>
      <c r="X88" s="1028"/>
      <c r="Y88" s="1028"/>
      <c r="Z88" s="1028"/>
      <c r="AA88" s="1028"/>
      <c r="AB88" s="1028"/>
      <c r="AC88" s="1028"/>
      <c r="AD88" s="1028"/>
      <c r="AE88" s="1028"/>
      <c r="AF88" s="1028"/>
      <c r="AG88" s="1028"/>
      <c r="AH88" s="1028"/>
      <c r="AI88" s="1028"/>
      <c r="AJ88" s="1028"/>
      <c r="AK88" s="1028"/>
      <c r="AL88" s="1028"/>
      <c r="AM88" s="1028"/>
      <c r="AN88" s="1028"/>
      <c r="AO88" s="1028"/>
      <c r="AP88" s="1028"/>
      <c r="AQ88" s="1028"/>
      <c r="AR88" s="1028"/>
      <c r="AS88" s="1028"/>
      <c r="AT88" s="1028"/>
      <c r="AU88" s="1028"/>
      <c r="AV88" s="1028"/>
      <c r="AW88" s="1028"/>
      <c r="AX88" s="1028"/>
      <c r="AY88" s="1028"/>
      <c r="AZ88" s="1028"/>
      <c r="BA88" s="1028"/>
      <c r="BB88" s="1028"/>
      <c r="BC88" s="1028"/>
      <c r="BD88" s="1028"/>
      <c r="BE88" s="1028"/>
      <c r="BF88" s="1028"/>
      <c r="BG88" s="1028"/>
      <c r="BH88" s="1028"/>
      <c r="BI88" s="1028"/>
      <c r="BJ88" s="1028"/>
      <c r="BK88" s="1028"/>
      <c r="BL88" s="1028"/>
      <c r="BM88" s="1028"/>
      <c r="BN88" s="1028"/>
      <c r="BO88" s="1028"/>
      <c r="BP88" s="1028"/>
      <c r="BQ88" s="1028"/>
      <c r="BR88" s="1028"/>
      <c r="BS88" s="1028"/>
      <c r="BT88" s="1028"/>
      <c r="BU88" s="1028"/>
      <c r="BV88" s="1028"/>
      <c r="BW88" s="1028"/>
      <c r="BX88" s="1028"/>
      <c r="BY88" s="1028"/>
      <c r="BZ88" s="1028"/>
      <c r="CA88" s="1028"/>
      <c r="CB88" s="1028"/>
      <c r="CC88" s="1028"/>
      <c r="CD88" s="1028"/>
      <c r="CE88" s="1028"/>
      <c r="CF88" s="1028"/>
      <c r="CG88" s="1028"/>
      <c r="CH88" s="1028"/>
      <c r="CI88" s="1028"/>
      <c r="CJ88" s="1028"/>
      <c r="CK88" s="1028"/>
      <c r="CL88" s="1028"/>
      <c r="CM88" s="1028"/>
      <c r="CN88" s="1028"/>
      <c r="CO88" s="1028"/>
      <c r="CP88" s="1028"/>
      <c r="CQ88" s="1028"/>
      <c r="CR88" s="1028"/>
      <c r="CS88" s="1028"/>
      <c r="CT88" s="1028"/>
      <c r="CU88" s="1028"/>
      <c r="CV88" s="1028"/>
      <c r="CW88" s="1028"/>
      <c r="CX88" s="1028"/>
      <c r="CY88" s="1028"/>
      <c r="CZ88" s="1028"/>
      <c r="DA88" s="1028"/>
      <c r="DB88" s="1028"/>
      <c r="DC88" s="1028"/>
      <c r="DD88" s="1028"/>
      <c r="DE88" s="1028"/>
      <c r="DF88" s="1028"/>
      <c r="DG88" s="1028"/>
      <c r="DH88" s="1028"/>
      <c r="DI88" s="1028"/>
      <c r="DJ88" s="1028"/>
      <c r="DK88" s="1028"/>
      <c r="DL88" s="1028"/>
      <c r="DM88" s="1028"/>
      <c r="DN88" s="1028"/>
      <c r="DO88" s="1028"/>
      <c r="DP88" s="1028"/>
      <c r="DQ88" s="1028"/>
      <c r="DR88" s="1028"/>
      <c r="DS88" s="1028"/>
      <c r="DT88" s="1028"/>
      <c r="DU88" s="1028"/>
      <c r="DV88" s="1028"/>
      <c r="DW88" s="1028"/>
      <c r="DX88" s="1028"/>
      <c r="DY88" s="1028"/>
      <c r="DZ88" s="1028"/>
      <c r="EA88" s="1028"/>
      <c r="EB88" s="1028"/>
      <c r="EC88" s="1028"/>
      <c r="ED88" s="1028"/>
      <c r="EE88" s="1028"/>
      <c r="EF88" s="1028"/>
      <c r="EG88" s="1028"/>
      <c r="EH88" s="1028"/>
      <c r="EI88" s="1028"/>
      <c r="EJ88" s="1028"/>
      <c r="EK88" s="1028"/>
      <c r="EL88" s="1028"/>
      <c r="EM88" s="1028"/>
      <c r="EN88" s="1028"/>
      <c r="EO88" s="1028"/>
      <c r="EP88" s="1028"/>
      <c r="EQ88" s="1028"/>
      <c r="ER88" s="1028"/>
      <c r="ES88" s="1028"/>
      <c r="ET88" s="1028"/>
      <c r="EU88" s="1028"/>
      <c r="EV88" s="1028"/>
      <c r="EW88" s="1028"/>
      <c r="EX88" s="1028"/>
      <c r="EY88" s="1028"/>
      <c r="EZ88" s="1028"/>
      <c r="FA88" s="1028"/>
      <c r="FB88" s="1028"/>
      <c r="FC88" s="1028"/>
      <c r="FD88" s="1028"/>
      <c r="FE88" s="1028"/>
      <c r="FF88" s="1028"/>
      <c r="FG88" s="1028"/>
      <c r="FH88" s="1028"/>
      <c r="FI88" s="1028"/>
      <c r="FJ88" s="1028"/>
      <c r="FK88" s="1028"/>
      <c r="FL88" s="1028"/>
      <c r="FM88" s="1028"/>
      <c r="FN88" s="1028"/>
      <c r="FO88" s="1028"/>
      <c r="FP88" s="1028"/>
      <c r="FQ88" s="1028"/>
      <c r="FR88" s="1028"/>
      <c r="FS88" s="1028"/>
      <c r="FT88" s="1028"/>
      <c r="FU88" s="1028"/>
      <c r="FV88" s="1028"/>
    </row>
    <row r="89" spans="1:178" s="1028" customFormat="1" ht="19.5" thickBot="1">
      <c r="O89" s="1049"/>
      <c r="P89" s="1049"/>
      <c r="Q89" s="1049"/>
      <c r="R89" s="1049"/>
      <c r="S89" s="1049"/>
      <c r="T89" s="1049"/>
    </row>
    <row r="90" spans="1:178" s="1028" customFormat="1" ht="18.75">
      <c r="A90" s="1755" t="s">
        <v>15769</v>
      </c>
      <c r="B90" s="1755"/>
      <c r="C90" s="1755"/>
      <c r="D90" s="1755"/>
      <c r="E90" s="1755"/>
      <c r="F90" s="1755"/>
      <c r="G90" s="1755"/>
      <c r="H90" s="1755"/>
      <c r="I90" s="1755"/>
      <c r="J90" s="1755"/>
      <c r="K90" s="1755"/>
      <c r="L90" s="1755"/>
      <c r="M90" s="1755"/>
      <c r="N90" s="1755"/>
      <c r="O90" s="1755"/>
      <c r="P90" s="1755"/>
      <c r="Q90" s="1755"/>
      <c r="R90" s="1755"/>
      <c r="S90" s="1755"/>
      <c r="T90" s="1755"/>
    </row>
    <row r="91" spans="1:178" s="1030" customFormat="1" ht="24.75" thickBot="1">
      <c r="A91" s="1038" t="s">
        <v>0</v>
      </c>
      <c r="B91" s="1038" t="s">
        <v>5161</v>
      </c>
      <c r="C91" s="1038" t="s">
        <v>2</v>
      </c>
      <c r="D91" s="1038" t="s">
        <v>3</v>
      </c>
      <c r="E91" s="1039" t="s">
        <v>6</v>
      </c>
      <c r="F91" s="1038" t="s">
        <v>7</v>
      </c>
      <c r="G91" s="1038" t="s">
        <v>8</v>
      </c>
      <c r="H91" s="1040" t="s">
        <v>233</v>
      </c>
      <c r="I91" s="1038" t="s">
        <v>9</v>
      </c>
      <c r="J91" s="1038" t="s">
        <v>10</v>
      </c>
      <c r="K91" s="1038" t="s">
        <v>11</v>
      </c>
      <c r="L91" s="1038" t="s">
        <v>12</v>
      </c>
      <c r="M91" s="1038" t="s">
        <v>18</v>
      </c>
      <c r="N91" s="1038" t="s">
        <v>20</v>
      </c>
      <c r="O91" s="1039" t="s">
        <v>21</v>
      </c>
      <c r="P91" s="1039" t="s">
        <v>5162</v>
      </c>
      <c r="Q91" s="1038" t="s">
        <v>5163</v>
      </c>
      <c r="R91" s="1039" t="s">
        <v>23</v>
      </c>
      <c r="S91" s="1039" t="s">
        <v>24</v>
      </c>
      <c r="T91" s="1041" t="s">
        <v>4406</v>
      </c>
      <c r="U91" s="1028"/>
    </row>
    <row r="92" spans="1:178" s="1043" customFormat="1" ht="17.25" customHeight="1" thickBot="1">
      <c r="A92" s="1042">
        <v>1</v>
      </c>
      <c r="B92" s="1758" t="s">
        <v>15770</v>
      </c>
      <c r="C92" s="1758" t="s">
        <v>423</v>
      </c>
      <c r="D92" s="1758" t="s">
        <v>423</v>
      </c>
      <c r="E92" s="1020" t="s">
        <v>16263</v>
      </c>
      <c r="F92" s="1043" t="s">
        <v>28</v>
      </c>
      <c r="G92" s="1021" t="s">
        <v>16266</v>
      </c>
      <c r="H92" s="1021" t="s">
        <v>1994</v>
      </c>
      <c r="I92" s="1756" t="s">
        <v>15771</v>
      </c>
      <c r="J92" s="1756" t="s">
        <v>15772</v>
      </c>
      <c r="K92" s="1043" t="s">
        <v>16264</v>
      </c>
      <c r="M92" s="1043">
        <v>2198924582</v>
      </c>
      <c r="O92" s="1043">
        <v>2500</v>
      </c>
      <c r="P92" s="1043" t="s">
        <v>16265</v>
      </c>
      <c r="Q92" s="1043" t="s">
        <v>4971</v>
      </c>
      <c r="R92" s="1758" t="s">
        <v>15778</v>
      </c>
      <c r="S92" s="1758" t="s">
        <v>5211</v>
      </c>
      <c r="T92" s="1758"/>
      <c r="U92" s="1028"/>
      <c r="V92" s="1028"/>
      <c r="W92" s="1028"/>
      <c r="X92" s="1028"/>
      <c r="Y92" s="1028"/>
      <c r="Z92" s="1028"/>
      <c r="AA92" s="1028"/>
      <c r="AB92" s="1028"/>
      <c r="AC92" s="1028"/>
      <c r="AD92" s="1028"/>
      <c r="AE92" s="1028"/>
      <c r="AF92" s="1028"/>
      <c r="AG92" s="1028"/>
      <c r="AH92" s="1028"/>
      <c r="AI92" s="1028"/>
      <c r="AJ92" s="1028"/>
      <c r="AK92" s="1028"/>
      <c r="AL92" s="1028"/>
      <c r="AM92" s="1028"/>
      <c r="AN92" s="1028"/>
      <c r="AO92" s="1028"/>
      <c r="AP92" s="1028"/>
      <c r="AQ92" s="1028"/>
      <c r="AR92" s="1028"/>
      <c r="AS92" s="1028"/>
      <c r="AT92" s="1028"/>
      <c r="AU92" s="1028"/>
      <c r="AV92" s="1028"/>
      <c r="AW92" s="1028"/>
      <c r="AX92" s="1028"/>
      <c r="AY92" s="1028"/>
      <c r="AZ92" s="1028"/>
      <c r="BA92" s="1028"/>
      <c r="BB92" s="1028"/>
      <c r="BC92" s="1028"/>
      <c r="BD92" s="1028"/>
      <c r="BE92" s="1028"/>
      <c r="BF92" s="1028"/>
      <c r="BG92" s="1028"/>
      <c r="BH92" s="1028"/>
      <c r="BI92" s="1028"/>
      <c r="BJ92" s="1028"/>
      <c r="BK92" s="1028"/>
      <c r="BL92" s="1028"/>
      <c r="BM92" s="1028"/>
      <c r="BN92" s="1028"/>
      <c r="BO92" s="1028"/>
      <c r="BP92" s="1028"/>
      <c r="BQ92" s="1028"/>
      <c r="BR92" s="1028"/>
      <c r="BS92" s="1028"/>
      <c r="BT92" s="1028"/>
      <c r="BU92" s="1028"/>
      <c r="BV92" s="1028"/>
      <c r="BW92" s="1028"/>
      <c r="BX92" s="1028"/>
      <c r="BY92" s="1028"/>
      <c r="BZ92" s="1028"/>
      <c r="CA92" s="1028"/>
      <c r="CB92" s="1028"/>
      <c r="CC92" s="1028"/>
      <c r="CD92" s="1028"/>
      <c r="CE92" s="1028"/>
      <c r="CF92" s="1028"/>
      <c r="CG92" s="1028"/>
      <c r="CH92" s="1028"/>
      <c r="CI92" s="1028"/>
      <c r="CJ92" s="1028"/>
      <c r="CK92" s="1028"/>
      <c r="CL92" s="1028"/>
      <c r="CM92" s="1028"/>
      <c r="CN92" s="1028"/>
      <c r="CO92" s="1028"/>
      <c r="CP92" s="1028"/>
      <c r="CQ92" s="1028"/>
      <c r="CR92" s="1028"/>
      <c r="CS92" s="1028"/>
      <c r="CT92" s="1028"/>
      <c r="CU92" s="1028"/>
      <c r="CV92" s="1028"/>
      <c r="CW92" s="1028"/>
      <c r="CX92" s="1028"/>
      <c r="CY92" s="1028"/>
      <c r="CZ92" s="1028"/>
      <c r="DA92" s="1028"/>
      <c r="DB92" s="1028"/>
      <c r="DC92" s="1028"/>
      <c r="DD92" s="1028"/>
      <c r="DE92" s="1028"/>
      <c r="DF92" s="1028"/>
      <c r="DG92" s="1028"/>
      <c r="DH92" s="1028"/>
      <c r="DI92" s="1028"/>
      <c r="DJ92" s="1028"/>
      <c r="DK92" s="1028"/>
      <c r="DL92" s="1028"/>
      <c r="DM92" s="1028"/>
      <c r="DN92" s="1028"/>
      <c r="DO92" s="1028"/>
      <c r="DP92" s="1028"/>
      <c r="DQ92" s="1028"/>
      <c r="DR92" s="1028"/>
      <c r="DS92" s="1028"/>
      <c r="DT92" s="1028"/>
      <c r="DU92" s="1028"/>
      <c r="DV92" s="1028"/>
      <c r="DW92" s="1028"/>
      <c r="DX92" s="1028"/>
      <c r="DY92" s="1028"/>
      <c r="DZ92" s="1028"/>
      <c r="EA92" s="1028"/>
      <c r="EB92" s="1028"/>
      <c r="EC92" s="1028"/>
      <c r="ED92" s="1028"/>
      <c r="EE92" s="1028"/>
      <c r="EF92" s="1028"/>
      <c r="EG92" s="1028"/>
      <c r="EH92" s="1028"/>
      <c r="EI92" s="1028"/>
      <c r="EJ92" s="1028"/>
      <c r="EK92" s="1028"/>
      <c r="EL92" s="1028"/>
      <c r="EM92" s="1028"/>
      <c r="EN92" s="1028"/>
      <c r="EO92" s="1028"/>
      <c r="EP92" s="1028"/>
      <c r="EQ92" s="1028"/>
      <c r="ER92" s="1028"/>
      <c r="ES92" s="1028"/>
      <c r="ET92" s="1028"/>
      <c r="EU92" s="1028"/>
      <c r="EV92" s="1028"/>
      <c r="EW92" s="1028"/>
      <c r="EX92" s="1028"/>
      <c r="EY92" s="1028"/>
      <c r="EZ92" s="1028"/>
      <c r="FA92" s="1028"/>
      <c r="FB92" s="1028"/>
      <c r="FC92" s="1028"/>
      <c r="FD92" s="1028"/>
      <c r="FE92" s="1028"/>
      <c r="FF92" s="1028"/>
      <c r="FG92" s="1028"/>
      <c r="FH92" s="1028"/>
      <c r="FI92" s="1028"/>
      <c r="FJ92" s="1028"/>
      <c r="FK92" s="1028"/>
      <c r="FL92" s="1028"/>
      <c r="FM92" s="1028"/>
      <c r="FN92" s="1028"/>
      <c r="FO92" s="1028"/>
      <c r="FP92" s="1028"/>
      <c r="FQ92" s="1028"/>
      <c r="FR92" s="1028"/>
      <c r="FS92" s="1028"/>
      <c r="FT92" s="1028"/>
      <c r="FU92" s="1028"/>
      <c r="FV92" s="1028"/>
    </row>
    <row r="93" spans="1:178" s="1021" customFormat="1" ht="18.75">
      <c r="A93" s="1044">
        <v>2</v>
      </c>
      <c r="B93" s="1759"/>
      <c r="C93" s="1759"/>
      <c r="D93" s="1759"/>
      <c r="E93" s="1020"/>
      <c r="F93" s="1021" t="s">
        <v>7594</v>
      </c>
      <c r="G93" s="1021" t="s">
        <v>15789</v>
      </c>
      <c r="H93" s="1021" t="s">
        <v>4738</v>
      </c>
      <c r="I93" s="1757"/>
      <c r="J93" s="1757"/>
      <c r="K93" s="1043" t="s">
        <v>15773</v>
      </c>
      <c r="L93" s="1043" t="s">
        <v>15777</v>
      </c>
      <c r="O93" s="1043"/>
      <c r="P93" s="1043"/>
      <c r="Q93" s="1043"/>
      <c r="R93" s="1761"/>
      <c r="S93" s="1761"/>
      <c r="T93" s="1761"/>
      <c r="U93" s="1028"/>
      <c r="V93" s="1028"/>
      <c r="W93" s="1028"/>
      <c r="X93" s="1028"/>
      <c r="Y93" s="1028"/>
      <c r="Z93" s="1028"/>
      <c r="AA93" s="1028"/>
      <c r="AB93" s="1028"/>
      <c r="AC93" s="1028"/>
      <c r="AD93" s="1028"/>
      <c r="AE93" s="1028"/>
      <c r="AF93" s="1028"/>
      <c r="AG93" s="1028"/>
      <c r="AH93" s="1028"/>
      <c r="AI93" s="1028"/>
      <c r="AJ93" s="1028"/>
      <c r="AK93" s="1028"/>
      <c r="AL93" s="1028"/>
      <c r="AM93" s="1028"/>
      <c r="AN93" s="1028"/>
      <c r="AO93" s="1028"/>
      <c r="AP93" s="1028"/>
      <c r="AQ93" s="1028"/>
      <c r="AR93" s="1028"/>
      <c r="AS93" s="1028"/>
      <c r="AT93" s="1028"/>
      <c r="AU93" s="1028"/>
      <c r="AV93" s="1028"/>
      <c r="AW93" s="1028"/>
      <c r="AX93" s="1028"/>
      <c r="AY93" s="1028"/>
      <c r="AZ93" s="1028"/>
      <c r="BA93" s="1028"/>
      <c r="BB93" s="1028"/>
      <c r="BC93" s="1028"/>
      <c r="BD93" s="1028"/>
      <c r="BE93" s="1028"/>
      <c r="BF93" s="1028"/>
      <c r="BG93" s="1028"/>
      <c r="BH93" s="1028"/>
      <c r="BI93" s="1028"/>
      <c r="BJ93" s="1028"/>
      <c r="BK93" s="1028"/>
      <c r="BL93" s="1028"/>
      <c r="BM93" s="1028"/>
      <c r="BN93" s="1028"/>
      <c r="BO93" s="1028"/>
      <c r="BP93" s="1028"/>
      <c r="BQ93" s="1028"/>
      <c r="BR93" s="1028"/>
      <c r="BS93" s="1028"/>
      <c r="BT93" s="1028"/>
      <c r="BU93" s="1028"/>
      <c r="BV93" s="1028"/>
      <c r="BW93" s="1028"/>
      <c r="BX93" s="1028"/>
      <c r="BY93" s="1028"/>
      <c r="BZ93" s="1028"/>
      <c r="CA93" s="1028"/>
      <c r="CB93" s="1028"/>
      <c r="CC93" s="1028"/>
      <c r="CD93" s="1028"/>
      <c r="CE93" s="1028"/>
      <c r="CF93" s="1028"/>
      <c r="CG93" s="1028"/>
      <c r="CH93" s="1028"/>
      <c r="CI93" s="1028"/>
      <c r="CJ93" s="1028"/>
      <c r="CK93" s="1028"/>
      <c r="CL93" s="1028"/>
      <c r="CM93" s="1028"/>
      <c r="CN93" s="1028"/>
      <c r="CO93" s="1028"/>
      <c r="CP93" s="1028"/>
      <c r="CQ93" s="1028"/>
      <c r="CR93" s="1028"/>
      <c r="CS93" s="1028"/>
      <c r="CT93" s="1028"/>
      <c r="CU93" s="1028"/>
      <c r="CV93" s="1028"/>
      <c r="CW93" s="1028"/>
      <c r="CX93" s="1028"/>
      <c r="CY93" s="1028"/>
      <c r="CZ93" s="1028"/>
      <c r="DA93" s="1028"/>
      <c r="DB93" s="1028"/>
      <c r="DC93" s="1028"/>
      <c r="DD93" s="1028"/>
      <c r="DE93" s="1028"/>
      <c r="DF93" s="1028"/>
      <c r="DG93" s="1028"/>
      <c r="DH93" s="1028"/>
      <c r="DI93" s="1028"/>
      <c r="DJ93" s="1028"/>
      <c r="DK93" s="1028"/>
      <c r="DL93" s="1028"/>
      <c r="DM93" s="1028"/>
      <c r="DN93" s="1028"/>
      <c r="DO93" s="1028"/>
      <c r="DP93" s="1028"/>
      <c r="DQ93" s="1028"/>
      <c r="DR93" s="1028"/>
      <c r="DS93" s="1028"/>
      <c r="DT93" s="1028"/>
      <c r="DU93" s="1028"/>
      <c r="DV93" s="1028"/>
      <c r="DW93" s="1028"/>
      <c r="DX93" s="1028"/>
      <c r="DY93" s="1028"/>
      <c r="DZ93" s="1028"/>
      <c r="EA93" s="1028"/>
      <c r="EB93" s="1028"/>
      <c r="EC93" s="1028"/>
      <c r="ED93" s="1028"/>
      <c r="EE93" s="1028"/>
      <c r="EF93" s="1028"/>
      <c r="EG93" s="1028"/>
      <c r="EH93" s="1028"/>
      <c r="EI93" s="1028"/>
      <c r="EJ93" s="1028"/>
      <c r="EK93" s="1028"/>
      <c r="EL93" s="1028"/>
      <c r="EM93" s="1028"/>
      <c r="EN93" s="1028"/>
      <c r="EO93" s="1028"/>
      <c r="EP93" s="1028"/>
      <c r="EQ93" s="1028"/>
      <c r="ER93" s="1028"/>
      <c r="ES93" s="1028"/>
      <c r="ET93" s="1028"/>
      <c r="EU93" s="1028"/>
      <c r="EV93" s="1028"/>
      <c r="EW93" s="1028"/>
      <c r="EX93" s="1028"/>
      <c r="EY93" s="1028"/>
      <c r="EZ93" s="1028"/>
      <c r="FA93" s="1028"/>
      <c r="FB93" s="1028"/>
      <c r="FC93" s="1028"/>
      <c r="FD93" s="1028"/>
      <c r="FE93" s="1028"/>
      <c r="FF93" s="1028"/>
      <c r="FG93" s="1028"/>
      <c r="FH93" s="1028"/>
      <c r="FI93" s="1028"/>
      <c r="FJ93" s="1028"/>
      <c r="FK93" s="1028"/>
      <c r="FL93" s="1028"/>
      <c r="FM93" s="1028"/>
      <c r="FN93" s="1028"/>
      <c r="FO93" s="1028"/>
      <c r="FP93" s="1028"/>
      <c r="FQ93" s="1028"/>
      <c r="FR93" s="1028"/>
      <c r="FS93" s="1028"/>
      <c r="FT93" s="1028"/>
      <c r="FU93" s="1028"/>
      <c r="FV93" s="1028"/>
    </row>
    <row r="94" spans="1:178" s="1021" customFormat="1" ht="18.75">
      <c r="A94" s="1044">
        <v>3</v>
      </c>
      <c r="B94" s="1759"/>
      <c r="C94" s="1759"/>
      <c r="D94" s="1759"/>
      <c r="E94" s="1020" t="s">
        <v>15794</v>
      </c>
      <c r="I94" s="1021" t="s">
        <v>15775</v>
      </c>
      <c r="U94" s="1028"/>
      <c r="V94" s="1028"/>
      <c r="W94" s="1028"/>
      <c r="X94" s="1028"/>
      <c r="Y94" s="1028"/>
      <c r="Z94" s="1028"/>
      <c r="AA94" s="1028"/>
      <c r="AB94" s="1028"/>
      <c r="AC94" s="1028"/>
      <c r="AD94" s="1028"/>
      <c r="AE94" s="1028"/>
      <c r="AF94" s="1028"/>
      <c r="AG94" s="1028"/>
      <c r="AH94" s="1028"/>
      <c r="AI94" s="1028"/>
      <c r="AJ94" s="1028"/>
      <c r="AK94" s="1028"/>
      <c r="AL94" s="1028"/>
      <c r="AM94" s="1028"/>
      <c r="AN94" s="1028"/>
      <c r="AO94" s="1028"/>
      <c r="AP94" s="1028"/>
      <c r="AQ94" s="1028"/>
      <c r="AR94" s="1028"/>
      <c r="AS94" s="1028"/>
      <c r="AT94" s="1028"/>
      <c r="AU94" s="1028"/>
      <c r="AV94" s="1028"/>
      <c r="AW94" s="1028"/>
      <c r="AX94" s="1028"/>
      <c r="AY94" s="1028"/>
      <c r="AZ94" s="1028"/>
      <c r="BA94" s="1028"/>
      <c r="BB94" s="1028"/>
      <c r="BC94" s="1028"/>
      <c r="BD94" s="1028"/>
      <c r="BE94" s="1028"/>
      <c r="BF94" s="1028"/>
      <c r="BG94" s="1028"/>
      <c r="BH94" s="1028"/>
      <c r="BI94" s="1028"/>
      <c r="BJ94" s="1028"/>
      <c r="BK94" s="1028"/>
      <c r="BL94" s="1028"/>
      <c r="BM94" s="1028"/>
      <c r="BN94" s="1028"/>
      <c r="BO94" s="1028"/>
      <c r="BP94" s="1028"/>
      <c r="BQ94" s="1028"/>
      <c r="BR94" s="1028"/>
      <c r="BS94" s="1028"/>
      <c r="BT94" s="1028"/>
      <c r="BU94" s="1028"/>
      <c r="BV94" s="1028"/>
      <c r="BW94" s="1028"/>
      <c r="BX94" s="1028"/>
      <c r="BY94" s="1028"/>
      <c r="BZ94" s="1028"/>
      <c r="CA94" s="1028"/>
      <c r="CB94" s="1028"/>
      <c r="CC94" s="1028"/>
      <c r="CD94" s="1028"/>
      <c r="CE94" s="1028"/>
      <c r="CF94" s="1028"/>
      <c r="CG94" s="1028"/>
      <c r="CH94" s="1028"/>
      <c r="CI94" s="1028"/>
      <c r="CJ94" s="1028"/>
      <c r="CK94" s="1028"/>
      <c r="CL94" s="1028"/>
      <c r="CM94" s="1028"/>
      <c r="CN94" s="1028"/>
      <c r="CO94" s="1028"/>
      <c r="CP94" s="1028"/>
      <c r="CQ94" s="1028"/>
      <c r="CR94" s="1028"/>
      <c r="CS94" s="1028"/>
      <c r="CT94" s="1028"/>
      <c r="CU94" s="1028"/>
      <c r="CV94" s="1028"/>
      <c r="CW94" s="1028"/>
      <c r="CX94" s="1028"/>
      <c r="CY94" s="1028"/>
      <c r="CZ94" s="1028"/>
      <c r="DA94" s="1028"/>
      <c r="DB94" s="1028"/>
      <c r="DC94" s="1028"/>
      <c r="DD94" s="1028"/>
      <c r="DE94" s="1028"/>
      <c r="DF94" s="1028"/>
      <c r="DG94" s="1028"/>
      <c r="DH94" s="1028"/>
      <c r="DI94" s="1028"/>
      <c r="DJ94" s="1028"/>
      <c r="DK94" s="1028"/>
      <c r="DL94" s="1028"/>
      <c r="DM94" s="1028"/>
      <c r="DN94" s="1028"/>
      <c r="DO94" s="1028"/>
      <c r="DP94" s="1028"/>
      <c r="DQ94" s="1028"/>
      <c r="DR94" s="1028"/>
      <c r="DS94" s="1028"/>
      <c r="DT94" s="1028"/>
      <c r="DU94" s="1028"/>
      <c r="DV94" s="1028"/>
      <c r="DW94" s="1028"/>
      <c r="DX94" s="1028"/>
      <c r="DY94" s="1028"/>
      <c r="DZ94" s="1028"/>
      <c r="EA94" s="1028"/>
      <c r="EB94" s="1028"/>
      <c r="EC94" s="1028"/>
      <c r="ED94" s="1028"/>
      <c r="EE94" s="1028"/>
      <c r="EF94" s="1028"/>
      <c r="EG94" s="1028"/>
      <c r="EH94" s="1028"/>
      <c r="EI94" s="1028"/>
      <c r="EJ94" s="1028"/>
      <c r="EK94" s="1028"/>
      <c r="EL94" s="1028"/>
      <c r="EM94" s="1028"/>
      <c r="EN94" s="1028"/>
      <c r="EO94" s="1028"/>
      <c r="EP94" s="1028"/>
      <c r="EQ94" s="1028"/>
      <c r="ER94" s="1028"/>
      <c r="ES94" s="1028"/>
      <c r="ET94" s="1028"/>
      <c r="EU94" s="1028"/>
      <c r="EV94" s="1028"/>
      <c r="EW94" s="1028"/>
      <c r="EX94" s="1028"/>
      <c r="EY94" s="1028"/>
      <c r="EZ94" s="1028"/>
      <c r="FA94" s="1028"/>
      <c r="FB94" s="1028"/>
      <c r="FC94" s="1028"/>
      <c r="FD94" s="1028"/>
      <c r="FE94" s="1028"/>
      <c r="FF94" s="1028"/>
      <c r="FG94" s="1028"/>
      <c r="FH94" s="1028"/>
      <c r="FI94" s="1028"/>
      <c r="FJ94" s="1028"/>
      <c r="FK94" s="1028"/>
      <c r="FL94" s="1028"/>
      <c r="FM94" s="1028"/>
      <c r="FN94" s="1028"/>
      <c r="FO94" s="1028"/>
      <c r="FP94" s="1028"/>
      <c r="FQ94" s="1028"/>
      <c r="FR94" s="1028"/>
      <c r="FS94" s="1028"/>
      <c r="FT94" s="1028"/>
      <c r="FU94" s="1028"/>
      <c r="FV94" s="1028"/>
    </row>
    <row r="95" spans="1:178" s="1021" customFormat="1" ht="18.75">
      <c r="A95" s="1044">
        <v>3</v>
      </c>
      <c r="B95" s="1759"/>
      <c r="C95" s="1759"/>
      <c r="D95" s="1759"/>
      <c r="E95" s="1020"/>
      <c r="I95" s="1021" t="s">
        <v>15774</v>
      </c>
      <c r="U95" s="1028"/>
      <c r="V95" s="1028"/>
      <c r="W95" s="1028"/>
      <c r="X95" s="1028"/>
      <c r="Y95" s="1028"/>
      <c r="Z95" s="1028"/>
      <c r="AA95" s="1028"/>
      <c r="AB95" s="1028"/>
      <c r="AC95" s="1028"/>
      <c r="AD95" s="1028"/>
      <c r="AE95" s="1028"/>
      <c r="AF95" s="1028"/>
      <c r="AG95" s="1028"/>
      <c r="AH95" s="1028"/>
      <c r="AI95" s="1028"/>
      <c r="AJ95" s="1028"/>
      <c r="AK95" s="1028"/>
      <c r="AL95" s="1028"/>
      <c r="AM95" s="1028"/>
      <c r="AN95" s="1028"/>
      <c r="AO95" s="1028"/>
      <c r="AP95" s="1028"/>
      <c r="AQ95" s="1028"/>
      <c r="AR95" s="1028"/>
      <c r="AS95" s="1028"/>
      <c r="AT95" s="1028"/>
      <c r="AU95" s="1028"/>
      <c r="AV95" s="1028"/>
      <c r="AW95" s="1028"/>
      <c r="AX95" s="1028"/>
      <c r="AY95" s="1028"/>
      <c r="AZ95" s="1028"/>
      <c r="BA95" s="1028"/>
      <c r="BB95" s="1028"/>
      <c r="BC95" s="1028"/>
      <c r="BD95" s="1028"/>
      <c r="BE95" s="1028"/>
      <c r="BF95" s="1028"/>
      <c r="BG95" s="1028"/>
      <c r="BH95" s="1028"/>
      <c r="BI95" s="1028"/>
      <c r="BJ95" s="1028"/>
      <c r="BK95" s="1028"/>
      <c r="BL95" s="1028"/>
      <c r="BM95" s="1028"/>
      <c r="BN95" s="1028"/>
      <c r="BO95" s="1028"/>
      <c r="BP95" s="1028"/>
      <c r="BQ95" s="1028"/>
      <c r="BR95" s="1028"/>
      <c r="BS95" s="1028"/>
      <c r="BT95" s="1028"/>
      <c r="BU95" s="1028"/>
      <c r="BV95" s="1028"/>
      <c r="BW95" s="1028"/>
      <c r="BX95" s="1028"/>
      <c r="BY95" s="1028"/>
      <c r="BZ95" s="1028"/>
      <c r="CA95" s="1028"/>
      <c r="CB95" s="1028"/>
      <c r="CC95" s="1028"/>
      <c r="CD95" s="1028"/>
      <c r="CE95" s="1028"/>
      <c r="CF95" s="1028"/>
      <c r="CG95" s="1028"/>
      <c r="CH95" s="1028"/>
      <c r="CI95" s="1028"/>
      <c r="CJ95" s="1028"/>
      <c r="CK95" s="1028"/>
      <c r="CL95" s="1028"/>
      <c r="CM95" s="1028"/>
      <c r="CN95" s="1028"/>
      <c r="CO95" s="1028"/>
      <c r="CP95" s="1028"/>
      <c r="CQ95" s="1028"/>
      <c r="CR95" s="1028"/>
      <c r="CS95" s="1028"/>
      <c r="CT95" s="1028"/>
      <c r="CU95" s="1028"/>
      <c r="CV95" s="1028"/>
      <c r="CW95" s="1028"/>
      <c r="CX95" s="1028"/>
      <c r="CY95" s="1028"/>
      <c r="CZ95" s="1028"/>
      <c r="DA95" s="1028"/>
      <c r="DB95" s="1028"/>
      <c r="DC95" s="1028"/>
      <c r="DD95" s="1028"/>
      <c r="DE95" s="1028"/>
      <c r="DF95" s="1028"/>
      <c r="DG95" s="1028"/>
      <c r="DH95" s="1028"/>
      <c r="DI95" s="1028"/>
      <c r="DJ95" s="1028"/>
      <c r="DK95" s="1028"/>
      <c r="DL95" s="1028"/>
      <c r="DM95" s="1028"/>
      <c r="DN95" s="1028"/>
      <c r="DO95" s="1028"/>
      <c r="DP95" s="1028"/>
      <c r="DQ95" s="1028"/>
      <c r="DR95" s="1028"/>
      <c r="DS95" s="1028"/>
      <c r="DT95" s="1028"/>
      <c r="DU95" s="1028"/>
      <c r="DV95" s="1028"/>
      <c r="DW95" s="1028"/>
      <c r="DX95" s="1028"/>
      <c r="DY95" s="1028"/>
      <c r="DZ95" s="1028"/>
      <c r="EA95" s="1028"/>
      <c r="EB95" s="1028"/>
      <c r="EC95" s="1028"/>
      <c r="ED95" s="1028"/>
      <c r="EE95" s="1028"/>
      <c r="EF95" s="1028"/>
      <c r="EG95" s="1028"/>
      <c r="EH95" s="1028"/>
      <c r="EI95" s="1028"/>
      <c r="EJ95" s="1028"/>
      <c r="EK95" s="1028"/>
      <c r="EL95" s="1028"/>
      <c r="EM95" s="1028"/>
      <c r="EN95" s="1028"/>
      <c r="EO95" s="1028"/>
      <c r="EP95" s="1028"/>
      <c r="EQ95" s="1028"/>
      <c r="ER95" s="1028"/>
      <c r="ES95" s="1028"/>
      <c r="ET95" s="1028"/>
      <c r="EU95" s="1028"/>
      <c r="EV95" s="1028"/>
      <c r="EW95" s="1028"/>
      <c r="EX95" s="1028"/>
      <c r="EY95" s="1028"/>
      <c r="EZ95" s="1028"/>
      <c r="FA95" s="1028"/>
      <c r="FB95" s="1028"/>
      <c r="FC95" s="1028"/>
      <c r="FD95" s="1028"/>
      <c r="FE95" s="1028"/>
      <c r="FF95" s="1028"/>
      <c r="FG95" s="1028"/>
      <c r="FH95" s="1028"/>
      <c r="FI95" s="1028"/>
      <c r="FJ95" s="1028"/>
      <c r="FK95" s="1028"/>
      <c r="FL95" s="1028"/>
      <c r="FM95" s="1028"/>
      <c r="FN95" s="1028"/>
      <c r="FO95" s="1028"/>
      <c r="FP95" s="1028"/>
      <c r="FQ95" s="1028"/>
      <c r="FR95" s="1028"/>
      <c r="FS95" s="1028"/>
      <c r="FT95" s="1028"/>
      <c r="FU95" s="1028"/>
      <c r="FV95" s="1028"/>
    </row>
    <row r="96" spans="1:178" s="1021" customFormat="1" ht="18.75">
      <c r="A96" s="1044">
        <v>3</v>
      </c>
      <c r="B96" s="1759"/>
      <c r="C96" s="1759"/>
      <c r="D96" s="1759"/>
      <c r="E96" s="1020" t="s">
        <v>16264</v>
      </c>
      <c r="I96" s="1021" t="s">
        <v>15776</v>
      </c>
      <c r="U96" s="1028"/>
      <c r="V96" s="1028"/>
      <c r="W96" s="1028"/>
      <c r="X96" s="1028"/>
      <c r="Y96" s="1028"/>
      <c r="Z96" s="1028"/>
      <c r="AA96" s="1028"/>
      <c r="AB96" s="1028"/>
      <c r="AC96" s="1028"/>
      <c r="AD96" s="1028"/>
      <c r="AE96" s="1028"/>
      <c r="AF96" s="1028"/>
      <c r="AG96" s="1028"/>
      <c r="AH96" s="1028"/>
      <c r="AI96" s="1028"/>
      <c r="AJ96" s="1028"/>
      <c r="AK96" s="1028"/>
      <c r="AL96" s="1028"/>
      <c r="AM96" s="1028"/>
      <c r="AN96" s="1028"/>
      <c r="AO96" s="1028"/>
      <c r="AP96" s="1028"/>
      <c r="AQ96" s="1028"/>
      <c r="AR96" s="1028"/>
      <c r="AS96" s="1028"/>
      <c r="AT96" s="1028"/>
      <c r="AU96" s="1028"/>
      <c r="AV96" s="1028"/>
      <c r="AW96" s="1028"/>
      <c r="AX96" s="1028"/>
      <c r="AY96" s="1028"/>
      <c r="AZ96" s="1028"/>
      <c r="BA96" s="1028"/>
      <c r="BB96" s="1028"/>
      <c r="BC96" s="1028"/>
      <c r="BD96" s="1028"/>
      <c r="BE96" s="1028"/>
      <c r="BF96" s="1028"/>
      <c r="BG96" s="1028"/>
      <c r="BH96" s="1028"/>
      <c r="BI96" s="1028"/>
      <c r="BJ96" s="1028"/>
      <c r="BK96" s="1028"/>
      <c r="BL96" s="1028"/>
      <c r="BM96" s="1028"/>
      <c r="BN96" s="1028"/>
      <c r="BO96" s="1028"/>
      <c r="BP96" s="1028"/>
      <c r="BQ96" s="1028"/>
      <c r="BR96" s="1028"/>
      <c r="BS96" s="1028"/>
      <c r="BT96" s="1028"/>
      <c r="BU96" s="1028"/>
      <c r="BV96" s="1028"/>
      <c r="BW96" s="1028"/>
      <c r="BX96" s="1028"/>
      <c r="BY96" s="1028"/>
      <c r="BZ96" s="1028"/>
      <c r="CA96" s="1028"/>
      <c r="CB96" s="1028"/>
      <c r="CC96" s="1028"/>
      <c r="CD96" s="1028"/>
      <c r="CE96" s="1028"/>
      <c r="CF96" s="1028"/>
      <c r="CG96" s="1028"/>
      <c r="CH96" s="1028"/>
      <c r="CI96" s="1028"/>
      <c r="CJ96" s="1028"/>
      <c r="CK96" s="1028"/>
      <c r="CL96" s="1028"/>
      <c r="CM96" s="1028"/>
      <c r="CN96" s="1028"/>
      <c r="CO96" s="1028"/>
      <c r="CP96" s="1028"/>
      <c r="CQ96" s="1028"/>
      <c r="CR96" s="1028"/>
      <c r="CS96" s="1028"/>
      <c r="CT96" s="1028"/>
      <c r="CU96" s="1028"/>
      <c r="CV96" s="1028"/>
      <c r="CW96" s="1028"/>
      <c r="CX96" s="1028"/>
      <c r="CY96" s="1028"/>
      <c r="CZ96" s="1028"/>
      <c r="DA96" s="1028"/>
      <c r="DB96" s="1028"/>
      <c r="DC96" s="1028"/>
      <c r="DD96" s="1028"/>
      <c r="DE96" s="1028"/>
      <c r="DF96" s="1028"/>
      <c r="DG96" s="1028"/>
      <c r="DH96" s="1028"/>
      <c r="DI96" s="1028"/>
      <c r="DJ96" s="1028"/>
      <c r="DK96" s="1028"/>
      <c r="DL96" s="1028"/>
      <c r="DM96" s="1028"/>
      <c r="DN96" s="1028"/>
      <c r="DO96" s="1028"/>
      <c r="DP96" s="1028"/>
      <c r="DQ96" s="1028"/>
      <c r="DR96" s="1028"/>
      <c r="DS96" s="1028"/>
      <c r="DT96" s="1028"/>
      <c r="DU96" s="1028"/>
      <c r="DV96" s="1028"/>
      <c r="DW96" s="1028"/>
      <c r="DX96" s="1028"/>
      <c r="DY96" s="1028"/>
      <c r="DZ96" s="1028"/>
      <c r="EA96" s="1028"/>
      <c r="EB96" s="1028"/>
      <c r="EC96" s="1028"/>
      <c r="ED96" s="1028"/>
      <c r="EE96" s="1028"/>
      <c r="EF96" s="1028"/>
      <c r="EG96" s="1028"/>
      <c r="EH96" s="1028"/>
      <c r="EI96" s="1028"/>
      <c r="EJ96" s="1028"/>
      <c r="EK96" s="1028"/>
      <c r="EL96" s="1028"/>
      <c r="EM96" s="1028"/>
      <c r="EN96" s="1028"/>
      <c r="EO96" s="1028"/>
      <c r="EP96" s="1028"/>
      <c r="EQ96" s="1028"/>
      <c r="ER96" s="1028"/>
      <c r="ES96" s="1028"/>
      <c r="ET96" s="1028"/>
      <c r="EU96" s="1028"/>
      <c r="EV96" s="1028"/>
      <c r="EW96" s="1028"/>
      <c r="EX96" s="1028"/>
      <c r="EY96" s="1028"/>
      <c r="EZ96" s="1028"/>
      <c r="FA96" s="1028"/>
      <c r="FB96" s="1028"/>
      <c r="FC96" s="1028"/>
      <c r="FD96" s="1028"/>
      <c r="FE96" s="1028"/>
      <c r="FF96" s="1028"/>
      <c r="FG96" s="1028"/>
      <c r="FH96" s="1028"/>
      <c r="FI96" s="1028"/>
      <c r="FJ96" s="1028"/>
      <c r="FK96" s="1028"/>
      <c r="FL96" s="1028"/>
      <c r="FM96" s="1028"/>
      <c r="FN96" s="1028"/>
      <c r="FO96" s="1028"/>
      <c r="FP96" s="1028"/>
      <c r="FQ96" s="1028"/>
      <c r="FR96" s="1028"/>
      <c r="FS96" s="1028"/>
      <c r="FT96" s="1028"/>
      <c r="FU96" s="1028"/>
      <c r="FV96" s="1028"/>
    </row>
    <row r="97" spans="1:178" s="1021" customFormat="1" ht="18.75">
      <c r="A97" s="1044">
        <v>3</v>
      </c>
      <c r="B97" s="1759"/>
      <c r="C97" s="1759"/>
      <c r="D97" s="1759"/>
      <c r="E97" s="1020"/>
      <c r="F97" s="1021" t="s">
        <v>7594</v>
      </c>
      <c r="G97" s="1021" t="s">
        <v>15790</v>
      </c>
      <c r="H97" s="1021" t="s">
        <v>9207</v>
      </c>
      <c r="I97" s="1050" t="s">
        <v>16135</v>
      </c>
      <c r="J97" s="1050" t="s">
        <v>16132</v>
      </c>
      <c r="K97" s="1050" t="s">
        <v>16135</v>
      </c>
      <c r="U97" s="1028"/>
      <c r="V97" s="1028"/>
      <c r="W97" s="1028"/>
      <c r="X97" s="1028"/>
      <c r="Y97" s="1028"/>
      <c r="Z97" s="1028"/>
      <c r="AA97" s="1028"/>
      <c r="AB97" s="1028"/>
      <c r="AC97" s="1028"/>
      <c r="AD97" s="1028"/>
      <c r="AE97" s="1028"/>
      <c r="AF97" s="1028"/>
      <c r="AG97" s="1028"/>
      <c r="AH97" s="1028"/>
      <c r="AI97" s="1028"/>
      <c r="AJ97" s="1028"/>
      <c r="AK97" s="1028"/>
      <c r="AL97" s="1028"/>
      <c r="AM97" s="1028"/>
      <c r="AN97" s="1028"/>
      <c r="AO97" s="1028"/>
      <c r="AP97" s="1028"/>
      <c r="AQ97" s="1028"/>
      <c r="AR97" s="1028"/>
      <c r="AS97" s="1028"/>
      <c r="AT97" s="1028"/>
      <c r="AU97" s="1028"/>
      <c r="AV97" s="1028"/>
      <c r="AW97" s="1028"/>
      <c r="AX97" s="1028"/>
      <c r="AY97" s="1028"/>
      <c r="AZ97" s="1028"/>
      <c r="BA97" s="1028"/>
      <c r="BB97" s="1028"/>
      <c r="BC97" s="1028"/>
      <c r="BD97" s="1028"/>
      <c r="BE97" s="1028"/>
      <c r="BF97" s="1028"/>
      <c r="BG97" s="1028"/>
      <c r="BH97" s="1028"/>
      <c r="BI97" s="1028"/>
      <c r="BJ97" s="1028"/>
      <c r="BK97" s="1028"/>
      <c r="BL97" s="1028"/>
      <c r="BM97" s="1028"/>
      <c r="BN97" s="1028"/>
      <c r="BO97" s="1028"/>
      <c r="BP97" s="1028"/>
      <c r="BQ97" s="1028"/>
      <c r="BR97" s="1028"/>
      <c r="BS97" s="1028"/>
      <c r="BT97" s="1028"/>
      <c r="BU97" s="1028"/>
      <c r="BV97" s="1028"/>
      <c r="BW97" s="1028"/>
      <c r="BX97" s="1028"/>
      <c r="BY97" s="1028"/>
      <c r="BZ97" s="1028"/>
      <c r="CA97" s="1028"/>
      <c r="CB97" s="1028"/>
      <c r="CC97" s="1028"/>
      <c r="CD97" s="1028"/>
      <c r="CE97" s="1028"/>
      <c r="CF97" s="1028"/>
      <c r="CG97" s="1028"/>
      <c r="CH97" s="1028"/>
      <c r="CI97" s="1028"/>
      <c r="CJ97" s="1028"/>
      <c r="CK97" s="1028"/>
      <c r="CL97" s="1028"/>
      <c r="CM97" s="1028"/>
      <c r="CN97" s="1028"/>
      <c r="CO97" s="1028"/>
      <c r="CP97" s="1028"/>
      <c r="CQ97" s="1028"/>
      <c r="CR97" s="1028"/>
      <c r="CS97" s="1028"/>
      <c r="CT97" s="1028"/>
      <c r="CU97" s="1028"/>
      <c r="CV97" s="1028"/>
      <c r="CW97" s="1028"/>
      <c r="CX97" s="1028"/>
      <c r="CY97" s="1028"/>
      <c r="CZ97" s="1028"/>
      <c r="DA97" s="1028"/>
      <c r="DB97" s="1028"/>
      <c r="DC97" s="1028"/>
      <c r="DD97" s="1028"/>
      <c r="DE97" s="1028"/>
      <c r="DF97" s="1028"/>
      <c r="DG97" s="1028"/>
      <c r="DH97" s="1028"/>
      <c r="DI97" s="1028"/>
      <c r="DJ97" s="1028"/>
      <c r="DK97" s="1028"/>
      <c r="DL97" s="1028"/>
      <c r="DM97" s="1028"/>
      <c r="DN97" s="1028"/>
      <c r="DO97" s="1028"/>
      <c r="DP97" s="1028"/>
      <c r="DQ97" s="1028"/>
      <c r="DR97" s="1028"/>
      <c r="DS97" s="1028"/>
      <c r="DT97" s="1028"/>
      <c r="DU97" s="1028"/>
      <c r="DV97" s="1028"/>
      <c r="DW97" s="1028"/>
      <c r="DX97" s="1028"/>
      <c r="DY97" s="1028"/>
      <c r="DZ97" s="1028"/>
      <c r="EA97" s="1028"/>
      <c r="EB97" s="1028"/>
      <c r="EC97" s="1028"/>
      <c r="ED97" s="1028"/>
      <c r="EE97" s="1028"/>
      <c r="EF97" s="1028"/>
      <c r="EG97" s="1028"/>
      <c r="EH97" s="1028"/>
      <c r="EI97" s="1028"/>
      <c r="EJ97" s="1028"/>
      <c r="EK97" s="1028"/>
      <c r="EL97" s="1028"/>
      <c r="EM97" s="1028"/>
      <c r="EN97" s="1028"/>
      <c r="EO97" s="1028"/>
      <c r="EP97" s="1028"/>
      <c r="EQ97" s="1028"/>
      <c r="ER97" s="1028"/>
      <c r="ES97" s="1028"/>
      <c r="ET97" s="1028"/>
      <c r="EU97" s="1028"/>
      <c r="EV97" s="1028"/>
      <c r="EW97" s="1028"/>
      <c r="EX97" s="1028"/>
      <c r="EY97" s="1028"/>
      <c r="EZ97" s="1028"/>
      <c r="FA97" s="1028"/>
      <c r="FB97" s="1028"/>
      <c r="FC97" s="1028"/>
      <c r="FD97" s="1028"/>
      <c r="FE97" s="1028"/>
      <c r="FF97" s="1028"/>
      <c r="FG97" s="1028"/>
      <c r="FH97" s="1028"/>
      <c r="FI97" s="1028"/>
      <c r="FJ97" s="1028"/>
      <c r="FK97" s="1028"/>
      <c r="FL97" s="1028"/>
      <c r="FM97" s="1028"/>
      <c r="FN97" s="1028"/>
      <c r="FO97" s="1028"/>
      <c r="FP97" s="1028"/>
      <c r="FQ97" s="1028"/>
      <c r="FR97" s="1028"/>
      <c r="FS97" s="1028"/>
      <c r="FT97" s="1028"/>
      <c r="FU97" s="1028"/>
      <c r="FV97" s="1028"/>
    </row>
    <row r="98" spans="1:178" s="1047" customFormat="1" ht="19.5" thickBot="1">
      <c r="A98" s="1046">
        <v>4</v>
      </c>
      <c r="B98" s="1760"/>
      <c r="C98" s="1760"/>
      <c r="D98" s="1760"/>
      <c r="E98" s="1048"/>
      <c r="F98" s="1047" t="s">
        <v>5088</v>
      </c>
      <c r="G98" s="1021" t="s">
        <v>15790</v>
      </c>
      <c r="H98" s="1047" t="s">
        <v>4413</v>
      </c>
      <c r="I98" s="1047" t="s">
        <v>15780</v>
      </c>
      <c r="J98" s="1047" t="s">
        <v>15781</v>
      </c>
      <c r="K98" s="1047" t="s">
        <v>15782</v>
      </c>
      <c r="O98" s="1021"/>
      <c r="P98" s="1021"/>
      <c r="Q98" s="1021"/>
      <c r="R98" s="1021" t="s">
        <v>15783</v>
      </c>
      <c r="S98" s="1021" t="s">
        <v>15784</v>
      </c>
      <c r="T98" s="1021"/>
      <c r="U98" s="1028"/>
      <c r="V98" s="1028"/>
      <c r="W98" s="1028"/>
      <c r="X98" s="1028"/>
      <c r="Y98" s="1028"/>
      <c r="Z98" s="1028"/>
      <c r="AA98" s="1028"/>
      <c r="AB98" s="1028"/>
      <c r="AC98" s="1028"/>
      <c r="AD98" s="1028"/>
      <c r="AE98" s="1028"/>
      <c r="AF98" s="1028"/>
      <c r="AG98" s="1028"/>
      <c r="AH98" s="1028"/>
      <c r="AI98" s="1028"/>
      <c r="AJ98" s="1028"/>
      <c r="AK98" s="1028"/>
      <c r="AL98" s="1028"/>
      <c r="AM98" s="1028"/>
      <c r="AN98" s="1028"/>
      <c r="AO98" s="1028"/>
      <c r="AP98" s="1028"/>
      <c r="AQ98" s="1028"/>
      <c r="AR98" s="1028"/>
      <c r="AS98" s="1028"/>
      <c r="AT98" s="1028"/>
      <c r="AU98" s="1028"/>
      <c r="AV98" s="1028"/>
      <c r="AW98" s="1028"/>
      <c r="AX98" s="1028"/>
      <c r="AY98" s="1028"/>
      <c r="AZ98" s="1028"/>
      <c r="BA98" s="1028"/>
      <c r="BB98" s="1028"/>
      <c r="BC98" s="1028"/>
      <c r="BD98" s="1028"/>
      <c r="BE98" s="1028"/>
      <c r="BF98" s="1028"/>
      <c r="BG98" s="1028"/>
      <c r="BH98" s="1028"/>
      <c r="BI98" s="1028"/>
      <c r="BJ98" s="1028"/>
      <c r="BK98" s="1028"/>
      <c r="BL98" s="1028"/>
      <c r="BM98" s="1028"/>
      <c r="BN98" s="1028"/>
      <c r="BO98" s="1028"/>
      <c r="BP98" s="1028"/>
      <c r="BQ98" s="1028"/>
      <c r="BR98" s="1028"/>
      <c r="BS98" s="1028"/>
      <c r="BT98" s="1028"/>
      <c r="BU98" s="1028"/>
      <c r="BV98" s="1028"/>
      <c r="BW98" s="1028"/>
      <c r="BX98" s="1028"/>
      <c r="BY98" s="1028"/>
      <c r="BZ98" s="1028"/>
      <c r="CA98" s="1028"/>
      <c r="CB98" s="1028"/>
      <c r="CC98" s="1028"/>
      <c r="CD98" s="1028"/>
      <c r="CE98" s="1028"/>
      <c r="CF98" s="1028"/>
      <c r="CG98" s="1028"/>
      <c r="CH98" s="1028"/>
      <c r="CI98" s="1028"/>
      <c r="CJ98" s="1028"/>
      <c r="CK98" s="1028"/>
      <c r="CL98" s="1028"/>
      <c r="CM98" s="1028"/>
      <c r="CN98" s="1028"/>
      <c r="CO98" s="1028"/>
      <c r="CP98" s="1028"/>
      <c r="CQ98" s="1028"/>
      <c r="CR98" s="1028"/>
      <c r="CS98" s="1028"/>
      <c r="CT98" s="1028"/>
      <c r="CU98" s="1028"/>
      <c r="CV98" s="1028"/>
      <c r="CW98" s="1028"/>
      <c r="CX98" s="1028"/>
      <c r="CY98" s="1028"/>
      <c r="CZ98" s="1028"/>
      <c r="DA98" s="1028"/>
      <c r="DB98" s="1028"/>
      <c r="DC98" s="1028"/>
      <c r="DD98" s="1028"/>
      <c r="DE98" s="1028"/>
      <c r="DF98" s="1028"/>
      <c r="DG98" s="1028"/>
      <c r="DH98" s="1028"/>
      <c r="DI98" s="1028"/>
      <c r="DJ98" s="1028"/>
      <c r="DK98" s="1028"/>
      <c r="DL98" s="1028"/>
      <c r="DM98" s="1028"/>
      <c r="DN98" s="1028"/>
      <c r="DO98" s="1028"/>
      <c r="DP98" s="1028"/>
      <c r="DQ98" s="1028"/>
      <c r="DR98" s="1028"/>
      <c r="DS98" s="1028"/>
      <c r="DT98" s="1028"/>
      <c r="DU98" s="1028"/>
      <c r="DV98" s="1028"/>
      <c r="DW98" s="1028"/>
      <c r="DX98" s="1028"/>
      <c r="DY98" s="1028"/>
      <c r="DZ98" s="1028"/>
      <c r="EA98" s="1028"/>
      <c r="EB98" s="1028"/>
      <c r="EC98" s="1028"/>
      <c r="ED98" s="1028"/>
      <c r="EE98" s="1028"/>
      <c r="EF98" s="1028"/>
      <c r="EG98" s="1028"/>
      <c r="EH98" s="1028"/>
      <c r="EI98" s="1028"/>
      <c r="EJ98" s="1028"/>
      <c r="EK98" s="1028"/>
      <c r="EL98" s="1028"/>
      <c r="EM98" s="1028"/>
      <c r="EN98" s="1028"/>
      <c r="EO98" s="1028"/>
      <c r="EP98" s="1028"/>
      <c r="EQ98" s="1028"/>
      <c r="ER98" s="1028"/>
      <c r="ES98" s="1028"/>
      <c r="ET98" s="1028"/>
      <c r="EU98" s="1028"/>
      <c r="EV98" s="1028"/>
      <c r="EW98" s="1028"/>
      <c r="EX98" s="1028"/>
      <c r="EY98" s="1028"/>
      <c r="EZ98" s="1028"/>
      <c r="FA98" s="1028"/>
      <c r="FB98" s="1028"/>
      <c r="FC98" s="1028"/>
      <c r="FD98" s="1028"/>
      <c r="FE98" s="1028"/>
      <c r="FF98" s="1028"/>
      <c r="FG98" s="1028"/>
      <c r="FH98" s="1028"/>
      <c r="FI98" s="1028"/>
      <c r="FJ98" s="1028"/>
      <c r="FK98" s="1028"/>
      <c r="FL98" s="1028"/>
      <c r="FM98" s="1028"/>
      <c r="FN98" s="1028"/>
      <c r="FO98" s="1028"/>
      <c r="FP98" s="1028"/>
      <c r="FQ98" s="1028"/>
      <c r="FR98" s="1028"/>
      <c r="FS98" s="1028"/>
      <c r="FT98" s="1028"/>
      <c r="FU98" s="1028"/>
      <c r="FV98" s="1028"/>
    </row>
    <row r="99" spans="1:178" s="1028" customFormat="1" ht="18.75"/>
    <row r="100" spans="1:178" s="1028" customFormat="1" ht="18.75">
      <c r="B100" s="1752" t="s">
        <v>5339</v>
      </c>
      <c r="C100" s="1752"/>
    </row>
    <row r="101" spans="1:178" s="1028" customFormat="1" ht="18.75">
      <c r="B101" s="1036" t="s">
        <v>5286</v>
      </c>
      <c r="C101" s="1036" t="s">
        <v>5340</v>
      </c>
    </row>
    <row r="102" spans="1:178" s="1028" customFormat="1" ht="18.75">
      <c r="B102" s="1036" t="s">
        <v>5286</v>
      </c>
      <c r="C102" s="1036" t="s">
        <v>5341</v>
      </c>
    </row>
    <row r="103" spans="1:178" s="1028" customFormat="1" ht="18.75">
      <c r="B103" s="1036" t="s">
        <v>5286</v>
      </c>
      <c r="C103" s="1036" t="s">
        <v>5342</v>
      </c>
    </row>
    <row r="104" spans="1:178" s="1028" customFormat="1" ht="18.75">
      <c r="B104" s="1036" t="s">
        <v>5286</v>
      </c>
      <c r="C104" s="1036" t="s">
        <v>5343</v>
      </c>
    </row>
    <row r="105" spans="1:178" s="1028" customFormat="1" ht="18.75">
      <c r="B105" s="1036" t="s">
        <v>5286</v>
      </c>
      <c r="C105" s="1036" t="s">
        <v>5344</v>
      </c>
    </row>
    <row r="106" spans="1:178" s="1028" customFormat="1" ht="18.75">
      <c r="B106" s="1036" t="s">
        <v>5287</v>
      </c>
      <c r="C106" s="1036" t="s">
        <v>5345</v>
      </c>
    </row>
    <row r="107" spans="1:178" s="1028" customFormat="1" ht="18.75">
      <c r="B107" s="1036" t="s">
        <v>5287</v>
      </c>
      <c r="C107" s="1036" t="s">
        <v>5346</v>
      </c>
    </row>
    <row r="108" spans="1:178" s="1028" customFormat="1" ht="18.75">
      <c r="B108" s="1036" t="s">
        <v>5287</v>
      </c>
      <c r="C108" s="1036" t="s">
        <v>5288</v>
      </c>
    </row>
    <row r="109" spans="1:178" s="1028" customFormat="1" ht="18.75">
      <c r="B109" s="1036" t="s">
        <v>5289</v>
      </c>
      <c r="C109" s="1036" t="s">
        <v>5347</v>
      </c>
    </row>
    <row r="110" spans="1:178" s="1028" customFormat="1" ht="18.75">
      <c r="B110" s="1036" t="s">
        <v>5289</v>
      </c>
      <c r="C110" s="1036" t="s">
        <v>5348</v>
      </c>
    </row>
    <row r="111" spans="1:178" s="1028" customFormat="1" ht="18.75">
      <c r="B111" s="1036" t="s">
        <v>5289</v>
      </c>
      <c r="C111" s="1036" t="s">
        <v>5349</v>
      </c>
    </row>
    <row r="112" spans="1:178" s="1028" customFormat="1" ht="18.75">
      <c r="B112" s="1036" t="s">
        <v>5291</v>
      </c>
      <c r="C112" s="1036" t="s">
        <v>5350</v>
      </c>
    </row>
    <row r="113" spans="2:3" s="1028" customFormat="1" ht="18.75">
      <c r="B113" s="1036" t="s">
        <v>5291</v>
      </c>
      <c r="C113" s="1036" t="s">
        <v>5351</v>
      </c>
    </row>
    <row r="114" spans="2:3" s="1028" customFormat="1" ht="18.75">
      <c r="B114" s="1036" t="s">
        <v>5294</v>
      </c>
      <c r="C114" s="1036" t="s">
        <v>5352</v>
      </c>
    </row>
    <row r="115" spans="2:3" s="1028" customFormat="1" ht="18.75">
      <c r="B115" s="1036" t="s">
        <v>5294</v>
      </c>
      <c r="C115" s="1036" t="s">
        <v>5353</v>
      </c>
    </row>
    <row r="116" spans="2:3" s="1028" customFormat="1" ht="18.75">
      <c r="B116" s="1036" t="s">
        <v>5295</v>
      </c>
      <c r="C116" s="1036" t="s">
        <v>5354</v>
      </c>
    </row>
    <row r="117" spans="2:3" s="1028" customFormat="1" ht="18.75">
      <c r="B117" s="1036" t="s">
        <v>11167</v>
      </c>
      <c r="C117" s="1036" t="s">
        <v>5355</v>
      </c>
    </row>
    <row r="118" spans="2:3" s="1028" customFormat="1" ht="18.75">
      <c r="B118" s="1027" t="s">
        <v>11169</v>
      </c>
      <c r="C118" s="1027" t="s">
        <v>11168</v>
      </c>
    </row>
    <row r="119" spans="2:3" s="1028" customFormat="1" ht="18.75"/>
    <row r="120" spans="2:3" s="1028" customFormat="1" ht="18.75"/>
    <row r="121" spans="2:3" s="1028" customFormat="1" ht="18.75"/>
    <row r="122" spans="2:3" s="1028" customFormat="1" ht="18.75"/>
    <row r="123" spans="2:3" s="1028" customFormat="1" ht="18.75"/>
    <row r="124" spans="2:3" s="1028" customFormat="1" ht="18.75"/>
    <row r="125" spans="2:3" s="1028" customFormat="1" ht="18.75"/>
    <row r="126" spans="2:3" s="1028" customFormat="1" ht="18.75"/>
    <row r="127" spans="2:3" s="1028" customFormat="1" ht="18.75"/>
    <row r="128" spans="2:3" s="1028" customFormat="1" ht="18.75"/>
    <row r="129" s="1028" customFormat="1" ht="18.75"/>
    <row r="130" s="1028" customFormat="1" ht="18.75"/>
    <row r="131" s="1028" customFormat="1" ht="18.75"/>
    <row r="132" s="1028" customFormat="1" ht="18.75"/>
  </sheetData>
  <mergeCells count="37">
    <mergeCell ref="T92:T93"/>
    <mergeCell ref="A49:T49"/>
    <mergeCell ref="M51:M69"/>
    <mergeCell ref="N51:N69"/>
    <mergeCell ref="P51:P69"/>
    <mergeCell ref="R51:R69"/>
    <mergeCell ref="S51:S69"/>
    <mergeCell ref="T51:T69"/>
    <mergeCell ref="Q51:Q69"/>
    <mergeCell ref="A1:T1"/>
    <mergeCell ref="B3:B41"/>
    <mergeCell ref="C3:C41"/>
    <mergeCell ref="D3:D41"/>
    <mergeCell ref="M3:M21"/>
    <mergeCell ref="N3:N21"/>
    <mergeCell ref="P3:P21"/>
    <mergeCell ref="R3:R21"/>
    <mergeCell ref="S3:S21"/>
    <mergeCell ref="T3:T21"/>
    <mergeCell ref="O4:O19"/>
    <mergeCell ref="Q3:Q21"/>
    <mergeCell ref="B100:C100"/>
    <mergeCell ref="B51:B78"/>
    <mergeCell ref="C51:C78"/>
    <mergeCell ref="D51:D78"/>
    <mergeCell ref="A80:T80"/>
    <mergeCell ref="I82:I83"/>
    <mergeCell ref="J82:J83"/>
    <mergeCell ref="B82:B88"/>
    <mergeCell ref="A90:T90"/>
    <mergeCell ref="B92:B98"/>
    <mergeCell ref="I92:I93"/>
    <mergeCell ref="J92:J93"/>
    <mergeCell ref="C92:C98"/>
    <mergeCell ref="D92:D98"/>
    <mergeCell ref="R92:R93"/>
    <mergeCell ref="S92:S93"/>
  </mergeCells>
  <conditionalFormatting sqref="K2">
    <cfRule type="duplicateValues" dxfId="753" priority="10"/>
    <cfRule type="duplicateValues" dxfId="752" priority="12"/>
  </conditionalFormatting>
  <conditionalFormatting sqref="K50">
    <cfRule type="duplicateValues" dxfId="751" priority="7"/>
    <cfRule type="duplicateValues" dxfId="750" priority="9"/>
  </conditionalFormatting>
  <conditionalFormatting sqref="L2">
    <cfRule type="duplicateValues" dxfId="749" priority="11"/>
  </conditionalFormatting>
  <conditionalFormatting sqref="L50">
    <cfRule type="duplicateValues" dxfId="748" priority="8"/>
  </conditionalFormatting>
  <conditionalFormatting sqref="K81">
    <cfRule type="duplicateValues" dxfId="747" priority="4"/>
    <cfRule type="duplicateValues" dxfId="746" priority="6"/>
  </conditionalFormatting>
  <conditionalFormatting sqref="L81">
    <cfRule type="duplicateValues" dxfId="745" priority="5"/>
  </conditionalFormatting>
  <conditionalFormatting sqref="K91">
    <cfRule type="duplicateValues" dxfId="744" priority="1"/>
    <cfRule type="duplicateValues" dxfId="743" priority="3"/>
  </conditionalFormatting>
  <conditionalFormatting sqref="L91">
    <cfRule type="duplicateValues" dxfId="742" priority="2"/>
  </conditionalFormatting>
  <pageMargins left="0.7" right="0.7" top="0.75" bottom="0.75" header="0.3" footer="0.3"/>
  <pageSetup paperSize="9" orientation="portrait" horizontalDpi="200" verticalDpi="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82"/>
  <sheetViews>
    <sheetView rightToLeft="1" topLeftCell="A7" zoomScale="96" zoomScaleNormal="96" workbookViewId="0">
      <selection activeCell="C118" sqref="C118"/>
    </sheetView>
  </sheetViews>
  <sheetFormatPr defaultColWidth="9.140625" defaultRowHeight="15"/>
  <cols>
    <col min="1" max="1" width="40.85546875" style="212" bestFit="1" customWidth="1"/>
    <col min="2" max="2" width="34" style="212" bestFit="1" customWidth="1"/>
    <col min="3" max="3" width="39.5703125" style="212" bestFit="1" customWidth="1"/>
    <col min="4" max="4" width="24.42578125" style="212" bestFit="1" customWidth="1"/>
    <col min="5" max="5" width="5.42578125" style="212" bestFit="1" customWidth="1"/>
    <col min="6" max="7" width="15.85546875" style="212" bestFit="1" customWidth="1"/>
    <col min="8" max="8" width="55.7109375" style="212" bestFit="1" customWidth="1"/>
    <col min="9" max="16384" width="9.140625" style="212"/>
  </cols>
  <sheetData>
    <row r="1" spans="1:4" ht="21.75" customHeight="1">
      <c r="A1" s="1767" t="s">
        <v>11084</v>
      </c>
      <c r="B1" s="1768"/>
      <c r="C1" s="1768"/>
      <c r="D1" s="1768"/>
    </row>
    <row r="2" spans="1:4" ht="14.25" customHeight="1">
      <c r="A2" s="1769" t="s">
        <v>11057</v>
      </c>
      <c r="B2" s="1770"/>
      <c r="C2" s="1770"/>
      <c r="D2" s="1770"/>
    </row>
    <row r="3" spans="1:4" ht="15" customHeight="1">
      <c r="A3" s="1744" t="s">
        <v>11091</v>
      </c>
      <c r="B3" s="1745"/>
      <c r="C3" s="359">
        <v>1191345000</v>
      </c>
      <c r="D3" s="359" t="s">
        <v>11107</v>
      </c>
    </row>
    <row r="4" spans="1:4" ht="15" customHeight="1">
      <c r="A4" s="1744" t="s">
        <v>9693</v>
      </c>
      <c r="B4" s="1745"/>
      <c r="C4" s="359">
        <v>459686400</v>
      </c>
      <c r="D4" s="359" t="s">
        <v>11107</v>
      </c>
    </row>
    <row r="5" spans="1:4" ht="15" customHeight="1">
      <c r="A5" s="1744" t="s">
        <v>11069</v>
      </c>
      <c r="B5" s="1745"/>
      <c r="C5" s="359">
        <v>7428477600</v>
      </c>
      <c r="D5" s="359" t="s">
        <v>11107</v>
      </c>
    </row>
    <row r="6" spans="1:4" ht="15" customHeight="1">
      <c r="A6" s="1744" t="s">
        <v>10976</v>
      </c>
      <c r="B6" s="1745"/>
      <c r="C6" s="359">
        <v>280033200</v>
      </c>
      <c r="D6" s="359" t="s">
        <v>11107</v>
      </c>
    </row>
    <row r="7" spans="1:4" ht="15" customHeight="1">
      <c r="A7" s="1744" t="s">
        <v>11108</v>
      </c>
      <c r="B7" s="1745"/>
      <c r="C7" s="359">
        <v>0</v>
      </c>
      <c r="D7" s="359" t="s">
        <v>11106</v>
      </c>
    </row>
    <row r="8" spans="1:4" ht="15" customHeight="1">
      <c r="A8" s="1744" t="s">
        <v>11109</v>
      </c>
      <c r="B8" s="1745"/>
      <c r="C8" s="359">
        <v>0</v>
      </c>
      <c r="D8" s="359" t="s">
        <v>11106</v>
      </c>
    </row>
    <row r="9" spans="1:4" ht="20.25" customHeight="1">
      <c r="A9" s="1746" t="s">
        <v>11070</v>
      </c>
      <c r="B9" s="1747"/>
      <c r="C9" s="360">
        <f>SUM(C3:C6)</f>
        <v>9359542200</v>
      </c>
      <c r="D9" s="400"/>
    </row>
    <row r="10" spans="1:4" ht="18.75" customHeight="1">
      <c r="A10" s="1771" t="s">
        <v>11071</v>
      </c>
      <c r="B10" s="1771"/>
      <c r="C10" s="1771"/>
    </row>
    <row r="11" spans="1:4" ht="15" customHeight="1">
      <c r="A11" s="1751" t="s">
        <v>10976</v>
      </c>
      <c r="B11" s="1751"/>
      <c r="C11" s="359">
        <v>43</v>
      </c>
      <c r="D11" s="401"/>
    </row>
    <row r="12" spans="1:4" ht="15" customHeight="1">
      <c r="A12" s="1751" t="s">
        <v>11072</v>
      </c>
      <c r="B12" s="1751"/>
      <c r="C12" s="359">
        <v>17</v>
      </c>
      <c r="D12" s="401"/>
    </row>
    <row r="13" spans="1:4" ht="15" customHeight="1">
      <c r="A13" s="1751" t="s">
        <v>9693</v>
      </c>
      <c r="B13" s="1751"/>
      <c r="C13" s="359">
        <v>47</v>
      </c>
      <c r="D13" s="401"/>
    </row>
    <row r="14" spans="1:4" ht="15" customHeight="1">
      <c r="A14" s="1751" t="s">
        <v>11069</v>
      </c>
      <c r="B14" s="1751"/>
      <c r="C14" s="359">
        <v>1139</v>
      </c>
      <c r="D14" s="401"/>
    </row>
    <row r="15" spans="1:4" ht="19.5" customHeight="1">
      <c r="A15" s="1746" t="s">
        <v>11070</v>
      </c>
      <c r="B15" s="1747"/>
      <c r="C15" s="399">
        <v>1246</v>
      </c>
    </row>
    <row r="16" spans="1:4" ht="21" customHeight="1">
      <c r="A16" s="364" t="s">
        <v>11112</v>
      </c>
      <c r="B16" s="364" t="s">
        <v>7727</v>
      </c>
      <c r="C16" s="365" t="s">
        <v>196</v>
      </c>
    </row>
    <row r="17" spans="1:4" ht="15" customHeight="1">
      <c r="A17" s="1751" t="s">
        <v>11075</v>
      </c>
      <c r="B17" s="1751">
        <v>1210</v>
      </c>
      <c r="C17" s="359" t="s">
        <v>201</v>
      </c>
      <c r="D17" s="401"/>
    </row>
    <row r="18" spans="1:4" ht="15" customHeight="1">
      <c r="A18" s="1751" t="s">
        <v>11076</v>
      </c>
      <c r="B18" s="1751">
        <v>6</v>
      </c>
      <c r="C18" s="359" t="s">
        <v>205</v>
      </c>
      <c r="D18" s="401"/>
    </row>
    <row r="19" spans="1:4" ht="15" customHeight="1">
      <c r="A19" s="1751" t="s">
        <v>11077</v>
      </c>
      <c r="B19" s="1751">
        <v>7</v>
      </c>
      <c r="C19" s="359" t="s">
        <v>199</v>
      </c>
      <c r="D19" s="401"/>
    </row>
    <row r="20" spans="1:4" ht="15" customHeight="1">
      <c r="A20" s="1751" t="s">
        <v>11078</v>
      </c>
      <c r="B20" s="1751">
        <v>8</v>
      </c>
      <c r="C20" s="359" t="s">
        <v>204</v>
      </c>
      <c r="D20" s="401"/>
    </row>
    <row r="21" spans="1:4" ht="15" customHeight="1">
      <c r="A21" s="1751" t="s">
        <v>11079</v>
      </c>
      <c r="B21" s="1751">
        <v>5</v>
      </c>
      <c r="C21" s="359" t="s">
        <v>197</v>
      </c>
      <c r="D21" s="401"/>
    </row>
    <row r="22" spans="1:4" ht="15" customHeight="1">
      <c r="A22" s="1751" t="s">
        <v>5142</v>
      </c>
      <c r="B22" s="1751">
        <v>3</v>
      </c>
      <c r="C22" s="359" t="s">
        <v>4413</v>
      </c>
      <c r="D22" s="401"/>
    </row>
    <row r="23" spans="1:4" ht="15" customHeight="1">
      <c r="A23" s="1751" t="s">
        <v>11080</v>
      </c>
      <c r="B23" s="1751">
        <v>2</v>
      </c>
      <c r="C23" s="359" t="s">
        <v>11073</v>
      </c>
      <c r="D23" s="401"/>
    </row>
    <row r="24" spans="1:4" ht="15" customHeight="1">
      <c r="A24" s="1751" t="s">
        <v>11081</v>
      </c>
      <c r="B24" s="1751">
        <v>2</v>
      </c>
      <c r="C24" s="359" t="s">
        <v>4738</v>
      </c>
      <c r="D24" s="401"/>
    </row>
    <row r="25" spans="1:4" ht="15" customHeight="1">
      <c r="A25" s="1751" t="s">
        <v>11081</v>
      </c>
      <c r="B25" s="1751">
        <v>1</v>
      </c>
      <c r="C25" s="359" t="s">
        <v>11074</v>
      </c>
      <c r="D25" s="401"/>
    </row>
    <row r="26" spans="1:4" ht="24.75" customHeight="1">
      <c r="A26" s="351" t="s">
        <v>11083</v>
      </c>
      <c r="B26" s="351">
        <v>1246</v>
      </c>
      <c r="C26" s="225" t="s">
        <v>11082</v>
      </c>
    </row>
    <row r="27" spans="1:4" ht="24.75" customHeight="1">
      <c r="A27" s="402"/>
      <c r="B27" s="402"/>
      <c r="C27" s="403"/>
      <c r="D27" s="404"/>
    </row>
    <row r="31" spans="1:4" ht="28.5" customHeight="1">
      <c r="A31" s="1767" t="s">
        <v>11085</v>
      </c>
      <c r="B31" s="1768"/>
      <c r="C31" s="1768"/>
      <c r="D31" s="1768"/>
    </row>
    <row r="32" spans="1:4" ht="21.75" customHeight="1">
      <c r="A32" s="1769" t="s">
        <v>11086</v>
      </c>
      <c r="B32" s="1770"/>
      <c r="C32" s="1770"/>
      <c r="D32" s="1770"/>
    </row>
    <row r="33" spans="1:4" ht="20.25" customHeight="1">
      <c r="A33" s="1744" t="s">
        <v>11091</v>
      </c>
      <c r="B33" s="1745"/>
      <c r="C33" s="359">
        <v>0</v>
      </c>
      <c r="D33" s="359" t="s">
        <v>11107</v>
      </c>
    </row>
    <row r="34" spans="1:4" ht="20.25" customHeight="1">
      <c r="A34" s="1744" t="s">
        <v>11069</v>
      </c>
      <c r="B34" s="1745"/>
      <c r="C34" s="359">
        <v>1317270000</v>
      </c>
      <c r="D34" s="359" t="s">
        <v>11107</v>
      </c>
    </row>
    <row r="35" spans="1:4" ht="20.25" customHeight="1">
      <c r="A35" s="1772" t="s">
        <v>11104</v>
      </c>
      <c r="B35" s="1773"/>
      <c r="C35" s="359">
        <v>0</v>
      </c>
      <c r="D35" s="352" t="s">
        <v>11106</v>
      </c>
    </row>
    <row r="36" spans="1:4" ht="20.25" customHeight="1">
      <c r="A36" s="1744" t="s">
        <v>11105</v>
      </c>
      <c r="B36" s="1745"/>
      <c r="C36" s="359">
        <v>0</v>
      </c>
      <c r="D36" s="352" t="s">
        <v>11106</v>
      </c>
    </row>
    <row r="37" spans="1:4" ht="20.25" customHeight="1">
      <c r="A37" s="1746" t="s">
        <v>11070</v>
      </c>
      <c r="B37" s="1747"/>
      <c r="C37" s="360">
        <f>SUM(C33:C34)</f>
        <v>1317270000</v>
      </c>
      <c r="D37" s="363"/>
    </row>
    <row r="38" spans="1:4" ht="18.75" customHeight="1">
      <c r="A38" s="1774" t="s">
        <v>11071</v>
      </c>
      <c r="B38" s="1775"/>
      <c r="C38" s="1776"/>
    </row>
    <row r="39" spans="1:4" ht="20.25" customHeight="1">
      <c r="A39" s="1744" t="s">
        <v>11091</v>
      </c>
      <c r="B39" s="1745"/>
      <c r="C39" s="359">
        <v>2</v>
      </c>
    </row>
    <row r="40" spans="1:4" ht="20.25" customHeight="1">
      <c r="A40" s="1744" t="s">
        <v>11069</v>
      </c>
      <c r="B40" s="1745"/>
      <c r="C40" s="359">
        <v>373</v>
      </c>
    </row>
    <row r="41" spans="1:4" ht="19.5" customHeight="1">
      <c r="A41" s="1746" t="s">
        <v>11070</v>
      </c>
      <c r="B41" s="1747"/>
      <c r="C41" s="362">
        <v>375</v>
      </c>
    </row>
    <row r="42" spans="1:4" ht="21" customHeight="1">
      <c r="A42" s="364" t="s">
        <v>11112</v>
      </c>
      <c r="B42" s="364" t="s">
        <v>7727</v>
      </c>
      <c r="C42" s="365" t="s">
        <v>196</v>
      </c>
    </row>
    <row r="43" spans="1:4" ht="20.25" customHeight="1">
      <c r="A43" s="366" t="s">
        <v>11099</v>
      </c>
      <c r="B43" s="366">
        <v>177</v>
      </c>
      <c r="C43" s="359" t="s">
        <v>201</v>
      </c>
    </row>
    <row r="44" spans="1:4" ht="20.25" customHeight="1">
      <c r="A44" s="366" t="s">
        <v>11100</v>
      </c>
      <c r="B44" s="366">
        <v>196</v>
      </c>
      <c r="C44" s="359" t="s">
        <v>969</v>
      </c>
    </row>
    <row r="45" spans="1:4" ht="20.25" customHeight="1">
      <c r="A45" s="366" t="s">
        <v>11101</v>
      </c>
      <c r="B45" s="366">
        <v>2</v>
      </c>
      <c r="C45" s="359" t="s">
        <v>4413</v>
      </c>
    </row>
    <row r="46" spans="1:4" ht="24.75" customHeight="1">
      <c r="A46" s="351" t="s">
        <v>11102</v>
      </c>
      <c r="B46" s="351">
        <v>375</v>
      </c>
      <c r="C46" s="225" t="s">
        <v>11103</v>
      </c>
    </row>
    <row r="47" spans="1:4" ht="24.75" customHeight="1">
      <c r="A47" s="402"/>
      <c r="B47" s="402"/>
      <c r="C47" s="403"/>
    </row>
    <row r="48" spans="1:4" ht="24.75" customHeight="1">
      <c r="A48" s="402"/>
      <c r="B48" s="402"/>
      <c r="C48" s="403"/>
    </row>
    <row r="49" spans="1:4" ht="24.75" customHeight="1">
      <c r="A49" s="402"/>
      <c r="B49" s="402"/>
      <c r="C49" s="403"/>
    </row>
    <row r="50" spans="1:4" ht="24.75" customHeight="1">
      <c r="A50" s="402"/>
      <c r="B50" s="402"/>
      <c r="C50" s="403"/>
    </row>
    <row r="51" spans="1:4" ht="24.75" customHeight="1">
      <c r="A51" s="402"/>
      <c r="B51" s="402"/>
      <c r="C51" s="403"/>
    </row>
    <row r="54" spans="1:4" ht="28.5" customHeight="1">
      <c r="A54" s="1767" t="s">
        <v>11087</v>
      </c>
      <c r="B54" s="1768"/>
      <c r="C54" s="1768"/>
      <c r="D54" s="1768"/>
    </row>
    <row r="55" spans="1:4" ht="21.75" customHeight="1">
      <c r="A55" s="1769" t="s">
        <v>11088</v>
      </c>
      <c r="B55" s="1770"/>
      <c r="C55" s="1770"/>
      <c r="D55" s="1770"/>
    </row>
    <row r="56" spans="1:4" ht="20.25" customHeight="1">
      <c r="A56" s="1744" t="s">
        <v>11091</v>
      </c>
      <c r="B56" s="1745"/>
      <c r="C56" s="359">
        <v>10890000000</v>
      </c>
      <c r="D56" s="359" t="s">
        <v>11107</v>
      </c>
    </row>
    <row r="57" spans="1:4" ht="20.25" customHeight="1">
      <c r="A57" s="1744" t="s">
        <v>9693</v>
      </c>
      <c r="B57" s="1745"/>
      <c r="C57" s="359">
        <v>0</v>
      </c>
      <c r="D57" s="359" t="s">
        <v>11107</v>
      </c>
    </row>
    <row r="58" spans="1:4" ht="20.25" customHeight="1">
      <c r="A58" s="1744" t="s">
        <v>11069</v>
      </c>
      <c r="B58" s="1745"/>
      <c r="C58" s="359">
        <v>0</v>
      </c>
      <c r="D58" s="359" t="s">
        <v>11107</v>
      </c>
    </row>
    <row r="59" spans="1:4" ht="20.25" customHeight="1">
      <c r="A59" s="1744" t="s">
        <v>11124</v>
      </c>
      <c r="B59" s="1745"/>
      <c r="C59" s="359">
        <v>0</v>
      </c>
      <c r="D59" s="352" t="s">
        <v>11106</v>
      </c>
    </row>
    <row r="60" spans="1:4" ht="20.25" customHeight="1">
      <c r="A60" s="1744" t="s">
        <v>11097</v>
      </c>
      <c r="B60" s="1745"/>
      <c r="C60" s="359">
        <v>285175000</v>
      </c>
      <c r="D60" s="359" t="s">
        <v>11107</v>
      </c>
    </row>
    <row r="61" spans="1:4" ht="20.25" customHeight="1">
      <c r="A61" s="1746" t="s">
        <v>11070</v>
      </c>
      <c r="B61" s="1747"/>
      <c r="C61" s="360">
        <f>SUM(C56:C60)</f>
        <v>11175175000</v>
      </c>
      <c r="D61" s="363"/>
    </row>
    <row r="62" spans="1:4" ht="18.75" customHeight="1">
      <c r="A62" s="1774" t="s">
        <v>11071</v>
      </c>
      <c r="B62" s="1775"/>
      <c r="C62" s="1776"/>
    </row>
    <row r="63" spans="1:4" ht="20.25" customHeight="1">
      <c r="A63" s="1744" t="s">
        <v>11091</v>
      </c>
      <c r="B63" s="1745"/>
      <c r="C63" s="359">
        <v>1</v>
      </c>
    </row>
    <row r="64" spans="1:4" ht="20.25" customHeight="1">
      <c r="A64" s="1744" t="s">
        <v>9693</v>
      </c>
      <c r="B64" s="1745"/>
      <c r="C64" s="359">
        <v>111</v>
      </c>
    </row>
    <row r="65" spans="1:4" ht="20.25" customHeight="1">
      <c r="A65" s="1744" t="s">
        <v>11069</v>
      </c>
      <c r="B65" s="1745"/>
      <c r="C65" s="359">
        <v>5</v>
      </c>
    </row>
    <row r="66" spans="1:4" ht="19.5" customHeight="1">
      <c r="A66" s="1746" t="s">
        <v>11070</v>
      </c>
      <c r="B66" s="1747"/>
      <c r="C66" s="361">
        <f>SUM(C63:C65)</f>
        <v>117</v>
      </c>
    </row>
    <row r="67" spans="1:4" ht="21" customHeight="1">
      <c r="A67" s="364" t="s">
        <v>11112</v>
      </c>
      <c r="B67" s="364" t="s">
        <v>7727</v>
      </c>
      <c r="C67" s="365" t="s">
        <v>196</v>
      </c>
    </row>
    <row r="68" spans="1:4" ht="20.25" customHeight="1">
      <c r="A68" s="1751">
        <v>0</v>
      </c>
      <c r="B68" s="1751">
        <v>1210</v>
      </c>
      <c r="C68" s="359" t="s">
        <v>200</v>
      </c>
    </row>
    <row r="69" spans="1:4" ht="20.25" customHeight="1">
      <c r="A69" s="1751" t="s">
        <v>11098</v>
      </c>
      <c r="B69" s="1751">
        <v>7</v>
      </c>
      <c r="C69" s="359" t="s">
        <v>11063</v>
      </c>
    </row>
    <row r="70" spans="1:4" ht="24.75" customHeight="1">
      <c r="A70" s="351" t="s">
        <v>11098</v>
      </c>
      <c r="B70" s="351">
        <v>117</v>
      </c>
      <c r="C70" s="225" t="s">
        <v>11063</v>
      </c>
    </row>
    <row r="71" spans="1:4" ht="24.75" customHeight="1">
      <c r="A71" s="402"/>
      <c r="B71" s="402"/>
      <c r="C71" s="403"/>
    </row>
    <row r="72" spans="1:4" ht="24.75" customHeight="1">
      <c r="A72" s="402"/>
      <c r="B72" s="402"/>
      <c r="C72" s="403"/>
    </row>
    <row r="73" spans="1:4" ht="24.75" customHeight="1">
      <c r="A73" s="402"/>
      <c r="B73" s="402"/>
      <c r="C73" s="403"/>
    </row>
    <row r="74" spans="1:4" ht="24.75" customHeight="1">
      <c r="A74" s="402"/>
      <c r="B74" s="402"/>
      <c r="C74" s="403"/>
    </row>
    <row r="77" spans="1:4" ht="28.5" customHeight="1">
      <c r="A77" s="1767" t="s">
        <v>11110</v>
      </c>
      <c r="B77" s="1768"/>
      <c r="C77" s="1768"/>
      <c r="D77" s="1768"/>
    </row>
    <row r="78" spans="1:4" ht="21.75" customHeight="1">
      <c r="A78" s="1769" t="s">
        <v>11089</v>
      </c>
      <c r="B78" s="1770"/>
      <c r="C78" s="1770"/>
      <c r="D78" s="1770"/>
    </row>
    <row r="79" spans="1:4" ht="20.25" customHeight="1">
      <c r="A79" s="1744" t="s">
        <v>11091</v>
      </c>
      <c r="B79" s="1745"/>
      <c r="C79" s="359">
        <v>1606868623</v>
      </c>
      <c r="D79" s="359" t="s">
        <v>11107</v>
      </c>
    </row>
    <row r="80" spans="1:4" ht="20.25" customHeight="1">
      <c r="A80" s="1744" t="s">
        <v>11090</v>
      </c>
      <c r="B80" s="1745"/>
      <c r="C80" s="359">
        <v>1797211394</v>
      </c>
      <c r="D80" s="359" t="s">
        <v>11107</v>
      </c>
    </row>
    <row r="81" spans="1:4" ht="20.25" customHeight="1">
      <c r="A81" s="1746" t="s">
        <v>11070</v>
      </c>
      <c r="B81" s="1747"/>
      <c r="C81" s="360">
        <f>SUM(C79:C80)</f>
        <v>3404080017</v>
      </c>
      <c r="D81" s="363"/>
    </row>
    <row r="82" spans="1:4" ht="18.75" customHeight="1">
      <c r="A82" s="1774" t="s">
        <v>11071</v>
      </c>
      <c r="B82" s="1775"/>
      <c r="C82" s="1776"/>
    </row>
    <row r="83" spans="1:4" ht="20.25" customHeight="1">
      <c r="A83" s="1744" t="s">
        <v>4409</v>
      </c>
      <c r="B83" s="1745"/>
      <c r="C83" s="359">
        <v>4</v>
      </c>
    </row>
    <row r="84" spans="1:4" ht="20.25" customHeight="1">
      <c r="A84" s="1744" t="s">
        <v>11090</v>
      </c>
      <c r="B84" s="1745"/>
      <c r="C84" s="359">
        <v>31</v>
      </c>
    </row>
    <row r="85" spans="1:4" ht="19.5" customHeight="1">
      <c r="A85" s="1746" t="s">
        <v>11070</v>
      </c>
      <c r="B85" s="1747"/>
      <c r="C85" s="362">
        <v>35</v>
      </c>
    </row>
    <row r="86" spans="1:4" ht="21" customHeight="1">
      <c r="A86" s="364" t="s">
        <v>11112</v>
      </c>
      <c r="B86" s="364" t="s">
        <v>7727</v>
      </c>
      <c r="C86" s="365" t="s">
        <v>196</v>
      </c>
    </row>
    <row r="87" spans="1:4" ht="20.25" customHeight="1">
      <c r="A87" s="359">
        <v>20480</v>
      </c>
      <c r="B87" s="359">
        <v>10</v>
      </c>
      <c r="C87" s="359" t="s">
        <v>11092</v>
      </c>
    </row>
    <row r="88" spans="1:4" ht="20.25" customHeight="1">
      <c r="A88" s="359">
        <v>3072</v>
      </c>
      <c r="B88" s="359">
        <v>1</v>
      </c>
      <c r="C88" s="359" t="s">
        <v>4516</v>
      </c>
    </row>
    <row r="89" spans="1:4" ht="20.25" customHeight="1">
      <c r="A89" s="359">
        <v>32768</v>
      </c>
      <c r="B89" s="359">
        <v>8</v>
      </c>
      <c r="C89" s="359" t="s">
        <v>11093</v>
      </c>
    </row>
    <row r="90" spans="1:4" ht="20.25" customHeight="1">
      <c r="A90" s="359">
        <v>49152</v>
      </c>
      <c r="B90" s="359">
        <v>8</v>
      </c>
      <c r="C90" s="359" t="s">
        <v>3083</v>
      </c>
    </row>
    <row r="91" spans="1:4" ht="20.25" customHeight="1">
      <c r="A91" s="359">
        <v>8192</v>
      </c>
      <c r="B91" s="359">
        <v>1</v>
      </c>
      <c r="C91" s="359" t="s">
        <v>11094</v>
      </c>
    </row>
    <row r="92" spans="1:4" ht="20.25" customHeight="1">
      <c r="A92" s="359">
        <v>10240</v>
      </c>
      <c r="B92" s="359">
        <v>1</v>
      </c>
      <c r="C92" s="359" t="s">
        <v>11095</v>
      </c>
    </row>
    <row r="93" spans="1:4" ht="20.25" customHeight="1">
      <c r="A93" s="359">
        <v>51200</v>
      </c>
      <c r="B93" s="359">
        <v>1</v>
      </c>
      <c r="C93" s="359" t="s">
        <v>11068</v>
      </c>
    </row>
    <row r="94" spans="1:4" ht="20.25" customHeight="1">
      <c r="A94" s="359">
        <v>102400</v>
      </c>
      <c r="B94" s="359">
        <v>1</v>
      </c>
      <c r="C94" s="359" t="s">
        <v>4724</v>
      </c>
    </row>
    <row r="95" spans="1:4" ht="20.25" customHeight="1">
      <c r="A95" s="359">
        <v>106496</v>
      </c>
      <c r="B95" s="359">
        <v>1</v>
      </c>
      <c r="C95" s="359" t="s">
        <v>11111</v>
      </c>
    </row>
    <row r="96" spans="1:4" ht="20.25" customHeight="1">
      <c r="A96" s="359">
        <v>204800</v>
      </c>
      <c r="B96" s="359">
        <v>1</v>
      </c>
      <c r="C96" s="359" t="s">
        <v>4476</v>
      </c>
    </row>
    <row r="97" spans="1:4" ht="20.25" customHeight="1">
      <c r="A97" s="359">
        <v>614400</v>
      </c>
      <c r="B97" s="359">
        <v>2</v>
      </c>
      <c r="C97" s="359" t="s">
        <v>5090</v>
      </c>
    </row>
    <row r="98" spans="1:4" ht="20.25" customHeight="1">
      <c r="A98" s="359">
        <v>1024000</v>
      </c>
      <c r="B98" s="359">
        <v>1</v>
      </c>
      <c r="C98" s="359" t="s">
        <v>11191</v>
      </c>
    </row>
    <row r="99" spans="1:4" ht="24.75" customHeight="1">
      <c r="A99" s="360" t="s">
        <v>11192</v>
      </c>
      <c r="B99" s="351">
        <v>36</v>
      </c>
      <c r="C99" s="225" t="s">
        <v>11193</v>
      </c>
    </row>
    <row r="100" spans="1:4" ht="24.75" customHeight="1">
      <c r="A100" s="401"/>
      <c r="B100" s="402"/>
      <c r="C100" s="403"/>
    </row>
    <row r="102" spans="1:4" ht="21.75" customHeight="1">
      <c r="A102" s="1769" t="s">
        <v>11119</v>
      </c>
      <c r="B102" s="1770"/>
      <c r="C102" s="1770"/>
      <c r="D102" s="1770"/>
    </row>
    <row r="103" spans="1:4" ht="20.25" customHeight="1">
      <c r="A103" s="1744" t="s">
        <v>11125</v>
      </c>
      <c r="B103" s="1745"/>
      <c r="C103" s="359">
        <v>2220834424</v>
      </c>
      <c r="D103" s="359" t="s">
        <v>11107</v>
      </c>
    </row>
    <row r="104" spans="1:4" ht="20.25" customHeight="1">
      <c r="A104" s="1744" t="s">
        <v>11126</v>
      </c>
      <c r="B104" s="1745"/>
      <c r="C104" s="359">
        <v>350297500</v>
      </c>
      <c r="D104" s="359" t="s">
        <v>11107</v>
      </c>
    </row>
    <row r="105" spans="1:4" ht="20.25" customHeight="1">
      <c r="A105" s="1744" t="s">
        <v>11127</v>
      </c>
      <c r="B105" s="1745"/>
      <c r="C105" s="359">
        <v>374840000</v>
      </c>
      <c r="D105" s="359" t="s">
        <v>11107</v>
      </c>
    </row>
    <row r="106" spans="1:4" ht="20.25" customHeight="1">
      <c r="A106" s="1744" t="s">
        <v>11128</v>
      </c>
      <c r="B106" s="1745"/>
      <c r="C106" s="359">
        <v>144912400</v>
      </c>
      <c r="D106" s="359" t="s">
        <v>11107</v>
      </c>
    </row>
    <row r="107" spans="1:4" ht="20.25" customHeight="1">
      <c r="A107" s="1744" t="s">
        <v>11129</v>
      </c>
      <c r="B107" s="1745"/>
      <c r="C107" s="359">
        <v>453632000</v>
      </c>
      <c r="D107" s="359" t="s">
        <v>11107</v>
      </c>
    </row>
    <row r="108" spans="1:4" ht="20.25" customHeight="1">
      <c r="A108" s="1744" t="s">
        <v>11130</v>
      </c>
      <c r="B108" s="1745"/>
      <c r="C108" s="359">
        <v>3050472121</v>
      </c>
      <c r="D108" s="359" t="s">
        <v>11107</v>
      </c>
    </row>
    <row r="109" spans="1:4" ht="20.25" customHeight="1">
      <c r="A109" s="1744" t="s">
        <v>11131</v>
      </c>
      <c r="B109" s="1745"/>
      <c r="C109" s="359">
        <v>130880000</v>
      </c>
      <c r="D109" s="359" t="s">
        <v>11107</v>
      </c>
    </row>
    <row r="110" spans="1:4" ht="20.25" customHeight="1">
      <c r="A110" s="1744" t="s">
        <v>11132</v>
      </c>
      <c r="B110" s="1745"/>
      <c r="C110" s="359">
        <v>174760000</v>
      </c>
      <c r="D110" s="359" t="s">
        <v>11107</v>
      </c>
    </row>
    <row r="111" spans="1:4" ht="20.25" customHeight="1">
      <c r="A111" s="1744" t="s">
        <v>11133</v>
      </c>
      <c r="B111" s="1745"/>
      <c r="C111" s="359">
        <v>145808000</v>
      </c>
      <c r="D111" s="359" t="s">
        <v>11107</v>
      </c>
    </row>
    <row r="112" spans="1:4" ht="20.25" customHeight="1">
      <c r="A112" s="1744" t="s">
        <v>11134</v>
      </c>
      <c r="B112" s="1745"/>
      <c r="C112" s="359">
        <v>531480000</v>
      </c>
      <c r="D112" s="359" t="s">
        <v>11107</v>
      </c>
    </row>
    <row r="113" spans="1:4" ht="20.25" customHeight="1">
      <c r="A113" s="1744" t="s">
        <v>11135</v>
      </c>
      <c r="B113" s="1745"/>
      <c r="C113" s="359">
        <v>848232400</v>
      </c>
      <c r="D113" s="359" t="s">
        <v>11107</v>
      </c>
    </row>
    <row r="114" spans="1:4" ht="20.25" customHeight="1">
      <c r="A114" s="1744" t="s">
        <v>11136</v>
      </c>
      <c r="B114" s="1745"/>
      <c r="C114" s="359">
        <v>411240000</v>
      </c>
      <c r="D114" s="359" t="s">
        <v>11107</v>
      </c>
    </row>
    <row r="115" spans="1:4" ht="20.25" customHeight="1">
      <c r="A115" s="1744" t="s">
        <v>11137</v>
      </c>
      <c r="B115" s="1745"/>
      <c r="C115" s="359">
        <v>65280000</v>
      </c>
      <c r="D115" s="359" t="s">
        <v>11107</v>
      </c>
    </row>
    <row r="116" spans="1:4" ht="20.25" customHeight="1">
      <c r="A116" s="1744" t="s">
        <v>11138</v>
      </c>
      <c r="B116" s="1745"/>
      <c r="C116" s="359">
        <v>84160000</v>
      </c>
      <c r="D116" s="359" t="s">
        <v>11107</v>
      </c>
    </row>
    <row r="117" spans="1:4" ht="20.25" customHeight="1">
      <c r="A117" s="1744" t="s">
        <v>11139</v>
      </c>
      <c r="B117" s="1745"/>
      <c r="C117" s="359">
        <v>359200000</v>
      </c>
      <c r="D117" s="359" t="s">
        <v>11107</v>
      </c>
    </row>
    <row r="118" spans="1:4" ht="20.25" customHeight="1">
      <c r="A118" s="1744" t="s">
        <v>11140</v>
      </c>
      <c r="B118" s="1745"/>
      <c r="C118" s="359">
        <v>145600000</v>
      </c>
      <c r="D118" s="359" t="s">
        <v>11107</v>
      </c>
    </row>
    <row r="119" spans="1:4" ht="20.25" customHeight="1">
      <c r="A119" s="1744" t="s">
        <v>11141</v>
      </c>
      <c r="B119" s="1745"/>
      <c r="C119" s="359">
        <v>273120000</v>
      </c>
      <c r="D119" s="359" t="s">
        <v>11107</v>
      </c>
    </row>
    <row r="120" spans="1:4" ht="20.25" customHeight="1">
      <c r="A120" s="1744" t="s">
        <v>11142</v>
      </c>
      <c r="B120" s="1745"/>
      <c r="C120" s="359">
        <v>261920000</v>
      </c>
      <c r="D120" s="359" t="s">
        <v>11107</v>
      </c>
    </row>
    <row r="121" spans="1:4" ht="20.25" customHeight="1">
      <c r="A121" s="1744" t="s">
        <v>11143</v>
      </c>
      <c r="B121" s="1745"/>
      <c r="C121" s="359">
        <v>240642000</v>
      </c>
      <c r="D121" s="359" t="s">
        <v>11107</v>
      </c>
    </row>
    <row r="122" spans="1:4" ht="20.25" customHeight="1">
      <c r="A122" s="1744" t="s">
        <v>11144</v>
      </c>
      <c r="B122" s="1745"/>
      <c r="C122" s="359">
        <v>95920000</v>
      </c>
      <c r="D122" s="359" t="s">
        <v>11107</v>
      </c>
    </row>
    <row r="123" spans="1:4" ht="20.25" customHeight="1">
      <c r="A123" s="1744" t="s">
        <v>11145</v>
      </c>
      <c r="B123" s="1745"/>
      <c r="C123" s="359">
        <v>435960000</v>
      </c>
      <c r="D123" s="359" t="s">
        <v>11107</v>
      </c>
    </row>
    <row r="124" spans="1:4" ht="20.25" customHeight="1">
      <c r="A124" s="1744" t="s">
        <v>11146</v>
      </c>
      <c r="B124" s="1745"/>
      <c r="C124" s="359">
        <v>382640000</v>
      </c>
      <c r="D124" s="359" t="s">
        <v>11107</v>
      </c>
    </row>
    <row r="125" spans="1:4" ht="20.25" customHeight="1">
      <c r="A125" s="1744" t="s">
        <v>11147</v>
      </c>
      <c r="B125" s="1745"/>
      <c r="C125" s="359">
        <v>184432000</v>
      </c>
      <c r="D125" s="359" t="s">
        <v>11107</v>
      </c>
    </row>
    <row r="126" spans="1:4" ht="20.25" customHeight="1">
      <c r="A126" s="1744" t="s">
        <v>11148</v>
      </c>
      <c r="B126" s="1745"/>
      <c r="C126" s="359">
        <v>241360000</v>
      </c>
      <c r="D126" s="359" t="s">
        <v>11107</v>
      </c>
    </row>
    <row r="127" spans="1:4" ht="20.25" customHeight="1">
      <c r="A127" s="1744" t="s">
        <v>11149</v>
      </c>
      <c r="B127" s="1745"/>
      <c r="C127" s="359">
        <v>460720000</v>
      </c>
      <c r="D127" s="359" t="s">
        <v>11107</v>
      </c>
    </row>
    <row r="128" spans="1:4" ht="20.25" customHeight="1">
      <c r="A128" s="1744" t="s">
        <v>11150</v>
      </c>
      <c r="B128" s="1745"/>
      <c r="C128" s="359">
        <v>106480000</v>
      </c>
      <c r="D128" s="359" t="s">
        <v>11107</v>
      </c>
    </row>
    <row r="129" spans="1:4" ht="20.25" customHeight="1">
      <c r="A129" s="1744" t="s">
        <v>11151</v>
      </c>
      <c r="B129" s="1745"/>
      <c r="C129" s="359">
        <v>119920000</v>
      </c>
      <c r="D129" s="359" t="s">
        <v>11107</v>
      </c>
    </row>
    <row r="130" spans="1:4" ht="20.25" customHeight="1">
      <c r="A130" s="1744" t="s">
        <v>11152</v>
      </c>
      <c r="B130" s="1745"/>
      <c r="C130" s="359">
        <v>780950000</v>
      </c>
      <c r="D130" s="359" t="s">
        <v>11107</v>
      </c>
    </row>
    <row r="131" spans="1:4" ht="20.25" customHeight="1">
      <c r="A131" s="1744" t="s">
        <v>11153</v>
      </c>
      <c r="B131" s="1745"/>
      <c r="C131" s="359">
        <v>830710000</v>
      </c>
      <c r="D131" s="359" t="s">
        <v>11107</v>
      </c>
    </row>
    <row r="132" spans="1:4" ht="20.25" customHeight="1">
      <c r="A132" s="1744" t="s">
        <v>11154</v>
      </c>
      <c r="B132" s="1745"/>
      <c r="C132" s="359">
        <v>187160000</v>
      </c>
      <c r="D132" s="359" t="s">
        <v>11107</v>
      </c>
    </row>
    <row r="133" spans="1:4" ht="20.25" customHeight="1">
      <c r="A133" s="1744" t="s">
        <v>11155</v>
      </c>
      <c r="B133" s="1745"/>
      <c r="C133" s="359">
        <v>530190000</v>
      </c>
      <c r="D133" s="359" t="s">
        <v>11107</v>
      </c>
    </row>
    <row r="134" spans="1:4" ht="20.25" customHeight="1">
      <c r="A134" s="1746" t="s">
        <v>11070</v>
      </c>
      <c r="B134" s="1747"/>
      <c r="C134" s="360">
        <f>SUM(C103:C133)</f>
        <v>14623752845</v>
      </c>
      <c r="D134" s="363"/>
    </row>
    <row r="135" spans="1:4" ht="20.25" customHeight="1">
      <c r="A135" s="405"/>
      <c r="B135" s="401"/>
      <c r="C135" s="401"/>
      <c r="D135" s="404"/>
    </row>
    <row r="136" spans="1:4" ht="20.25" customHeight="1">
      <c r="A136" s="405"/>
      <c r="B136" s="401"/>
      <c r="C136" s="401"/>
      <c r="D136" s="404"/>
    </row>
    <row r="137" spans="1:4" ht="20.25" customHeight="1">
      <c r="A137" s="405"/>
      <c r="B137" s="401"/>
      <c r="C137" s="401"/>
      <c r="D137" s="404"/>
    </row>
    <row r="138" spans="1:4" ht="20.25" customHeight="1">
      <c r="A138" s="405"/>
      <c r="B138" s="401"/>
      <c r="C138" s="401"/>
      <c r="D138" s="404"/>
    </row>
    <row r="139" spans="1:4" ht="21.75" customHeight="1">
      <c r="A139" s="1769" t="s">
        <v>11120</v>
      </c>
      <c r="B139" s="1770"/>
      <c r="C139" s="1770"/>
      <c r="D139" s="1770"/>
    </row>
    <row r="140" spans="1:4" ht="20.25" customHeight="1">
      <c r="A140" s="1744" t="s">
        <v>11113</v>
      </c>
      <c r="B140" s="1745"/>
      <c r="C140" s="359">
        <v>103040000</v>
      </c>
      <c r="D140" s="359" t="s">
        <v>11107</v>
      </c>
    </row>
    <row r="141" spans="1:4" ht="20.25" customHeight="1">
      <c r="A141" s="1744" t="s">
        <v>11114</v>
      </c>
      <c r="B141" s="1745"/>
      <c r="C141" s="359">
        <v>16800000</v>
      </c>
      <c r="D141" s="359" t="s">
        <v>11107</v>
      </c>
    </row>
    <row r="142" spans="1:4" ht="20.25" customHeight="1">
      <c r="A142" s="1744" t="s">
        <v>11115</v>
      </c>
      <c r="B142" s="1745"/>
      <c r="C142" s="359">
        <v>1600000</v>
      </c>
      <c r="D142" s="359" t="s">
        <v>11107</v>
      </c>
    </row>
    <row r="143" spans="1:4" ht="20.25" customHeight="1">
      <c r="A143" s="1744" t="s">
        <v>4623</v>
      </c>
      <c r="B143" s="1745"/>
      <c r="C143" s="359">
        <v>4000000</v>
      </c>
      <c r="D143" s="359" t="s">
        <v>11107</v>
      </c>
    </row>
    <row r="144" spans="1:4" ht="20.25" customHeight="1">
      <c r="A144" s="1744" t="s">
        <v>933</v>
      </c>
      <c r="B144" s="1745"/>
      <c r="C144" s="359">
        <v>24800000</v>
      </c>
      <c r="D144" s="359" t="s">
        <v>11107</v>
      </c>
    </row>
    <row r="145" spans="1:4" ht="20.25" customHeight="1">
      <c r="A145" s="1744" t="s">
        <v>423</v>
      </c>
      <c r="B145" s="1745"/>
      <c r="C145" s="359">
        <v>215040000</v>
      </c>
      <c r="D145" s="359" t="s">
        <v>11107</v>
      </c>
    </row>
    <row r="146" spans="1:4" ht="20.25" customHeight="1">
      <c r="A146" s="1744" t="s">
        <v>331</v>
      </c>
      <c r="B146" s="1745"/>
      <c r="C146" s="359">
        <v>0</v>
      </c>
      <c r="D146" s="359" t="s">
        <v>11107</v>
      </c>
    </row>
    <row r="147" spans="1:4" ht="20.25" customHeight="1">
      <c r="A147" s="1744" t="s">
        <v>25</v>
      </c>
      <c r="B147" s="1745"/>
      <c r="C147" s="359">
        <v>0</v>
      </c>
      <c r="D147" s="359" t="s">
        <v>11107</v>
      </c>
    </row>
    <row r="148" spans="1:4" ht="20.25" customHeight="1">
      <c r="A148" s="1744" t="s">
        <v>94</v>
      </c>
      <c r="B148" s="1745"/>
      <c r="C148" s="359">
        <v>0</v>
      </c>
      <c r="D148" s="359" t="s">
        <v>11107</v>
      </c>
    </row>
    <row r="149" spans="1:4" ht="20.25" customHeight="1">
      <c r="A149" s="1744" t="s">
        <v>26</v>
      </c>
      <c r="B149" s="1745"/>
      <c r="C149" s="359">
        <v>17920000</v>
      </c>
      <c r="D149" s="359" t="s">
        <v>11107</v>
      </c>
    </row>
    <row r="150" spans="1:4" ht="20.25" customHeight="1">
      <c r="A150" s="1744" t="s">
        <v>1609</v>
      </c>
      <c r="B150" s="1745"/>
      <c r="C150" s="359">
        <v>0</v>
      </c>
      <c r="D150" s="359" t="s">
        <v>11107</v>
      </c>
    </row>
    <row r="151" spans="1:4" ht="20.25" customHeight="1">
      <c r="A151" s="1744" t="s">
        <v>2592</v>
      </c>
      <c r="B151" s="1745"/>
      <c r="C151" s="359">
        <v>85800000</v>
      </c>
      <c r="D151" s="359" t="s">
        <v>11107</v>
      </c>
    </row>
    <row r="152" spans="1:4" ht="20.25" customHeight="1">
      <c r="A152" s="1744" t="s">
        <v>2969</v>
      </c>
      <c r="B152" s="1745"/>
      <c r="C152" s="359">
        <v>0</v>
      </c>
      <c r="D152" s="359" t="s">
        <v>11107</v>
      </c>
    </row>
    <row r="153" spans="1:4" ht="20.25" customHeight="1">
      <c r="A153" s="1744" t="s">
        <v>3001</v>
      </c>
      <c r="B153" s="1745"/>
      <c r="C153" s="359">
        <v>0</v>
      </c>
      <c r="D153" s="359" t="s">
        <v>11107</v>
      </c>
    </row>
    <row r="154" spans="1:4" ht="20.25" customHeight="1">
      <c r="A154" s="1744" t="s">
        <v>3467</v>
      </c>
      <c r="B154" s="1745"/>
      <c r="C154" s="359">
        <v>12000000</v>
      </c>
      <c r="D154" s="359" t="s">
        <v>11107</v>
      </c>
    </row>
    <row r="155" spans="1:4" ht="20.25" customHeight="1">
      <c r="A155" s="1744" t="s">
        <v>3742</v>
      </c>
      <c r="B155" s="1745"/>
      <c r="C155" s="359">
        <v>4000000</v>
      </c>
      <c r="D155" s="359" t="s">
        <v>11107</v>
      </c>
    </row>
    <row r="156" spans="1:4" ht="20.25" customHeight="1">
      <c r="A156" s="1744" t="s">
        <v>2970</v>
      </c>
      <c r="B156" s="1745"/>
      <c r="C156" s="359">
        <v>0</v>
      </c>
      <c r="D156" s="359" t="s">
        <v>11107</v>
      </c>
    </row>
    <row r="157" spans="1:4" ht="20.25" customHeight="1">
      <c r="A157" s="1744" t="s">
        <v>235</v>
      </c>
      <c r="B157" s="1745"/>
      <c r="C157" s="359">
        <v>0</v>
      </c>
      <c r="D157" s="359" t="s">
        <v>11107</v>
      </c>
    </row>
    <row r="158" spans="1:4" ht="20.25" customHeight="1">
      <c r="A158" s="1744" t="s">
        <v>334</v>
      </c>
      <c r="B158" s="1745"/>
      <c r="C158" s="359">
        <v>6000000</v>
      </c>
      <c r="D158" s="359" t="s">
        <v>11107</v>
      </c>
    </row>
    <row r="159" spans="1:4" ht="20.25" customHeight="1">
      <c r="A159" s="1744" t="s">
        <v>234</v>
      </c>
      <c r="B159" s="1745"/>
      <c r="C159" s="359">
        <v>0</v>
      </c>
      <c r="D159" s="359" t="s">
        <v>11107</v>
      </c>
    </row>
    <row r="160" spans="1:4" ht="20.25" customHeight="1">
      <c r="A160" s="1744" t="s">
        <v>267</v>
      </c>
      <c r="B160" s="1745"/>
      <c r="C160" s="359">
        <v>0</v>
      </c>
      <c r="D160" s="359" t="s">
        <v>11107</v>
      </c>
    </row>
    <row r="161" spans="1:4" ht="20.25" customHeight="1">
      <c r="A161" s="1744" t="s">
        <v>376</v>
      </c>
      <c r="B161" s="1745"/>
      <c r="C161" s="359">
        <v>0</v>
      </c>
      <c r="D161" s="359" t="s">
        <v>11107</v>
      </c>
    </row>
    <row r="162" spans="1:4" ht="20.25" customHeight="1">
      <c r="A162" s="1744" t="s">
        <v>1530</v>
      </c>
      <c r="B162" s="1745"/>
      <c r="C162" s="359">
        <v>12800000</v>
      </c>
      <c r="D162" s="359" t="s">
        <v>11107</v>
      </c>
    </row>
    <row r="163" spans="1:4" ht="20.25" customHeight="1">
      <c r="A163" s="1744" t="s">
        <v>2449</v>
      </c>
      <c r="B163" s="1745"/>
      <c r="C163" s="359">
        <v>0</v>
      </c>
      <c r="D163" s="359" t="s">
        <v>11107</v>
      </c>
    </row>
    <row r="164" spans="1:4" ht="20.25" customHeight="1">
      <c r="A164" s="1744" t="s">
        <v>2476</v>
      </c>
      <c r="B164" s="1745"/>
      <c r="C164" s="359">
        <v>16000000</v>
      </c>
      <c r="D164" s="359" t="s">
        <v>11107</v>
      </c>
    </row>
    <row r="165" spans="1:4" ht="20.25" customHeight="1">
      <c r="A165" s="1744" t="s">
        <v>11118</v>
      </c>
      <c r="B165" s="1745"/>
      <c r="C165" s="359">
        <v>0</v>
      </c>
      <c r="D165" s="359" t="s">
        <v>11107</v>
      </c>
    </row>
    <row r="166" spans="1:4" ht="20.25" customHeight="1">
      <c r="A166" s="1744" t="s">
        <v>3191</v>
      </c>
      <c r="B166" s="1745"/>
      <c r="C166" s="359">
        <v>0</v>
      </c>
      <c r="D166" s="359" t="s">
        <v>11107</v>
      </c>
    </row>
    <row r="167" spans="1:4" ht="20.25" customHeight="1">
      <c r="A167" s="1744" t="s">
        <v>3212</v>
      </c>
      <c r="B167" s="1745"/>
      <c r="C167" s="359">
        <v>0</v>
      </c>
      <c r="D167" s="359" t="s">
        <v>11107</v>
      </c>
    </row>
    <row r="168" spans="1:4" ht="20.25" customHeight="1">
      <c r="A168" s="1744" t="s">
        <v>3705</v>
      </c>
      <c r="B168" s="1745"/>
      <c r="C168" s="359">
        <v>15360000</v>
      </c>
      <c r="D168" s="359" t="s">
        <v>11107</v>
      </c>
    </row>
    <row r="169" spans="1:4" ht="20.25" customHeight="1">
      <c r="A169" s="1744" t="s">
        <v>3873</v>
      </c>
      <c r="B169" s="1745"/>
      <c r="C169" s="359">
        <v>0</v>
      </c>
      <c r="D169" s="359" t="s">
        <v>11107</v>
      </c>
    </row>
    <row r="170" spans="1:4" ht="20.25" customHeight="1">
      <c r="A170" s="1744" t="s">
        <v>3018</v>
      </c>
      <c r="B170" s="1745"/>
      <c r="C170" s="359">
        <v>17280000</v>
      </c>
      <c r="D170" s="359" t="s">
        <v>11107</v>
      </c>
    </row>
    <row r="171" spans="1:4" ht="20.25" customHeight="1">
      <c r="A171" s="1777" t="s">
        <v>11070</v>
      </c>
      <c r="B171" s="1778"/>
      <c r="C171" s="412">
        <f>SUM(C140:C170)</f>
        <v>552440000</v>
      </c>
      <c r="D171" s="400"/>
    </row>
    <row r="172" spans="1:4" s="404" customFormat="1" ht="20.25" customHeight="1">
      <c r="A172" s="401"/>
      <c r="B172" s="401"/>
      <c r="C172" s="401"/>
    </row>
    <row r="173" spans="1:4">
      <c r="A173" s="413" t="s">
        <v>5100</v>
      </c>
      <c r="B173" s="413" t="s">
        <v>11190</v>
      </c>
      <c r="D173" s="404"/>
    </row>
    <row r="174" spans="1:4" ht="19.5">
      <c r="A174" s="408" t="s">
        <v>11185</v>
      </c>
      <c r="B174" s="359">
        <v>9359542200</v>
      </c>
      <c r="D174" s="404"/>
    </row>
    <row r="175" spans="1:4" ht="19.5">
      <c r="A175" s="408" t="s">
        <v>11186</v>
      </c>
      <c r="B175" s="359">
        <v>1317270000</v>
      </c>
      <c r="D175" s="404"/>
    </row>
    <row r="176" spans="1:4" ht="19.5">
      <c r="A176" s="408" t="s">
        <v>51</v>
      </c>
      <c r="B176" s="359">
        <v>11175175000</v>
      </c>
      <c r="D176" s="404"/>
    </row>
    <row r="177" spans="1:4" ht="19.5">
      <c r="A177" s="408" t="s">
        <v>28</v>
      </c>
      <c r="B177" s="359">
        <v>1797211394</v>
      </c>
      <c r="D177" s="404"/>
    </row>
    <row r="178" spans="1:4" ht="19.5">
      <c r="A178" s="408" t="s">
        <v>11188</v>
      </c>
      <c r="B178" s="359">
        <v>552440000</v>
      </c>
      <c r="D178" s="407"/>
    </row>
    <row r="179" spans="1:4" ht="19.5">
      <c r="A179" s="408" t="s">
        <v>11187</v>
      </c>
      <c r="B179" s="359">
        <v>14623752845</v>
      </c>
      <c r="D179" s="401"/>
    </row>
    <row r="180" spans="1:4" ht="19.5">
      <c r="A180" s="408" t="s">
        <v>11189</v>
      </c>
      <c r="B180" s="359">
        <v>19141902815</v>
      </c>
      <c r="D180" s="401"/>
    </row>
    <row r="181" spans="1:4" ht="19.5">
      <c r="A181" s="363"/>
      <c r="B181" s="360">
        <v>57967294254</v>
      </c>
      <c r="D181" s="401"/>
    </row>
    <row r="182" spans="1:4" s="404" customFormat="1" ht="19.5">
      <c r="A182" s="406"/>
      <c r="C182" s="401"/>
      <c r="D182" s="401"/>
    </row>
  </sheetData>
  <mergeCells count="125">
    <mergeCell ref="A169:B169"/>
    <mergeCell ref="A170:B170"/>
    <mergeCell ref="A171:B171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D139"/>
    <mergeCell ref="A140:B140"/>
    <mergeCell ref="A141:B141"/>
    <mergeCell ref="A142:B142"/>
    <mergeCell ref="A143:B143"/>
    <mergeCell ref="A144:B144"/>
    <mergeCell ref="A111:B111"/>
    <mergeCell ref="A127:B127"/>
    <mergeCell ref="A133:B133"/>
    <mergeCell ref="A128:B128"/>
    <mergeCell ref="A129:B129"/>
    <mergeCell ref="A130:B130"/>
    <mergeCell ref="A131:B131"/>
    <mergeCell ref="A132:B132"/>
    <mergeCell ref="A120:B120"/>
    <mergeCell ref="A122:B122"/>
    <mergeCell ref="A123:B123"/>
    <mergeCell ref="A124:B124"/>
    <mergeCell ref="A125:B125"/>
    <mergeCell ref="A126:B126"/>
    <mergeCell ref="A121:B121"/>
    <mergeCell ref="A41:B41"/>
    <mergeCell ref="A77:D77"/>
    <mergeCell ref="A78:D78"/>
    <mergeCell ref="A102:D102"/>
    <mergeCell ref="A134:B134"/>
    <mergeCell ref="A112:B112"/>
    <mergeCell ref="A113:B113"/>
    <mergeCell ref="A103:B103"/>
    <mergeCell ref="A107:B107"/>
    <mergeCell ref="A60:B60"/>
    <mergeCell ref="A84:B84"/>
    <mergeCell ref="A85:B85"/>
    <mergeCell ref="A114:B114"/>
    <mergeCell ref="A115:B115"/>
    <mergeCell ref="A116:B116"/>
    <mergeCell ref="A117:B117"/>
    <mergeCell ref="A118:B118"/>
    <mergeCell ref="A119:B119"/>
    <mergeCell ref="A104:B104"/>
    <mergeCell ref="A105:B105"/>
    <mergeCell ref="A106:B106"/>
    <mergeCell ref="A108:B108"/>
    <mergeCell ref="A109:B109"/>
    <mergeCell ref="A110:B110"/>
    <mergeCell ref="A59:B59"/>
    <mergeCell ref="A54:D54"/>
    <mergeCell ref="A55:D55"/>
    <mergeCell ref="A82:C82"/>
    <mergeCell ref="A83:B83"/>
    <mergeCell ref="A79:B79"/>
    <mergeCell ref="A80:B80"/>
    <mergeCell ref="A81:B81"/>
    <mergeCell ref="A66:B66"/>
    <mergeCell ref="A68:B68"/>
    <mergeCell ref="A69:B69"/>
    <mergeCell ref="A57:B57"/>
    <mergeCell ref="A64:B64"/>
    <mergeCell ref="A56:B56"/>
    <mergeCell ref="A58:B58"/>
    <mergeCell ref="A61:B61"/>
    <mergeCell ref="A62:C62"/>
    <mergeCell ref="A63:B63"/>
    <mergeCell ref="A65:B65"/>
    <mergeCell ref="A40:B40"/>
    <mergeCell ref="A33:B33"/>
    <mergeCell ref="A34:B34"/>
    <mergeCell ref="A22:B22"/>
    <mergeCell ref="A23:B23"/>
    <mergeCell ref="A24:B24"/>
    <mergeCell ref="A25:B25"/>
    <mergeCell ref="A35:B35"/>
    <mergeCell ref="A36:B36"/>
    <mergeCell ref="A32:D32"/>
    <mergeCell ref="A31:D31"/>
    <mergeCell ref="A37:B37"/>
    <mergeCell ref="A38:C38"/>
    <mergeCell ref="A39:B39"/>
    <mergeCell ref="A1:D1"/>
    <mergeCell ref="A2:D2"/>
    <mergeCell ref="A7:B7"/>
    <mergeCell ref="A8:B8"/>
    <mergeCell ref="A17:B17"/>
    <mergeCell ref="A18:B18"/>
    <mergeCell ref="A19:B19"/>
    <mergeCell ref="A20:B20"/>
    <mergeCell ref="A21:B21"/>
    <mergeCell ref="A10:C10"/>
    <mergeCell ref="A11:B11"/>
    <mergeCell ref="A12:B12"/>
    <mergeCell ref="A13:B13"/>
    <mergeCell ref="A14:B14"/>
    <mergeCell ref="A15:B15"/>
    <mergeCell ref="A3:B3"/>
    <mergeCell ref="A4:B4"/>
    <mergeCell ref="A5:B5"/>
    <mergeCell ref="A6:B6"/>
    <mergeCell ref="A9:B9"/>
  </mergeCells>
  <pageMargins left="0.25" right="0.25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5"/>
  <sheetViews>
    <sheetView rightToLeft="1" workbookViewId="0">
      <selection activeCell="A5" sqref="A5:A6"/>
    </sheetView>
  </sheetViews>
  <sheetFormatPr defaultRowHeight="15"/>
  <cols>
    <col min="2" max="2" width="11.7109375" customWidth="1"/>
    <col min="3" max="3" width="16" customWidth="1"/>
    <col min="4" max="4" width="29.85546875" customWidth="1"/>
    <col min="5" max="5" width="42.42578125" customWidth="1"/>
    <col min="7" max="7" width="25.5703125" customWidth="1"/>
    <col min="8" max="8" width="68.28515625" customWidth="1"/>
    <col min="9" max="9" width="26.5703125" customWidth="1"/>
    <col min="10" max="10" width="30.7109375" customWidth="1"/>
    <col min="11" max="11" width="18.5703125" customWidth="1"/>
    <col min="12" max="12" width="31.140625" customWidth="1"/>
    <col min="13" max="13" width="27.28515625" customWidth="1"/>
  </cols>
  <sheetData>
    <row r="1" spans="1:13" ht="19.5">
      <c r="A1" s="125" t="s">
        <v>0</v>
      </c>
      <c r="B1" s="125" t="s">
        <v>7</v>
      </c>
      <c r="C1" s="125" t="s">
        <v>2</v>
      </c>
      <c r="D1" s="125" t="s">
        <v>4509</v>
      </c>
      <c r="E1" s="126" t="s">
        <v>4576</v>
      </c>
      <c r="F1" s="125" t="s">
        <v>196</v>
      </c>
      <c r="G1" s="125" t="s">
        <v>4322</v>
      </c>
      <c r="H1" s="125" t="s">
        <v>4536</v>
      </c>
      <c r="I1" s="125" t="s">
        <v>4557</v>
      </c>
      <c r="J1" s="125" t="s">
        <v>11199</v>
      </c>
      <c r="K1" s="125" t="s">
        <v>4579</v>
      </c>
      <c r="L1" s="125" t="s">
        <v>4404</v>
      </c>
      <c r="M1" s="125" t="s">
        <v>4406</v>
      </c>
    </row>
    <row r="2" spans="1:13" ht="18">
      <c r="A2" s="1561">
        <v>1</v>
      </c>
      <c r="B2" s="1780" t="s">
        <v>4575</v>
      </c>
      <c r="C2" s="1784" t="s">
        <v>423</v>
      </c>
      <c r="D2" s="1561" t="s">
        <v>4595</v>
      </c>
      <c r="E2" s="696" t="s">
        <v>4577</v>
      </c>
      <c r="F2" s="135" t="s">
        <v>4578</v>
      </c>
      <c r="G2" s="44" t="s">
        <v>4587</v>
      </c>
      <c r="H2" s="136" t="s">
        <v>4581</v>
      </c>
      <c r="I2" s="1779" t="s">
        <v>4560</v>
      </c>
      <c r="J2" s="411" t="s">
        <v>14441</v>
      </c>
      <c r="K2" s="692" t="s">
        <v>14434</v>
      </c>
      <c r="L2" s="137" t="s">
        <v>4410</v>
      </c>
      <c r="M2" s="136" t="s">
        <v>4416</v>
      </c>
    </row>
    <row r="3" spans="1:13" ht="18">
      <c r="A3" s="1561"/>
      <c r="B3" s="1780"/>
      <c r="C3" s="1784"/>
      <c r="D3" s="1561"/>
      <c r="E3" s="696" t="s">
        <v>4580</v>
      </c>
      <c r="F3" s="135" t="s">
        <v>4578</v>
      </c>
      <c r="G3" s="44" t="s">
        <v>4588</v>
      </c>
      <c r="H3" s="136" t="s">
        <v>4537</v>
      </c>
      <c r="I3" s="1779"/>
      <c r="J3" s="411" t="s">
        <v>14439</v>
      </c>
      <c r="K3" s="692" t="s">
        <v>14434</v>
      </c>
      <c r="L3" s="137" t="s">
        <v>4410</v>
      </c>
      <c r="M3" s="138" t="s">
        <v>4418</v>
      </c>
    </row>
    <row r="4" spans="1:13" ht="18">
      <c r="A4" s="1561"/>
      <c r="B4" s="1780"/>
      <c r="C4" s="1784"/>
      <c r="D4" s="1561"/>
      <c r="E4" s="135" t="s">
        <v>4597</v>
      </c>
      <c r="F4" s="135" t="s">
        <v>4578</v>
      </c>
      <c r="G4" s="44" t="s">
        <v>4598</v>
      </c>
      <c r="H4" s="136" t="s">
        <v>4599</v>
      </c>
      <c r="I4" s="1779"/>
      <c r="J4" s="136" t="s">
        <v>43</v>
      </c>
      <c r="K4" s="136" t="s">
        <v>43</v>
      </c>
      <c r="L4" s="137" t="s">
        <v>2947</v>
      </c>
      <c r="M4" s="139" t="s">
        <v>4605</v>
      </c>
    </row>
    <row r="5" spans="1:13" ht="18">
      <c r="A5" s="1561">
        <v>2</v>
      </c>
      <c r="B5" s="1780"/>
      <c r="C5" s="1784" t="s">
        <v>2476</v>
      </c>
      <c r="D5" s="1561" t="s">
        <v>4594</v>
      </c>
      <c r="E5" s="135" t="s">
        <v>4596</v>
      </c>
      <c r="F5" s="135" t="s">
        <v>4578</v>
      </c>
      <c r="G5" s="44" t="s">
        <v>4600</v>
      </c>
      <c r="H5" s="136" t="s">
        <v>4601</v>
      </c>
      <c r="I5" s="1779" t="s">
        <v>4560</v>
      </c>
      <c r="J5" s="136" t="s">
        <v>43</v>
      </c>
      <c r="K5" s="136" t="s">
        <v>43</v>
      </c>
      <c r="L5" s="137" t="s">
        <v>4410</v>
      </c>
      <c r="M5" s="139" t="s">
        <v>4603</v>
      </c>
    </row>
    <row r="6" spans="1:13" ht="20.25" customHeight="1">
      <c r="A6" s="1561"/>
      <c r="B6" s="1780"/>
      <c r="C6" s="1784"/>
      <c r="D6" s="1561"/>
      <c r="E6" s="135" t="s">
        <v>4597</v>
      </c>
      <c r="F6" s="135" t="s">
        <v>4578</v>
      </c>
      <c r="G6" s="44" t="s">
        <v>4598</v>
      </c>
      <c r="H6" s="140" t="s">
        <v>4602</v>
      </c>
      <c r="I6" s="1779"/>
      <c r="J6" s="136" t="s">
        <v>43</v>
      </c>
      <c r="K6" s="136" t="s">
        <v>43</v>
      </c>
      <c r="L6" s="137" t="s">
        <v>2947</v>
      </c>
      <c r="M6" s="139" t="s">
        <v>4604</v>
      </c>
    </row>
    <row r="7" spans="1:13" ht="18">
      <c r="A7" s="44">
        <v>3</v>
      </c>
      <c r="B7" s="1780"/>
      <c r="C7" s="1784" t="s">
        <v>423</v>
      </c>
      <c r="D7" s="44" t="s">
        <v>4542</v>
      </c>
      <c r="E7" s="696" t="s">
        <v>4582</v>
      </c>
      <c r="F7" s="135" t="s">
        <v>4578</v>
      </c>
      <c r="G7" s="44" t="s">
        <v>4589</v>
      </c>
      <c r="H7" s="136" t="s">
        <v>4547</v>
      </c>
      <c r="I7" s="136" t="s">
        <v>4559</v>
      </c>
      <c r="J7" s="411" t="s">
        <v>14440</v>
      </c>
      <c r="K7" s="692" t="s">
        <v>14434</v>
      </c>
      <c r="L7" s="137" t="s">
        <v>4410</v>
      </c>
      <c r="M7" s="136" t="s">
        <v>4567</v>
      </c>
    </row>
    <row r="8" spans="1:13" ht="18">
      <c r="A8" s="1561">
        <v>4</v>
      </c>
      <c r="B8" s="1780"/>
      <c r="C8" s="1784"/>
      <c r="D8" s="1561" t="s">
        <v>4548</v>
      </c>
      <c r="E8" s="696" t="s">
        <v>4583</v>
      </c>
      <c r="F8" s="135" t="s">
        <v>4578</v>
      </c>
      <c r="G8" s="44" t="s">
        <v>4587</v>
      </c>
      <c r="H8" s="136" t="s">
        <v>4586</v>
      </c>
      <c r="I8" s="1779" t="s">
        <v>4558</v>
      </c>
      <c r="J8" s="411" t="s">
        <v>14438</v>
      </c>
      <c r="K8" s="692" t="s">
        <v>14434</v>
      </c>
      <c r="L8" s="137" t="s">
        <v>4410</v>
      </c>
      <c r="M8" s="136" t="s">
        <v>4590</v>
      </c>
    </row>
    <row r="9" spans="1:13" ht="18">
      <c r="A9" s="1561"/>
      <c r="B9" s="1780"/>
      <c r="C9" s="1784"/>
      <c r="D9" s="1561"/>
      <c r="E9" s="696" t="s">
        <v>4584</v>
      </c>
      <c r="F9" s="135" t="s">
        <v>4578</v>
      </c>
      <c r="G9" s="44" t="s">
        <v>4588</v>
      </c>
      <c r="H9" s="136" t="s">
        <v>4585</v>
      </c>
      <c r="I9" s="1779"/>
      <c r="J9" s="411" t="s">
        <v>14438</v>
      </c>
      <c r="K9" s="136" t="s">
        <v>14434</v>
      </c>
      <c r="L9" s="137" t="s">
        <v>4410</v>
      </c>
      <c r="M9" s="136" t="s">
        <v>15765</v>
      </c>
    </row>
    <row r="10" spans="1:13" ht="18">
      <c r="A10" s="44">
        <v>5</v>
      </c>
      <c r="B10" s="1780"/>
      <c r="C10" s="1784"/>
      <c r="D10" s="44" t="s">
        <v>4561</v>
      </c>
      <c r="E10" s="141" t="s">
        <v>4591</v>
      </c>
      <c r="F10" s="135" t="s">
        <v>4578</v>
      </c>
      <c r="G10" s="44" t="s">
        <v>4592</v>
      </c>
      <c r="H10" s="136" t="s">
        <v>4614</v>
      </c>
      <c r="I10" s="136" t="s">
        <v>4613</v>
      </c>
      <c r="J10" s="136" t="s">
        <v>43</v>
      </c>
      <c r="K10" s="136" t="s">
        <v>43</v>
      </c>
      <c r="L10" s="44" t="s">
        <v>4573</v>
      </c>
      <c r="M10" s="136" t="s">
        <v>4593</v>
      </c>
    </row>
    <row r="11" spans="1:13" ht="18">
      <c r="A11" s="1561">
        <v>6</v>
      </c>
      <c r="B11" s="1780"/>
      <c r="C11" s="1561" t="s">
        <v>1595</v>
      </c>
      <c r="D11" s="1561" t="s">
        <v>4628</v>
      </c>
      <c r="E11" s="141" t="s">
        <v>4752</v>
      </c>
      <c r="F11" s="135" t="s">
        <v>4578</v>
      </c>
      <c r="G11" s="44" t="s">
        <v>4606</v>
      </c>
      <c r="H11" s="136" t="s">
        <v>4608</v>
      </c>
      <c r="I11" s="1779" t="s">
        <v>4610</v>
      </c>
      <c r="J11" s="136" t="s">
        <v>43</v>
      </c>
      <c r="K11" s="136" t="s">
        <v>43</v>
      </c>
      <c r="L11" s="1561" t="s">
        <v>4611</v>
      </c>
      <c r="M11" s="136" t="s">
        <v>43</v>
      </c>
    </row>
    <row r="12" spans="1:13" ht="18">
      <c r="A12" s="1561"/>
      <c r="B12" s="1780"/>
      <c r="C12" s="1561"/>
      <c r="D12" s="1561"/>
      <c r="E12" s="141" t="s">
        <v>4751</v>
      </c>
      <c r="F12" s="135" t="s">
        <v>4578</v>
      </c>
      <c r="G12" s="44" t="s">
        <v>4607</v>
      </c>
      <c r="H12" s="136" t="s">
        <v>4609</v>
      </c>
      <c r="I12" s="1779"/>
      <c r="J12" s="136" t="s">
        <v>43</v>
      </c>
      <c r="K12" s="136" t="s">
        <v>43</v>
      </c>
      <c r="L12" s="1561"/>
      <c r="M12" s="136" t="s">
        <v>43</v>
      </c>
    </row>
    <row r="13" spans="1:13" ht="18">
      <c r="A13" s="44">
        <v>7</v>
      </c>
      <c r="B13" s="1780"/>
      <c r="C13" s="44" t="s">
        <v>1604</v>
      </c>
      <c r="D13" s="44" t="s">
        <v>4627</v>
      </c>
      <c r="E13" s="142"/>
      <c r="F13" s="135" t="s">
        <v>4578</v>
      </c>
      <c r="G13" s="143" t="s">
        <v>4615</v>
      </c>
      <c r="H13" s="136" t="s">
        <v>4616</v>
      </c>
      <c r="I13" s="136" t="s">
        <v>4617</v>
      </c>
      <c r="J13" s="136" t="s">
        <v>43</v>
      </c>
      <c r="K13" s="136" t="s">
        <v>43</v>
      </c>
      <c r="L13" s="137" t="s">
        <v>4410</v>
      </c>
      <c r="M13" s="144" t="s">
        <v>43</v>
      </c>
    </row>
    <row r="14" spans="1:13" ht="18">
      <c r="A14" s="44">
        <v>8</v>
      </c>
      <c r="B14" s="1780"/>
      <c r="C14" s="44" t="s">
        <v>1592</v>
      </c>
      <c r="D14" s="44" t="s">
        <v>4626</v>
      </c>
      <c r="E14" s="142"/>
      <c r="F14" s="135" t="s">
        <v>4578</v>
      </c>
      <c r="G14" s="143" t="s">
        <v>4618</v>
      </c>
      <c r="H14" s="136" t="s">
        <v>4620</v>
      </c>
      <c r="I14" s="136" t="s">
        <v>1084</v>
      </c>
      <c r="J14" s="136" t="s">
        <v>43</v>
      </c>
      <c r="K14" s="136" t="s">
        <v>43</v>
      </c>
      <c r="L14" s="44" t="s">
        <v>4573</v>
      </c>
      <c r="M14" s="144" t="s">
        <v>43</v>
      </c>
    </row>
    <row r="15" spans="1:13" ht="18">
      <c r="A15" s="1561">
        <v>9</v>
      </c>
      <c r="B15" s="1780"/>
      <c r="C15" s="1561" t="s">
        <v>4623</v>
      </c>
      <c r="D15" s="44" t="s">
        <v>4624</v>
      </c>
      <c r="E15" s="135" t="s">
        <v>2950</v>
      </c>
      <c r="F15" s="135" t="s">
        <v>4578</v>
      </c>
      <c r="G15" s="145" t="s">
        <v>29</v>
      </c>
      <c r="H15" s="136" t="s">
        <v>4621</v>
      </c>
      <c r="I15" s="136" t="s">
        <v>1084</v>
      </c>
      <c r="J15" s="136" t="s">
        <v>43</v>
      </c>
      <c r="K15" s="136" t="s">
        <v>43</v>
      </c>
      <c r="L15" s="44" t="s">
        <v>4573</v>
      </c>
      <c r="M15" s="144" t="s">
        <v>43</v>
      </c>
    </row>
    <row r="16" spans="1:13" ht="18">
      <c r="A16" s="1561"/>
      <c r="B16" s="1780"/>
      <c r="C16" s="1561"/>
      <c r="D16" s="44" t="s">
        <v>4625</v>
      </c>
      <c r="E16" s="135" t="s">
        <v>2951</v>
      </c>
      <c r="F16" s="135" t="s">
        <v>4578</v>
      </c>
      <c r="G16" s="145" t="s">
        <v>29</v>
      </c>
      <c r="H16" s="136" t="s">
        <v>4622</v>
      </c>
      <c r="I16" s="136" t="s">
        <v>1084</v>
      </c>
      <c r="J16" s="136" t="s">
        <v>43</v>
      </c>
      <c r="K16" s="136" t="s">
        <v>43</v>
      </c>
      <c r="L16" s="44" t="s">
        <v>4573</v>
      </c>
      <c r="M16" s="144" t="s">
        <v>43</v>
      </c>
    </row>
    <row r="17" spans="1:13" ht="18">
      <c r="A17" s="1781">
        <v>10</v>
      </c>
      <c r="B17" s="1780"/>
      <c r="C17" s="1561" t="s">
        <v>423</v>
      </c>
      <c r="D17" s="44" t="s">
        <v>4629</v>
      </c>
      <c r="E17" s="135" t="s">
        <v>995</v>
      </c>
      <c r="F17" s="135" t="s">
        <v>4578</v>
      </c>
      <c r="G17" s="145" t="s">
        <v>29</v>
      </c>
      <c r="H17" s="136" t="s">
        <v>4630</v>
      </c>
      <c r="I17" s="136" t="s">
        <v>1084</v>
      </c>
      <c r="J17" s="136" t="s">
        <v>43</v>
      </c>
      <c r="K17" s="136" t="s">
        <v>43</v>
      </c>
      <c r="L17" s="44" t="s">
        <v>4573</v>
      </c>
      <c r="M17" s="144" t="s">
        <v>43</v>
      </c>
    </row>
    <row r="18" spans="1:13" ht="18">
      <c r="A18" s="1782"/>
      <c r="B18" s="1780"/>
      <c r="C18" s="1561"/>
      <c r="D18" s="44" t="s">
        <v>4631</v>
      </c>
      <c r="E18" s="135" t="s">
        <v>1699</v>
      </c>
      <c r="F18" s="135" t="s">
        <v>4578</v>
      </c>
      <c r="G18" s="145" t="s">
        <v>29</v>
      </c>
      <c r="H18" s="136" t="s">
        <v>4622</v>
      </c>
      <c r="I18" s="136" t="s">
        <v>1084</v>
      </c>
      <c r="J18" s="136" t="s">
        <v>43</v>
      </c>
      <c r="K18" s="136" t="s">
        <v>43</v>
      </c>
      <c r="L18" s="44" t="s">
        <v>4573</v>
      </c>
      <c r="M18" s="144" t="s">
        <v>43</v>
      </c>
    </row>
    <row r="19" spans="1:13" ht="18">
      <c r="A19" s="1782"/>
      <c r="B19" s="1780"/>
      <c r="C19" s="1561"/>
      <c r="D19" s="44" t="s">
        <v>4632</v>
      </c>
      <c r="E19" s="142"/>
      <c r="F19" s="135" t="s">
        <v>4578</v>
      </c>
      <c r="G19" s="145" t="s">
        <v>29</v>
      </c>
      <c r="H19" s="136" t="s">
        <v>4633</v>
      </c>
      <c r="I19" s="136" t="s">
        <v>1084</v>
      </c>
      <c r="J19" s="136" t="s">
        <v>43</v>
      </c>
      <c r="K19" s="136" t="s">
        <v>43</v>
      </c>
      <c r="L19" s="44" t="s">
        <v>4573</v>
      </c>
      <c r="M19" s="144" t="s">
        <v>43</v>
      </c>
    </row>
    <row r="20" spans="1:13" ht="18">
      <c r="A20" s="1782"/>
      <c r="B20" s="1780"/>
      <c r="C20" s="1561"/>
      <c r="D20" s="44" t="s">
        <v>4750</v>
      </c>
      <c r="E20" s="141" t="s">
        <v>4753</v>
      </c>
      <c r="F20" s="135" t="s">
        <v>4578</v>
      </c>
      <c r="G20" s="145" t="s">
        <v>29</v>
      </c>
      <c r="H20" s="136" t="s">
        <v>4633</v>
      </c>
      <c r="I20" s="136" t="s">
        <v>1084</v>
      </c>
      <c r="J20" s="136" t="s">
        <v>43</v>
      </c>
      <c r="K20" s="136" t="s">
        <v>43</v>
      </c>
      <c r="L20" s="44" t="s">
        <v>4573</v>
      </c>
      <c r="M20" s="144" t="s">
        <v>43</v>
      </c>
    </row>
    <row r="21" spans="1:13" ht="18">
      <c r="A21" s="1783"/>
      <c r="B21" s="1780"/>
      <c r="C21" s="1561"/>
      <c r="D21" s="44" t="s">
        <v>4634</v>
      </c>
      <c r="E21" s="142"/>
      <c r="F21" s="135" t="s">
        <v>4578</v>
      </c>
      <c r="G21" s="145" t="s">
        <v>29</v>
      </c>
      <c r="H21" s="136" t="s">
        <v>4635</v>
      </c>
      <c r="I21" s="136" t="s">
        <v>43</v>
      </c>
      <c r="J21" s="136" t="s">
        <v>43</v>
      </c>
      <c r="K21" s="136" t="s">
        <v>43</v>
      </c>
      <c r="L21" s="44" t="s">
        <v>4573</v>
      </c>
      <c r="M21" s="144" t="s">
        <v>4636</v>
      </c>
    </row>
    <row r="22" spans="1:13" ht="18">
      <c r="A22" s="44">
        <v>11</v>
      </c>
      <c r="B22" s="1780"/>
      <c r="C22" s="146" t="s">
        <v>25</v>
      </c>
      <c r="D22" s="44" t="s">
        <v>4637</v>
      </c>
      <c r="E22" s="135" t="s">
        <v>39</v>
      </c>
      <c r="F22" s="135" t="s">
        <v>4578</v>
      </c>
      <c r="G22" s="145" t="s">
        <v>29</v>
      </c>
      <c r="H22" s="136" t="s">
        <v>4639</v>
      </c>
      <c r="I22" s="136" t="s">
        <v>1084</v>
      </c>
      <c r="J22" s="136" t="s">
        <v>43</v>
      </c>
      <c r="K22" s="136" t="s">
        <v>43</v>
      </c>
      <c r="L22" s="44" t="s">
        <v>4573</v>
      </c>
      <c r="M22" s="144" t="s">
        <v>43</v>
      </c>
    </row>
    <row r="23" spans="1:13" ht="18">
      <c r="A23" s="44">
        <v>12</v>
      </c>
      <c r="B23" s="1780"/>
      <c r="C23" s="44" t="s">
        <v>4640</v>
      </c>
      <c r="D23" s="44" t="s">
        <v>4641</v>
      </c>
      <c r="E23" s="135" t="s">
        <v>324</v>
      </c>
      <c r="F23" s="135" t="s">
        <v>4578</v>
      </c>
      <c r="G23" s="145" t="s">
        <v>29</v>
      </c>
      <c r="H23" s="136" t="s">
        <v>4642</v>
      </c>
      <c r="I23" s="136" t="s">
        <v>1084</v>
      </c>
      <c r="J23" s="136" t="s">
        <v>43</v>
      </c>
      <c r="K23" s="136" t="s">
        <v>43</v>
      </c>
      <c r="L23" s="44" t="s">
        <v>4573</v>
      </c>
      <c r="M23" s="144" t="s">
        <v>43</v>
      </c>
    </row>
    <row r="24" spans="1:13" ht="18">
      <c r="A24" s="44">
        <v>13</v>
      </c>
      <c r="B24" s="1780"/>
      <c r="C24" s="44" t="s">
        <v>4643</v>
      </c>
      <c r="D24" s="44" t="s">
        <v>4644</v>
      </c>
      <c r="E24" s="135" t="s">
        <v>318</v>
      </c>
      <c r="F24" s="135" t="s">
        <v>4578</v>
      </c>
      <c r="G24" s="145" t="s">
        <v>29</v>
      </c>
      <c r="H24" s="136" t="s">
        <v>4619</v>
      </c>
      <c r="I24" s="136" t="s">
        <v>1084</v>
      </c>
      <c r="J24" s="136" t="s">
        <v>43</v>
      </c>
      <c r="K24" s="136" t="s">
        <v>43</v>
      </c>
      <c r="L24" s="44" t="s">
        <v>4573</v>
      </c>
      <c r="M24" s="144" t="s">
        <v>43</v>
      </c>
    </row>
    <row r="25" spans="1:13" ht="18">
      <c r="A25" s="44">
        <v>13</v>
      </c>
      <c r="B25" s="1780"/>
      <c r="C25" s="44" t="s">
        <v>1609</v>
      </c>
      <c r="D25" s="44" t="s">
        <v>4645</v>
      </c>
      <c r="E25" s="135" t="s">
        <v>2341</v>
      </c>
      <c r="F25" s="135" t="s">
        <v>4578</v>
      </c>
      <c r="G25" s="44" t="s">
        <v>4607</v>
      </c>
      <c r="H25" s="136" t="s">
        <v>4646</v>
      </c>
      <c r="I25" s="136" t="s">
        <v>1084</v>
      </c>
      <c r="J25" s="136" t="s">
        <v>43</v>
      </c>
      <c r="K25" s="136" t="s">
        <v>43</v>
      </c>
      <c r="L25" s="44" t="s">
        <v>2336</v>
      </c>
      <c r="M25" s="144" t="s">
        <v>43</v>
      </c>
    </row>
    <row r="26" spans="1:13" ht="18">
      <c r="A26" s="44">
        <v>14</v>
      </c>
      <c r="B26" s="1780"/>
      <c r="C26" s="44" t="s">
        <v>2592</v>
      </c>
      <c r="D26" s="44" t="s">
        <v>4647</v>
      </c>
      <c r="E26" s="135" t="s">
        <v>2944</v>
      </c>
      <c r="F26" s="135" t="s">
        <v>4578</v>
      </c>
      <c r="G26" s="44" t="s">
        <v>2286</v>
      </c>
      <c r="H26" s="136" t="s">
        <v>967</v>
      </c>
      <c r="I26" s="136" t="s">
        <v>4617</v>
      </c>
      <c r="J26" s="136" t="s">
        <v>43</v>
      </c>
      <c r="K26" s="136" t="s">
        <v>43</v>
      </c>
      <c r="L26" s="44" t="s">
        <v>2925</v>
      </c>
      <c r="M26" s="144" t="s">
        <v>43</v>
      </c>
    </row>
    <row r="27" spans="1:13" ht="18">
      <c r="A27" s="44">
        <v>15</v>
      </c>
      <c r="B27" s="1780"/>
      <c r="C27" s="44" t="s">
        <v>2969</v>
      </c>
      <c r="D27" s="44" t="s">
        <v>4649</v>
      </c>
      <c r="E27" s="135" t="s">
        <v>4648</v>
      </c>
      <c r="F27" s="135" t="s">
        <v>4578</v>
      </c>
      <c r="G27" s="145" t="s">
        <v>29</v>
      </c>
      <c r="H27" s="136" t="s">
        <v>4650</v>
      </c>
      <c r="I27" s="136" t="s">
        <v>1084</v>
      </c>
      <c r="J27" s="136" t="s">
        <v>43</v>
      </c>
      <c r="K27" s="136" t="s">
        <v>43</v>
      </c>
      <c r="L27" s="44" t="s">
        <v>4573</v>
      </c>
      <c r="M27" s="144" t="s">
        <v>4651</v>
      </c>
    </row>
    <row r="28" spans="1:13" ht="18">
      <c r="A28" s="44">
        <v>16</v>
      </c>
      <c r="B28" s="1780"/>
      <c r="C28" s="44" t="s">
        <v>3467</v>
      </c>
      <c r="D28" s="44" t="s">
        <v>4653</v>
      </c>
      <c r="E28" s="135" t="s">
        <v>4652</v>
      </c>
      <c r="F28" s="135" t="s">
        <v>4578</v>
      </c>
      <c r="G28" s="44" t="s">
        <v>4607</v>
      </c>
      <c r="H28" s="136" t="s">
        <v>4630</v>
      </c>
      <c r="I28" s="136" t="s">
        <v>1084</v>
      </c>
      <c r="J28" s="136" t="s">
        <v>43</v>
      </c>
      <c r="K28" s="136" t="s">
        <v>43</v>
      </c>
      <c r="L28" s="44" t="s">
        <v>4654</v>
      </c>
      <c r="M28" s="144" t="s">
        <v>4655</v>
      </c>
    </row>
    <row r="29" spans="1:13" ht="18">
      <c r="A29" s="44">
        <v>17</v>
      </c>
      <c r="B29" s="1780"/>
      <c r="C29" s="44" t="s">
        <v>334</v>
      </c>
      <c r="D29" s="44" t="s">
        <v>4656</v>
      </c>
      <c r="E29" s="142"/>
      <c r="F29" s="135" t="s">
        <v>4578</v>
      </c>
      <c r="G29" s="145" t="s">
        <v>29</v>
      </c>
      <c r="H29" s="136" t="s">
        <v>4619</v>
      </c>
      <c r="I29" s="136" t="s">
        <v>1084</v>
      </c>
      <c r="J29" s="136" t="s">
        <v>43</v>
      </c>
      <c r="K29" s="136" t="s">
        <v>43</v>
      </c>
      <c r="L29" s="44" t="s">
        <v>4573</v>
      </c>
      <c r="M29" s="144" t="s">
        <v>43</v>
      </c>
    </row>
    <row r="30" spans="1:13" ht="18">
      <c r="A30" s="44">
        <v>18</v>
      </c>
      <c r="B30" s="1780"/>
      <c r="C30" s="44" t="s">
        <v>267</v>
      </c>
      <c r="D30" s="44" t="s">
        <v>4657</v>
      </c>
      <c r="E30" s="135" t="s">
        <v>4658</v>
      </c>
      <c r="F30" s="135" t="s">
        <v>4578</v>
      </c>
      <c r="G30" s="44" t="s">
        <v>4659</v>
      </c>
      <c r="H30" s="136" t="s">
        <v>4660</v>
      </c>
      <c r="I30" s="136" t="s">
        <v>1084</v>
      </c>
      <c r="J30" s="136" t="s">
        <v>43</v>
      </c>
      <c r="K30" s="136" t="s">
        <v>43</v>
      </c>
      <c r="L30" s="44" t="s">
        <v>2336</v>
      </c>
      <c r="M30" s="144" t="s">
        <v>43</v>
      </c>
    </row>
    <row r="31" spans="1:13" ht="18">
      <c r="A31" s="44">
        <v>19</v>
      </c>
      <c r="B31" s="1780"/>
      <c r="C31" s="44" t="s">
        <v>2449</v>
      </c>
      <c r="D31" s="44" t="s">
        <v>4662</v>
      </c>
      <c r="E31" s="135" t="s">
        <v>4661</v>
      </c>
      <c r="F31" s="135" t="s">
        <v>4578</v>
      </c>
      <c r="G31" s="145" t="s">
        <v>29</v>
      </c>
      <c r="H31" s="136" t="s">
        <v>4663</v>
      </c>
      <c r="I31" s="136" t="s">
        <v>1084</v>
      </c>
      <c r="J31" s="136" t="s">
        <v>43</v>
      </c>
      <c r="K31" s="136" t="s">
        <v>43</v>
      </c>
      <c r="L31" s="44" t="s">
        <v>4573</v>
      </c>
      <c r="M31" s="144" t="s">
        <v>43</v>
      </c>
    </row>
    <row r="32" spans="1:13" ht="18">
      <c r="A32" s="44">
        <v>20</v>
      </c>
      <c r="B32" s="1780"/>
      <c r="C32" s="44" t="s">
        <v>2476</v>
      </c>
      <c r="D32" s="44" t="s">
        <v>4664</v>
      </c>
      <c r="E32" s="135" t="s">
        <v>4596</v>
      </c>
      <c r="F32" s="135" t="s">
        <v>4578</v>
      </c>
      <c r="G32" s="44" t="s">
        <v>4600</v>
      </c>
      <c r="H32" s="136" t="s">
        <v>43</v>
      </c>
      <c r="I32" s="136" t="s">
        <v>43</v>
      </c>
      <c r="J32" s="136" t="s">
        <v>43</v>
      </c>
      <c r="K32" s="136" t="s">
        <v>43</v>
      </c>
      <c r="L32" s="137" t="s">
        <v>4410</v>
      </c>
      <c r="M32" s="144" t="s">
        <v>43</v>
      </c>
    </row>
    <row r="33" spans="1:13" ht="18">
      <c r="A33" s="44">
        <v>21</v>
      </c>
      <c r="B33" s="1780"/>
      <c r="C33" s="44" t="s">
        <v>4665</v>
      </c>
      <c r="D33" s="44" t="s">
        <v>4666</v>
      </c>
      <c r="E33" s="142"/>
      <c r="F33" s="135" t="s">
        <v>4578</v>
      </c>
      <c r="G33" s="44" t="s">
        <v>2286</v>
      </c>
      <c r="H33" s="136" t="s">
        <v>4667</v>
      </c>
      <c r="I33" s="136" t="s">
        <v>1084</v>
      </c>
      <c r="J33" s="136" t="s">
        <v>43</v>
      </c>
      <c r="K33" s="136" t="s">
        <v>43</v>
      </c>
      <c r="L33" s="137" t="s">
        <v>4410</v>
      </c>
      <c r="M33" s="144" t="s">
        <v>43</v>
      </c>
    </row>
    <row r="34" spans="1:13" ht="18">
      <c r="A34" s="44">
        <v>22</v>
      </c>
      <c r="B34" s="1780"/>
      <c r="C34" s="44" t="s">
        <v>3191</v>
      </c>
      <c r="D34" s="44" t="s">
        <v>4668</v>
      </c>
      <c r="E34" s="135" t="s">
        <v>4669</v>
      </c>
      <c r="F34" s="135" t="s">
        <v>4578</v>
      </c>
      <c r="G34" s="145" t="s">
        <v>29</v>
      </c>
      <c r="H34" s="136" t="s">
        <v>4670</v>
      </c>
      <c r="I34" s="136" t="s">
        <v>1084</v>
      </c>
      <c r="J34" s="136" t="s">
        <v>43</v>
      </c>
      <c r="K34" s="136" t="s">
        <v>43</v>
      </c>
      <c r="L34" s="137" t="s">
        <v>3416</v>
      </c>
      <c r="M34" s="144" t="s">
        <v>43</v>
      </c>
    </row>
    <row r="35" spans="1:13" ht="18">
      <c r="A35" s="44">
        <v>23</v>
      </c>
      <c r="B35" s="1780"/>
      <c r="C35" s="44" t="s">
        <v>3212</v>
      </c>
      <c r="D35" s="44" t="s">
        <v>4671</v>
      </c>
      <c r="E35" s="142"/>
      <c r="F35" s="135" t="s">
        <v>4578</v>
      </c>
      <c r="G35" s="44" t="s">
        <v>2286</v>
      </c>
      <c r="H35" s="136" t="s">
        <v>4672</v>
      </c>
      <c r="I35" s="136" t="s">
        <v>1084</v>
      </c>
      <c r="J35" s="136" t="s">
        <v>43</v>
      </c>
      <c r="K35" s="136" t="s">
        <v>43</v>
      </c>
      <c r="L35" s="44" t="s">
        <v>2336</v>
      </c>
      <c r="M35" s="144" t="s">
        <v>43</v>
      </c>
    </row>
  </sheetData>
  <mergeCells count="22">
    <mergeCell ref="A11:A12"/>
    <mergeCell ref="D11:D12"/>
    <mergeCell ref="I11:I12"/>
    <mergeCell ref="L11:L12"/>
    <mergeCell ref="A5:A6"/>
    <mergeCell ref="D5:D6"/>
    <mergeCell ref="B2:B35"/>
    <mergeCell ref="A17:A21"/>
    <mergeCell ref="C17:C21"/>
    <mergeCell ref="A15:A16"/>
    <mergeCell ref="C2:C4"/>
    <mergeCell ref="C5:C6"/>
    <mergeCell ref="C7:C10"/>
    <mergeCell ref="C11:C12"/>
    <mergeCell ref="C15:C16"/>
    <mergeCell ref="A2:A4"/>
    <mergeCell ref="D2:D4"/>
    <mergeCell ref="A8:A9"/>
    <mergeCell ref="D8:D9"/>
    <mergeCell ref="I8:I9"/>
    <mergeCell ref="I2:I4"/>
    <mergeCell ref="I5:I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10"/>
  <sheetViews>
    <sheetView rightToLeft="1" topLeftCell="G1" workbookViewId="0">
      <selection activeCell="I16" sqref="I16"/>
    </sheetView>
  </sheetViews>
  <sheetFormatPr defaultRowHeight="15"/>
  <cols>
    <col min="2" max="2" width="16.140625" customWidth="1"/>
    <col min="3" max="3" width="31" customWidth="1"/>
    <col min="4" max="4" width="29.7109375" customWidth="1"/>
    <col min="5" max="5" width="18.140625" customWidth="1"/>
    <col min="6" max="6" width="25.5703125" customWidth="1"/>
    <col min="7" max="9" width="22.140625" customWidth="1"/>
    <col min="10" max="12" width="23.85546875" customWidth="1"/>
    <col min="13" max="13" width="41.28515625" customWidth="1"/>
    <col min="14" max="14" width="24.5703125" customWidth="1"/>
    <col min="15" max="15" width="16.85546875" customWidth="1"/>
    <col min="16" max="16" width="27.140625" customWidth="1"/>
    <col min="17" max="17" width="22.140625" customWidth="1"/>
    <col min="18" max="18" width="63.5703125" customWidth="1"/>
    <col min="19" max="19" width="29.5703125" customWidth="1"/>
    <col min="20" max="20" width="22.42578125" customWidth="1"/>
    <col min="21" max="21" width="30.42578125" customWidth="1"/>
  </cols>
  <sheetData>
    <row r="1" spans="1:21" ht="19.5">
      <c r="A1" s="125" t="s">
        <v>0</v>
      </c>
      <c r="B1" s="125" t="s">
        <v>7</v>
      </c>
      <c r="C1" s="125" t="s">
        <v>4509</v>
      </c>
      <c r="D1" s="126" t="s">
        <v>4321</v>
      </c>
      <c r="E1" s="125" t="s">
        <v>196</v>
      </c>
      <c r="F1" s="125" t="s">
        <v>4322</v>
      </c>
      <c r="G1" s="125" t="s">
        <v>4323</v>
      </c>
      <c r="H1" s="125" t="s">
        <v>4512</v>
      </c>
      <c r="I1" s="125" t="s">
        <v>4513</v>
      </c>
      <c r="J1" s="125" t="s">
        <v>4324</v>
      </c>
      <c r="K1" s="125" t="s">
        <v>4510</v>
      </c>
      <c r="L1" s="125" t="s">
        <v>21</v>
      </c>
      <c r="M1" s="125" t="s">
        <v>4408</v>
      </c>
      <c r="N1" s="125" t="s">
        <v>4511</v>
      </c>
      <c r="O1" s="125" t="s">
        <v>4519</v>
      </c>
      <c r="P1" s="125" t="s">
        <v>4536</v>
      </c>
      <c r="Q1" s="125" t="s">
        <v>4572</v>
      </c>
      <c r="R1" s="125" t="s">
        <v>11195</v>
      </c>
      <c r="S1" s="125" t="s">
        <v>11196</v>
      </c>
      <c r="T1" s="125" t="s">
        <v>4404</v>
      </c>
      <c r="U1" s="125" t="s">
        <v>4406</v>
      </c>
    </row>
    <row r="2" spans="1:21" ht="18">
      <c r="A2" s="1681">
        <v>1</v>
      </c>
      <c r="B2" s="1689" t="s">
        <v>4477</v>
      </c>
      <c r="C2" s="1781" t="s">
        <v>4523</v>
      </c>
      <c r="D2" s="103" t="s">
        <v>15029</v>
      </c>
      <c r="E2" s="103" t="s">
        <v>4516</v>
      </c>
      <c r="F2" s="345" t="s">
        <v>4524</v>
      </c>
      <c r="G2" s="345" t="s">
        <v>270</v>
      </c>
      <c r="H2" s="697" t="s">
        <v>4515</v>
      </c>
      <c r="I2" s="103" t="s">
        <v>4514</v>
      </c>
      <c r="J2" s="155" t="s">
        <v>4744</v>
      </c>
      <c r="K2" s="155" t="s">
        <v>4746</v>
      </c>
      <c r="L2" s="103" t="s">
        <v>4534</v>
      </c>
      <c r="M2" s="117" t="s">
        <v>4566</v>
      </c>
      <c r="N2" s="345" t="s">
        <v>4518</v>
      </c>
      <c r="O2" s="103" t="s">
        <v>14432</v>
      </c>
      <c r="P2" s="1641" t="s">
        <v>4537</v>
      </c>
      <c r="Q2" s="1501" t="s">
        <v>4560</v>
      </c>
      <c r="R2" s="410" t="s">
        <v>14433</v>
      </c>
      <c r="S2" s="46" t="s">
        <v>14434</v>
      </c>
      <c r="T2" s="117" t="s">
        <v>4410</v>
      </c>
      <c r="U2" s="46" t="s">
        <v>43</v>
      </c>
    </row>
    <row r="3" spans="1:21" ht="18">
      <c r="A3" s="1682"/>
      <c r="B3" s="1689"/>
      <c r="C3" s="1782"/>
      <c r="D3" s="103" t="s">
        <v>15031</v>
      </c>
      <c r="E3" s="103" t="s">
        <v>4516</v>
      </c>
      <c r="F3" s="345" t="s">
        <v>4524</v>
      </c>
      <c r="G3" s="345" t="s">
        <v>270</v>
      </c>
      <c r="H3" s="697" t="s">
        <v>4521</v>
      </c>
      <c r="I3" s="103" t="s">
        <v>4514</v>
      </c>
      <c r="J3" s="155" t="s">
        <v>4745</v>
      </c>
      <c r="K3" s="155" t="s">
        <v>4747</v>
      </c>
      <c r="L3" s="103" t="s">
        <v>4535</v>
      </c>
      <c r="M3" s="117" t="s">
        <v>4566</v>
      </c>
      <c r="N3" s="345" t="s">
        <v>4518</v>
      </c>
      <c r="O3" s="103" t="s">
        <v>4522</v>
      </c>
      <c r="P3" s="1642"/>
      <c r="Q3" s="1502"/>
      <c r="R3" s="410" t="s">
        <v>14433</v>
      </c>
      <c r="S3" s="691" t="s">
        <v>14434</v>
      </c>
      <c r="T3" s="117" t="s">
        <v>4410</v>
      </c>
      <c r="U3" s="46" t="s">
        <v>43</v>
      </c>
    </row>
    <row r="4" spans="1:21" ht="18">
      <c r="A4" s="1682"/>
      <c r="B4" s="1689"/>
      <c r="C4" s="1782"/>
      <c r="D4" s="103" t="s">
        <v>15030</v>
      </c>
      <c r="E4" s="103" t="s">
        <v>4516</v>
      </c>
      <c r="F4" s="345" t="s">
        <v>4525</v>
      </c>
      <c r="G4" s="345" t="s">
        <v>270</v>
      </c>
      <c r="H4" s="697" t="s">
        <v>4526</v>
      </c>
      <c r="I4" s="103" t="s">
        <v>4527</v>
      </c>
      <c r="J4" s="155" t="s">
        <v>4760</v>
      </c>
      <c r="K4" s="155" t="s">
        <v>4761</v>
      </c>
      <c r="L4" s="103" t="s">
        <v>4533</v>
      </c>
      <c r="M4" s="117" t="s">
        <v>4566</v>
      </c>
      <c r="N4" s="345" t="s">
        <v>4518</v>
      </c>
      <c r="O4" s="103" t="s">
        <v>4528</v>
      </c>
      <c r="P4" s="1642"/>
      <c r="Q4" s="1502"/>
      <c r="R4" s="410" t="s">
        <v>14431</v>
      </c>
      <c r="S4" s="691" t="s">
        <v>14434</v>
      </c>
      <c r="T4" s="117" t="s">
        <v>4410</v>
      </c>
      <c r="U4" s="46" t="s">
        <v>43</v>
      </c>
    </row>
    <row r="5" spans="1:21" ht="18">
      <c r="A5" s="1682"/>
      <c r="B5" s="1689"/>
      <c r="C5" s="1782"/>
      <c r="D5" s="778" t="s">
        <v>15034</v>
      </c>
      <c r="E5" s="103" t="s">
        <v>4516</v>
      </c>
      <c r="F5" s="345" t="s">
        <v>4529</v>
      </c>
      <c r="G5" s="345" t="s">
        <v>270</v>
      </c>
      <c r="H5" s="697" t="s">
        <v>4530</v>
      </c>
      <c r="I5" s="103" t="s">
        <v>4514</v>
      </c>
      <c r="J5" s="157" t="s">
        <v>4755</v>
      </c>
      <c r="K5" s="157" t="s">
        <v>4749</v>
      </c>
      <c r="L5" s="103" t="s">
        <v>4532</v>
      </c>
      <c r="M5" s="117" t="s">
        <v>4566</v>
      </c>
      <c r="N5" s="345" t="s">
        <v>4518</v>
      </c>
      <c r="O5" s="103" t="s">
        <v>11197</v>
      </c>
      <c r="P5" s="1642"/>
      <c r="Q5" s="1502"/>
      <c r="R5" s="410" t="s">
        <v>14436</v>
      </c>
      <c r="S5" s="691" t="s">
        <v>14434</v>
      </c>
      <c r="T5" s="117" t="s">
        <v>4410</v>
      </c>
      <c r="U5" s="46" t="s">
        <v>43</v>
      </c>
    </row>
    <row r="6" spans="1:21" ht="18">
      <c r="A6" s="1683"/>
      <c r="B6" s="1689"/>
      <c r="C6" s="1783"/>
      <c r="D6" s="1135" t="s">
        <v>4531</v>
      </c>
      <c r="E6" s="103" t="s">
        <v>4516</v>
      </c>
      <c r="F6" s="345" t="s">
        <v>4538</v>
      </c>
      <c r="G6" s="345" t="s">
        <v>270</v>
      </c>
      <c r="H6" s="103" t="s">
        <v>4539</v>
      </c>
      <c r="I6" s="103" t="s">
        <v>4527</v>
      </c>
      <c r="J6" s="157" t="s">
        <v>16273</v>
      </c>
      <c r="K6" s="156"/>
      <c r="L6" s="103" t="s">
        <v>4540</v>
      </c>
      <c r="M6" s="117" t="s">
        <v>4566</v>
      </c>
      <c r="N6" s="345" t="s">
        <v>4518</v>
      </c>
      <c r="O6" s="103" t="s">
        <v>4531</v>
      </c>
      <c r="P6" s="1643"/>
      <c r="Q6" s="1503"/>
      <c r="R6" s="56" t="s">
        <v>43</v>
      </c>
      <c r="S6" s="691" t="s">
        <v>14434</v>
      </c>
      <c r="T6" s="117" t="s">
        <v>4410</v>
      </c>
      <c r="U6" s="46" t="s">
        <v>43</v>
      </c>
    </row>
    <row r="7" spans="1:21" ht="18">
      <c r="A7" s="345">
        <v>2</v>
      </c>
      <c r="B7" s="1689"/>
      <c r="C7" s="44" t="s">
        <v>4542</v>
      </c>
      <c r="D7" s="778" t="s">
        <v>15035</v>
      </c>
      <c r="E7" s="103" t="s">
        <v>4516</v>
      </c>
      <c r="F7" s="345" t="s">
        <v>4543</v>
      </c>
      <c r="G7" s="345" t="s">
        <v>270</v>
      </c>
      <c r="H7" s="697" t="s">
        <v>4544</v>
      </c>
      <c r="I7" s="103" t="s">
        <v>4527</v>
      </c>
      <c r="J7" s="155" t="s">
        <v>4748</v>
      </c>
      <c r="K7" s="156" t="s">
        <v>4749</v>
      </c>
      <c r="L7" s="103" t="s">
        <v>4545</v>
      </c>
      <c r="M7" s="117" t="s">
        <v>4567</v>
      </c>
      <c r="N7" s="345" t="s">
        <v>4546</v>
      </c>
      <c r="O7" s="103" t="s">
        <v>11198</v>
      </c>
      <c r="P7" s="409" t="s">
        <v>4547</v>
      </c>
      <c r="Q7" s="46" t="s">
        <v>4559</v>
      </c>
      <c r="R7" s="410" t="s">
        <v>14437</v>
      </c>
      <c r="S7" s="691" t="s">
        <v>14434</v>
      </c>
      <c r="T7" s="117" t="s">
        <v>4410</v>
      </c>
      <c r="U7" s="46" t="s">
        <v>43</v>
      </c>
    </row>
    <row r="8" spans="1:21" ht="18">
      <c r="A8" s="1681">
        <v>3</v>
      </c>
      <c r="B8" s="1689"/>
      <c r="C8" s="1781" t="s">
        <v>4548</v>
      </c>
      <c r="D8" s="63" t="s">
        <v>15032</v>
      </c>
      <c r="E8" s="103" t="s">
        <v>4516</v>
      </c>
      <c r="F8" s="345" t="s">
        <v>4549</v>
      </c>
      <c r="G8" s="345" t="s">
        <v>270</v>
      </c>
      <c r="H8" s="697" t="s">
        <v>4550</v>
      </c>
      <c r="I8" s="103" t="s">
        <v>4527</v>
      </c>
      <c r="J8" s="157" t="s">
        <v>4758</v>
      </c>
      <c r="K8" s="157" t="s">
        <v>4757</v>
      </c>
      <c r="L8" s="103" t="s">
        <v>4552</v>
      </c>
      <c r="M8" s="117" t="s">
        <v>4590</v>
      </c>
      <c r="N8" s="345" t="s">
        <v>4554</v>
      </c>
      <c r="O8" s="103" t="s">
        <v>4555</v>
      </c>
      <c r="P8" s="1681" t="s">
        <v>4556</v>
      </c>
      <c r="Q8" s="1501" t="s">
        <v>4558</v>
      </c>
      <c r="R8" s="410" t="s">
        <v>14433</v>
      </c>
      <c r="S8" s="691" t="s">
        <v>14434</v>
      </c>
      <c r="T8" s="117" t="s">
        <v>4410</v>
      </c>
      <c r="U8" s="46" t="s">
        <v>43</v>
      </c>
    </row>
    <row r="9" spans="1:21" ht="18">
      <c r="A9" s="1683"/>
      <c r="B9" s="1689"/>
      <c r="C9" s="1783"/>
      <c r="D9" s="63" t="s">
        <v>15033</v>
      </c>
      <c r="E9" s="103" t="s">
        <v>4516</v>
      </c>
      <c r="F9" s="345" t="s">
        <v>4549</v>
      </c>
      <c r="G9" s="345" t="s">
        <v>270</v>
      </c>
      <c r="H9" s="697" t="s">
        <v>4551</v>
      </c>
      <c r="I9" s="103" t="s">
        <v>4527</v>
      </c>
      <c r="J9" s="157" t="s">
        <v>4756</v>
      </c>
      <c r="K9" s="157" t="s">
        <v>4759</v>
      </c>
      <c r="L9" s="103" t="s">
        <v>4553</v>
      </c>
      <c r="M9" s="117" t="s">
        <v>4568</v>
      </c>
      <c r="N9" s="345" t="s">
        <v>4554</v>
      </c>
      <c r="O9" s="103" t="s">
        <v>14435</v>
      </c>
      <c r="P9" s="1683"/>
      <c r="Q9" s="1503"/>
      <c r="R9" s="410" t="s">
        <v>14433</v>
      </c>
      <c r="S9" s="691" t="s">
        <v>14434</v>
      </c>
      <c r="T9" s="117" t="s">
        <v>4410</v>
      </c>
      <c r="U9" s="46" t="s">
        <v>43</v>
      </c>
    </row>
    <row r="10" spans="1:21" ht="18">
      <c r="A10" s="133">
        <v>4</v>
      </c>
      <c r="B10" s="1689"/>
      <c r="C10" s="44" t="s">
        <v>4561</v>
      </c>
      <c r="D10" s="63" t="s">
        <v>4562</v>
      </c>
      <c r="E10" s="103" t="s">
        <v>4516</v>
      </c>
      <c r="F10" s="345" t="s">
        <v>4563</v>
      </c>
      <c r="G10" s="345" t="s">
        <v>29</v>
      </c>
      <c r="H10" s="103" t="s">
        <v>4564</v>
      </c>
      <c r="I10" s="103" t="s">
        <v>4527</v>
      </c>
      <c r="J10" s="103" t="s">
        <v>4480</v>
      </c>
      <c r="K10" s="103" t="s">
        <v>4574</v>
      </c>
      <c r="L10" s="103" t="s">
        <v>4565</v>
      </c>
      <c r="M10" s="117" t="s">
        <v>4569</v>
      </c>
      <c r="N10" s="345" t="s">
        <v>4570</v>
      </c>
      <c r="O10" s="103" t="s">
        <v>4571</v>
      </c>
      <c r="P10" s="46" t="s">
        <v>43</v>
      </c>
      <c r="Q10" s="46" t="s">
        <v>43</v>
      </c>
      <c r="R10" s="56" t="s">
        <v>43</v>
      </c>
      <c r="S10" s="691" t="s">
        <v>14434</v>
      </c>
      <c r="T10" s="345" t="s">
        <v>4573</v>
      </c>
      <c r="U10" s="46" t="s">
        <v>43</v>
      </c>
    </row>
  </sheetData>
  <mergeCells count="9">
    <mergeCell ref="Q8:Q9"/>
    <mergeCell ref="Q2:Q6"/>
    <mergeCell ref="A2:A6"/>
    <mergeCell ref="C2:C6"/>
    <mergeCell ref="P2:P6"/>
    <mergeCell ref="A8:A9"/>
    <mergeCell ref="C8:C9"/>
    <mergeCell ref="P8:P9"/>
    <mergeCell ref="B2:B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43"/>
  <sheetViews>
    <sheetView rightToLeft="1" topLeftCell="F1" workbookViewId="0">
      <selection activeCell="M8" sqref="M8"/>
    </sheetView>
  </sheetViews>
  <sheetFormatPr defaultRowHeight="15"/>
  <cols>
    <col min="3" max="3" width="32.85546875" customWidth="1"/>
    <col min="4" max="4" width="15" customWidth="1"/>
    <col min="5" max="5" width="45.7109375" customWidth="1"/>
    <col min="6" max="6" width="19.42578125" customWidth="1"/>
    <col min="7" max="7" width="20" customWidth="1"/>
    <col min="8" max="8" width="63.7109375" customWidth="1"/>
    <col min="9" max="9" width="17.28515625" customWidth="1"/>
    <col min="10" max="10" width="27.7109375" customWidth="1"/>
    <col min="11" max="11" width="33.85546875" customWidth="1"/>
    <col min="12" max="12" width="25.7109375" customWidth="1"/>
    <col min="13" max="13" width="23.28515625" customWidth="1"/>
    <col min="14" max="14" width="31.85546875" customWidth="1"/>
    <col min="15" max="15" width="51.140625" customWidth="1"/>
    <col min="16" max="16" width="21.7109375" customWidth="1"/>
    <col min="17" max="17" width="12.85546875" customWidth="1"/>
    <col min="18" max="18" width="14.5703125" customWidth="1"/>
    <col min="19" max="19" width="29.85546875" customWidth="1"/>
    <col min="20" max="20" width="27.85546875" customWidth="1"/>
    <col min="21" max="21" width="20.42578125" customWidth="1"/>
    <col min="22" max="22" width="19.5703125" customWidth="1"/>
    <col min="23" max="23" width="26.85546875" customWidth="1"/>
  </cols>
  <sheetData>
    <row r="1" spans="1:24" s="12" customFormat="1" ht="19.5">
      <c r="A1" s="147" t="s">
        <v>0</v>
      </c>
      <c r="B1" s="147" t="s">
        <v>2</v>
      </c>
      <c r="C1" s="147" t="s">
        <v>3</v>
      </c>
      <c r="D1" s="147" t="s">
        <v>4733</v>
      </c>
      <c r="E1" s="147" t="s">
        <v>4714</v>
      </c>
      <c r="F1" s="148" t="s">
        <v>4321</v>
      </c>
      <c r="G1" s="147" t="s">
        <v>11194</v>
      </c>
      <c r="H1" s="147" t="s">
        <v>8</v>
      </c>
      <c r="I1" s="149" t="s">
        <v>196</v>
      </c>
      <c r="J1" s="150" t="s">
        <v>4715</v>
      </c>
      <c r="K1" s="150" t="s">
        <v>4725</v>
      </c>
      <c r="L1" s="150" t="s">
        <v>4727</v>
      </c>
      <c r="M1" s="150" t="s">
        <v>4716</v>
      </c>
      <c r="N1" s="150" t="s">
        <v>4717</v>
      </c>
      <c r="O1" s="147" t="s">
        <v>4718</v>
      </c>
      <c r="P1" s="147" t="s">
        <v>19</v>
      </c>
      <c r="Q1" s="147" t="s">
        <v>20</v>
      </c>
      <c r="R1" s="151" t="s">
        <v>21</v>
      </c>
      <c r="S1" s="148" t="s">
        <v>23</v>
      </c>
      <c r="T1" s="148" t="s">
        <v>4719</v>
      </c>
      <c r="U1" s="152" t="s">
        <v>4720</v>
      </c>
      <c r="V1" s="152" t="s">
        <v>4721</v>
      </c>
      <c r="W1" s="152" t="s">
        <v>4722</v>
      </c>
      <c r="X1" s="147" t="s">
        <v>4406</v>
      </c>
    </row>
    <row r="2" spans="1:24" s="146" customFormat="1" ht="18">
      <c r="A2" s="1785">
        <v>1</v>
      </c>
      <c r="B2" s="1785" t="s">
        <v>423</v>
      </c>
      <c r="C2" s="1785" t="s">
        <v>423</v>
      </c>
      <c r="D2" s="1794" t="s">
        <v>4734</v>
      </c>
      <c r="E2" s="1785" t="s">
        <v>4723</v>
      </c>
      <c r="F2" s="141" t="s">
        <v>4701</v>
      </c>
      <c r="G2" s="153" t="s">
        <v>4680</v>
      </c>
      <c r="H2" s="153" t="s">
        <v>270</v>
      </c>
      <c r="I2" s="153" t="s">
        <v>968</v>
      </c>
      <c r="J2" s="162" t="s">
        <v>43</v>
      </c>
      <c r="K2" s="162" t="s">
        <v>43</v>
      </c>
      <c r="L2" s="162" t="s">
        <v>43</v>
      </c>
      <c r="M2" s="153" t="s">
        <v>4702</v>
      </c>
      <c r="N2" s="153" t="s">
        <v>4703</v>
      </c>
      <c r="O2" s="162">
        <v>40301165842</v>
      </c>
      <c r="P2" s="117" t="s">
        <v>4410</v>
      </c>
      <c r="Q2" s="46" t="s">
        <v>43</v>
      </c>
      <c r="R2" s="153">
        <v>3923</v>
      </c>
      <c r="S2" s="1785" t="s">
        <v>4726</v>
      </c>
      <c r="T2" s="162" t="s">
        <v>4699</v>
      </c>
      <c r="U2" s="492" t="s">
        <v>43</v>
      </c>
      <c r="V2" s="46" t="s">
        <v>43</v>
      </c>
      <c r="W2" s="153">
        <v>2010</v>
      </c>
      <c r="X2" s="46" t="s">
        <v>43</v>
      </c>
    </row>
    <row r="3" spans="1:24" s="146" customFormat="1" ht="18">
      <c r="A3" s="1786"/>
      <c r="B3" s="1786"/>
      <c r="C3" s="1786"/>
      <c r="D3" s="1795"/>
      <c r="E3" s="1787"/>
      <c r="F3" s="136" t="s">
        <v>43</v>
      </c>
      <c r="G3" s="153" t="s">
        <v>4695</v>
      </c>
      <c r="H3" s="153" t="s">
        <v>4448</v>
      </c>
      <c r="I3" s="162" t="s">
        <v>4738</v>
      </c>
      <c r="J3" s="153" t="s">
        <v>4696</v>
      </c>
      <c r="K3" s="153" t="s">
        <v>4697</v>
      </c>
      <c r="L3" s="162" t="s">
        <v>5049</v>
      </c>
      <c r="M3" s="153" t="s">
        <v>4698</v>
      </c>
      <c r="N3" s="162" t="s">
        <v>43</v>
      </c>
      <c r="O3" s="46" t="s">
        <v>43</v>
      </c>
      <c r="P3" s="46" t="s">
        <v>43</v>
      </c>
      <c r="Q3" s="46" t="s">
        <v>43</v>
      </c>
      <c r="R3" s="46" t="s">
        <v>43</v>
      </c>
      <c r="S3" s="1787"/>
      <c r="T3" s="162" t="s">
        <v>4699</v>
      </c>
      <c r="U3" s="492" t="s">
        <v>43</v>
      </c>
      <c r="V3" s="56" t="s">
        <v>43</v>
      </c>
      <c r="W3" s="153" t="s">
        <v>4700</v>
      </c>
      <c r="X3" s="46" t="s">
        <v>43</v>
      </c>
    </row>
    <row r="4" spans="1:24" s="146" customFormat="1" ht="18">
      <c r="A4" s="1785">
        <v>2</v>
      </c>
      <c r="B4" s="1786"/>
      <c r="C4" s="1786"/>
      <c r="D4" s="1788" t="s">
        <v>4735</v>
      </c>
      <c r="E4" s="153" t="s">
        <v>4730</v>
      </c>
      <c r="F4" s="141" t="s">
        <v>4673</v>
      </c>
      <c r="G4" s="153" t="s">
        <v>4674</v>
      </c>
      <c r="H4" s="153" t="s">
        <v>270</v>
      </c>
      <c r="I4" s="153" t="s">
        <v>4724</v>
      </c>
      <c r="J4" s="153" t="s">
        <v>4675</v>
      </c>
      <c r="K4" s="153" t="s">
        <v>4676</v>
      </c>
      <c r="L4" s="153" t="s">
        <v>4728</v>
      </c>
      <c r="M4" s="153" t="s">
        <v>4677</v>
      </c>
      <c r="N4" s="162" t="s">
        <v>4678</v>
      </c>
      <c r="O4" s="135" t="s">
        <v>4673</v>
      </c>
      <c r="P4" s="117" t="s">
        <v>4410</v>
      </c>
      <c r="Q4" s="46" t="s">
        <v>43</v>
      </c>
      <c r="R4" s="162">
        <v>912</v>
      </c>
      <c r="S4" s="153" t="s">
        <v>4729</v>
      </c>
      <c r="T4" s="46" t="s">
        <v>43</v>
      </c>
      <c r="U4" s="492" t="s">
        <v>43</v>
      </c>
      <c r="V4" s="46" t="s">
        <v>43</v>
      </c>
      <c r="W4" s="153">
        <v>2010</v>
      </c>
      <c r="X4" s="46" t="s">
        <v>43</v>
      </c>
    </row>
    <row r="5" spans="1:24" s="146" customFormat="1" ht="18">
      <c r="A5" s="1786"/>
      <c r="B5" s="1786"/>
      <c r="C5" s="1786"/>
      <c r="D5" s="1789"/>
      <c r="E5" s="965" t="s">
        <v>15785</v>
      </c>
      <c r="F5" s="141"/>
      <c r="G5" s="153" t="s">
        <v>5088</v>
      </c>
      <c r="H5" s="153" t="s">
        <v>4448</v>
      </c>
      <c r="I5" s="153" t="s">
        <v>15786</v>
      </c>
      <c r="J5" s="153" t="s">
        <v>15780</v>
      </c>
      <c r="K5" s="153" t="s">
        <v>15787</v>
      </c>
      <c r="L5" s="153" t="s">
        <v>4683</v>
      </c>
      <c r="M5" s="153" t="s">
        <v>15782</v>
      </c>
      <c r="N5" s="162" t="s">
        <v>43</v>
      </c>
      <c r="O5" s="135" t="s">
        <v>43</v>
      </c>
      <c r="P5" s="117" t="s">
        <v>43</v>
      </c>
      <c r="Q5" s="964" t="s">
        <v>43</v>
      </c>
      <c r="R5" s="162" t="s">
        <v>43</v>
      </c>
      <c r="S5" s="153" t="s">
        <v>4686</v>
      </c>
      <c r="T5" s="964" t="s">
        <v>15788</v>
      </c>
      <c r="U5" s="963" t="s">
        <v>43</v>
      </c>
      <c r="V5" s="964" t="s">
        <v>43</v>
      </c>
      <c r="W5" s="153">
        <v>1544</v>
      </c>
      <c r="X5" s="964" t="s">
        <v>43</v>
      </c>
    </row>
    <row r="6" spans="1:24" s="146" customFormat="1" ht="18">
      <c r="A6" s="1786"/>
      <c r="B6" s="1786"/>
      <c r="C6" s="1786"/>
      <c r="D6" s="1789"/>
      <c r="E6" s="1785" t="s">
        <v>4731</v>
      </c>
      <c r="F6" s="141" t="s">
        <v>4679</v>
      </c>
      <c r="G6" s="153" t="s">
        <v>4680</v>
      </c>
      <c r="H6" s="153" t="s">
        <v>270</v>
      </c>
      <c r="I6" s="153" t="s">
        <v>4724</v>
      </c>
      <c r="J6" s="153" t="s">
        <v>4681</v>
      </c>
      <c r="K6" s="153" t="s">
        <v>4682</v>
      </c>
      <c r="L6" s="153" t="s">
        <v>4683</v>
      </c>
      <c r="M6" s="153" t="s">
        <v>4684</v>
      </c>
      <c r="N6" s="153" t="s">
        <v>4685</v>
      </c>
      <c r="O6" s="135" t="s">
        <v>4679</v>
      </c>
      <c r="P6" s="117" t="s">
        <v>4410</v>
      </c>
      <c r="Q6" s="46" t="s">
        <v>43</v>
      </c>
      <c r="R6" s="162">
        <v>2502</v>
      </c>
      <c r="S6" s="1785" t="s">
        <v>4732</v>
      </c>
      <c r="T6" s="153" t="s">
        <v>4687</v>
      </c>
      <c r="U6" s="46" t="s">
        <v>11802</v>
      </c>
      <c r="V6" s="46" t="s">
        <v>43</v>
      </c>
      <c r="W6" s="153">
        <v>2010</v>
      </c>
      <c r="X6" s="46" t="s">
        <v>43</v>
      </c>
    </row>
    <row r="7" spans="1:24" s="146" customFormat="1" ht="18">
      <c r="A7" s="1786"/>
      <c r="B7" s="1787"/>
      <c r="C7" s="1787"/>
      <c r="D7" s="1789"/>
      <c r="E7" s="1787"/>
      <c r="F7" s="136" t="s">
        <v>43</v>
      </c>
      <c r="G7" s="153" t="s">
        <v>4736</v>
      </c>
      <c r="H7" s="153" t="s">
        <v>4448</v>
      </c>
      <c r="I7" s="153" t="s">
        <v>4738</v>
      </c>
      <c r="J7" s="153" t="s">
        <v>4681</v>
      </c>
      <c r="K7" s="153" t="s">
        <v>4682</v>
      </c>
      <c r="L7" s="153" t="s">
        <v>4683</v>
      </c>
      <c r="M7" s="153" t="s">
        <v>4688</v>
      </c>
      <c r="N7" s="46" t="s">
        <v>43</v>
      </c>
      <c r="O7" s="46" t="s">
        <v>43</v>
      </c>
      <c r="P7" s="46" t="s">
        <v>43</v>
      </c>
      <c r="Q7" s="46" t="s">
        <v>43</v>
      </c>
      <c r="R7" s="162">
        <v>501</v>
      </c>
      <c r="S7" s="1787"/>
      <c r="T7" s="153" t="s">
        <v>4689</v>
      </c>
      <c r="U7" s="492" t="s">
        <v>43</v>
      </c>
      <c r="V7" s="56" t="s">
        <v>43</v>
      </c>
      <c r="W7" s="105" t="s">
        <v>5055</v>
      </c>
      <c r="X7" s="46" t="s">
        <v>43</v>
      </c>
    </row>
    <row r="8" spans="1:24" s="146" customFormat="1" ht="18">
      <c r="A8" s="1786"/>
      <c r="B8" s="153" t="s">
        <v>1598</v>
      </c>
      <c r="C8" s="153" t="s">
        <v>1598</v>
      </c>
      <c r="D8" s="1789"/>
      <c r="E8" s="153" t="s">
        <v>4690</v>
      </c>
      <c r="F8" s="136" t="s">
        <v>43</v>
      </c>
      <c r="G8" s="153" t="s">
        <v>1158</v>
      </c>
      <c r="H8" s="153" t="s">
        <v>4448</v>
      </c>
      <c r="I8" s="153" t="s">
        <v>4738</v>
      </c>
      <c r="J8" s="153" t="s">
        <v>4691</v>
      </c>
      <c r="K8" s="153" t="s">
        <v>4692</v>
      </c>
      <c r="L8" s="153" t="s">
        <v>4683</v>
      </c>
      <c r="M8" s="153" t="s">
        <v>4693</v>
      </c>
      <c r="N8" s="46" t="s">
        <v>43</v>
      </c>
      <c r="O8" s="46" t="s">
        <v>43</v>
      </c>
      <c r="P8" s="46" t="s">
        <v>43</v>
      </c>
      <c r="Q8" s="46" t="s">
        <v>43</v>
      </c>
      <c r="R8" s="162">
        <v>100</v>
      </c>
      <c r="S8" s="153" t="s">
        <v>4737</v>
      </c>
      <c r="T8" s="153" t="s">
        <v>4694</v>
      </c>
      <c r="U8" s="492" t="s">
        <v>43</v>
      </c>
      <c r="V8" s="56" t="s">
        <v>43</v>
      </c>
      <c r="W8" s="105" t="s">
        <v>5055</v>
      </c>
      <c r="X8" s="46" t="s">
        <v>43</v>
      </c>
    </row>
    <row r="9" spans="1:24" s="146" customFormat="1" ht="18">
      <c r="A9" s="1787"/>
      <c r="B9" s="1785" t="s">
        <v>423</v>
      </c>
      <c r="C9" s="1785" t="s">
        <v>423</v>
      </c>
      <c r="D9" s="1790"/>
      <c r="E9" s="153" t="s">
        <v>5050</v>
      </c>
      <c r="F9" s="141">
        <v>99257229</v>
      </c>
      <c r="G9" s="153" t="s">
        <v>4680</v>
      </c>
      <c r="H9" s="153" t="s">
        <v>29</v>
      </c>
      <c r="I9" s="153" t="s">
        <v>4476</v>
      </c>
      <c r="J9" s="153" t="s">
        <v>4681</v>
      </c>
      <c r="K9" s="153" t="s">
        <v>4710</v>
      </c>
      <c r="L9" s="105" t="s">
        <v>5051</v>
      </c>
      <c r="M9" s="153" t="s">
        <v>4400</v>
      </c>
      <c r="N9" s="153" t="s">
        <v>4401</v>
      </c>
      <c r="O9" s="46" t="s">
        <v>43</v>
      </c>
      <c r="P9" s="46" t="s">
        <v>43</v>
      </c>
      <c r="Q9" s="46" t="s">
        <v>43</v>
      </c>
      <c r="R9" s="46" t="s">
        <v>43</v>
      </c>
      <c r="S9" s="153" t="s">
        <v>4686</v>
      </c>
      <c r="T9" s="162" t="s">
        <v>5054</v>
      </c>
      <c r="U9" s="492" t="s">
        <v>43</v>
      </c>
      <c r="V9" s="46" t="s">
        <v>43</v>
      </c>
      <c r="W9" s="105" t="s">
        <v>4739</v>
      </c>
      <c r="X9" s="46" t="s">
        <v>43</v>
      </c>
    </row>
    <row r="10" spans="1:24" s="146" customFormat="1" ht="18">
      <c r="A10" s="1786">
        <v>3</v>
      </c>
      <c r="B10" s="1786"/>
      <c r="C10" s="1786"/>
      <c r="D10" s="1786" t="s">
        <v>4741</v>
      </c>
      <c r="E10" s="153" t="s">
        <v>5044</v>
      </c>
      <c r="F10" s="136" t="s">
        <v>43</v>
      </c>
      <c r="G10" s="1785" t="s">
        <v>4706</v>
      </c>
      <c r="H10" s="1785" t="s">
        <v>4448</v>
      </c>
      <c r="I10" s="162" t="s">
        <v>5046</v>
      </c>
      <c r="J10" s="162" t="s">
        <v>43</v>
      </c>
      <c r="K10" s="162" t="s">
        <v>43</v>
      </c>
      <c r="L10" s="162" t="s">
        <v>4707</v>
      </c>
      <c r="M10" s="162" t="s">
        <v>4709</v>
      </c>
      <c r="N10" s="46" t="s">
        <v>43</v>
      </c>
      <c r="O10" s="46" t="s">
        <v>43</v>
      </c>
      <c r="P10" s="46" t="s">
        <v>43</v>
      </c>
      <c r="Q10" s="46" t="s">
        <v>43</v>
      </c>
      <c r="R10" s="153">
        <v>3003</v>
      </c>
      <c r="S10" s="46" t="s">
        <v>43</v>
      </c>
      <c r="T10" s="46" t="s">
        <v>43</v>
      </c>
      <c r="U10" s="492" t="s">
        <v>43</v>
      </c>
      <c r="V10" s="56" t="s">
        <v>43</v>
      </c>
      <c r="W10" s="1791">
        <v>84211200</v>
      </c>
      <c r="X10" s="46" t="s">
        <v>43</v>
      </c>
    </row>
    <row r="11" spans="1:24" s="146" customFormat="1" ht="18">
      <c r="A11" s="1786"/>
      <c r="B11" s="1786"/>
      <c r="C11" s="1786"/>
      <c r="D11" s="1786"/>
      <c r="E11" s="153" t="s">
        <v>4740</v>
      </c>
      <c r="F11" s="136" t="s">
        <v>43</v>
      </c>
      <c r="G11" s="1786"/>
      <c r="H11" s="1786"/>
      <c r="I11" s="162" t="s">
        <v>5047</v>
      </c>
      <c r="J11" s="162" t="s">
        <v>43</v>
      </c>
      <c r="K11" s="162" t="s">
        <v>43</v>
      </c>
      <c r="L11" s="153" t="s">
        <v>4707</v>
      </c>
      <c r="M11" s="153" t="s">
        <v>4708</v>
      </c>
      <c r="N11" s="46" t="s">
        <v>43</v>
      </c>
      <c r="O11" s="46" t="s">
        <v>43</v>
      </c>
      <c r="P11" s="46" t="s">
        <v>43</v>
      </c>
      <c r="Q11" s="46" t="s">
        <v>43</v>
      </c>
      <c r="R11" s="153">
        <v>3002</v>
      </c>
      <c r="S11" s="46" t="s">
        <v>43</v>
      </c>
      <c r="T11" s="46" t="s">
        <v>43</v>
      </c>
      <c r="U11" s="492" t="s">
        <v>43</v>
      </c>
      <c r="V11" s="56" t="s">
        <v>43</v>
      </c>
      <c r="W11" s="1792"/>
      <c r="X11" s="46" t="s">
        <v>43</v>
      </c>
    </row>
    <row r="12" spans="1:24" s="146" customFormat="1" ht="18">
      <c r="A12" s="1787"/>
      <c r="B12" s="1787"/>
      <c r="C12" s="1787"/>
      <c r="D12" s="1787"/>
      <c r="E12" s="153" t="s">
        <v>5045</v>
      </c>
      <c r="F12" s="136" t="s">
        <v>43</v>
      </c>
      <c r="G12" s="1787"/>
      <c r="H12" s="1787"/>
      <c r="I12" s="162" t="s">
        <v>5048</v>
      </c>
      <c r="J12" s="162" t="s">
        <v>43</v>
      </c>
      <c r="K12" s="162" t="s">
        <v>43</v>
      </c>
      <c r="L12" s="153" t="s">
        <v>4707</v>
      </c>
      <c r="M12" s="153" t="s">
        <v>5052</v>
      </c>
      <c r="N12" s="46" t="s">
        <v>43</v>
      </c>
      <c r="O12" s="46" t="s">
        <v>43</v>
      </c>
      <c r="P12" s="46" t="s">
        <v>43</v>
      </c>
      <c r="Q12" s="46" t="s">
        <v>43</v>
      </c>
      <c r="R12" s="153">
        <v>3001</v>
      </c>
      <c r="S12" s="46" t="s">
        <v>43</v>
      </c>
      <c r="T12" s="46" t="s">
        <v>43</v>
      </c>
      <c r="U12" s="492" t="s">
        <v>43</v>
      </c>
      <c r="V12" s="56" t="s">
        <v>43</v>
      </c>
      <c r="W12" s="1793"/>
      <c r="X12" s="46" t="s">
        <v>43</v>
      </c>
    </row>
    <row r="13" spans="1:24" s="146" customFormat="1" ht="18">
      <c r="A13" s="153">
        <v>4</v>
      </c>
      <c r="B13" s="153" t="s">
        <v>2476</v>
      </c>
      <c r="C13" s="153" t="s">
        <v>2476</v>
      </c>
      <c r="D13" s="153" t="s">
        <v>4734</v>
      </c>
      <c r="E13" s="153" t="s">
        <v>4594</v>
      </c>
      <c r="F13" s="141">
        <v>4220980</v>
      </c>
      <c r="G13" s="153" t="s">
        <v>4674</v>
      </c>
      <c r="H13" s="153" t="s">
        <v>270</v>
      </c>
      <c r="I13" s="153" t="s">
        <v>4704</v>
      </c>
      <c r="J13" s="153" t="s">
        <v>4711</v>
      </c>
      <c r="K13" s="162" t="s">
        <v>43</v>
      </c>
      <c r="L13" s="162" t="s">
        <v>43</v>
      </c>
      <c r="M13" s="153" t="s">
        <v>4712</v>
      </c>
      <c r="N13" s="162" t="s">
        <v>5053</v>
      </c>
      <c r="O13" s="46" t="s">
        <v>43</v>
      </c>
      <c r="P13" s="117" t="s">
        <v>4410</v>
      </c>
      <c r="Q13" s="46" t="s">
        <v>43</v>
      </c>
      <c r="R13" s="46" t="s">
        <v>43</v>
      </c>
      <c r="S13" s="153" t="s">
        <v>4705</v>
      </c>
      <c r="T13" s="153" t="s">
        <v>4713</v>
      </c>
      <c r="U13" s="492" t="s">
        <v>43</v>
      </c>
      <c r="V13" s="46" t="s">
        <v>43</v>
      </c>
      <c r="W13" s="153">
        <v>2010</v>
      </c>
      <c r="X13" s="46" t="s">
        <v>43</v>
      </c>
    </row>
    <row r="17" spans="1:8" ht="30" customHeight="1"/>
    <row r="20" spans="1:8" ht="15.75" thickBot="1"/>
    <row r="21" spans="1:8" ht="21.75" thickTop="1">
      <c r="A21" s="264" t="s">
        <v>0</v>
      </c>
      <c r="B21" s="265" t="s">
        <v>7726</v>
      </c>
      <c r="C21" s="265" t="s">
        <v>7731</v>
      </c>
      <c r="D21" s="265" t="s">
        <v>196</v>
      </c>
      <c r="E21" s="265" t="s">
        <v>7727</v>
      </c>
      <c r="F21" s="265" t="s">
        <v>7728</v>
      </c>
      <c r="G21" s="279" t="s">
        <v>7743</v>
      </c>
      <c r="H21" s="266" t="s">
        <v>4406</v>
      </c>
    </row>
    <row r="22" spans="1:8" ht="19.5">
      <c r="A22" s="270">
        <v>1</v>
      </c>
      <c r="B22" s="267" t="s">
        <v>4695</v>
      </c>
      <c r="C22" s="267" t="s">
        <v>11378</v>
      </c>
      <c r="D22" s="272" t="s">
        <v>7747</v>
      </c>
      <c r="E22" s="416">
        <v>1</v>
      </c>
      <c r="F22" s="416"/>
      <c r="G22" s="417" t="s">
        <v>11379</v>
      </c>
      <c r="H22" s="418" t="s">
        <v>11380</v>
      </c>
    </row>
    <row r="23" spans="1:8" ht="20.25" thickBot="1">
      <c r="A23" s="274">
        <v>2</v>
      </c>
      <c r="B23" s="278" t="s">
        <v>4695</v>
      </c>
      <c r="C23" s="278" t="s">
        <v>11381</v>
      </c>
      <c r="D23" s="275"/>
      <c r="E23" s="419"/>
      <c r="F23" s="419"/>
      <c r="G23" s="420" t="s">
        <v>11382</v>
      </c>
      <c r="H23" s="421" t="s">
        <v>11380</v>
      </c>
    </row>
    <row r="24" spans="1:8" ht="21" thickTop="1" thickBot="1">
      <c r="A24" s="274">
        <v>3</v>
      </c>
      <c r="B24" s="278" t="s">
        <v>4695</v>
      </c>
      <c r="C24" s="278" t="s">
        <v>11383</v>
      </c>
      <c r="D24" s="275"/>
      <c r="E24" s="419"/>
      <c r="F24" s="419"/>
      <c r="G24" s="420" t="s">
        <v>11384</v>
      </c>
      <c r="H24" s="421" t="s">
        <v>11380</v>
      </c>
    </row>
    <row r="25" spans="1:8" ht="21" thickTop="1" thickBot="1">
      <c r="A25" s="274">
        <v>4</v>
      </c>
      <c r="B25" s="278" t="s">
        <v>4695</v>
      </c>
      <c r="C25" s="278" t="s">
        <v>11385</v>
      </c>
      <c r="D25" s="275" t="s">
        <v>7742</v>
      </c>
      <c r="E25" s="419">
        <v>1</v>
      </c>
      <c r="F25" s="419"/>
      <c r="G25" s="420" t="s">
        <v>11386</v>
      </c>
      <c r="H25" s="421" t="s">
        <v>11380</v>
      </c>
    </row>
    <row r="26" spans="1:8" ht="21" thickTop="1" thickBot="1">
      <c r="A26" s="422">
        <v>5</v>
      </c>
      <c r="B26" s="423" t="s">
        <v>4695</v>
      </c>
      <c r="C26" s="278" t="s">
        <v>11387</v>
      </c>
      <c r="D26" s="275"/>
      <c r="E26" s="419"/>
      <c r="F26" s="419"/>
      <c r="G26" s="420" t="s">
        <v>11382</v>
      </c>
      <c r="H26" s="421" t="s">
        <v>11380</v>
      </c>
    </row>
    <row r="27" spans="1:8" ht="21" thickTop="1" thickBot="1">
      <c r="A27" s="422">
        <v>6</v>
      </c>
      <c r="B27" s="423" t="s">
        <v>4695</v>
      </c>
      <c r="C27" s="278" t="s">
        <v>11388</v>
      </c>
      <c r="D27" s="275"/>
      <c r="E27" s="419"/>
      <c r="F27" s="419"/>
      <c r="G27" s="420" t="s">
        <v>11389</v>
      </c>
      <c r="H27" s="421" t="s">
        <v>11380</v>
      </c>
    </row>
    <row r="28" spans="1:8" ht="15.75" thickTop="1"/>
    <row r="30" spans="1:8" ht="15.75" thickBot="1">
      <c r="A30" s="114"/>
      <c r="B30" s="204"/>
      <c r="C30" s="204"/>
      <c r="D30" s="204"/>
      <c r="E30" s="204"/>
      <c r="F30" s="204"/>
      <c r="G30" s="204"/>
      <c r="H30" s="114"/>
    </row>
    <row r="31" spans="1:8" ht="20.25" thickTop="1">
      <c r="A31" s="283" t="s">
        <v>0</v>
      </c>
      <c r="B31" s="284" t="s">
        <v>7726</v>
      </c>
      <c r="C31" s="284" t="s">
        <v>7731</v>
      </c>
      <c r="D31" s="284" t="s">
        <v>196</v>
      </c>
      <c r="E31" s="284" t="s">
        <v>7727</v>
      </c>
      <c r="F31" s="284" t="s">
        <v>7728</v>
      </c>
      <c r="G31" s="284" t="s">
        <v>7744</v>
      </c>
      <c r="H31" s="285" t="s">
        <v>4406</v>
      </c>
    </row>
    <row r="32" spans="1:8" ht="20.25" thickBot="1">
      <c r="A32" s="280">
        <v>1</v>
      </c>
      <c r="B32" s="281" t="s">
        <v>5156</v>
      </c>
      <c r="C32" s="281" t="s">
        <v>11176</v>
      </c>
      <c r="D32" s="281" t="s">
        <v>7735</v>
      </c>
      <c r="E32" s="281">
        <v>12</v>
      </c>
      <c r="F32" s="424" t="s">
        <v>11390</v>
      </c>
      <c r="G32" s="424" t="s">
        <v>11391</v>
      </c>
      <c r="H32" s="282" t="s">
        <v>11380</v>
      </c>
    </row>
    <row r="33" spans="1:8" ht="21" thickTop="1" thickBot="1">
      <c r="A33" s="280">
        <v>2</v>
      </c>
      <c r="B33" s="281" t="s">
        <v>5156</v>
      </c>
      <c r="C33" s="281" t="s">
        <v>11175</v>
      </c>
      <c r="D33" s="281" t="s">
        <v>1677</v>
      </c>
      <c r="E33" s="281">
        <v>12</v>
      </c>
      <c r="F33" s="424" t="s">
        <v>11392</v>
      </c>
      <c r="G33" s="424" t="s">
        <v>11393</v>
      </c>
      <c r="H33" s="282" t="s">
        <v>11380</v>
      </c>
    </row>
    <row r="34" spans="1:8" ht="15.75" thickTop="1">
      <c r="A34" s="114"/>
      <c r="B34" s="204"/>
      <c r="C34" s="204"/>
      <c r="D34" s="204"/>
      <c r="E34" s="204"/>
      <c r="F34" s="204"/>
      <c r="G34" s="204"/>
      <c r="H34" s="114"/>
    </row>
    <row r="35" spans="1:8" ht="15.75" thickBot="1">
      <c r="A35" s="114"/>
      <c r="B35" s="204"/>
      <c r="C35" s="204"/>
      <c r="D35" s="204"/>
      <c r="E35" s="204"/>
      <c r="F35" s="204"/>
      <c r="G35" s="204"/>
      <c r="H35" s="114"/>
    </row>
    <row r="36" spans="1:8" ht="21.75" thickTop="1">
      <c r="A36" s="264" t="s">
        <v>0</v>
      </c>
      <c r="B36" s="265" t="s">
        <v>7726</v>
      </c>
      <c r="C36" s="265" t="s">
        <v>7731</v>
      </c>
      <c r="D36" s="265" t="s">
        <v>196</v>
      </c>
      <c r="E36" s="265" t="s">
        <v>7727</v>
      </c>
      <c r="F36" s="265" t="s">
        <v>7728</v>
      </c>
      <c r="G36" s="265" t="s">
        <v>7744</v>
      </c>
      <c r="H36" s="266" t="s">
        <v>4406</v>
      </c>
    </row>
    <row r="37" spans="1:8" ht="19.5">
      <c r="A37" s="270">
        <v>1</v>
      </c>
      <c r="B37" s="271" t="s">
        <v>4706</v>
      </c>
      <c r="C37" s="267" t="s">
        <v>9165</v>
      </c>
      <c r="D37" s="272" t="s">
        <v>7734</v>
      </c>
      <c r="E37" s="272">
        <v>12</v>
      </c>
      <c r="F37" s="272">
        <f>61640000+6164000</f>
        <v>67804000</v>
      </c>
      <c r="G37" s="273">
        <f>F37*E37</f>
        <v>813648000</v>
      </c>
      <c r="H37" s="418" t="s">
        <v>9062</v>
      </c>
    </row>
    <row r="38" spans="1:8" ht="20.25" thickBot="1">
      <c r="A38" s="274">
        <v>1</v>
      </c>
      <c r="B38" s="275" t="s">
        <v>4706</v>
      </c>
      <c r="C38" s="278" t="s">
        <v>9063</v>
      </c>
      <c r="D38" s="276" t="s">
        <v>9064</v>
      </c>
      <c r="E38" s="275">
        <v>12</v>
      </c>
      <c r="F38" s="275">
        <f>4000000+400000</f>
        <v>4400000</v>
      </c>
      <c r="G38" s="277">
        <f>F38*E38</f>
        <v>52800000</v>
      </c>
      <c r="H38" s="421" t="s">
        <v>9062</v>
      </c>
    </row>
    <row r="39" spans="1:8" ht="15.75" thickTop="1">
      <c r="A39" s="114"/>
      <c r="B39" s="204"/>
      <c r="C39" s="204"/>
      <c r="D39" s="204"/>
      <c r="E39" s="204"/>
      <c r="F39" s="204"/>
      <c r="G39" s="204"/>
      <c r="H39" s="114"/>
    </row>
    <row r="40" spans="1:8" ht="15.75" thickBot="1">
      <c r="A40" s="114"/>
      <c r="B40" s="204"/>
      <c r="C40" s="204"/>
      <c r="D40" s="204"/>
      <c r="E40" s="204"/>
      <c r="F40" s="204"/>
      <c r="G40" s="204"/>
      <c r="H40" s="114"/>
    </row>
    <row r="41" spans="1:8" ht="21.75" thickTop="1">
      <c r="A41" s="264" t="s">
        <v>0</v>
      </c>
      <c r="B41" s="265" t="s">
        <v>7726</v>
      </c>
      <c r="C41" s="265" t="s">
        <v>7731</v>
      </c>
      <c r="D41" s="265" t="s">
        <v>196</v>
      </c>
      <c r="E41" s="265" t="s">
        <v>7727</v>
      </c>
      <c r="F41" s="265" t="s">
        <v>7728</v>
      </c>
      <c r="G41" s="265" t="s">
        <v>7744</v>
      </c>
      <c r="H41" s="266" t="s">
        <v>4406</v>
      </c>
    </row>
    <row r="42" spans="1:8" ht="19.5">
      <c r="A42" s="270">
        <v>1</v>
      </c>
      <c r="B42" s="271" t="s">
        <v>7594</v>
      </c>
      <c r="C42" s="267" t="s">
        <v>11173</v>
      </c>
      <c r="D42" s="272" t="s">
        <v>7742</v>
      </c>
      <c r="E42" s="272">
        <v>12</v>
      </c>
      <c r="F42" s="416" t="s">
        <v>11394</v>
      </c>
      <c r="G42" s="417" t="s">
        <v>11366</v>
      </c>
      <c r="H42" s="418" t="s">
        <v>11380</v>
      </c>
    </row>
    <row r="43" spans="1:8" ht="19.5">
      <c r="A43" s="270">
        <v>2</v>
      </c>
      <c r="B43" s="271" t="s">
        <v>7594</v>
      </c>
      <c r="C43" s="267" t="s">
        <v>11174</v>
      </c>
      <c r="D43" s="272" t="s">
        <v>7742</v>
      </c>
      <c r="E43" s="272">
        <v>12</v>
      </c>
      <c r="F43" s="416" t="s">
        <v>11394</v>
      </c>
      <c r="G43" s="417" t="s">
        <v>11366</v>
      </c>
      <c r="H43" s="418" t="s">
        <v>11380</v>
      </c>
    </row>
  </sheetData>
  <mergeCells count="17">
    <mergeCell ref="S2:S3"/>
    <mergeCell ref="G10:G12"/>
    <mergeCell ref="H10:H12"/>
    <mergeCell ref="W10:W12"/>
    <mergeCell ref="D2:D3"/>
    <mergeCell ref="E6:E7"/>
    <mergeCell ref="S6:S7"/>
    <mergeCell ref="E2:E3"/>
    <mergeCell ref="A4:A9"/>
    <mergeCell ref="D4:D9"/>
    <mergeCell ref="A10:A12"/>
    <mergeCell ref="B9:B12"/>
    <mergeCell ref="C9:C12"/>
    <mergeCell ref="D10:D12"/>
    <mergeCell ref="B2:B7"/>
    <mergeCell ref="C2:C7"/>
    <mergeCell ref="A2:A3"/>
  </mergeCells>
  <conditionalFormatting sqref="M1:N1">
    <cfRule type="duplicateValues" dxfId="741" priority="1"/>
    <cfRule type="duplicateValues" dxfId="740" priority="2"/>
  </conditionalFormatting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69"/>
  <sheetViews>
    <sheetView rightToLeft="1" workbookViewId="0">
      <selection activeCell="A45" sqref="A45:H69"/>
    </sheetView>
  </sheetViews>
  <sheetFormatPr defaultColWidth="39" defaultRowHeight="15.75"/>
  <cols>
    <col min="1" max="1" width="8.140625" style="59" customWidth="1"/>
    <col min="2" max="2" width="16.85546875" style="59" customWidth="1"/>
    <col min="3" max="3" width="20.85546875" style="59" customWidth="1"/>
    <col min="4" max="4" width="21.42578125" style="59" customWidth="1"/>
    <col min="5" max="5" width="31" style="59" customWidth="1"/>
    <col min="6" max="16384" width="39" style="176"/>
  </cols>
  <sheetData>
    <row r="1" spans="1:5" ht="20.25">
      <c r="A1" s="1802" t="s">
        <v>7594</v>
      </c>
      <c r="B1" s="1802"/>
      <c r="C1" s="1802"/>
      <c r="D1" s="1802"/>
      <c r="E1" s="1802"/>
    </row>
    <row r="2" spans="1:5" ht="20.25">
      <c r="A2" s="1803" t="s">
        <v>7595</v>
      </c>
      <c r="B2" s="1803"/>
      <c r="C2" s="1803"/>
      <c r="D2" s="1803"/>
      <c r="E2" s="1803"/>
    </row>
    <row r="3" spans="1:5" ht="20.25">
      <c r="A3" s="177" t="s">
        <v>0</v>
      </c>
      <c r="B3" s="177" t="s">
        <v>7596</v>
      </c>
      <c r="C3" s="177" t="s">
        <v>7597</v>
      </c>
      <c r="D3" s="177" t="s">
        <v>7598</v>
      </c>
      <c r="E3" s="178" t="s">
        <v>7599</v>
      </c>
    </row>
    <row r="4" spans="1:5">
      <c r="A4" s="179">
        <v>1</v>
      </c>
      <c r="B4" s="180" t="s">
        <v>7600</v>
      </c>
      <c r="C4" s="181" t="s">
        <v>7601</v>
      </c>
      <c r="D4" s="181">
        <v>18</v>
      </c>
      <c r="E4" s="182" t="s">
        <v>7602</v>
      </c>
    </row>
    <row r="5" spans="1:5">
      <c r="A5" s="179">
        <v>2</v>
      </c>
      <c r="B5" s="180" t="s">
        <v>7603</v>
      </c>
      <c r="C5" s="181" t="s">
        <v>7604</v>
      </c>
      <c r="D5" s="181">
        <v>16</v>
      </c>
      <c r="E5" s="182" t="s">
        <v>7605</v>
      </c>
    </row>
    <row r="6" spans="1:5">
      <c r="A6" s="179">
        <v>3</v>
      </c>
      <c r="B6" s="180" t="s">
        <v>7606</v>
      </c>
      <c r="C6" s="181" t="s">
        <v>7607</v>
      </c>
      <c r="D6" s="181">
        <v>11</v>
      </c>
      <c r="E6" s="182" t="s">
        <v>7608</v>
      </c>
    </row>
    <row r="7" spans="1:5">
      <c r="A7" s="179">
        <v>4</v>
      </c>
      <c r="B7" s="180" t="s">
        <v>7609</v>
      </c>
      <c r="C7" s="181" t="s">
        <v>7607</v>
      </c>
      <c r="D7" s="181" t="s">
        <v>7610</v>
      </c>
      <c r="E7" s="182" t="s">
        <v>7611</v>
      </c>
    </row>
    <row r="8" spans="1:5">
      <c r="A8" s="1804" t="s">
        <v>7612</v>
      </c>
      <c r="B8" s="1804"/>
      <c r="C8" s="1804"/>
      <c r="D8" s="1804"/>
      <c r="E8" s="1804"/>
    </row>
    <row r="9" spans="1:5">
      <c r="A9" s="178" t="s">
        <v>0</v>
      </c>
      <c r="B9" s="178" t="s">
        <v>7596</v>
      </c>
      <c r="C9" s="178" t="s">
        <v>7597</v>
      </c>
      <c r="D9" s="178" t="s">
        <v>7598</v>
      </c>
      <c r="E9" s="178" t="s">
        <v>7613</v>
      </c>
    </row>
    <row r="10" spans="1:5">
      <c r="A10" s="179">
        <v>1</v>
      </c>
      <c r="B10" s="181" t="s">
        <v>7614</v>
      </c>
      <c r="C10" s="181" t="s">
        <v>7615</v>
      </c>
      <c r="D10" s="181" t="s">
        <v>7616</v>
      </c>
      <c r="E10" s="183" t="s">
        <v>7617</v>
      </c>
    </row>
    <row r="11" spans="1:5">
      <c r="A11" s="1796"/>
      <c r="B11" s="1797"/>
      <c r="C11" s="1797"/>
      <c r="D11" s="1797"/>
      <c r="E11" s="1798"/>
    </row>
    <row r="12" spans="1:5">
      <c r="A12" s="178" t="s">
        <v>0</v>
      </c>
      <c r="B12" s="178" t="s">
        <v>7596</v>
      </c>
      <c r="C12" s="178" t="s">
        <v>7597</v>
      </c>
      <c r="D12" s="184" t="s">
        <v>7598</v>
      </c>
      <c r="E12" s="178" t="s">
        <v>7613</v>
      </c>
    </row>
    <row r="13" spans="1:5">
      <c r="A13" s="181">
        <v>1</v>
      </c>
      <c r="B13" s="181" t="s">
        <v>7618</v>
      </c>
      <c r="C13" s="181" t="s">
        <v>7619</v>
      </c>
      <c r="D13" s="185" t="s">
        <v>7620</v>
      </c>
      <c r="E13" s="183" t="s">
        <v>7621</v>
      </c>
    </row>
    <row r="14" spans="1:5">
      <c r="A14" s="1796" t="s">
        <v>7622</v>
      </c>
      <c r="B14" s="1797"/>
      <c r="C14" s="1797"/>
      <c r="D14" s="1797"/>
      <c r="E14" s="1798"/>
    </row>
    <row r="15" spans="1:5">
      <c r="A15" s="178" t="s">
        <v>0</v>
      </c>
      <c r="B15" s="178" t="s">
        <v>7596</v>
      </c>
      <c r="C15" s="178" t="s">
        <v>7597</v>
      </c>
      <c r="D15" s="184" t="s">
        <v>7598</v>
      </c>
      <c r="E15" s="178" t="s">
        <v>7613</v>
      </c>
    </row>
    <row r="16" spans="1:5">
      <c r="A16" s="179">
        <v>1</v>
      </c>
      <c r="B16" s="181" t="s">
        <v>7623</v>
      </c>
      <c r="C16" s="181" t="s">
        <v>7624</v>
      </c>
      <c r="D16" s="185" t="s">
        <v>7625</v>
      </c>
      <c r="E16" s="183" t="s">
        <v>7617</v>
      </c>
    </row>
    <row r="17" spans="1:5">
      <c r="A17" s="179">
        <v>2</v>
      </c>
      <c r="B17" s="181" t="s">
        <v>7626</v>
      </c>
      <c r="C17" s="181" t="s">
        <v>7627</v>
      </c>
      <c r="D17" s="185" t="s">
        <v>7628</v>
      </c>
      <c r="E17" s="183" t="s">
        <v>7617</v>
      </c>
    </row>
    <row r="18" spans="1:5">
      <c r="A18" s="179">
        <v>3</v>
      </c>
      <c r="B18" s="181" t="s">
        <v>7629</v>
      </c>
      <c r="C18" s="181" t="s">
        <v>7630</v>
      </c>
      <c r="D18" s="185">
        <v>301</v>
      </c>
      <c r="E18" s="183" t="s">
        <v>7617</v>
      </c>
    </row>
    <row r="19" spans="1:5">
      <c r="A19" s="179">
        <v>4</v>
      </c>
      <c r="B19" s="181" t="s">
        <v>7631</v>
      </c>
      <c r="C19" s="181" t="s">
        <v>7632</v>
      </c>
      <c r="D19" s="185">
        <v>302</v>
      </c>
      <c r="E19" s="183" t="s">
        <v>7617</v>
      </c>
    </row>
    <row r="20" spans="1:5">
      <c r="A20" s="179">
        <v>5</v>
      </c>
      <c r="B20" s="181" t="s">
        <v>7633</v>
      </c>
      <c r="C20" s="181" t="s">
        <v>7634</v>
      </c>
      <c r="D20" s="185">
        <v>303</v>
      </c>
      <c r="E20" s="183" t="s">
        <v>7617</v>
      </c>
    </row>
    <row r="21" spans="1:5">
      <c r="A21" s="1796" t="s">
        <v>7635</v>
      </c>
      <c r="B21" s="1797"/>
      <c r="C21" s="1797"/>
      <c r="D21" s="1797"/>
      <c r="E21" s="1798"/>
    </row>
    <row r="22" spans="1:5">
      <c r="A22" s="178" t="s">
        <v>0</v>
      </c>
      <c r="B22" s="178" t="s">
        <v>7596</v>
      </c>
      <c r="C22" s="178" t="s">
        <v>7597</v>
      </c>
      <c r="D22" s="184" t="s">
        <v>7598</v>
      </c>
      <c r="E22" s="178" t="s">
        <v>7613</v>
      </c>
    </row>
    <row r="23" spans="1:5">
      <c r="A23" s="179">
        <v>1</v>
      </c>
      <c r="B23" s="185" t="s">
        <v>7636</v>
      </c>
      <c r="C23" s="185" t="s">
        <v>7635</v>
      </c>
      <c r="D23" s="185" t="s">
        <v>7637</v>
      </c>
      <c r="E23" s="183" t="s">
        <v>7617</v>
      </c>
    </row>
    <row r="24" spans="1:5">
      <c r="A24" s="179">
        <v>2</v>
      </c>
      <c r="B24" s="186" t="s">
        <v>7638</v>
      </c>
      <c r="C24" s="186" t="s">
        <v>7639</v>
      </c>
      <c r="D24" s="185" t="s">
        <v>7640</v>
      </c>
      <c r="E24" s="183" t="s">
        <v>7617</v>
      </c>
    </row>
    <row r="25" spans="1:5">
      <c r="A25" s="179">
        <v>3</v>
      </c>
      <c r="B25" s="187" t="s">
        <v>7641</v>
      </c>
      <c r="C25" s="187" t="s">
        <v>7642</v>
      </c>
      <c r="D25" s="185" t="s">
        <v>7643</v>
      </c>
      <c r="E25" s="183" t="s">
        <v>7617</v>
      </c>
    </row>
    <row r="26" spans="1:5">
      <c r="A26" s="179">
        <v>4</v>
      </c>
      <c r="B26" s="181" t="s">
        <v>7644</v>
      </c>
      <c r="C26" s="181" t="s">
        <v>7645</v>
      </c>
      <c r="D26" s="185" t="s">
        <v>7646</v>
      </c>
      <c r="E26" s="183" t="s">
        <v>7617</v>
      </c>
    </row>
    <row r="27" spans="1:5">
      <c r="A27" s="179">
        <v>5</v>
      </c>
      <c r="B27" s="181" t="s">
        <v>7647</v>
      </c>
      <c r="C27" s="181" t="s">
        <v>7639</v>
      </c>
      <c r="D27" s="185">
        <v>304</v>
      </c>
      <c r="E27" s="183" t="s">
        <v>7617</v>
      </c>
    </row>
    <row r="28" spans="1:5">
      <c r="A28" s="179">
        <v>6</v>
      </c>
      <c r="B28" s="181" t="s">
        <v>7648</v>
      </c>
      <c r="C28" s="181" t="s">
        <v>7639</v>
      </c>
      <c r="D28" s="185">
        <v>305</v>
      </c>
      <c r="E28" s="183" t="s">
        <v>7617</v>
      </c>
    </row>
    <row r="29" spans="1:5">
      <c r="A29" s="179">
        <v>7</v>
      </c>
      <c r="B29" s="181" t="s">
        <v>7649</v>
      </c>
      <c r="C29" s="181" t="s">
        <v>7650</v>
      </c>
      <c r="D29" s="185">
        <v>309</v>
      </c>
      <c r="E29" s="183" t="s">
        <v>7617</v>
      </c>
    </row>
    <row r="30" spans="1:5">
      <c r="A30" s="1796" t="s">
        <v>7651</v>
      </c>
      <c r="B30" s="1797"/>
      <c r="C30" s="1797"/>
      <c r="D30" s="1797"/>
      <c r="E30" s="1798"/>
    </row>
    <row r="31" spans="1:5">
      <c r="A31" s="178" t="s">
        <v>0</v>
      </c>
      <c r="B31" s="178" t="s">
        <v>7596</v>
      </c>
      <c r="C31" s="178" t="s">
        <v>7597</v>
      </c>
      <c r="D31" s="184" t="s">
        <v>7598</v>
      </c>
      <c r="E31" s="178" t="s">
        <v>7613</v>
      </c>
    </row>
    <row r="32" spans="1:5">
      <c r="A32" s="179">
        <v>1</v>
      </c>
      <c r="B32" s="181" t="s">
        <v>7652</v>
      </c>
      <c r="C32" s="181" t="s">
        <v>7653</v>
      </c>
      <c r="D32" s="185" t="s">
        <v>7654</v>
      </c>
      <c r="E32" s="183"/>
    </row>
    <row r="33" spans="1:8">
      <c r="A33" s="179">
        <v>2</v>
      </c>
      <c r="B33" s="1799" t="s">
        <v>7655</v>
      </c>
      <c r="C33" s="1800"/>
      <c r="D33" s="185">
        <v>67</v>
      </c>
      <c r="E33" s="183"/>
    </row>
    <row r="34" spans="1:8">
      <c r="A34" s="179">
        <v>3</v>
      </c>
      <c r="B34" s="181" t="s">
        <v>7656</v>
      </c>
      <c r="C34" s="181" t="s">
        <v>7657</v>
      </c>
      <c r="D34" s="185" t="s">
        <v>7658</v>
      </c>
      <c r="E34" s="183"/>
    </row>
    <row r="35" spans="1:8">
      <c r="A35" s="179">
        <v>4</v>
      </c>
      <c r="B35" s="181" t="s">
        <v>7659</v>
      </c>
      <c r="C35" s="181" t="s">
        <v>7660</v>
      </c>
      <c r="D35" s="185" t="s">
        <v>7661</v>
      </c>
      <c r="E35" s="183" t="s">
        <v>7662</v>
      </c>
    </row>
    <row r="36" spans="1:8">
      <c r="A36" s="1796" t="s">
        <v>7663</v>
      </c>
      <c r="B36" s="1797"/>
      <c r="C36" s="1797"/>
      <c r="D36" s="1797"/>
      <c r="E36" s="1798"/>
    </row>
    <row r="37" spans="1:8">
      <c r="A37" s="178" t="s">
        <v>0</v>
      </c>
      <c r="B37" s="178" t="s">
        <v>7596</v>
      </c>
      <c r="C37" s="178" t="s">
        <v>7597</v>
      </c>
      <c r="D37" s="184" t="s">
        <v>7598</v>
      </c>
      <c r="E37" s="178" t="s">
        <v>7613</v>
      </c>
    </row>
    <row r="38" spans="1:8">
      <c r="A38" s="188">
        <v>1</v>
      </c>
      <c r="B38" s="181" t="s">
        <v>7664</v>
      </c>
      <c r="C38" s="181" t="s">
        <v>7665</v>
      </c>
      <c r="D38" s="185" t="s">
        <v>7666</v>
      </c>
      <c r="E38" s="183" t="s">
        <v>7617</v>
      </c>
    </row>
    <row r="41" spans="1:8" ht="20.25">
      <c r="A41" s="1801" t="s">
        <v>7667</v>
      </c>
      <c r="B41" s="1801"/>
      <c r="C41" s="1801"/>
      <c r="D41" s="1801"/>
      <c r="E41" s="1801"/>
    </row>
    <row r="45" spans="1:8">
      <c r="A45" s="1805" t="s">
        <v>7668</v>
      </c>
      <c r="B45" s="1806"/>
      <c r="C45" s="1806"/>
      <c r="D45" s="1806"/>
      <c r="E45" s="1806"/>
      <c r="F45" s="1806"/>
      <c r="G45" s="1806"/>
      <c r="H45" s="1806"/>
    </row>
    <row r="46" spans="1:8">
      <c r="A46" s="190" t="s">
        <v>0</v>
      </c>
      <c r="B46" s="190" t="s">
        <v>7596</v>
      </c>
      <c r="C46" s="190" t="s">
        <v>7597</v>
      </c>
      <c r="D46" s="190" t="s">
        <v>7669</v>
      </c>
      <c r="E46" s="190" t="s">
        <v>7598</v>
      </c>
      <c r="F46" s="190" t="s">
        <v>7670</v>
      </c>
      <c r="G46" s="190" t="s">
        <v>7671</v>
      </c>
      <c r="H46" s="190" t="s">
        <v>7672</v>
      </c>
    </row>
    <row r="47" spans="1:8">
      <c r="A47" s="191" t="s">
        <v>7673</v>
      </c>
      <c r="B47" s="192" t="s">
        <v>7623</v>
      </c>
      <c r="C47" s="192" t="s">
        <v>7674</v>
      </c>
      <c r="D47" s="193" t="s">
        <v>7675</v>
      </c>
      <c r="E47" s="193">
        <v>56</v>
      </c>
      <c r="F47" s="193" t="s">
        <v>7676</v>
      </c>
      <c r="G47" s="194" t="s">
        <v>7677</v>
      </c>
      <c r="H47" s="195">
        <v>9015427473</v>
      </c>
    </row>
    <row r="48" spans="1:8">
      <c r="A48" s="196">
        <v>2</v>
      </c>
      <c r="B48" s="196" t="s">
        <v>7678</v>
      </c>
      <c r="C48" s="196" t="s">
        <v>7679</v>
      </c>
      <c r="D48" s="196" t="s">
        <v>7680</v>
      </c>
      <c r="E48" s="196">
        <v>57</v>
      </c>
      <c r="F48" s="196" t="s">
        <v>7676</v>
      </c>
      <c r="G48" s="196"/>
      <c r="H48" s="196">
        <v>9015426088</v>
      </c>
    </row>
    <row r="49" spans="1:8">
      <c r="A49" s="196">
        <v>3</v>
      </c>
      <c r="B49" s="196"/>
      <c r="C49" s="196" t="s">
        <v>7681</v>
      </c>
      <c r="D49" s="196" t="s">
        <v>7682</v>
      </c>
      <c r="E49" s="196">
        <v>19</v>
      </c>
      <c r="F49" s="196" t="s">
        <v>7676</v>
      </c>
      <c r="G49" s="197"/>
      <c r="H49" s="196">
        <v>9050131982</v>
      </c>
    </row>
    <row r="50" spans="1:8">
      <c r="A50" s="196">
        <v>4</v>
      </c>
      <c r="B50" s="196" t="s">
        <v>7683</v>
      </c>
      <c r="C50" s="196" t="s">
        <v>7684</v>
      </c>
      <c r="D50" s="198" t="s">
        <v>7685</v>
      </c>
      <c r="E50" s="196">
        <v>7</v>
      </c>
      <c r="F50" s="196" t="s">
        <v>7676</v>
      </c>
      <c r="G50" s="197"/>
      <c r="H50" s="196">
        <v>9050131962</v>
      </c>
    </row>
    <row r="51" spans="1:8">
      <c r="A51" s="196">
        <v>5</v>
      </c>
      <c r="B51" s="196" t="s">
        <v>7686</v>
      </c>
      <c r="C51" s="196" t="s">
        <v>7687</v>
      </c>
      <c r="D51" s="196" t="s">
        <v>7688</v>
      </c>
      <c r="E51" s="196">
        <v>6</v>
      </c>
      <c r="F51" s="196" t="s">
        <v>7676</v>
      </c>
      <c r="G51" s="197"/>
      <c r="H51" s="199">
        <v>9015426386</v>
      </c>
    </row>
    <row r="52" spans="1:8">
      <c r="A52" s="1805" t="s">
        <v>7689</v>
      </c>
      <c r="B52" s="1806"/>
      <c r="C52" s="1806"/>
      <c r="D52" s="1806"/>
      <c r="E52" s="1806"/>
      <c r="F52" s="1806"/>
      <c r="G52" s="1806"/>
      <c r="H52" s="1806"/>
    </row>
    <row r="53" spans="1:8">
      <c r="A53" s="190" t="s">
        <v>0</v>
      </c>
      <c r="B53" s="190" t="s">
        <v>7596</v>
      </c>
      <c r="C53" s="190" t="s">
        <v>7597</v>
      </c>
      <c r="D53" s="190" t="s">
        <v>7669</v>
      </c>
      <c r="E53" s="190" t="s">
        <v>7598</v>
      </c>
      <c r="F53" s="190" t="s">
        <v>7670</v>
      </c>
      <c r="G53" s="190" t="s">
        <v>7671</v>
      </c>
      <c r="H53" s="190" t="s">
        <v>7672</v>
      </c>
    </row>
    <row r="54" spans="1:8">
      <c r="A54" s="196">
        <v>1</v>
      </c>
      <c r="B54" s="196" t="s">
        <v>7636</v>
      </c>
      <c r="C54" s="196" t="s">
        <v>7689</v>
      </c>
      <c r="D54" s="196" t="s">
        <v>7690</v>
      </c>
      <c r="E54" s="196" t="s">
        <v>7691</v>
      </c>
      <c r="F54" s="196" t="s">
        <v>7692</v>
      </c>
      <c r="G54" s="200" t="s">
        <v>7693</v>
      </c>
      <c r="H54" s="196">
        <v>9050131974</v>
      </c>
    </row>
    <row r="55" spans="1:8">
      <c r="A55" s="196">
        <v>2</v>
      </c>
      <c r="B55" s="196" t="s">
        <v>7694</v>
      </c>
      <c r="C55" s="196" t="s">
        <v>7639</v>
      </c>
      <c r="D55" s="196" t="s">
        <v>7695</v>
      </c>
      <c r="E55" s="196">
        <v>1</v>
      </c>
      <c r="F55" s="196" t="s">
        <v>7696</v>
      </c>
      <c r="G55" s="200" t="s">
        <v>7697</v>
      </c>
      <c r="H55" s="196">
        <v>9015426519</v>
      </c>
    </row>
    <row r="56" spans="1:8">
      <c r="A56" s="196">
        <v>3</v>
      </c>
      <c r="B56" s="196"/>
      <c r="C56" s="196" t="s">
        <v>7650</v>
      </c>
      <c r="D56" s="196" t="s">
        <v>7698</v>
      </c>
      <c r="E56" s="196">
        <v>55</v>
      </c>
      <c r="F56" s="196" t="s">
        <v>7699</v>
      </c>
      <c r="G56" s="196"/>
      <c r="H56" s="196">
        <v>9015427015</v>
      </c>
    </row>
    <row r="57" spans="1:8">
      <c r="A57" s="1807" t="s">
        <v>7651</v>
      </c>
      <c r="B57" s="1807"/>
      <c r="C57" s="1807"/>
      <c r="D57" s="1807"/>
      <c r="E57" s="1807"/>
      <c r="F57" s="1807"/>
      <c r="G57" s="1807"/>
      <c r="H57" s="1807"/>
    </row>
    <row r="58" spans="1:8">
      <c r="A58" s="190" t="s">
        <v>0</v>
      </c>
      <c r="B58" s="190" t="s">
        <v>7596</v>
      </c>
      <c r="C58" s="190" t="s">
        <v>7597</v>
      </c>
      <c r="D58" s="190" t="s">
        <v>7669</v>
      </c>
      <c r="E58" s="190" t="s">
        <v>7598</v>
      </c>
      <c r="F58" s="190" t="s">
        <v>7670</v>
      </c>
      <c r="G58" s="190" t="s">
        <v>7671</v>
      </c>
      <c r="H58" s="190" t="s">
        <v>7672</v>
      </c>
    </row>
    <row r="59" spans="1:8">
      <c r="A59" s="196">
        <v>1</v>
      </c>
      <c r="B59" s="196" t="s">
        <v>7700</v>
      </c>
      <c r="C59" s="196" t="s">
        <v>7701</v>
      </c>
      <c r="D59" s="196" t="s">
        <v>7702</v>
      </c>
      <c r="E59" s="196" t="s">
        <v>7703</v>
      </c>
      <c r="F59" s="196" t="s">
        <v>7704</v>
      </c>
      <c r="G59" s="196" t="s">
        <v>7705</v>
      </c>
      <c r="H59" s="196" t="s">
        <v>7706</v>
      </c>
    </row>
    <row r="60" spans="1:8">
      <c r="A60" s="196" t="s">
        <v>7707</v>
      </c>
      <c r="B60" s="196" t="s">
        <v>7700</v>
      </c>
      <c r="C60" s="196" t="s">
        <v>7701</v>
      </c>
      <c r="D60" s="196" t="s">
        <v>7708</v>
      </c>
      <c r="E60" s="196" t="s">
        <v>7707</v>
      </c>
      <c r="F60" s="196" t="s">
        <v>7709</v>
      </c>
      <c r="G60" s="196"/>
      <c r="H60" s="196">
        <v>9050131980</v>
      </c>
    </row>
    <row r="61" spans="1:8">
      <c r="A61" s="196">
        <v>2</v>
      </c>
      <c r="B61" s="196" t="s">
        <v>7710</v>
      </c>
      <c r="C61" s="196" t="s">
        <v>7711</v>
      </c>
      <c r="D61" s="196" t="s">
        <v>7712</v>
      </c>
      <c r="E61" s="196" t="s">
        <v>7713</v>
      </c>
      <c r="F61" s="196" t="s">
        <v>7704</v>
      </c>
      <c r="G61" s="202" t="s">
        <v>7714</v>
      </c>
      <c r="H61" s="203">
        <v>9015426546</v>
      </c>
    </row>
    <row r="62" spans="1:8">
      <c r="A62" s="1807" t="s">
        <v>7612</v>
      </c>
      <c r="B62" s="1807"/>
      <c r="C62" s="1807"/>
      <c r="D62" s="1807"/>
      <c r="E62" s="1807"/>
      <c r="F62" s="1807"/>
      <c r="G62" s="1807"/>
      <c r="H62" s="1807"/>
    </row>
    <row r="63" spans="1:8">
      <c r="A63" s="190" t="s">
        <v>0</v>
      </c>
      <c r="B63" s="190" t="s">
        <v>7596</v>
      </c>
      <c r="C63" s="190" t="s">
        <v>7597</v>
      </c>
      <c r="D63" s="190" t="s">
        <v>7669</v>
      </c>
      <c r="E63" s="190" t="s">
        <v>7598</v>
      </c>
      <c r="F63" s="190" t="s">
        <v>7670</v>
      </c>
      <c r="G63" s="190" t="s">
        <v>7671</v>
      </c>
      <c r="H63" s="190" t="s">
        <v>7672</v>
      </c>
    </row>
    <row r="64" spans="1:8">
      <c r="A64" s="196">
        <v>1</v>
      </c>
      <c r="B64" s="196" t="s">
        <v>7614</v>
      </c>
      <c r="C64" s="196" t="s">
        <v>7715</v>
      </c>
      <c r="D64" s="196" t="s">
        <v>7716</v>
      </c>
      <c r="E64" s="196" t="s">
        <v>7717</v>
      </c>
      <c r="F64" s="196" t="s">
        <v>7692</v>
      </c>
      <c r="G64" s="200"/>
      <c r="H64" s="203">
        <v>9015427145</v>
      </c>
    </row>
    <row r="65" spans="1:8">
      <c r="A65" s="1807" t="s">
        <v>7595</v>
      </c>
      <c r="B65" s="1807"/>
      <c r="C65" s="1807"/>
      <c r="D65" s="1807"/>
      <c r="E65" s="1807"/>
      <c r="F65" s="1807"/>
      <c r="G65" s="1807"/>
      <c r="H65" s="1807"/>
    </row>
    <row r="66" spans="1:8">
      <c r="A66" s="190" t="s">
        <v>0</v>
      </c>
      <c r="B66" s="190" t="s">
        <v>7596</v>
      </c>
      <c r="C66" s="190" t="s">
        <v>7597</v>
      </c>
      <c r="D66" s="190" t="s">
        <v>7669</v>
      </c>
      <c r="E66" s="190" t="s">
        <v>7598</v>
      </c>
      <c r="F66" s="190" t="s">
        <v>7670</v>
      </c>
      <c r="G66" s="190" t="s">
        <v>7671</v>
      </c>
      <c r="H66" s="190" t="s">
        <v>7672</v>
      </c>
    </row>
    <row r="67" spans="1:8">
      <c r="A67" s="196">
        <v>1</v>
      </c>
      <c r="B67" s="196" t="s">
        <v>7600</v>
      </c>
      <c r="C67" s="196" t="s">
        <v>7718</v>
      </c>
      <c r="D67" s="196" t="s">
        <v>7719</v>
      </c>
      <c r="E67" s="196" t="s">
        <v>7720</v>
      </c>
      <c r="F67" s="196" t="s">
        <v>7721</v>
      </c>
      <c r="G67" s="200"/>
      <c r="H67" s="203">
        <v>9015426169</v>
      </c>
    </row>
    <row r="68" spans="1:8" ht="18.75">
      <c r="A68" s="201"/>
      <c r="B68" s="201"/>
      <c r="C68" s="201"/>
      <c r="D68" s="189"/>
      <c r="E68" s="189"/>
      <c r="F68" s="201"/>
      <c r="G68" s="201"/>
      <c r="H68" s="201"/>
    </row>
    <row r="69" spans="1:8" ht="18.75">
      <c r="A69" s="201"/>
      <c r="B69" s="201"/>
      <c r="C69" s="201"/>
      <c r="D69" s="189"/>
      <c r="E69" s="189"/>
      <c r="F69" s="201"/>
      <c r="G69" s="201"/>
      <c r="H69" s="201"/>
    </row>
  </sheetData>
  <mergeCells count="15">
    <mergeCell ref="A45:H45"/>
    <mergeCell ref="A52:H52"/>
    <mergeCell ref="A57:H57"/>
    <mergeCell ref="A62:H62"/>
    <mergeCell ref="A65:H65"/>
    <mergeCell ref="A30:E30"/>
    <mergeCell ref="B33:C33"/>
    <mergeCell ref="A36:E36"/>
    <mergeCell ref="A41:E41"/>
    <mergeCell ref="A1:E1"/>
    <mergeCell ref="A2:E2"/>
    <mergeCell ref="A8:E8"/>
    <mergeCell ref="A11:E11"/>
    <mergeCell ref="A14:E14"/>
    <mergeCell ref="A21:E2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240"/>
  <sheetViews>
    <sheetView rightToLeft="1" topLeftCell="A143" workbookViewId="0">
      <selection activeCell="B162" sqref="B162"/>
    </sheetView>
  </sheetViews>
  <sheetFormatPr defaultColWidth="9.140625" defaultRowHeight="15"/>
  <cols>
    <col min="1" max="1" width="12.7109375" style="113" customWidth="1"/>
    <col min="2" max="2" width="11.140625" style="113" customWidth="1"/>
    <col min="3" max="3" width="15" style="113" customWidth="1"/>
    <col min="4" max="4" width="13.85546875" style="113" customWidth="1"/>
    <col min="5" max="5" width="14.5703125" style="113" customWidth="1"/>
    <col min="6" max="6" width="28.85546875" style="113" customWidth="1"/>
    <col min="7" max="7" width="32.42578125" style="113" customWidth="1"/>
    <col min="8" max="9" width="9.140625" style="113"/>
    <col min="10" max="10" width="35.42578125" style="113" customWidth="1"/>
    <col min="11" max="11" width="9.140625" style="113"/>
    <col min="12" max="12" width="20" style="113" customWidth="1"/>
    <col min="13" max="13" width="18.85546875" style="113" customWidth="1"/>
    <col min="14" max="15" width="9.140625" style="113"/>
    <col min="16" max="16" width="18" style="113" customWidth="1"/>
    <col min="17" max="18" width="9.140625" style="113"/>
    <col min="19" max="19" width="12.7109375" style="113" customWidth="1"/>
    <col min="20" max="20" width="17.140625" style="113" customWidth="1"/>
    <col min="21" max="21" width="20.7109375" style="113" customWidth="1"/>
    <col min="22" max="22" width="17" style="113" customWidth="1"/>
    <col min="23" max="23" width="15.28515625" style="113" customWidth="1"/>
    <col min="24" max="24" width="23" style="113" customWidth="1"/>
    <col min="25" max="25" width="18.42578125" style="113" customWidth="1"/>
    <col min="26" max="27" width="9.140625" style="113"/>
    <col min="28" max="28" width="21.85546875" style="113" customWidth="1"/>
    <col min="29" max="29" width="13.28515625" style="113" customWidth="1"/>
    <col min="30" max="30" width="20" style="113" customWidth="1"/>
    <col min="31" max="31" width="17.7109375" style="113" customWidth="1"/>
    <col min="32" max="33" width="17.5703125" style="113" customWidth="1"/>
    <col min="34" max="34" width="17" style="113" customWidth="1"/>
    <col min="35" max="36" width="9.140625" style="113"/>
    <col min="37" max="37" width="21" style="113" customWidth="1"/>
    <col min="38" max="38" width="9.140625" style="113"/>
    <col min="39" max="39" width="22" style="113" customWidth="1"/>
    <col min="40" max="40" width="15.140625" style="113" customWidth="1"/>
    <col min="41" max="41" width="15.5703125" style="113" customWidth="1"/>
    <col min="42" max="42" width="17.7109375" style="113" customWidth="1"/>
    <col min="43" max="43" width="14.42578125" style="113" customWidth="1"/>
    <col min="44" max="16384" width="9.140625" style="113"/>
  </cols>
  <sheetData>
    <row r="1" spans="1:43" ht="35.25" customHeight="1">
      <c r="A1" s="1811" t="s">
        <v>107</v>
      </c>
      <c r="B1" s="1811"/>
      <c r="C1" s="1811"/>
      <c r="D1" s="1811"/>
      <c r="E1" s="1811"/>
      <c r="F1" s="1811"/>
      <c r="G1" s="1811"/>
      <c r="J1" s="1811" t="s">
        <v>11170</v>
      </c>
      <c r="K1" s="1811"/>
      <c r="L1" s="1811"/>
      <c r="M1" s="1811"/>
      <c r="N1" s="1811"/>
      <c r="O1" s="1811"/>
      <c r="P1" s="1811"/>
      <c r="S1" s="1811" t="s">
        <v>11171</v>
      </c>
      <c r="T1" s="1811"/>
      <c r="U1" s="1811"/>
      <c r="V1" s="1811"/>
      <c r="W1" s="1811"/>
      <c r="X1" s="1811"/>
      <c r="Y1" s="1811"/>
      <c r="AB1" s="1815" t="s">
        <v>11171</v>
      </c>
      <c r="AC1" s="1816"/>
      <c r="AD1" s="1816"/>
      <c r="AE1" s="1816"/>
      <c r="AF1" s="1816"/>
      <c r="AG1" s="1816"/>
      <c r="AH1" s="1817"/>
      <c r="AK1" s="1815" t="s">
        <v>11172</v>
      </c>
      <c r="AL1" s="1816"/>
      <c r="AM1" s="1816"/>
      <c r="AN1" s="1816"/>
      <c r="AO1" s="1816"/>
      <c r="AP1" s="1816"/>
      <c r="AQ1" s="1817"/>
    </row>
    <row r="2" spans="1:43" ht="25.5" customHeight="1">
      <c r="A2" s="384" t="s">
        <v>3546</v>
      </c>
      <c r="B2" s="384" t="s">
        <v>3547</v>
      </c>
      <c r="C2" s="384" t="s">
        <v>3548</v>
      </c>
      <c r="D2" s="384" t="s">
        <v>3549</v>
      </c>
      <c r="E2" s="384" t="s">
        <v>3550</v>
      </c>
      <c r="F2" s="384" t="s">
        <v>3551</v>
      </c>
      <c r="G2" s="384" t="s">
        <v>3552</v>
      </c>
      <c r="J2" s="384" t="s">
        <v>3546</v>
      </c>
      <c r="K2" s="384" t="s">
        <v>3547</v>
      </c>
      <c r="L2" s="384" t="s">
        <v>3548</v>
      </c>
      <c r="M2" s="384" t="s">
        <v>3549</v>
      </c>
      <c r="N2" s="384" t="s">
        <v>3550</v>
      </c>
      <c r="O2" s="384" t="s">
        <v>3551</v>
      </c>
      <c r="P2" s="384" t="s">
        <v>3552</v>
      </c>
      <c r="S2" s="385" t="s">
        <v>4152</v>
      </c>
      <c r="T2" s="385" t="s">
        <v>3547</v>
      </c>
      <c r="U2" s="385" t="s">
        <v>3548</v>
      </c>
      <c r="V2" s="385" t="s">
        <v>3549</v>
      </c>
      <c r="W2" s="385" t="s">
        <v>3550</v>
      </c>
      <c r="X2" s="385" t="s">
        <v>3551</v>
      </c>
      <c r="Y2" s="385" t="s">
        <v>3552</v>
      </c>
      <c r="AB2" s="385" t="s">
        <v>4152</v>
      </c>
      <c r="AC2" s="385" t="s">
        <v>3547</v>
      </c>
      <c r="AD2" s="385" t="s">
        <v>3548</v>
      </c>
      <c r="AE2" s="385" t="s">
        <v>3549</v>
      </c>
      <c r="AF2" s="385" t="s">
        <v>3550</v>
      </c>
      <c r="AG2" s="385" t="s">
        <v>3551</v>
      </c>
      <c r="AH2" s="385" t="s">
        <v>3552</v>
      </c>
      <c r="AK2" s="384" t="s">
        <v>3546</v>
      </c>
      <c r="AL2" s="384" t="s">
        <v>3547</v>
      </c>
      <c r="AM2" s="384" t="s">
        <v>3548</v>
      </c>
      <c r="AN2" s="384" t="s">
        <v>3549</v>
      </c>
      <c r="AO2" s="384" t="s">
        <v>3550</v>
      </c>
      <c r="AP2" s="384" t="s">
        <v>3551</v>
      </c>
      <c r="AQ2" s="384" t="s">
        <v>3552</v>
      </c>
    </row>
    <row r="3" spans="1:43">
      <c r="A3" s="1737" t="s">
        <v>2969</v>
      </c>
      <c r="B3" s="257">
        <v>332</v>
      </c>
      <c r="C3" s="257" t="s">
        <v>3553</v>
      </c>
      <c r="D3" s="1737" t="s">
        <v>3554</v>
      </c>
      <c r="E3" s="1737">
        <v>38</v>
      </c>
      <c r="F3" s="1737" t="s">
        <v>3555</v>
      </c>
      <c r="G3" s="257" t="s">
        <v>3556</v>
      </c>
      <c r="J3" s="1812" t="s">
        <v>4032</v>
      </c>
      <c r="K3" s="1812">
        <v>239</v>
      </c>
      <c r="L3" s="1812" t="s">
        <v>3976</v>
      </c>
      <c r="M3" s="1814" t="s">
        <v>4033</v>
      </c>
      <c r="N3" s="1814">
        <v>40</v>
      </c>
      <c r="O3" s="1814" t="s">
        <v>4034</v>
      </c>
      <c r="P3" s="1812" t="s">
        <v>4035</v>
      </c>
      <c r="S3" s="1808" t="s">
        <v>423</v>
      </c>
      <c r="T3" s="175">
        <v>248</v>
      </c>
      <c r="U3" s="175" t="s">
        <v>4153</v>
      </c>
      <c r="V3" s="1808" t="s">
        <v>4154</v>
      </c>
      <c r="W3" s="1808">
        <v>39</v>
      </c>
      <c r="X3" s="1808" t="s">
        <v>4155</v>
      </c>
      <c r="Y3" s="175" t="s">
        <v>4156</v>
      </c>
      <c r="AB3" s="1808" t="s">
        <v>423</v>
      </c>
      <c r="AC3" s="175">
        <v>248</v>
      </c>
      <c r="AD3" s="175" t="s">
        <v>4153</v>
      </c>
      <c r="AE3" s="1808" t="s">
        <v>4154</v>
      </c>
      <c r="AF3" s="1808">
        <v>39</v>
      </c>
      <c r="AG3" s="1808" t="s">
        <v>4155</v>
      </c>
      <c r="AH3" s="175" t="s">
        <v>4156</v>
      </c>
      <c r="AK3" s="1812" t="s">
        <v>4092</v>
      </c>
      <c r="AL3" s="1812">
        <v>216</v>
      </c>
      <c r="AM3" s="1812" t="s">
        <v>4093</v>
      </c>
      <c r="AN3" s="1812" t="s">
        <v>4094</v>
      </c>
      <c r="AO3" s="1812">
        <v>41</v>
      </c>
      <c r="AP3" s="1812" t="s">
        <v>4095</v>
      </c>
      <c r="AQ3" s="1812" t="s">
        <v>4096</v>
      </c>
    </row>
    <row r="4" spans="1:43">
      <c r="A4" s="1737"/>
      <c r="B4" s="257">
        <v>357</v>
      </c>
      <c r="C4" s="257" t="s">
        <v>3557</v>
      </c>
      <c r="D4" s="1737"/>
      <c r="E4" s="1737"/>
      <c r="F4" s="1737"/>
      <c r="G4" s="257" t="s">
        <v>3558</v>
      </c>
      <c r="J4" s="1813"/>
      <c r="K4" s="1813"/>
      <c r="L4" s="1813"/>
      <c r="M4" s="1814"/>
      <c r="N4" s="1814"/>
      <c r="O4" s="1814"/>
      <c r="P4" s="1813"/>
      <c r="S4" s="1809"/>
      <c r="T4" s="175">
        <v>252</v>
      </c>
      <c r="U4" s="175" t="s">
        <v>4157</v>
      </c>
      <c r="V4" s="1809"/>
      <c r="W4" s="1809"/>
      <c r="X4" s="1809"/>
      <c r="Y4" s="175" t="s">
        <v>4158</v>
      </c>
      <c r="AB4" s="1809"/>
      <c r="AC4" s="175">
        <v>252</v>
      </c>
      <c r="AD4" s="175" t="s">
        <v>4157</v>
      </c>
      <c r="AE4" s="1809"/>
      <c r="AF4" s="1809"/>
      <c r="AG4" s="1809"/>
      <c r="AH4" s="175" t="s">
        <v>4158</v>
      </c>
      <c r="AK4" s="1813"/>
      <c r="AL4" s="1813"/>
      <c r="AM4" s="1813"/>
      <c r="AN4" s="1814"/>
      <c r="AO4" s="1814"/>
      <c r="AP4" s="1814"/>
      <c r="AQ4" s="1813"/>
    </row>
    <row r="5" spans="1:43">
      <c r="A5" s="1737" t="s">
        <v>3001</v>
      </c>
      <c r="B5" s="257">
        <v>359</v>
      </c>
      <c r="C5" s="257" t="s">
        <v>3559</v>
      </c>
      <c r="D5" s="1737"/>
      <c r="E5" s="1737"/>
      <c r="F5" s="1737"/>
      <c r="G5" s="257" t="s">
        <v>3560</v>
      </c>
      <c r="J5" s="1812" t="s">
        <v>4036</v>
      </c>
      <c r="K5" s="1812">
        <v>257</v>
      </c>
      <c r="L5" s="1812" t="s">
        <v>4037</v>
      </c>
      <c r="M5" s="1814"/>
      <c r="N5" s="1814"/>
      <c r="O5" s="1814"/>
      <c r="P5" s="1812" t="s">
        <v>4038</v>
      </c>
      <c r="S5" s="1809"/>
      <c r="T5" s="175">
        <v>266</v>
      </c>
      <c r="U5" s="175" t="s">
        <v>4159</v>
      </c>
      <c r="V5" s="1809"/>
      <c r="W5" s="1809"/>
      <c r="X5" s="1809"/>
      <c r="Y5" s="175" t="s">
        <v>4160</v>
      </c>
      <c r="AB5" s="1809"/>
      <c r="AC5" s="175">
        <v>266</v>
      </c>
      <c r="AD5" s="175" t="s">
        <v>4159</v>
      </c>
      <c r="AE5" s="1809"/>
      <c r="AF5" s="1809"/>
      <c r="AG5" s="1809"/>
      <c r="AH5" s="175" t="s">
        <v>4160</v>
      </c>
      <c r="AK5" s="1812" t="s">
        <v>4032</v>
      </c>
      <c r="AL5" s="1812">
        <v>245</v>
      </c>
      <c r="AM5" s="1812" t="s">
        <v>3986</v>
      </c>
      <c r="AN5" s="1814"/>
      <c r="AO5" s="1814"/>
      <c r="AP5" s="1814"/>
      <c r="AQ5" s="1812" t="s">
        <v>4097</v>
      </c>
    </row>
    <row r="6" spans="1:43">
      <c r="A6" s="1737"/>
      <c r="B6" s="257">
        <v>444</v>
      </c>
      <c r="C6" s="257" t="s">
        <v>3561</v>
      </c>
      <c r="D6" s="1737"/>
      <c r="E6" s="1737"/>
      <c r="F6" s="1737"/>
      <c r="G6" s="257" t="s">
        <v>3562</v>
      </c>
      <c r="J6" s="1813"/>
      <c r="K6" s="1813"/>
      <c r="L6" s="1813"/>
      <c r="M6" s="1814"/>
      <c r="N6" s="1814"/>
      <c r="O6" s="1814"/>
      <c r="P6" s="1813"/>
      <c r="S6" s="1809"/>
      <c r="T6" s="175">
        <v>287</v>
      </c>
      <c r="U6" s="175" t="s">
        <v>4161</v>
      </c>
      <c r="V6" s="1809"/>
      <c r="W6" s="1809"/>
      <c r="X6" s="1809"/>
      <c r="Y6" s="175" t="s">
        <v>4162</v>
      </c>
      <c r="AB6" s="1809"/>
      <c r="AC6" s="175">
        <v>287</v>
      </c>
      <c r="AD6" s="175" t="s">
        <v>4161</v>
      </c>
      <c r="AE6" s="1809"/>
      <c r="AF6" s="1809"/>
      <c r="AG6" s="1809"/>
      <c r="AH6" s="175" t="s">
        <v>4162</v>
      </c>
      <c r="AK6" s="1813"/>
      <c r="AL6" s="1813"/>
      <c r="AM6" s="1813"/>
      <c r="AN6" s="1814"/>
      <c r="AO6" s="1814"/>
      <c r="AP6" s="1814"/>
      <c r="AQ6" s="1813"/>
    </row>
    <row r="7" spans="1:43">
      <c r="A7" s="1737" t="s">
        <v>235</v>
      </c>
      <c r="B7" s="257">
        <v>358</v>
      </c>
      <c r="C7" s="257" t="s">
        <v>3563</v>
      </c>
      <c r="D7" s="1737"/>
      <c r="E7" s="1737"/>
      <c r="F7" s="1737"/>
      <c r="G7" s="257" t="s">
        <v>3564</v>
      </c>
      <c r="J7" s="1812" t="s">
        <v>4039</v>
      </c>
      <c r="K7" s="1812">
        <v>408</v>
      </c>
      <c r="L7" s="1812" t="s">
        <v>4040</v>
      </c>
      <c r="M7" s="1814"/>
      <c r="N7" s="1814"/>
      <c r="O7" s="1814"/>
      <c r="P7" s="1812" t="s">
        <v>4041</v>
      </c>
      <c r="S7" s="1809"/>
      <c r="T7" s="175">
        <v>294</v>
      </c>
      <c r="U7" s="175" t="s">
        <v>4163</v>
      </c>
      <c r="V7" s="1809"/>
      <c r="W7" s="1809"/>
      <c r="X7" s="1809"/>
      <c r="Y7" s="175" t="s">
        <v>4164</v>
      </c>
      <c r="AB7" s="1809"/>
      <c r="AC7" s="175">
        <v>294</v>
      </c>
      <c r="AD7" s="175" t="s">
        <v>4163</v>
      </c>
      <c r="AE7" s="1809"/>
      <c r="AF7" s="1809"/>
      <c r="AG7" s="1809"/>
      <c r="AH7" s="175" t="s">
        <v>4164</v>
      </c>
      <c r="AK7" s="1812" t="s">
        <v>4098</v>
      </c>
      <c r="AL7" s="1812">
        <v>332</v>
      </c>
      <c r="AM7" s="1812" t="s">
        <v>3553</v>
      </c>
      <c r="AN7" s="1814"/>
      <c r="AO7" s="1814"/>
      <c r="AP7" s="1814"/>
      <c r="AQ7" s="1812" t="s">
        <v>4099</v>
      </c>
    </row>
    <row r="8" spans="1:43">
      <c r="A8" s="1737"/>
      <c r="B8" s="257">
        <v>361</v>
      </c>
      <c r="C8" s="257" t="s">
        <v>3565</v>
      </c>
      <c r="D8" s="1737"/>
      <c r="E8" s="1737"/>
      <c r="F8" s="1737"/>
      <c r="G8" s="257" t="s">
        <v>3566</v>
      </c>
      <c r="J8" s="1813"/>
      <c r="K8" s="1813"/>
      <c r="L8" s="1813"/>
      <c r="M8" s="1814"/>
      <c r="N8" s="1814"/>
      <c r="O8" s="1814"/>
      <c r="P8" s="1813"/>
      <c r="S8" s="1809"/>
      <c r="T8" s="175">
        <v>295</v>
      </c>
      <c r="U8" s="175" t="s">
        <v>4165</v>
      </c>
      <c r="V8" s="1809"/>
      <c r="W8" s="1809"/>
      <c r="X8" s="1809"/>
      <c r="Y8" s="175" t="s">
        <v>4166</v>
      </c>
      <c r="AB8" s="1809"/>
      <c r="AC8" s="175">
        <v>295</v>
      </c>
      <c r="AD8" s="175" t="s">
        <v>4165</v>
      </c>
      <c r="AE8" s="1809"/>
      <c r="AF8" s="1809"/>
      <c r="AG8" s="1809"/>
      <c r="AH8" s="175" t="s">
        <v>4166</v>
      </c>
      <c r="AK8" s="1813"/>
      <c r="AL8" s="1813"/>
      <c r="AM8" s="1813"/>
      <c r="AN8" s="1814"/>
      <c r="AO8" s="1814"/>
      <c r="AP8" s="1814"/>
      <c r="AQ8" s="1813"/>
    </row>
    <row r="9" spans="1:43">
      <c r="A9" s="1737"/>
      <c r="B9" s="257">
        <v>443</v>
      </c>
      <c r="C9" s="257" t="s">
        <v>3567</v>
      </c>
      <c r="D9" s="1737"/>
      <c r="E9" s="1737"/>
      <c r="F9" s="1737"/>
      <c r="G9" s="257" t="s">
        <v>3568</v>
      </c>
      <c r="J9" s="1812" t="s">
        <v>4039</v>
      </c>
      <c r="K9" s="1812">
        <v>429</v>
      </c>
      <c r="L9" s="1812" t="s">
        <v>4042</v>
      </c>
      <c r="M9" s="1814"/>
      <c r="N9" s="1814"/>
      <c r="O9" s="1814"/>
      <c r="P9" s="1812" t="s">
        <v>4043</v>
      </c>
      <c r="S9" s="1809"/>
      <c r="T9" s="175">
        <v>340</v>
      </c>
      <c r="U9" s="175" t="s">
        <v>4167</v>
      </c>
      <c r="V9" s="1809"/>
      <c r="W9" s="1809"/>
      <c r="X9" s="1809"/>
      <c r="Y9" s="175" t="s">
        <v>4168</v>
      </c>
      <c r="AB9" s="1809"/>
      <c r="AC9" s="175">
        <v>340</v>
      </c>
      <c r="AD9" s="175" t="s">
        <v>4167</v>
      </c>
      <c r="AE9" s="1809"/>
      <c r="AF9" s="1809"/>
      <c r="AG9" s="1809"/>
      <c r="AH9" s="175" t="s">
        <v>4168</v>
      </c>
      <c r="AK9" s="1812" t="s">
        <v>4100</v>
      </c>
      <c r="AL9" s="1812">
        <v>443</v>
      </c>
      <c r="AM9" s="1812" t="s">
        <v>3567</v>
      </c>
      <c r="AN9" s="1814"/>
      <c r="AO9" s="1814"/>
      <c r="AP9" s="1814"/>
      <c r="AQ9" s="1812" t="s">
        <v>4101</v>
      </c>
    </row>
    <row r="10" spans="1:43">
      <c r="A10" s="1737"/>
      <c r="B10" s="257">
        <v>504</v>
      </c>
      <c r="C10" s="257" t="s">
        <v>3569</v>
      </c>
      <c r="D10" s="1737"/>
      <c r="E10" s="1737"/>
      <c r="F10" s="1737"/>
      <c r="G10" s="257" t="s">
        <v>3570</v>
      </c>
      <c r="J10" s="1813"/>
      <c r="K10" s="1813"/>
      <c r="L10" s="1813"/>
      <c r="M10" s="1814"/>
      <c r="N10" s="1814"/>
      <c r="O10" s="1814"/>
      <c r="P10" s="1813"/>
      <c r="S10" s="1809"/>
      <c r="T10" s="175">
        <v>369</v>
      </c>
      <c r="U10" s="175" t="s">
        <v>4169</v>
      </c>
      <c r="V10" s="1809"/>
      <c r="W10" s="1809"/>
      <c r="X10" s="1809"/>
      <c r="Y10" s="175" t="s">
        <v>4170</v>
      </c>
      <c r="AB10" s="1809"/>
      <c r="AC10" s="175">
        <v>369</v>
      </c>
      <c r="AD10" s="175" t="s">
        <v>4169</v>
      </c>
      <c r="AE10" s="1809"/>
      <c r="AF10" s="1809"/>
      <c r="AG10" s="1809"/>
      <c r="AH10" s="175" t="s">
        <v>4170</v>
      </c>
      <c r="AK10" s="1813"/>
      <c r="AL10" s="1813"/>
      <c r="AM10" s="1813"/>
      <c r="AN10" s="1814"/>
      <c r="AO10" s="1814"/>
      <c r="AP10" s="1814"/>
      <c r="AQ10" s="1813"/>
    </row>
    <row r="11" spans="1:43">
      <c r="A11" s="1737"/>
      <c r="B11" s="257">
        <v>521</v>
      </c>
      <c r="C11" s="257" t="s">
        <v>3571</v>
      </c>
      <c r="D11" s="1737"/>
      <c r="E11" s="1737"/>
      <c r="F11" s="1737"/>
      <c r="G11" s="257" t="s">
        <v>3572</v>
      </c>
      <c r="J11" s="1812" t="s">
        <v>4044</v>
      </c>
      <c r="K11" s="1812">
        <v>304</v>
      </c>
      <c r="L11" s="1812" t="s">
        <v>4045</v>
      </c>
      <c r="M11" s="1814"/>
      <c r="N11" s="1814"/>
      <c r="O11" s="1814"/>
      <c r="P11" s="1812" t="s">
        <v>4046</v>
      </c>
      <c r="S11" s="1809"/>
      <c r="T11" s="175">
        <v>375</v>
      </c>
      <c r="U11" s="175" t="s">
        <v>4171</v>
      </c>
      <c r="V11" s="1809"/>
      <c r="W11" s="1809"/>
      <c r="X11" s="1809"/>
      <c r="Y11" s="175" t="s">
        <v>4172</v>
      </c>
      <c r="AB11" s="1809"/>
      <c r="AC11" s="175">
        <v>375</v>
      </c>
      <c r="AD11" s="175" t="s">
        <v>4171</v>
      </c>
      <c r="AE11" s="1809"/>
      <c r="AF11" s="1809"/>
      <c r="AG11" s="1809"/>
      <c r="AH11" s="175" t="s">
        <v>4172</v>
      </c>
      <c r="AK11" s="1812" t="s">
        <v>4102</v>
      </c>
      <c r="AL11" s="1812">
        <v>359</v>
      </c>
      <c r="AM11" s="1812" t="s">
        <v>3559</v>
      </c>
      <c r="AN11" s="1814"/>
      <c r="AO11" s="1814"/>
      <c r="AP11" s="1814"/>
      <c r="AQ11" s="1812" t="s">
        <v>4103</v>
      </c>
    </row>
    <row r="12" spans="1:43">
      <c r="A12" s="1737" t="s">
        <v>2554</v>
      </c>
      <c r="B12" s="257">
        <v>384</v>
      </c>
      <c r="C12" s="257" t="s">
        <v>3573</v>
      </c>
      <c r="D12" s="1737"/>
      <c r="E12" s="1737"/>
      <c r="F12" s="1737"/>
      <c r="G12" s="257" t="s">
        <v>3574</v>
      </c>
      <c r="J12" s="1813"/>
      <c r="K12" s="1813"/>
      <c r="L12" s="1813"/>
      <c r="M12" s="1814"/>
      <c r="N12" s="1814"/>
      <c r="O12" s="1814"/>
      <c r="P12" s="1813"/>
      <c r="S12" s="1809"/>
      <c r="T12" s="175">
        <v>379</v>
      </c>
      <c r="U12" s="175" t="s">
        <v>4173</v>
      </c>
      <c r="V12" s="1809"/>
      <c r="W12" s="1809"/>
      <c r="X12" s="1809"/>
      <c r="Y12" s="175" t="s">
        <v>4174</v>
      </c>
      <c r="AB12" s="1809"/>
      <c r="AC12" s="175">
        <v>379</v>
      </c>
      <c r="AD12" s="175" t="s">
        <v>4173</v>
      </c>
      <c r="AE12" s="1809"/>
      <c r="AF12" s="1809"/>
      <c r="AG12" s="1809"/>
      <c r="AH12" s="175" t="s">
        <v>4174</v>
      </c>
      <c r="AK12" s="1813"/>
      <c r="AL12" s="1813"/>
      <c r="AM12" s="1813"/>
      <c r="AN12" s="1814"/>
      <c r="AO12" s="1814"/>
      <c r="AP12" s="1814"/>
      <c r="AQ12" s="1813"/>
    </row>
    <row r="13" spans="1:43">
      <c r="A13" s="1737"/>
      <c r="B13" s="257">
        <v>403</v>
      </c>
      <c r="C13" s="257" t="s">
        <v>3575</v>
      </c>
      <c r="D13" s="1737"/>
      <c r="E13" s="1737"/>
      <c r="F13" s="1737"/>
      <c r="G13" s="257" t="s">
        <v>3576</v>
      </c>
      <c r="J13" s="1812" t="s">
        <v>4044</v>
      </c>
      <c r="K13" s="1812">
        <v>327</v>
      </c>
      <c r="L13" s="1812" t="s">
        <v>4047</v>
      </c>
      <c r="M13" s="1814"/>
      <c r="N13" s="1814"/>
      <c r="O13" s="1814"/>
      <c r="P13" s="1812" t="s">
        <v>4048</v>
      </c>
      <c r="S13" s="1809"/>
      <c r="T13" s="175">
        <v>398</v>
      </c>
      <c r="U13" s="175" t="s">
        <v>4175</v>
      </c>
      <c r="V13" s="1809"/>
      <c r="W13" s="1809"/>
      <c r="X13" s="1809"/>
      <c r="Y13" s="175" t="s">
        <v>4176</v>
      </c>
      <c r="AB13" s="1809"/>
      <c r="AC13" s="175">
        <v>398</v>
      </c>
      <c r="AD13" s="175" t="s">
        <v>4175</v>
      </c>
      <c r="AE13" s="1809"/>
      <c r="AF13" s="1809"/>
      <c r="AG13" s="1809"/>
      <c r="AH13" s="175" t="s">
        <v>4176</v>
      </c>
      <c r="AK13" s="1812" t="s">
        <v>4104</v>
      </c>
      <c r="AL13" s="1812">
        <v>384</v>
      </c>
      <c r="AM13" s="1812" t="s">
        <v>3573</v>
      </c>
      <c r="AN13" s="1814"/>
      <c r="AO13" s="1814"/>
      <c r="AP13" s="1814"/>
      <c r="AQ13" s="1812" t="s">
        <v>4105</v>
      </c>
    </row>
    <row r="14" spans="1:43">
      <c r="A14" s="1737"/>
      <c r="B14" s="257">
        <v>417</v>
      </c>
      <c r="C14" s="257" t="s">
        <v>3577</v>
      </c>
      <c r="D14" s="1737"/>
      <c r="E14" s="1737"/>
      <c r="F14" s="1737"/>
      <c r="G14" s="257" t="s">
        <v>3578</v>
      </c>
      <c r="J14" s="1813"/>
      <c r="K14" s="1813"/>
      <c r="L14" s="1813"/>
      <c r="M14" s="1814"/>
      <c r="N14" s="1814"/>
      <c r="O14" s="1814"/>
      <c r="P14" s="1813"/>
      <c r="S14" s="1809"/>
      <c r="T14" s="175">
        <v>410</v>
      </c>
      <c r="U14" s="175" t="s">
        <v>4177</v>
      </c>
      <c r="V14" s="1809"/>
      <c r="W14" s="1809"/>
      <c r="X14" s="1809"/>
      <c r="Y14" s="175" t="s">
        <v>4178</v>
      </c>
      <c r="AB14" s="1809"/>
      <c r="AC14" s="175">
        <v>410</v>
      </c>
      <c r="AD14" s="175" t="s">
        <v>4177</v>
      </c>
      <c r="AE14" s="1809"/>
      <c r="AF14" s="1809"/>
      <c r="AG14" s="1809"/>
      <c r="AH14" s="175" t="s">
        <v>4178</v>
      </c>
      <c r="AK14" s="1813"/>
      <c r="AL14" s="1813"/>
      <c r="AM14" s="1813"/>
      <c r="AN14" s="1814"/>
      <c r="AO14" s="1814"/>
      <c r="AP14" s="1814"/>
      <c r="AQ14" s="1813"/>
    </row>
    <row r="15" spans="1:43">
      <c r="A15" s="1737"/>
      <c r="B15" s="257">
        <v>492</v>
      </c>
      <c r="C15" s="257" t="s">
        <v>3579</v>
      </c>
      <c r="D15" s="1737"/>
      <c r="E15" s="1737"/>
      <c r="F15" s="1737"/>
      <c r="G15" s="257" t="s">
        <v>3580</v>
      </c>
      <c r="J15" s="1812" t="s">
        <v>4044</v>
      </c>
      <c r="K15" s="1812">
        <v>347</v>
      </c>
      <c r="L15" s="1812" t="s">
        <v>4049</v>
      </c>
      <c r="M15" s="1814"/>
      <c r="N15" s="1814"/>
      <c r="O15" s="1814"/>
      <c r="P15" s="1812" t="s">
        <v>4050</v>
      </c>
      <c r="S15" s="1809"/>
      <c r="T15" s="175">
        <v>411</v>
      </c>
      <c r="U15" s="175" t="s">
        <v>4179</v>
      </c>
      <c r="V15" s="1809"/>
      <c r="W15" s="1809"/>
      <c r="X15" s="1809"/>
      <c r="Y15" s="175" t="s">
        <v>4180</v>
      </c>
      <c r="AB15" s="1809"/>
      <c r="AC15" s="175">
        <v>411</v>
      </c>
      <c r="AD15" s="175" t="s">
        <v>4179</v>
      </c>
      <c r="AE15" s="1809"/>
      <c r="AF15" s="1809"/>
      <c r="AG15" s="1809"/>
      <c r="AH15" s="175" t="s">
        <v>4180</v>
      </c>
      <c r="AK15" s="1812" t="s">
        <v>4106</v>
      </c>
      <c r="AL15" s="1812">
        <v>253</v>
      </c>
      <c r="AM15" s="1812" t="s">
        <v>3884</v>
      </c>
      <c r="AN15" s="1814"/>
      <c r="AO15" s="1814"/>
      <c r="AP15" s="1814"/>
      <c r="AQ15" s="1812" t="s">
        <v>4107</v>
      </c>
    </row>
    <row r="16" spans="1:43">
      <c r="A16" s="1737" t="s">
        <v>234</v>
      </c>
      <c r="B16" s="257">
        <v>404</v>
      </c>
      <c r="C16" s="257" t="s">
        <v>3581</v>
      </c>
      <c r="D16" s="1737"/>
      <c r="E16" s="1737"/>
      <c r="F16" s="1737"/>
      <c r="G16" s="257" t="s">
        <v>3582</v>
      </c>
      <c r="J16" s="1813"/>
      <c r="K16" s="1813"/>
      <c r="L16" s="1813"/>
      <c r="M16" s="1814"/>
      <c r="N16" s="1814"/>
      <c r="O16" s="1814"/>
      <c r="P16" s="1813"/>
      <c r="S16" s="1809"/>
      <c r="T16" s="175">
        <v>414</v>
      </c>
      <c r="U16" s="175" t="s">
        <v>4181</v>
      </c>
      <c r="V16" s="1809"/>
      <c r="W16" s="1809"/>
      <c r="X16" s="1809"/>
      <c r="Y16" s="175" t="s">
        <v>4182</v>
      </c>
      <c r="AB16" s="1809"/>
      <c r="AC16" s="175">
        <v>414</v>
      </c>
      <c r="AD16" s="175" t="s">
        <v>4181</v>
      </c>
      <c r="AE16" s="1809"/>
      <c r="AF16" s="1809"/>
      <c r="AG16" s="1809"/>
      <c r="AH16" s="175" t="s">
        <v>4182</v>
      </c>
      <c r="AK16" s="1813"/>
      <c r="AL16" s="1813"/>
      <c r="AM16" s="1813"/>
      <c r="AN16" s="1814"/>
      <c r="AO16" s="1814"/>
      <c r="AP16" s="1814"/>
      <c r="AQ16" s="1813"/>
    </row>
    <row r="17" spans="1:43">
      <c r="A17" s="1737"/>
      <c r="B17" s="257">
        <v>471</v>
      </c>
      <c r="C17" s="257" t="s">
        <v>3583</v>
      </c>
      <c r="D17" s="1737"/>
      <c r="E17" s="1737"/>
      <c r="F17" s="1737"/>
      <c r="G17" s="257" t="s">
        <v>3584</v>
      </c>
      <c r="J17" s="1812" t="s">
        <v>4044</v>
      </c>
      <c r="K17" s="1812">
        <v>409</v>
      </c>
      <c r="L17" s="1812" t="s">
        <v>4051</v>
      </c>
      <c r="M17" s="1814"/>
      <c r="N17" s="1814"/>
      <c r="O17" s="1814"/>
      <c r="P17" s="1812" t="s">
        <v>4052</v>
      </c>
      <c r="S17" s="1809"/>
      <c r="T17" s="175">
        <v>418</v>
      </c>
      <c r="U17" s="175" t="s">
        <v>4183</v>
      </c>
      <c r="V17" s="1809"/>
      <c r="W17" s="1809"/>
      <c r="X17" s="1809"/>
      <c r="Y17" s="175" t="s">
        <v>4184</v>
      </c>
      <c r="AB17" s="1809"/>
      <c r="AC17" s="175">
        <v>418</v>
      </c>
      <c r="AD17" s="175" t="s">
        <v>4183</v>
      </c>
      <c r="AE17" s="1809"/>
      <c r="AF17" s="1809"/>
      <c r="AG17" s="1809"/>
      <c r="AH17" s="175" t="s">
        <v>4184</v>
      </c>
      <c r="AK17" s="1812" t="s">
        <v>4092</v>
      </c>
      <c r="AL17" s="1812">
        <v>275</v>
      </c>
      <c r="AM17" s="1812" t="s">
        <v>3910</v>
      </c>
      <c r="AN17" s="1814"/>
      <c r="AO17" s="1814"/>
      <c r="AP17" s="1814"/>
      <c r="AQ17" s="1812" t="s">
        <v>4108</v>
      </c>
    </row>
    <row r="18" spans="1:43">
      <c r="A18" s="1737" t="s">
        <v>2970</v>
      </c>
      <c r="B18" s="257">
        <v>580</v>
      </c>
      <c r="C18" s="257" t="s">
        <v>3585</v>
      </c>
      <c r="D18" s="1737"/>
      <c r="E18" s="1737"/>
      <c r="F18" s="1737"/>
      <c r="G18" s="257" t="s">
        <v>3586</v>
      </c>
      <c r="J18" s="1813"/>
      <c r="K18" s="1813"/>
      <c r="L18" s="1813"/>
      <c r="M18" s="1814"/>
      <c r="N18" s="1814"/>
      <c r="O18" s="1814"/>
      <c r="P18" s="1813"/>
      <c r="S18" s="1809"/>
      <c r="T18" s="175">
        <v>419</v>
      </c>
      <c r="U18" s="175" t="s">
        <v>4185</v>
      </c>
      <c r="V18" s="1809"/>
      <c r="W18" s="1809"/>
      <c r="X18" s="1809"/>
      <c r="Y18" s="175" t="s">
        <v>4186</v>
      </c>
      <c r="AB18" s="1809"/>
      <c r="AC18" s="175">
        <v>419</v>
      </c>
      <c r="AD18" s="175" t="s">
        <v>4185</v>
      </c>
      <c r="AE18" s="1809"/>
      <c r="AF18" s="1809"/>
      <c r="AG18" s="1809"/>
      <c r="AH18" s="175" t="s">
        <v>4186</v>
      </c>
      <c r="AK18" s="1813"/>
      <c r="AL18" s="1813"/>
      <c r="AM18" s="1813"/>
      <c r="AN18" s="1814"/>
      <c r="AO18" s="1814"/>
      <c r="AP18" s="1814"/>
      <c r="AQ18" s="1813"/>
    </row>
    <row r="19" spans="1:43">
      <c r="A19" s="1737"/>
      <c r="B19" s="257">
        <v>442</v>
      </c>
      <c r="C19" s="257" t="s">
        <v>3587</v>
      </c>
      <c r="D19" s="1737"/>
      <c r="E19" s="1737"/>
      <c r="F19" s="1737"/>
      <c r="G19" s="257" t="s">
        <v>3588</v>
      </c>
      <c r="J19" s="1812" t="s">
        <v>4053</v>
      </c>
      <c r="K19" s="1812">
        <v>322</v>
      </c>
      <c r="L19" s="1812" t="s">
        <v>4054</v>
      </c>
      <c r="M19" s="1814"/>
      <c r="N19" s="1814"/>
      <c r="O19" s="1814"/>
      <c r="P19" s="1812" t="s">
        <v>4055</v>
      </c>
      <c r="S19" s="1809"/>
      <c r="T19" s="175">
        <v>421</v>
      </c>
      <c r="U19" s="175" t="s">
        <v>4187</v>
      </c>
      <c r="V19" s="1809"/>
      <c r="W19" s="1809"/>
      <c r="X19" s="1809"/>
      <c r="Y19" s="175" t="s">
        <v>4188</v>
      </c>
      <c r="AB19" s="1809"/>
      <c r="AC19" s="175">
        <v>421</v>
      </c>
      <c r="AD19" s="175" t="s">
        <v>4187</v>
      </c>
      <c r="AE19" s="1809"/>
      <c r="AF19" s="1809"/>
      <c r="AG19" s="1809"/>
      <c r="AH19" s="175" t="s">
        <v>4188</v>
      </c>
      <c r="AK19" s="1812" t="s">
        <v>4109</v>
      </c>
      <c r="AL19" s="1812">
        <v>246</v>
      </c>
      <c r="AM19" s="1812" t="s">
        <v>3918</v>
      </c>
      <c r="AN19" s="1814"/>
      <c r="AO19" s="1814"/>
      <c r="AP19" s="1814"/>
      <c r="AQ19" s="1812" t="s">
        <v>4110</v>
      </c>
    </row>
    <row r="20" spans="1:43">
      <c r="A20" s="1737"/>
      <c r="B20" s="257">
        <v>373</v>
      </c>
      <c r="C20" s="257" t="s">
        <v>3589</v>
      </c>
      <c r="D20" s="1737"/>
      <c r="E20" s="1737"/>
      <c r="F20" s="1737"/>
      <c r="G20" s="257" t="s">
        <v>3590</v>
      </c>
      <c r="J20" s="1813"/>
      <c r="K20" s="1813"/>
      <c r="L20" s="1813"/>
      <c r="M20" s="1814"/>
      <c r="N20" s="1814"/>
      <c r="O20" s="1814"/>
      <c r="P20" s="1813"/>
      <c r="S20" s="1809"/>
      <c r="T20" s="175">
        <v>424</v>
      </c>
      <c r="U20" s="175" t="s">
        <v>4189</v>
      </c>
      <c r="V20" s="1809"/>
      <c r="W20" s="1809"/>
      <c r="X20" s="1809"/>
      <c r="Y20" s="175" t="s">
        <v>4190</v>
      </c>
      <c r="AB20" s="1809"/>
      <c r="AC20" s="175">
        <v>424</v>
      </c>
      <c r="AD20" s="175" t="s">
        <v>4189</v>
      </c>
      <c r="AE20" s="1809"/>
      <c r="AF20" s="1809"/>
      <c r="AG20" s="1809"/>
      <c r="AH20" s="175" t="s">
        <v>4190</v>
      </c>
      <c r="AK20" s="1813"/>
      <c r="AL20" s="1813"/>
      <c r="AM20" s="1813"/>
      <c r="AN20" s="1814"/>
      <c r="AO20" s="1814"/>
      <c r="AP20" s="1814"/>
      <c r="AQ20" s="1813"/>
    </row>
    <row r="21" spans="1:43">
      <c r="A21" s="1737"/>
      <c r="B21" s="257">
        <v>362</v>
      </c>
      <c r="C21" s="257" t="s">
        <v>3591</v>
      </c>
      <c r="D21" s="1737"/>
      <c r="E21" s="1737"/>
      <c r="F21" s="1737"/>
      <c r="G21" s="257" t="s">
        <v>3592</v>
      </c>
      <c r="J21" s="1812" t="s">
        <v>4056</v>
      </c>
      <c r="K21" s="1812">
        <v>547</v>
      </c>
      <c r="L21" s="1812" t="s">
        <v>4057</v>
      </c>
      <c r="M21" s="1814"/>
      <c r="N21" s="1814"/>
      <c r="O21" s="1814"/>
      <c r="P21" s="1812" t="s">
        <v>4058</v>
      </c>
      <c r="S21" s="1809"/>
      <c r="T21" s="175">
        <v>426</v>
      </c>
      <c r="U21" s="175" t="s">
        <v>4191</v>
      </c>
      <c r="V21" s="1809"/>
      <c r="W21" s="1809"/>
      <c r="X21" s="1809"/>
      <c r="Y21" s="175" t="s">
        <v>4192</v>
      </c>
      <c r="AB21" s="1809"/>
      <c r="AC21" s="175">
        <v>426</v>
      </c>
      <c r="AD21" s="175" t="s">
        <v>4191</v>
      </c>
      <c r="AE21" s="1809"/>
      <c r="AF21" s="1809"/>
      <c r="AG21" s="1809"/>
      <c r="AH21" s="175" t="s">
        <v>4192</v>
      </c>
      <c r="AK21" s="1812" t="s">
        <v>4111</v>
      </c>
      <c r="AL21" s="1812">
        <v>372</v>
      </c>
      <c r="AM21" s="1812" t="s">
        <v>3743</v>
      </c>
      <c r="AN21" s="1814"/>
      <c r="AO21" s="1814"/>
      <c r="AP21" s="1814"/>
      <c r="AQ21" s="1812" t="s">
        <v>4112</v>
      </c>
    </row>
    <row r="22" spans="1:43">
      <c r="A22" s="1737"/>
      <c r="B22" s="257">
        <v>354</v>
      </c>
      <c r="C22" s="257" t="s">
        <v>3593</v>
      </c>
      <c r="D22" s="1737"/>
      <c r="E22" s="1737"/>
      <c r="F22" s="1737"/>
      <c r="G22" s="257" t="s">
        <v>3594</v>
      </c>
      <c r="J22" s="1813"/>
      <c r="K22" s="1813"/>
      <c r="L22" s="1813"/>
      <c r="M22" s="1814"/>
      <c r="N22" s="1814"/>
      <c r="O22" s="1814"/>
      <c r="P22" s="1813"/>
      <c r="S22" s="1809"/>
      <c r="T22" s="175">
        <v>431</v>
      </c>
      <c r="U22" s="175" t="s">
        <v>4193</v>
      </c>
      <c r="V22" s="1809"/>
      <c r="W22" s="1809"/>
      <c r="X22" s="1809"/>
      <c r="Y22" s="175" t="s">
        <v>4194</v>
      </c>
      <c r="AB22" s="1809"/>
      <c r="AC22" s="175">
        <v>431</v>
      </c>
      <c r="AD22" s="175" t="s">
        <v>4193</v>
      </c>
      <c r="AE22" s="1809"/>
      <c r="AF22" s="1809"/>
      <c r="AG22" s="1809"/>
      <c r="AH22" s="175" t="s">
        <v>4194</v>
      </c>
      <c r="AK22" s="1813"/>
      <c r="AL22" s="1813"/>
      <c r="AM22" s="1813"/>
      <c r="AN22" s="1814"/>
      <c r="AO22" s="1814"/>
      <c r="AP22" s="1814"/>
      <c r="AQ22" s="1813"/>
    </row>
    <row r="23" spans="1:43">
      <c r="A23" s="1737"/>
      <c r="B23" s="257">
        <v>351</v>
      </c>
      <c r="C23" s="257" t="s">
        <v>3595</v>
      </c>
      <c r="D23" s="1737"/>
      <c r="E23" s="1737"/>
      <c r="F23" s="1737"/>
      <c r="G23" s="257" t="s">
        <v>3596</v>
      </c>
      <c r="J23" s="1812" t="s">
        <v>4059</v>
      </c>
      <c r="K23" s="1812">
        <v>542</v>
      </c>
      <c r="L23" s="1812" t="s">
        <v>4060</v>
      </c>
      <c r="M23" s="1814"/>
      <c r="N23" s="1814"/>
      <c r="O23" s="1814"/>
      <c r="P23" s="1812" t="s">
        <v>4061</v>
      </c>
      <c r="S23" s="1809"/>
      <c r="T23" s="175">
        <v>438</v>
      </c>
      <c r="U23" s="175" t="s">
        <v>4195</v>
      </c>
      <c r="V23" s="1809"/>
      <c r="W23" s="1809"/>
      <c r="X23" s="1809"/>
      <c r="Y23" s="175" t="s">
        <v>4196</v>
      </c>
      <c r="AB23" s="1809"/>
      <c r="AC23" s="175">
        <v>438</v>
      </c>
      <c r="AD23" s="175" t="s">
        <v>4195</v>
      </c>
      <c r="AE23" s="1809"/>
      <c r="AF23" s="1809"/>
      <c r="AG23" s="1809"/>
      <c r="AH23" s="175" t="s">
        <v>4196</v>
      </c>
      <c r="AK23" s="1812" t="s">
        <v>4078</v>
      </c>
      <c r="AL23" s="1812">
        <v>464</v>
      </c>
      <c r="AM23" s="1812" t="s">
        <v>3751</v>
      </c>
      <c r="AN23" s="1814"/>
      <c r="AO23" s="1814"/>
      <c r="AP23" s="1814"/>
      <c r="AQ23" s="1812" t="s">
        <v>4113</v>
      </c>
    </row>
    <row r="24" spans="1:43">
      <c r="A24" s="1737"/>
      <c r="B24" s="257">
        <v>330</v>
      </c>
      <c r="C24" s="257" t="s">
        <v>3597</v>
      </c>
      <c r="D24" s="1737"/>
      <c r="E24" s="1737"/>
      <c r="F24" s="1737"/>
      <c r="G24" s="257" t="s">
        <v>3598</v>
      </c>
      <c r="J24" s="1813"/>
      <c r="K24" s="1813"/>
      <c r="L24" s="1813"/>
      <c r="M24" s="1814"/>
      <c r="N24" s="1814"/>
      <c r="O24" s="1814"/>
      <c r="P24" s="1813"/>
      <c r="S24" s="1809"/>
      <c r="T24" s="175">
        <v>446</v>
      </c>
      <c r="U24" s="175" t="s">
        <v>4197</v>
      </c>
      <c r="V24" s="1809"/>
      <c r="W24" s="1809"/>
      <c r="X24" s="1809"/>
      <c r="Y24" s="175" t="s">
        <v>4198</v>
      </c>
      <c r="AB24" s="1809"/>
      <c r="AC24" s="175">
        <v>446</v>
      </c>
      <c r="AD24" s="175" t="s">
        <v>4197</v>
      </c>
      <c r="AE24" s="1809"/>
      <c r="AF24" s="1809"/>
      <c r="AG24" s="1809"/>
      <c r="AH24" s="175" t="s">
        <v>4198</v>
      </c>
      <c r="AK24" s="1813"/>
      <c r="AL24" s="1813"/>
      <c r="AM24" s="1813"/>
      <c r="AN24" s="1814"/>
      <c r="AO24" s="1814"/>
      <c r="AP24" s="1814"/>
      <c r="AQ24" s="1813"/>
    </row>
    <row r="25" spans="1:43">
      <c r="A25" s="1737" t="s">
        <v>3212</v>
      </c>
      <c r="B25" s="257">
        <v>279</v>
      </c>
      <c r="C25" s="257" t="s">
        <v>3599</v>
      </c>
      <c r="D25" s="1737"/>
      <c r="E25" s="1737"/>
      <c r="F25" s="1737"/>
      <c r="G25" s="257" t="s">
        <v>3600</v>
      </c>
      <c r="J25" s="1812" t="s">
        <v>4062</v>
      </c>
      <c r="K25" s="1812" t="s">
        <v>4062</v>
      </c>
      <c r="L25" s="1812" t="s">
        <v>4063</v>
      </c>
      <c r="M25" s="1814"/>
      <c r="N25" s="1814"/>
      <c r="O25" s="1814"/>
      <c r="P25" s="1812" t="s">
        <v>4064</v>
      </c>
      <c r="S25" s="1809"/>
      <c r="T25" s="175">
        <v>447</v>
      </c>
      <c r="U25" s="175" t="s">
        <v>4199</v>
      </c>
      <c r="V25" s="1809"/>
      <c r="W25" s="1809"/>
      <c r="X25" s="1809"/>
      <c r="Y25" s="175" t="s">
        <v>4200</v>
      </c>
      <c r="AB25" s="1809"/>
      <c r="AC25" s="175">
        <v>447</v>
      </c>
      <c r="AD25" s="175" t="s">
        <v>4199</v>
      </c>
      <c r="AE25" s="1809"/>
      <c r="AF25" s="1809"/>
      <c r="AG25" s="1809"/>
      <c r="AH25" s="175" t="s">
        <v>4200</v>
      </c>
      <c r="AK25" s="1812" t="s">
        <v>4114</v>
      </c>
      <c r="AL25" s="1812">
        <v>456</v>
      </c>
      <c r="AM25" s="1812" t="s">
        <v>3759</v>
      </c>
      <c r="AN25" s="1814"/>
      <c r="AO25" s="1814"/>
      <c r="AP25" s="1814"/>
      <c r="AQ25" s="1812" t="s">
        <v>4115</v>
      </c>
    </row>
    <row r="26" spans="1:43">
      <c r="A26" s="1737"/>
      <c r="B26" s="257">
        <v>284</v>
      </c>
      <c r="C26" s="257" t="s">
        <v>3601</v>
      </c>
      <c r="D26" s="1737"/>
      <c r="E26" s="1737"/>
      <c r="F26" s="1737"/>
      <c r="G26" s="257" t="s">
        <v>3602</v>
      </c>
      <c r="J26" s="1813"/>
      <c r="K26" s="1813"/>
      <c r="L26" s="1813"/>
      <c r="M26" s="1814"/>
      <c r="N26" s="1814"/>
      <c r="O26" s="1814"/>
      <c r="P26" s="1813"/>
      <c r="S26" s="1809"/>
      <c r="T26" s="175">
        <v>450</v>
      </c>
      <c r="U26" s="175" t="s">
        <v>4201</v>
      </c>
      <c r="V26" s="1809"/>
      <c r="W26" s="1809"/>
      <c r="X26" s="1809"/>
      <c r="Y26" s="175" t="s">
        <v>4202</v>
      </c>
      <c r="AB26" s="1809"/>
      <c r="AC26" s="175">
        <v>450</v>
      </c>
      <c r="AD26" s="175" t="s">
        <v>4201</v>
      </c>
      <c r="AE26" s="1809"/>
      <c r="AF26" s="1809"/>
      <c r="AG26" s="1809"/>
      <c r="AH26" s="175" t="s">
        <v>4202</v>
      </c>
      <c r="AK26" s="1813"/>
      <c r="AL26" s="1813"/>
      <c r="AM26" s="1813"/>
      <c r="AN26" s="1814"/>
      <c r="AO26" s="1814"/>
      <c r="AP26" s="1814"/>
      <c r="AQ26" s="1813"/>
    </row>
    <row r="27" spans="1:43">
      <c r="A27" s="1737"/>
      <c r="B27" s="257">
        <v>285</v>
      </c>
      <c r="C27" s="257" t="s">
        <v>3603</v>
      </c>
      <c r="D27" s="1737"/>
      <c r="E27" s="1737"/>
      <c r="F27" s="1737"/>
      <c r="G27" s="257" t="s">
        <v>3604</v>
      </c>
      <c r="J27" s="1812" t="s">
        <v>4065</v>
      </c>
      <c r="K27" s="1812">
        <v>305</v>
      </c>
      <c r="L27" s="1812" t="s">
        <v>4066</v>
      </c>
      <c r="M27" s="1814"/>
      <c r="N27" s="1814"/>
      <c r="O27" s="1814"/>
      <c r="P27" s="1812" t="s">
        <v>4067</v>
      </c>
      <c r="S27" s="1809"/>
      <c r="T27" s="175">
        <v>453</v>
      </c>
      <c r="U27" s="175" t="s">
        <v>4203</v>
      </c>
      <c r="V27" s="1809"/>
      <c r="W27" s="1809"/>
      <c r="X27" s="1809"/>
      <c r="Y27" s="175" t="s">
        <v>4204</v>
      </c>
      <c r="AB27" s="1809"/>
      <c r="AC27" s="175">
        <v>453</v>
      </c>
      <c r="AD27" s="175" t="s">
        <v>4203</v>
      </c>
      <c r="AE27" s="1809"/>
      <c r="AF27" s="1809"/>
      <c r="AG27" s="1809"/>
      <c r="AH27" s="175" t="s">
        <v>4204</v>
      </c>
      <c r="AK27" s="1812" t="s">
        <v>4039</v>
      </c>
      <c r="AL27" s="1812">
        <v>408</v>
      </c>
      <c r="AM27" s="1812" t="s">
        <v>4040</v>
      </c>
      <c r="AN27" s="1814"/>
      <c r="AO27" s="1814"/>
      <c r="AP27" s="1814"/>
      <c r="AQ27" s="1812" t="s">
        <v>4116</v>
      </c>
    </row>
    <row r="28" spans="1:43">
      <c r="A28" s="1737"/>
      <c r="B28" s="257">
        <v>286</v>
      </c>
      <c r="C28" s="257" t="s">
        <v>3605</v>
      </c>
      <c r="D28" s="1737"/>
      <c r="E28" s="1737"/>
      <c r="F28" s="1737"/>
      <c r="G28" s="257" t="s">
        <v>3606</v>
      </c>
      <c r="J28" s="1813"/>
      <c r="K28" s="1813"/>
      <c r="L28" s="1813"/>
      <c r="M28" s="1814"/>
      <c r="N28" s="1814"/>
      <c r="O28" s="1814"/>
      <c r="P28" s="1813"/>
      <c r="S28" s="1809"/>
      <c r="T28" s="175">
        <v>454</v>
      </c>
      <c r="U28" s="175" t="s">
        <v>4205</v>
      </c>
      <c r="V28" s="1809"/>
      <c r="W28" s="1809"/>
      <c r="X28" s="1809"/>
      <c r="Y28" s="175" t="s">
        <v>4206</v>
      </c>
      <c r="AB28" s="1809"/>
      <c r="AC28" s="175">
        <v>454</v>
      </c>
      <c r="AD28" s="175" t="s">
        <v>4205</v>
      </c>
      <c r="AE28" s="1809"/>
      <c r="AF28" s="1809"/>
      <c r="AG28" s="1809"/>
      <c r="AH28" s="175" t="s">
        <v>4206</v>
      </c>
      <c r="AK28" s="1813"/>
      <c r="AL28" s="1813"/>
      <c r="AM28" s="1813"/>
      <c r="AN28" s="1814"/>
      <c r="AO28" s="1814"/>
      <c r="AP28" s="1814"/>
      <c r="AQ28" s="1813"/>
    </row>
    <row r="29" spans="1:43">
      <c r="A29" s="1737"/>
      <c r="B29" s="257">
        <v>302</v>
      </c>
      <c r="C29" s="257" t="s">
        <v>3607</v>
      </c>
      <c r="D29" s="1737"/>
      <c r="E29" s="1737"/>
      <c r="F29" s="1737"/>
      <c r="G29" s="257" t="s">
        <v>3608</v>
      </c>
      <c r="J29" s="1812" t="s">
        <v>4068</v>
      </c>
      <c r="K29" s="1812">
        <v>401</v>
      </c>
      <c r="L29" s="1812" t="s">
        <v>3827</v>
      </c>
      <c r="M29" s="1814"/>
      <c r="N29" s="1814"/>
      <c r="O29" s="1814"/>
      <c r="P29" s="1812" t="s">
        <v>4069</v>
      </c>
      <c r="S29" s="1809"/>
      <c r="T29" s="175">
        <v>458</v>
      </c>
      <c r="U29" s="175" t="s">
        <v>4207</v>
      </c>
      <c r="V29" s="1809"/>
      <c r="W29" s="1809"/>
      <c r="X29" s="1809"/>
      <c r="Y29" s="175" t="s">
        <v>4208</v>
      </c>
      <c r="AB29" s="1809"/>
      <c r="AC29" s="175">
        <v>458</v>
      </c>
      <c r="AD29" s="175" t="s">
        <v>4207</v>
      </c>
      <c r="AE29" s="1809"/>
      <c r="AF29" s="1809"/>
      <c r="AG29" s="1809"/>
      <c r="AH29" s="175" t="s">
        <v>4208</v>
      </c>
      <c r="AK29" s="1812" t="s">
        <v>4117</v>
      </c>
      <c r="AL29" s="1812">
        <v>412</v>
      </c>
      <c r="AM29" s="1812" t="s">
        <v>3823</v>
      </c>
      <c r="AN29" s="1814"/>
      <c r="AO29" s="1814"/>
      <c r="AP29" s="1814"/>
      <c r="AQ29" s="1812" t="s">
        <v>4118</v>
      </c>
    </row>
    <row r="30" spans="1:43">
      <c r="A30" s="1737"/>
      <c r="B30" s="257">
        <v>303</v>
      </c>
      <c r="C30" s="257" t="s">
        <v>3609</v>
      </c>
      <c r="D30" s="1737"/>
      <c r="E30" s="1737"/>
      <c r="F30" s="1737"/>
      <c r="G30" s="257" t="s">
        <v>3610</v>
      </c>
      <c r="J30" s="1813"/>
      <c r="K30" s="1813"/>
      <c r="L30" s="1813"/>
      <c r="M30" s="1814"/>
      <c r="N30" s="1814"/>
      <c r="O30" s="1814"/>
      <c r="P30" s="1813"/>
      <c r="S30" s="1809"/>
      <c r="T30" s="175">
        <v>457</v>
      </c>
      <c r="U30" s="175" t="s">
        <v>4209</v>
      </c>
      <c r="V30" s="1809"/>
      <c r="W30" s="1809"/>
      <c r="X30" s="1809"/>
      <c r="Y30" s="175" t="s">
        <v>4210</v>
      </c>
      <c r="AB30" s="1809"/>
      <c r="AC30" s="175">
        <v>457</v>
      </c>
      <c r="AD30" s="175" t="s">
        <v>4209</v>
      </c>
      <c r="AE30" s="1809"/>
      <c r="AF30" s="1809"/>
      <c r="AG30" s="1809"/>
      <c r="AH30" s="175" t="s">
        <v>4210</v>
      </c>
      <c r="AK30" s="1813"/>
      <c r="AL30" s="1813"/>
      <c r="AM30" s="1813"/>
      <c r="AN30" s="1814"/>
      <c r="AO30" s="1814"/>
      <c r="AP30" s="1814"/>
      <c r="AQ30" s="1813"/>
    </row>
    <row r="31" spans="1:43">
      <c r="A31" s="1737"/>
      <c r="B31" s="257">
        <v>306</v>
      </c>
      <c r="C31" s="257" t="s">
        <v>3611</v>
      </c>
      <c r="D31" s="1737"/>
      <c r="E31" s="1737"/>
      <c r="F31" s="1737"/>
      <c r="G31" s="257" t="s">
        <v>3612</v>
      </c>
      <c r="J31" s="1812" t="s">
        <v>4056</v>
      </c>
      <c r="K31" s="1812">
        <v>317</v>
      </c>
      <c r="L31" s="1812" t="s">
        <v>4070</v>
      </c>
      <c r="M31" s="1814"/>
      <c r="N31" s="1814"/>
      <c r="O31" s="1814"/>
      <c r="P31" s="1812" t="s">
        <v>4071</v>
      </c>
      <c r="S31" s="1809"/>
      <c r="T31" s="175">
        <v>459</v>
      </c>
      <c r="U31" s="175" t="s">
        <v>4211</v>
      </c>
      <c r="V31" s="1809"/>
      <c r="W31" s="1809"/>
      <c r="X31" s="1809"/>
      <c r="Y31" s="175" t="s">
        <v>4212</v>
      </c>
      <c r="AB31" s="1809"/>
      <c r="AC31" s="175">
        <v>459</v>
      </c>
      <c r="AD31" s="175" t="s">
        <v>4211</v>
      </c>
      <c r="AE31" s="1809"/>
      <c r="AF31" s="1809"/>
      <c r="AG31" s="1809"/>
      <c r="AH31" s="175" t="s">
        <v>4212</v>
      </c>
      <c r="AK31" s="1812" t="s">
        <v>4119</v>
      </c>
      <c r="AL31" s="1812">
        <v>370</v>
      </c>
      <c r="AM31" s="1812" t="s">
        <v>3843</v>
      </c>
      <c r="AN31" s="1814"/>
      <c r="AO31" s="1814"/>
      <c r="AP31" s="1814"/>
      <c r="AQ31" s="1812" t="s">
        <v>4120</v>
      </c>
    </row>
    <row r="32" spans="1:43">
      <c r="A32" s="1737"/>
      <c r="B32" s="257">
        <v>307</v>
      </c>
      <c r="C32" s="257" t="s">
        <v>3613</v>
      </c>
      <c r="D32" s="1737"/>
      <c r="E32" s="1737"/>
      <c r="F32" s="1737"/>
      <c r="G32" s="257" t="s">
        <v>3614</v>
      </c>
      <c r="J32" s="1813"/>
      <c r="K32" s="1813"/>
      <c r="L32" s="1813"/>
      <c r="M32" s="1814"/>
      <c r="N32" s="1814"/>
      <c r="O32" s="1814"/>
      <c r="P32" s="1813"/>
      <c r="S32" s="1809"/>
      <c r="T32" s="175">
        <v>460</v>
      </c>
      <c r="U32" s="175" t="s">
        <v>4213</v>
      </c>
      <c r="V32" s="1809"/>
      <c r="W32" s="1809"/>
      <c r="X32" s="1809"/>
      <c r="Y32" s="175" t="s">
        <v>4214</v>
      </c>
      <c r="AB32" s="1809"/>
      <c r="AC32" s="175">
        <v>460</v>
      </c>
      <c r="AD32" s="175" t="s">
        <v>4213</v>
      </c>
      <c r="AE32" s="1809"/>
      <c r="AF32" s="1809"/>
      <c r="AG32" s="1809"/>
      <c r="AH32" s="175" t="s">
        <v>4214</v>
      </c>
      <c r="AK32" s="1813"/>
      <c r="AL32" s="1813"/>
      <c r="AM32" s="1813"/>
      <c r="AN32" s="1814"/>
      <c r="AO32" s="1814"/>
      <c r="AP32" s="1814"/>
      <c r="AQ32" s="1813"/>
    </row>
    <row r="33" spans="1:43">
      <c r="A33" s="1737"/>
      <c r="B33" s="257">
        <v>309</v>
      </c>
      <c r="C33" s="257" t="s">
        <v>3615</v>
      </c>
      <c r="D33" s="1737"/>
      <c r="E33" s="1737"/>
      <c r="F33" s="1737"/>
      <c r="G33" s="257" t="s">
        <v>3616</v>
      </c>
      <c r="J33" s="1812" t="s">
        <v>4056</v>
      </c>
      <c r="K33" s="1812">
        <v>335</v>
      </c>
      <c r="L33" s="1812" t="s">
        <v>4072</v>
      </c>
      <c r="M33" s="1814"/>
      <c r="N33" s="1814"/>
      <c r="O33" s="1814"/>
      <c r="P33" s="1812" t="s">
        <v>4073</v>
      </c>
      <c r="S33" s="1809"/>
      <c r="T33" s="175">
        <v>461</v>
      </c>
      <c r="U33" s="175" t="s">
        <v>4215</v>
      </c>
      <c r="V33" s="1809"/>
      <c r="W33" s="1809"/>
      <c r="X33" s="1809"/>
      <c r="Y33" s="175" t="s">
        <v>4216</v>
      </c>
      <c r="AB33" s="1809"/>
      <c r="AC33" s="175">
        <v>461</v>
      </c>
      <c r="AD33" s="175" t="s">
        <v>4215</v>
      </c>
      <c r="AE33" s="1809"/>
      <c r="AF33" s="1809"/>
      <c r="AG33" s="1809"/>
      <c r="AH33" s="175" t="s">
        <v>4216</v>
      </c>
      <c r="AK33" s="1812" t="s">
        <v>4121</v>
      </c>
      <c r="AL33" s="1812">
        <v>315</v>
      </c>
      <c r="AM33" s="1812" t="s">
        <v>3796</v>
      </c>
      <c r="AN33" s="1814"/>
      <c r="AO33" s="1814"/>
      <c r="AP33" s="1814"/>
      <c r="AQ33" s="1812" t="s">
        <v>4122</v>
      </c>
    </row>
    <row r="34" spans="1:43">
      <c r="A34" s="1737"/>
      <c r="B34" s="257">
        <v>316</v>
      </c>
      <c r="C34" s="257" t="s">
        <v>3617</v>
      </c>
      <c r="D34" s="1737"/>
      <c r="E34" s="1737"/>
      <c r="F34" s="1737"/>
      <c r="G34" s="257" t="s">
        <v>3618</v>
      </c>
      <c r="J34" s="1813"/>
      <c r="K34" s="1813"/>
      <c r="L34" s="1813"/>
      <c r="M34" s="1814"/>
      <c r="N34" s="1814"/>
      <c r="O34" s="1814"/>
      <c r="P34" s="1813"/>
      <c r="S34" s="1809"/>
      <c r="T34" s="175">
        <v>462</v>
      </c>
      <c r="U34" s="175" t="s">
        <v>4217</v>
      </c>
      <c r="V34" s="1809"/>
      <c r="W34" s="1809"/>
      <c r="X34" s="1809"/>
      <c r="Y34" s="175" t="s">
        <v>4218</v>
      </c>
      <c r="AB34" s="1809"/>
      <c r="AC34" s="175">
        <v>462</v>
      </c>
      <c r="AD34" s="175" t="s">
        <v>4217</v>
      </c>
      <c r="AE34" s="1809"/>
      <c r="AF34" s="1809"/>
      <c r="AG34" s="1809"/>
      <c r="AH34" s="175" t="s">
        <v>4218</v>
      </c>
      <c r="AK34" s="1813"/>
      <c r="AL34" s="1813"/>
      <c r="AM34" s="1813"/>
      <c r="AN34" s="1814"/>
      <c r="AO34" s="1814"/>
      <c r="AP34" s="1814"/>
      <c r="AQ34" s="1813"/>
    </row>
    <row r="35" spans="1:43">
      <c r="A35" s="1737"/>
      <c r="B35" s="257">
        <v>342</v>
      </c>
      <c r="C35" s="257" t="s">
        <v>3619</v>
      </c>
      <c r="D35" s="1737"/>
      <c r="E35" s="1737"/>
      <c r="F35" s="1737"/>
      <c r="G35" s="257" t="s">
        <v>3620</v>
      </c>
      <c r="J35" s="1812" t="s">
        <v>4053</v>
      </c>
      <c r="K35" s="1812">
        <v>333</v>
      </c>
      <c r="L35" s="1812" t="s">
        <v>4074</v>
      </c>
      <c r="M35" s="1814"/>
      <c r="N35" s="1814"/>
      <c r="O35" s="1814"/>
      <c r="P35" s="1812" t="s">
        <v>4075</v>
      </c>
      <c r="S35" s="1809"/>
      <c r="T35" s="175">
        <v>463</v>
      </c>
      <c r="U35" s="175" t="s">
        <v>4219</v>
      </c>
      <c r="V35" s="1809"/>
      <c r="W35" s="1809"/>
      <c r="X35" s="1809"/>
      <c r="Y35" s="175" t="s">
        <v>4220</v>
      </c>
      <c r="AB35" s="1809"/>
      <c r="AC35" s="175">
        <v>463</v>
      </c>
      <c r="AD35" s="175" t="s">
        <v>4219</v>
      </c>
      <c r="AE35" s="1809"/>
      <c r="AF35" s="1809"/>
      <c r="AG35" s="1809"/>
      <c r="AH35" s="175" t="s">
        <v>4220</v>
      </c>
      <c r="AK35" s="1812" t="s">
        <v>4123</v>
      </c>
      <c r="AL35" s="1812">
        <v>249</v>
      </c>
      <c r="AM35" s="1812" t="s">
        <v>3802</v>
      </c>
      <c r="AN35" s="1814"/>
      <c r="AO35" s="1814"/>
      <c r="AP35" s="1814"/>
      <c r="AQ35" s="1812" t="s">
        <v>4124</v>
      </c>
    </row>
    <row r="36" spans="1:43">
      <c r="A36" s="1737"/>
      <c r="B36" s="257">
        <v>360</v>
      </c>
      <c r="C36" s="257" t="s">
        <v>3621</v>
      </c>
      <c r="D36" s="1737"/>
      <c r="E36" s="1737"/>
      <c r="F36" s="1737"/>
      <c r="G36" s="257" t="s">
        <v>3622</v>
      </c>
      <c r="J36" s="1813"/>
      <c r="K36" s="1813"/>
      <c r="L36" s="1813"/>
      <c r="M36" s="1814"/>
      <c r="N36" s="1814"/>
      <c r="O36" s="1814"/>
      <c r="P36" s="1813"/>
      <c r="S36" s="1809"/>
      <c r="T36" s="175">
        <v>465</v>
      </c>
      <c r="U36" s="175" t="s">
        <v>4221</v>
      </c>
      <c r="V36" s="1809"/>
      <c r="W36" s="1809"/>
      <c r="X36" s="1809"/>
      <c r="Y36" s="175" t="s">
        <v>4222</v>
      </c>
      <c r="AB36" s="1809"/>
      <c r="AC36" s="175">
        <v>465</v>
      </c>
      <c r="AD36" s="175" t="s">
        <v>4221</v>
      </c>
      <c r="AE36" s="1809"/>
      <c r="AF36" s="1809"/>
      <c r="AG36" s="1809"/>
      <c r="AH36" s="175" t="s">
        <v>4222</v>
      </c>
      <c r="AK36" s="1813"/>
      <c r="AL36" s="1813"/>
      <c r="AM36" s="1813"/>
      <c r="AN36" s="1814"/>
      <c r="AO36" s="1814"/>
      <c r="AP36" s="1814"/>
      <c r="AQ36" s="1813"/>
    </row>
    <row r="37" spans="1:43">
      <c r="A37" s="1737"/>
      <c r="B37" s="257">
        <v>423</v>
      </c>
      <c r="C37" s="257" t="s">
        <v>3623</v>
      </c>
      <c r="D37" s="1737"/>
      <c r="E37" s="1737"/>
      <c r="F37" s="1737"/>
      <c r="G37" s="257" t="s">
        <v>3624</v>
      </c>
      <c r="J37" s="1812" t="s">
        <v>4053</v>
      </c>
      <c r="K37" s="1812">
        <v>386</v>
      </c>
      <c r="L37" s="1812" t="s">
        <v>3818</v>
      </c>
      <c r="M37" s="1814"/>
      <c r="N37" s="1814"/>
      <c r="O37" s="1814"/>
      <c r="P37" s="1812" t="s">
        <v>4076</v>
      </c>
      <c r="S37" s="1809"/>
      <c r="T37" s="175">
        <v>469</v>
      </c>
      <c r="U37" s="175" t="s">
        <v>4223</v>
      </c>
      <c r="V37" s="1809"/>
      <c r="W37" s="1809"/>
      <c r="X37" s="1809"/>
      <c r="Y37" s="175" t="s">
        <v>4224</v>
      </c>
      <c r="AB37" s="1809"/>
      <c r="AC37" s="175">
        <v>469</v>
      </c>
      <c r="AD37" s="175" t="s">
        <v>4223</v>
      </c>
      <c r="AE37" s="1809"/>
      <c r="AF37" s="1809"/>
      <c r="AG37" s="1809"/>
      <c r="AH37" s="175" t="s">
        <v>4224</v>
      </c>
      <c r="AK37" s="1812" t="s">
        <v>4044</v>
      </c>
      <c r="AL37" s="1812">
        <v>304</v>
      </c>
      <c r="AM37" s="1812" t="s">
        <v>4045</v>
      </c>
      <c r="AN37" s="1814"/>
      <c r="AO37" s="1814"/>
      <c r="AP37" s="1814"/>
      <c r="AQ37" s="1812" t="s">
        <v>4125</v>
      </c>
    </row>
    <row r="38" spans="1:43">
      <c r="A38" s="1737"/>
      <c r="B38" s="257">
        <v>428</v>
      </c>
      <c r="C38" s="257" t="s">
        <v>3625</v>
      </c>
      <c r="D38" s="1737"/>
      <c r="E38" s="1737"/>
      <c r="F38" s="1737"/>
      <c r="G38" s="257" t="s">
        <v>3626</v>
      </c>
      <c r="J38" s="1813"/>
      <c r="K38" s="1813"/>
      <c r="L38" s="1813"/>
      <c r="M38" s="1814"/>
      <c r="N38" s="1814"/>
      <c r="O38" s="1814"/>
      <c r="P38" s="1813"/>
      <c r="S38" s="1809"/>
      <c r="T38" s="175">
        <v>472</v>
      </c>
      <c r="U38" s="175" t="s">
        <v>4225</v>
      </c>
      <c r="V38" s="1809"/>
      <c r="W38" s="1809"/>
      <c r="X38" s="1809"/>
      <c r="Y38" s="175" t="s">
        <v>4226</v>
      </c>
      <c r="AB38" s="1809"/>
      <c r="AC38" s="175">
        <v>472</v>
      </c>
      <c r="AD38" s="175" t="s">
        <v>4225</v>
      </c>
      <c r="AE38" s="1809"/>
      <c r="AF38" s="1809"/>
      <c r="AG38" s="1809"/>
      <c r="AH38" s="175" t="s">
        <v>4226</v>
      </c>
      <c r="AK38" s="1813"/>
      <c r="AL38" s="1813"/>
      <c r="AM38" s="1813"/>
      <c r="AN38" s="1814"/>
      <c r="AO38" s="1814"/>
      <c r="AP38" s="1814"/>
      <c r="AQ38" s="1813"/>
    </row>
    <row r="39" spans="1:43">
      <c r="A39" s="1737" t="s">
        <v>26</v>
      </c>
      <c r="B39" s="257">
        <v>314</v>
      </c>
      <c r="C39" s="257" t="s">
        <v>3627</v>
      </c>
      <c r="D39" s="1737"/>
      <c r="E39" s="1737"/>
      <c r="F39" s="1737"/>
      <c r="G39" s="257" t="s">
        <v>3628</v>
      </c>
      <c r="J39" s="1812" t="s">
        <v>4053</v>
      </c>
      <c r="K39" s="1812">
        <v>390</v>
      </c>
      <c r="L39" s="1812" t="s">
        <v>3820</v>
      </c>
      <c r="M39" s="1814"/>
      <c r="N39" s="1814"/>
      <c r="O39" s="1814"/>
      <c r="P39" s="1812" t="s">
        <v>4077</v>
      </c>
      <c r="S39" s="1809"/>
      <c r="T39" s="175">
        <v>473</v>
      </c>
      <c r="U39" s="175" t="s">
        <v>4227</v>
      </c>
      <c r="V39" s="1809"/>
      <c r="W39" s="1809"/>
      <c r="X39" s="1809"/>
      <c r="Y39" s="175" t="s">
        <v>4228</v>
      </c>
      <c r="AB39" s="1809"/>
      <c r="AC39" s="175">
        <v>473</v>
      </c>
      <c r="AD39" s="175" t="s">
        <v>4227</v>
      </c>
      <c r="AE39" s="1809"/>
      <c r="AF39" s="1809"/>
      <c r="AG39" s="1809"/>
      <c r="AH39" s="175" t="s">
        <v>4228</v>
      </c>
      <c r="AK39" s="1812" t="s">
        <v>4053</v>
      </c>
      <c r="AL39" s="1812">
        <v>322</v>
      </c>
      <c r="AM39" s="1812" t="s">
        <v>4054</v>
      </c>
      <c r="AN39" s="1814"/>
      <c r="AO39" s="1814"/>
      <c r="AP39" s="1814"/>
      <c r="AQ39" s="1812" t="s">
        <v>4126</v>
      </c>
    </row>
    <row r="40" spans="1:43">
      <c r="A40" s="1737"/>
      <c r="B40" s="257">
        <v>337</v>
      </c>
      <c r="C40" s="257" t="s">
        <v>3629</v>
      </c>
      <c r="D40" s="1737"/>
      <c r="E40" s="1737"/>
      <c r="F40" s="1737"/>
      <c r="G40" s="257" t="s">
        <v>3630</v>
      </c>
      <c r="J40" s="1813"/>
      <c r="K40" s="1813"/>
      <c r="L40" s="1813"/>
      <c r="M40" s="1814"/>
      <c r="N40" s="1814"/>
      <c r="O40" s="1814"/>
      <c r="P40" s="1813"/>
      <c r="S40" s="1809"/>
      <c r="T40" s="175">
        <v>478</v>
      </c>
      <c r="U40" s="175" t="s">
        <v>4229</v>
      </c>
      <c r="V40" s="1809"/>
      <c r="W40" s="1809"/>
      <c r="X40" s="1809"/>
      <c r="Y40" s="175" t="s">
        <v>4230</v>
      </c>
      <c r="AB40" s="1809"/>
      <c r="AC40" s="175">
        <v>478</v>
      </c>
      <c r="AD40" s="175" t="s">
        <v>4229</v>
      </c>
      <c r="AE40" s="1809"/>
      <c r="AF40" s="1809"/>
      <c r="AG40" s="1809"/>
      <c r="AH40" s="175" t="s">
        <v>4230</v>
      </c>
      <c r="AK40" s="1813"/>
      <c r="AL40" s="1813"/>
      <c r="AM40" s="1813"/>
      <c r="AN40" s="1814"/>
      <c r="AO40" s="1814"/>
      <c r="AP40" s="1814"/>
      <c r="AQ40" s="1813"/>
    </row>
    <row r="41" spans="1:43">
      <c r="A41" s="1737"/>
      <c r="B41" s="257">
        <v>352</v>
      </c>
      <c r="C41" s="257" t="s">
        <v>3631</v>
      </c>
      <c r="D41" s="1737"/>
      <c r="E41" s="1737"/>
      <c r="F41" s="1737"/>
      <c r="G41" s="257" t="s">
        <v>3632</v>
      </c>
      <c r="J41" s="1812" t="s">
        <v>4078</v>
      </c>
      <c r="K41" s="1812">
        <v>425</v>
      </c>
      <c r="L41" s="1812" t="s">
        <v>4079</v>
      </c>
      <c r="M41" s="1814"/>
      <c r="N41" s="1814"/>
      <c r="O41" s="1814"/>
      <c r="P41" s="1812" t="s">
        <v>4080</v>
      </c>
      <c r="S41" s="1809"/>
      <c r="T41" s="175">
        <v>481</v>
      </c>
      <c r="U41" s="175" t="s">
        <v>4231</v>
      </c>
      <c r="V41" s="1809"/>
      <c r="W41" s="1809"/>
      <c r="X41" s="1809"/>
      <c r="Y41" s="175" t="s">
        <v>4232</v>
      </c>
      <c r="AB41" s="1809"/>
      <c r="AC41" s="175">
        <v>481</v>
      </c>
      <c r="AD41" s="175" t="s">
        <v>4231</v>
      </c>
      <c r="AE41" s="1809"/>
      <c r="AF41" s="1809"/>
      <c r="AG41" s="1809"/>
      <c r="AH41" s="175" t="s">
        <v>4232</v>
      </c>
      <c r="AK41" s="1812" t="s">
        <v>4127</v>
      </c>
      <c r="AL41" s="1812">
        <v>314</v>
      </c>
      <c r="AM41" s="1812" t="s">
        <v>3627</v>
      </c>
      <c r="AN41" s="1814"/>
      <c r="AO41" s="1814"/>
      <c r="AP41" s="1814"/>
      <c r="AQ41" s="1812" t="s">
        <v>4128</v>
      </c>
    </row>
    <row r="42" spans="1:43">
      <c r="A42" s="1737"/>
      <c r="B42" s="257">
        <v>395</v>
      </c>
      <c r="C42" s="257" t="s">
        <v>3633</v>
      </c>
      <c r="D42" s="1737"/>
      <c r="E42" s="1737"/>
      <c r="F42" s="1737"/>
      <c r="G42" s="257" t="s">
        <v>3634</v>
      </c>
      <c r="J42" s="1813"/>
      <c r="K42" s="1813"/>
      <c r="L42" s="1813"/>
      <c r="M42" s="1814"/>
      <c r="N42" s="1814"/>
      <c r="O42" s="1814"/>
      <c r="P42" s="1813"/>
      <c r="S42" s="1809"/>
      <c r="T42" s="175">
        <v>483</v>
      </c>
      <c r="U42" s="175" t="s">
        <v>4233</v>
      </c>
      <c r="V42" s="1809"/>
      <c r="W42" s="1809"/>
      <c r="X42" s="1809"/>
      <c r="Y42" s="175" t="s">
        <v>4234</v>
      </c>
      <c r="AB42" s="1809"/>
      <c r="AC42" s="175">
        <v>483</v>
      </c>
      <c r="AD42" s="175" t="s">
        <v>4233</v>
      </c>
      <c r="AE42" s="1809"/>
      <c r="AF42" s="1809"/>
      <c r="AG42" s="1809"/>
      <c r="AH42" s="175" t="s">
        <v>4234</v>
      </c>
      <c r="AK42" s="1813"/>
      <c r="AL42" s="1813"/>
      <c r="AM42" s="1813"/>
      <c r="AN42" s="1814"/>
      <c r="AO42" s="1814"/>
      <c r="AP42" s="1814"/>
      <c r="AQ42" s="1813"/>
    </row>
    <row r="43" spans="1:43">
      <c r="A43" s="1737"/>
      <c r="B43" s="257">
        <v>400</v>
      </c>
      <c r="C43" s="257" t="s">
        <v>3635</v>
      </c>
      <c r="D43" s="1737"/>
      <c r="E43" s="1737"/>
      <c r="F43" s="1737"/>
      <c r="G43" s="257" t="s">
        <v>3636</v>
      </c>
      <c r="J43" s="1812" t="s">
        <v>4039</v>
      </c>
      <c r="K43" s="1812">
        <v>420</v>
      </c>
      <c r="L43" s="1812" t="s">
        <v>4081</v>
      </c>
      <c r="M43" s="1814"/>
      <c r="N43" s="1814"/>
      <c r="O43" s="1814"/>
      <c r="P43" s="1812" t="s">
        <v>4082</v>
      </c>
      <c r="S43" s="1809"/>
      <c r="T43" s="175">
        <v>485</v>
      </c>
      <c r="U43" s="175" t="s">
        <v>4235</v>
      </c>
      <c r="V43" s="1809"/>
      <c r="W43" s="1809"/>
      <c r="X43" s="1809"/>
      <c r="Y43" s="175" t="s">
        <v>4236</v>
      </c>
      <c r="AB43" s="1809"/>
      <c r="AC43" s="175">
        <v>485</v>
      </c>
      <c r="AD43" s="175" t="s">
        <v>4235</v>
      </c>
      <c r="AE43" s="1809"/>
      <c r="AF43" s="1809"/>
      <c r="AG43" s="1809"/>
      <c r="AH43" s="175" t="s">
        <v>4236</v>
      </c>
      <c r="AK43" s="1812" t="s">
        <v>4129</v>
      </c>
      <c r="AL43" s="1812">
        <v>345</v>
      </c>
      <c r="AM43" s="1812" t="s">
        <v>3643</v>
      </c>
      <c r="AN43" s="1814"/>
      <c r="AO43" s="1814"/>
      <c r="AP43" s="1814"/>
      <c r="AQ43" s="1812" t="s">
        <v>4130</v>
      </c>
    </row>
    <row r="44" spans="1:43">
      <c r="A44" s="1737"/>
      <c r="B44" s="257">
        <v>479</v>
      </c>
      <c r="C44" s="257" t="s">
        <v>3637</v>
      </c>
      <c r="D44" s="1737"/>
      <c r="E44" s="1737"/>
      <c r="F44" s="1737"/>
      <c r="G44" s="257" t="s">
        <v>3638</v>
      </c>
      <c r="J44" s="1813"/>
      <c r="K44" s="1813"/>
      <c r="L44" s="1813"/>
      <c r="M44" s="1814"/>
      <c r="N44" s="1814"/>
      <c r="O44" s="1814"/>
      <c r="P44" s="1813"/>
      <c r="S44" s="1809"/>
      <c r="T44" s="175">
        <v>486</v>
      </c>
      <c r="U44" s="175" t="s">
        <v>4237</v>
      </c>
      <c r="V44" s="1809"/>
      <c r="W44" s="1809"/>
      <c r="X44" s="1809"/>
      <c r="Y44" s="175" t="s">
        <v>4238</v>
      </c>
      <c r="AB44" s="1809"/>
      <c r="AC44" s="175">
        <v>486</v>
      </c>
      <c r="AD44" s="175" t="s">
        <v>4237</v>
      </c>
      <c r="AE44" s="1809"/>
      <c r="AF44" s="1809"/>
      <c r="AG44" s="1809"/>
      <c r="AH44" s="175" t="s">
        <v>4238</v>
      </c>
      <c r="AK44" s="1813"/>
      <c r="AL44" s="1813"/>
      <c r="AM44" s="1813"/>
      <c r="AN44" s="1814"/>
      <c r="AO44" s="1814"/>
      <c r="AP44" s="1814"/>
      <c r="AQ44" s="1813"/>
    </row>
    <row r="45" spans="1:43">
      <c r="A45" s="1737"/>
      <c r="B45" s="257">
        <v>480</v>
      </c>
      <c r="C45" s="257" t="s">
        <v>3639</v>
      </c>
      <c r="D45" s="1737"/>
      <c r="E45" s="1737"/>
      <c r="F45" s="1737"/>
      <c r="G45" s="257" t="s">
        <v>3640</v>
      </c>
      <c r="J45" s="1812" t="s">
        <v>4083</v>
      </c>
      <c r="K45" s="1812">
        <v>427</v>
      </c>
      <c r="L45" s="1812" t="s">
        <v>4084</v>
      </c>
      <c r="M45" s="1814"/>
      <c r="N45" s="1814"/>
      <c r="O45" s="1814"/>
      <c r="P45" s="1812" t="s">
        <v>4085</v>
      </c>
      <c r="S45" s="1809"/>
      <c r="T45" s="175">
        <v>487</v>
      </c>
      <c r="U45" s="175" t="s">
        <v>4239</v>
      </c>
      <c r="V45" s="1809"/>
      <c r="W45" s="1809"/>
      <c r="X45" s="1809"/>
      <c r="Y45" s="175" t="s">
        <v>4240</v>
      </c>
      <c r="AB45" s="1809"/>
      <c r="AC45" s="175">
        <v>487</v>
      </c>
      <c r="AD45" s="175" t="s">
        <v>4239</v>
      </c>
      <c r="AE45" s="1809"/>
      <c r="AF45" s="1809"/>
      <c r="AG45" s="1809"/>
      <c r="AH45" s="175" t="s">
        <v>4240</v>
      </c>
      <c r="AK45" s="1812" t="s">
        <v>4131</v>
      </c>
      <c r="AL45" s="1812">
        <v>247</v>
      </c>
      <c r="AM45" s="1812" t="s">
        <v>3657</v>
      </c>
      <c r="AN45" s="1814"/>
      <c r="AO45" s="1814"/>
      <c r="AP45" s="1814"/>
      <c r="AQ45" s="1812" t="s">
        <v>4132</v>
      </c>
    </row>
    <row r="46" spans="1:43">
      <c r="A46" s="1737"/>
      <c r="B46" s="257">
        <v>548</v>
      </c>
      <c r="C46" s="257" t="s">
        <v>3641</v>
      </c>
      <c r="D46" s="1737"/>
      <c r="E46" s="1737"/>
      <c r="F46" s="1737"/>
      <c r="G46" s="257" t="s">
        <v>3642</v>
      </c>
      <c r="J46" s="1813"/>
      <c r="K46" s="1813"/>
      <c r="L46" s="1813"/>
      <c r="M46" s="1814"/>
      <c r="N46" s="1814"/>
      <c r="O46" s="1814"/>
      <c r="P46" s="1813"/>
      <c r="S46" s="1809"/>
      <c r="T46" s="175">
        <v>489</v>
      </c>
      <c r="U46" s="175" t="s">
        <v>4241</v>
      </c>
      <c r="V46" s="1809"/>
      <c r="W46" s="1809"/>
      <c r="X46" s="1809"/>
      <c r="Y46" s="175" t="s">
        <v>4242</v>
      </c>
      <c r="AB46" s="1809"/>
      <c r="AC46" s="175">
        <v>489</v>
      </c>
      <c r="AD46" s="175" t="s">
        <v>4241</v>
      </c>
      <c r="AE46" s="1809"/>
      <c r="AF46" s="1809"/>
      <c r="AG46" s="1809"/>
      <c r="AH46" s="175" t="s">
        <v>4242</v>
      </c>
      <c r="AK46" s="1813"/>
      <c r="AL46" s="1813"/>
      <c r="AM46" s="1813"/>
      <c r="AN46" s="1814"/>
      <c r="AO46" s="1814"/>
      <c r="AP46" s="1814"/>
      <c r="AQ46" s="1813"/>
    </row>
    <row r="47" spans="1:43">
      <c r="A47" s="1737" t="s">
        <v>334</v>
      </c>
      <c r="B47" s="257">
        <v>345</v>
      </c>
      <c r="C47" s="257" t="s">
        <v>3643</v>
      </c>
      <c r="D47" s="1737"/>
      <c r="E47" s="1737"/>
      <c r="F47" s="1737"/>
      <c r="G47" s="257" t="s">
        <v>3644</v>
      </c>
      <c r="J47" s="1812" t="s">
        <v>4086</v>
      </c>
      <c r="K47" s="1812" t="s">
        <v>4087</v>
      </c>
      <c r="L47" s="1812" t="s">
        <v>4088</v>
      </c>
      <c r="M47" s="1814"/>
      <c r="N47" s="1814"/>
      <c r="O47" s="1814"/>
      <c r="P47" s="1812" t="s">
        <v>4089</v>
      </c>
      <c r="S47" s="1809"/>
      <c r="T47" s="175">
        <v>490</v>
      </c>
      <c r="U47" s="175" t="s">
        <v>4243</v>
      </c>
      <c r="V47" s="1809"/>
      <c r="W47" s="1809"/>
      <c r="X47" s="1809"/>
      <c r="Y47" s="175" t="s">
        <v>4244</v>
      </c>
      <c r="AB47" s="1809"/>
      <c r="AC47" s="175">
        <v>490</v>
      </c>
      <c r="AD47" s="175" t="s">
        <v>4243</v>
      </c>
      <c r="AE47" s="1809"/>
      <c r="AF47" s="1809"/>
      <c r="AG47" s="1809"/>
      <c r="AH47" s="175" t="s">
        <v>4244</v>
      </c>
      <c r="AK47" s="1812" t="s">
        <v>4059</v>
      </c>
      <c r="AL47" s="1812">
        <v>543</v>
      </c>
      <c r="AM47" s="1812" t="s">
        <v>3681</v>
      </c>
      <c r="AN47" s="1814"/>
      <c r="AO47" s="1814"/>
      <c r="AP47" s="1814"/>
      <c r="AQ47" s="1812" t="s">
        <v>4133</v>
      </c>
    </row>
    <row r="48" spans="1:43">
      <c r="A48" s="1737"/>
      <c r="B48" s="257">
        <v>319</v>
      </c>
      <c r="C48" s="257" t="s">
        <v>3645</v>
      </c>
      <c r="D48" s="1737"/>
      <c r="E48" s="1737"/>
      <c r="F48" s="1737"/>
      <c r="G48" s="257" t="s">
        <v>3646</v>
      </c>
      <c r="J48" s="1813"/>
      <c r="K48" s="1813"/>
      <c r="L48" s="1813"/>
      <c r="M48" s="1814"/>
      <c r="N48" s="1814"/>
      <c r="O48" s="1814"/>
      <c r="P48" s="1813"/>
      <c r="S48" s="1809"/>
      <c r="T48" s="175">
        <v>493</v>
      </c>
      <c r="U48" s="175" t="s">
        <v>4245</v>
      </c>
      <c r="V48" s="1809"/>
      <c r="W48" s="1809"/>
      <c r="X48" s="1809"/>
      <c r="Y48" s="175" t="s">
        <v>4246</v>
      </c>
      <c r="AB48" s="1809"/>
      <c r="AC48" s="175">
        <v>493</v>
      </c>
      <c r="AD48" s="175" t="s">
        <v>4245</v>
      </c>
      <c r="AE48" s="1809"/>
      <c r="AF48" s="1809"/>
      <c r="AG48" s="1809"/>
      <c r="AH48" s="175" t="s">
        <v>4246</v>
      </c>
      <c r="AK48" s="1813"/>
      <c r="AL48" s="1813"/>
      <c r="AM48" s="1813"/>
      <c r="AN48" s="1814"/>
      <c r="AO48" s="1814"/>
      <c r="AP48" s="1814"/>
      <c r="AQ48" s="1813"/>
    </row>
    <row r="49" spans="1:43">
      <c r="A49" s="1737"/>
      <c r="B49" s="257">
        <v>338</v>
      </c>
      <c r="C49" s="257" t="s">
        <v>3647</v>
      </c>
      <c r="D49" s="1737"/>
      <c r="E49" s="1737"/>
      <c r="F49" s="1737"/>
      <c r="G49" s="257" t="s">
        <v>3648</v>
      </c>
      <c r="J49" s="1812" t="s">
        <v>4053</v>
      </c>
      <c r="K49" s="1812">
        <v>451</v>
      </c>
      <c r="L49" s="1812" t="s">
        <v>4090</v>
      </c>
      <c r="M49" s="1814"/>
      <c r="N49" s="1814"/>
      <c r="O49" s="1814"/>
      <c r="P49" s="1812" t="s">
        <v>4091</v>
      </c>
      <c r="S49" s="1809"/>
      <c r="T49" s="175">
        <v>496</v>
      </c>
      <c r="U49" s="175" t="s">
        <v>4247</v>
      </c>
      <c r="V49" s="1809"/>
      <c r="W49" s="1809"/>
      <c r="X49" s="1809"/>
      <c r="Y49" s="175" t="s">
        <v>4248</v>
      </c>
      <c r="AB49" s="1809"/>
      <c r="AC49" s="175">
        <v>496</v>
      </c>
      <c r="AD49" s="175" t="s">
        <v>4247</v>
      </c>
      <c r="AE49" s="1809"/>
      <c r="AF49" s="1809"/>
      <c r="AG49" s="1809"/>
      <c r="AH49" s="175" t="s">
        <v>4248</v>
      </c>
      <c r="AK49" s="1812" t="s">
        <v>4134</v>
      </c>
      <c r="AL49" s="1812">
        <v>344</v>
      </c>
      <c r="AM49" s="1812" t="s">
        <v>3683</v>
      </c>
      <c r="AN49" s="1814"/>
      <c r="AO49" s="1814"/>
      <c r="AP49" s="1814"/>
      <c r="AQ49" s="1812" t="s">
        <v>4135</v>
      </c>
    </row>
    <row r="50" spans="1:43">
      <c r="A50" s="1737"/>
      <c r="B50" s="257">
        <v>376</v>
      </c>
      <c r="C50" s="257" t="s">
        <v>3649</v>
      </c>
      <c r="D50" s="1737"/>
      <c r="E50" s="1737"/>
      <c r="F50" s="1737"/>
      <c r="G50" s="257" t="s">
        <v>3650</v>
      </c>
      <c r="J50" s="1813"/>
      <c r="K50" s="1813"/>
      <c r="L50" s="1813"/>
      <c r="M50" s="1813"/>
      <c r="N50" s="1813"/>
      <c r="O50" s="1813"/>
      <c r="P50" s="1813"/>
      <c r="S50" s="1809"/>
      <c r="T50" s="175">
        <v>497</v>
      </c>
      <c r="U50" s="175" t="s">
        <v>4249</v>
      </c>
      <c r="V50" s="1809"/>
      <c r="W50" s="1809"/>
      <c r="X50" s="1809"/>
      <c r="Y50" s="175" t="s">
        <v>4250</v>
      </c>
      <c r="AB50" s="1809"/>
      <c r="AC50" s="175">
        <v>497</v>
      </c>
      <c r="AD50" s="175" t="s">
        <v>4249</v>
      </c>
      <c r="AE50" s="1809"/>
      <c r="AF50" s="1809"/>
      <c r="AG50" s="1809"/>
      <c r="AH50" s="175" t="s">
        <v>4250</v>
      </c>
      <c r="AK50" s="1813"/>
      <c r="AL50" s="1813"/>
      <c r="AM50" s="1813"/>
      <c r="AN50" s="1814"/>
      <c r="AO50" s="1814"/>
      <c r="AP50" s="1814"/>
      <c r="AQ50" s="1813"/>
    </row>
    <row r="51" spans="1:43">
      <c r="A51" s="1737"/>
      <c r="B51" s="257">
        <v>437</v>
      </c>
      <c r="C51" s="257" t="s">
        <v>3651</v>
      </c>
      <c r="D51" s="1737"/>
      <c r="E51" s="1737"/>
      <c r="F51" s="1737"/>
      <c r="G51" s="257" t="s">
        <v>3652</v>
      </c>
      <c r="S51" s="1809"/>
      <c r="T51" s="175">
        <v>499</v>
      </c>
      <c r="U51" s="175" t="s">
        <v>4251</v>
      </c>
      <c r="V51" s="1809"/>
      <c r="W51" s="1809"/>
      <c r="X51" s="1809"/>
      <c r="Y51" s="175" t="s">
        <v>4252</v>
      </c>
      <c r="AB51" s="1809"/>
      <c r="AC51" s="175">
        <v>499</v>
      </c>
      <c r="AD51" s="175" t="s">
        <v>4251</v>
      </c>
      <c r="AE51" s="1809"/>
      <c r="AF51" s="1809"/>
      <c r="AG51" s="1809"/>
      <c r="AH51" s="175" t="s">
        <v>4252</v>
      </c>
      <c r="AK51" s="1812" t="s">
        <v>4136</v>
      </c>
      <c r="AL51" s="1812">
        <v>365</v>
      </c>
      <c r="AM51" s="1812" t="s">
        <v>3769</v>
      </c>
      <c r="AN51" s="1814"/>
      <c r="AO51" s="1814"/>
      <c r="AP51" s="1814"/>
      <c r="AQ51" s="1812" t="s">
        <v>4137</v>
      </c>
    </row>
    <row r="52" spans="1:43">
      <c r="A52" s="1737"/>
      <c r="B52" s="257">
        <v>441</v>
      </c>
      <c r="C52" s="257" t="s">
        <v>3653</v>
      </c>
      <c r="D52" s="1737"/>
      <c r="E52" s="1737"/>
      <c r="F52" s="1737"/>
      <c r="G52" s="257" t="s">
        <v>3654</v>
      </c>
      <c r="S52" s="1809"/>
      <c r="T52" s="175">
        <v>500</v>
      </c>
      <c r="U52" s="175" t="s">
        <v>4253</v>
      </c>
      <c r="V52" s="1809"/>
      <c r="W52" s="1809"/>
      <c r="X52" s="1809"/>
      <c r="Y52" s="175" t="s">
        <v>4254</v>
      </c>
      <c r="AB52" s="1809"/>
      <c r="AC52" s="175">
        <v>500</v>
      </c>
      <c r="AD52" s="175" t="s">
        <v>4253</v>
      </c>
      <c r="AE52" s="1809"/>
      <c r="AF52" s="1809"/>
      <c r="AG52" s="1809"/>
      <c r="AH52" s="175" t="s">
        <v>4254</v>
      </c>
      <c r="AK52" s="1813"/>
      <c r="AL52" s="1813"/>
      <c r="AM52" s="1813"/>
      <c r="AN52" s="1814"/>
      <c r="AO52" s="1814"/>
      <c r="AP52" s="1814"/>
      <c r="AQ52" s="1813"/>
    </row>
    <row r="53" spans="1:43">
      <c r="A53" s="1737"/>
      <c r="B53" s="257">
        <v>452</v>
      </c>
      <c r="C53" s="257" t="s">
        <v>3655</v>
      </c>
      <c r="D53" s="1737"/>
      <c r="E53" s="1737"/>
      <c r="F53" s="1737"/>
      <c r="G53" s="257" t="s">
        <v>3656</v>
      </c>
      <c r="S53" s="1809"/>
      <c r="T53" s="175">
        <v>501</v>
      </c>
      <c r="U53" s="175" t="s">
        <v>4255</v>
      </c>
      <c r="V53" s="1809"/>
      <c r="W53" s="1809"/>
      <c r="X53" s="1809"/>
      <c r="Y53" s="175" t="s">
        <v>4256</v>
      </c>
      <c r="AB53" s="1809"/>
      <c r="AC53" s="175">
        <v>501</v>
      </c>
      <c r="AD53" s="175" t="s">
        <v>4255</v>
      </c>
      <c r="AE53" s="1809"/>
      <c r="AF53" s="1809"/>
      <c r="AG53" s="1809"/>
      <c r="AH53" s="175" t="s">
        <v>4256</v>
      </c>
      <c r="AK53" s="1812" t="s">
        <v>4065</v>
      </c>
      <c r="AL53" s="1812">
        <v>279</v>
      </c>
      <c r="AM53" s="1812" t="s">
        <v>4138</v>
      </c>
      <c r="AN53" s="1814"/>
      <c r="AO53" s="1814"/>
      <c r="AP53" s="1814"/>
      <c r="AQ53" s="1812" t="s">
        <v>4139</v>
      </c>
    </row>
    <row r="54" spans="1:43">
      <c r="A54" s="1737" t="s">
        <v>3191</v>
      </c>
      <c r="B54" s="257">
        <v>247</v>
      </c>
      <c r="C54" s="257" t="s">
        <v>3657</v>
      </c>
      <c r="D54" s="1737"/>
      <c r="E54" s="1737"/>
      <c r="F54" s="1737"/>
      <c r="G54" s="257" t="s">
        <v>3658</v>
      </c>
      <c r="S54" s="1809"/>
      <c r="T54" s="175">
        <v>502</v>
      </c>
      <c r="U54" s="175" t="s">
        <v>4257</v>
      </c>
      <c r="V54" s="1809"/>
      <c r="W54" s="1809"/>
      <c r="X54" s="1809"/>
      <c r="Y54" s="175" t="s">
        <v>4258</v>
      </c>
      <c r="AB54" s="1809"/>
      <c r="AC54" s="175">
        <v>502</v>
      </c>
      <c r="AD54" s="175" t="s">
        <v>4257</v>
      </c>
      <c r="AE54" s="1809"/>
      <c r="AF54" s="1809"/>
      <c r="AG54" s="1809"/>
      <c r="AH54" s="175" t="s">
        <v>4258</v>
      </c>
      <c r="AK54" s="1813"/>
      <c r="AL54" s="1813"/>
      <c r="AM54" s="1813"/>
      <c r="AN54" s="1814"/>
      <c r="AO54" s="1814"/>
      <c r="AP54" s="1814"/>
      <c r="AQ54" s="1813"/>
    </row>
    <row r="55" spans="1:43">
      <c r="A55" s="1737"/>
      <c r="B55" s="257">
        <v>349</v>
      </c>
      <c r="C55" s="257" t="s">
        <v>3659</v>
      </c>
      <c r="D55" s="1737"/>
      <c r="E55" s="1737"/>
      <c r="F55" s="1737"/>
      <c r="G55" s="257" t="s">
        <v>3660</v>
      </c>
      <c r="S55" s="1809"/>
      <c r="T55" s="175">
        <v>503</v>
      </c>
      <c r="U55" s="175" t="s">
        <v>4259</v>
      </c>
      <c r="V55" s="1809"/>
      <c r="W55" s="1809"/>
      <c r="X55" s="1809"/>
      <c r="Y55" s="175" t="s">
        <v>4260</v>
      </c>
      <c r="AB55" s="1809"/>
      <c r="AC55" s="175">
        <v>503</v>
      </c>
      <c r="AD55" s="175" t="s">
        <v>4259</v>
      </c>
      <c r="AE55" s="1809"/>
      <c r="AF55" s="1809"/>
      <c r="AG55" s="1809"/>
      <c r="AH55" s="175" t="s">
        <v>4260</v>
      </c>
      <c r="AK55" s="1812" t="s">
        <v>4140</v>
      </c>
      <c r="AL55" s="1812">
        <v>580</v>
      </c>
      <c r="AM55" s="1812" t="s">
        <v>3585</v>
      </c>
      <c r="AN55" s="1814"/>
      <c r="AO55" s="1814"/>
      <c r="AP55" s="1814"/>
      <c r="AQ55" s="1812" t="s">
        <v>4141</v>
      </c>
    </row>
    <row r="56" spans="1:43">
      <c r="A56" s="1737"/>
      <c r="B56" s="257">
        <v>455</v>
      </c>
      <c r="C56" s="257" t="s">
        <v>3661</v>
      </c>
      <c r="D56" s="1737"/>
      <c r="E56" s="1737"/>
      <c r="F56" s="1737"/>
      <c r="G56" s="257" t="s">
        <v>3662</v>
      </c>
      <c r="S56" s="1809"/>
      <c r="T56" s="175">
        <v>506</v>
      </c>
      <c r="U56" s="175" t="s">
        <v>4261</v>
      </c>
      <c r="V56" s="1809"/>
      <c r="W56" s="1809"/>
      <c r="X56" s="1809"/>
      <c r="Y56" s="175" t="s">
        <v>4262</v>
      </c>
      <c r="AB56" s="1809"/>
      <c r="AC56" s="175">
        <v>506</v>
      </c>
      <c r="AD56" s="175" t="s">
        <v>4261</v>
      </c>
      <c r="AE56" s="1809"/>
      <c r="AF56" s="1809"/>
      <c r="AG56" s="1809"/>
      <c r="AH56" s="175" t="s">
        <v>4262</v>
      </c>
      <c r="AK56" s="1813"/>
      <c r="AL56" s="1813"/>
      <c r="AM56" s="1813"/>
      <c r="AN56" s="1814"/>
      <c r="AO56" s="1814"/>
      <c r="AP56" s="1814"/>
      <c r="AQ56" s="1813"/>
    </row>
    <row r="57" spans="1:43">
      <c r="A57" s="1737" t="s">
        <v>2592</v>
      </c>
      <c r="B57" s="257">
        <v>336</v>
      </c>
      <c r="C57" s="257" t="s">
        <v>3663</v>
      </c>
      <c r="D57" s="1737"/>
      <c r="E57" s="1737"/>
      <c r="F57" s="1737"/>
      <c r="G57" s="257" t="s">
        <v>3664</v>
      </c>
      <c r="S57" s="1809"/>
      <c r="T57" s="175">
        <v>507</v>
      </c>
      <c r="U57" s="175" t="s">
        <v>4263</v>
      </c>
      <c r="V57" s="1809"/>
      <c r="W57" s="1809"/>
      <c r="X57" s="1809"/>
      <c r="Y57" s="175" t="s">
        <v>4264</v>
      </c>
      <c r="AB57" s="1809"/>
      <c r="AC57" s="175">
        <v>507</v>
      </c>
      <c r="AD57" s="175" t="s">
        <v>4263</v>
      </c>
      <c r="AE57" s="1809"/>
      <c r="AF57" s="1809"/>
      <c r="AG57" s="1809"/>
      <c r="AH57" s="175" t="s">
        <v>4264</v>
      </c>
      <c r="AK57" s="1812" t="s">
        <v>4142</v>
      </c>
      <c r="AL57" s="1812">
        <v>404</v>
      </c>
      <c r="AM57" s="1812" t="s">
        <v>3581</v>
      </c>
      <c r="AN57" s="1814"/>
      <c r="AO57" s="1814"/>
      <c r="AP57" s="1814"/>
      <c r="AQ57" s="1812" t="s">
        <v>4143</v>
      </c>
    </row>
    <row r="58" spans="1:43">
      <c r="A58" s="1737"/>
      <c r="B58" s="257">
        <v>371</v>
      </c>
      <c r="C58" s="257" t="s">
        <v>3665</v>
      </c>
      <c r="D58" s="1737"/>
      <c r="E58" s="1737"/>
      <c r="F58" s="1737"/>
      <c r="G58" s="257" t="s">
        <v>3666</v>
      </c>
      <c r="S58" s="1809"/>
      <c r="T58" s="175">
        <v>508</v>
      </c>
      <c r="U58" s="175" t="s">
        <v>4265</v>
      </c>
      <c r="V58" s="1809"/>
      <c r="W58" s="1809"/>
      <c r="X58" s="1809"/>
      <c r="Y58" s="175" t="s">
        <v>4266</v>
      </c>
      <c r="AB58" s="1809"/>
      <c r="AC58" s="175">
        <v>508</v>
      </c>
      <c r="AD58" s="175" t="s">
        <v>4265</v>
      </c>
      <c r="AE58" s="1809"/>
      <c r="AF58" s="1809"/>
      <c r="AG58" s="1809"/>
      <c r="AH58" s="175" t="s">
        <v>4266</v>
      </c>
      <c r="AK58" s="1813"/>
      <c r="AL58" s="1813"/>
      <c r="AM58" s="1813"/>
      <c r="AN58" s="1814"/>
      <c r="AO58" s="1814"/>
      <c r="AP58" s="1814"/>
      <c r="AQ58" s="1813"/>
    </row>
    <row r="59" spans="1:43">
      <c r="A59" s="1737"/>
      <c r="B59" s="257">
        <v>385</v>
      </c>
      <c r="C59" s="257" t="s">
        <v>3667</v>
      </c>
      <c r="D59" s="1737"/>
      <c r="E59" s="1737"/>
      <c r="F59" s="1737"/>
      <c r="G59" s="257" t="s">
        <v>3668</v>
      </c>
      <c r="S59" s="1809"/>
      <c r="T59" s="175">
        <v>513</v>
      </c>
      <c r="U59" s="175" t="s">
        <v>4267</v>
      </c>
      <c r="V59" s="1809"/>
      <c r="W59" s="1809"/>
      <c r="X59" s="1809"/>
      <c r="Y59" s="175" t="s">
        <v>4268</v>
      </c>
      <c r="AB59" s="1809"/>
      <c r="AC59" s="175">
        <v>513</v>
      </c>
      <c r="AD59" s="175" t="s">
        <v>4267</v>
      </c>
      <c r="AE59" s="1809"/>
      <c r="AF59" s="1809"/>
      <c r="AG59" s="1809"/>
      <c r="AH59" s="175" t="s">
        <v>4268</v>
      </c>
      <c r="AK59" s="1812" t="s">
        <v>4109</v>
      </c>
      <c r="AL59" s="1812">
        <v>343</v>
      </c>
      <c r="AM59" s="1812" t="s">
        <v>4144</v>
      </c>
      <c r="AN59" s="1814"/>
      <c r="AO59" s="1814"/>
      <c r="AP59" s="1814"/>
      <c r="AQ59" s="1812" t="s">
        <v>4145</v>
      </c>
    </row>
    <row r="60" spans="1:43">
      <c r="A60" s="1737"/>
      <c r="B60" s="257">
        <v>389</v>
      </c>
      <c r="C60" s="257" t="s">
        <v>3669</v>
      </c>
      <c r="D60" s="1737"/>
      <c r="E60" s="1737"/>
      <c r="F60" s="1737"/>
      <c r="G60" s="257" t="s">
        <v>3670</v>
      </c>
      <c r="S60" s="1809"/>
      <c r="T60" s="175">
        <v>516</v>
      </c>
      <c r="U60" s="175" t="s">
        <v>4269</v>
      </c>
      <c r="V60" s="1809"/>
      <c r="W60" s="1809"/>
      <c r="X60" s="1809"/>
      <c r="Y60" s="175" t="s">
        <v>4270</v>
      </c>
      <c r="AB60" s="1809"/>
      <c r="AC60" s="175">
        <v>516</v>
      </c>
      <c r="AD60" s="175" t="s">
        <v>4269</v>
      </c>
      <c r="AE60" s="1809"/>
      <c r="AF60" s="1809"/>
      <c r="AG60" s="1809"/>
      <c r="AH60" s="175" t="s">
        <v>4270</v>
      </c>
      <c r="AK60" s="1813"/>
      <c r="AL60" s="1813"/>
      <c r="AM60" s="1813"/>
      <c r="AN60" s="1814"/>
      <c r="AO60" s="1814"/>
      <c r="AP60" s="1814"/>
      <c r="AQ60" s="1813"/>
    </row>
    <row r="61" spans="1:43">
      <c r="A61" s="1737"/>
      <c r="B61" s="257">
        <v>422</v>
      </c>
      <c r="C61" s="257" t="s">
        <v>3671</v>
      </c>
      <c r="D61" s="1737"/>
      <c r="E61" s="1737"/>
      <c r="F61" s="1737"/>
      <c r="G61" s="257" t="s">
        <v>3672</v>
      </c>
      <c r="S61" s="1809"/>
      <c r="T61" s="175">
        <v>517</v>
      </c>
      <c r="U61" s="175" t="s">
        <v>4271</v>
      </c>
      <c r="V61" s="1809"/>
      <c r="W61" s="1809"/>
      <c r="X61" s="1809"/>
      <c r="Y61" s="175" t="s">
        <v>4272</v>
      </c>
      <c r="AB61" s="1809"/>
      <c r="AC61" s="175">
        <v>517</v>
      </c>
      <c r="AD61" s="175" t="s">
        <v>4271</v>
      </c>
      <c r="AE61" s="1809"/>
      <c r="AF61" s="1809"/>
      <c r="AG61" s="1809"/>
      <c r="AH61" s="175" t="s">
        <v>4272</v>
      </c>
      <c r="AK61" s="1812" t="s">
        <v>4032</v>
      </c>
      <c r="AL61" s="1812">
        <v>211</v>
      </c>
      <c r="AM61" s="1812" t="s">
        <v>3926</v>
      </c>
      <c r="AN61" s="1814"/>
      <c r="AO61" s="1814"/>
      <c r="AP61" s="1814"/>
      <c r="AQ61" s="1812" t="s">
        <v>4146</v>
      </c>
    </row>
    <row r="62" spans="1:43">
      <c r="A62" s="1737"/>
      <c r="B62" s="257">
        <v>436</v>
      </c>
      <c r="C62" s="257" t="s">
        <v>3673</v>
      </c>
      <c r="D62" s="1737"/>
      <c r="E62" s="1737"/>
      <c r="F62" s="1737"/>
      <c r="G62" s="257" t="s">
        <v>3674</v>
      </c>
      <c r="S62" s="1809"/>
      <c r="T62" s="175">
        <v>518</v>
      </c>
      <c r="U62" s="175" t="s">
        <v>4273</v>
      </c>
      <c r="V62" s="1809"/>
      <c r="W62" s="1809"/>
      <c r="X62" s="1809"/>
      <c r="Y62" s="175" t="s">
        <v>4274</v>
      </c>
      <c r="AB62" s="1809"/>
      <c r="AC62" s="175">
        <v>518</v>
      </c>
      <c r="AD62" s="175" t="s">
        <v>4273</v>
      </c>
      <c r="AE62" s="1809"/>
      <c r="AF62" s="1809"/>
      <c r="AG62" s="1809"/>
      <c r="AH62" s="175" t="s">
        <v>4274</v>
      </c>
      <c r="AK62" s="1813"/>
      <c r="AL62" s="1813"/>
      <c r="AM62" s="1813"/>
      <c r="AN62" s="1814"/>
      <c r="AO62" s="1814"/>
      <c r="AP62" s="1814"/>
      <c r="AQ62" s="1813"/>
    </row>
    <row r="63" spans="1:43">
      <c r="A63" s="1737"/>
      <c r="B63" s="257">
        <v>439</v>
      </c>
      <c r="C63" s="257" t="s">
        <v>3675</v>
      </c>
      <c r="D63" s="1737"/>
      <c r="E63" s="1737"/>
      <c r="F63" s="1737"/>
      <c r="G63" s="257" t="s">
        <v>3676</v>
      </c>
      <c r="S63" s="1809"/>
      <c r="T63" s="175">
        <v>519</v>
      </c>
      <c r="U63" s="175" t="s">
        <v>4275</v>
      </c>
      <c r="V63" s="1809"/>
      <c r="W63" s="1809"/>
      <c r="X63" s="1809"/>
      <c r="Y63" s="175" t="s">
        <v>4276</v>
      </c>
      <c r="AB63" s="1809"/>
      <c r="AC63" s="175">
        <v>519</v>
      </c>
      <c r="AD63" s="175" t="s">
        <v>4275</v>
      </c>
      <c r="AE63" s="1809"/>
      <c r="AF63" s="1809"/>
      <c r="AG63" s="1809"/>
      <c r="AH63" s="175" t="s">
        <v>4276</v>
      </c>
      <c r="AK63" s="1812" t="s">
        <v>4032</v>
      </c>
      <c r="AL63" s="1812" t="s">
        <v>4147</v>
      </c>
      <c r="AM63" s="1812" t="s">
        <v>4148</v>
      </c>
      <c r="AN63" s="1814"/>
      <c r="AO63" s="1814"/>
      <c r="AP63" s="1814"/>
      <c r="AQ63" s="1812" t="s">
        <v>4149</v>
      </c>
    </row>
    <row r="64" spans="1:43">
      <c r="A64" s="1737"/>
      <c r="B64" s="257">
        <v>448</v>
      </c>
      <c r="C64" s="257" t="s">
        <v>3677</v>
      </c>
      <c r="D64" s="1737"/>
      <c r="E64" s="1737"/>
      <c r="F64" s="1737"/>
      <c r="G64" s="257" t="s">
        <v>3678</v>
      </c>
      <c r="S64" s="1809"/>
      <c r="T64" s="175">
        <v>522</v>
      </c>
      <c r="U64" s="175" t="s">
        <v>4277</v>
      </c>
      <c r="V64" s="1809"/>
      <c r="W64" s="1809"/>
      <c r="X64" s="1809"/>
      <c r="Y64" s="175" t="s">
        <v>4278</v>
      </c>
      <c r="AB64" s="1809"/>
      <c r="AC64" s="175">
        <v>522</v>
      </c>
      <c r="AD64" s="175" t="s">
        <v>4277</v>
      </c>
      <c r="AE64" s="1809"/>
      <c r="AF64" s="1809"/>
      <c r="AG64" s="1809"/>
      <c r="AH64" s="175" t="s">
        <v>4278</v>
      </c>
      <c r="AK64" s="1813"/>
      <c r="AL64" s="1813"/>
      <c r="AM64" s="1813"/>
      <c r="AN64" s="1814"/>
      <c r="AO64" s="1814"/>
      <c r="AP64" s="1814"/>
      <c r="AQ64" s="1813"/>
    </row>
    <row r="65" spans="1:43">
      <c r="A65" s="1737"/>
      <c r="B65" s="257">
        <v>520</v>
      </c>
      <c r="C65" s="257" t="s">
        <v>3679</v>
      </c>
      <c r="D65" s="1737"/>
      <c r="E65" s="1737"/>
      <c r="F65" s="1737"/>
      <c r="G65" s="257" t="s">
        <v>3680</v>
      </c>
      <c r="S65" s="1809"/>
      <c r="T65" s="175">
        <v>523</v>
      </c>
      <c r="U65" s="175" t="s">
        <v>4279</v>
      </c>
      <c r="V65" s="1809"/>
      <c r="W65" s="1809"/>
      <c r="X65" s="1809"/>
      <c r="Y65" s="175" t="s">
        <v>4280</v>
      </c>
      <c r="AB65" s="1809"/>
      <c r="AC65" s="175">
        <v>523</v>
      </c>
      <c r="AD65" s="175" t="s">
        <v>4279</v>
      </c>
      <c r="AE65" s="1809"/>
      <c r="AF65" s="1809"/>
      <c r="AG65" s="1809"/>
      <c r="AH65" s="175" t="s">
        <v>4280</v>
      </c>
      <c r="AK65" s="1812" t="s">
        <v>4119</v>
      </c>
      <c r="AL65" s="1812">
        <v>334</v>
      </c>
      <c r="AM65" s="1812" t="s">
        <v>4150</v>
      </c>
      <c r="AN65" s="1814"/>
      <c r="AO65" s="1814"/>
      <c r="AP65" s="1814"/>
      <c r="AQ65" s="1812" t="s">
        <v>4151</v>
      </c>
    </row>
    <row r="66" spans="1:43">
      <c r="A66" s="1737"/>
      <c r="B66" s="257">
        <v>543</v>
      </c>
      <c r="C66" s="257" t="s">
        <v>3681</v>
      </c>
      <c r="D66" s="1737"/>
      <c r="E66" s="1737"/>
      <c r="F66" s="1737"/>
      <c r="G66" s="257" t="s">
        <v>3682</v>
      </c>
      <c r="S66" s="1809"/>
      <c r="T66" s="175">
        <v>524</v>
      </c>
      <c r="U66" s="175" t="s">
        <v>4281</v>
      </c>
      <c r="V66" s="1809"/>
      <c r="W66" s="1809"/>
      <c r="X66" s="1809"/>
      <c r="Y66" s="175" t="s">
        <v>4282</v>
      </c>
      <c r="AB66" s="1809"/>
      <c r="AC66" s="175">
        <v>524</v>
      </c>
      <c r="AD66" s="175" t="s">
        <v>4281</v>
      </c>
      <c r="AE66" s="1809"/>
      <c r="AF66" s="1809"/>
      <c r="AG66" s="1809"/>
      <c r="AH66" s="175" t="s">
        <v>4282</v>
      </c>
      <c r="AK66" s="1813"/>
      <c r="AL66" s="1813"/>
      <c r="AM66" s="1813"/>
      <c r="AN66" s="1813"/>
      <c r="AO66" s="1813"/>
      <c r="AP66" s="1813"/>
      <c r="AQ66" s="1813"/>
    </row>
    <row r="67" spans="1:43">
      <c r="A67" s="1737"/>
      <c r="B67" s="257">
        <v>442</v>
      </c>
      <c r="C67" s="257" t="s">
        <v>3587</v>
      </c>
      <c r="D67" s="1737"/>
      <c r="E67" s="1737"/>
      <c r="F67" s="1737"/>
      <c r="G67" s="257" t="s">
        <v>3588</v>
      </c>
      <c r="S67" s="1809"/>
      <c r="T67" s="175">
        <v>525</v>
      </c>
      <c r="U67" s="175" t="s">
        <v>4283</v>
      </c>
      <c r="V67" s="1809"/>
      <c r="W67" s="1809"/>
      <c r="X67" s="1809"/>
      <c r="Y67" s="175" t="s">
        <v>4284</v>
      </c>
      <c r="AB67" s="1809"/>
      <c r="AC67" s="175">
        <v>525</v>
      </c>
      <c r="AD67" s="175" t="s">
        <v>4283</v>
      </c>
      <c r="AE67" s="1809"/>
      <c r="AF67" s="1809"/>
      <c r="AG67" s="1809"/>
      <c r="AH67" s="175" t="s">
        <v>4284</v>
      </c>
    </row>
    <row r="68" spans="1:43">
      <c r="A68" s="1737" t="s">
        <v>2476</v>
      </c>
      <c r="B68" s="257">
        <v>344</v>
      </c>
      <c r="C68" s="257" t="s">
        <v>3683</v>
      </c>
      <c r="D68" s="1737"/>
      <c r="E68" s="1737"/>
      <c r="F68" s="1737"/>
      <c r="G68" s="257" t="s">
        <v>3684</v>
      </c>
      <c r="S68" s="1809"/>
      <c r="T68" s="175">
        <v>526</v>
      </c>
      <c r="U68" s="175" t="s">
        <v>4285</v>
      </c>
      <c r="V68" s="1809"/>
      <c r="W68" s="1809"/>
      <c r="X68" s="1809"/>
      <c r="Y68" s="175" t="s">
        <v>4286</v>
      </c>
      <c r="AB68" s="1809"/>
      <c r="AC68" s="175">
        <v>526</v>
      </c>
      <c r="AD68" s="175" t="s">
        <v>4285</v>
      </c>
      <c r="AE68" s="1809"/>
      <c r="AF68" s="1809"/>
      <c r="AG68" s="1809"/>
      <c r="AH68" s="175" t="s">
        <v>4286</v>
      </c>
    </row>
    <row r="69" spans="1:43">
      <c r="A69" s="1737"/>
      <c r="B69" s="257">
        <v>262</v>
      </c>
      <c r="C69" s="257" t="s">
        <v>3685</v>
      </c>
      <c r="D69" s="1737"/>
      <c r="E69" s="1737"/>
      <c r="F69" s="1737"/>
      <c r="G69" s="257" t="s">
        <v>3686</v>
      </c>
      <c r="S69" s="1809"/>
      <c r="T69" s="175">
        <v>527</v>
      </c>
      <c r="U69" s="175" t="s">
        <v>4287</v>
      </c>
      <c r="V69" s="1809"/>
      <c r="W69" s="1809"/>
      <c r="X69" s="1809"/>
      <c r="Y69" s="175" t="s">
        <v>4288</v>
      </c>
      <c r="AB69" s="1809"/>
      <c r="AC69" s="175">
        <v>527</v>
      </c>
      <c r="AD69" s="175" t="s">
        <v>4287</v>
      </c>
      <c r="AE69" s="1809"/>
      <c r="AF69" s="1809"/>
      <c r="AG69" s="1809"/>
      <c r="AH69" s="175" t="s">
        <v>4288</v>
      </c>
    </row>
    <row r="70" spans="1:43">
      <c r="A70" s="1737"/>
      <c r="B70" s="257">
        <v>270</v>
      </c>
      <c r="C70" s="257" t="s">
        <v>3687</v>
      </c>
      <c r="D70" s="1737"/>
      <c r="E70" s="1737"/>
      <c r="F70" s="1737"/>
      <c r="G70" s="257" t="s">
        <v>3688</v>
      </c>
      <c r="S70" s="1809"/>
      <c r="T70" s="175">
        <v>528</v>
      </c>
      <c r="U70" s="175" t="s">
        <v>4289</v>
      </c>
      <c r="V70" s="1809"/>
      <c r="W70" s="1809"/>
      <c r="X70" s="1809"/>
      <c r="Y70" s="175" t="s">
        <v>4290</v>
      </c>
      <c r="AB70" s="1809"/>
      <c r="AC70" s="175">
        <v>528</v>
      </c>
      <c r="AD70" s="175" t="s">
        <v>4289</v>
      </c>
      <c r="AE70" s="1809"/>
      <c r="AF70" s="1809"/>
      <c r="AG70" s="1809"/>
      <c r="AH70" s="175" t="s">
        <v>4290</v>
      </c>
    </row>
    <row r="71" spans="1:43">
      <c r="A71" s="1737"/>
      <c r="B71" s="257">
        <v>272</v>
      </c>
      <c r="C71" s="257" t="s">
        <v>3689</v>
      </c>
      <c r="D71" s="1737"/>
      <c r="E71" s="1737"/>
      <c r="F71" s="1737"/>
      <c r="G71" s="257" t="s">
        <v>3690</v>
      </c>
      <c r="S71" s="1809"/>
      <c r="T71" s="175">
        <v>529</v>
      </c>
      <c r="U71" s="175" t="s">
        <v>4291</v>
      </c>
      <c r="V71" s="1809"/>
      <c r="W71" s="1809"/>
      <c r="X71" s="1809"/>
      <c r="Y71" s="175" t="s">
        <v>4292</v>
      </c>
      <c r="AB71" s="1809"/>
      <c r="AC71" s="175">
        <v>529</v>
      </c>
      <c r="AD71" s="175" t="s">
        <v>4291</v>
      </c>
      <c r="AE71" s="1809"/>
      <c r="AF71" s="1809"/>
      <c r="AG71" s="1809"/>
      <c r="AH71" s="175" t="s">
        <v>4292</v>
      </c>
    </row>
    <row r="72" spans="1:43">
      <c r="A72" s="1737"/>
      <c r="B72" s="257">
        <v>273</v>
      </c>
      <c r="C72" s="257" t="s">
        <v>3691</v>
      </c>
      <c r="D72" s="1737"/>
      <c r="E72" s="1737"/>
      <c r="F72" s="1737"/>
      <c r="G72" s="257" t="s">
        <v>3692</v>
      </c>
      <c r="S72" s="1809"/>
      <c r="T72" s="175">
        <v>530</v>
      </c>
      <c r="U72" s="175" t="s">
        <v>4293</v>
      </c>
      <c r="V72" s="1809"/>
      <c r="W72" s="1809"/>
      <c r="X72" s="1809"/>
      <c r="Y72" s="175" t="s">
        <v>4294</v>
      </c>
      <c r="AB72" s="1809"/>
      <c r="AC72" s="175">
        <v>530</v>
      </c>
      <c r="AD72" s="175" t="s">
        <v>4293</v>
      </c>
      <c r="AE72" s="1809"/>
      <c r="AF72" s="1809"/>
      <c r="AG72" s="1809"/>
      <c r="AH72" s="175" t="s">
        <v>4294</v>
      </c>
    </row>
    <row r="73" spans="1:43">
      <c r="A73" s="1737"/>
      <c r="B73" s="257">
        <v>288</v>
      </c>
      <c r="C73" s="257" t="s">
        <v>3693</v>
      </c>
      <c r="D73" s="1737"/>
      <c r="E73" s="1737"/>
      <c r="F73" s="1737"/>
      <c r="G73" s="257" t="s">
        <v>3694</v>
      </c>
      <c r="S73" s="1809"/>
      <c r="T73" s="175">
        <v>531</v>
      </c>
      <c r="U73" s="175" t="s">
        <v>4295</v>
      </c>
      <c r="V73" s="1809"/>
      <c r="W73" s="1809"/>
      <c r="X73" s="1809"/>
      <c r="Y73" s="175" t="s">
        <v>4296</v>
      </c>
      <c r="AB73" s="1809"/>
      <c r="AC73" s="175">
        <v>531</v>
      </c>
      <c r="AD73" s="175" t="s">
        <v>4295</v>
      </c>
      <c r="AE73" s="1809"/>
      <c r="AF73" s="1809"/>
      <c r="AG73" s="1809"/>
      <c r="AH73" s="175" t="s">
        <v>4296</v>
      </c>
    </row>
    <row r="74" spans="1:43">
      <c r="A74" s="1737"/>
      <c r="B74" s="257">
        <v>308</v>
      </c>
      <c r="C74" s="257" t="s">
        <v>3695</v>
      </c>
      <c r="D74" s="1737"/>
      <c r="E74" s="1737"/>
      <c r="F74" s="1737"/>
      <c r="G74" s="257" t="s">
        <v>3696</v>
      </c>
      <c r="S74" s="1809"/>
      <c r="T74" s="175">
        <v>532</v>
      </c>
      <c r="U74" s="175" t="s">
        <v>4297</v>
      </c>
      <c r="V74" s="1809"/>
      <c r="W74" s="1809"/>
      <c r="X74" s="1809"/>
      <c r="Y74" s="175" t="s">
        <v>4298</v>
      </c>
      <c r="AB74" s="1809"/>
      <c r="AC74" s="175">
        <v>532</v>
      </c>
      <c r="AD74" s="175" t="s">
        <v>4297</v>
      </c>
      <c r="AE74" s="1809"/>
      <c r="AF74" s="1809"/>
      <c r="AG74" s="1809"/>
      <c r="AH74" s="175" t="s">
        <v>4298</v>
      </c>
    </row>
    <row r="75" spans="1:43">
      <c r="A75" s="1737"/>
      <c r="B75" s="257">
        <v>341</v>
      </c>
      <c r="C75" s="257" t="s">
        <v>3697</v>
      </c>
      <c r="D75" s="1737"/>
      <c r="E75" s="1737"/>
      <c r="F75" s="1737"/>
      <c r="G75" s="257" t="s">
        <v>3698</v>
      </c>
      <c r="S75" s="1809"/>
      <c r="T75" s="175">
        <v>533</v>
      </c>
      <c r="U75" s="175" t="s">
        <v>4299</v>
      </c>
      <c r="V75" s="1809"/>
      <c r="W75" s="1809"/>
      <c r="X75" s="1809"/>
      <c r="Y75" s="175" t="s">
        <v>4300</v>
      </c>
      <c r="AB75" s="1809"/>
      <c r="AC75" s="175">
        <v>533</v>
      </c>
      <c r="AD75" s="175" t="s">
        <v>4299</v>
      </c>
      <c r="AE75" s="1809"/>
      <c r="AF75" s="1809"/>
      <c r="AG75" s="1809"/>
      <c r="AH75" s="175" t="s">
        <v>4300</v>
      </c>
    </row>
    <row r="76" spans="1:43">
      <c r="A76" s="1737"/>
      <c r="B76" s="257">
        <v>435</v>
      </c>
      <c r="C76" s="257" t="s">
        <v>3699</v>
      </c>
      <c r="D76" s="1737"/>
      <c r="E76" s="1737"/>
      <c r="F76" s="1737"/>
      <c r="G76" s="257" t="s">
        <v>3700</v>
      </c>
      <c r="S76" s="1809"/>
      <c r="T76" s="175">
        <v>534</v>
      </c>
      <c r="U76" s="175" t="s">
        <v>4301</v>
      </c>
      <c r="V76" s="1809"/>
      <c r="W76" s="1809"/>
      <c r="X76" s="1809"/>
      <c r="Y76" s="175" t="s">
        <v>4302</v>
      </c>
      <c r="AB76" s="1809"/>
      <c r="AC76" s="175">
        <v>534</v>
      </c>
      <c r="AD76" s="175" t="s">
        <v>4301</v>
      </c>
      <c r="AE76" s="1809"/>
      <c r="AF76" s="1809"/>
      <c r="AG76" s="1809"/>
      <c r="AH76" s="175" t="s">
        <v>4302</v>
      </c>
    </row>
    <row r="77" spans="1:43">
      <c r="A77" s="1737"/>
      <c r="B77" s="257">
        <v>474</v>
      </c>
      <c r="C77" s="257" t="s">
        <v>3701</v>
      </c>
      <c r="D77" s="1737"/>
      <c r="E77" s="1737"/>
      <c r="F77" s="1737"/>
      <c r="G77" s="257" t="s">
        <v>3702</v>
      </c>
      <c r="S77" s="1809"/>
      <c r="T77" s="175">
        <v>535</v>
      </c>
      <c r="U77" s="175" t="s">
        <v>4303</v>
      </c>
      <c r="V77" s="1809"/>
      <c r="W77" s="1809"/>
      <c r="X77" s="1809"/>
      <c r="Y77" s="175" t="s">
        <v>4304</v>
      </c>
      <c r="AB77" s="1809"/>
      <c r="AC77" s="175">
        <v>535</v>
      </c>
      <c r="AD77" s="175" t="s">
        <v>4303</v>
      </c>
      <c r="AE77" s="1809"/>
      <c r="AF77" s="1809"/>
      <c r="AG77" s="1809"/>
      <c r="AH77" s="175" t="s">
        <v>4304</v>
      </c>
    </row>
    <row r="78" spans="1:43">
      <c r="A78" s="1737"/>
      <c r="B78" s="257">
        <v>313</v>
      </c>
      <c r="C78" s="257" t="s">
        <v>3703</v>
      </c>
      <c r="D78" s="1737"/>
      <c r="E78" s="1737"/>
      <c r="F78" s="1737"/>
      <c r="G78" s="257" t="s">
        <v>3704</v>
      </c>
      <c r="S78" s="1809"/>
      <c r="T78" s="175">
        <v>536</v>
      </c>
      <c r="U78" s="175" t="s">
        <v>4305</v>
      </c>
      <c r="V78" s="1809"/>
      <c r="W78" s="1809"/>
      <c r="X78" s="1809"/>
      <c r="Y78" s="175" t="s">
        <v>4306</v>
      </c>
      <c r="AB78" s="1809"/>
      <c r="AC78" s="175">
        <v>536</v>
      </c>
      <c r="AD78" s="175" t="s">
        <v>4305</v>
      </c>
      <c r="AE78" s="1809"/>
      <c r="AF78" s="1809"/>
      <c r="AG78" s="1809"/>
      <c r="AH78" s="175" t="s">
        <v>4306</v>
      </c>
    </row>
    <row r="79" spans="1:43">
      <c r="A79" s="1737" t="s">
        <v>3705</v>
      </c>
      <c r="B79" s="257">
        <v>256</v>
      </c>
      <c r="C79" s="257" t="s">
        <v>3706</v>
      </c>
      <c r="D79" s="1737"/>
      <c r="E79" s="1737"/>
      <c r="F79" s="1737"/>
      <c r="G79" s="257" t="s">
        <v>3707</v>
      </c>
      <c r="S79" s="1809"/>
      <c r="T79" s="175">
        <v>544</v>
      </c>
      <c r="U79" s="175" t="s">
        <v>4307</v>
      </c>
      <c r="V79" s="1809"/>
      <c r="W79" s="1809"/>
      <c r="X79" s="1809"/>
      <c r="Y79" s="175" t="s">
        <v>4308</v>
      </c>
      <c r="AB79" s="1809"/>
      <c r="AC79" s="175">
        <v>544</v>
      </c>
      <c r="AD79" s="175" t="s">
        <v>4307</v>
      </c>
      <c r="AE79" s="1809"/>
      <c r="AF79" s="1809"/>
      <c r="AG79" s="1809"/>
      <c r="AH79" s="175" t="s">
        <v>4308</v>
      </c>
    </row>
    <row r="80" spans="1:43">
      <c r="A80" s="1737"/>
      <c r="B80" s="257">
        <v>282</v>
      </c>
      <c r="C80" s="257" t="s">
        <v>3708</v>
      </c>
      <c r="D80" s="1737"/>
      <c r="E80" s="1737"/>
      <c r="F80" s="1737"/>
      <c r="G80" s="257" t="s">
        <v>3709</v>
      </c>
      <c r="S80" s="1809"/>
      <c r="T80" s="175">
        <v>545</v>
      </c>
      <c r="U80" s="175" t="s">
        <v>4309</v>
      </c>
      <c r="V80" s="1809"/>
      <c r="W80" s="1809"/>
      <c r="X80" s="1809"/>
      <c r="Y80" s="175" t="s">
        <v>4310</v>
      </c>
      <c r="AB80" s="1809"/>
      <c r="AC80" s="175">
        <v>545</v>
      </c>
      <c r="AD80" s="175" t="s">
        <v>4309</v>
      </c>
      <c r="AE80" s="1809"/>
      <c r="AF80" s="1809"/>
      <c r="AG80" s="1809"/>
      <c r="AH80" s="175" t="s">
        <v>4310</v>
      </c>
    </row>
    <row r="81" spans="1:34">
      <c r="A81" s="1737"/>
      <c r="B81" s="257">
        <v>283</v>
      </c>
      <c r="C81" s="257" t="s">
        <v>3710</v>
      </c>
      <c r="D81" s="1737"/>
      <c r="E81" s="1737"/>
      <c r="F81" s="1737"/>
      <c r="G81" s="257" t="s">
        <v>3711</v>
      </c>
      <c r="S81" s="1809"/>
      <c r="T81" s="175">
        <v>550</v>
      </c>
      <c r="U81" s="175" t="s">
        <v>4311</v>
      </c>
      <c r="V81" s="1809"/>
      <c r="W81" s="1809"/>
      <c r="X81" s="1809"/>
      <c r="Y81" s="175" t="s">
        <v>4312</v>
      </c>
      <c r="AB81" s="1809"/>
      <c r="AC81" s="175">
        <v>550</v>
      </c>
      <c r="AD81" s="175" t="s">
        <v>4311</v>
      </c>
      <c r="AE81" s="1809"/>
      <c r="AF81" s="1809"/>
      <c r="AG81" s="1809"/>
      <c r="AH81" s="175" t="s">
        <v>4312</v>
      </c>
    </row>
    <row r="82" spans="1:34">
      <c r="A82" s="1737"/>
      <c r="B82" s="257">
        <v>291</v>
      </c>
      <c r="C82" s="257" t="s">
        <v>3712</v>
      </c>
      <c r="D82" s="1737"/>
      <c r="E82" s="1737"/>
      <c r="F82" s="1737"/>
      <c r="G82" s="257" t="s">
        <v>3713</v>
      </c>
      <c r="S82" s="1809"/>
      <c r="T82" s="175">
        <v>558</v>
      </c>
      <c r="U82" s="175" t="s">
        <v>4313</v>
      </c>
      <c r="V82" s="1809"/>
      <c r="W82" s="1809"/>
      <c r="X82" s="1809"/>
      <c r="Y82" s="175" t="s">
        <v>4314</v>
      </c>
      <c r="AB82" s="1809"/>
      <c r="AC82" s="175">
        <v>558</v>
      </c>
      <c r="AD82" s="175" t="s">
        <v>4313</v>
      </c>
      <c r="AE82" s="1809"/>
      <c r="AF82" s="1809"/>
      <c r="AG82" s="1809"/>
      <c r="AH82" s="175" t="s">
        <v>4314</v>
      </c>
    </row>
    <row r="83" spans="1:34">
      <c r="A83" s="1737"/>
      <c r="B83" s="257">
        <v>310</v>
      </c>
      <c r="C83" s="257" t="s">
        <v>3714</v>
      </c>
      <c r="D83" s="1737"/>
      <c r="E83" s="1737"/>
      <c r="F83" s="1737"/>
      <c r="G83" s="257" t="s">
        <v>3715</v>
      </c>
      <c r="S83" s="1809"/>
      <c r="T83" s="175">
        <v>559</v>
      </c>
      <c r="U83" s="175" t="s">
        <v>4315</v>
      </c>
      <c r="V83" s="1809"/>
      <c r="W83" s="1809"/>
      <c r="X83" s="1809"/>
      <c r="Y83" s="175" t="s">
        <v>4316</v>
      </c>
      <c r="AB83" s="1809"/>
      <c r="AC83" s="175">
        <v>559</v>
      </c>
      <c r="AD83" s="175" t="s">
        <v>4315</v>
      </c>
      <c r="AE83" s="1809"/>
      <c r="AF83" s="1809"/>
      <c r="AG83" s="1809"/>
      <c r="AH83" s="175" t="s">
        <v>4316</v>
      </c>
    </row>
    <row r="84" spans="1:34">
      <c r="A84" s="1737"/>
      <c r="B84" s="257">
        <v>311</v>
      </c>
      <c r="C84" s="257" t="s">
        <v>3716</v>
      </c>
      <c r="D84" s="1737"/>
      <c r="E84" s="1737"/>
      <c r="F84" s="1737"/>
      <c r="G84" s="257" t="s">
        <v>3717</v>
      </c>
      <c r="S84" s="1809"/>
      <c r="T84" s="175">
        <v>561</v>
      </c>
      <c r="U84" s="175" t="s">
        <v>4317</v>
      </c>
      <c r="V84" s="1809"/>
      <c r="W84" s="1809"/>
      <c r="X84" s="1809"/>
      <c r="Y84" s="175" t="s">
        <v>4318</v>
      </c>
      <c r="AB84" s="1809"/>
      <c r="AC84" s="175">
        <v>561</v>
      </c>
      <c r="AD84" s="175" t="s">
        <v>4317</v>
      </c>
      <c r="AE84" s="1809"/>
      <c r="AF84" s="1809"/>
      <c r="AG84" s="1809"/>
      <c r="AH84" s="175" t="s">
        <v>4318</v>
      </c>
    </row>
    <row r="85" spans="1:34">
      <c r="A85" s="1737"/>
      <c r="B85" s="257">
        <v>324</v>
      </c>
      <c r="C85" s="257" t="s">
        <v>3718</v>
      </c>
      <c r="D85" s="1737"/>
      <c r="E85" s="1737"/>
      <c r="F85" s="1737"/>
      <c r="G85" s="257" t="s">
        <v>3719</v>
      </c>
      <c r="S85" s="1810"/>
      <c r="T85" s="175">
        <v>579</v>
      </c>
      <c r="U85" s="175" t="s">
        <v>4319</v>
      </c>
      <c r="V85" s="1810"/>
      <c r="W85" s="1810"/>
      <c r="X85" s="1810"/>
      <c r="Y85" s="175" t="s">
        <v>4320</v>
      </c>
      <c r="AB85" s="1810"/>
      <c r="AC85" s="175">
        <v>579</v>
      </c>
      <c r="AD85" s="175" t="s">
        <v>4319</v>
      </c>
      <c r="AE85" s="1810"/>
      <c r="AF85" s="1810"/>
      <c r="AG85" s="1810"/>
      <c r="AH85" s="175" t="s">
        <v>4320</v>
      </c>
    </row>
    <row r="86" spans="1:34">
      <c r="A86" s="1737"/>
      <c r="B86" s="257">
        <v>326</v>
      </c>
      <c r="C86" s="257" t="s">
        <v>3720</v>
      </c>
      <c r="D86" s="1737"/>
      <c r="E86" s="1737"/>
      <c r="F86" s="1737"/>
      <c r="G86" s="257" t="s">
        <v>3721</v>
      </c>
    </row>
    <row r="87" spans="1:34">
      <c r="A87" s="1737"/>
      <c r="B87" s="257">
        <v>348</v>
      </c>
      <c r="C87" s="257" t="s">
        <v>3722</v>
      </c>
      <c r="D87" s="1737"/>
      <c r="E87" s="1737"/>
      <c r="F87" s="1737"/>
      <c r="G87" s="257" t="s">
        <v>3723</v>
      </c>
    </row>
    <row r="88" spans="1:34">
      <c r="A88" s="1737"/>
      <c r="B88" s="257">
        <v>366</v>
      </c>
      <c r="C88" s="257" t="s">
        <v>3724</v>
      </c>
      <c r="D88" s="1737"/>
      <c r="E88" s="1737"/>
      <c r="F88" s="1737"/>
      <c r="G88" s="257" t="s">
        <v>3725</v>
      </c>
    </row>
    <row r="89" spans="1:34">
      <c r="A89" s="1737"/>
      <c r="B89" s="257">
        <v>434</v>
      </c>
      <c r="C89" s="257" t="s">
        <v>3726</v>
      </c>
      <c r="D89" s="1737"/>
      <c r="E89" s="1737"/>
      <c r="F89" s="1737"/>
      <c r="G89" s="257" t="s">
        <v>3727</v>
      </c>
    </row>
    <row r="90" spans="1:34">
      <c r="A90" s="1737"/>
      <c r="B90" s="257">
        <v>449</v>
      </c>
      <c r="C90" s="257" t="s">
        <v>3728</v>
      </c>
      <c r="D90" s="1737"/>
      <c r="E90" s="1737"/>
      <c r="F90" s="1737"/>
      <c r="G90" s="257" t="s">
        <v>3729</v>
      </c>
    </row>
    <row r="91" spans="1:34">
      <c r="A91" s="1737"/>
      <c r="B91" s="257">
        <v>468</v>
      </c>
      <c r="C91" s="257" t="s">
        <v>3730</v>
      </c>
      <c r="D91" s="1737"/>
      <c r="E91" s="1737"/>
      <c r="F91" s="1737"/>
      <c r="G91" s="257" t="s">
        <v>3731</v>
      </c>
    </row>
    <row r="92" spans="1:34">
      <c r="A92" s="1737" t="s">
        <v>331</v>
      </c>
      <c r="B92" s="257">
        <v>355</v>
      </c>
      <c r="C92" s="257" t="s">
        <v>3732</v>
      </c>
      <c r="D92" s="1737"/>
      <c r="E92" s="1737"/>
      <c r="F92" s="1737"/>
      <c r="G92" s="257" t="s">
        <v>3733</v>
      </c>
    </row>
    <row r="93" spans="1:34">
      <c r="A93" s="1737"/>
      <c r="B93" s="257">
        <v>399</v>
      </c>
      <c r="C93" s="257" t="s">
        <v>3734</v>
      </c>
      <c r="D93" s="1737"/>
      <c r="E93" s="1737"/>
      <c r="F93" s="1737"/>
      <c r="G93" s="257" t="s">
        <v>3735</v>
      </c>
    </row>
    <row r="94" spans="1:34">
      <c r="A94" s="1737"/>
      <c r="B94" s="257">
        <v>484</v>
      </c>
      <c r="C94" s="257" t="s">
        <v>3736</v>
      </c>
      <c r="D94" s="1737"/>
      <c r="E94" s="1737"/>
      <c r="F94" s="1737"/>
      <c r="G94" s="257" t="s">
        <v>3737</v>
      </c>
    </row>
    <row r="95" spans="1:34">
      <c r="A95" s="1737"/>
      <c r="B95" s="257">
        <v>505</v>
      </c>
      <c r="C95" s="257" t="s">
        <v>3738</v>
      </c>
      <c r="D95" s="1737"/>
      <c r="E95" s="1737"/>
      <c r="F95" s="1737"/>
      <c r="G95" s="257" t="s">
        <v>3739</v>
      </c>
    </row>
    <row r="96" spans="1:34">
      <c r="A96" s="1737"/>
      <c r="B96" s="257">
        <v>546</v>
      </c>
      <c r="C96" s="257" t="s">
        <v>3740</v>
      </c>
      <c r="D96" s="1737"/>
      <c r="E96" s="1737"/>
      <c r="F96" s="1737"/>
      <c r="G96" s="257" t="s">
        <v>3741</v>
      </c>
    </row>
    <row r="97" spans="1:7">
      <c r="A97" s="1737" t="s">
        <v>3742</v>
      </c>
      <c r="B97" s="257">
        <v>372</v>
      </c>
      <c r="C97" s="257" t="s">
        <v>3743</v>
      </c>
      <c r="D97" s="1737"/>
      <c r="E97" s="1737"/>
      <c r="F97" s="1737"/>
      <c r="G97" s="257" t="s">
        <v>3744</v>
      </c>
    </row>
    <row r="98" spans="1:7">
      <c r="A98" s="1737"/>
      <c r="B98" s="257">
        <v>406</v>
      </c>
      <c r="C98" s="257" t="s">
        <v>3745</v>
      </c>
      <c r="D98" s="1737"/>
      <c r="E98" s="1737"/>
      <c r="F98" s="1737"/>
      <c r="G98" s="257" t="s">
        <v>3746</v>
      </c>
    </row>
    <row r="99" spans="1:7">
      <c r="A99" s="1737"/>
      <c r="B99" s="257">
        <v>495</v>
      </c>
      <c r="C99" s="257" t="s">
        <v>3747</v>
      </c>
      <c r="D99" s="1737"/>
      <c r="E99" s="1737"/>
      <c r="F99" s="1737"/>
      <c r="G99" s="257" t="s">
        <v>3748</v>
      </c>
    </row>
    <row r="100" spans="1:7">
      <c r="A100" s="1737"/>
      <c r="B100" s="257">
        <v>541</v>
      </c>
      <c r="C100" s="257" t="s">
        <v>3749</v>
      </c>
      <c r="D100" s="1737"/>
      <c r="E100" s="1737"/>
      <c r="F100" s="1737"/>
      <c r="G100" s="257" t="s">
        <v>3750</v>
      </c>
    </row>
    <row r="101" spans="1:7">
      <c r="A101" s="1737" t="s">
        <v>2449</v>
      </c>
      <c r="B101" s="257">
        <v>464</v>
      </c>
      <c r="C101" s="257" t="s">
        <v>3751</v>
      </c>
      <c r="D101" s="1737"/>
      <c r="E101" s="1737"/>
      <c r="F101" s="1737"/>
      <c r="G101" s="257" t="s">
        <v>3752</v>
      </c>
    </row>
    <row r="102" spans="1:7">
      <c r="A102" s="1737"/>
      <c r="B102" s="257">
        <v>346</v>
      </c>
      <c r="C102" s="257" t="s">
        <v>3753</v>
      </c>
      <c r="D102" s="1737"/>
      <c r="E102" s="1737"/>
      <c r="F102" s="1737"/>
      <c r="G102" s="257" t="s">
        <v>3754</v>
      </c>
    </row>
    <row r="103" spans="1:7">
      <c r="A103" s="1737"/>
      <c r="B103" s="257">
        <v>393</v>
      </c>
      <c r="C103" s="257" t="s">
        <v>3755</v>
      </c>
      <c r="D103" s="1737"/>
      <c r="E103" s="1737"/>
      <c r="F103" s="1737"/>
      <c r="G103" s="257" t="s">
        <v>3756</v>
      </c>
    </row>
    <row r="104" spans="1:7">
      <c r="A104" s="1737"/>
      <c r="B104" s="257">
        <v>475</v>
      </c>
      <c r="C104" s="257" t="s">
        <v>3757</v>
      </c>
      <c r="D104" s="1737"/>
      <c r="E104" s="1737"/>
      <c r="F104" s="1737"/>
      <c r="G104" s="257" t="s">
        <v>3758</v>
      </c>
    </row>
    <row r="105" spans="1:7">
      <c r="A105" s="1737" t="s">
        <v>376</v>
      </c>
      <c r="B105" s="257">
        <v>456</v>
      </c>
      <c r="C105" s="257" t="s">
        <v>3759</v>
      </c>
      <c r="D105" s="1737"/>
      <c r="E105" s="1737"/>
      <c r="F105" s="1737"/>
      <c r="G105" s="257" t="s">
        <v>3760</v>
      </c>
    </row>
    <row r="106" spans="1:7">
      <c r="A106" s="1737"/>
      <c r="B106" s="257">
        <v>405</v>
      </c>
      <c r="C106" s="257" t="s">
        <v>3761</v>
      </c>
      <c r="D106" s="1737"/>
      <c r="E106" s="1737"/>
      <c r="F106" s="1737"/>
      <c r="G106" s="257" t="s">
        <v>3762</v>
      </c>
    </row>
    <row r="107" spans="1:7">
      <c r="A107" s="1737"/>
      <c r="B107" s="257">
        <v>440</v>
      </c>
      <c r="C107" s="257" t="s">
        <v>3763</v>
      </c>
      <c r="D107" s="1737"/>
      <c r="E107" s="1737"/>
      <c r="F107" s="1737"/>
      <c r="G107" s="257" t="s">
        <v>3764</v>
      </c>
    </row>
    <row r="108" spans="1:7">
      <c r="A108" s="1737"/>
      <c r="B108" s="257">
        <v>470</v>
      </c>
      <c r="C108" s="257" t="s">
        <v>3765</v>
      </c>
      <c r="D108" s="1737"/>
      <c r="E108" s="1737"/>
      <c r="F108" s="1737"/>
      <c r="G108" s="257" t="s">
        <v>3766</v>
      </c>
    </row>
    <row r="109" spans="1:7">
      <c r="A109" s="1737"/>
      <c r="B109" s="257">
        <v>498</v>
      </c>
      <c r="C109" s="257" t="s">
        <v>3767</v>
      </c>
      <c r="D109" s="1737"/>
      <c r="E109" s="1737"/>
      <c r="F109" s="1737"/>
      <c r="G109" s="257" t="s">
        <v>3768</v>
      </c>
    </row>
    <row r="110" spans="1:7">
      <c r="A110" s="1737" t="s">
        <v>3018</v>
      </c>
      <c r="B110" s="257">
        <v>365</v>
      </c>
      <c r="C110" s="257" t="s">
        <v>3769</v>
      </c>
      <c r="D110" s="1737"/>
      <c r="E110" s="1737"/>
      <c r="F110" s="1737"/>
      <c r="G110" s="257" t="s">
        <v>3770</v>
      </c>
    </row>
    <row r="111" spans="1:7">
      <c r="A111" s="1737"/>
      <c r="B111" s="257">
        <v>374</v>
      </c>
      <c r="C111" s="257" t="s">
        <v>3771</v>
      </c>
      <c r="D111" s="1737"/>
      <c r="E111" s="1737"/>
      <c r="F111" s="1737"/>
      <c r="G111" s="257" t="s">
        <v>3772</v>
      </c>
    </row>
    <row r="112" spans="1:7">
      <c r="A112" s="1737"/>
      <c r="B112" s="257">
        <v>377</v>
      </c>
      <c r="C112" s="257" t="s">
        <v>3773</v>
      </c>
      <c r="D112" s="1737"/>
      <c r="E112" s="1737"/>
      <c r="F112" s="1737"/>
      <c r="G112" s="257" t="s">
        <v>3774</v>
      </c>
    </row>
    <row r="113" spans="1:7">
      <c r="A113" s="1737"/>
      <c r="B113" s="257">
        <v>378</v>
      </c>
      <c r="C113" s="257" t="s">
        <v>3775</v>
      </c>
      <c r="D113" s="1737"/>
      <c r="E113" s="1737"/>
      <c r="F113" s="1737"/>
      <c r="G113" s="257" t="s">
        <v>3776</v>
      </c>
    </row>
    <row r="114" spans="1:7">
      <c r="A114" s="1737"/>
      <c r="B114" s="257">
        <v>380</v>
      </c>
      <c r="C114" s="257" t="s">
        <v>3777</v>
      </c>
      <c r="D114" s="1737"/>
      <c r="E114" s="1737"/>
      <c r="F114" s="1737"/>
      <c r="G114" s="257" t="s">
        <v>3778</v>
      </c>
    </row>
    <row r="115" spans="1:7">
      <c r="A115" s="1737"/>
      <c r="B115" s="257">
        <v>381</v>
      </c>
      <c r="C115" s="257" t="s">
        <v>3779</v>
      </c>
      <c r="D115" s="1737"/>
      <c r="E115" s="1737"/>
      <c r="F115" s="1737"/>
      <c r="G115" s="257" t="s">
        <v>3780</v>
      </c>
    </row>
    <row r="116" spans="1:7">
      <c r="A116" s="1737"/>
      <c r="B116" s="257">
        <v>383</v>
      </c>
      <c r="C116" s="257" t="s">
        <v>3781</v>
      </c>
      <c r="D116" s="1737"/>
      <c r="E116" s="1737"/>
      <c r="F116" s="1737"/>
      <c r="G116" s="257" t="s">
        <v>3782</v>
      </c>
    </row>
    <row r="117" spans="1:7">
      <c r="A117" s="1737"/>
      <c r="B117" s="257">
        <v>391</v>
      </c>
      <c r="C117" s="257" t="s">
        <v>3783</v>
      </c>
      <c r="D117" s="1737"/>
      <c r="E117" s="1737"/>
      <c r="F117" s="1737"/>
      <c r="G117" s="257" t="s">
        <v>3784</v>
      </c>
    </row>
    <row r="118" spans="1:7">
      <c r="A118" s="1737"/>
      <c r="B118" s="257">
        <v>394</v>
      </c>
      <c r="C118" s="257" t="s">
        <v>3785</v>
      </c>
      <c r="D118" s="1737"/>
      <c r="E118" s="1737"/>
      <c r="F118" s="1737"/>
      <c r="G118" s="257" t="s">
        <v>3786</v>
      </c>
    </row>
    <row r="119" spans="1:7">
      <c r="A119" s="1737"/>
      <c r="B119" s="257">
        <v>396</v>
      </c>
      <c r="C119" s="257" t="s">
        <v>3787</v>
      </c>
      <c r="D119" s="1737"/>
      <c r="E119" s="1737"/>
      <c r="F119" s="1737"/>
      <c r="G119" s="257" t="s">
        <v>3788</v>
      </c>
    </row>
    <row r="120" spans="1:7">
      <c r="A120" s="1737"/>
      <c r="B120" s="257">
        <v>397</v>
      </c>
      <c r="C120" s="257" t="s">
        <v>3789</v>
      </c>
      <c r="D120" s="1737"/>
      <c r="E120" s="1737"/>
      <c r="F120" s="1737"/>
      <c r="G120" s="257" t="s">
        <v>3790</v>
      </c>
    </row>
    <row r="121" spans="1:7">
      <c r="A121" s="1737"/>
      <c r="B121" s="257">
        <v>402</v>
      </c>
      <c r="C121" s="257" t="s">
        <v>3791</v>
      </c>
      <c r="D121" s="1737"/>
      <c r="E121" s="1737"/>
      <c r="F121" s="1737"/>
      <c r="G121" s="257" t="s">
        <v>3792</v>
      </c>
    </row>
    <row r="122" spans="1:7">
      <c r="A122" s="1737"/>
      <c r="B122" s="257">
        <v>445</v>
      </c>
      <c r="C122" s="257" t="s">
        <v>3793</v>
      </c>
      <c r="D122" s="1737"/>
      <c r="E122" s="1737"/>
      <c r="F122" s="1737"/>
      <c r="G122" s="257" t="s">
        <v>3794</v>
      </c>
    </row>
    <row r="123" spans="1:7">
      <c r="A123" s="1737" t="s">
        <v>3795</v>
      </c>
      <c r="B123" s="257">
        <v>315</v>
      </c>
      <c r="C123" s="257" t="s">
        <v>3796</v>
      </c>
      <c r="D123" s="1737"/>
      <c r="E123" s="1737"/>
      <c r="F123" s="1737"/>
      <c r="G123" s="257" t="s">
        <v>3797</v>
      </c>
    </row>
    <row r="124" spans="1:7">
      <c r="A124" s="1737"/>
      <c r="B124" s="257">
        <v>382</v>
      </c>
      <c r="C124" s="257" t="s">
        <v>3798</v>
      </c>
      <c r="D124" s="1737"/>
      <c r="E124" s="1737"/>
      <c r="F124" s="1737"/>
      <c r="G124" s="257" t="s">
        <v>3799</v>
      </c>
    </row>
    <row r="125" spans="1:7">
      <c r="A125" s="1737"/>
      <c r="B125" s="257">
        <v>467</v>
      </c>
      <c r="C125" s="257" t="s">
        <v>3800</v>
      </c>
      <c r="D125" s="1737"/>
      <c r="E125" s="1737"/>
      <c r="F125" s="1737"/>
      <c r="G125" s="257" t="s">
        <v>3801</v>
      </c>
    </row>
    <row r="126" spans="1:7">
      <c r="A126" s="1737" t="s">
        <v>267</v>
      </c>
      <c r="B126" s="257">
        <v>249</v>
      </c>
      <c r="C126" s="257" t="s">
        <v>3802</v>
      </c>
      <c r="D126" s="1737"/>
      <c r="E126" s="1737"/>
      <c r="F126" s="1737"/>
      <c r="G126" s="257" t="s">
        <v>3803</v>
      </c>
    </row>
    <row r="127" spans="1:7">
      <c r="A127" s="1737"/>
      <c r="B127" s="257">
        <v>331</v>
      </c>
      <c r="C127" s="257" t="s">
        <v>3804</v>
      </c>
      <c r="D127" s="1737"/>
      <c r="E127" s="1737"/>
      <c r="F127" s="1737"/>
      <c r="G127" s="257" t="s">
        <v>3805</v>
      </c>
    </row>
    <row r="128" spans="1:7">
      <c r="A128" s="1737"/>
      <c r="B128" s="257">
        <v>353</v>
      </c>
      <c r="C128" s="257" t="s">
        <v>3806</v>
      </c>
      <c r="D128" s="1737"/>
      <c r="E128" s="1737"/>
      <c r="F128" s="1737"/>
      <c r="G128" s="257" t="s">
        <v>3807</v>
      </c>
    </row>
    <row r="129" spans="1:7">
      <c r="A129" s="1737"/>
      <c r="B129" s="257">
        <v>367</v>
      </c>
      <c r="C129" s="257" t="s">
        <v>3808</v>
      </c>
      <c r="D129" s="1737"/>
      <c r="E129" s="1737"/>
      <c r="F129" s="1737"/>
      <c r="G129" s="257" t="s">
        <v>3809</v>
      </c>
    </row>
    <row r="130" spans="1:7">
      <c r="A130" s="1737"/>
      <c r="B130" s="257">
        <v>407</v>
      </c>
      <c r="C130" s="257" t="s">
        <v>3810</v>
      </c>
      <c r="D130" s="1737"/>
      <c r="E130" s="1737"/>
      <c r="F130" s="1737"/>
      <c r="G130" s="257" t="s">
        <v>3811</v>
      </c>
    </row>
    <row r="131" spans="1:7">
      <c r="A131" s="1737"/>
      <c r="B131" s="257">
        <v>482</v>
      </c>
      <c r="C131" s="257" t="s">
        <v>3812</v>
      </c>
      <c r="D131" s="1737"/>
      <c r="E131" s="1737"/>
      <c r="F131" s="1737"/>
      <c r="G131" s="257" t="s">
        <v>3813</v>
      </c>
    </row>
    <row r="132" spans="1:7">
      <c r="A132" s="1737"/>
      <c r="B132" s="257">
        <v>511</v>
      </c>
      <c r="C132" s="257" t="s">
        <v>3814</v>
      </c>
      <c r="D132" s="1737"/>
      <c r="E132" s="1737"/>
      <c r="F132" s="1737"/>
      <c r="G132" s="257" t="s">
        <v>3815</v>
      </c>
    </row>
    <row r="133" spans="1:7">
      <c r="A133" s="1737"/>
      <c r="B133" s="257">
        <v>537</v>
      </c>
      <c r="C133" s="257" t="s">
        <v>3816</v>
      </c>
      <c r="D133" s="1737"/>
      <c r="E133" s="1737"/>
      <c r="F133" s="1737"/>
      <c r="G133" s="257" t="s">
        <v>3817</v>
      </c>
    </row>
    <row r="134" spans="1:7">
      <c r="A134" s="1737" t="s">
        <v>94</v>
      </c>
      <c r="B134" s="257">
        <v>386</v>
      </c>
      <c r="C134" s="257" t="s">
        <v>3818</v>
      </c>
      <c r="D134" s="1737"/>
      <c r="E134" s="1737"/>
      <c r="F134" s="1737"/>
      <c r="G134" s="257" t="s">
        <v>3819</v>
      </c>
    </row>
    <row r="135" spans="1:7">
      <c r="A135" s="1737"/>
      <c r="B135" s="257">
        <v>390</v>
      </c>
      <c r="C135" s="257" t="s">
        <v>3820</v>
      </c>
      <c r="D135" s="1737"/>
      <c r="E135" s="1737"/>
      <c r="F135" s="1737"/>
      <c r="G135" s="257" t="s">
        <v>3821</v>
      </c>
    </row>
    <row r="136" spans="1:7">
      <c r="A136" s="1737" t="s">
        <v>3822</v>
      </c>
      <c r="B136" s="257">
        <v>412</v>
      </c>
      <c r="C136" s="257" t="s">
        <v>3823</v>
      </c>
      <c r="D136" s="1737"/>
      <c r="E136" s="1737"/>
      <c r="F136" s="1737"/>
      <c r="G136" s="257" t="s">
        <v>3824</v>
      </c>
    </row>
    <row r="137" spans="1:7">
      <c r="A137" s="1737"/>
      <c r="B137" s="257">
        <v>539</v>
      </c>
      <c r="C137" s="257" t="s">
        <v>3825</v>
      </c>
      <c r="D137" s="1737"/>
      <c r="E137" s="1737"/>
      <c r="F137" s="1737"/>
      <c r="G137" s="257" t="s">
        <v>3826</v>
      </c>
    </row>
    <row r="138" spans="1:7">
      <c r="A138" s="1737" t="s">
        <v>3467</v>
      </c>
      <c r="B138" s="257">
        <v>401</v>
      </c>
      <c r="C138" s="257" t="s">
        <v>3827</v>
      </c>
      <c r="D138" s="1737"/>
      <c r="E138" s="1737"/>
      <c r="F138" s="1737"/>
      <c r="G138" s="257" t="s">
        <v>3828</v>
      </c>
    </row>
    <row r="139" spans="1:7">
      <c r="A139" s="1737"/>
      <c r="B139" s="257">
        <v>320</v>
      </c>
      <c r="C139" s="257" t="s">
        <v>3829</v>
      </c>
      <c r="D139" s="1737"/>
      <c r="E139" s="1737"/>
      <c r="F139" s="1737"/>
      <c r="G139" s="257" t="s">
        <v>3830</v>
      </c>
    </row>
    <row r="140" spans="1:7">
      <c r="A140" s="1737"/>
      <c r="B140" s="257">
        <v>364</v>
      </c>
      <c r="C140" s="257" t="s">
        <v>3831</v>
      </c>
      <c r="D140" s="1737"/>
      <c r="E140" s="1737"/>
      <c r="F140" s="1737"/>
      <c r="G140" s="257" t="s">
        <v>3832</v>
      </c>
    </row>
    <row r="141" spans="1:7">
      <c r="A141" s="1737"/>
      <c r="B141" s="257">
        <v>415</v>
      </c>
      <c r="C141" s="257" t="s">
        <v>3833</v>
      </c>
      <c r="D141" s="1737"/>
      <c r="E141" s="1737"/>
      <c r="F141" s="1737"/>
      <c r="G141" s="257" t="s">
        <v>3834</v>
      </c>
    </row>
    <row r="142" spans="1:7">
      <c r="A142" s="1737"/>
      <c r="B142" s="257">
        <v>416</v>
      </c>
      <c r="C142" s="257" t="s">
        <v>3835</v>
      </c>
      <c r="D142" s="1737"/>
      <c r="E142" s="1737"/>
      <c r="F142" s="1737"/>
      <c r="G142" s="257" t="s">
        <v>3836</v>
      </c>
    </row>
    <row r="143" spans="1:7">
      <c r="A143" s="1737"/>
      <c r="B143" s="257">
        <v>433</v>
      </c>
      <c r="C143" s="257" t="s">
        <v>3837</v>
      </c>
      <c r="D143" s="1737"/>
      <c r="E143" s="1737"/>
      <c r="F143" s="1737"/>
      <c r="G143" s="257" t="s">
        <v>3838</v>
      </c>
    </row>
    <row r="144" spans="1:7">
      <c r="A144" s="1737"/>
      <c r="B144" s="257">
        <v>488</v>
      </c>
      <c r="C144" s="257" t="s">
        <v>3839</v>
      </c>
      <c r="D144" s="1737"/>
      <c r="E144" s="1737"/>
      <c r="F144" s="1737"/>
      <c r="G144" s="257" t="s">
        <v>3840</v>
      </c>
    </row>
    <row r="145" spans="1:7">
      <c r="A145" s="1737"/>
      <c r="B145" s="257">
        <v>540</v>
      </c>
      <c r="C145" s="257" t="s">
        <v>3841</v>
      </c>
      <c r="D145" s="1737"/>
      <c r="E145" s="1737"/>
      <c r="F145" s="1737"/>
      <c r="G145" s="257" t="s">
        <v>3842</v>
      </c>
    </row>
    <row r="146" spans="1:7">
      <c r="A146" s="1737" t="s">
        <v>1609</v>
      </c>
      <c r="B146" s="257">
        <v>370</v>
      </c>
      <c r="C146" s="257" t="s">
        <v>3843</v>
      </c>
      <c r="D146" s="1737"/>
      <c r="E146" s="1737"/>
      <c r="F146" s="1737"/>
      <c r="G146" s="257" t="s">
        <v>3844</v>
      </c>
    </row>
    <row r="147" spans="1:7">
      <c r="A147" s="1737"/>
      <c r="B147" s="257">
        <v>276</v>
      </c>
      <c r="C147" s="257" t="s">
        <v>3845</v>
      </c>
      <c r="D147" s="1737"/>
      <c r="E147" s="1737"/>
      <c r="F147" s="1737"/>
      <c r="G147" s="257" t="s">
        <v>3846</v>
      </c>
    </row>
    <row r="148" spans="1:7">
      <c r="A148" s="1737"/>
      <c r="B148" s="257">
        <v>296</v>
      </c>
      <c r="C148" s="257" t="s">
        <v>3847</v>
      </c>
      <c r="D148" s="1737"/>
      <c r="E148" s="1737"/>
      <c r="F148" s="1737"/>
      <c r="G148" s="257" t="s">
        <v>3848</v>
      </c>
    </row>
    <row r="149" spans="1:7">
      <c r="A149" s="1737"/>
      <c r="B149" s="257">
        <v>297</v>
      </c>
      <c r="C149" s="257" t="s">
        <v>3849</v>
      </c>
      <c r="D149" s="1737"/>
      <c r="E149" s="1737"/>
      <c r="F149" s="1737"/>
      <c r="G149" s="257" t="s">
        <v>3850</v>
      </c>
    </row>
    <row r="150" spans="1:7">
      <c r="A150" s="1737"/>
      <c r="B150" s="257">
        <v>298</v>
      </c>
      <c r="C150" s="257" t="s">
        <v>3851</v>
      </c>
      <c r="D150" s="1737"/>
      <c r="E150" s="1737"/>
      <c r="F150" s="1737"/>
      <c r="G150" s="257" t="s">
        <v>3852</v>
      </c>
    </row>
    <row r="151" spans="1:7">
      <c r="A151" s="1737"/>
      <c r="B151" s="257">
        <v>321</v>
      </c>
      <c r="C151" s="257" t="s">
        <v>3853</v>
      </c>
      <c r="D151" s="1737"/>
      <c r="E151" s="1737"/>
      <c r="F151" s="1737"/>
      <c r="G151" s="257" t="s">
        <v>3854</v>
      </c>
    </row>
    <row r="152" spans="1:7">
      <c r="A152" s="1737"/>
      <c r="B152" s="257">
        <v>328</v>
      </c>
      <c r="C152" s="257" t="s">
        <v>3855</v>
      </c>
      <c r="D152" s="1737"/>
      <c r="E152" s="1737"/>
      <c r="F152" s="1737"/>
      <c r="G152" s="257" t="s">
        <v>3856</v>
      </c>
    </row>
    <row r="153" spans="1:7">
      <c r="A153" s="1737"/>
      <c r="B153" s="257">
        <v>363</v>
      </c>
      <c r="C153" s="257" t="s">
        <v>3857</v>
      </c>
      <c r="D153" s="1737"/>
      <c r="E153" s="1737"/>
      <c r="F153" s="1737"/>
      <c r="G153" s="257" t="s">
        <v>3858</v>
      </c>
    </row>
    <row r="154" spans="1:7">
      <c r="A154" s="1737"/>
      <c r="B154" s="257">
        <v>368</v>
      </c>
      <c r="C154" s="257" t="s">
        <v>3859</v>
      </c>
      <c r="D154" s="1737"/>
      <c r="E154" s="1737"/>
      <c r="F154" s="1737"/>
      <c r="G154" s="257" t="s">
        <v>3860</v>
      </c>
    </row>
    <row r="155" spans="1:7">
      <c r="A155" s="1737"/>
      <c r="B155" s="257">
        <v>430</v>
      </c>
      <c r="C155" s="257" t="s">
        <v>3861</v>
      </c>
      <c r="D155" s="1737"/>
      <c r="E155" s="1737"/>
      <c r="F155" s="1737"/>
      <c r="G155" s="257" t="s">
        <v>3862</v>
      </c>
    </row>
    <row r="156" spans="1:7">
      <c r="A156" s="1737"/>
      <c r="B156" s="257">
        <v>432</v>
      </c>
      <c r="C156" s="257" t="s">
        <v>3863</v>
      </c>
      <c r="D156" s="1737"/>
      <c r="E156" s="1737"/>
      <c r="F156" s="1737"/>
      <c r="G156" s="257" t="s">
        <v>3864</v>
      </c>
    </row>
    <row r="157" spans="1:7">
      <c r="A157" s="1737"/>
      <c r="B157" s="257">
        <v>514</v>
      </c>
      <c r="C157" s="257" t="s">
        <v>3865</v>
      </c>
      <c r="D157" s="1737"/>
      <c r="E157" s="1737"/>
      <c r="F157" s="1737"/>
      <c r="G157" s="257" t="s">
        <v>3866</v>
      </c>
    </row>
    <row r="158" spans="1:7">
      <c r="A158" s="1737"/>
      <c r="B158" s="257">
        <v>538</v>
      </c>
      <c r="C158" s="257" t="s">
        <v>3867</v>
      </c>
      <c r="D158" s="1737"/>
      <c r="E158" s="1737"/>
      <c r="F158" s="1737"/>
      <c r="G158" s="257" t="s">
        <v>3868</v>
      </c>
    </row>
    <row r="159" spans="1:7">
      <c r="A159" s="1737"/>
      <c r="B159" s="257">
        <v>549</v>
      </c>
      <c r="C159" s="257" t="s">
        <v>3869</v>
      </c>
      <c r="D159" s="1737"/>
      <c r="E159" s="1737"/>
      <c r="F159" s="1737"/>
      <c r="G159" s="257" t="s">
        <v>3870</v>
      </c>
    </row>
    <row r="160" spans="1:7">
      <c r="A160" s="1737"/>
      <c r="B160" s="257">
        <v>551</v>
      </c>
      <c r="C160" s="257" t="s">
        <v>3871</v>
      </c>
      <c r="D160" s="1737"/>
      <c r="E160" s="1737"/>
      <c r="F160" s="1737"/>
      <c r="G160" s="257" t="s">
        <v>3872</v>
      </c>
    </row>
    <row r="161" spans="1:7">
      <c r="A161" s="1737" t="s">
        <v>3873</v>
      </c>
      <c r="B161" s="257">
        <v>413</v>
      </c>
      <c r="C161" s="257" t="s">
        <v>3874</v>
      </c>
      <c r="D161" s="1737"/>
      <c r="E161" s="1737"/>
      <c r="F161" s="1737"/>
      <c r="G161" s="257" t="s">
        <v>3875</v>
      </c>
    </row>
    <row r="162" spans="1:7">
      <c r="A162" s="1737"/>
      <c r="B162" s="257">
        <v>498</v>
      </c>
      <c r="C162" s="257" t="s">
        <v>3767</v>
      </c>
      <c r="D162" s="1737"/>
      <c r="E162" s="1737"/>
      <c r="F162" s="1737"/>
      <c r="G162" s="257" t="s">
        <v>3768</v>
      </c>
    </row>
    <row r="163" spans="1:7">
      <c r="A163" s="1737"/>
      <c r="B163" s="257">
        <v>554</v>
      </c>
      <c r="C163" s="257" t="s">
        <v>3876</v>
      </c>
      <c r="D163" s="1737"/>
      <c r="E163" s="1737"/>
      <c r="F163" s="1737"/>
      <c r="G163" s="257" t="s">
        <v>3877</v>
      </c>
    </row>
    <row r="164" spans="1:7">
      <c r="A164" s="1737"/>
      <c r="B164" s="257">
        <v>560</v>
      </c>
      <c r="C164" s="257" t="s">
        <v>3878</v>
      </c>
      <c r="D164" s="1737"/>
      <c r="E164" s="1737"/>
      <c r="F164" s="1737"/>
      <c r="G164" s="257" t="s">
        <v>3879</v>
      </c>
    </row>
    <row r="165" spans="1:7">
      <c r="A165" s="1737" t="s">
        <v>933</v>
      </c>
      <c r="B165" s="257">
        <v>250</v>
      </c>
      <c r="C165" s="257" t="s">
        <v>3880</v>
      </c>
      <c r="D165" s="1737"/>
      <c r="E165" s="1737"/>
      <c r="F165" s="1737"/>
      <c r="G165" s="257" t="s">
        <v>3881</v>
      </c>
    </row>
    <row r="166" spans="1:7">
      <c r="A166" s="1737"/>
      <c r="B166" s="257">
        <v>251</v>
      </c>
      <c r="C166" s="257" t="s">
        <v>3882</v>
      </c>
      <c r="D166" s="1737"/>
      <c r="E166" s="1737"/>
      <c r="F166" s="1737"/>
      <c r="G166" s="257" t="s">
        <v>3883</v>
      </c>
    </row>
    <row r="167" spans="1:7">
      <c r="A167" s="1737"/>
      <c r="B167" s="257">
        <v>253</v>
      </c>
      <c r="C167" s="257" t="s">
        <v>3884</v>
      </c>
      <c r="D167" s="1737"/>
      <c r="E167" s="1737"/>
      <c r="F167" s="1737"/>
      <c r="G167" s="257" t="s">
        <v>3885</v>
      </c>
    </row>
    <row r="168" spans="1:7">
      <c r="A168" s="1737"/>
      <c r="B168" s="257">
        <v>261</v>
      </c>
      <c r="C168" s="257" t="s">
        <v>3886</v>
      </c>
      <c r="D168" s="1737"/>
      <c r="E168" s="1737"/>
      <c r="F168" s="1737"/>
      <c r="G168" s="257" t="s">
        <v>3887</v>
      </c>
    </row>
    <row r="169" spans="1:7">
      <c r="A169" s="1737"/>
      <c r="B169" s="257">
        <v>265</v>
      </c>
      <c r="C169" s="257" t="s">
        <v>3888</v>
      </c>
      <c r="D169" s="1737"/>
      <c r="E169" s="1737"/>
      <c r="F169" s="1737"/>
      <c r="G169" s="257" t="s">
        <v>3889</v>
      </c>
    </row>
    <row r="170" spans="1:7">
      <c r="A170" s="1737"/>
      <c r="B170" s="257">
        <v>267</v>
      </c>
      <c r="C170" s="257" t="s">
        <v>3890</v>
      </c>
      <c r="D170" s="1737"/>
      <c r="E170" s="1737"/>
      <c r="F170" s="1737"/>
      <c r="G170" s="257" t="s">
        <v>3891</v>
      </c>
    </row>
    <row r="171" spans="1:7">
      <c r="A171" s="1737"/>
      <c r="B171" s="257">
        <v>323</v>
      </c>
      <c r="C171" s="257" t="s">
        <v>3892</v>
      </c>
      <c r="D171" s="1737"/>
      <c r="E171" s="1737"/>
      <c r="F171" s="1737"/>
      <c r="G171" s="257" t="s">
        <v>3893</v>
      </c>
    </row>
    <row r="172" spans="1:7">
      <c r="A172" s="1737"/>
      <c r="B172" s="257">
        <v>325</v>
      </c>
      <c r="C172" s="257" t="s">
        <v>3894</v>
      </c>
      <c r="D172" s="1737"/>
      <c r="E172" s="1737"/>
      <c r="F172" s="1737"/>
      <c r="G172" s="257" t="s">
        <v>3895</v>
      </c>
    </row>
    <row r="173" spans="1:7">
      <c r="A173" s="1737"/>
      <c r="B173" s="257">
        <v>356</v>
      </c>
      <c r="C173" s="257" t="s">
        <v>3896</v>
      </c>
      <c r="D173" s="1737"/>
      <c r="E173" s="1737"/>
      <c r="F173" s="1737"/>
      <c r="G173" s="257" t="s">
        <v>3897</v>
      </c>
    </row>
    <row r="174" spans="1:7">
      <c r="A174" s="1737"/>
      <c r="B174" s="257">
        <v>387</v>
      </c>
      <c r="C174" s="257" t="s">
        <v>3898</v>
      </c>
      <c r="D174" s="1737"/>
      <c r="E174" s="1737"/>
      <c r="F174" s="1737"/>
      <c r="G174" s="257" t="s">
        <v>3899</v>
      </c>
    </row>
    <row r="175" spans="1:7">
      <c r="A175" s="1737"/>
      <c r="B175" s="257">
        <v>388</v>
      </c>
      <c r="C175" s="257" t="s">
        <v>3900</v>
      </c>
      <c r="D175" s="1737"/>
      <c r="E175" s="1737"/>
      <c r="F175" s="1737"/>
      <c r="G175" s="257" t="s">
        <v>3901</v>
      </c>
    </row>
    <row r="176" spans="1:7">
      <c r="A176" s="1737"/>
      <c r="B176" s="257">
        <v>494</v>
      </c>
      <c r="C176" s="257" t="s">
        <v>3902</v>
      </c>
      <c r="D176" s="1737"/>
      <c r="E176" s="1737"/>
      <c r="F176" s="1737"/>
      <c r="G176" s="257" t="s">
        <v>3903</v>
      </c>
    </row>
    <row r="177" spans="1:7">
      <c r="A177" s="1737" t="s">
        <v>1604</v>
      </c>
      <c r="B177" s="257">
        <v>258</v>
      </c>
      <c r="C177" s="257" t="s">
        <v>3904</v>
      </c>
      <c r="D177" s="1737"/>
      <c r="E177" s="1737"/>
      <c r="F177" s="1737"/>
      <c r="G177" s="257" t="s">
        <v>3905</v>
      </c>
    </row>
    <row r="178" spans="1:7">
      <c r="A178" s="1737"/>
      <c r="B178" s="257">
        <v>260</v>
      </c>
      <c r="C178" s="257" t="s">
        <v>3906</v>
      </c>
      <c r="D178" s="1737"/>
      <c r="E178" s="1737"/>
      <c r="F178" s="1737"/>
      <c r="G178" s="257" t="s">
        <v>3907</v>
      </c>
    </row>
    <row r="179" spans="1:7">
      <c r="A179" s="1737"/>
      <c r="B179" s="257">
        <v>269</v>
      </c>
      <c r="C179" s="257" t="s">
        <v>3908</v>
      </c>
      <c r="D179" s="1737"/>
      <c r="E179" s="1737"/>
      <c r="F179" s="1737"/>
      <c r="G179" s="257" t="s">
        <v>3909</v>
      </c>
    </row>
    <row r="180" spans="1:7">
      <c r="A180" s="1737"/>
      <c r="B180" s="257">
        <v>275</v>
      </c>
      <c r="C180" s="257" t="s">
        <v>3910</v>
      </c>
      <c r="D180" s="1737"/>
      <c r="E180" s="1737"/>
      <c r="F180" s="1737"/>
      <c r="G180" s="257" t="s">
        <v>3911</v>
      </c>
    </row>
    <row r="181" spans="1:7">
      <c r="A181" s="1737"/>
      <c r="B181" s="257">
        <v>281</v>
      </c>
      <c r="C181" s="257" t="s">
        <v>3912</v>
      </c>
      <c r="D181" s="1737"/>
      <c r="E181" s="1737"/>
      <c r="F181" s="1737"/>
      <c r="G181" s="257" t="s">
        <v>3913</v>
      </c>
    </row>
    <row r="182" spans="1:7">
      <c r="A182" s="1737"/>
      <c r="B182" s="257">
        <v>299</v>
      </c>
      <c r="C182" s="257" t="s">
        <v>3914</v>
      </c>
      <c r="D182" s="1737"/>
      <c r="E182" s="1737"/>
      <c r="F182" s="1737"/>
      <c r="G182" s="257" t="s">
        <v>3915</v>
      </c>
    </row>
    <row r="183" spans="1:7">
      <c r="A183" s="1737" t="s">
        <v>1592</v>
      </c>
      <c r="B183" s="257">
        <v>241</v>
      </c>
      <c r="C183" s="257" t="s">
        <v>3916</v>
      </c>
      <c r="D183" s="1737"/>
      <c r="E183" s="1737"/>
      <c r="F183" s="1737"/>
      <c r="G183" s="257" t="s">
        <v>3917</v>
      </c>
    </row>
    <row r="184" spans="1:7">
      <c r="A184" s="1737"/>
      <c r="B184" s="257">
        <v>246</v>
      </c>
      <c r="C184" s="257" t="s">
        <v>3918</v>
      </c>
      <c r="D184" s="1737"/>
      <c r="E184" s="1737"/>
      <c r="F184" s="1737"/>
      <c r="G184" s="257" t="s">
        <v>3919</v>
      </c>
    </row>
    <row r="185" spans="1:7">
      <c r="A185" s="1737"/>
      <c r="B185" s="257">
        <v>293</v>
      </c>
      <c r="C185" s="257" t="s">
        <v>3920</v>
      </c>
      <c r="D185" s="1737"/>
      <c r="E185" s="1737"/>
      <c r="F185" s="1737"/>
      <c r="G185" s="257" t="s">
        <v>3921</v>
      </c>
    </row>
    <row r="186" spans="1:7">
      <c r="A186" s="1737"/>
      <c r="B186" s="257">
        <v>350</v>
      </c>
      <c r="C186" s="257" t="s">
        <v>3922</v>
      </c>
      <c r="D186" s="1737"/>
      <c r="E186" s="1737"/>
      <c r="F186" s="1737"/>
      <c r="G186" s="257" t="s">
        <v>3923</v>
      </c>
    </row>
    <row r="187" spans="1:7">
      <c r="A187" s="1737"/>
      <c r="B187" s="257">
        <v>466</v>
      </c>
      <c r="C187" s="257" t="s">
        <v>3924</v>
      </c>
      <c r="D187" s="1737"/>
      <c r="E187" s="1737"/>
      <c r="F187" s="1737"/>
      <c r="G187" s="257" t="s">
        <v>3925</v>
      </c>
    </row>
    <row r="188" spans="1:7">
      <c r="A188" s="1737" t="s">
        <v>1595</v>
      </c>
      <c r="B188" s="257">
        <v>211</v>
      </c>
      <c r="C188" s="257" t="s">
        <v>3926</v>
      </c>
      <c r="D188" s="1737"/>
      <c r="E188" s="1737"/>
      <c r="F188" s="1737"/>
      <c r="G188" s="257" t="s">
        <v>3927</v>
      </c>
    </row>
    <row r="189" spans="1:7">
      <c r="A189" s="1737"/>
      <c r="B189" s="257">
        <v>214</v>
      </c>
      <c r="C189" s="257" t="s">
        <v>3928</v>
      </c>
      <c r="D189" s="1737"/>
      <c r="E189" s="1737"/>
      <c r="F189" s="1737"/>
      <c r="G189" s="257" t="s">
        <v>3929</v>
      </c>
    </row>
    <row r="190" spans="1:7">
      <c r="A190" s="1737"/>
      <c r="B190" s="257">
        <v>215</v>
      </c>
      <c r="C190" s="257" t="s">
        <v>3930</v>
      </c>
      <c r="D190" s="1737"/>
      <c r="E190" s="1737"/>
      <c r="F190" s="1737"/>
      <c r="G190" s="257" t="s">
        <v>3931</v>
      </c>
    </row>
    <row r="191" spans="1:7">
      <c r="A191" s="1737"/>
      <c r="B191" s="257">
        <v>217</v>
      </c>
      <c r="C191" s="257" t="s">
        <v>3932</v>
      </c>
      <c r="D191" s="1737"/>
      <c r="E191" s="1737"/>
      <c r="F191" s="1737"/>
      <c r="G191" s="257" t="s">
        <v>3933</v>
      </c>
    </row>
    <row r="192" spans="1:7">
      <c r="A192" s="1737"/>
      <c r="B192" s="257">
        <v>218</v>
      </c>
      <c r="C192" s="257" t="s">
        <v>3934</v>
      </c>
      <c r="D192" s="1737"/>
      <c r="E192" s="1737"/>
      <c r="F192" s="1737"/>
      <c r="G192" s="257" t="s">
        <v>3935</v>
      </c>
    </row>
    <row r="193" spans="1:7">
      <c r="A193" s="1737"/>
      <c r="B193" s="257">
        <v>219</v>
      </c>
      <c r="C193" s="257" t="s">
        <v>3936</v>
      </c>
      <c r="D193" s="1737"/>
      <c r="E193" s="1737"/>
      <c r="F193" s="1737"/>
      <c r="G193" s="257" t="s">
        <v>3937</v>
      </c>
    </row>
    <row r="194" spans="1:7">
      <c r="A194" s="1737"/>
      <c r="B194" s="257">
        <v>220</v>
      </c>
      <c r="C194" s="257" t="s">
        <v>3938</v>
      </c>
      <c r="D194" s="1737"/>
      <c r="E194" s="1737"/>
      <c r="F194" s="1737"/>
      <c r="G194" s="257" t="s">
        <v>3939</v>
      </c>
    </row>
    <row r="195" spans="1:7">
      <c r="A195" s="1737"/>
      <c r="B195" s="257">
        <v>221</v>
      </c>
      <c r="C195" s="257" t="s">
        <v>3940</v>
      </c>
      <c r="D195" s="1737"/>
      <c r="E195" s="1737"/>
      <c r="F195" s="1737"/>
      <c r="G195" s="257" t="s">
        <v>3941</v>
      </c>
    </row>
    <row r="196" spans="1:7">
      <c r="A196" s="1737"/>
      <c r="B196" s="257">
        <v>222</v>
      </c>
      <c r="C196" s="257" t="s">
        <v>3942</v>
      </c>
      <c r="D196" s="1737"/>
      <c r="E196" s="1737"/>
      <c r="F196" s="1737"/>
      <c r="G196" s="257" t="s">
        <v>3943</v>
      </c>
    </row>
    <row r="197" spans="1:7">
      <c r="A197" s="1737"/>
      <c r="B197" s="257">
        <v>223</v>
      </c>
      <c r="C197" s="257" t="s">
        <v>3944</v>
      </c>
      <c r="D197" s="1737"/>
      <c r="E197" s="1737"/>
      <c r="F197" s="1737"/>
      <c r="G197" s="257" t="s">
        <v>3945</v>
      </c>
    </row>
    <row r="198" spans="1:7">
      <c r="A198" s="1737"/>
      <c r="B198" s="257">
        <v>224</v>
      </c>
      <c r="C198" s="257" t="s">
        <v>3946</v>
      </c>
      <c r="D198" s="1737"/>
      <c r="E198" s="1737"/>
      <c r="F198" s="1737"/>
      <c r="G198" s="257" t="s">
        <v>3947</v>
      </c>
    </row>
    <row r="199" spans="1:7">
      <c r="A199" s="1737"/>
      <c r="B199" s="257">
        <v>225</v>
      </c>
      <c r="C199" s="257" t="s">
        <v>3948</v>
      </c>
      <c r="D199" s="1737"/>
      <c r="E199" s="1737"/>
      <c r="F199" s="1737"/>
      <c r="G199" s="257" t="s">
        <v>3949</v>
      </c>
    </row>
    <row r="200" spans="1:7">
      <c r="A200" s="1737"/>
      <c r="B200" s="257">
        <v>226</v>
      </c>
      <c r="C200" s="257" t="s">
        <v>3950</v>
      </c>
      <c r="D200" s="1737"/>
      <c r="E200" s="1737"/>
      <c r="F200" s="1737"/>
      <c r="G200" s="257" t="s">
        <v>3951</v>
      </c>
    </row>
    <row r="201" spans="1:7">
      <c r="A201" s="1737"/>
      <c r="B201" s="257">
        <v>227</v>
      </c>
      <c r="C201" s="257" t="s">
        <v>3952</v>
      </c>
      <c r="D201" s="1737"/>
      <c r="E201" s="1737"/>
      <c r="F201" s="1737"/>
      <c r="G201" s="257" t="s">
        <v>3953</v>
      </c>
    </row>
    <row r="202" spans="1:7">
      <c r="A202" s="1737"/>
      <c r="B202" s="257">
        <v>228</v>
      </c>
      <c r="C202" s="257" t="s">
        <v>3954</v>
      </c>
      <c r="D202" s="1737"/>
      <c r="E202" s="1737"/>
      <c r="F202" s="1737"/>
      <c r="G202" s="257" t="s">
        <v>3955</v>
      </c>
    </row>
    <row r="203" spans="1:7">
      <c r="A203" s="1737"/>
      <c r="B203" s="257">
        <v>229</v>
      </c>
      <c r="C203" s="257" t="s">
        <v>3956</v>
      </c>
      <c r="D203" s="1737"/>
      <c r="E203" s="1737"/>
      <c r="F203" s="1737"/>
      <c r="G203" s="257" t="s">
        <v>3957</v>
      </c>
    </row>
    <row r="204" spans="1:7">
      <c r="A204" s="1737"/>
      <c r="B204" s="257">
        <v>230</v>
      </c>
      <c r="C204" s="257" t="s">
        <v>3958</v>
      </c>
      <c r="D204" s="1737"/>
      <c r="E204" s="1737"/>
      <c r="F204" s="1737"/>
      <c r="G204" s="257" t="s">
        <v>3959</v>
      </c>
    </row>
    <row r="205" spans="1:7">
      <c r="A205" s="1737"/>
      <c r="B205" s="257">
        <v>231</v>
      </c>
      <c r="C205" s="257" t="s">
        <v>3960</v>
      </c>
      <c r="D205" s="1737"/>
      <c r="E205" s="1737"/>
      <c r="F205" s="1737"/>
      <c r="G205" s="257" t="s">
        <v>3961</v>
      </c>
    </row>
    <row r="206" spans="1:7">
      <c r="A206" s="1737"/>
      <c r="B206" s="257">
        <v>232</v>
      </c>
      <c r="C206" s="257" t="s">
        <v>3962</v>
      </c>
      <c r="D206" s="1737"/>
      <c r="E206" s="1737"/>
      <c r="F206" s="1737"/>
      <c r="G206" s="257" t="s">
        <v>3963</v>
      </c>
    </row>
    <row r="207" spans="1:7">
      <c r="A207" s="1737"/>
      <c r="B207" s="257">
        <v>233</v>
      </c>
      <c r="C207" s="257" t="s">
        <v>3964</v>
      </c>
      <c r="D207" s="1737"/>
      <c r="E207" s="1737"/>
      <c r="F207" s="1737"/>
      <c r="G207" s="257" t="s">
        <v>3965</v>
      </c>
    </row>
    <row r="208" spans="1:7">
      <c r="A208" s="1737"/>
      <c r="B208" s="257">
        <v>234</v>
      </c>
      <c r="C208" s="257" t="s">
        <v>3966</v>
      </c>
      <c r="D208" s="1737"/>
      <c r="E208" s="1737"/>
      <c r="F208" s="1737"/>
      <c r="G208" s="257" t="s">
        <v>3967</v>
      </c>
    </row>
    <row r="209" spans="1:7">
      <c r="A209" s="1737"/>
      <c r="B209" s="257">
        <v>235</v>
      </c>
      <c r="C209" s="257" t="s">
        <v>3968</v>
      </c>
      <c r="D209" s="1737"/>
      <c r="E209" s="1737"/>
      <c r="F209" s="1737"/>
      <c r="G209" s="257" t="s">
        <v>3969</v>
      </c>
    </row>
    <row r="210" spans="1:7">
      <c r="A210" s="1737"/>
      <c r="B210" s="257">
        <v>236</v>
      </c>
      <c r="C210" s="257" t="s">
        <v>3970</v>
      </c>
      <c r="D210" s="1737"/>
      <c r="E210" s="1737"/>
      <c r="F210" s="1737"/>
      <c r="G210" s="257" t="s">
        <v>3971</v>
      </c>
    </row>
    <row r="211" spans="1:7">
      <c r="A211" s="1737"/>
      <c r="B211" s="257">
        <v>237</v>
      </c>
      <c r="C211" s="257" t="s">
        <v>3972</v>
      </c>
      <c r="D211" s="1737"/>
      <c r="E211" s="1737"/>
      <c r="F211" s="1737"/>
      <c r="G211" s="257" t="s">
        <v>3973</v>
      </c>
    </row>
    <row r="212" spans="1:7">
      <c r="A212" s="1737"/>
      <c r="B212" s="257">
        <v>238</v>
      </c>
      <c r="C212" s="257" t="s">
        <v>3974</v>
      </c>
      <c r="D212" s="1737"/>
      <c r="E212" s="1737"/>
      <c r="F212" s="1737"/>
      <c r="G212" s="257" t="s">
        <v>3975</v>
      </c>
    </row>
    <row r="213" spans="1:7">
      <c r="A213" s="1737"/>
      <c r="B213" s="257">
        <v>239</v>
      </c>
      <c r="C213" s="257" t="s">
        <v>3976</v>
      </c>
      <c r="D213" s="1737"/>
      <c r="E213" s="1737"/>
      <c r="F213" s="1737"/>
      <c r="G213" s="257" t="s">
        <v>3977</v>
      </c>
    </row>
    <row r="214" spans="1:7">
      <c r="A214" s="1737"/>
      <c r="B214" s="257">
        <v>240</v>
      </c>
      <c r="C214" s="257" t="s">
        <v>3978</v>
      </c>
      <c r="D214" s="1737"/>
      <c r="E214" s="1737"/>
      <c r="F214" s="1737"/>
      <c r="G214" s="257" t="s">
        <v>3979</v>
      </c>
    </row>
    <row r="215" spans="1:7">
      <c r="A215" s="1737"/>
      <c r="B215" s="257">
        <v>242</v>
      </c>
      <c r="C215" s="257" t="s">
        <v>3980</v>
      </c>
      <c r="D215" s="1737"/>
      <c r="E215" s="1737"/>
      <c r="F215" s="1737"/>
      <c r="G215" s="257" t="s">
        <v>3981</v>
      </c>
    </row>
    <row r="216" spans="1:7">
      <c r="A216" s="1737"/>
      <c r="B216" s="257">
        <v>243</v>
      </c>
      <c r="C216" s="257" t="s">
        <v>3982</v>
      </c>
      <c r="D216" s="1737"/>
      <c r="E216" s="1737"/>
      <c r="F216" s="1737"/>
      <c r="G216" s="257" t="s">
        <v>3983</v>
      </c>
    </row>
    <row r="217" spans="1:7">
      <c r="A217" s="1737"/>
      <c r="B217" s="257">
        <v>244</v>
      </c>
      <c r="C217" s="257" t="s">
        <v>3984</v>
      </c>
      <c r="D217" s="1737"/>
      <c r="E217" s="1737"/>
      <c r="F217" s="1737"/>
      <c r="G217" s="257" t="s">
        <v>3985</v>
      </c>
    </row>
    <row r="218" spans="1:7">
      <c r="A218" s="1737"/>
      <c r="B218" s="257">
        <v>245</v>
      </c>
      <c r="C218" s="257" t="s">
        <v>3986</v>
      </c>
      <c r="D218" s="1737"/>
      <c r="E218" s="1737"/>
      <c r="F218" s="1737"/>
      <c r="G218" s="257" t="s">
        <v>3987</v>
      </c>
    </row>
    <row r="219" spans="1:7">
      <c r="A219" s="1737"/>
      <c r="B219" s="257">
        <v>254</v>
      </c>
      <c r="C219" s="257" t="s">
        <v>3988</v>
      </c>
      <c r="D219" s="1737"/>
      <c r="E219" s="1737"/>
      <c r="F219" s="1737"/>
      <c r="G219" s="257" t="s">
        <v>3989</v>
      </c>
    </row>
    <row r="220" spans="1:7">
      <c r="A220" s="1737"/>
      <c r="B220" s="257">
        <v>255</v>
      </c>
      <c r="C220" s="257" t="s">
        <v>3990</v>
      </c>
      <c r="D220" s="1737"/>
      <c r="E220" s="1737"/>
      <c r="F220" s="1737"/>
      <c r="G220" s="257" t="s">
        <v>3991</v>
      </c>
    </row>
    <row r="221" spans="1:7">
      <c r="A221" s="1737"/>
      <c r="B221" s="257">
        <v>259</v>
      </c>
      <c r="C221" s="257" t="s">
        <v>3992</v>
      </c>
      <c r="D221" s="1737"/>
      <c r="E221" s="1737"/>
      <c r="F221" s="1737"/>
      <c r="G221" s="257" t="s">
        <v>3993</v>
      </c>
    </row>
    <row r="222" spans="1:7">
      <c r="A222" s="1737"/>
      <c r="B222" s="257">
        <v>263</v>
      </c>
      <c r="C222" s="257" t="s">
        <v>3994</v>
      </c>
      <c r="D222" s="1737"/>
      <c r="E222" s="1737"/>
      <c r="F222" s="1737"/>
      <c r="G222" s="257" t="s">
        <v>3995</v>
      </c>
    </row>
    <row r="223" spans="1:7">
      <c r="A223" s="1737"/>
      <c r="B223" s="257">
        <v>264</v>
      </c>
      <c r="C223" s="257" t="s">
        <v>3996</v>
      </c>
      <c r="D223" s="1737"/>
      <c r="E223" s="1737"/>
      <c r="F223" s="1737"/>
      <c r="G223" s="257" t="s">
        <v>3997</v>
      </c>
    </row>
    <row r="224" spans="1:7">
      <c r="A224" s="1737"/>
      <c r="B224" s="257">
        <v>268</v>
      </c>
      <c r="C224" s="257" t="s">
        <v>3998</v>
      </c>
      <c r="D224" s="1737"/>
      <c r="E224" s="1737"/>
      <c r="F224" s="1737"/>
      <c r="G224" s="257" t="s">
        <v>3999</v>
      </c>
    </row>
    <row r="225" spans="1:7">
      <c r="A225" s="1737"/>
      <c r="B225" s="257">
        <v>271</v>
      </c>
      <c r="C225" s="257" t="s">
        <v>4000</v>
      </c>
      <c r="D225" s="1737"/>
      <c r="E225" s="1737"/>
      <c r="F225" s="1737"/>
      <c r="G225" s="257" t="s">
        <v>4001</v>
      </c>
    </row>
    <row r="226" spans="1:7">
      <c r="A226" s="1737"/>
      <c r="B226" s="257">
        <v>274</v>
      </c>
      <c r="C226" s="257" t="s">
        <v>4002</v>
      </c>
      <c r="D226" s="1737"/>
      <c r="E226" s="1737"/>
      <c r="F226" s="1737"/>
      <c r="G226" s="257" t="s">
        <v>4003</v>
      </c>
    </row>
    <row r="227" spans="1:7">
      <c r="A227" s="1737"/>
      <c r="B227" s="257">
        <v>277</v>
      </c>
      <c r="C227" s="257" t="s">
        <v>4004</v>
      </c>
      <c r="D227" s="1737"/>
      <c r="E227" s="1737"/>
      <c r="F227" s="1737"/>
      <c r="G227" s="257" t="s">
        <v>4005</v>
      </c>
    </row>
    <row r="228" spans="1:7">
      <c r="A228" s="1737"/>
      <c r="B228" s="257">
        <v>278</v>
      </c>
      <c r="C228" s="257" t="s">
        <v>4006</v>
      </c>
      <c r="D228" s="1737"/>
      <c r="E228" s="1737"/>
      <c r="F228" s="1737"/>
      <c r="G228" s="257" t="s">
        <v>4007</v>
      </c>
    </row>
    <row r="229" spans="1:7">
      <c r="A229" s="1737"/>
      <c r="B229" s="257">
        <v>280</v>
      </c>
      <c r="C229" s="257" t="s">
        <v>4008</v>
      </c>
      <c r="D229" s="1737"/>
      <c r="E229" s="1737"/>
      <c r="F229" s="1737"/>
      <c r="G229" s="257" t="s">
        <v>4009</v>
      </c>
    </row>
    <row r="230" spans="1:7">
      <c r="A230" s="1737"/>
      <c r="B230" s="257">
        <v>289</v>
      </c>
      <c r="C230" s="257" t="s">
        <v>4010</v>
      </c>
      <c r="D230" s="1737"/>
      <c r="E230" s="1737"/>
      <c r="F230" s="1737"/>
      <c r="G230" s="257" t="s">
        <v>4011</v>
      </c>
    </row>
    <row r="231" spans="1:7">
      <c r="A231" s="1737"/>
      <c r="B231" s="257">
        <v>292</v>
      </c>
      <c r="C231" s="257" t="s">
        <v>4012</v>
      </c>
      <c r="D231" s="1737"/>
      <c r="E231" s="1737"/>
      <c r="F231" s="1737"/>
      <c r="G231" s="257" t="s">
        <v>4013</v>
      </c>
    </row>
    <row r="232" spans="1:7">
      <c r="A232" s="1737"/>
      <c r="B232" s="257">
        <v>301</v>
      </c>
      <c r="C232" s="257" t="s">
        <v>4014</v>
      </c>
      <c r="D232" s="1737"/>
      <c r="E232" s="1737"/>
      <c r="F232" s="1737"/>
      <c r="G232" s="257" t="s">
        <v>4015</v>
      </c>
    </row>
    <row r="233" spans="1:7">
      <c r="A233" s="1737"/>
      <c r="B233" s="257">
        <v>312</v>
      </c>
      <c r="C233" s="257" t="s">
        <v>4016</v>
      </c>
      <c r="D233" s="1737"/>
      <c r="E233" s="1737"/>
      <c r="F233" s="1737"/>
      <c r="G233" s="257" t="s">
        <v>4017</v>
      </c>
    </row>
    <row r="234" spans="1:7">
      <c r="A234" s="1737"/>
      <c r="B234" s="257">
        <v>318</v>
      </c>
      <c r="C234" s="257" t="s">
        <v>4018</v>
      </c>
      <c r="D234" s="1737"/>
      <c r="E234" s="1737"/>
      <c r="F234" s="1737"/>
      <c r="G234" s="257" t="s">
        <v>4019</v>
      </c>
    </row>
    <row r="235" spans="1:7">
      <c r="A235" s="1737"/>
      <c r="B235" s="257">
        <v>329</v>
      </c>
      <c r="C235" s="257" t="s">
        <v>4020</v>
      </c>
      <c r="D235" s="1737"/>
      <c r="E235" s="1737"/>
      <c r="F235" s="1737"/>
      <c r="G235" s="257" t="s">
        <v>4021</v>
      </c>
    </row>
    <row r="236" spans="1:7">
      <c r="A236" s="1737"/>
      <c r="B236" s="257">
        <v>339</v>
      </c>
      <c r="C236" s="257" t="s">
        <v>4022</v>
      </c>
      <c r="D236" s="1737"/>
      <c r="E236" s="1737"/>
      <c r="F236" s="1737"/>
      <c r="G236" s="257" t="s">
        <v>4023</v>
      </c>
    </row>
    <row r="237" spans="1:7">
      <c r="A237" s="1737"/>
      <c r="B237" s="257">
        <v>392</v>
      </c>
      <c r="C237" s="257" t="s">
        <v>4024</v>
      </c>
      <c r="D237" s="1737"/>
      <c r="E237" s="1737"/>
      <c r="F237" s="1737"/>
      <c r="G237" s="257" t="s">
        <v>4025</v>
      </c>
    </row>
    <row r="238" spans="1:7">
      <c r="A238" s="1737"/>
      <c r="B238" s="257">
        <v>477</v>
      </c>
      <c r="C238" s="257" t="s">
        <v>4026</v>
      </c>
      <c r="D238" s="1737"/>
      <c r="E238" s="1737"/>
      <c r="F238" s="1737"/>
      <c r="G238" s="257" t="s">
        <v>4027</v>
      </c>
    </row>
    <row r="239" spans="1:7">
      <c r="A239" s="1737"/>
      <c r="B239" s="257">
        <v>509</v>
      </c>
      <c r="C239" s="257" t="s">
        <v>4028</v>
      </c>
      <c r="D239" s="1737"/>
      <c r="E239" s="1737"/>
      <c r="F239" s="1737"/>
      <c r="G239" s="257" t="s">
        <v>4029</v>
      </c>
    </row>
    <row r="240" spans="1:7">
      <c r="A240" s="1737"/>
      <c r="B240" s="257">
        <v>512</v>
      </c>
      <c r="C240" s="257" t="s">
        <v>4030</v>
      </c>
      <c r="D240" s="1737"/>
      <c r="E240" s="1737"/>
      <c r="F240" s="1737"/>
      <c r="G240" s="257" t="s">
        <v>4031</v>
      </c>
    </row>
  </sheetData>
  <mergeCells count="275">
    <mergeCell ref="AK65:AK66"/>
    <mergeCell ref="AL65:AL66"/>
    <mergeCell ref="AM65:AM66"/>
    <mergeCell ref="AQ65:AQ66"/>
    <mergeCell ref="AK1:AQ1"/>
    <mergeCell ref="AK57:AK58"/>
    <mergeCell ref="AL57:AL58"/>
    <mergeCell ref="AM57:AM58"/>
    <mergeCell ref="AQ57:AQ58"/>
    <mergeCell ref="AK59:AK60"/>
    <mergeCell ref="AL59:AL60"/>
    <mergeCell ref="AM59:AM60"/>
    <mergeCell ref="AQ59:AQ60"/>
    <mergeCell ref="AK61:AK62"/>
    <mergeCell ref="AL61:AL62"/>
    <mergeCell ref="AM61:AM62"/>
    <mergeCell ref="AQ61:AQ62"/>
    <mergeCell ref="AK51:AK52"/>
    <mergeCell ref="AL51:AL52"/>
    <mergeCell ref="AM51:AM52"/>
    <mergeCell ref="AK53:AK54"/>
    <mergeCell ref="AL53:AL54"/>
    <mergeCell ref="AM53:AM54"/>
    <mergeCell ref="AQ53:AQ54"/>
    <mergeCell ref="AK55:AK56"/>
    <mergeCell ref="AL55:AL56"/>
    <mergeCell ref="AM55:AM56"/>
    <mergeCell ref="AQ55:AQ56"/>
    <mergeCell ref="AK63:AK64"/>
    <mergeCell ref="AL63:AL64"/>
    <mergeCell ref="AM63:AM64"/>
    <mergeCell ref="AQ63:AQ64"/>
    <mergeCell ref="AK47:AK48"/>
    <mergeCell ref="AL47:AL48"/>
    <mergeCell ref="AM47:AM48"/>
    <mergeCell ref="AQ47:AQ48"/>
    <mergeCell ref="AK49:AK50"/>
    <mergeCell ref="AL49:AL50"/>
    <mergeCell ref="AM49:AM50"/>
    <mergeCell ref="AQ49:AQ50"/>
    <mergeCell ref="AQ51:AQ52"/>
    <mergeCell ref="AK41:AK42"/>
    <mergeCell ref="AL41:AL42"/>
    <mergeCell ref="AM41:AM42"/>
    <mergeCell ref="AQ41:AQ42"/>
    <mergeCell ref="AK43:AK44"/>
    <mergeCell ref="AL43:AL44"/>
    <mergeCell ref="AM43:AM44"/>
    <mergeCell ref="AQ43:AQ44"/>
    <mergeCell ref="AM45:AM46"/>
    <mergeCell ref="AQ45:AQ46"/>
    <mergeCell ref="AK35:AK36"/>
    <mergeCell ref="AL35:AL36"/>
    <mergeCell ref="AM35:AM36"/>
    <mergeCell ref="AQ35:AQ36"/>
    <mergeCell ref="AK37:AK38"/>
    <mergeCell ref="AL37:AL38"/>
    <mergeCell ref="AM37:AM38"/>
    <mergeCell ref="AQ37:AQ38"/>
    <mergeCell ref="AQ39:AQ40"/>
    <mergeCell ref="AK29:AK30"/>
    <mergeCell ref="AL29:AL30"/>
    <mergeCell ref="AM29:AM30"/>
    <mergeCell ref="AQ29:AQ30"/>
    <mergeCell ref="AK31:AK32"/>
    <mergeCell ref="AL31:AL32"/>
    <mergeCell ref="AM31:AM32"/>
    <mergeCell ref="AQ31:AQ32"/>
    <mergeCell ref="AQ33:AQ34"/>
    <mergeCell ref="AK23:AK24"/>
    <mergeCell ref="AL23:AL24"/>
    <mergeCell ref="AM23:AM24"/>
    <mergeCell ref="AQ23:AQ24"/>
    <mergeCell ref="AK25:AK26"/>
    <mergeCell ref="AL25:AL26"/>
    <mergeCell ref="AM25:AM26"/>
    <mergeCell ref="AQ25:AQ26"/>
    <mergeCell ref="AQ27:AQ28"/>
    <mergeCell ref="AK17:AK18"/>
    <mergeCell ref="AL17:AL18"/>
    <mergeCell ref="AM17:AM18"/>
    <mergeCell ref="AQ17:AQ18"/>
    <mergeCell ref="AK19:AK20"/>
    <mergeCell ref="AL19:AL20"/>
    <mergeCell ref="AM19:AM20"/>
    <mergeCell ref="AQ19:AQ20"/>
    <mergeCell ref="AP3:AP66"/>
    <mergeCell ref="AQ3:AQ4"/>
    <mergeCell ref="AK5:AK6"/>
    <mergeCell ref="AL5:AL6"/>
    <mergeCell ref="AM5:AM6"/>
    <mergeCell ref="AQ5:AQ6"/>
    <mergeCell ref="AK7:AK8"/>
    <mergeCell ref="AL7:AL8"/>
    <mergeCell ref="AM7:AM8"/>
    <mergeCell ref="AQ7:AQ8"/>
    <mergeCell ref="AK9:AK10"/>
    <mergeCell ref="AL9:AL10"/>
    <mergeCell ref="AM9:AM10"/>
    <mergeCell ref="AQ9:AQ10"/>
    <mergeCell ref="AK11:AK12"/>
    <mergeCell ref="AQ21:AQ22"/>
    <mergeCell ref="AL11:AL12"/>
    <mergeCell ref="AM11:AM12"/>
    <mergeCell ref="AQ11:AQ12"/>
    <mergeCell ref="AK13:AK14"/>
    <mergeCell ref="AL13:AL14"/>
    <mergeCell ref="AM13:AM14"/>
    <mergeCell ref="AQ13:AQ14"/>
    <mergeCell ref="AK15:AK16"/>
    <mergeCell ref="AL15:AL16"/>
    <mergeCell ref="AQ15:AQ16"/>
    <mergeCell ref="AE3:AE85"/>
    <mergeCell ref="AF3:AF85"/>
    <mergeCell ref="AG3:AG85"/>
    <mergeCell ref="AB1:AH1"/>
    <mergeCell ref="AK3:AK4"/>
    <mergeCell ref="AL3:AL4"/>
    <mergeCell ref="AM3:AM4"/>
    <mergeCell ref="AN3:AN66"/>
    <mergeCell ref="AO3:AO66"/>
    <mergeCell ref="AM15:AM16"/>
    <mergeCell ref="AK21:AK22"/>
    <mergeCell ref="AL21:AL22"/>
    <mergeCell ref="AM21:AM22"/>
    <mergeCell ref="AK27:AK28"/>
    <mergeCell ref="AL27:AL28"/>
    <mergeCell ref="AM27:AM28"/>
    <mergeCell ref="AK33:AK34"/>
    <mergeCell ref="AL33:AL34"/>
    <mergeCell ref="AM33:AM34"/>
    <mergeCell ref="AK39:AK40"/>
    <mergeCell ref="AL39:AL40"/>
    <mergeCell ref="AM39:AM40"/>
    <mergeCell ref="AK45:AK46"/>
    <mergeCell ref="AL45:AL46"/>
    <mergeCell ref="A183:A187"/>
    <mergeCell ref="A188:A240"/>
    <mergeCell ref="A126:A133"/>
    <mergeCell ref="A134:A135"/>
    <mergeCell ref="A136:A137"/>
    <mergeCell ref="A138:A145"/>
    <mergeCell ref="A146:A160"/>
    <mergeCell ref="A161:A164"/>
    <mergeCell ref="AB3:AB85"/>
    <mergeCell ref="A3:A4"/>
    <mergeCell ref="D3:D240"/>
    <mergeCell ref="E3:E240"/>
    <mergeCell ref="F3:F240"/>
    <mergeCell ref="A5:A6"/>
    <mergeCell ref="A7:A11"/>
    <mergeCell ref="A12:A15"/>
    <mergeCell ref="A16:A17"/>
    <mergeCell ref="A18:A24"/>
    <mergeCell ref="A25:A38"/>
    <mergeCell ref="A123:A125"/>
    <mergeCell ref="A39:A46"/>
    <mergeCell ref="A47:A53"/>
    <mergeCell ref="A54:A56"/>
    <mergeCell ref="A57:A67"/>
    <mergeCell ref="A68:A78"/>
    <mergeCell ref="A79:A91"/>
    <mergeCell ref="A92:A96"/>
    <mergeCell ref="A97:A100"/>
    <mergeCell ref="A101:A104"/>
    <mergeCell ref="A105:A109"/>
    <mergeCell ref="A110:A122"/>
    <mergeCell ref="A165:A176"/>
    <mergeCell ref="A177:A182"/>
    <mergeCell ref="J11:J12"/>
    <mergeCell ref="K11:K12"/>
    <mergeCell ref="J3:J4"/>
    <mergeCell ref="K3:K4"/>
    <mergeCell ref="L3:L4"/>
    <mergeCell ref="M3:M50"/>
    <mergeCell ref="N3:N50"/>
    <mergeCell ref="L11:L12"/>
    <mergeCell ref="J15:J16"/>
    <mergeCell ref="K15:K16"/>
    <mergeCell ref="L15:L16"/>
    <mergeCell ref="J19:J20"/>
    <mergeCell ref="K19:K20"/>
    <mergeCell ref="L19:L20"/>
    <mergeCell ref="J23:J24"/>
    <mergeCell ref="K23:K24"/>
    <mergeCell ref="L23:L24"/>
    <mergeCell ref="J27:J28"/>
    <mergeCell ref="J31:J32"/>
    <mergeCell ref="K31:K32"/>
    <mergeCell ref="L31:L32"/>
    <mergeCell ref="K39:K40"/>
    <mergeCell ref="L39:L40"/>
    <mergeCell ref="P15:P16"/>
    <mergeCell ref="J17:J18"/>
    <mergeCell ref="K17:K18"/>
    <mergeCell ref="L17:L18"/>
    <mergeCell ref="P17:P18"/>
    <mergeCell ref="P11:P12"/>
    <mergeCell ref="J13:J14"/>
    <mergeCell ref="K13:K14"/>
    <mergeCell ref="L13:L14"/>
    <mergeCell ref="P13:P14"/>
    <mergeCell ref="O3:O50"/>
    <mergeCell ref="P3:P4"/>
    <mergeCell ref="J5:J6"/>
    <mergeCell ref="K5:K6"/>
    <mergeCell ref="L5:L6"/>
    <mergeCell ref="P5:P6"/>
    <mergeCell ref="J7:J8"/>
    <mergeCell ref="K7:K8"/>
    <mergeCell ref="L7:L8"/>
    <mergeCell ref="P7:P8"/>
    <mergeCell ref="J9:J10"/>
    <mergeCell ref="K9:K10"/>
    <mergeCell ref="L9:L10"/>
    <mergeCell ref="P9:P10"/>
    <mergeCell ref="P23:P24"/>
    <mergeCell ref="J25:J26"/>
    <mergeCell ref="K25:K26"/>
    <mergeCell ref="L25:L26"/>
    <mergeCell ref="P25:P26"/>
    <mergeCell ref="P19:P20"/>
    <mergeCell ref="J21:J22"/>
    <mergeCell ref="K21:K22"/>
    <mergeCell ref="L21:L22"/>
    <mergeCell ref="P21:P22"/>
    <mergeCell ref="P31:P32"/>
    <mergeCell ref="J33:J34"/>
    <mergeCell ref="K33:K34"/>
    <mergeCell ref="L33:L34"/>
    <mergeCell ref="P33:P34"/>
    <mergeCell ref="K27:K28"/>
    <mergeCell ref="L27:L28"/>
    <mergeCell ref="P27:P28"/>
    <mergeCell ref="J29:J30"/>
    <mergeCell ref="K29:K30"/>
    <mergeCell ref="L29:L30"/>
    <mergeCell ref="P29:P30"/>
    <mergeCell ref="P39:P40"/>
    <mergeCell ref="J41:J42"/>
    <mergeCell ref="K41:K42"/>
    <mergeCell ref="L41:L42"/>
    <mergeCell ref="P41:P42"/>
    <mergeCell ref="J35:J36"/>
    <mergeCell ref="K35:K36"/>
    <mergeCell ref="L35:L36"/>
    <mergeCell ref="P35:P36"/>
    <mergeCell ref="J37:J38"/>
    <mergeCell ref="K37:K38"/>
    <mergeCell ref="L37:L38"/>
    <mergeCell ref="P37:P38"/>
    <mergeCell ref="S3:S85"/>
    <mergeCell ref="V3:V85"/>
    <mergeCell ref="W3:W85"/>
    <mergeCell ref="X3:X85"/>
    <mergeCell ref="A1:G1"/>
    <mergeCell ref="J1:P1"/>
    <mergeCell ref="S1:Y1"/>
    <mergeCell ref="J47:J48"/>
    <mergeCell ref="K47:K48"/>
    <mergeCell ref="L47:L48"/>
    <mergeCell ref="P47:P48"/>
    <mergeCell ref="J49:J50"/>
    <mergeCell ref="K49:K50"/>
    <mergeCell ref="L49:L50"/>
    <mergeCell ref="P49:P50"/>
    <mergeCell ref="J43:J44"/>
    <mergeCell ref="K43:K44"/>
    <mergeCell ref="L43:L44"/>
    <mergeCell ref="P43:P44"/>
    <mergeCell ref="J45:J46"/>
    <mergeCell ref="K45:K46"/>
    <mergeCell ref="L45:L46"/>
    <mergeCell ref="P45:P46"/>
    <mergeCell ref="J39:J40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33"/>
  <sheetViews>
    <sheetView rightToLeft="1" workbookViewId="0">
      <selection activeCell="C28" sqref="C28"/>
    </sheetView>
  </sheetViews>
  <sheetFormatPr defaultRowHeight="15"/>
  <cols>
    <col min="2" max="2" width="17.42578125" customWidth="1"/>
    <col min="3" max="3" width="12.28515625" customWidth="1"/>
    <col min="4" max="4" width="20.42578125" customWidth="1"/>
    <col min="5" max="5" width="21.7109375" customWidth="1"/>
    <col min="6" max="6" width="24.42578125" customWidth="1"/>
    <col min="7" max="7" width="22.140625" customWidth="1"/>
    <col min="8" max="8" width="27.5703125" bestFit="1" customWidth="1"/>
    <col min="9" max="9" width="14.42578125" bestFit="1" customWidth="1"/>
  </cols>
  <sheetData>
    <row r="1" spans="1:9" s="12" customFormat="1" ht="15.75">
      <c r="A1" s="1" t="s">
        <v>0</v>
      </c>
      <c r="B1" s="1" t="s">
        <v>2</v>
      </c>
      <c r="C1" s="2" t="s">
        <v>6</v>
      </c>
      <c r="D1" s="1" t="s">
        <v>7</v>
      </c>
      <c r="E1" s="37" t="s">
        <v>8</v>
      </c>
      <c r="F1" s="3" t="s">
        <v>196</v>
      </c>
      <c r="G1" s="1" t="s">
        <v>9161</v>
      </c>
      <c r="H1" s="1" t="s">
        <v>4406</v>
      </c>
    </row>
    <row r="2" spans="1:9" s="27" customFormat="1" ht="19.5">
      <c r="A2" s="215">
        <v>1</v>
      </c>
      <c r="B2" s="216" t="s">
        <v>1595</v>
      </c>
      <c r="C2" s="228" t="s">
        <v>9142</v>
      </c>
      <c r="D2" s="16" t="s">
        <v>28</v>
      </c>
      <c r="E2" s="227" t="s">
        <v>2286</v>
      </c>
      <c r="F2" s="229" t="s">
        <v>1994</v>
      </c>
      <c r="G2" s="230">
        <v>155606060.60609999</v>
      </c>
      <c r="H2" s="158"/>
    </row>
    <row r="3" spans="1:9" s="27" customFormat="1" ht="15.75" customHeight="1">
      <c r="A3" s="215">
        <v>2</v>
      </c>
      <c r="B3" s="216" t="s">
        <v>1604</v>
      </c>
      <c r="C3" s="231" t="s">
        <v>9143</v>
      </c>
      <c r="D3" s="16" t="s">
        <v>28</v>
      </c>
      <c r="E3" s="227" t="s">
        <v>2286</v>
      </c>
      <c r="F3" s="232" t="s">
        <v>197</v>
      </c>
      <c r="G3" s="230">
        <v>50440000</v>
      </c>
      <c r="H3" s="158"/>
    </row>
    <row r="4" spans="1:9" s="27" customFormat="1" ht="15.75" customHeight="1">
      <c r="A4" s="215">
        <v>3</v>
      </c>
      <c r="B4" s="216" t="s">
        <v>1592</v>
      </c>
      <c r="C4" s="231" t="s">
        <v>9144</v>
      </c>
      <c r="D4" s="16" t="s">
        <v>28</v>
      </c>
      <c r="E4" s="16" t="s">
        <v>29</v>
      </c>
      <c r="F4" s="232" t="s">
        <v>197</v>
      </c>
      <c r="G4" s="230">
        <v>50440000</v>
      </c>
      <c r="H4" s="158"/>
    </row>
    <row r="5" spans="1:9" s="27" customFormat="1" ht="15.75" customHeight="1">
      <c r="A5" s="215">
        <v>4</v>
      </c>
      <c r="B5" s="216" t="s">
        <v>2555</v>
      </c>
      <c r="C5" s="231" t="s">
        <v>2556</v>
      </c>
      <c r="D5" s="16" t="s">
        <v>28</v>
      </c>
      <c r="E5" s="16" t="s">
        <v>29</v>
      </c>
      <c r="F5" s="232" t="s">
        <v>204</v>
      </c>
      <c r="G5" s="230">
        <v>36400000</v>
      </c>
      <c r="H5" s="158"/>
    </row>
    <row r="6" spans="1:9" s="12" customFormat="1" ht="15.75" customHeight="1">
      <c r="A6" s="215">
        <v>5</v>
      </c>
      <c r="B6" s="216" t="s">
        <v>933</v>
      </c>
      <c r="C6" s="233" t="s">
        <v>3330</v>
      </c>
      <c r="D6" s="16" t="s">
        <v>28</v>
      </c>
      <c r="E6" s="227" t="s">
        <v>2286</v>
      </c>
      <c r="F6" s="234" t="s">
        <v>203</v>
      </c>
      <c r="G6" s="230">
        <v>56550000</v>
      </c>
      <c r="H6" s="20"/>
    </row>
    <row r="7" spans="1:9" s="27" customFormat="1" ht="19.5" customHeight="1">
      <c r="A7" s="215">
        <v>6</v>
      </c>
      <c r="B7" s="216" t="s">
        <v>423</v>
      </c>
      <c r="C7" s="235" t="s">
        <v>1675</v>
      </c>
      <c r="D7" s="17" t="s">
        <v>28</v>
      </c>
      <c r="E7" s="210" t="s">
        <v>9160</v>
      </c>
      <c r="F7" s="234" t="s">
        <v>1671</v>
      </c>
      <c r="G7" s="230">
        <v>195000000</v>
      </c>
      <c r="H7" s="158"/>
    </row>
    <row r="8" spans="1:9" s="27" customFormat="1" ht="19.5" customHeight="1">
      <c r="A8" s="215">
        <v>7</v>
      </c>
      <c r="B8" s="216" t="s">
        <v>423</v>
      </c>
      <c r="C8" s="236" t="s">
        <v>1676</v>
      </c>
      <c r="D8" s="17" t="s">
        <v>28</v>
      </c>
      <c r="E8" s="210" t="s">
        <v>9160</v>
      </c>
      <c r="F8" s="234" t="s">
        <v>1677</v>
      </c>
      <c r="G8" s="253">
        <v>82333333.333299994</v>
      </c>
      <c r="H8" s="158"/>
    </row>
    <row r="9" spans="1:9" ht="21" customHeight="1">
      <c r="A9" s="215">
        <v>8</v>
      </c>
      <c r="B9" s="249" t="s">
        <v>25</v>
      </c>
      <c r="C9" s="237" t="s">
        <v>27</v>
      </c>
      <c r="D9" s="17" t="s">
        <v>28</v>
      </c>
      <c r="E9" s="17" t="s">
        <v>29</v>
      </c>
      <c r="F9" s="238" t="s">
        <v>198</v>
      </c>
      <c r="G9" s="230">
        <v>44200000</v>
      </c>
      <c r="H9" s="254" t="s">
        <v>9147</v>
      </c>
      <c r="I9" t="s">
        <v>9256</v>
      </c>
    </row>
    <row r="10" spans="1:9" s="12" customFormat="1" ht="16.5" customHeight="1">
      <c r="A10" s="215">
        <v>9</v>
      </c>
      <c r="B10" s="250" t="s">
        <v>94</v>
      </c>
      <c r="C10" s="239" t="s">
        <v>96</v>
      </c>
      <c r="D10" s="17" t="s">
        <v>28</v>
      </c>
      <c r="E10" s="17" t="s">
        <v>29</v>
      </c>
      <c r="F10" s="238" t="s">
        <v>197</v>
      </c>
      <c r="G10" s="230">
        <v>50440000</v>
      </c>
      <c r="H10" s="254" t="s">
        <v>9146</v>
      </c>
      <c r="I10" t="s">
        <v>9257</v>
      </c>
    </row>
    <row r="11" spans="1:9" s="27" customFormat="1" ht="15" customHeight="1">
      <c r="A11" s="215">
        <v>10</v>
      </c>
      <c r="B11" s="250" t="s">
        <v>26</v>
      </c>
      <c r="C11" s="240" t="s">
        <v>139</v>
      </c>
      <c r="D11" s="17" t="s">
        <v>28</v>
      </c>
      <c r="E11" s="16" t="s">
        <v>29</v>
      </c>
      <c r="F11" s="232" t="s">
        <v>203</v>
      </c>
      <c r="G11" s="230">
        <v>65000000</v>
      </c>
      <c r="H11" s="158"/>
    </row>
    <row r="12" spans="1:9" s="27" customFormat="1" ht="15.75" customHeight="1">
      <c r="A12" s="215">
        <v>11</v>
      </c>
      <c r="B12" s="216" t="s">
        <v>2592</v>
      </c>
      <c r="C12" s="228" t="s">
        <v>2596</v>
      </c>
      <c r="D12" s="16" t="s">
        <v>28</v>
      </c>
      <c r="E12" s="210" t="s">
        <v>9160</v>
      </c>
      <c r="F12" s="232" t="s">
        <v>203</v>
      </c>
      <c r="G12" s="230">
        <v>65000000</v>
      </c>
      <c r="H12" s="158"/>
    </row>
    <row r="13" spans="1:9" s="27" customFormat="1" ht="15.75" customHeight="1">
      <c r="A13" s="215">
        <v>12</v>
      </c>
      <c r="B13" s="216" t="s">
        <v>1609</v>
      </c>
      <c r="C13" s="231" t="s">
        <v>2328</v>
      </c>
      <c r="D13" s="16" t="s">
        <v>28</v>
      </c>
      <c r="E13" s="210" t="s">
        <v>9160</v>
      </c>
      <c r="F13" s="232" t="s">
        <v>203</v>
      </c>
      <c r="G13" s="230">
        <v>65000000</v>
      </c>
      <c r="H13" s="158"/>
    </row>
    <row r="14" spans="1:9" s="27" customFormat="1" ht="15.75" customHeight="1">
      <c r="A14" s="215">
        <v>13</v>
      </c>
      <c r="B14" s="216" t="s">
        <v>2969</v>
      </c>
      <c r="C14" s="235" t="s">
        <v>9148</v>
      </c>
      <c r="D14" s="16" t="s">
        <v>28</v>
      </c>
      <c r="E14" s="16" t="s">
        <v>29</v>
      </c>
      <c r="F14" s="234" t="s">
        <v>197</v>
      </c>
      <c r="G14" s="230">
        <v>50440000</v>
      </c>
      <c r="H14" s="254" t="s">
        <v>9146</v>
      </c>
      <c r="I14" t="s">
        <v>9257</v>
      </c>
    </row>
    <row r="15" spans="1:9" s="83" customFormat="1" ht="15.75" customHeight="1">
      <c r="A15" s="215">
        <v>14</v>
      </c>
      <c r="B15" s="216" t="s">
        <v>3001</v>
      </c>
      <c r="C15" s="241" t="s">
        <v>3003</v>
      </c>
      <c r="D15" s="17" t="s">
        <v>28</v>
      </c>
      <c r="E15" s="242" t="s">
        <v>260</v>
      </c>
      <c r="F15" s="243" t="s">
        <v>204</v>
      </c>
      <c r="G15" s="230">
        <v>44200000</v>
      </c>
      <c r="H15" s="254" t="s">
        <v>9149</v>
      </c>
      <c r="I15" t="s">
        <v>9258</v>
      </c>
    </row>
    <row r="16" spans="1:9" s="12" customFormat="1" ht="15.75" customHeight="1">
      <c r="A16" s="215">
        <v>15</v>
      </c>
      <c r="B16" s="216" t="s">
        <v>3467</v>
      </c>
      <c r="C16" s="244" t="s">
        <v>3469</v>
      </c>
      <c r="D16" s="17" t="s">
        <v>28</v>
      </c>
      <c r="E16" s="210" t="s">
        <v>9160</v>
      </c>
      <c r="F16" s="245" t="s">
        <v>197</v>
      </c>
      <c r="G16" s="230">
        <v>50440000</v>
      </c>
      <c r="H16" s="20"/>
    </row>
    <row r="17" spans="1:9" s="27" customFormat="1" ht="15.75" customHeight="1">
      <c r="A17" s="215">
        <v>16</v>
      </c>
      <c r="B17" s="216" t="s">
        <v>3742</v>
      </c>
      <c r="C17" s="233" t="s">
        <v>4765</v>
      </c>
      <c r="D17" s="158" t="s">
        <v>28</v>
      </c>
      <c r="E17" s="158" t="s">
        <v>260</v>
      </c>
      <c r="F17" s="245" t="s">
        <v>204</v>
      </c>
      <c r="G17" s="230">
        <v>36400000</v>
      </c>
      <c r="H17" s="158"/>
    </row>
    <row r="18" spans="1:9" s="83" customFormat="1" ht="15.75" customHeight="1">
      <c r="A18" s="215">
        <v>17</v>
      </c>
      <c r="B18" s="216" t="s">
        <v>2970</v>
      </c>
      <c r="C18" s="244" t="s">
        <v>9150</v>
      </c>
      <c r="D18" s="159" t="s">
        <v>28</v>
      </c>
      <c r="E18" s="159" t="s">
        <v>260</v>
      </c>
      <c r="F18" s="245" t="s">
        <v>204</v>
      </c>
      <c r="G18" s="230">
        <v>36400000</v>
      </c>
      <c r="H18" s="159"/>
    </row>
    <row r="19" spans="1:9" s="102" customFormat="1" ht="15.75" customHeight="1">
      <c r="A19" s="215">
        <v>18</v>
      </c>
      <c r="B19" s="216" t="s">
        <v>235</v>
      </c>
      <c r="C19" s="241" t="s">
        <v>3125</v>
      </c>
      <c r="D19" s="16" t="s">
        <v>28</v>
      </c>
      <c r="E19" s="159" t="s">
        <v>260</v>
      </c>
      <c r="F19" s="243" t="s">
        <v>204</v>
      </c>
      <c r="G19" s="230">
        <v>36400000</v>
      </c>
      <c r="H19" s="242"/>
    </row>
    <row r="20" spans="1:9" s="27" customFormat="1" ht="15.75" customHeight="1">
      <c r="A20" s="215">
        <v>19</v>
      </c>
      <c r="B20" s="216" t="s">
        <v>334</v>
      </c>
      <c r="C20" s="231" t="s">
        <v>9151</v>
      </c>
      <c r="D20" s="16" t="s">
        <v>28</v>
      </c>
      <c r="E20" s="159" t="s">
        <v>260</v>
      </c>
      <c r="F20" s="232" t="s">
        <v>197</v>
      </c>
      <c r="G20" s="230">
        <v>39442000</v>
      </c>
      <c r="H20" s="254" t="s">
        <v>9152</v>
      </c>
      <c r="I20" t="s">
        <v>9259</v>
      </c>
    </row>
    <row r="21" spans="1:9" s="12" customFormat="1" ht="15.75" customHeight="1">
      <c r="A21" s="215">
        <v>20</v>
      </c>
      <c r="B21" s="251" t="s">
        <v>234</v>
      </c>
      <c r="C21" s="246" t="s">
        <v>236</v>
      </c>
      <c r="D21" s="16" t="s">
        <v>28</v>
      </c>
      <c r="E21" s="159" t="s">
        <v>260</v>
      </c>
      <c r="F21" s="232" t="s">
        <v>204</v>
      </c>
      <c r="G21" s="230">
        <v>36400000</v>
      </c>
      <c r="H21" s="227"/>
    </row>
    <row r="22" spans="1:9" s="27" customFormat="1" ht="15.75" customHeight="1">
      <c r="A22" s="215">
        <v>21</v>
      </c>
      <c r="B22" s="216" t="s">
        <v>267</v>
      </c>
      <c r="C22" s="228" t="s">
        <v>269</v>
      </c>
      <c r="D22" s="17" t="s">
        <v>28</v>
      </c>
      <c r="E22" s="16" t="s">
        <v>270</v>
      </c>
      <c r="F22" s="232" t="s">
        <v>197</v>
      </c>
      <c r="G22" s="230">
        <v>50440000</v>
      </c>
      <c r="H22" s="227"/>
    </row>
    <row r="23" spans="1:9" s="27" customFormat="1" ht="16.5" customHeight="1">
      <c r="A23" s="215">
        <v>22</v>
      </c>
      <c r="B23" s="216" t="s">
        <v>376</v>
      </c>
      <c r="C23" s="228" t="s">
        <v>9153</v>
      </c>
      <c r="D23" s="17" t="s">
        <v>28</v>
      </c>
      <c r="E23" s="159" t="s">
        <v>260</v>
      </c>
      <c r="F23" s="232" t="s">
        <v>204</v>
      </c>
      <c r="G23" s="230">
        <v>36400000</v>
      </c>
      <c r="H23" s="227"/>
    </row>
    <row r="24" spans="1:9" s="27" customFormat="1" ht="15.75" customHeight="1">
      <c r="A24" s="215">
        <v>23</v>
      </c>
      <c r="B24" s="216" t="s">
        <v>1530</v>
      </c>
      <c r="C24" s="228" t="s">
        <v>9154</v>
      </c>
      <c r="D24" s="16" t="s">
        <v>28</v>
      </c>
      <c r="E24" s="159" t="s">
        <v>260</v>
      </c>
      <c r="F24" s="232" t="s">
        <v>204</v>
      </c>
      <c r="G24" s="230">
        <v>36400000</v>
      </c>
      <c r="H24" s="227"/>
    </row>
    <row r="25" spans="1:9" s="12" customFormat="1" ht="15.75" customHeight="1">
      <c r="A25" s="215">
        <v>24</v>
      </c>
      <c r="B25" s="216" t="s">
        <v>2449</v>
      </c>
      <c r="C25" s="231" t="s">
        <v>9155</v>
      </c>
      <c r="D25" s="16" t="s">
        <v>28</v>
      </c>
      <c r="E25" s="159" t="s">
        <v>260</v>
      </c>
      <c r="F25" s="232" t="s">
        <v>197</v>
      </c>
      <c r="G25" s="230">
        <v>50440000</v>
      </c>
      <c r="H25" s="254" t="s">
        <v>9146</v>
      </c>
      <c r="I25" t="s">
        <v>9257</v>
      </c>
    </row>
    <row r="26" spans="1:9" s="27" customFormat="1" ht="15.75" customHeight="1">
      <c r="A26" s="215">
        <v>25</v>
      </c>
      <c r="B26" s="216" t="s">
        <v>2476</v>
      </c>
      <c r="C26" s="231" t="s">
        <v>2478</v>
      </c>
      <c r="D26" s="16" t="s">
        <v>28</v>
      </c>
      <c r="E26" s="210" t="s">
        <v>9160</v>
      </c>
      <c r="F26" s="232" t="s">
        <v>1996</v>
      </c>
      <c r="G26" s="230">
        <v>78000000</v>
      </c>
      <c r="H26" s="227"/>
    </row>
    <row r="27" spans="1:9" s="83" customFormat="1" ht="15.75" customHeight="1">
      <c r="A27" s="215">
        <v>26</v>
      </c>
      <c r="B27" s="216" t="s">
        <v>3164</v>
      </c>
      <c r="C27" s="244" t="s">
        <v>9156</v>
      </c>
      <c r="D27" s="16" t="s">
        <v>28</v>
      </c>
      <c r="E27" s="210" t="s">
        <v>9160</v>
      </c>
      <c r="F27" s="247" t="s">
        <v>203</v>
      </c>
      <c r="G27" s="230">
        <v>56550000</v>
      </c>
      <c r="H27" s="254" t="s">
        <v>9146</v>
      </c>
      <c r="I27" t="s">
        <v>9257</v>
      </c>
    </row>
    <row r="28" spans="1:9" s="27" customFormat="1" ht="15.75" customHeight="1">
      <c r="A28" s="215">
        <v>27</v>
      </c>
      <c r="B28" s="252" t="s">
        <v>3191</v>
      </c>
      <c r="C28" s="235" t="s">
        <v>9157</v>
      </c>
      <c r="D28" s="16" t="s">
        <v>28</v>
      </c>
      <c r="E28" s="16" t="s">
        <v>29</v>
      </c>
      <c r="F28" s="234" t="s">
        <v>204</v>
      </c>
      <c r="G28" s="230">
        <v>36400000</v>
      </c>
      <c r="H28" s="227"/>
    </row>
    <row r="29" spans="1:9" s="83" customFormat="1" ht="15.75" customHeight="1">
      <c r="A29" s="215">
        <v>28</v>
      </c>
      <c r="B29" s="216" t="s">
        <v>3212</v>
      </c>
      <c r="C29" s="248" t="s">
        <v>9158</v>
      </c>
      <c r="D29" s="16" t="s">
        <v>28</v>
      </c>
      <c r="E29" s="210" t="s">
        <v>9160</v>
      </c>
      <c r="F29" s="245" t="s">
        <v>203</v>
      </c>
      <c r="G29" s="230">
        <v>56550000</v>
      </c>
      <c r="H29" s="227"/>
    </row>
    <row r="30" spans="1:9" s="27" customFormat="1" ht="19.5" customHeight="1">
      <c r="A30" s="215">
        <v>29</v>
      </c>
      <c r="B30" s="216" t="s">
        <v>3705</v>
      </c>
      <c r="C30" s="233" t="s">
        <v>9159</v>
      </c>
      <c r="D30" s="158" t="s">
        <v>28</v>
      </c>
      <c r="E30" s="16" t="s">
        <v>29</v>
      </c>
      <c r="F30" s="234" t="s">
        <v>203</v>
      </c>
      <c r="G30" s="230">
        <v>56550000</v>
      </c>
      <c r="H30" s="227"/>
    </row>
    <row r="31" spans="1:9" s="83" customFormat="1" ht="15.75" customHeight="1">
      <c r="A31" s="215">
        <v>30</v>
      </c>
      <c r="B31" s="216" t="s">
        <v>3873</v>
      </c>
      <c r="C31" s="244" t="s">
        <v>4995</v>
      </c>
      <c r="D31" s="159" t="s">
        <v>28</v>
      </c>
      <c r="E31" s="210" t="s">
        <v>9160</v>
      </c>
      <c r="F31" s="245" t="s">
        <v>204</v>
      </c>
      <c r="G31" s="230">
        <v>36400000</v>
      </c>
      <c r="H31" s="227"/>
    </row>
    <row r="32" spans="1:9" s="27" customFormat="1" ht="15.75" customHeight="1">
      <c r="A32" s="215">
        <v>31</v>
      </c>
      <c r="B32" s="216" t="s">
        <v>3018</v>
      </c>
      <c r="C32" s="233" t="s">
        <v>3020</v>
      </c>
      <c r="D32" s="16" t="s">
        <v>28</v>
      </c>
      <c r="E32" s="210" t="s">
        <v>9160</v>
      </c>
      <c r="F32" s="234" t="s">
        <v>3083</v>
      </c>
      <c r="G32" s="230">
        <v>56550000</v>
      </c>
      <c r="H32" s="227"/>
    </row>
    <row r="33" spans="5:7" ht="19.5">
      <c r="E33" s="286" t="s">
        <v>9166</v>
      </c>
      <c r="F33" s="286" t="s">
        <v>9167</v>
      </c>
      <c r="G33" s="255">
        <f>SUM(G2:G32)</f>
        <v>1797211393.9394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rightToLeft="1" workbookViewId="0">
      <selection activeCell="C19" sqref="C19"/>
    </sheetView>
  </sheetViews>
  <sheetFormatPr defaultRowHeight="15"/>
  <cols>
    <col min="2" max="2" width="34.42578125" customWidth="1"/>
    <col min="3" max="3" width="17" customWidth="1"/>
    <col min="4" max="4" width="18.140625" customWidth="1"/>
  </cols>
  <sheetData>
    <row r="1" spans="1:4" ht="19.5">
      <c r="A1" s="438" t="s">
        <v>0</v>
      </c>
      <c r="B1" s="438" t="s">
        <v>11554</v>
      </c>
      <c r="C1" s="438" t="s">
        <v>11555</v>
      </c>
      <c r="D1" s="438" t="s">
        <v>11556</v>
      </c>
    </row>
    <row r="2" spans="1:4" ht="19.5">
      <c r="A2" s="216">
        <v>1</v>
      </c>
      <c r="B2" s="216" t="s">
        <v>202</v>
      </c>
      <c r="C2" s="294"/>
      <c r="D2" s="294"/>
    </row>
    <row r="3" spans="1:4" ht="19.5">
      <c r="A3" s="216">
        <v>2</v>
      </c>
      <c r="B3" s="216" t="s">
        <v>980</v>
      </c>
      <c r="C3" s="294"/>
      <c r="D3" s="294"/>
    </row>
    <row r="4" spans="1:4" ht="19.5">
      <c r="A4" s="216">
        <v>3</v>
      </c>
      <c r="B4" s="216" t="s">
        <v>11557</v>
      </c>
      <c r="C4" s="294"/>
      <c r="D4" s="294"/>
    </row>
    <row r="5" spans="1:4" ht="19.5">
      <c r="A5" s="216">
        <v>4</v>
      </c>
      <c r="B5" s="216" t="s">
        <v>962</v>
      </c>
      <c r="C5" s="294"/>
      <c r="D5" s="294"/>
    </row>
    <row r="6" spans="1:4" ht="19.5">
      <c r="A6" s="216">
        <v>5</v>
      </c>
      <c r="B6" s="216" t="s">
        <v>985</v>
      </c>
      <c r="C6" s="294"/>
      <c r="D6" s="294"/>
    </row>
    <row r="7" spans="1:4" ht="19.5">
      <c r="A7" s="216">
        <v>6</v>
      </c>
      <c r="B7" s="216" t="s">
        <v>11562</v>
      </c>
      <c r="C7" s="439"/>
      <c r="D7" s="439"/>
    </row>
    <row r="8" spans="1:4" ht="19.5">
      <c r="A8" s="216">
        <v>7</v>
      </c>
      <c r="B8" s="216" t="s">
        <v>11563</v>
      </c>
      <c r="C8" s="439"/>
      <c r="D8" s="507"/>
    </row>
    <row r="9" spans="1:4" ht="19.5">
      <c r="A9" s="216">
        <v>8</v>
      </c>
      <c r="B9" s="216" t="s">
        <v>11564</v>
      </c>
      <c r="C9" s="439"/>
      <c r="D9" s="294"/>
    </row>
    <row r="10" spans="1:4" ht="19.5">
      <c r="A10" s="216">
        <v>9</v>
      </c>
      <c r="B10" s="216" t="s">
        <v>11576</v>
      </c>
      <c r="C10" s="294"/>
      <c r="D10" s="294"/>
    </row>
    <row r="11" spans="1:4" ht="19.5">
      <c r="A11" s="216"/>
      <c r="B11" s="216" t="s">
        <v>11558</v>
      </c>
      <c r="C11" s="440"/>
      <c r="D11" s="294"/>
    </row>
    <row r="12" spans="1:4" ht="19.5">
      <c r="A12" s="216">
        <v>10</v>
      </c>
      <c r="B12" s="216" t="s">
        <v>11559</v>
      </c>
      <c r="C12" s="440"/>
      <c r="D12" s="294"/>
    </row>
    <row r="13" spans="1:4" ht="19.5">
      <c r="A13" s="216">
        <v>11</v>
      </c>
      <c r="B13" s="216" t="s">
        <v>65</v>
      </c>
      <c r="C13" s="294"/>
      <c r="D13" s="294"/>
    </row>
    <row r="14" spans="1:4" ht="19.5">
      <c r="A14" s="216">
        <v>12</v>
      </c>
      <c r="B14" s="216" t="s">
        <v>1390</v>
      </c>
      <c r="C14" s="294"/>
      <c r="D14" s="294"/>
    </row>
    <row r="15" spans="1:4" ht="19.5">
      <c r="A15" s="216">
        <v>13</v>
      </c>
      <c r="B15" s="216" t="s">
        <v>5200</v>
      </c>
      <c r="C15" s="294"/>
      <c r="D15" s="294"/>
    </row>
    <row r="16" spans="1:4" ht="19.5">
      <c r="A16" s="216">
        <v>14</v>
      </c>
      <c r="B16" s="216" t="s">
        <v>11565</v>
      </c>
      <c r="C16" s="294"/>
      <c r="D16" s="294"/>
    </row>
    <row r="17" spans="1:4" ht="19.5">
      <c r="A17" s="216">
        <v>15</v>
      </c>
      <c r="B17" s="216" t="s">
        <v>11571</v>
      </c>
      <c r="C17" s="294"/>
      <c r="D17" s="294"/>
    </row>
    <row r="18" spans="1:4" ht="19.5">
      <c r="A18" s="216">
        <v>16</v>
      </c>
      <c r="B18" s="216" t="s">
        <v>11560</v>
      </c>
      <c r="C18" s="294"/>
      <c r="D18" s="294"/>
    </row>
    <row r="19" spans="1:4" ht="19.5">
      <c r="A19" s="216">
        <v>17</v>
      </c>
      <c r="B19" s="216" t="s">
        <v>788</v>
      </c>
      <c r="C19" s="294"/>
      <c r="D19" s="294"/>
    </row>
    <row r="20" spans="1:4" ht="19.5">
      <c r="A20" s="216">
        <v>18</v>
      </c>
      <c r="B20" s="216" t="s">
        <v>11569</v>
      </c>
      <c r="C20" s="294"/>
      <c r="D20" s="294"/>
    </row>
    <row r="21" spans="1:4" ht="19.5">
      <c r="A21" s="216">
        <v>19</v>
      </c>
      <c r="B21" s="216" t="s">
        <v>11568</v>
      </c>
      <c r="C21" s="294"/>
      <c r="D21" s="294"/>
    </row>
    <row r="22" spans="1:4" ht="19.5">
      <c r="A22" s="216">
        <v>20</v>
      </c>
      <c r="B22" s="216" t="s">
        <v>11567</v>
      </c>
      <c r="C22" s="294"/>
      <c r="D22" s="294"/>
    </row>
    <row r="23" spans="1:4" ht="19.5">
      <c r="A23" s="216">
        <v>21</v>
      </c>
      <c r="B23" s="216" t="s">
        <v>1138</v>
      </c>
      <c r="C23" s="294"/>
      <c r="D23" s="294"/>
    </row>
    <row r="24" spans="1:4" ht="19.5">
      <c r="A24" s="216">
        <v>22</v>
      </c>
      <c r="B24" s="216" t="s">
        <v>4610</v>
      </c>
      <c r="C24" s="294"/>
      <c r="D24" s="294"/>
    </row>
    <row r="25" spans="1:4" ht="19.5">
      <c r="A25" s="216">
        <v>23</v>
      </c>
      <c r="B25" s="216" t="s">
        <v>11561</v>
      </c>
      <c r="C25" s="294"/>
      <c r="D25" s="294"/>
    </row>
    <row r="26" spans="1:4" ht="19.5">
      <c r="A26" s="216">
        <v>24</v>
      </c>
      <c r="B26" s="216" t="s">
        <v>11570</v>
      </c>
      <c r="C26" s="294"/>
      <c r="D26" s="294"/>
    </row>
    <row r="27" spans="1:4" ht="19.5">
      <c r="A27" s="216">
        <v>25</v>
      </c>
      <c r="B27" s="216" t="s">
        <v>11566</v>
      </c>
      <c r="C27" s="294"/>
      <c r="D27" s="294"/>
    </row>
    <row r="28" spans="1:4" ht="19.5">
      <c r="A28" s="216">
        <v>26</v>
      </c>
      <c r="B28" s="216" t="s">
        <v>4560</v>
      </c>
      <c r="C28" s="440"/>
      <c r="D28" s="440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5"/>
  <sheetViews>
    <sheetView rightToLeft="1" workbookViewId="0">
      <selection activeCell="A457" sqref="A457"/>
    </sheetView>
  </sheetViews>
  <sheetFormatPr defaultRowHeight="15"/>
  <cols>
    <col min="2" max="2" width="18.5703125" customWidth="1"/>
    <col min="3" max="3" width="16.5703125" customWidth="1"/>
    <col min="4" max="4" width="49.85546875" customWidth="1"/>
    <col min="5" max="5" width="33.28515625" customWidth="1"/>
    <col min="6" max="6" width="62.42578125" customWidth="1"/>
    <col min="7" max="14" width="26" customWidth="1"/>
  </cols>
  <sheetData>
    <row r="1" spans="1:9" s="12" customFormat="1" ht="19.5">
      <c r="A1" s="34" t="s">
        <v>0</v>
      </c>
      <c r="B1" s="34" t="s">
        <v>5</v>
      </c>
      <c r="C1" s="34" t="s">
        <v>2</v>
      </c>
      <c r="D1" s="475" t="s">
        <v>88</v>
      </c>
      <c r="E1" s="34" t="s">
        <v>7</v>
      </c>
      <c r="F1" s="34" t="s">
        <v>22</v>
      </c>
      <c r="G1" s="36" t="s">
        <v>23</v>
      </c>
      <c r="H1" s="34" t="s">
        <v>24</v>
      </c>
      <c r="I1"/>
    </row>
    <row r="2" spans="1:9" s="12" customFormat="1" ht="15" customHeight="1">
      <c r="A2" s="453">
        <v>1</v>
      </c>
      <c r="B2" s="453" t="s">
        <v>1722</v>
      </c>
      <c r="C2" s="1460" t="s">
        <v>1595</v>
      </c>
      <c r="D2" s="472" t="s">
        <v>2014</v>
      </c>
      <c r="E2" s="13" t="s">
        <v>1514</v>
      </c>
      <c r="F2" s="13" t="s">
        <v>167</v>
      </c>
      <c r="G2" s="458" t="s">
        <v>202</v>
      </c>
      <c r="H2" s="456" t="s">
        <v>43</v>
      </c>
      <c r="I2"/>
    </row>
    <row r="3" spans="1:9" s="12" customFormat="1" ht="18">
      <c r="A3" s="13">
        <v>2</v>
      </c>
      <c r="B3" s="13" t="s">
        <v>1700</v>
      </c>
      <c r="C3" s="1717"/>
      <c r="D3" s="472" t="s">
        <v>2019</v>
      </c>
      <c r="E3" s="13" t="s">
        <v>335</v>
      </c>
      <c r="F3" s="13" t="s">
        <v>1504</v>
      </c>
      <c r="G3" s="458" t="s">
        <v>202</v>
      </c>
      <c r="H3" s="456" t="s">
        <v>43</v>
      </c>
      <c r="I3"/>
    </row>
    <row r="4" spans="1:9" s="12" customFormat="1" ht="18">
      <c r="A4" s="453">
        <v>3</v>
      </c>
      <c r="B4" s="13" t="s">
        <v>1700</v>
      </c>
      <c r="C4" s="1717"/>
      <c r="D4" s="472" t="s">
        <v>2028</v>
      </c>
      <c r="E4" s="13" t="s">
        <v>335</v>
      </c>
      <c r="F4" s="13" t="s">
        <v>1504</v>
      </c>
      <c r="G4" s="458" t="s">
        <v>202</v>
      </c>
      <c r="H4" s="456" t="s">
        <v>43</v>
      </c>
      <c r="I4" s="490" t="s">
        <v>11798</v>
      </c>
    </row>
    <row r="5" spans="1:9" s="12" customFormat="1" ht="18">
      <c r="A5" s="13">
        <v>4</v>
      </c>
      <c r="B5" s="453" t="s">
        <v>1722</v>
      </c>
      <c r="C5" s="1717"/>
      <c r="D5" s="472" t="s">
        <v>2061</v>
      </c>
      <c r="E5" s="13" t="s">
        <v>1514</v>
      </c>
      <c r="F5" s="13" t="s">
        <v>1726</v>
      </c>
      <c r="G5" s="458" t="s">
        <v>202</v>
      </c>
      <c r="H5" s="456" t="s">
        <v>43</v>
      </c>
      <c r="I5"/>
    </row>
    <row r="6" spans="1:9" s="12" customFormat="1" ht="18">
      <c r="A6" s="453">
        <v>5</v>
      </c>
      <c r="B6" s="13" t="s">
        <v>1737</v>
      </c>
      <c r="C6" s="1717"/>
      <c r="D6" s="472" t="s">
        <v>2071</v>
      </c>
      <c r="E6" s="13" t="s">
        <v>1514</v>
      </c>
      <c r="F6" s="13" t="s">
        <v>167</v>
      </c>
      <c r="G6" s="458" t="s">
        <v>202</v>
      </c>
      <c r="H6" s="456" t="s">
        <v>43</v>
      </c>
      <c r="I6"/>
    </row>
    <row r="7" spans="1:9" s="12" customFormat="1" ht="18">
      <c r="A7" s="13">
        <v>6</v>
      </c>
      <c r="B7" s="453" t="s">
        <v>1722</v>
      </c>
      <c r="C7" s="1717"/>
      <c r="D7" s="472" t="s">
        <v>2079</v>
      </c>
      <c r="E7" s="13" t="s">
        <v>1514</v>
      </c>
      <c r="F7" s="13" t="s">
        <v>167</v>
      </c>
      <c r="G7" s="458" t="s">
        <v>202</v>
      </c>
      <c r="H7" s="456" t="s">
        <v>43</v>
      </c>
      <c r="I7"/>
    </row>
    <row r="8" spans="1:9" s="12" customFormat="1" ht="18">
      <c r="A8" s="453">
        <v>7</v>
      </c>
      <c r="B8" s="13" t="s">
        <v>1700</v>
      </c>
      <c r="C8" s="1717"/>
      <c r="D8" s="472" t="s">
        <v>2086</v>
      </c>
      <c r="E8" s="13" t="s">
        <v>1514</v>
      </c>
      <c r="F8" s="13" t="s">
        <v>167</v>
      </c>
      <c r="G8" s="458" t="s">
        <v>202</v>
      </c>
      <c r="H8" s="456" t="s">
        <v>43</v>
      </c>
      <c r="I8"/>
    </row>
    <row r="9" spans="1:9" s="12" customFormat="1" ht="18">
      <c r="A9" s="13">
        <v>8</v>
      </c>
      <c r="B9" s="453" t="s">
        <v>1722</v>
      </c>
      <c r="C9" s="1717"/>
      <c r="D9" s="472" t="s">
        <v>2099</v>
      </c>
      <c r="E9" s="13" t="s">
        <v>1514</v>
      </c>
      <c r="F9" s="13" t="s">
        <v>167</v>
      </c>
      <c r="G9" s="458" t="s">
        <v>202</v>
      </c>
      <c r="H9" s="456" t="s">
        <v>43</v>
      </c>
      <c r="I9"/>
    </row>
    <row r="10" spans="1:9" s="12" customFormat="1" ht="18">
      <c r="A10" s="453">
        <v>9</v>
      </c>
      <c r="B10" s="13" t="s">
        <v>1722</v>
      </c>
      <c r="C10" s="1717"/>
      <c r="D10" s="472" t="s">
        <v>2129</v>
      </c>
      <c r="E10" s="13" t="s">
        <v>1514</v>
      </c>
      <c r="F10" s="13" t="s">
        <v>167</v>
      </c>
      <c r="G10" s="458" t="s">
        <v>202</v>
      </c>
      <c r="H10" s="13" t="s">
        <v>1084</v>
      </c>
      <c r="I10"/>
    </row>
    <row r="11" spans="1:9" s="12" customFormat="1" ht="18">
      <c r="A11" s="13">
        <v>10</v>
      </c>
      <c r="B11" s="453" t="s">
        <v>1722</v>
      </c>
      <c r="C11" s="1717"/>
      <c r="D11" s="472" t="s">
        <v>2144</v>
      </c>
      <c r="E11" s="13" t="s">
        <v>1514</v>
      </c>
      <c r="F11" s="13" t="s">
        <v>167</v>
      </c>
      <c r="G11" s="458" t="s">
        <v>202</v>
      </c>
      <c r="H11" s="456" t="s">
        <v>43</v>
      </c>
      <c r="I11"/>
    </row>
    <row r="12" spans="1:9" s="12" customFormat="1" ht="18">
      <c r="A12" s="453">
        <v>11</v>
      </c>
      <c r="B12" s="13" t="s">
        <v>1737</v>
      </c>
      <c r="C12" s="1717"/>
      <c r="D12" s="472" t="s">
        <v>2153</v>
      </c>
      <c r="E12" s="13" t="s">
        <v>335</v>
      </c>
      <c r="F12" s="13" t="s">
        <v>1504</v>
      </c>
      <c r="G12" s="458" t="s">
        <v>202</v>
      </c>
      <c r="H12" s="456" t="s">
        <v>43</v>
      </c>
      <c r="I12"/>
    </row>
    <row r="13" spans="1:9" s="12" customFormat="1" ht="18">
      <c r="A13" s="13">
        <v>12</v>
      </c>
      <c r="B13" s="13" t="s">
        <v>1722</v>
      </c>
      <c r="C13" s="1717"/>
      <c r="D13" s="474" t="s">
        <v>2164</v>
      </c>
      <c r="E13" s="13" t="s">
        <v>1514</v>
      </c>
      <c r="F13" s="13" t="s">
        <v>2125</v>
      </c>
      <c r="G13" s="458" t="s">
        <v>202</v>
      </c>
      <c r="H13" s="456" t="s">
        <v>43</v>
      </c>
      <c r="I13"/>
    </row>
    <row r="14" spans="1:9" s="12" customFormat="1" ht="18">
      <c r="A14" s="453">
        <v>13</v>
      </c>
      <c r="B14" s="13" t="s">
        <v>1737</v>
      </c>
      <c r="C14" s="1717"/>
      <c r="D14" s="474" t="s">
        <v>2172</v>
      </c>
      <c r="E14" s="13" t="s">
        <v>335</v>
      </c>
      <c r="F14" s="13" t="s">
        <v>1504</v>
      </c>
      <c r="G14" s="458" t="s">
        <v>202</v>
      </c>
      <c r="H14" s="456" t="s">
        <v>43</v>
      </c>
      <c r="I14"/>
    </row>
    <row r="15" spans="1:9" s="12" customFormat="1" ht="18">
      <c r="A15" s="13">
        <v>14</v>
      </c>
      <c r="B15" s="13" t="s">
        <v>1737</v>
      </c>
      <c r="C15" s="1717"/>
      <c r="D15" s="474" t="s">
        <v>2174</v>
      </c>
      <c r="E15" s="13" t="s">
        <v>335</v>
      </c>
      <c r="F15" s="13" t="s">
        <v>2179</v>
      </c>
      <c r="G15" s="458" t="s">
        <v>202</v>
      </c>
      <c r="H15" s="456" t="s">
        <v>43</v>
      </c>
      <c r="I15"/>
    </row>
    <row r="16" spans="1:9" s="12" customFormat="1" ht="18">
      <c r="A16" s="453">
        <v>15</v>
      </c>
      <c r="B16" s="13" t="s">
        <v>1737</v>
      </c>
      <c r="C16" s="1717"/>
      <c r="D16" s="474" t="s">
        <v>2180</v>
      </c>
      <c r="E16" s="13" t="s">
        <v>335</v>
      </c>
      <c r="F16" s="13" t="s">
        <v>1504</v>
      </c>
      <c r="G16" s="458" t="s">
        <v>202</v>
      </c>
      <c r="H16" s="456" t="s">
        <v>43</v>
      </c>
      <c r="I16"/>
    </row>
    <row r="17" spans="1:10" s="12" customFormat="1" ht="18">
      <c r="A17" s="13">
        <v>16</v>
      </c>
      <c r="B17" s="13" t="s">
        <v>1700</v>
      </c>
      <c r="C17" s="1461"/>
      <c r="D17" s="474" t="s">
        <v>2190</v>
      </c>
      <c r="E17" s="13" t="s">
        <v>335</v>
      </c>
      <c r="F17" s="13" t="s">
        <v>1504</v>
      </c>
      <c r="G17" s="458" t="s">
        <v>202</v>
      </c>
      <c r="H17" s="456" t="s">
        <v>43</v>
      </c>
      <c r="I17"/>
    </row>
    <row r="18" spans="1:10" s="27" customFormat="1" ht="18">
      <c r="A18" s="453">
        <v>17</v>
      </c>
      <c r="B18" s="1528" t="s">
        <v>1604</v>
      </c>
      <c r="C18" s="1422" t="s">
        <v>1604</v>
      </c>
      <c r="D18" s="469" t="s">
        <v>2305</v>
      </c>
      <c r="E18" s="442" t="s">
        <v>1659</v>
      </c>
      <c r="F18" s="442" t="s">
        <v>1504</v>
      </c>
      <c r="G18" s="458" t="s">
        <v>202</v>
      </c>
      <c r="H18" s="456" t="s">
        <v>43</v>
      </c>
    </row>
    <row r="19" spans="1:10" s="27" customFormat="1" ht="18">
      <c r="A19" s="13">
        <v>18</v>
      </c>
      <c r="B19" s="1528"/>
      <c r="C19" s="1508"/>
      <c r="D19" s="469" t="s">
        <v>2315</v>
      </c>
      <c r="E19" s="218" t="s">
        <v>7763</v>
      </c>
      <c r="F19" s="442" t="s">
        <v>167</v>
      </c>
      <c r="G19" s="458" t="s">
        <v>202</v>
      </c>
      <c r="H19" s="456" t="s">
        <v>43</v>
      </c>
    </row>
    <row r="20" spans="1:10" s="27" customFormat="1" ht="18">
      <c r="A20" s="453">
        <v>19</v>
      </c>
      <c r="B20" s="467" t="s">
        <v>1592</v>
      </c>
      <c r="C20" s="467" t="s">
        <v>1592</v>
      </c>
      <c r="D20" s="469" t="s">
        <v>1658</v>
      </c>
      <c r="E20" s="442" t="s">
        <v>9183</v>
      </c>
      <c r="F20" s="442" t="s">
        <v>1504</v>
      </c>
      <c r="G20" s="458" t="s">
        <v>202</v>
      </c>
      <c r="H20" s="456" t="s">
        <v>43</v>
      </c>
      <c r="I20"/>
      <c r="J20"/>
    </row>
    <row r="21" spans="1:10" s="27" customFormat="1" ht="18">
      <c r="A21" s="13">
        <v>20</v>
      </c>
      <c r="B21" s="467" t="s">
        <v>4623</v>
      </c>
      <c r="C21" s="467" t="s">
        <v>4623</v>
      </c>
      <c r="D21" s="469" t="s">
        <v>2582</v>
      </c>
      <c r="E21" s="442" t="s">
        <v>1659</v>
      </c>
      <c r="F21" s="442" t="s">
        <v>299</v>
      </c>
      <c r="G21" s="458" t="s">
        <v>202</v>
      </c>
      <c r="H21" s="456" t="s">
        <v>43</v>
      </c>
      <c r="I21"/>
    </row>
    <row r="22" spans="1:10" s="27" customFormat="1" ht="18">
      <c r="A22" s="13">
        <v>21</v>
      </c>
      <c r="B22" s="1819" t="s">
        <v>933</v>
      </c>
      <c r="C22" s="467" t="s">
        <v>3328</v>
      </c>
      <c r="D22" s="471" t="s">
        <v>3439</v>
      </c>
      <c r="E22" s="442" t="s">
        <v>1659</v>
      </c>
      <c r="F22" s="452" t="s">
        <v>1504</v>
      </c>
      <c r="G22" s="96" t="s">
        <v>202</v>
      </c>
      <c r="H22" s="460" t="s">
        <v>43</v>
      </c>
      <c r="I22"/>
    </row>
    <row r="23" spans="1:10" s="27" customFormat="1" ht="18">
      <c r="A23" s="13">
        <v>22</v>
      </c>
      <c r="B23" s="1819"/>
      <c r="C23" s="468" t="s">
        <v>3328</v>
      </c>
      <c r="D23" s="471" t="s">
        <v>3443</v>
      </c>
      <c r="E23" s="442" t="s">
        <v>1659</v>
      </c>
      <c r="F23" s="452" t="s">
        <v>1504</v>
      </c>
      <c r="G23" s="96" t="s">
        <v>202</v>
      </c>
      <c r="H23" s="460" t="s">
        <v>43</v>
      </c>
      <c r="I23"/>
    </row>
    <row r="24" spans="1:10" s="27" customFormat="1" ht="18">
      <c r="A24" s="13">
        <v>23</v>
      </c>
      <c r="B24" s="1819"/>
      <c r="C24" s="468" t="s">
        <v>3328</v>
      </c>
      <c r="D24" s="471" t="s">
        <v>3447</v>
      </c>
      <c r="E24" s="442" t="s">
        <v>1659</v>
      </c>
      <c r="F24" s="452" t="s">
        <v>1504</v>
      </c>
      <c r="G24" s="96" t="s">
        <v>202</v>
      </c>
      <c r="H24" s="460" t="s">
        <v>43</v>
      </c>
      <c r="I24"/>
    </row>
    <row r="25" spans="1:10" s="27" customFormat="1" ht="18">
      <c r="A25" s="13">
        <v>24</v>
      </c>
      <c r="B25" s="1819"/>
      <c r="C25" s="468" t="s">
        <v>3328</v>
      </c>
      <c r="D25" s="471" t="s">
        <v>3452</v>
      </c>
      <c r="E25" s="442" t="s">
        <v>1659</v>
      </c>
      <c r="F25" s="452" t="s">
        <v>1504</v>
      </c>
      <c r="G25" s="96" t="s">
        <v>202</v>
      </c>
      <c r="H25" s="460" t="s">
        <v>43</v>
      </c>
      <c r="I25"/>
    </row>
    <row r="26" spans="1:10" ht="18">
      <c r="A26" s="13">
        <v>25</v>
      </c>
      <c r="B26" s="454" t="s">
        <v>425</v>
      </c>
      <c r="C26" s="1447" t="s">
        <v>423</v>
      </c>
      <c r="D26" s="485" t="s">
        <v>1505</v>
      </c>
      <c r="E26" s="4" t="s">
        <v>335</v>
      </c>
      <c r="F26" s="4" t="s">
        <v>170</v>
      </c>
      <c r="G26" s="444" t="s">
        <v>202</v>
      </c>
      <c r="H26" s="453" t="s">
        <v>1084</v>
      </c>
    </row>
    <row r="27" spans="1:10" ht="15.75">
      <c r="A27" s="13">
        <v>26</v>
      </c>
      <c r="B27" s="13" t="s">
        <v>468</v>
      </c>
      <c r="C27" s="1448"/>
      <c r="D27" s="472" t="s">
        <v>1095</v>
      </c>
      <c r="E27" s="13" t="s">
        <v>335</v>
      </c>
      <c r="F27" s="13" t="s">
        <v>170</v>
      </c>
      <c r="G27" s="15" t="s">
        <v>202</v>
      </c>
      <c r="H27" s="456" t="s">
        <v>43</v>
      </c>
    </row>
    <row r="28" spans="1:10" ht="15.75">
      <c r="A28" s="13">
        <v>27</v>
      </c>
      <c r="B28" s="13" t="s">
        <v>425</v>
      </c>
      <c r="C28" s="1448"/>
      <c r="D28" s="472" t="s">
        <v>1102</v>
      </c>
      <c r="E28" s="13" t="s">
        <v>335</v>
      </c>
      <c r="F28" s="13" t="s">
        <v>170</v>
      </c>
      <c r="G28" s="15" t="s">
        <v>202</v>
      </c>
      <c r="H28" s="456" t="s">
        <v>43</v>
      </c>
    </row>
    <row r="29" spans="1:10" ht="15.75">
      <c r="A29" s="13">
        <v>28</v>
      </c>
      <c r="B29" s="13" t="s">
        <v>425</v>
      </c>
      <c r="C29" s="1448"/>
      <c r="D29" s="472" t="s">
        <v>1111</v>
      </c>
      <c r="E29" s="13" t="s">
        <v>335</v>
      </c>
      <c r="F29" s="13" t="s">
        <v>170</v>
      </c>
      <c r="G29" s="15" t="s">
        <v>202</v>
      </c>
      <c r="H29" s="456" t="s">
        <v>43</v>
      </c>
    </row>
    <row r="30" spans="1:10" ht="15.75">
      <c r="A30" s="13">
        <v>29</v>
      </c>
      <c r="B30" s="13" t="s">
        <v>425</v>
      </c>
      <c r="C30" s="1448"/>
      <c r="D30" s="472" t="s">
        <v>1120</v>
      </c>
      <c r="E30" s="13" t="s">
        <v>335</v>
      </c>
      <c r="F30" s="13" t="s">
        <v>170</v>
      </c>
      <c r="G30" s="15" t="s">
        <v>202</v>
      </c>
      <c r="H30" s="456" t="s">
        <v>43</v>
      </c>
    </row>
    <row r="31" spans="1:10" ht="15.75">
      <c r="A31" s="13">
        <v>30</v>
      </c>
      <c r="B31" s="13" t="s">
        <v>468</v>
      </c>
      <c r="C31" s="1448"/>
      <c r="D31" s="473" t="s">
        <v>1127</v>
      </c>
      <c r="E31" s="13" t="s">
        <v>335</v>
      </c>
      <c r="F31" s="13" t="s">
        <v>170</v>
      </c>
      <c r="G31" s="15" t="s">
        <v>202</v>
      </c>
      <c r="H31" s="13" t="s">
        <v>1084</v>
      </c>
    </row>
    <row r="32" spans="1:10" ht="15.75">
      <c r="A32" s="13">
        <v>31</v>
      </c>
      <c r="B32" s="13" t="s">
        <v>468</v>
      </c>
      <c r="C32" s="1448"/>
      <c r="D32" s="472" t="s">
        <v>1152</v>
      </c>
      <c r="E32" s="13" t="s">
        <v>335</v>
      </c>
      <c r="F32" s="13" t="s">
        <v>170</v>
      </c>
      <c r="G32" s="15" t="s">
        <v>202</v>
      </c>
      <c r="H32" s="456" t="s">
        <v>43</v>
      </c>
    </row>
    <row r="33" spans="1:8" ht="15.75">
      <c r="A33" s="13">
        <v>32</v>
      </c>
      <c r="B33" s="13" t="s">
        <v>475</v>
      </c>
      <c r="C33" s="1448"/>
      <c r="D33" s="472" t="s">
        <v>1162</v>
      </c>
      <c r="E33" s="13" t="s">
        <v>335</v>
      </c>
      <c r="F33" s="13" t="s">
        <v>170</v>
      </c>
      <c r="G33" s="15" t="s">
        <v>202</v>
      </c>
      <c r="H33" s="456" t="s">
        <v>43</v>
      </c>
    </row>
    <row r="34" spans="1:8" ht="15.75">
      <c r="A34" s="13">
        <v>33</v>
      </c>
      <c r="B34" s="13" t="s">
        <v>441</v>
      </c>
      <c r="C34" s="1448"/>
      <c r="D34" s="472" t="s">
        <v>1169</v>
      </c>
      <c r="E34" s="13" t="s">
        <v>335</v>
      </c>
      <c r="F34" s="13" t="s">
        <v>170</v>
      </c>
      <c r="G34" s="15" t="s">
        <v>202</v>
      </c>
      <c r="H34" s="456" t="s">
        <v>43</v>
      </c>
    </row>
    <row r="35" spans="1:8" ht="15.75">
      <c r="A35" s="13">
        <v>34</v>
      </c>
      <c r="B35" s="13" t="s">
        <v>480</v>
      </c>
      <c r="C35" s="1448"/>
      <c r="D35" s="472" t="s">
        <v>1182</v>
      </c>
      <c r="E35" s="13" t="s">
        <v>335</v>
      </c>
      <c r="F35" s="13" t="s">
        <v>170</v>
      </c>
      <c r="G35" s="15" t="s">
        <v>202</v>
      </c>
      <c r="H35" s="457" t="s">
        <v>43</v>
      </c>
    </row>
    <row r="36" spans="1:8" ht="15.75">
      <c r="A36" s="13">
        <v>35</v>
      </c>
      <c r="B36" s="13" t="s">
        <v>480</v>
      </c>
      <c r="C36" s="1448"/>
      <c r="D36" s="472" t="s">
        <v>1183</v>
      </c>
      <c r="E36" s="13" t="s">
        <v>335</v>
      </c>
      <c r="F36" s="13" t="s">
        <v>170</v>
      </c>
      <c r="G36" s="15" t="s">
        <v>202</v>
      </c>
      <c r="H36" s="457" t="s">
        <v>43</v>
      </c>
    </row>
    <row r="37" spans="1:8" ht="15.75">
      <c r="A37" s="13">
        <v>36</v>
      </c>
      <c r="B37" s="13" t="s">
        <v>468</v>
      </c>
      <c r="C37" s="1448"/>
      <c r="D37" s="472" t="s">
        <v>1188</v>
      </c>
      <c r="E37" s="13" t="s">
        <v>335</v>
      </c>
      <c r="F37" s="13" t="s">
        <v>170</v>
      </c>
      <c r="G37" s="15" t="s">
        <v>202</v>
      </c>
      <c r="H37" s="13" t="s">
        <v>1084</v>
      </c>
    </row>
    <row r="38" spans="1:8" ht="15.75">
      <c r="A38" s="13">
        <v>37</v>
      </c>
      <c r="B38" s="13" t="s">
        <v>441</v>
      </c>
      <c r="C38" s="1448"/>
      <c r="D38" s="472" t="s">
        <v>1192</v>
      </c>
      <c r="E38" s="13" t="s">
        <v>335</v>
      </c>
      <c r="F38" s="13" t="s">
        <v>170</v>
      </c>
      <c r="G38" s="15" t="s">
        <v>202</v>
      </c>
      <c r="H38" s="13"/>
    </row>
    <row r="39" spans="1:8" ht="15.75">
      <c r="A39" s="13">
        <v>38</v>
      </c>
      <c r="B39" s="13" t="s">
        <v>480</v>
      </c>
      <c r="C39" s="1448"/>
      <c r="D39" s="472" t="s">
        <v>1204</v>
      </c>
      <c r="E39" s="13" t="s">
        <v>335</v>
      </c>
      <c r="F39" s="13" t="s">
        <v>170</v>
      </c>
      <c r="G39" s="15" t="s">
        <v>202</v>
      </c>
      <c r="H39" s="13"/>
    </row>
    <row r="40" spans="1:8" ht="15.75">
      <c r="A40" s="13">
        <v>39</v>
      </c>
      <c r="B40" s="13" t="s">
        <v>475</v>
      </c>
      <c r="C40" s="1448"/>
      <c r="D40" s="472" t="s">
        <v>1209</v>
      </c>
      <c r="E40" s="13" t="s">
        <v>335</v>
      </c>
      <c r="F40" s="13" t="s">
        <v>170</v>
      </c>
      <c r="G40" s="15" t="s">
        <v>202</v>
      </c>
      <c r="H40" s="13" t="s">
        <v>1084</v>
      </c>
    </row>
    <row r="41" spans="1:8" ht="15.75">
      <c r="A41" s="13">
        <v>40</v>
      </c>
      <c r="B41" s="13" t="s">
        <v>475</v>
      </c>
      <c r="C41" s="1448"/>
      <c r="D41" s="472" t="s">
        <v>1221</v>
      </c>
      <c r="E41" s="13" t="s">
        <v>335</v>
      </c>
      <c r="F41" s="13" t="s">
        <v>170</v>
      </c>
      <c r="G41" s="15" t="s">
        <v>202</v>
      </c>
      <c r="H41" s="13"/>
    </row>
    <row r="42" spans="1:8" ht="15.75">
      <c r="A42" s="13">
        <v>41</v>
      </c>
      <c r="B42" s="13" t="s">
        <v>468</v>
      </c>
      <c r="C42" s="1448"/>
      <c r="D42" s="472" t="s">
        <v>1237</v>
      </c>
      <c r="E42" s="13" t="s">
        <v>335</v>
      </c>
      <c r="F42" s="13" t="s">
        <v>170</v>
      </c>
      <c r="G42" s="15" t="s">
        <v>202</v>
      </c>
      <c r="H42" s="13"/>
    </row>
    <row r="43" spans="1:8" ht="15.75">
      <c r="A43" s="13">
        <v>42</v>
      </c>
      <c r="B43" s="13" t="s">
        <v>480</v>
      </c>
      <c r="C43" s="1448"/>
      <c r="D43" s="472" t="s">
        <v>1240</v>
      </c>
      <c r="E43" s="13" t="s">
        <v>335</v>
      </c>
      <c r="F43" s="13" t="s">
        <v>170</v>
      </c>
      <c r="G43" s="15" t="s">
        <v>202</v>
      </c>
      <c r="H43" s="13"/>
    </row>
    <row r="44" spans="1:8" ht="15.75">
      <c r="A44" s="13">
        <v>43</v>
      </c>
      <c r="B44" s="13" t="s">
        <v>468</v>
      </c>
      <c r="C44" s="1448"/>
      <c r="D44" s="472" t="s">
        <v>1244</v>
      </c>
      <c r="E44" s="13" t="s">
        <v>335</v>
      </c>
      <c r="F44" s="13" t="s">
        <v>170</v>
      </c>
      <c r="G44" s="15" t="s">
        <v>202</v>
      </c>
      <c r="H44" s="13"/>
    </row>
    <row r="45" spans="1:8" ht="15.75">
      <c r="A45" s="13">
        <v>44</v>
      </c>
      <c r="B45" s="13" t="s">
        <v>480</v>
      </c>
      <c r="C45" s="1448"/>
      <c r="D45" s="472" t="s">
        <v>1262</v>
      </c>
      <c r="E45" s="13" t="s">
        <v>335</v>
      </c>
      <c r="F45" s="13" t="s">
        <v>170</v>
      </c>
      <c r="G45" s="15" t="s">
        <v>202</v>
      </c>
      <c r="H45" s="13"/>
    </row>
    <row r="46" spans="1:8" ht="15.75">
      <c r="A46" s="13">
        <v>45</v>
      </c>
      <c r="B46" s="13" t="s">
        <v>468</v>
      </c>
      <c r="C46" s="1448"/>
      <c r="D46" s="472" t="s">
        <v>1268</v>
      </c>
      <c r="E46" s="13" t="s">
        <v>335</v>
      </c>
      <c r="F46" s="13" t="s">
        <v>170</v>
      </c>
      <c r="G46" s="15" t="s">
        <v>202</v>
      </c>
      <c r="H46" s="13"/>
    </row>
    <row r="47" spans="1:8" ht="15.75">
      <c r="A47" s="13">
        <v>46</v>
      </c>
      <c r="B47" s="13" t="s">
        <v>468</v>
      </c>
      <c r="C47" s="1448"/>
      <c r="D47" s="472" t="s">
        <v>1280</v>
      </c>
      <c r="E47" s="13" t="s">
        <v>335</v>
      </c>
      <c r="F47" s="13" t="s">
        <v>170</v>
      </c>
      <c r="G47" s="15" t="s">
        <v>202</v>
      </c>
      <c r="H47" s="12"/>
    </row>
    <row r="48" spans="1:8" ht="15.75">
      <c r="A48" s="13">
        <v>47</v>
      </c>
      <c r="B48" s="13" t="s">
        <v>468</v>
      </c>
      <c r="C48" s="1448"/>
      <c r="D48" s="472" t="s">
        <v>1284</v>
      </c>
      <c r="E48" s="13" t="s">
        <v>335</v>
      </c>
      <c r="F48" s="13" t="s">
        <v>170</v>
      </c>
      <c r="G48" s="15" t="s">
        <v>202</v>
      </c>
      <c r="H48" s="13"/>
    </row>
    <row r="49" spans="1:8" ht="15.75">
      <c r="A49" s="13">
        <v>48</v>
      </c>
      <c r="B49" s="13" t="s">
        <v>468</v>
      </c>
      <c r="C49" s="1448"/>
      <c r="D49" s="472" t="s">
        <v>1287</v>
      </c>
      <c r="E49" s="13" t="s">
        <v>335</v>
      </c>
      <c r="F49" s="13" t="s">
        <v>170</v>
      </c>
      <c r="G49" s="15" t="s">
        <v>202</v>
      </c>
      <c r="H49" s="13"/>
    </row>
    <row r="50" spans="1:8" ht="15.75">
      <c r="A50" s="13">
        <v>49</v>
      </c>
      <c r="B50" s="13" t="s">
        <v>480</v>
      </c>
      <c r="C50" s="1448"/>
      <c r="D50" s="472" t="s">
        <v>1290</v>
      </c>
      <c r="E50" s="13" t="s">
        <v>335</v>
      </c>
      <c r="F50" s="13" t="s">
        <v>170</v>
      </c>
      <c r="G50" s="15" t="s">
        <v>202</v>
      </c>
      <c r="H50" s="13"/>
    </row>
    <row r="51" spans="1:8" ht="15.75">
      <c r="A51" s="13">
        <v>50</v>
      </c>
      <c r="B51" s="13" t="s">
        <v>480</v>
      </c>
      <c r="C51" s="1448"/>
      <c r="D51" s="472" t="s">
        <v>1294</v>
      </c>
      <c r="E51" s="13" t="s">
        <v>335</v>
      </c>
      <c r="F51" s="13" t="s">
        <v>170</v>
      </c>
      <c r="G51" s="15" t="s">
        <v>202</v>
      </c>
      <c r="H51" s="13"/>
    </row>
    <row r="52" spans="1:8" ht="15.75">
      <c r="A52" s="13">
        <v>51</v>
      </c>
      <c r="B52" s="13" t="s">
        <v>468</v>
      </c>
      <c r="C52" s="1448"/>
      <c r="D52" s="472" t="s">
        <v>1298</v>
      </c>
      <c r="E52" s="13" t="s">
        <v>335</v>
      </c>
      <c r="F52" s="13" t="s">
        <v>170</v>
      </c>
      <c r="G52" s="15" t="s">
        <v>202</v>
      </c>
      <c r="H52" s="13"/>
    </row>
    <row r="53" spans="1:8" ht="15.75">
      <c r="A53" s="13">
        <v>52</v>
      </c>
      <c r="B53" s="13" t="s">
        <v>468</v>
      </c>
      <c r="C53" s="1448"/>
      <c r="D53" s="472" t="s">
        <v>1302</v>
      </c>
      <c r="E53" s="13" t="s">
        <v>335</v>
      </c>
      <c r="F53" s="13" t="s">
        <v>170</v>
      </c>
      <c r="G53" s="15" t="s">
        <v>202</v>
      </c>
      <c r="H53" s="13"/>
    </row>
    <row r="54" spans="1:8" ht="15.75">
      <c r="A54" s="13">
        <v>53</v>
      </c>
      <c r="B54" s="13" t="s">
        <v>468</v>
      </c>
      <c r="C54" s="1448"/>
      <c r="D54" s="472" t="s">
        <v>1306</v>
      </c>
      <c r="E54" s="13" t="s">
        <v>335</v>
      </c>
      <c r="F54" s="13" t="s">
        <v>170</v>
      </c>
      <c r="G54" s="15" t="s">
        <v>202</v>
      </c>
      <c r="H54" s="13"/>
    </row>
    <row r="55" spans="1:8" ht="15.75">
      <c r="A55" s="13">
        <v>54</v>
      </c>
      <c r="B55" s="13" t="s">
        <v>441</v>
      </c>
      <c r="C55" s="1448"/>
      <c r="D55" s="472" t="s">
        <v>1311</v>
      </c>
      <c r="E55" s="13" t="s">
        <v>335</v>
      </c>
      <c r="F55" s="13" t="s">
        <v>170</v>
      </c>
      <c r="G55" s="15" t="s">
        <v>202</v>
      </c>
      <c r="H55" s="13"/>
    </row>
    <row r="56" spans="1:8" ht="15.75">
      <c r="A56" s="13">
        <v>55</v>
      </c>
      <c r="B56" s="13" t="s">
        <v>480</v>
      </c>
      <c r="C56" s="1448"/>
      <c r="D56" s="472" t="s">
        <v>1318</v>
      </c>
      <c r="E56" s="13" t="s">
        <v>335</v>
      </c>
      <c r="F56" s="13" t="s">
        <v>170</v>
      </c>
      <c r="G56" s="15" t="s">
        <v>202</v>
      </c>
      <c r="H56" s="13" t="s">
        <v>1084</v>
      </c>
    </row>
    <row r="57" spans="1:8" ht="15.75">
      <c r="A57" s="13">
        <v>56</v>
      </c>
      <c r="B57" s="13" t="s">
        <v>425</v>
      </c>
      <c r="C57" s="1448"/>
      <c r="D57" s="472" t="s">
        <v>1324</v>
      </c>
      <c r="E57" s="13" t="s">
        <v>335</v>
      </c>
      <c r="F57" s="13" t="s">
        <v>170</v>
      </c>
      <c r="G57" s="15" t="s">
        <v>202</v>
      </c>
      <c r="H57" s="13"/>
    </row>
    <row r="58" spans="1:8" ht="15.75">
      <c r="A58" s="13">
        <v>57</v>
      </c>
      <c r="B58" s="13" t="s">
        <v>475</v>
      </c>
      <c r="C58" s="1448"/>
      <c r="D58" s="472" t="s">
        <v>1331</v>
      </c>
      <c r="E58" s="13" t="s">
        <v>335</v>
      </c>
      <c r="F58" s="13" t="s">
        <v>170</v>
      </c>
      <c r="G58" s="15" t="s">
        <v>202</v>
      </c>
      <c r="H58" s="13"/>
    </row>
    <row r="59" spans="1:8" ht="15.75">
      <c r="A59" s="13">
        <v>58</v>
      </c>
      <c r="B59" s="13" t="s">
        <v>441</v>
      </c>
      <c r="C59" s="1448"/>
      <c r="D59" s="472" t="s">
        <v>1338</v>
      </c>
      <c r="E59" s="13" t="s">
        <v>335</v>
      </c>
      <c r="F59" s="13" t="s">
        <v>170</v>
      </c>
      <c r="G59" s="15" t="s">
        <v>202</v>
      </c>
      <c r="H59" s="13"/>
    </row>
    <row r="60" spans="1:8" ht="15.75">
      <c r="A60" s="13">
        <v>59</v>
      </c>
      <c r="B60" s="13" t="s">
        <v>475</v>
      </c>
      <c r="C60" s="1448"/>
      <c r="D60" s="472" t="s">
        <v>1345</v>
      </c>
      <c r="E60" s="13" t="s">
        <v>335</v>
      </c>
      <c r="F60" s="13" t="s">
        <v>170</v>
      </c>
      <c r="G60" s="15" t="s">
        <v>202</v>
      </c>
      <c r="H60" s="13" t="s">
        <v>1084</v>
      </c>
    </row>
    <row r="61" spans="1:8" ht="15.75">
      <c r="A61" s="13">
        <v>60</v>
      </c>
      <c r="B61" s="13" t="s">
        <v>441</v>
      </c>
      <c r="C61" s="1448"/>
      <c r="D61" s="472" t="s">
        <v>1346</v>
      </c>
      <c r="E61" s="13" t="s">
        <v>335</v>
      </c>
      <c r="F61" s="13" t="s">
        <v>170</v>
      </c>
      <c r="G61" s="15" t="s">
        <v>202</v>
      </c>
      <c r="H61" s="13"/>
    </row>
    <row r="62" spans="1:8" ht="15.75">
      <c r="A62" s="13">
        <v>61</v>
      </c>
      <c r="B62" s="13" t="s">
        <v>468</v>
      </c>
      <c r="C62" s="1448"/>
      <c r="D62" s="472" t="s">
        <v>1355</v>
      </c>
      <c r="E62" s="13" t="s">
        <v>335</v>
      </c>
      <c r="F62" s="13" t="s">
        <v>170</v>
      </c>
      <c r="G62" s="15" t="s">
        <v>202</v>
      </c>
      <c r="H62" s="13"/>
    </row>
    <row r="63" spans="1:8" ht="15.75">
      <c r="A63" s="13">
        <v>62</v>
      </c>
      <c r="B63" s="13" t="s">
        <v>425</v>
      </c>
      <c r="C63" s="1448"/>
      <c r="D63" s="472" t="s">
        <v>1361</v>
      </c>
      <c r="E63" s="13" t="s">
        <v>335</v>
      </c>
      <c r="F63" s="13" t="s">
        <v>170</v>
      </c>
      <c r="G63" s="15" t="s">
        <v>202</v>
      </c>
      <c r="H63" s="13"/>
    </row>
    <row r="64" spans="1:8" ht="15.75">
      <c r="A64" s="13">
        <v>63</v>
      </c>
      <c r="B64" s="13" t="s">
        <v>441</v>
      </c>
      <c r="C64" s="1448"/>
      <c r="D64" s="472" t="s">
        <v>1366</v>
      </c>
      <c r="E64" s="13" t="s">
        <v>335</v>
      </c>
      <c r="F64" s="13" t="s">
        <v>170</v>
      </c>
      <c r="G64" s="15" t="s">
        <v>202</v>
      </c>
      <c r="H64" s="13"/>
    </row>
    <row r="65" spans="1:8" ht="15.75">
      <c r="A65" s="13">
        <v>64</v>
      </c>
      <c r="B65" s="13" t="s">
        <v>425</v>
      </c>
      <c r="C65" s="1448"/>
      <c r="D65" s="472" t="s">
        <v>1376</v>
      </c>
      <c r="E65" s="13" t="s">
        <v>335</v>
      </c>
      <c r="F65" s="13" t="s">
        <v>170</v>
      </c>
      <c r="G65" s="15" t="s">
        <v>202</v>
      </c>
      <c r="H65" s="13"/>
    </row>
    <row r="66" spans="1:8" ht="15.75">
      <c r="A66" s="13">
        <v>65</v>
      </c>
      <c r="B66" s="13" t="s">
        <v>475</v>
      </c>
      <c r="C66" s="1448"/>
      <c r="D66" s="472" t="s">
        <v>1385</v>
      </c>
      <c r="E66" s="13" t="s">
        <v>335</v>
      </c>
      <c r="F66" s="13" t="s">
        <v>170</v>
      </c>
      <c r="G66" s="15" t="s">
        <v>202</v>
      </c>
      <c r="H66" s="13" t="s">
        <v>1390</v>
      </c>
    </row>
    <row r="67" spans="1:8" ht="15.75">
      <c r="A67" s="13">
        <v>66</v>
      </c>
      <c r="B67" s="13" t="s">
        <v>441</v>
      </c>
      <c r="C67" s="1448"/>
      <c r="D67" s="472" t="s">
        <v>1395</v>
      </c>
      <c r="E67" s="13" t="s">
        <v>335</v>
      </c>
      <c r="F67" s="13" t="s">
        <v>170</v>
      </c>
      <c r="G67" s="15" t="s">
        <v>202</v>
      </c>
      <c r="H67" s="13" t="s">
        <v>43</v>
      </c>
    </row>
    <row r="68" spans="1:8" ht="15.75">
      <c r="A68" s="13">
        <v>67</v>
      </c>
      <c r="B68" s="13" t="s">
        <v>425</v>
      </c>
      <c r="C68" s="1448"/>
      <c r="D68" s="472" t="s">
        <v>1401</v>
      </c>
      <c r="E68" s="13" t="s">
        <v>335</v>
      </c>
      <c r="F68" s="13" t="s">
        <v>170</v>
      </c>
      <c r="G68" s="15" t="s">
        <v>202</v>
      </c>
      <c r="H68" s="13" t="s">
        <v>43</v>
      </c>
    </row>
    <row r="69" spans="1:8" ht="15.75">
      <c r="A69" s="13">
        <v>68</v>
      </c>
      <c r="B69" s="13" t="s">
        <v>425</v>
      </c>
      <c r="C69" s="1448"/>
      <c r="D69" s="473" t="s">
        <v>1406</v>
      </c>
      <c r="E69" s="13" t="s">
        <v>335</v>
      </c>
      <c r="F69" s="13" t="s">
        <v>170</v>
      </c>
      <c r="G69" s="455" t="s">
        <v>202</v>
      </c>
      <c r="H69" s="13" t="s">
        <v>43</v>
      </c>
    </row>
    <row r="70" spans="1:8" ht="15.75">
      <c r="A70" s="13">
        <v>69</v>
      </c>
      <c r="B70" s="13" t="s">
        <v>475</v>
      </c>
      <c r="C70" s="1448"/>
      <c r="D70" s="472" t="s">
        <v>1418</v>
      </c>
      <c r="E70" s="13" t="s">
        <v>335</v>
      </c>
      <c r="F70" s="13" t="s">
        <v>170</v>
      </c>
      <c r="G70" s="15" t="s">
        <v>202</v>
      </c>
      <c r="H70" s="13" t="s">
        <v>43</v>
      </c>
    </row>
    <row r="71" spans="1:8" ht="15.75">
      <c r="A71" s="13">
        <v>70</v>
      </c>
      <c r="B71" s="13" t="s">
        <v>425</v>
      </c>
      <c r="C71" s="1448"/>
      <c r="D71" s="473" t="s">
        <v>1425</v>
      </c>
      <c r="E71" s="13" t="s">
        <v>335</v>
      </c>
      <c r="F71" s="13" t="s">
        <v>170</v>
      </c>
      <c r="G71" s="455" t="s">
        <v>202</v>
      </c>
      <c r="H71" s="13" t="s">
        <v>43</v>
      </c>
    </row>
    <row r="72" spans="1:8" ht="15.75">
      <c r="A72" s="13">
        <v>71</v>
      </c>
      <c r="B72" s="13" t="s">
        <v>475</v>
      </c>
      <c r="C72" s="1449"/>
      <c r="D72" s="472" t="s">
        <v>1463</v>
      </c>
      <c r="E72" s="13" t="s">
        <v>335</v>
      </c>
      <c r="F72" s="13" t="s">
        <v>170</v>
      </c>
      <c r="G72" s="15" t="s">
        <v>202</v>
      </c>
      <c r="H72" s="13" t="s">
        <v>43</v>
      </c>
    </row>
    <row r="73" spans="1:8" ht="18">
      <c r="A73" s="13">
        <v>72</v>
      </c>
      <c r="B73" s="442" t="s">
        <v>334</v>
      </c>
      <c r="C73" s="442" t="s">
        <v>331</v>
      </c>
      <c r="D73" s="469" t="s">
        <v>374</v>
      </c>
      <c r="E73" s="442" t="s">
        <v>51</v>
      </c>
      <c r="F73" s="489" t="s">
        <v>56</v>
      </c>
      <c r="G73" s="15" t="s">
        <v>202</v>
      </c>
      <c r="H73" s="13" t="s">
        <v>43</v>
      </c>
    </row>
    <row r="74" spans="1:8" ht="15.75">
      <c r="A74" s="13">
        <v>73</v>
      </c>
      <c r="B74" s="1818" t="s">
        <v>26</v>
      </c>
      <c r="C74" s="1460" t="s">
        <v>138</v>
      </c>
      <c r="D74" s="472" t="s">
        <v>219</v>
      </c>
      <c r="E74" s="4" t="s">
        <v>59</v>
      </c>
      <c r="F74" s="459" t="s">
        <v>167</v>
      </c>
      <c r="G74" s="15" t="s">
        <v>202</v>
      </c>
      <c r="H74" s="460" t="s">
        <v>43</v>
      </c>
    </row>
    <row r="75" spans="1:8" ht="15.75">
      <c r="A75" s="13">
        <v>74</v>
      </c>
      <c r="B75" s="1818"/>
      <c r="C75" s="1461"/>
      <c r="D75" s="472" t="s">
        <v>223</v>
      </c>
      <c r="E75" s="4" t="s">
        <v>59</v>
      </c>
      <c r="F75" s="459" t="s">
        <v>167</v>
      </c>
      <c r="G75" s="15" t="s">
        <v>202</v>
      </c>
      <c r="H75" s="460" t="s">
        <v>43</v>
      </c>
    </row>
    <row r="76" spans="1:8" ht="18">
      <c r="A76" s="13">
        <v>75</v>
      </c>
      <c r="B76" s="1668" t="s">
        <v>2592</v>
      </c>
      <c r="C76" s="1533" t="s">
        <v>2592</v>
      </c>
      <c r="D76" s="470" t="s">
        <v>2647</v>
      </c>
      <c r="E76" s="443" t="s">
        <v>107</v>
      </c>
      <c r="F76" s="443" t="s">
        <v>2595</v>
      </c>
      <c r="G76" s="15" t="s">
        <v>202</v>
      </c>
      <c r="H76" s="456" t="s">
        <v>43</v>
      </c>
    </row>
    <row r="77" spans="1:8" ht="18">
      <c r="A77" s="13">
        <v>76</v>
      </c>
      <c r="B77" s="1668"/>
      <c r="C77" s="1647"/>
      <c r="D77" s="470" t="s">
        <v>2651</v>
      </c>
      <c r="E77" s="443" t="s">
        <v>107</v>
      </c>
      <c r="F77" s="443" t="s">
        <v>2595</v>
      </c>
      <c r="G77" s="15" t="s">
        <v>202</v>
      </c>
      <c r="H77" s="456" t="s">
        <v>43</v>
      </c>
    </row>
    <row r="78" spans="1:8" ht="18">
      <c r="A78" s="13">
        <v>77</v>
      </c>
      <c r="B78" s="1668"/>
      <c r="C78" s="1647"/>
      <c r="D78" s="470" t="s">
        <v>2655</v>
      </c>
      <c r="E78" s="443" t="s">
        <v>107</v>
      </c>
      <c r="F78" s="443" t="s">
        <v>2595</v>
      </c>
      <c r="G78" s="15" t="s">
        <v>202</v>
      </c>
      <c r="H78" s="456" t="s">
        <v>43</v>
      </c>
    </row>
    <row r="79" spans="1:8" ht="18">
      <c r="A79" s="13">
        <v>78</v>
      </c>
      <c r="B79" s="1668"/>
      <c r="C79" s="1647"/>
      <c r="D79" s="470" t="s">
        <v>2659</v>
      </c>
      <c r="E79" s="443" t="s">
        <v>107</v>
      </c>
      <c r="F79" s="443" t="s">
        <v>2595</v>
      </c>
      <c r="G79" s="15" t="s">
        <v>202</v>
      </c>
      <c r="H79" s="456" t="s">
        <v>43</v>
      </c>
    </row>
    <row r="80" spans="1:8" ht="18">
      <c r="A80" s="13">
        <v>79</v>
      </c>
      <c r="B80" s="1668"/>
      <c r="C80" s="1647"/>
      <c r="D80" s="470" t="s">
        <v>2664</v>
      </c>
      <c r="E80" s="443" t="s">
        <v>51</v>
      </c>
      <c r="F80" s="441" t="s">
        <v>56</v>
      </c>
      <c r="G80" s="15" t="s">
        <v>202</v>
      </c>
      <c r="H80" s="456" t="s">
        <v>43</v>
      </c>
    </row>
    <row r="81" spans="1:11" ht="18">
      <c r="A81" s="13">
        <v>80</v>
      </c>
      <c r="B81" s="1668"/>
      <c r="C81" s="1647"/>
      <c r="D81" s="470" t="s">
        <v>2669</v>
      </c>
      <c r="E81" s="443" t="s">
        <v>51</v>
      </c>
      <c r="F81" s="441" t="s">
        <v>56</v>
      </c>
      <c r="G81" s="15" t="s">
        <v>202</v>
      </c>
      <c r="H81" s="456" t="s">
        <v>43</v>
      </c>
    </row>
    <row r="82" spans="1:11" ht="18">
      <c r="A82" s="13">
        <v>81</v>
      </c>
      <c r="B82" s="1668"/>
      <c r="C82" s="1647"/>
      <c r="D82" s="470" t="s">
        <v>2673</v>
      </c>
      <c r="E82" s="443" t="s">
        <v>107</v>
      </c>
      <c r="F82" s="443" t="s">
        <v>2595</v>
      </c>
      <c r="G82" s="15" t="s">
        <v>202</v>
      </c>
      <c r="H82" s="456" t="s">
        <v>43</v>
      </c>
    </row>
    <row r="83" spans="1:11" ht="18">
      <c r="A83" s="13">
        <v>82</v>
      </c>
      <c r="B83" s="1668"/>
      <c r="C83" s="1647"/>
      <c r="D83" s="470" t="s">
        <v>2677</v>
      </c>
      <c r="E83" s="443" t="s">
        <v>107</v>
      </c>
      <c r="F83" s="443" t="s">
        <v>2595</v>
      </c>
      <c r="G83" s="15" t="s">
        <v>202</v>
      </c>
      <c r="H83" s="456" t="s">
        <v>43</v>
      </c>
    </row>
    <row r="84" spans="1:11" ht="18">
      <c r="A84" s="13">
        <v>83</v>
      </c>
      <c r="B84" s="1668"/>
      <c r="C84" s="1647"/>
      <c r="D84" s="470" t="s">
        <v>2678</v>
      </c>
      <c r="E84" s="443" t="s">
        <v>107</v>
      </c>
      <c r="F84" s="443" t="s">
        <v>2595</v>
      </c>
      <c r="G84" s="15" t="s">
        <v>202</v>
      </c>
      <c r="H84" s="456" t="s">
        <v>43</v>
      </c>
    </row>
    <row r="85" spans="1:11" ht="18">
      <c r="A85" s="13">
        <v>84</v>
      </c>
      <c r="B85" s="1668"/>
      <c r="C85" s="1647"/>
      <c r="D85" s="470" t="s">
        <v>2679</v>
      </c>
      <c r="E85" s="443" t="s">
        <v>107</v>
      </c>
      <c r="F85" s="443" t="s">
        <v>2595</v>
      </c>
      <c r="G85" s="15" t="s">
        <v>202</v>
      </c>
      <c r="H85" s="456" t="s">
        <v>43</v>
      </c>
    </row>
    <row r="86" spans="1:11" ht="18">
      <c r="A86" s="13">
        <v>85</v>
      </c>
      <c r="B86" s="1668"/>
      <c r="C86" s="1647"/>
      <c r="D86" s="470" t="s">
        <v>2683</v>
      </c>
      <c r="E86" s="443" t="s">
        <v>107</v>
      </c>
      <c r="F86" s="443" t="s">
        <v>2595</v>
      </c>
      <c r="G86" s="15" t="s">
        <v>202</v>
      </c>
      <c r="H86" s="456" t="s">
        <v>43</v>
      </c>
    </row>
    <row r="87" spans="1:11" ht="18">
      <c r="A87" s="13">
        <v>86</v>
      </c>
      <c r="B87" s="1668"/>
      <c r="C87" s="1534"/>
      <c r="D87" s="470" t="s">
        <v>2687</v>
      </c>
      <c r="E87" s="443" t="s">
        <v>51</v>
      </c>
      <c r="F87" s="441" t="s">
        <v>56</v>
      </c>
      <c r="G87" s="15" t="s">
        <v>202</v>
      </c>
      <c r="H87" s="456" t="s">
        <v>43</v>
      </c>
    </row>
    <row r="88" spans="1:11" ht="18">
      <c r="A88" s="13">
        <v>87</v>
      </c>
      <c r="B88" s="1668" t="s">
        <v>2592</v>
      </c>
      <c r="C88" s="1533" t="s">
        <v>2592</v>
      </c>
      <c r="D88" s="471" t="s">
        <v>3538</v>
      </c>
      <c r="E88" s="452" t="s">
        <v>335</v>
      </c>
      <c r="F88" s="452" t="s">
        <v>1504</v>
      </c>
      <c r="G88" s="15" t="s">
        <v>202</v>
      </c>
      <c r="H88" s="456" t="s">
        <v>43</v>
      </c>
    </row>
    <row r="89" spans="1:11" ht="18">
      <c r="A89" s="13">
        <v>88</v>
      </c>
      <c r="B89" s="1668"/>
      <c r="C89" s="1534"/>
      <c r="D89" s="471" t="s">
        <v>3542</v>
      </c>
      <c r="E89" s="452" t="s">
        <v>335</v>
      </c>
      <c r="F89" s="452" t="s">
        <v>1504</v>
      </c>
      <c r="G89" s="15" t="s">
        <v>202</v>
      </c>
      <c r="H89" s="452" t="s">
        <v>1084</v>
      </c>
    </row>
    <row r="90" spans="1:11" ht="18">
      <c r="A90" s="443">
        <v>89</v>
      </c>
      <c r="B90" s="1528" t="s">
        <v>235</v>
      </c>
      <c r="C90" s="442" t="s">
        <v>3742</v>
      </c>
      <c r="D90" s="470" t="s">
        <v>4806</v>
      </c>
      <c r="E90" s="443" t="s">
        <v>1659</v>
      </c>
      <c r="F90" s="443" t="s">
        <v>1504</v>
      </c>
      <c r="G90" s="15" t="s">
        <v>202</v>
      </c>
      <c r="H90" s="460" t="s">
        <v>43</v>
      </c>
    </row>
    <row r="91" spans="1:11" s="83" customFormat="1" ht="18">
      <c r="A91" s="443">
        <v>90</v>
      </c>
      <c r="B91" s="1528"/>
      <c r="C91" s="442" t="s">
        <v>235</v>
      </c>
      <c r="D91" s="470" t="s">
        <v>3159</v>
      </c>
      <c r="E91" s="443" t="s">
        <v>1659</v>
      </c>
      <c r="F91" s="443" t="s">
        <v>167</v>
      </c>
      <c r="G91" s="15" t="s">
        <v>202</v>
      </c>
      <c r="H91" s="460" t="s">
        <v>43</v>
      </c>
    </row>
    <row r="92" spans="1:11" s="27" customFormat="1" ht="18">
      <c r="A92" s="442">
        <v>91</v>
      </c>
      <c r="B92" s="48" t="s">
        <v>334</v>
      </c>
      <c r="C92" s="48" t="s">
        <v>334</v>
      </c>
      <c r="D92" s="469" t="s">
        <v>2730</v>
      </c>
      <c r="E92" s="442" t="s">
        <v>1659</v>
      </c>
      <c r="F92" s="442" t="s">
        <v>1504</v>
      </c>
      <c r="G92" s="15" t="s">
        <v>202</v>
      </c>
      <c r="H92" s="456" t="s">
        <v>43</v>
      </c>
      <c r="K92" s="83"/>
    </row>
    <row r="93" spans="1:11" s="27" customFormat="1" ht="18">
      <c r="A93" s="442">
        <v>92</v>
      </c>
      <c r="B93" s="48" t="s">
        <v>267</v>
      </c>
      <c r="C93" s="48" t="s">
        <v>1530</v>
      </c>
      <c r="D93" s="469" t="s">
        <v>1531</v>
      </c>
      <c r="E93" s="442" t="s">
        <v>1514</v>
      </c>
      <c r="F93" s="442" t="s">
        <v>167</v>
      </c>
      <c r="G93" s="15" t="s">
        <v>202</v>
      </c>
      <c r="H93" s="456" t="s">
        <v>43</v>
      </c>
    </row>
    <row r="94" spans="1:11" ht="18">
      <c r="A94" s="443">
        <v>93</v>
      </c>
      <c r="B94" s="1528" t="s">
        <v>2476</v>
      </c>
      <c r="C94" s="1422" t="s">
        <v>2476</v>
      </c>
      <c r="D94" s="469" t="s">
        <v>2526</v>
      </c>
      <c r="E94" s="442" t="s">
        <v>1659</v>
      </c>
      <c r="F94" s="442" t="s">
        <v>1504</v>
      </c>
      <c r="G94" s="15" t="s">
        <v>202</v>
      </c>
      <c r="H94" s="460" t="s">
        <v>43</v>
      </c>
    </row>
    <row r="95" spans="1:11" ht="18">
      <c r="A95" s="442">
        <v>94</v>
      </c>
      <c r="B95" s="1528"/>
      <c r="C95" s="1423"/>
      <c r="D95" s="469" t="s">
        <v>4811</v>
      </c>
      <c r="E95" s="442" t="s">
        <v>1659</v>
      </c>
      <c r="F95" s="442" t="s">
        <v>299</v>
      </c>
      <c r="G95" s="15" t="s">
        <v>202</v>
      </c>
      <c r="H95" s="460" t="s">
        <v>43</v>
      </c>
    </row>
    <row r="96" spans="1:11" ht="18">
      <c r="A96" s="442">
        <v>95</v>
      </c>
      <c r="B96" s="1528"/>
      <c r="C96" s="1508"/>
      <c r="D96" s="476" t="s">
        <v>2541</v>
      </c>
      <c r="E96" s="442" t="s">
        <v>1659</v>
      </c>
      <c r="F96" s="442" t="s">
        <v>299</v>
      </c>
      <c r="G96" s="15" t="s">
        <v>202</v>
      </c>
      <c r="H96" s="460" t="s">
        <v>43</v>
      </c>
    </row>
    <row r="97" spans="1:8" ht="18">
      <c r="A97" s="443">
        <v>96</v>
      </c>
      <c r="B97" s="1528" t="s">
        <v>3705</v>
      </c>
      <c r="C97" s="1422" t="s">
        <v>3705</v>
      </c>
      <c r="D97" s="470" t="s">
        <v>4981</v>
      </c>
      <c r="E97" s="443" t="s">
        <v>335</v>
      </c>
      <c r="F97" s="443" t="s">
        <v>1504</v>
      </c>
      <c r="G97" s="15" t="s">
        <v>202</v>
      </c>
      <c r="H97" s="456" t="s">
        <v>43</v>
      </c>
    </row>
    <row r="98" spans="1:8" ht="18">
      <c r="A98" s="442">
        <v>97</v>
      </c>
      <c r="B98" s="1528"/>
      <c r="C98" s="1423"/>
      <c r="D98" s="470" t="s">
        <v>4984</v>
      </c>
      <c r="E98" s="443" t="s">
        <v>335</v>
      </c>
      <c r="F98" s="443" t="s">
        <v>1504</v>
      </c>
      <c r="G98" s="15" t="s">
        <v>202</v>
      </c>
      <c r="H98" s="456" t="s">
        <v>43</v>
      </c>
    </row>
    <row r="99" spans="1:8" ht="18">
      <c r="A99" s="442">
        <v>98</v>
      </c>
      <c r="B99" s="1528"/>
      <c r="C99" s="1508"/>
      <c r="D99" s="470" t="s">
        <v>4988</v>
      </c>
      <c r="E99" s="443" t="s">
        <v>335</v>
      </c>
      <c r="F99" s="443" t="s">
        <v>1504</v>
      </c>
      <c r="G99" s="15" t="s">
        <v>202</v>
      </c>
      <c r="H99" s="456" t="s">
        <v>43</v>
      </c>
    </row>
    <row r="100" spans="1:8" ht="18">
      <c r="A100" s="443">
        <v>99</v>
      </c>
      <c r="B100" s="1689" t="s">
        <v>3018</v>
      </c>
      <c r="C100" s="1681" t="s">
        <v>3018</v>
      </c>
      <c r="D100" s="471" t="s">
        <v>3099</v>
      </c>
      <c r="E100" s="452" t="s">
        <v>1659</v>
      </c>
      <c r="F100" s="452" t="s">
        <v>1504</v>
      </c>
      <c r="G100" s="15" t="s">
        <v>202</v>
      </c>
      <c r="H100" s="460" t="s">
        <v>43</v>
      </c>
    </row>
    <row r="101" spans="1:8" ht="18">
      <c r="A101" s="442">
        <v>100</v>
      </c>
      <c r="B101" s="1689"/>
      <c r="C101" s="1682"/>
      <c r="D101" s="471" t="s">
        <v>3105</v>
      </c>
      <c r="E101" s="452" t="s">
        <v>1659</v>
      </c>
      <c r="F101" s="452" t="s">
        <v>299</v>
      </c>
      <c r="G101" s="15" t="s">
        <v>202</v>
      </c>
      <c r="H101" s="460" t="s">
        <v>43</v>
      </c>
    </row>
    <row r="102" spans="1:8" ht="18">
      <c r="A102" s="442">
        <v>101</v>
      </c>
      <c r="B102" s="1689"/>
      <c r="C102" s="1683"/>
      <c r="D102" s="471" t="s">
        <v>3109</v>
      </c>
      <c r="E102" s="452" t="s">
        <v>1659</v>
      </c>
      <c r="F102" s="452" t="s">
        <v>299</v>
      </c>
      <c r="G102" s="15" t="s">
        <v>202</v>
      </c>
      <c r="H102" s="460" t="s">
        <v>43</v>
      </c>
    </row>
    <row r="103" spans="1:8" ht="18">
      <c r="A103" s="477">
        <v>102</v>
      </c>
      <c r="B103" s="486" t="s">
        <v>1595</v>
      </c>
      <c r="C103" s="486" t="s">
        <v>1599</v>
      </c>
      <c r="D103" s="486" t="s">
        <v>9671</v>
      </c>
      <c r="E103" s="481" t="s">
        <v>11793</v>
      </c>
      <c r="F103" s="481" t="s">
        <v>11795</v>
      </c>
      <c r="G103" s="15" t="s">
        <v>202</v>
      </c>
      <c r="H103" s="482" t="s">
        <v>43</v>
      </c>
    </row>
    <row r="104" spans="1:8" ht="18">
      <c r="A104" s="477">
        <v>103</v>
      </c>
      <c r="B104" s="486" t="s">
        <v>423</v>
      </c>
      <c r="C104" s="486" t="s">
        <v>11465</v>
      </c>
      <c r="D104" s="486" t="s">
        <v>11463</v>
      </c>
      <c r="E104" s="481" t="s">
        <v>11793</v>
      </c>
      <c r="F104" s="429" t="s">
        <v>11796</v>
      </c>
      <c r="G104" s="15" t="s">
        <v>202</v>
      </c>
      <c r="H104" s="482" t="s">
        <v>43</v>
      </c>
    </row>
    <row r="105" spans="1:8" ht="18">
      <c r="A105" s="477">
        <v>104</v>
      </c>
      <c r="B105" s="483" t="s">
        <v>423</v>
      </c>
      <c r="C105" s="483" t="s">
        <v>423</v>
      </c>
      <c r="D105" s="486" t="s">
        <v>11509</v>
      </c>
      <c r="E105" s="481" t="s">
        <v>11793</v>
      </c>
      <c r="F105" s="429" t="s">
        <v>11796</v>
      </c>
      <c r="G105" s="15" t="s">
        <v>202</v>
      </c>
      <c r="H105" s="482" t="s">
        <v>43</v>
      </c>
    </row>
    <row r="106" spans="1:8" ht="18">
      <c r="A106" s="477">
        <v>105</v>
      </c>
      <c r="B106" s="486" t="s">
        <v>1595</v>
      </c>
      <c r="C106" s="486" t="s">
        <v>1598</v>
      </c>
      <c r="D106" s="486" t="s">
        <v>11512</v>
      </c>
      <c r="E106" s="481" t="s">
        <v>11793</v>
      </c>
      <c r="F106" s="429" t="s">
        <v>11796</v>
      </c>
      <c r="G106" s="15" t="s">
        <v>202</v>
      </c>
      <c r="H106" s="482" t="s">
        <v>43</v>
      </c>
    </row>
    <row r="107" spans="1:8" ht="18">
      <c r="A107" s="477">
        <v>106</v>
      </c>
      <c r="B107" s="486" t="s">
        <v>1595</v>
      </c>
      <c r="C107" s="486" t="s">
        <v>1598</v>
      </c>
      <c r="D107" s="486" t="s">
        <v>11515</v>
      </c>
      <c r="E107" s="481" t="s">
        <v>11793</v>
      </c>
      <c r="F107" s="429" t="s">
        <v>11796</v>
      </c>
      <c r="G107" s="15" t="s">
        <v>202</v>
      </c>
      <c r="H107" s="482" t="s">
        <v>43</v>
      </c>
    </row>
    <row r="108" spans="1:8" ht="18">
      <c r="A108" s="477">
        <v>107</v>
      </c>
      <c r="B108" s="486" t="s">
        <v>2476</v>
      </c>
      <c r="C108" s="486" t="s">
        <v>9524</v>
      </c>
      <c r="D108" s="486" t="s">
        <v>11518</v>
      </c>
      <c r="E108" s="481" t="s">
        <v>11793</v>
      </c>
      <c r="F108" s="429" t="s">
        <v>11796</v>
      </c>
      <c r="G108" s="15" t="s">
        <v>202</v>
      </c>
      <c r="H108" s="482" t="s">
        <v>43</v>
      </c>
    </row>
    <row r="109" spans="1:8" ht="18">
      <c r="A109" s="477">
        <v>108</v>
      </c>
      <c r="B109" s="483" t="s">
        <v>423</v>
      </c>
      <c r="C109" s="483" t="s">
        <v>423</v>
      </c>
      <c r="D109" s="483" t="s">
        <v>9641</v>
      </c>
      <c r="E109" s="481" t="s">
        <v>11793</v>
      </c>
      <c r="F109" s="429" t="s">
        <v>11796</v>
      </c>
      <c r="G109" s="15" t="s">
        <v>202</v>
      </c>
      <c r="H109" s="482" t="s">
        <v>43</v>
      </c>
    </row>
    <row r="110" spans="1:8" ht="18">
      <c r="A110" s="477">
        <v>109</v>
      </c>
      <c r="B110" s="483" t="s">
        <v>423</v>
      </c>
      <c r="C110" s="483" t="s">
        <v>423</v>
      </c>
      <c r="D110" s="483" t="s">
        <v>9647</v>
      </c>
      <c r="E110" s="481" t="s">
        <v>11793</v>
      </c>
      <c r="F110" s="429" t="s">
        <v>11796</v>
      </c>
      <c r="G110" s="15" t="s">
        <v>202</v>
      </c>
      <c r="H110" s="482" t="s">
        <v>43</v>
      </c>
    </row>
    <row r="111" spans="1:8" ht="18">
      <c r="A111" s="477">
        <v>110</v>
      </c>
      <c r="B111" s="483" t="s">
        <v>1604</v>
      </c>
      <c r="C111" s="483" t="s">
        <v>1608</v>
      </c>
      <c r="D111" s="483" t="s">
        <v>9655</v>
      </c>
      <c r="E111" s="481" t="s">
        <v>11793</v>
      </c>
      <c r="F111" s="429" t="s">
        <v>11796</v>
      </c>
      <c r="G111" s="15" t="s">
        <v>202</v>
      </c>
      <c r="H111" s="482" t="s">
        <v>43</v>
      </c>
    </row>
    <row r="112" spans="1:8" ht="18">
      <c r="A112" s="477">
        <v>111</v>
      </c>
      <c r="B112" s="483" t="s">
        <v>9367</v>
      </c>
      <c r="C112" s="483" t="s">
        <v>1598</v>
      </c>
      <c r="D112" s="483" t="s">
        <v>9656</v>
      </c>
      <c r="E112" s="481" t="s">
        <v>11793</v>
      </c>
      <c r="F112" s="429" t="s">
        <v>11796</v>
      </c>
      <c r="G112" s="15" t="s">
        <v>202</v>
      </c>
      <c r="H112" s="482" t="s">
        <v>43</v>
      </c>
    </row>
    <row r="113" spans="1:8" ht="18">
      <c r="A113" s="477">
        <v>112</v>
      </c>
      <c r="B113" s="483" t="s">
        <v>423</v>
      </c>
      <c r="C113" s="483" t="s">
        <v>423</v>
      </c>
      <c r="D113" s="483" t="s">
        <v>9643</v>
      </c>
      <c r="E113" s="481" t="s">
        <v>11793</v>
      </c>
      <c r="F113" s="429" t="s">
        <v>11796</v>
      </c>
      <c r="G113" s="15" t="s">
        <v>202</v>
      </c>
      <c r="H113" s="482" t="s">
        <v>43</v>
      </c>
    </row>
    <row r="114" spans="1:8" ht="18">
      <c r="A114" s="477">
        <v>113</v>
      </c>
      <c r="B114" s="483" t="s">
        <v>1595</v>
      </c>
      <c r="C114" s="483" t="s">
        <v>1598</v>
      </c>
      <c r="D114" s="486" t="s">
        <v>9601</v>
      </c>
      <c r="E114" s="481" t="s">
        <v>11793</v>
      </c>
      <c r="F114" s="429" t="s">
        <v>11796</v>
      </c>
      <c r="G114" s="15" t="s">
        <v>202</v>
      </c>
      <c r="H114" s="482" t="s">
        <v>1084</v>
      </c>
    </row>
    <row r="115" spans="1:8" ht="18">
      <c r="A115" s="477">
        <v>114</v>
      </c>
      <c r="B115" s="483" t="s">
        <v>1595</v>
      </c>
      <c r="C115" s="479" t="s">
        <v>1602</v>
      </c>
      <c r="D115" s="466" t="s">
        <v>11503</v>
      </c>
      <c r="E115" s="481" t="s">
        <v>11793</v>
      </c>
      <c r="F115" s="429" t="s">
        <v>11796</v>
      </c>
      <c r="G115" s="15" t="s">
        <v>202</v>
      </c>
      <c r="H115" s="482" t="s">
        <v>43</v>
      </c>
    </row>
    <row r="116" spans="1:8" ht="18">
      <c r="A116" s="477">
        <v>115</v>
      </c>
      <c r="B116" s="483" t="s">
        <v>9367</v>
      </c>
      <c r="C116" s="483" t="s">
        <v>1603</v>
      </c>
      <c r="D116" s="483" t="s">
        <v>9632</v>
      </c>
      <c r="E116" s="481" t="s">
        <v>11793</v>
      </c>
      <c r="F116" s="429" t="s">
        <v>11796</v>
      </c>
      <c r="G116" s="15" t="s">
        <v>202</v>
      </c>
      <c r="H116" s="482" t="s">
        <v>43</v>
      </c>
    </row>
    <row r="117" spans="1:8" ht="18">
      <c r="A117" s="477">
        <v>116</v>
      </c>
      <c r="B117" s="466" t="s">
        <v>4643</v>
      </c>
      <c r="C117" s="466" t="s">
        <v>138</v>
      </c>
      <c r="D117" s="466" t="s">
        <v>11505</v>
      </c>
      <c r="E117" s="481" t="s">
        <v>11793</v>
      </c>
      <c r="F117" s="429" t="s">
        <v>11796</v>
      </c>
      <c r="G117" s="15" t="s">
        <v>202</v>
      </c>
      <c r="H117" s="482" t="s">
        <v>43</v>
      </c>
    </row>
    <row r="118" spans="1:8" ht="18">
      <c r="A118" s="477">
        <v>117</v>
      </c>
      <c r="B118" s="483" t="s">
        <v>9367</v>
      </c>
      <c r="C118" s="483" t="s">
        <v>1598</v>
      </c>
      <c r="D118" s="483" t="s">
        <v>9635</v>
      </c>
      <c r="E118" s="481" t="s">
        <v>11793</v>
      </c>
      <c r="F118" s="429" t="s">
        <v>11796</v>
      </c>
      <c r="G118" s="15" t="s">
        <v>202</v>
      </c>
      <c r="H118" s="482" t="s">
        <v>43</v>
      </c>
    </row>
    <row r="119" spans="1:8" ht="18">
      <c r="A119" s="477">
        <v>118</v>
      </c>
      <c r="B119" s="483" t="s">
        <v>9367</v>
      </c>
      <c r="C119" s="483" t="s">
        <v>1598</v>
      </c>
      <c r="D119" s="483" t="s">
        <v>9621</v>
      </c>
      <c r="E119" s="481" t="s">
        <v>11793</v>
      </c>
      <c r="F119" s="429" t="s">
        <v>11796</v>
      </c>
      <c r="G119" s="15" t="s">
        <v>202</v>
      </c>
      <c r="H119" s="482" t="s">
        <v>43</v>
      </c>
    </row>
    <row r="120" spans="1:8" ht="18">
      <c r="A120" s="477">
        <v>119</v>
      </c>
      <c r="B120" s="483" t="s">
        <v>9367</v>
      </c>
      <c r="C120" s="483" t="s">
        <v>1598</v>
      </c>
      <c r="D120" s="483" t="s">
        <v>9623</v>
      </c>
      <c r="E120" s="481" t="s">
        <v>11793</v>
      </c>
      <c r="F120" s="429" t="s">
        <v>11796</v>
      </c>
      <c r="G120" s="15" t="s">
        <v>202</v>
      </c>
      <c r="H120" s="482" t="s">
        <v>43</v>
      </c>
    </row>
    <row r="121" spans="1:8" ht="18">
      <c r="A121" s="477">
        <v>120</v>
      </c>
      <c r="B121" s="483" t="s">
        <v>9367</v>
      </c>
      <c r="C121" s="483" t="s">
        <v>1598</v>
      </c>
      <c r="D121" s="483" t="s">
        <v>9625</v>
      </c>
      <c r="E121" s="481" t="s">
        <v>11793</v>
      </c>
      <c r="F121" s="429" t="s">
        <v>11796</v>
      </c>
      <c r="G121" s="15" t="s">
        <v>202</v>
      </c>
      <c r="H121" s="482" t="s">
        <v>43</v>
      </c>
    </row>
    <row r="122" spans="1:8" ht="18">
      <c r="A122" s="477">
        <v>121</v>
      </c>
      <c r="B122" s="483" t="s">
        <v>9367</v>
      </c>
      <c r="C122" s="483" t="s">
        <v>1598</v>
      </c>
      <c r="D122" s="483" t="s">
        <v>9627</v>
      </c>
      <c r="E122" s="481" t="s">
        <v>11793</v>
      </c>
      <c r="F122" s="429" t="s">
        <v>11796</v>
      </c>
      <c r="G122" s="15" t="s">
        <v>202</v>
      </c>
      <c r="H122" s="482" t="s">
        <v>43</v>
      </c>
    </row>
    <row r="123" spans="1:8" ht="18">
      <c r="A123" s="477">
        <v>122</v>
      </c>
      <c r="B123" s="483" t="s">
        <v>4643</v>
      </c>
      <c r="C123" s="483" t="s">
        <v>138</v>
      </c>
      <c r="D123" s="483" t="s">
        <v>11504</v>
      </c>
      <c r="E123" s="481" t="s">
        <v>11793</v>
      </c>
      <c r="F123" s="429" t="s">
        <v>11796</v>
      </c>
      <c r="G123" s="15" t="s">
        <v>202</v>
      </c>
      <c r="H123" s="482" t="s">
        <v>43</v>
      </c>
    </row>
    <row r="124" spans="1:8" ht="18">
      <c r="A124" s="477">
        <v>123</v>
      </c>
      <c r="B124" s="483" t="s">
        <v>9367</v>
      </c>
      <c r="C124" s="483" t="s">
        <v>1598</v>
      </c>
      <c r="D124" s="483" t="s">
        <v>9630</v>
      </c>
      <c r="E124" s="481" t="s">
        <v>11793</v>
      </c>
      <c r="F124" s="429" t="s">
        <v>11796</v>
      </c>
      <c r="G124" s="15" t="s">
        <v>202</v>
      </c>
      <c r="H124" s="482" t="s">
        <v>43</v>
      </c>
    </row>
    <row r="125" spans="1:8" ht="18">
      <c r="A125" s="477">
        <v>124</v>
      </c>
      <c r="B125" s="478" t="s">
        <v>423</v>
      </c>
      <c r="C125" s="478" t="s">
        <v>423</v>
      </c>
      <c r="D125" s="483" t="s">
        <v>9458</v>
      </c>
      <c r="E125" s="481" t="s">
        <v>11793</v>
      </c>
      <c r="F125" s="429" t="s">
        <v>11796</v>
      </c>
      <c r="G125" s="15" t="s">
        <v>202</v>
      </c>
      <c r="H125" s="482" t="s">
        <v>43</v>
      </c>
    </row>
    <row r="126" spans="1:8" ht="18">
      <c r="A126" s="477">
        <v>125</v>
      </c>
      <c r="B126" s="478" t="s">
        <v>1595</v>
      </c>
      <c r="C126" s="478" t="s">
        <v>1598</v>
      </c>
      <c r="D126" s="486" t="s">
        <v>11221</v>
      </c>
      <c r="E126" s="481" t="s">
        <v>11793</v>
      </c>
      <c r="F126" s="429" t="s">
        <v>11796</v>
      </c>
      <c r="G126" s="15" t="s">
        <v>202</v>
      </c>
      <c r="H126" s="482" t="s">
        <v>43</v>
      </c>
    </row>
    <row r="127" spans="1:8" ht="18">
      <c r="A127" s="477">
        <v>126</v>
      </c>
      <c r="B127" s="478" t="s">
        <v>1595</v>
      </c>
      <c r="C127" s="478" t="s">
        <v>1598</v>
      </c>
      <c r="D127" s="486" t="s">
        <v>9594</v>
      </c>
      <c r="E127" s="481" t="s">
        <v>11793</v>
      </c>
      <c r="F127" s="429" t="s">
        <v>11796</v>
      </c>
      <c r="G127" s="15" t="s">
        <v>202</v>
      </c>
      <c r="H127" s="482" t="s">
        <v>43</v>
      </c>
    </row>
    <row r="128" spans="1:8" ht="18">
      <c r="A128" s="477">
        <v>127</v>
      </c>
      <c r="B128" s="478">
        <v>214</v>
      </c>
      <c r="C128" s="478" t="s">
        <v>1598</v>
      </c>
      <c r="D128" s="486" t="s">
        <v>11216</v>
      </c>
      <c r="E128" s="481" t="s">
        <v>11793</v>
      </c>
      <c r="F128" s="429" t="s">
        <v>11796</v>
      </c>
      <c r="G128" s="15" t="s">
        <v>202</v>
      </c>
      <c r="H128" s="482" t="s">
        <v>43</v>
      </c>
    </row>
    <row r="129" spans="1:8" ht="18">
      <c r="A129" s="477">
        <v>128</v>
      </c>
      <c r="B129" s="478" t="s">
        <v>1595</v>
      </c>
      <c r="C129" s="484" t="s">
        <v>1600</v>
      </c>
      <c r="D129" s="486" t="s">
        <v>11219</v>
      </c>
      <c r="E129" s="481" t="s">
        <v>11793</v>
      </c>
      <c r="F129" s="429" t="s">
        <v>11796</v>
      </c>
      <c r="G129" s="15" t="s">
        <v>202</v>
      </c>
      <c r="H129" s="482" t="s">
        <v>43</v>
      </c>
    </row>
    <row r="130" spans="1:8" ht="18">
      <c r="A130" s="477">
        <v>129</v>
      </c>
      <c r="B130" s="478">
        <v>211</v>
      </c>
      <c r="C130" s="478" t="s">
        <v>1598</v>
      </c>
      <c r="D130" s="486" t="s">
        <v>11224</v>
      </c>
      <c r="E130" s="481" t="s">
        <v>11793</v>
      </c>
      <c r="F130" s="429" t="s">
        <v>11796</v>
      </c>
      <c r="G130" s="15" t="s">
        <v>202</v>
      </c>
      <c r="H130" s="482" t="s">
        <v>43</v>
      </c>
    </row>
    <row r="131" spans="1:8" ht="18">
      <c r="A131" s="477">
        <v>130</v>
      </c>
      <c r="B131" s="478" t="s">
        <v>1595</v>
      </c>
      <c r="C131" s="484" t="s">
        <v>1603</v>
      </c>
      <c r="D131" s="486" t="s">
        <v>9596</v>
      </c>
      <c r="E131" s="481" t="s">
        <v>11793</v>
      </c>
      <c r="F131" s="429" t="s">
        <v>11796</v>
      </c>
      <c r="G131" s="15" t="s">
        <v>202</v>
      </c>
      <c r="H131" s="482" t="s">
        <v>43</v>
      </c>
    </row>
    <row r="132" spans="1:8" ht="18">
      <c r="A132" s="477">
        <v>131</v>
      </c>
      <c r="B132" s="478" t="s">
        <v>1595</v>
      </c>
      <c r="C132" s="478" t="s">
        <v>1598</v>
      </c>
      <c r="D132" s="486" t="s">
        <v>9600</v>
      </c>
      <c r="E132" s="481" t="s">
        <v>11793</v>
      </c>
      <c r="F132" s="429" t="s">
        <v>11796</v>
      </c>
      <c r="G132" s="15" t="s">
        <v>202</v>
      </c>
      <c r="H132" s="482" t="s">
        <v>43</v>
      </c>
    </row>
    <row r="133" spans="1:8" ht="18">
      <c r="A133" s="477">
        <v>132</v>
      </c>
      <c r="B133" s="478" t="s">
        <v>2592</v>
      </c>
      <c r="C133" s="484" t="s">
        <v>2593</v>
      </c>
      <c r="D133" s="486" t="s">
        <v>11656</v>
      </c>
      <c r="E133" s="481" t="s">
        <v>11793</v>
      </c>
      <c r="F133" s="481" t="s">
        <v>11795</v>
      </c>
      <c r="G133" s="15" t="s">
        <v>202</v>
      </c>
      <c r="H133" s="482" t="s">
        <v>43</v>
      </c>
    </row>
    <row r="134" spans="1:8" ht="18">
      <c r="A134" s="477">
        <v>133</v>
      </c>
      <c r="B134" s="478" t="s">
        <v>1604</v>
      </c>
      <c r="C134" s="484" t="s">
        <v>1607</v>
      </c>
      <c r="D134" s="486" t="s">
        <v>11639</v>
      </c>
      <c r="E134" s="481" t="s">
        <v>11793</v>
      </c>
      <c r="F134" s="429" t="s">
        <v>11796</v>
      </c>
      <c r="G134" s="15" t="s">
        <v>202</v>
      </c>
      <c r="H134" s="482" t="s">
        <v>43</v>
      </c>
    </row>
    <row r="135" spans="1:8" ht="18">
      <c r="A135" s="477">
        <v>134</v>
      </c>
      <c r="B135" s="478" t="s">
        <v>1604</v>
      </c>
      <c r="C135" s="484" t="s">
        <v>1606</v>
      </c>
      <c r="D135" s="486" t="s">
        <v>11638</v>
      </c>
      <c r="E135" s="481" t="s">
        <v>11793</v>
      </c>
      <c r="F135" s="429" t="s">
        <v>11796</v>
      </c>
      <c r="G135" s="15" t="s">
        <v>202</v>
      </c>
      <c r="H135" s="482" t="s">
        <v>43</v>
      </c>
    </row>
    <row r="136" spans="1:8" ht="18">
      <c r="A136" s="477">
        <v>135</v>
      </c>
      <c r="B136" s="478" t="s">
        <v>1595</v>
      </c>
      <c r="C136" s="478" t="s">
        <v>1598</v>
      </c>
      <c r="D136" s="486" t="s">
        <v>11631</v>
      </c>
      <c r="E136" s="481" t="s">
        <v>11793</v>
      </c>
      <c r="F136" s="429" t="s">
        <v>11796</v>
      </c>
      <c r="G136" s="15" t="s">
        <v>202</v>
      </c>
      <c r="H136" s="482" t="s">
        <v>43</v>
      </c>
    </row>
    <row r="137" spans="1:8" ht="18">
      <c r="A137" s="477">
        <v>136</v>
      </c>
      <c r="B137" s="478" t="s">
        <v>1595</v>
      </c>
      <c r="C137" s="484" t="s">
        <v>1600</v>
      </c>
      <c r="D137" s="487" t="s">
        <v>9583</v>
      </c>
      <c r="E137" s="481" t="s">
        <v>11793</v>
      </c>
      <c r="F137" s="481" t="s">
        <v>11795</v>
      </c>
      <c r="G137" s="15" t="s">
        <v>202</v>
      </c>
      <c r="H137" s="482" t="s">
        <v>43</v>
      </c>
    </row>
    <row r="138" spans="1:8" ht="18">
      <c r="A138" s="477">
        <v>137</v>
      </c>
      <c r="B138" s="478" t="s">
        <v>11791</v>
      </c>
      <c r="C138" s="484" t="s">
        <v>1507</v>
      </c>
      <c r="D138" s="486" t="s">
        <v>11729</v>
      </c>
      <c r="E138" s="481" t="s">
        <v>11793</v>
      </c>
      <c r="F138" s="429" t="s">
        <v>11796</v>
      </c>
      <c r="G138" s="15" t="s">
        <v>202</v>
      </c>
      <c r="H138" s="482" t="s">
        <v>43</v>
      </c>
    </row>
    <row r="139" spans="1:8" ht="18">
      <c r="A139" s="477">
        <v>138</v>
      </c>
      <c r="B139" s="478" t="s">
        <v>423</v>
      </c>
      <c r="C139" s="484" t="s">
        <v>950</v>
      </c>
      <c r="D139" s="486" t="s">
        <v>11732</v>
      </c>
      <c r="E139" s="481" t="s">
        <v>11793</v>
      </c>
      <c r="F139" s="481" t="s">
        <v>11795</v>
      </c>
      <c r="G139" s="15" t="s">
        <v>202</v>
      </c>
      <c r="H139" s="482" t="s">
        <v>43</v>
      </c>
    </row>
    <row r="140" spans="1:8" ht="18">
      <c r="A140" s="477">
        <v>139</v>
      </c>
      <c r="B140" s="478" t="s">
        <v>423</v>
      </c>
      <c r="C140" s="478" t="s">
        <v>423</v>
      </c>
      <c r="D140" s="486" t="s">
        <v>11736</v>
      </c>
      <c r="E140" s="481" t="s">
        <v>11793</v>
      </c>
      <c r="F140" s="429" t="s">
        <v>11796</v>
      </c>
      <c r="G140" s="15" t="s">
        <v>202</v>
      </c>
      <c r="H140" s="482" t="s">
        <v>43</v>
      </c>
    </row>
    <row r="141" spans="1:8" ht="18">
      <c r="A141" s="477">
        <v>140</v>
      </c>
      <c r="B141" s="478" t="s">
        <v>423</v>
      </c>
      <c r="C141" s="478" t="s">
        <v>423</v>
      </c>
      <c r="D141" s="486" t="s">
        <v>9477</v>
      </c>
      <c r="E141" s="481" t="s">
        <v>11793</v>
      </c>
      <c r="F141" s="429" t="s">
        <v>11796</v>
      </c>
      <c r="G141" s="15" t="s">
        <v>202</v>
      </c>
      <c r="H141" s="482" t="s">
        <v>43</v>
      </c>
    </row>
    <row r="142" spans="1:8" ht="18">
      <c r="A142" s="477">
        <v>141</v>
      </c>
      <c r="B142" s="484" t="s">
        <v>334</v>
      </c>
      <c r="C142" s="484" t="s">
        <v>334</v>
      </c>
      <c r="D142" s="486" t="s">
        <v>11694</v>
      </c>
      <c r="E142" s="481" t="s">
        <v>11793</v>
      </c>
      <c r="F142" s="429" t="s">
        <v>11796</v>
      </c>
      <c r="G142" s="15" t="s">
        <v>202</v>
      </c>
      <c r="H142" s="482" t="s">
        <v>43</v>
      </c>
    </row>
    <row r="143" spans="1:8" ht="18">
      <c r="A143" s="477">
        <v>142</v>
      </c>
      <c r="B143" s="478" t="s">
        <v>1604</v>
      </c>
      <c r="C143" s="484" t="s">
        <v>1607</v>
      </c>
      <c r="D143" s="486" t="s">
        <v>9485</v>
      </c>
      <c r="E143" s="481" t="s">
        <v>11793</v>
      </c>
      <c r="F143" s="429" t="s">
        <v>11796</v>
      </c>
      <c r="G143" s="15" t="s">
        <v>202</v>
      </c>
      <c r="H143" s="482" t="s">
        <v>43</v>
      </c>
    </row>
    <row r="144" spans="1:8" ht="18">
      <c r="A144" s="477">
        <v>143</v>
      </c>
      <c r="B144" s="478" t="s">
        <v>11792</v>
      </c>
      <c r="C144" s="484" t="s">
        <v>2621</v>
      </c>
      <c r="D144" s="486" t="s">
        <v>11678</v>
      </c>
      <c r="E144" s="481" t="s">
        <v>11793</v>
      </c>
      <c r="F144" s="481" t="s">
        <v>11795</v>
      </c>
      <c r="G144" s="15" t="s">
        <v>202</v>
      </c>
      <c r="H144" s="482" t="s">
        <v>43</v>
      </c>
    </row>
    <row r="145" spans="1:8" ht="18">
      <c r="A145" s="477">
        <v>144</v>
      </c>
      <c r="B145" s="478" t="s">
        <v>2476</v>
      </c>
      <c r="C145" s="484" t="s">
        <v>2505</v>
      </c>
      <c r="D145" s="466" t="s">
        <v>9528</v>
      </c>
      <c r="E145" s="481" t="s">
        <v>11793</v>
      </c>
      <c r="F145" s="429" t="s">
        <v>11796</v>
      </c>
      <c r="G145" s="15" t="s">
        <v>202</v>
      </c>
      <c r="H145" s="482" t="s">
        <v>43</v>
      </c>
    </row>
    <row r="146" spans="1:8" ht="18">
      <c r="A146" s="477">
        <v>145</v>
      </c>
      <c r="B146" s="478" t="s">
        <v>1595</v>
      </c>
      <c r="C146" s="478" t="s">
        <v>1598</v>
      </c>
      <c r="D146" s="486" t="s">
        <v>9401</v>
      </c>
      <c r="E146" s="481" t="s">
        <v>11793</v>
      </c>
      <c r="F146" s="429" t="s">
        <v>11796</v>
      </c>
      <c r="G146" s="15" t="s">
        <v>202</v>
      </c>
      <c r="H146" s="482" t="s">
        <v>43</v>
      </c>
    </row>
    <row r="147" spans="1:8" ht="18">
      <c r="A147" s="477">
        <v>146</v>
      </c>
      <c r="B147" s="478">
        <v>473</v>
      </c>
      <c r="C147" s="478" t="s">
        <v>423</v>
      </c>
      <c r="D147" s="486" t="s">
        <v>9409</v>
      </c>
      <c r="E147" s="481" t="s">
        <v>11793</v>
      </c>
      <c r="F147" s="429" t="s">
        <v>11796</v>
      </c>
      <c r="G147" s="15" t="s">
        <v>202</v>
      </c>
      <c r="H147" s="482" t="s">
        <v>43</v>
      </c>
    </row>
    <row r="148" spans="1:8" ht="18">
      <c r="A148" s="477">
        <v>147</v>
      </c>
      <c r="B148" s="478" t="s">
        <v>2449</v>
      </c>
      <c r="C148" s="478" t="s">
        <v>2449</v>
      </c>
      <c r="D148" s="486" t="s">
        <v>11611</v>
      </c>
      <c r="E148" s="481" t="s">
        <v>11793</v>
      </c>
      <c r="F148" s="429" t="s">
        <v>11796</v>
      </c>
      <c r="G148" s="15" t="s">
        <v>202</v>
      </c>
      <c r="H148" s="482" t="s">
        <v>43</v>
      </c>
    </row>
    <row r="149" spans="1:8" ht="18">
      <c r="A149" s="477">
        <v>148</v>
      </c>
      <c r="B149" s="478">
        <v>266</v>
      </c>
      <c r="C149" s="478" t="s">
        <v>423</v>
      </c>
      <c r="D149" s="486" t="s">
        <v>9420</v>
      </c>
      <c r="E149" s="481" t="s">
        <v>11793</v>
      </c>
      <c r="F149" s="429" t="s">
        <v>11796</v>
      </c>
      <c r="G149" s="15" t="s">
        <v>202</v>
      </c>
      <c r="H149" s="482" t="s">
        <v>43</v>
      </c>
    </row>
    <row r="150" spans="1:8" ht="18">
      <c r="A150" s="477">
        <v>149</v>
      </c>
      <c r="B150" s="478" t="s">
        <v>1595</v>
      </c>
      <c r="C150" s="478" t="s">
        <v>1598</v>
      </c>
      <c r="D150" s="486" t="s">
        <v>11700</v>
      </c>
      <c r="E150" s="481" t="s">
        <v>11793</v>
      </c>
      <c r="F150" s="429" t="s">
        <v>11796</v>
      </c>
      <c r="G150" s="15" t="s">
        <v>202</v>
      </c>
      <c r="H150" s="482" t="s">
        <v>43</v>
      </c>
    </row>
    <row r="151" spans="1:8" ht="18">
      <c r="A151" s="477">
        <v>150</v>
      </c>
      <c r="B151" s="478" t="s">
        <v>423</v>
      </c>
      <c r="C151" s="478" t="s">
        <v>423</v>
      </c>
      <c r="D151" s="486" t="s">
        <v>11708</v>
      </c>
      <c r="E151" s="481" t="s">
        <v>11793</v>
      </c>
      <c r="F151" s="481" t="s">
        <v>11795</v>
      </c>
      <c r="G151" s="15" t="s">
        <v>202</v>
      </c>
      <c r="H151" s="482" t="s">
        <v>43</v>
      </c>
    </row>
    <row r="152" spans="1:8" ht="18">
      <c r="A152" s="477">
        <v>151</v>
      </c>
      <c r="B152" s="478" t="s">
        <v>4623</v>
      </c>
      <c r="C152" s="478" t="s">
        <v>2555</v>
      </c>
      <c r="D152" s="486" t="s">
        <v>11710</v>
      </c>
      <c r="E152" s="481" t="s">
        <v>11793</v>
      </c>
      <c r="F152" s="429" t="s">
        <v>11796</v>
      </c>
      <c r="G152" s="15" t="s">
        <v>202</v>
      </c>
      <c r="H152" s="482" t="s">
        <v>43</v>
      </c>
    </row>
    <row r="153" spans="1:8" ht="18">
      <c r="A153" s="477">
        <v>152</v>
      </c>
      <c r="B153" s="478" t="s">
        <v>933</v>
      </c>
      <c r="C153" s="478" t="s">
        <v>3328</v>
      </c>
      <c r="D153" s="486" t="s">
        <v>11721</v>
      </c>
      <c r="E153" s="481" t="s">
        <v>11793</v>
      </c>
      <c r="F153" s="429" t="s">
        <v>11796</v>
      </c>
      <c r="G153" s="15" t="s">
        <v>202</v>
      </c>
      <c r="H153" s="482" t="s">
        <v>43</v>
      </c>
    </row>
    <row r="154" spans="1:8" ht="18">
      <c r="A154" s="477">
        <v>153</v>
      </c>
      <c r="B154" s="478" t="s">
        <v>423</v>
      </c>
      <c r="C154" s="478" t="s">
        <v>423</v>
      </c>
      <c r="D154" s="486" t="s">
        <v>11491</v>
      </c>
      <c r="E154" s="481" t="s">
        <v>11793</v>
      </c>
      <c r="F154" s="429" t="s">
        <v>11796</v>
      </c>
      <c r="G154" s="15" t="s">
        <v>202</v>
      </c>
      <c r="H154" s="482" t="s">
        <v>43</v>
      </c>
    </row>
    <row r="155" spans="1:8" ht="18">
      <c r="A155" s="477">
        <v>154</v>
      </c>
      <c r="B155" s="478" t="s">
        <v>1595</v>
      </c>
      <c r="C155" s="478" t="s">
        <v>1603</v>
      </c>
      <c r="D155" s="486" t="s">
        <v>11790</v>
      </c>
      <c r="E155" s="481" t="s">
        <v>11793</v>
      </c>
      <c r="F155" s="481" t="s">
        <v>11795</v>
      </c>
      <c r="G155" s="15" t="s">
        <v>202</v>
      </c>
      <c r="H155" s="482" t="s">
        <v>43</v>
      </c>
    </row>
    <row r="156" spans="1:8" ht="18">
      <c r="A156" s="477">
        <v>155</v>
      </c>
      <c r="B156" s="478" t="s">
        <v>1595</v>
      </c>
      <c r="C156" s="478" t="s">
        <v>1598</v>
      </c>
      <c r="D156" s="486" t="s">
        <v>9391</v>
      </c>
      <c r="E156" s="481" t="s">
        <v>11793</v>
      </c>
      <c r="F156" s="429" t="s">
        <v>11796</v>
      </c>
      <c r="G156" s="15" t="s">
        <v>202</v>
      </c>
      <c r="H156" s="482" t="s">
        <v>43</v>
      </c>
    </row>
    <row r="157" spans="1:8" ht="18">
      <c r="A157" s="477">
        <v>156</v>
      </c>
      <c r="B157" s="478" t="s">
        <v>2592</v>
      </c>
      <c r="C157" s="478" t="s">
        <v>11789</v>
      </c>
      <c r="D157" s="486" t="s">
        <v>11485</v>
      </c>
      <c r="E157" s="481" t="s">
        <v>11793</v>
      </c>
      <c r="F157" s="429" t="s">
        <v>11796</v>
      </c>
      <c r="G157" s="15" t="s">
        <v>202</v>
      </c>
      <c r="H157" s="482" t="s">
        <v>43</v>
      </c>
    </row>
    <row r="158" spans="1:8" ht="18">
      <c r="A158" s="477">
        <v>157</v>
      </c>
      <c r="B158" s="478" t="s">
        <v>1595</v>
      </c>
      <c r="C158" s="478" t="s">
        <v>1598</v>
      </c>
      <c r="D158" s="486" t="s">
        <v>11486</v>
      </c>
      <c r="E158" s="481" t="s">
        <v>11793</v>
      </c>
      <c r="F158" s="429" t="s">
        <v>11796</v>
      </c>
      <c r="G158" s="15" t="s">
        <v>202</v>
      </c>
      <c r="H158" s="482" t="s">
        <v>43</v>
      </c>
    </row>
    <row r="159" spans="1:8" ht="18">
      <c r="A159" s="477">
        <v>158</v>
      </c>
      <c r="B159" s="478">
        <v>215</v>
      </c>
      <c r="C159" s="478" t="s">
        <v>1598</v>
      </c>
      <c r="D159" s="486" t="s">
        <v>9369</v>
      </c>
      <c r="E159" s="481" t="s">
        <v>11793</v>
      </c>
      <c r="F159" s="429" t="s">
        <v>11796</v>
      </c>
      <c r="G159" s="15" t="s">
        <v>202</v>
      </c>
      <c r="H159" s="482" t="s">
        <v>43</v>
      </c>
    </row>
    <row r="160" spans="1:8" ht="18">
      <c r="A160" s="477">
        <v>159</v>
      </c>
      <c r="B160" s="478" t="s">
        <v>2476</v>
      </c>
      <c r="C160" s="478" t="s">
        <v>2476</v>
      </c>
      <c r="D160" s="486" t="s">
        <v>11587</v>
      </c>
      <c r="E160" s="481" t="s">
        <v>11793</v>
      </c>
      <c r="F160" s="429" t="s">
        <v>11796</v>
      </c>
      <c r="G160" s="15" t="s">
        <v>202</v>
      </c>
      <c r="H160" s="482" t="s">
        <v>43</v>
      </c>
    </row>
    <row r="161" spans="1:8" ht="18">
      <c r="A161" s="477">
        <v>160</v>
      </c>
      <c r="B161" s="478" t="s">
        <v>1595</v>
      </c>
      <c r="C161" s="478" t="s">
        <v>1598</v>
      </c>
      <c r="D161" s="486" t="s">
        <v>11484</v>
      </c>
      <c r="E161" s="481" t="s">
        <v>11793</v>
      </c>
      <c r="F161" s="429" t="s">
        <v>11796</v>
      </c>
      <c r="G161" s="15" t="s">
        <v>202</v>
      </c>
      <c r="H161" s="482" t="s">
        <v>43</v>
      </c>
    </row>
    <row r="162" spans="1:8" ht="18">
      <c r="A162" s="477">
        <v>161</v>
      </c>
      <c r="B162" s="478"/>
      <c r="C162" s="478"/>
      <c r="D162" s="486" t="s">
        <v>9814</v>
      </c>
      <c r="E162" s="480" t="s">
        <v>11794</v>
      </c>
      <c r="F162" s="429" t="s">
        <v>11796</v>
      </c>
      <c r="G162" s="15" t="s">
        <v>202</v>
      </c>
      <c r="H162" s="482" t="s">
        <v>43</v>
      </c>
    </row>
    <row r="163" spans="1:8" ht="18">
      <c r="A163" s="477">
        <v>162</v>
      </c>
      <c r="B163" s="19"/>
      <c r="C163" s="19"/>
      <c r="D163" s="486" t="s">
        <v>9817</v>
      </c>
      <c r="E163" s="480" t="s">
        <v>11794</v>
      </c>
      <c r="F163" s="429" t="s">
        <v>11796</v>
      </c>
      <c r="G163" s="15" t="s">
        <v>202</v>
      </c>
      <c r="H163" s="482" t="s">
        <v>43</v>
      </c>
    </row>
    <row r="164" spans="1:8" ht="18">
      <c r="A164" s="477">
        <v>163</v>
      </c>
      <c r="B164" s="19"/>
      <c r="C164" s="19"/>
      <c r="D164" s="486" t="s">
        <v>9820</v>
      </c>
      <c r="E164" s="480" t="s">
        <v>11794</v>
      </c>
      <c r="F164" s="429" t="s">
        <v>11796</v>
      </c>
      <c r="G164" s="15" t="s">
        <v>202</v>
      </c>
      <c r="H164" s="482" t="s">
        <v>43</v>
      </c>
    </row>
    <row r="165" spans="1:8" ht="18">
      <c r="A165" s="477">
        <v>164</v>
      </c>
      <c r="B165" s="19"/>
      <c r="C165" s="19"/>
      <c r="D165" s="486" t="s">
        <v>9823</v>
      </c>
      <c r="E165" s="480" t="s">
        <v>11794</v>
      </c>
      <c r="F165" s="429" t="s">
        <v>11796</v>
      </c>
      <c r="G165" s="15" t="s">
        <v>202</v>
      </c>
      <c r="H165" s="482" t="s">
        <v>43</v>
      </c>
    </row>
    <row r="166" spans="1:8" ht="18">
      <c r="A166" s="477">
        <v>165</v>
      </c>
      <c r="B166" s="19"/>
      <c r="C166" s="133"/>
      <c r="D166" s="486" t="s">
        <v>9826</v>
      </c>
      <c r="E166" s="480" t="s">
        <v>11794</v>
      </c>
      <c r="F166" s="429" t="s">
        <v>11796</v>
      </c>
      <c r="G166" s="15" t="s">
        <v>202</v>
      </c>
      <c r="H166" s="482" t="s">
        <v>43</v>
      </c>
    </row>
    <row r="167" spans="1:8" ht="18">
      <c r="A167" s="477">
        <v>166</v>
      </c>
      <c r="B167" s="19"/>
      <c r="C167" s="19"/>
      <c r="D167" s="486" t="s">
        <v>9829</v>
      </c>
      <c r="E167" s="480" t="s">
        <v>11794</v>
      </c>
      <c r="F167" s="429" t="s">
        <v>11796</v>
      </c>
      <c r="G167" s="15" t="s">
        <v>202</v>
      </c>
      <c r="H167" s="482" t="s">
        <v>43</v>
      </c>
    </row>
    <row r="168" spans="1:8" ht="18">
      <c r="A168" s="477">
        <v>167</v>
      </c>
      <c r="B168" s="19"/>
      <c r="C168" s="19"/>
      <c r="D168" s="486" t="s">
        <v>9832</v>
      </c>
      <c r="E168" s="480" t="s">
        <v>11794</v>
      </c>
      <c r="F168" s="429" t="s">
        <v>11796</v>
      </c>
      <c r="G168" s="15" t="s">
        <v>202</v>
      </c>
      <c r="H168" s="482" t="s">
        <v>43</v>
      </c>
    </row>
    <row r="169" spans="1:8" ht="18">
      <c r="A169" s="477">
        <v>168</v>
      </c>
      <c r="B169" s="19"/>
      <c r="C169" s="19"/>
      <c r="D169" s="486" t="s">
        <v>9835</v>
      </c>
      <c r="E169" s="480" t="s">
        <v>11794</v>
      </c>
      <c r="F169" s="429" t="s">
        <v>11796</v>
      </c>
      <c r="G169" s="15" t="s">
        <v>202</v>
      </c>
      <c r="H169" s="482" t="s">
        <v>43</v>
      </c>
    </row>
    <row r="170" spans="1:8" ht="18">
      <c r="A170" s="477">
        <v>169</v>
      </c>
      <c r="B170" s="19"/>
      <c r="C170" s="19"/>
      <c r="D170" s="486" t="s">
        <v>9838</v>
      </c>
      <c r="E170" s="480" t="s">
        <v>11794</v>
      </c>
      <c r="F170" s="429" t="s">
        <v>11796</v>
      </c>
      <c r="G170" s="15" t="s">
        <v>202</v>
      </c>
      <c r="H170" s="482" t="s">
        <v>43</v>
      </c>
    </row>
    <row r="171" spans="1:8" ht="18">
      <c r="A171" s="477">
        <v>170</v>
      </c>
      <c r="B171" s="19"/>
      <c r="C171" s="19"/>
      <c r="D171" s="486" t="s">
        <v>9841</v>
      </c>
      <c r="E171" s="480" t="s">
        <v>11794</v>
      </c>
      <c r="F171" s="429" t="s">
        <v>11796</v>
      </c>
      <c r="G171" s="15" t="s">
        <v>202</v>
      </c>
      <c r="H171" s="482" t="s">
        <v>43</v>
      </c>
    </row>
    <row r="172" spans="1:8" ht="18">
      <c r="A172" s="477">
        <v>171</v>
      </c>
      <c r="B172" s="19"/>
      <c r="C172" s="133"/>
      <c r="D172" s="486" t="s">
        <v>9844</v>
      </c>
      <c r="E172" s="480" t="s">
        <v>11794</v>
      </c>
      <c r="F172" s="429" t="s">
        <v>11796</v>
      </c>
      <c r="G172" s="15" t="s">
        <v>202</v>
      </c>
      <c r="H172" s="482" t="s">
        <v>43</v>
      </c>
    </row>
    <row r="173" spans="1:8" ht="18">
      <c r="A173" s="477">
        <v>172</v>
      </c>
      <c r="B173" s="19"/>
      <c r="C173" s="19"/>
      <c r="D173" s="486" t="s">
        <v>9847</v>
      </c>
      <c r="E173" s="480" t="s">
        <v>11794</v>
      </c>
      <c r="F173" s="429" t="s">
        <v>11796</v>
      </c>
      <c r="G173" s="15" t="s">
        <v>202</v>
      </c>
      <c r="H173" s="482" t="s">
        <v>43</v>
      </c>
    </row>
    <row r="174" spans="1:8" ht="18">
      <c r="A174" s="477">
        <v>173</v>
      </c>
      <c r="B174" s="19"/>
      <c r="C174" s="19"/>
      <c r="D174" s="486" t="s">
        <v>9850</v>
      </c>
      <c r="E174" s="480" t="s">
        <v>11794</v>
      </c>
      <c r="F174" s="429" t="s">
        <v>11796</v>
      </c>
      <c r="G174" s="15" t="s">
        <v>202</v>
      </c>
      <c r="H174" s="482" t="s">
        <v>43</v>
      </c>
    </row>
    <row r="175" spans="1:8" ht="18">
      <c r="A175" s="477">
        <v>174</v>
      </c>
      <c r="B175" s="19"/>
      <c r="C175" s="19"/>
      <c r="D175" s="486" t="s">
        <v>9853</v>
      </c>
      <c r="E175" s="480" t="s">
        <v>11794</v>
      </c>
      <c r="F175" s="429" t="s">
        <v>11796</v>
      </c>
      <c r="G175" s="15" t="s">
        <v>202</v>
      </c>
      <c r="H175" s="482" t="s">
        <v>43</v>
      </c>
    </row>
    <row r="176" spans="1:8" ht="18">
      <c r="A176" s="477">
        <v>175</v>
      </c>
      <c r="B176" s="19"/>
      <c r="C176" s="19"/>
      <c r="D176" s="486" t="s">
        <v>9856</v>
      </c>
      <c r="E176" s="480" t="s">
        <v>11794</v>
      </c>
      <c r="F176" s="429" t="s">
        <v>11796</v>
      </c>
      <c r="G176" s="15" t="s">
        <v>202</v>
      </c>
      <c r="H176" s="482" t="s">
        <v>43</v>
      </c>
    </row>
    <row r="177" spans="1:8" ht="18">
      <c r="A177" s="477">
        <v>176</v>
      </c>
      <c r="B177" s="19"/>
      <c r="C177" s="133"/>
      <c r="D177" s="486" t="s">
        <v>9859</v>
      </c>
      <c r="E177" s="480" t="s">
        <v>11794</v>
      </c>
      <c r="F177" s="429" t="s">
        <v>11796</v>
      </c>
      <c r="G177" s="15" t="s">
        <v>202</v>
      </c>
      <c r="H177" s="482" t="s">
        <v>43</v>
      </c>
    </row>
    <row r="178" spans="1:8" ht="18">
      <c r="A178" s="477">
        <v>177</v>
      </c>
      <c r="B178" s="19"/>
      <c r="C178" s="19"/>
      <c r="D178" s="486" t="s">
        <v>9861</v>
      </c>
      <c r="E178" s="480" t="s">
        <v>11794</v>
      </c>
      <c r="F178" s="429" t="s">
        <v>11796</v>
      </c>
      <c r="G178" s="15" t="s">
        <v>202</v>
      </c>
      <c r="H178" s="482" t="s">
        <v>43</v>
      </c>
    </row>
    <row r="179" spans="1:8" ht="18">
      <c r="A179" s="477">
        <v>178</v>
      </c>
      <c r="B179" s="19"/>
      <c r="C179" s="19"/>
      <c r="D179" s="486" t="s">
        <v>9863</v>
      </c>
      <c r="E179" s="480" t="s">
        <v>11794</v>
      </c>
      <c r="F179" s="429" t="s">
        <v>11796</v>
      </c>
      <c r="G179" s="15" t="s">
        <v>202</v>
      </c>
      <c r="H179" s="482" t="s">
        <v>43</v>
      </c>
    </row>
    <row r="180" spans="1:8" ht="18">
      <c r="A180" s="477">
        <v>179</v>
      </c>
      <c r="B180" s="19"/>
      <c r="C180" s="19"/>
      <c r="D180" s="486" t="s">
        <v>9865</v>
      </c>
      <c r="E180" s="480" t="s">
        <v>11794</v>
      </c>
      <c r="F180" s="429" t="s">
        <v>11796</v>
      </c>
      <c r="G180" s="15" t="s">
        <v>202</v>
      </c>
      <c r="H180" s="482" t="s">
        <v>43</v>
      </c>
    </row>
    <row r="181" spans="1:8" ht="18">
      <c r="A181" s="477">
        <v>180</v>
      </c>
      <c r="B181" s="19"/>
      <c r="C181" s="133"/>
      <c r="D181" s="486" t="s">
        <v>9867</v>
      </c>
      <c r="E181" s="480" t="s">
        <v>11794</v>
      </c>
      <c r="F181" s="429" t="s">
        <v>11796</v>
      </c>
      <c r="G181" s="15" t="s">
        <v>202</v>
      </c>
      <c r="H181" s="482" t="s">
        <v>43</v>
      </c>
    </row>
    <row r="182" spans="1:8" ht="18">
      <c r="A182" s="477">
        <v>181</v>
      </c>
      <c r="B182" s="19"/>
      <c r="C182" s="19"/>
      <c r="D182" s="486" t="s">
        <v>9870</v>
      </c>
      <c r="E182" s="480" t="s">
        <v>11794</v>
      </c>
      <c r="F182" s="429" t="s">
        <v>11796</v>
      </c>
      <c r="G182" s="15" t="s">
        <v>202</v>
      </c>
      <c r="H182" s="482" t="s">
        <v>43</v>
      </c>
    </row>
    <row r="183" spans="1:8" ht="18">
      <c r="A183" s="477">
        <v>182</v>
      </c>
      <c r="B183" s="19"/>
      <c r="C183" s="19"/>
      <c r="D183" s="486" t="s">
        <v>9871</v>
      </c>
      <c r="E183" s="480" t="s">
        <v>11794</v>
      </c>
      <c r="F183" s="429" t="s">
        <v>11796</v>
      </c>
      <c r="G183" s="15" t="s">
        <v>202</v>
      </c>
      <c r="H183" s="482" t="s">
        <v>43</v>
      </c>
    </row>
    <row r="184" spans="1:8" ht="18">
      <c r="A184" s="477">
        <v>183</v>
      </c>
      <c r="B184" s="19"/>
      <c r="C184" s="19"/>
      <c r="D184" s="486" t="s">
        <v>9872</v>
      </c>
      <c r="E184" s="480" t="s">
        <v>11794</v>
      </c>
      <c r="F184" s="429" t="s">
        <v>11796</v>
      </c>
      <c r="G184" s="15" t="s">
        <v>202</v>
      </c>
      <c r="H184" s="482" t="s">
        <v>43</v>
      </c>
    </row>
    <row r="185" spans="1:8" ht="18">
      <c r="A185" s="477">
        <v>184</v>
      </c>
      <c r="B185" s="19"/>
      <c r="C185" s="19"/>
      <c r="D185" s="486" t="s">
        <v>9874</v>
      </c>
      <c r="E185" s="480" t="s">
        <v>11794</v>
      </c>
      <c r="F185" s="429" t="s">
        <v>11796</v>
      </c>
      <c r="G185" s="15" t="s">
        <v>202</v>
      </c>
      <c r="H185" s="482" t="s">
        <v>43</v>
      </c>
    </row>
    <row r="186" spans="1:8" ht="18">
      <c r="A186" s="477">
        <v>185</v>
      </c>
      <c r="B186" s="19"/>
      <c r="C186" s="19"/>
      <c r="D186" s="486" t="s">
        <v>9876</v>
      </c>
      <c r="E186" s="480" t="s">
        <v>11794</v>
      </c>
      <c r="F186" s="429" t="s">
        <v>11796</v>
      </c>
      <c r="G186" s="15" t="s">
        <v>202</v>
      </c>
      <c r="H186" s="482" t="s">
        <v>43</v>
      </c>
    </row>
    <row r="187" spans="1:8" ht="18">
      <c r="A187" s="477">
        <v>186</v>
      </c>
      <c r="B187" s="19"/>
      <c r="C187" s="19"/>
      <c r="D187" s="486" t="s">
        <v>9877</v>
      </c>
      <c r="E187" s="480" t="s">
        <v>11794</v>
      </c>
      <c r="F187" s="429" t="s">
        <v>11796</v>
      </c>
      <c r="G187" s="15" t="s">
        <v>202</v>
      </c>
      <c r="H187" s="482" t="s">
        <v>43</v>
      </c>
    </row>
    <row r="188" spans="1:8" ht="18">
      <c r="A188" s="477">
        <v>187</v>
      </c>
      <c r="B188" s="19"/>
      <c r="C188" s="19"/>
      <c r="D188" s="486" t="s">
        <v>9878</v>
      </c>
      <c r="E188" s="480" t="s">
        <v>11794</v>
      </c>
      <c r="F188" s="429" t="s">
        <v>11796</v>
      </c>
      <c r="G188" s="15" t="s">
        <v>202</v>
      </c>
      <c r="H188" s="482" t="s">
        <v>43</v>
      </c>
    </row>
    <row r="189" spans="1:8" ht="18">
      <c r="A189" s="477">
        <v>188</v>
      </c>
      <c r="B189" s="19"/>
      <c r="C189" s="19"/>
      <c r="D189" s="486" t="s">
        <v>9879</v>
      </c>
      <c r="E189" s="480" t="s">
        <v>11794</v>
      </c>
      <c r="F189" s="429" t="s">
        <v>11796</v>
      </c>
      <c r="G189" s="15" t="s">
        <v>202</v>
      </c>
      <c r="H189" s="482" t="s">
        <v>43</v>
      </c>
    </row>
    <row r="190" spans="1:8" ht="18">
      <c r="A190" s="477">
        <v>189</v>
      </c>
      <c r="B190" s="19"/>
      <c r="C190" s="133"/>
      <c r="D190" s="486" t="s">
        <v>9880</v>
      </c>
      <c r="E190" s="480" t="s">
        <v>11794</v>
      </c>
      <c r="F190" s="429" t="s">
        <v>11796</v>
      </c>
      <c r="G190" s="15" t="s">
        <v>202</v>
      </c>
      <c r="H190" s="482" t="s">
        <v>43</v>
      </c>
    </row>
    <row r="191" spans="1:8" ht="18">
      <c r="A191" s="477">
        <v>190</v>
      </c>
      <c r="B191" s="19"/>
      <c r="C191" s="19"/>
      <c r="D191" s="486" t="s">
        <v>9881</v>
      </c>
      <c r="E191" s="480" t="s">
        <v>11794</v>
      </c>
      <c r="F191" s="429" t="s">
        <v>11796</v>
      </c>
      <c r="G191" s="15" t="s">
        <v>202</v>
      </c>
      <c r="H191" s="482" t="s">
        <v>43</v>
      </c>
    </row>
    <row r="192" spans="1:8" ht="18">
      <c r="A192" s="477">
        <v>191</v>
      </c>
      <c r="B192" s="19"/>
      <c r="C192" s="133"/>
      <c r="D192" s="486" t="s">
        <v>9882</v>
      </c>
      <c r="E192" s="480" t="s">
        <v>11794</v>
      </c>
      <c r="F192" s="429" t="s">
        <v>11796</v>
      </c>
      <c r="G192" s="15" t="s">
        <v>202</v>
      </c>
      <c r="H192" s="482" t="s">
        <v>43</v>
      </c>
    </row>
    <row r="193" spans="1:8" ht="18">
      <c r="A193" s="477">
        <v>192</v>
      </c>
      <c r="B193" s="19"/>
      <c r="C193" s="133"/>
      <c r="D193" s="486" t="s">
        <v>9883</v>
      </c>
      <c r="E193" s="480" t="s">
        <v>11794</v>
      </c>
      <c r="F193" s="429" t="s">
        <v>11796</v>
      </c>
      <c r="G193" s="15" t="s">
        <v>202</v>
      </c>
      <c r="H193" s="482" t="s">
        <v>43</v>
      </c>
    </row>
    <row r="194" spans="1:8" ht="18">
      <c r="A194" s="477">
        <v>193</v>
      </c>
      <c r="B194" s="19"/>
      <c r="C194" s="133"/>
      <c r="D194" s="486" t="s">
        <v>9884</v>
      </c>
      <c r="E194" s="480" t="s">
        <v>11794</v>
      </c>
      <c r="F194" s="429" t="s">
        <v>11796</v>
      </c>
      <c r="G194" s="15" t="s">
        <v>202</v>
      </c>
      <c r="H194" s="482" t="s">
        <v>43</v>
      </c>
    </row>
    <row r="195" spans="1:8" ht="18">
      <c r="A195" s="477">
        <v>194</v>
      </c>
      <c r="B195" s="19"/>
      <c r="C195" s="133"/>
      <c r="D195" s="486" t="s">
        <v>9889</v>
      </c>
      <c r="E195" s="480" t="s">
        <v>11794</v>
      </c>
      <c r="F195" s="429" t="s">
        <v>11796</v>
      </c>
      <c r="G195" s="15" t="s">
        <v>202</v>
      </c>
      <c r="H195" s="482" t="s">
        <v>43</v>
      </c>
    </row>
    <row r="196" spans="1:8" ht="18">
      <c r="A196" s="477">
        <v>195</v>
      </c>
      <c r="B196" s="19"/>
      <c r="C196" s="133"/>
      <c r="D196" s="486" t="s">
        <v>9894</v>
      </c>
      <c r="E196" s="480" t="s">
        <v>11794</v>
      </c>
      <c r="F196" s="429" t="s">
        <v>11796</v>
      </c>
      <c r="G196" s="15" t="s">
        <v>202</v>
      </c>
      <c r="H196" s="482" t="s">
        <v>43</v>
      </c>
    </row>
    <row r="197" spans="1:8" ht="18">
      <c r="A197" s="477">
        <v>196</v>
      </c>
      <c r="B197" s="19"/>
      <c r="C197" s="133"/>
      <c r="D197" s="486" t="s">
        <v>9896</v>
      </c>
      <c r="E197" s="480" t="s">
        <v>11794</v>
      </c>
      <c r="F197" s="429" t="s">
        <v>11796</v>
      </c>
      <c r="G197" s="15" t="s">
        <v>202</v>
      </c>
      <c r="H197" s="482" t="s">
        <v>43</v>
      </c>
    </row>
    <row r="198" spans="1:8" ht="18">
      <c r="A198" s="477">
        <v>197</v>
      </c>
      <c r="B198" s="19"/>
      <c r="C198" s="133"/>
      <c r="D198" s="486" t="s">
        <v>9897</v>
      </c>
      <c r="E198" s="480" t="s">
        <v>11794</v>
      </c>
      <c r="F198" s="429" t="s">
        <v>11796</v>
      </c>
      <c r="G198" s="15" t="s">
        <v>202</v>
      </c>
      <c r="H198" s="482" t="s">
        <v>43</v>
      </c>
    </row>
    <row r="199" spans="1:8" ht="18">
      <c r="A199" s="477">
        <v>198</v>
      </c>
      <c r="B199" s="19"/>
      <c r="C199" s="19"/>
      <c r="D199" s="486" t="s">
        <v>9898</v>
      </c>
      <c r="E199" s="480" t="s">
        <v>11794</v>
      </c>
      <c r="F199" s="429" t="s">
        <v>11796</v>
      </c>
      <c r="G199" s="15" t="s">
        <v>202</v>
      </c>
      <c r="H199" s="482" t="s">
        <v>43</v>
      </c>
    </row>
    <row r="200" spans="1:8" ht="18">
      <c r="A200" s="477">
        <v>199</v>
      </c>
      <c r="B200" s="19"/>
      <c r="C200" s="19"/>
      <c r="D200" s="486" t="s">
        <v>9899</v>
      </c>
      <c r="E200" s="480" t="s">
        <v>11794</v>
      </c>
      <c r="F200" s="429" t="s">
        <v>11796</v>
      </c>
      <c r="G200" s="15" t="s">
        <v>202</v>
      </c>
      <c r="H200" s="482" t="s">
        <v>43</v>
      </c>
    </row>
    <row r="201" spans="1:8" ht="18">
      <c r="A201" s="477">
        <v>200</v>
      </c>
      <c r="B201" s="19"/>
      <c r="C201" s="19"/>
      <c r="D201" s="486" t="s">
        <v>9909</v>
      </c>
      <c r="E201" s="480" t="s">
        <v>11794</v>
      </c>
      <c r="F201" s="429" t="s">
        <v>11796</v>
      </c>
      <c r="G201" s="15" t="s">
        <v>202</v>
      </c>
      <c r="H201" s="482" t="s">
        <v>43</v>
      </c>
    </row>
    <row r="202" spans="1:8" ht="18">
      <c r="A202" s="477">
        <v>201</v>
      </c>
      <c r="B202" s="19"/>
      <c r="C202" s="19"/>
      <c r="D202" s="486" t="s">
        <v>9911</v>
      </c>
      <c r="E202" s="480" t="s">
        <v>11794</v>
      </c>
      <c r="F202" s="429" t="s">
        <v>11796</v>
      </c>
      <c r="G202" s="15" t="s">
        <v>202</v>
      </c>
      <c r="H202" s="482" t="s">
        <v>43</v>
      </c>
    </row>
    <row r="203" spans="1:8" ht="18">
      <c r="A203" s="477">
        <v>202</v>
      </c>
      <c r="B203" s="19"/>
      <c r="C203" s="19"/>
      <c r="D203" s="486" t="s">
        <v>9912</v>
      </c>
      <c r="E203" s="480" t="s">
        <v>11794</v>
      </c>
      <c r="F203" s="429" t="s">
        <v>11796</v>
      </c>
      <c r="G203" s="15" t="s">
        <v>202</v>
      </c>
      <c r="H203" s="482" t="s">
        <v>43</v>
      </c>
    </row>
    <row r="204" spans="1:8" ht="18">
      <c r="A204" s="477">
        <v>203</v>
      </c>
      <c r="B204" s="19"/>
      <c r="C204" s="19"/>
      <c r="D204" s="486" t="s">
        <v>9915</v>
      </c>
      <c r="E204" s="480" t="s">
        <v>11794</v>
      </c>
      <c r="F204" s="429" t="s">
        <v>11796</v>
      </c>
      <c r="G204" s="15" t="s">
        <v>202</v>
      </c>
      <c r="H204" s="482" t="s">
        <v>43</v>
      </c>
    </row>
    <row r="205" spans="1:8" ht="18">
      <c r="A205" s="477">
        <v>204</v>
      </c>
      <c r="B205" s="19"/>
      <c r="C205" s="19"/>
      <c r="D205" s="486" t="s">
        <v>9916</v>
      </c>
      <c r="E205" s="480" t="s">
        <v>11794</v>
      </c>
      <c r="F205" s="429" t="s">
        <v>11796</v>
      </c>
      <c r="G205" s="15" t="s">
        <v>202</v>
      </c>
      <c r="H205" s="482" t="s">
        <v>43</v>
      </c>
    </row>
    <row r="206" spans="1:8" ht="18">
      <c r="A206" s="477">
        <v>205</v>
      </c>
      <c r="B206" s="19"/>
      <c r="C206" s="133"/>
      <c r="D206" s="486" t="s">
        <v>9919</v>
      </c>
      <c r="E206" s="480" t="s">
        <v>11794</v>
      </c>
      <c r="F206" s="429" t="s">
        <v>11796</v>
      </c>
      <c r="G206" s="15" t="s">
        <v>202</v>
      </c>
      <c r="H206" s="482" t="s">
        <v>43</v>
      </c>
    </row>
    <row r="207" spans="1:8" ht="18">
      <c r="A207" s="477">
        <v>206</v>
      </c>
      <c r="B207" s="19"/>
      <c r="C207" s="133"/>
      <c r="D207" s="486" t="s">
        <v>9930</v>
      </c>
      <c r="E207" s="480" t="s">
        <v>11794</v>
      </c>
      <c r="F207" s="429" t="s">
        <v>11796</v>
      </c>
      <c r="G207" s="15" t="s">
        <v>202</v>
      </c>
      <c r="H207" s="482" t="s">
        <v>43</v>
      </c>
    </row>
    <row r="208" spans="1:8" ht="18">
      <c r="A208" s="477">
        <v>207</v>
      </c>
      <c r="B208" s="19"/>
      <c r="C208" s="19"/>
      <c r="D208" s="486" t="s">
        <v>9931</v>
      </c>
      <c r="E208" s="480" t="s">
        <v>11794</v>
      </c>
      <c r="F208" s="429" t="s">
        <v>11796</v>
      </c>
      <c r="G208" s="15" t="s">
        <v>202</v>
      </c>
      <c r="H208" s="482" t="s">
        <v>43</v>
      </c>
    </row>
    <row r="209" spans="1:8" ht="18">
      <c r="A209" s="477">
        <v>208</v>
      </c>
      <c r="B209" s="19"/>
      <c r="C209" s="19"/>
      <c r="D209" s="486" t="s">
        <v>9935</v>
      </c>
      <c r="E209" s="480" t="s">
        <v>11794</v>
      </c>
      <c r="F209" s="429" t="s">
        <v>11796</v>
      </c>
      <c r="G209" s="15" t="s">
        <v>202</v>
      </c>
      <c r="H209" s="482" t="s">
        <v>43</v>
      </c>
    </row>
    <row r="210" spans="1:8" ht="18">
      <c r="A210" s="477">
        <v>209</v>
      </c>
      <c r="B210" s="19"/>
      <c r="C210" s="133"/>
      <c r="D210" s="486" t="s">
        <v>9938</v>
      </c>
      <c r="E210" s="480" t="s">
        <v>11794</v>
      </c>
      <c r="F210" s="429" t="s">
        <v>11796</v>
      </c>
      <c r="G210" s="15" t="s">
        <v>202</v>
      </c>
      <c r="H210" s="482" t="s">
        <v>43</v>
      </c>
    </row>
    <row r="211" spans="1:8" ht="18">
      <c r="A211" s="477">
        <v>210</v>
      </c>
      <c r="B211" s="19"/>
      <c r="C211" s="133"/>
      <c r="D211" s="486" t="s">
        <v>9950</v>
      </c>
      <c r="E211" s="480" t="s">
        <v>11794</v>
      </c>
      <c r="F211" s="429" t="s">
        <v>11796</v>
      </c>
      <c r="G211" s="15" t="s">
        <v>202</v>
      </c>
      <c r="H211" s="482" t="s">
        <v>43</v>
      </c>
    </row>
    <row r="212" spans="1:8" ht="18">
      <c r="A212" s="477">
        <v>211</v>
      </c>
      <c r="B212" s="19"/>
      <c r="C212" s="133"/>
      <c r="D212" s="486" t="s">
        <v>9951</v>
      </c>
      <c r="E212" s="480" t="s">
        <v>11794</v>
      </c>
      <c r="F212" s="429" t="s">
        <v>11796</v>
      </c>
      <c r="G212" s="15" t="s">
        <v>202</v>
      </c>
      <c r="H212" s="482" t="s">
        <v>43</v>
      </c>
    </row>
    <row r="213" spans="1:8" ht="18">
      <c r="A213" s="477">
        <v>212</v>
      </c>
      <c r="B213" s="19"/>
      <c r="C213" s="133"/>
      <c r="D213" s="486" t="s">
        <v>9952</v>
      </c>
      <c r="E213" s="480" t="s">
        <v>11794</v>
      </c>
      <c r="F213" s="429" t="s">
        <v>11796</v>
      </c>
      <c r="G213" s="15" t="s">
        <v>202</v>
      </c>
      <c r="H213" s="482" t="s">
        <v>43</v>
      </c>
    </row>
    <row r="214" spans="1:8" ht="18">
      <c r="A214" s="477">
        <v>213</v>
      </c>
      <c r="B214" s="19"/>
      <c r="C214" s="133"/>
      <c r="D214" s="486" t="s">
        <v>9962</v>
      </c>
      <c r="E214" s="480" t="s">
        <v>11794</v>
      </c>
      <c r="F214" s="429" t="s">
        <v>11796</v>
      </c>
      <c r="G214" s="15" t="s">
        <v>202</v>
      </c>
      <c r="H214" s="482" t="s">
        <v>43</v>
      </c>
    </row>
    <row r="215" spans="1:8" ht="18">
      <c r="A215" s="477">
        <v>214</v>
      </c>
      <c r="B215" s="19"/>
      <c r="C215" s="133"/>
      <c r="D215" s="486" t="s">
        <v>9966</v>
      </c>
      <c r="E215" s="480" t="s">
        <v>11794</v>
      </c>
      <c r="F215" s="429" t="s">
        <v>11796</v>
      </c>
      <c r="G215" s="15" t="s">
        <v>202</v>
      </c>
      <c r="H215" s="482" t="s">
        <v>43</v>
      </c>
    </row>
    <row r="216" spans="1:8" ht="18">
      <c r="A216" s="477">
        <v>215</v>
      </c>
      <c r="B216" s="19"/>
      <c r="C216" s="133"/>
      <c r="D216" s="486" t="s">
        <v>9967</v>
      </c>
      <c r="E216" s="480" t="s">
        <v>11794</v>
      </c>
      <c r="F216" s="429" t="s">
        <v>11796</v>
      </c>
      <c r="G216" s="15" t="s">
        <v>202</v>
      </c>
      <c r="H216" s="482" t="s">
        <v>43</v>
      </c>
    </row>
    <row r="217" spans="1:8" ht="18">
      <c r="A217" s="477">
        <v>216</v>
      </c>
      <c r="B217" s="19"/>
      <c r="C217" s="19"/>
      <c r="D217" s="486" t="s">
        <v>9974</v>
      </c>
      <c r="E217" s="480" t="s">
        <v>11794</v>
      </c>
      <c r="F217" s="429" t="s">
        <v>11796</v>
      </c>
      <c r="G217" s="15" t="s">
        <v>202</v>
      </c>
      <c r="H217" s="482" t="s">
        <v>43</v>
      </c>
    </row>
    <row r="218" spans="1:8" ht="18">
      <c r="A218" s="477">
        <v>217</v>
      </c>
      <c r="B218" s="19"/>
      <c r="C218" s="19"/>
      <c r="D218" s="486" t="s">
        <v>9975</v>
      </c>
      <c r="E218" s="480" t="s">
        <v>11794</v>
      </c>
      <c r="F218" s="429" t="s">
        <v>11796</v>
      </c>
      <c r="G218" s="15" t="s">
        <v>202</v>
      </c>
      <c r="H218" s="482" t="s">
        <v>43</v>
      </c>
    </row>
    <row r="219" spans="1:8" ht="18">
      <c r="A219" s="477">
        <v>218</v>
      </c>
      <c r="B219" s="19"/>
      <c r="C219" s="19"/>
      <c r="D219" s="486" t="s">
        <v>9976</v>
      </c>
      <c r="E219" s="480" t="s">
        <v>11794</v>
      </c>
      <c r="F219" s="429" t="s">
        <v>11796</v>
      </c>
      <c r="G219" s="15" t="s">
        <v>202</v>
      </c>
      <c r="H219" s="482" t="s">
        <v>43</v>
      </c>
    </row>
    <row r="220" spans="1:8" ht="18">
      <c r="A220" s="477">
        <v>219</v>
      </c>
      <c r="B220" s="19"/>
      <c r="C220" s="19"/>
      <c r="D220" s="486" t="s">
        <v>9977</v>
      </c>
      <c r="E220" s="480" t="s">
        <v>11794</v>
      </c>
      <c r="F220" s="429" t="s">
        <v>11796</v>
      </c>
      <c r="G220" s="15" t="s">
        <v>202</v>
      </c>
      <c r="H220" s="482" t="s">
        <v>1084</v>
      </c>
    </row>
    <row r="221" spans="1:8" ht="18">
      <c r="A221" s="477">
        <v>220</v>
      </c>
      <c r="B221" s="19"/>
      <c r="C221" s="19"/>
      <c r="D221" s="486" t="s">
        <v>9978</v>
      </c>
      <c r="E221" s="480" t="s">
        <v>11794</v>
      </c>
      <c r="F221" s="429" t="s">
        <v>11796</v>
      </c>
      <c r="G221" s="15" t="s">
        <v>202</v>
      </c>
      <c r="H221" s="482" t="s">
        <v>43</v>
      </c>
    </row>
    <row r="222" spans="1:8" ht="18">
      <c r="A222" s="477">
        <v>221</v>
      </c>
      <c r="B222" s="19"/>
      <c r="C222" s="19"/>
      <c r="D222" s="486" t="s">
        <v>9981</v>
      </c>
      <c r="E222" s="480" t="s">
        <v>11794</v>
      </c>
      <c r="F222" s="429" t="s">
        <v>11796</v>
      </c>
      <c r="G222" s="15" t="s">
        <v>202</v>
      </c>
      <c r="H222" s="482" t="s">
        <v>43</v>
      </c>
    </row>
    <row r="223" spans="1:8" ht="18">
      <c r="A223" s="477">
        <v>222</v>
      </c>
      <c r="B223" s="19"/>
      <c r="C223" s="19"/>
      <c r="D223" s="486" t="s">
        <v>9982</v>
      </c>
      <c r="E223" s="480" t="s">
        <v>11794</v>
      </c>
      <c r="F223" s="429" t="s">
        <v>11796</v>
      </c>
      <c r="G223" s="15" t="s">
        <v>202</v>
      </c>
      <c r="H223" s="482" t="s">
        <v>43</v>
      </c>
    </row>
    <row r="224" spans="1:8" ht="18">
      <c r="A224" s="477">
        <v>223</v>
      </c>
      <c r="B224" s="19"/>
      <c r="C224" s="19"/>
      <c r="D224" s="486" t="s">
        <v>9983</v>
      </c>
      <c r="E224" s="480" t="s">
        <v>11794</v>
      </c>
      <c r="F224" s="429" t="s">
        <v>11796</v>
      </c>
      <c r="G224" s="15" t="s">
        <v>202</v>
      </c>
      <c r="H224" s="482" t="s">
        <v>43</v>
      </c>
    </row>
    <row r="225" spans="1:8" ht="18">
      <c r="A225" s="477">
        <v>224</v>
      </c>
      <c r="B225" s="19"/>
      <c r="C225" s="19"/>
      <c r="D225" s="486" t="s">
        <v>9984</v>
      </c>
      <c r="E225" s="480" t="s">
        <v>11794</v>
      </c>
      <c r="F225" s="429" t="s">
        <v>11796</v>
      </c>
      <c r="G225" s="15" t="s">
        <v>202</v>
      </c>
      <c r="H225" s="482" t="s">
        <v>43</v>
      </c>
    </row>
    <row r="226" spans="1:8" ht="18">
      <c r="A226" s="477">
        <v>225</v>
      </c>
      <c r="B226" s="19"/>
      <c r="C226" s="19"/>
      <c r="D226" s="486" t="s">
        <v>9987</v>
      </c>
      <c r="E226" s="480" t="s">
        <v>11794</v>
      </c>
      <c r="F226" s="429" t="s">
        <v>11796</v>
      </c>
      <c r="G226" s="15" t="s">
        <v>202</v>
      </c>
      <c r="H226" s="482" t="s">
        <v>43</v>
      </c>
    </row>
    <row r="227" spans="1:8" ht="18">
      <c r="A227" s="477">
        <v>226</v>
      </c>
      <c r="B227" s="19"/>
      <c r="C227" s="19"/>
      <c r="D227" s="486" t="s">
        <v>9991</v>
      </c>
      <c r="E227" s="480" t="s">
        <v>11794</v>
      </c>
      <c r="F227" s="429" t="s">
        <v>11796</v>
      </c>
      <c r="G227" s="15" t="s">
        <v>202</v>
      </c>
      <c r="H227" s="482" t="s">
        <v>43</v>
      </c>
    </row>
    <row r="228" spans="1:8" ht="18">
      <c r="A228" s="477">
        <v>227</v>
      </c>
      <c r="B228" s="19"/>
      <c r="C228" s="19"/>
      <c r="D228" s="486" t="s">
        <v>9997</v>
      </c>
      <c r="E228" s="480" t="s">
        <v>11794</v>
      </c>
      <c r="F228" s="429" t="s">
        <v>11796</v>
      </c>
      <c r="G228" s="15" t="s">
        <v>202</v>
      </c>
      <c r="H228" s="482" t="s">
        <v>43</v>
      </c>
    </row>
    <row r="229" spans="1:8" ht="18">
      <c r="A229" s="477">
        <v>228</v>
      </c>
      <c r="B229" s="19"/>
      <c r="C229" s="19"/>
      <c r="D229" s="486" t="s">
        <v>9999</v>
      </c>
      <c r="E229" s="480" t="s">
        <v>11794</v>
      </c>
      <c r="F229" s="429" t="s">
        <v>11796</v>
      </c>
      <c r="G229" s="15" t="s">
        <v>202</v>
      </c>
      <c r="H229" s="482" t="s">
        <v>43</v>
      </c>
    </row>
    <row r="230" spans="1:8" ht="18">
      <c r="A230" s="477">
        <v>229</v>
      </c>
      <c r="B230" s="19"/>
      <c r="C230" s="19"/>
      <c r="D230" s="486" t="s">
        <v>10004</v>
      </c>
      <c r="E230" s="480" t="s">
        <v>11794</v>
      </c>
      <c r="F230" s="429" t="s">
        <v>11796</v>
      </c>
      <c r="G230" s="15" t="s">
        <v>202</v>
      </c>
      <c r="H230" s="482" t="s">
        <v>43</v>
      </c>
    </row>
    <row r="231" spans="1:8" ht="18">
      <c r="A231" s="477">
        <v>230</v>
      </c>
      <c r="B231" s="19"/>
      <c r="C231" s="19"/>
      <c r="D231" s="486" t="s">
        <v>10011</v>
      </c>
      <c r="E231" s="480" t="s">
        <v>11794</v>
      </c>
      <c r="F231" s="429" t="s">
        <v>11796</v>
      </c>
      <c r="G231" s="15" t="s">
        <v>202</v>
      </c>
      <c r="H231" s="482" t="s">
        <v>43</v>
      </c>
    </row>
    <row r="232" spans="1:8" ht="18">
      <c r="A232" s="477">
        <v>231</v>
      </c>
      <c r="B232" s="19"/>
      <c r="C232" s="19"/>
      <c r="D232" s="486" t="s">
        <v>10013</v>
      </c>
      <c r="E232" s="480" t="s">
        <v>11794</v>
      </c>
      <c r="F232" s="429" t="s">
        <v>11796</v>
      </c>
      <c r="G232" s="15" t="s">
        <v>202</v>
      </c>
      <c r="H232" s="482" t="s">
        <v>43</v>
      </c>
    </row>
    <row r="233" spans="1:8" ht="18">
      <c r="A233" s="477">
        <v>232</v>
      </c>
      <c r="B233" s="19"/>
      <c r="C233" s="19"/>
      <c r="D233" s="486" t="s">
        <v>10014</v>
      </c>
      <c r="E233" s="480" t="s">
        <v>11794</v>
      </c>
      <c r="F233" s="429" t="s">
        <v>11796</v>
      </c>
      <c r="G233" s="15" t="s">
        <v>202</v>
      </c>
      <c r="H233" s="482" t="s">
        <v>43</v>
      </c>
    </row>
    <row r="234" spans="1:8" ht="18">
      <c r="A234" s="477">
        <v>233</v>
      </c>
      <c r="B234" s="19"/>
      <c r="C234" s="133"/>
      <c r="D234" s="486" t="s">
        <v>10018</v>
      </c>
      <c r="E234" s="480" t="s">
        <v>11794</v>
      </c>
      <c r="F234" s="429" t="s">
        <v>11796</v>
      </c>
      <c r="G234" s="15" t="s">
        <v>202</v>
      </c>
      <c r="H234" s="482" t="s">
        <v>1084</v>
      </c>
    </row>
    <row r="235" spans="1:8" ht="18">
      <c r="A235" s="477">
        <v>234</v>
      </c>
      <c r="B235" s="19"/>
      <c r="C235" s="133"/>
      <c r="D235" s="486" t="s">
        <v>10019</v>
      </c>
      <c r="E235" s="480" t="s">
        <v>11794</v>
      </c>
      <c r="F235" s="429" t="s">
        <v>11796</v>
      </c>
      <c r="G235" s="15" t="s">
        <v>202</v>
      </c>
      <c r="H235" s="482" t="s">
        <v>43</v>
      </c>
    </row>
    <row r="236" spans="1:8" ht="18">
      <c r="A236" s="477">
        <v>235</v>
      </c>
      <c r="B236" s="19"/>
      <c r="C236" s="133"/>
      <c r="D236" s="486" t="s">
        <v>10020</v>
      </c>
      <c r="E236" s="480" t="s">
        <v>11794</v>
      </c>
      <c r="F236" s="429" t="s">
        <v>11796</v>
      </c>
      <c r="G236" s="15" t="s">
        <v>202</v>
      </c>
      <c r="H236" s="482" t="s">
        <v>43</v>
      </c>
    </row>
    <row r="237" spans="1:8" ht="18">
      <c r="A237" s="477">
        <v>236</v>
      </c>
      <c r="B237" s="19"/>
      <c r="C237" s="19"/>
      <c r="D237" s="486" t="s">
        <v>10021</v>
      </c>
      <c r="E237" s="480" t="s">
        <v>11794</v>
      </c>
      <c r="F237" s="429" t="s">
        <v>11796</v>
      </c>
      <c r="G237" s="15" t="s">
        <v>202</v>
      </c>
      <c r="H237" s="482" t="s">
        <v>43</v>
      </c>
    </row>
    <row r="238" spans="1:8" ht="18">
      <c r="A238" s="477">
        <v>237</v>
      </c>
      <c r="B238" s="19"/>
      <c r="C238" s="133"/>
      <c r="D238" s="486" t="s">
        <v>10022</v>
      </c>
      <c r="E238" s="480" t="s">
        <v>11794</v>
      </c>
      <c r="F238" s="429" t="s">
        <v>11796</v>
      </c>
      <c r="G238" s="15" t="s">
        <v>202</v>
      </c>
      <c r="H238" s="482" t="s">
        <v>43</v>
      </c>
    </row>
    <row r="239" spans="1:8" ht="18">
      <c r="A239" s="477">
        <v>238</v>
      </c>
      <c r="B239" s="19"/>
      <c r="C239" s="133"/>
      <c r="D239" s="486" t="s">
        <v>10023</v>
      </c>
      <c r="E239" s="480" t="s">
        <v>11794</v>
      </c>
      <c r="F239" s="429" t="s">
        <v>11796</v>
      </c>
      <c r="G239" s="15" t="s">
        <v>202</v>
      </c>
      <c r="H239" s="482" t="s">
        <v>43</v>
      </c>
    </row>
    <row r="240" spans="1:8" ht="18">
      <c r="A240" s="477">
        <v>239</v>
      </c>
      <c r="B240" s="19"/>
      <c r="C240" s="133"/>
      <c r="D240" s="486" t="s">
        <v>10024</v>
      </c>
      <c r="E240" s="480" t="s">
        <v>11794</v>
      </c>
      <c r="F240" s="429" t="s">
        <v>11796</v>
      </c>
      <c r="G240" s="15" t="s">
        <v>202</v>
      </c>
      <c r="H240" s="482" t="s">
        <v>43</v>
      </c>
    </row>
    <row r="241" spans="1:8" ht="18">
      <c r="A241" s="477">
        <v>240</v>
      </c>
      <c r="B241" s="19"/>
      <c r="C241" s="133"/>
      <c r="D241" s="486" t="s">
        <v>10028</v>
      </c>
      <c r="E241" s="480" t="s">
        <v>11794</v>
      </c>
      <c r="F241" s="429" t="s">
        <v>11796</v>
      </c>
      <c r="G241" s="15" t="s">
        <v>202</v>
      </c>
      <c r="H241" s="9" t="s">
        <v>1084</v>
      </c>
    </row>
    <row r="242" spans="1:8" ht="18">
      <c r="A242" s="477">
        <v>241</v>
      </c>
      <c r="B242" s="19"/>
      <c r="C242" s="133"/>
      <c r="D242" s="486" t="s">
        <v>10029</v>
      </c>
      <c r="E242" s="480" t="s">
        <v>11794</v>
      </c>
      <c r="F242" s="429" t="s">
        <v>11796</v>
      </c>
      <c r="G242" s="15" t="s">
        <v>202</v>
      </c>
      <c r="H242" s="482" t="s">
        <v>43</v>
      </c>
    </row>
    <row r="243" spans="1:8" ht="18">
      <c r="A243" s="477">
        <v>242</v>
      </c>
      <c r="B243" s="19"/>
      <c r="C243" s="133"/>
      <c r="D243" s="486" t="s">
        <v>10030</v>
      </c>
      <c r="E243" s="480" t="s">
        <v>11794</v>
      </c>
      <c r="F243" s="429" t="s">
        <v>11796</v>
      </c>
      <c r="G243" s="15" t="s">
        <v>202</v>
      </c>
      <c r="H243" s="482" t="s">
        <v>43</v>
      </c>
    </row>
    <row r="244" spans="1:8" ht="18">
      <c r="A244" s="477">
        <v>243</v>
      </c>
      <c r="B244" s="19"/>
      <c r="C244" s="133"/>
      <c r="D244" s="486" t="s">
        <v>10033</v>
      </c>
      <c r="E244" s="480" t="s">
        <v>11794</v>
      </c>
      <c r="F244" s="429" t="s">
        <v>11796</v>
      </c>
      <c r="G244" s="15" t="s">
        <v>202</v>
      </c>
      <c r="H244" s="482" t="s">
        <v>43</v>
      </c>
    </row>
    <row r="245" spans="1:8" ht="18">
      <c r="A245" s="477">
        <v>244</v>
      </c>
      <c r="B245" s="19"/>
      <c r="C245" s="133"/>
      <c r="D245" s="486" t="s">
        <v>10034</v>
      </c>
      <c r="E245" s="480" t="s">
        <v>11794</v>
      </c>
      <c r="F245" s="429" t="s">
        <v>11796</v>
      </c>
      <c r="G245" s="15" t="s">
        <v>202</v>
      </c>
      <c r="H245" s="482" t="s">
        <v>43</v>
      </c>
    </row>
    <row r="246" spans="1:8" ht="18">
      <c r="A246" s="477">
        <v>245</v>
      </c>
      <c r="B246" s="19"/>
      <c r="C246" s="133"/>
      <c r="D246" s="486" t="s">
        <v>10035</v>
      </c>
      <c r="E246" s="480" t="s">
        <v>11794</v>
      </c>
      <c r="F246" s="429" t="s">
        <v>11796</v>
      </c>
      <c r="G246" s="15" t="s">
        <v>202</v>
      </c>
      <c r="H246" s="482" t="s">
        <v>43</v>
      </c>
    </row>
    <row r="247" spans="1:8" ht="18">
      <c r="A247" s="477">
        <v>246</v>
      </c>
      <c r="B247" s="19"/>
      <c r="C247" s="133"/>
      <c r="D247" s="486" t="s">
        <v>10037</v>
      </c>
      <c r="E247" s="480" t="s">
        <v>11794</v>
      </c>
      <c r="F247" s="429" t="s">
        <v>11796</v>
      </c>
      <c r="G247" s="15" t="s">
        <v>202</v>
      </c>
      <c r="H247" s="482" t="s">
        <v>1084</v>
      </c>
    </row>
    <row r="248" spans="1:8" ht="18">
      <c r="A248" s="477">
        <v>247</v>
      </c>
      <c r="B248" s="19"/>
      <c r="C248" s="19"/>
      <c r="D248" s="486" t="s">
        <v>10038</v>
      </c>
      <c r="E248" s="480" t="s">
        <v>11794</v>
      </c>
      <c r="F248" s="429" t="s">
        <v>11796</v>
      </c>
      <c r="G248" s="15" t="s">
        <v>202</v>
      </c>
      <c r="H248" s="482" t="s">
        <v>43</v>
      </c>
    </row>
    <row r="249" spans="1:8" ht="18">
      <c r="A249" s="477">
        <v>248</v>
      </c>
      <c r="B249" s="19"/>
      <c r="C249" s="19"/>
      <c r="D249" s="486" t="s">
        <v>10043</v>
      </c>
      <c r="E249" s="480" t="s">
        <v>11794</v>
      </c>
      <c r="F249" s="429" t="s">
        <v>11796</v>
      </c>
      <c r="G249" s="15" t="s">
        <v>202</v>
      </c>
      <c r="H249" s="482" t="s">
        <v>43</v>
      </c>
    </row>
    <row r="250" spans="1:8" ht="18">
      <c r="A250" s="477">
        <v>249</v>
      </c>
      <c r="B250" s="19"/>
      <c r="C250" s="19"/>
      <c r="D250" s="486" t="s">
        <v>10044</v>
      </c>
      <c r="E250" s="480" t="s">
        <v>11794</v>
      </c>
      <c r="F250" s="429" t="s">
        <v>11796</v>
      </c>
      <c r="G250" s="15" t="s">
        <v>202</v>
      </c>
      <c r="H250" s="482" t="s">
        <v>43</v>
      </c>
    </row>
    <row r="251" spans="1:8" ht="18">
      <c r="A251" s="477">
        <v>250</v>
      </c>
      <c r="B251" s="19"/>
      <c r="C251" s="19"/>
      <c r="D251" s="486" t="s">
        <v>10045</v>
      </c>
      <c r="E251" s="480" t="s">
        <v>11794</v>
      </c>
      <c r="F251" s="429" t="s">
        <v>11796</v>
      </c>
      <c r="G251" s="15" t="s">
        <v>202</v>
      </c>
      <c r="H251" s="482" t="s">
        <v>43</v>
      </c>
    </row>
    <row r="252" spans="1:8" ht="18">
      <c r="A252" s="477">
        <v>251</v>
      </c>
      <c r="B252" s="19"/>
      <c r="C252" s="19"/>
      <c r="D252" s="486" t="s">
        <v>10047</v>
      </c>
      <c r="E252" s="480" t="s">
        <v>11794</v>
      </c>
      <c r="F252" s="429" t="s">
        <v>11796</v>
      </c>
      <c r="G252" s="15" t="s">
        <v>202</v>
      </c>
      <c r="H252" s="482" t="s">
        <v>43</v>
      </c>
    </row>
    <row r="253" spans="1:8" ht="18">
      <c r="A253" s="477">
        <v>252</v>
      </c>
      <c r="B253" s="19"/>
      <c r="C253" s="19"/>
      <c r="D253" s="486" t="s">
        <v>10048</v>
      </c>
      <c r="E253" s="480" t="s">
        <v>11794</v>
      </c>
      <c r="F253" s="429" t="s">
        <v>11796</v>
      </c>
      <c r="G253" s="15" t="s">
        <v>202</v>
      </c>
      <c r="H253" s="482" t="s">
        <v>43</v>
      </c>
    </row>
    <row r="254" spans="1:8" ht="18">
      <c r="A254" s="477">
        <v>253</v>
      </c>
      <c r="B254" s="19"/>
      <c r="C254" s="19"/>
      <c r="D254" s="486" t="s">
        <v>10050</v>
      </c>
      <c r="E254" s="480" t="s">
        <v>11794</v>
      </c>
      <c r="F254" s="429" t="s">
        <v>11796</v>
      </c>
      <c r="G254" s="15" t="s">
        <v>202</v>
      </c>
      <c r="H254" s="482" t="s">
        <v>43</v>
      </c>
    </row>
    <row r="255" spans="1:8" ht="18">
      <c r="A255" s="477">
        <v>254</v>
      </c>
      <c r="B255" s="19"/>
      <c r="C255" s="133"/>
      <c r="D255" s="486" t="s">
        <v>10056</v>
      </c>
      <c r="E255" s="480" t="s">
        <v>11794</v>
      </c>
      <c r="F255" s="429" t="s">
        <v>11796</v>
      </c>
      <c r="G255" s="15" t="s">
        <v>202</v>
      </c>
      <c r="H255" s="482" t="s">
        <v>43</v>
      </c>
    </row>
    <row r="256" spans="1:8" ht="18">
      <c r="A256" s="477">
        <v>255</v>
      </c>
      <c r="B256" s="19"/>
      <c r="C256" s="19"/>
      <c r="D256" s="486" t="s">
        <v>10057</v>
      </c>
      <c r="E256" s="480" t="s">
        <v>11794</v>
      </c>
      <c r="F256" s="429" t="s">
        <v>11796</v>
      </c>
      <c r="G256" s="15" t="s">
        <v>202</v>
      </c>
      <c r="H256" s="482" t="s">
        <v>43</v>
      </c>
    </row>
    <row r="257" spans="1:8" ht="18">
      <c r="A257" s="477">
        <v>256</v>
      </c>
      <c r="B257" s="19"/>
      <c r="C257" s="133"/>
      <c r="D257" s="486" t="s">
        <v>10062</v>
      </c>
      <c r="E257" s="480" t="s">
        <v>11794</v>
      </c>
      <c r="F257" s="429" t="s">
        <v>11796</v>
      </c>
      <c r="G257" s="15" t="s">
        <v>202</v>
      </c>
      <c r="H257" s="482" t="s">
        <v>43</v>
      </c>
    </row>
    <row r="258" spans="1:8" ht="18">
      <c r="A258" s="477">
        <v>257</v>
      </c>
      <c r="B258" s="19"/>
      <c r="C258" s="133"/>
      <c r="D258" s="486" t="s">
        <v>10063</v>
      </c>
      <c r="E258" s="480" t="s">
        <v>11794</v>
      </c>
      <c r="F258" s="429" t="s">
        <v>11796</v>
      </c>
      <c r="G258" s="15" t="s">
        <v>202</v>
      </c>
      <c r="H258" s="482" t="s">
        <v>43</v>
      </c>
    </row>
    <row r="259" spans="1:8" ht="18">
      <c r="A259" s="477">
        <v>258</v>
      </c>
      <c r="B259" s="19"/>
      <c r="C259" s="133"/>
      <c r="D259" s="486" t="s">
        <v>10064</v>
      </c>
      <c r="E259" s="480" t="s">
        <v>11794</v>
      </c>
      <c r="F259" s="429" t="s">
        <v>11796</v>
      </c>
      <c r="G259" s="15" t="s">
        <v>202</v>
      </c>
      <c r="H259" s="482" t="s">
        <v>43</v>
      </c>
    </row>
    <row r="260" spans="1:8" ht="18">
      <c r="A260" s="477">
        <v>259</v>
      </c>
      <c r="B260" s="19"/>
      <c r="C260" s="19"/>
      <c r="D260" s="486" t="s">
        <v>10065</v>
      </c>
      <c r="E260" s="480" t="s">
        <v>11794</v>
      </c>
      <c r="F260" s="429" t="s">
        <v>11796</v>
      </c>
      <c r="G260" s="15" t="s">
        <v>202</v>
      </c>
      <c r="H260" s="482" t="s">
        <v>43</v>
      </c>
    </row>
    <row r="261" spans="1:8" ht="18">
      <c r="A261" s="477">
        <v>260</v>
      </c>
      <c r="B261" s="19"/>
      <c r="C261" s="19"/>
      <c r="D261" s="486" t="s">
        <v>10066</v>
      </c>
      <c r="E261" s="480" t="s">
        <v>11794</v>
      </c>
      <c r="F261" s="429" t="s">
        <v>11796</v>
      </c>
      <c r="G261" s="15" t="s">
        <v>202</v>
      </c>
      <c r="H261" s="482" t="s">
        <v>43</v>
      </c>
    </row>
    <row r="262" spans="1:8" ht="18">
      <c r="A262" s="477">
        <v>261</v>
      </c>
      <c r="B262" s="19"/>
      <c r="C262" s="133"/>
      <c r="D262" s="486" t="s">
        <v>10067</v>
      </c>
      <c r="E262" s="480" t="s">
        <v>11794</v>
      </c>
      <c r="F262" s="429" t="s">
        <v>11796</v>
      </c>
      <c r="G262" s="15" t="s">
        <v>202</v>
      </c>
      <c r="H262" s="482" t="s">
        <v>1084</v>
      </c>
    </row>
    <row r="263" spans="1:8" ht="18">
      <c r="A263" s="477">
        <v>262</v>
      </c>
      <c r="B263" s="19"/>
      <c r="C263" s="133"/>
      <c r="D263" s="486" t="s">
        <v>10068</v>
      </c>
      <c r="E263" s="480" t="s">
        <v>11794</v>
      </c>
      <c r="F263" s="429" t="s">
        <v>11796</v>
      </c>
      <c r="G263" s="15" t="s">
        <v>202</v>
      </c>
      <c r="H263" s="482" t="s">
        <v>43</v>
      </c>
    </row>
    <row r="264" spans="1:8" ht="18">
      <c r="A264" s="477">
        <v>263</v>
      </c>
      <c r="B264" s="19"/>
      <c r="C264" s="19"/>
      <c r="D264" s="486" t="s">
        <v>10069</v>
      </c>
      <c r="E264" s="480" t="s">
        <v>11794</v>
      </c>
      <c r="F264" s="429" t="s">
        <v>11796</v>
      </c>
      <c r="G264" s="15" t="s">
        <v>202</v>
      </c>
      <c r="H264" s="482" t="s">
        <v>43</v>
      </c>
    </row>
    <row r="265" spans="1:8" ht="18">
      <c r="A265" s="477">
        <v>264</v>
      </c>
      <c r="B265" s="19"/>
      <c r="C265" s="133"/>
      <c r="D265" s="486" t="s">
        <v>10073</v>
      </c>
      <c r="E265" s="480" t="s">
        <v>11794</v>
      </c>
      <c r="F265" s="429" t="s">
        <v>11796</v>
      </c>
      <c r="G265" s="15" t="s">
        <v>202</v>
      </c>
      <c r="H265" s="482" t="s">
        <v>43</v>
      </c>
    </row>
    <row r="266" spans="1:8" ht="18">
      <c r="A266" s="477">
        <v>265</v>
      </c>
      <c r="B266" s="19"/>
      <c r="C266" s="133"/>
      <c r="D266" s="486" t="s">
        <v>10074</v>
      </c>
      <c r="E266" s="480" t="s">
        <v>11794</v>
      </c>
      <c r="F266" s="429" t="s">
        <v>11796</v>
      </c>
      <c r="G266" s="15" t="s">
        <v>202</v>
      </c>
      <c r="H266" s="482" t="s">
        <v>43</v>
      </c>
    </row>
    <row r="267" spans="1:8" ht="18">
      <c r="A267" s="477">
        <v>266</v>
      </c>
      <c r="B267" s="19"/>
      <c r="C267" s="19"/>
      <c r="D267" s="486" t="s">
        <v>10080</v>
      </c>
      <c r="E267" s="480" t="s">
        <v>11794</v>
      </c>
      <c r="F267" s="429" t="s">
        <v>11796</v>
      </c>
      <c r="G267" s="15" t="s">
        <v>202</v>
      </c>
      <c r="H267" s="482" t="s">
        <v>43</v>
      </c>
    </row>
    <row r="268" spans="1:8" ht="18">
      <c r="A268" s="477">
        <v>267</v>
      </c>
      <c r="B268" s="19"/>
      <c r="C268" s="19"/>
      <c r="D268" s="486" t="s">
        <v>10081</v>
      </c>
      <c r="E268" s="480" t="s">
        <v>11794</v>
      </c>
      <c r="F268" s="429" t="s">
        <v>11796</v>
      </c>
      <c r="G268" s="15" t="s">
        <v>202</v>
      </c>
      <c r="H268" s="482" t="s">
        <v>43</v>
      </c>
    </row>
    <row r="269" spans="1:8" ht="18">
      <c r="A269" s="477">
        <v>268</v>
      </c>
      <c r="B269" s="19"/>
      <c r="C269" s="19"/>
      <c r="D269" s="486" t="s">
        <v>10083</v>
      </c>
      <c r="E269" s="480" t="s">
        <v>11794</v>
      </c>
      <c r="F269" s="429" t="s">
        <v>11796</v>
      </c>
      <c r="G269" s="15" t="s">
        <v>202</v>
      </c>
      <c r="H269" s="482" t="s">
        <v>43</v>
      </c>
    </row>
    <row r="270" spans="1:8" ht="18">
      <c r="A270" s="477">
        <v>269</v>
      </c>
      <c r="B270" s="19"/>
      <c r="C270" s="19"/>
      <c r="D270" s="486" t="s">
        <v>10089</v>
      </c>
      <c r="E270" s="480" t="s">
        <v>11794</v>
      </c>
      <c r="F270" s="429" t="s">
        <v>11796</v>
      </c>
      <c r="G270" s="15" t="s">
        <v>202</v>
      </c>
      <c r="H270" s="482" t="s">
        <v>43</v>
      </c>
    </row>
    <row r="271" spans="1:8" ht="18">
      <c r="A271" s="477">
        <v>270</v>
      </c>
      <c r="B271" s="19"/>
      <c r="C271" s="133"/>
      <c r="D271" s="486" t="s">
        <v>10091</v>
      </c>
      <c r="E271" s="480" t="s">
        <v>11794</v>
      </c>
      <c r="F271" s="429" t="s">
        <v>11796</v>
      </c>
      <c r="G271" s="15" t="s">
        <v>202</v>
      </c>
      <c r="H271" s="482" t="s">
        <v>43</v>
      </c>
    </row>
    <row r="272" spans="1:8" ht="18">
      <c r="A272" s="477">
        <v>271</v>
      </c>
      <c r="B272" s="19"/>
      <c r="C272" s="19"/>
      <c r="D272" s="486" t="s">
        <v>10092</v>
      </c>
      <c r="E272" s="480" t="s">
        <v>11794</v>
      </c>
      <c r="F272" s="429" t="s">
        <v>11796</v>
      </c>
      <c r="G272" s="15" t="s">
        <v>202</v>
      </c>
      <c r="H272" s="482" t="s">
        <v>43</v>
      </c>
    </row>
    <row r="273" spans="1:8" ht="18">
      <c r="A273" s="477">
        <v>272</v>
      </c>
      <c r="B273" s="19"/>
      <c r="C273" s="19"/>
      <c r="D273" s="486" t="s">
        <v>10096</v>
      </c>
      <c r="E273" s="480" t="s">
        <v>11794</v>
      </c>
      <c r="F273" s="429" t="s">
        <v>11796</v>
      </c>
      <c r="G273" s="15" t="s">
        <v>202</v>
      </c>
      <c r="H273" s="482" t="s">
        <v>43</v>
      </c>
    </row>
    <row r="274" spans="1:8" ht="18">
      <c r="A274" s="477">
        <v>273</v>
      </c>
      <c r="B274" s="19"/>
      <c r="C274" s="19"/>
      <c r="D274" s="486" t="s">
        <v>10107</v>
      </c>
      <c r="E274" s="480" t="s">
        <v>11794</v>
      </c>
      <c r="F274" s="429" t="s">
        <v>11796</v>
      </c>
      <c r="G274" s="15" t="s">
        <v>202</v>
      </c>
      <c r="H274" s="482" t="s">
        <v>43</v>
      </c>
    </row>
    <row r="275" spans="1:8" ht="18">
      <c r="A275" s="477">
        <v>274</v>
      </c>
      <c r="B275" s="19"/>
      <c r="C275" s="19"/>
      <c r="D275" s="486" t="s">
        <v>10113</v>
      </c>
      <c r="E275" s="480" t="s">
        <v>11794</v>
      </c>
      <c r="F275" s="429" t="s">
        <v>11796</v>
      </c>
      <c r="G275" s="15" t="s">
        <v>202</v>
      </c>
      <c r="H275" s="482" t="s">
        <v>43</v>
      </c>
    </row>
    <row r="276" spans="1:8" ht="18">
      <c r="A276" s="477">
        <v>275</v>
      </c>
      <c r="B276" s="19"/>
      <c r="C276" s="19"/>
      <c r="D276" s="486" t="s">
        <v>10120</v>
      </c>
      <c r="E276" s="480" t="s">
        <v>11794</v>
      </c>
      <c r="F276" s="429" t="s">
        <v>11796</v>
      </c>
      <c r="G276" s="15" t="s">
        <v>202</v>
      </c>
      <c r="H276" s="482" t="s">
        <v>43</v>
      </c>
    </row>
    <row r="277" spans="1:8" ht="18">
      <c r="A277" s="477">
        <v>276</v>
      </c>
      <c r="B277" s="19"/>
      <c r="C277" s="19"/>
      <c r="D277" s="486" t="s">
        <v>10123</v>
      </c>
      <c r="E277" s="480" t="s">
        <v>11794</v>
      </c>
      <c r="F277" s="429" t="s">
        <v>11796</v>
      </c>
      <c r="G277" s="15" t="s">
        <v>202</v>
      </c>
      <c r="H277" s="482" t="s">
        <v>1084</v>
      </c>
    </row>
    <row r="278" spans="1:8" ht="18">
      <c r="A278" s="477">
        <v>277</v>
      </c>
      <c r="B278" s="19"/>
      <c r="C278" s="133"/>
      <c r="D278" s="486" t="s">
        <v>10127</v>
      </c>
      <c r="E278" s="480" t="s">
        <v>11794</v>
      </c>
      <c r="F278" s="429" t="s">
        <v>11796</v>
      </c>
      <c r="G278" s="15" t="s">
        <v>202</v>
      </c>
      <c r="H278" s="482" t="s">
        <v>43</v>
      </c>
    </row>
    <row r="279" spans="1:8" ht="18">
      <c r="A279" s="477">
        <v>278</v>
      </c>
      <c r="B279" s="19"/>
      <c r="C279" s="19"/>
      <c r="D279" s="486" t="s">
        <v>10130</v>
      </c>
      <c r="E279" s="480" t="s">
        <v>11794</v>
      </c>
      <c r="F279" s="429" t="s">
        <v>11796</v>
      </c>
      <c r="G279" s="15" t="s">
        <v>202</v>
      </c>
      <c r="H279" s="482" t="s">
        <v>43</v>
      </c>
    </row>
    <row r="280" spans="1:8" ht="18">
      <c r="A280" s="477">
        <v>279</v>
      </c>
      <c r="B280" s="19"/>
      <c r="C280" s="19"/>
      <c r="D280" s="486" t="s">
        <v>10132</v>
      </c>
      <c r="E280" s="480" t="s">
        <v>11794</v>
      </c>
      <c r="F280" s="429" t="s">
        <v>11796</v>
      </c>
      <c r="G280" s="15" t="s">
        <v>202</v>
      </c>
      <c r="H280" s="482" t="s">
        <v>43</v>
      </c>
    </row>
    <row r="281" spans="1:8" ht="18">
      <c r="A281" s="477">
        <v>280</v>
      </c>
      <c r="B281" s="19"/>
      <c r="C281" s="19"/>
      <c r="D281" s="486" t="s">
        <v>10136</v>
      </c>
      <c r="E281" s="480" t="s">
        <v>11794</v>
      </c>
      <c r="F281" s="429" t="s">
        <v>11796</v>
      </c>
      <c r="G281" s="15" t="s">
        <v>202</v>
      </c>
      <c r="H281" s="482" t="s">
        <v>43</v>
      </c>
    </row>
    <row r="282" spans="1:8" ht="18">
      <c r="A282" s="477">
        <v>281</v>
      </c>
      <c r="B282" s="19"/>
      <c r="C282" s="19"/>
      <c r="D282" s="486" t="s">
        <v>10146</v>
      </c>
      <c r="E282" s="480" t="s">
        <v>11794</v>
      </c>
      <c r="F282" s="429" t="s">
        <v>11796</v>
      </c>
      <c r="G282" s="15" t="s">
        <v>202</v>
      </c>
      <c r="H282" s="482" t="s">
        <v>43</v>
      </c>
    </row>
    <row r="283" spans="1:8" ht="18">
      <c r="A283" s="477">
        <v>282</v>
      </c>
      <c r="B283" s="19"/>
      <c r="C283" s="19"/>
      <c r="D283" s="486" t="s">
        <v>10149</v>
      </c>
      <c r="E283" s="480" t="s">
        <v>11794</v>
      </c>
      <c r="F283" s="429" t="s">
        <v>11796</v>
      </c>
      <c r="G283" s="15" t="s">
        <v>202</v>
      </c>
      <c r="H283" s="482" t="s">
        <v>43</v>
      </c>
    </row>
    <row r="284" spans="1:8" ht="18">
      <c r="A284" s="477">
        <v>283</v>
      </c>
      <c r="B284" s="19"/>
      <c r="C284" s="19"/>
      <c r="D284" s="486" t="s">
        <v>10151</v>
      </c>
      <c r="E284" s="480" t="s">
        <v>11794</v>
      </c>
      <c r="F284" s="429" t="s">
        <v>11796</v>
      </c>
      <c r="G284" s="15" t="s">
        <v>202</v>
      </c>
      <c r="H284" s="482" t="s">
        <v>43</v>
      </c>
    </row>
    <row r="285" spans="1:8" ht="18">
      <c r="A285" s="477">
        <v>284</v>
      </c>
      <c r="B285" s="19"/>
      <c r="C285" s="19"/>
      <c r="D285" s="486" t="s">
        <v>10152</v>
      </c>
      <c r="E285" s="480" t="s">
        <v>11794</v>
      </c>
      <c r="F285" s="429" t="s">
        <v>11796</v>
      </c>
      <c r="G285" s="15" t="s">
        <v>202</v>
      </c>
      <c r="H285" s="482" t="s">
        <v>43</v>
      </c>
    </row>
    <row r="286" spans="1:8" ht="18">
      <c r="A286" s="477">
        <v>285</v>
      </c>
      <c r="B286" s="19"/>
      <c r="C286" s="19"/>
      <c r="D286" s="486" t="s">
        <v>10153</v>
      </c>
      <c r="E286" s="480" t="s">
        <v>11794</v>
      </c>
      <c r="F286" s="429" t="s">
        <v>11796</v>
      </c>
      <c r="G286" s="15" t="s">
        <v>202</v>
      </c>
      <c r="H286" s="482" t="s">
        <v>43</v>
      </c>
    </row>
    <row r="287" spans="1:8" ht="18">
      <c r="A287" s="477">
        <v>286</v>
      </c>
      <c r="B287" s="19"/>
      <c r="C287" s="19"/>
      <c r="D287" s="486" t="s">
        <v>10154</v>
      </c>
      <c r="E287" s="480" t="s">
        <v>11794</v>
      </c>
      <c r="F287" s="429" t="s">
        <v>11796</v>
      </c>
      <c r="G287" s="15" t="s">
        <v>202</v>
      </c>
      <c r="H287" s="482" t="s">
        <v>43</v>
      </c>
    </row>
    <row r="288" spans="1:8" ht="18">
      <c r="A288" s="477">
        <v>287</v>
      </c>
      <c r="B288" s="19"/>
      <c r="C288" s="19"/>
      <c r="D288" s="486" t="s">
        <v>10179</v>
      </c>
      <c r="E288" s="480" t="s">
        <v>11794</v>
      </c>
      <c r="F288" s="429" t="s">
        <v>11796</v>
      </c>
      <c r="G288" s="15" t="s">
        <v>202</v>
      </c>
      <c r="H288" s="482" t="s">
        <v>43</v>
      </c>
    </row>
    <row r="289" spans="1:8" ht="18">
      <c r="A289" s="477">
        <v>288</v>
      </c>
      <c r="B289" s="19"/>
      <c r="C289" s="19"/>
      <c r="D289" s="486" t="s">
        <v>10185</v>
      </c>
      <c r="E289" s="480" t="s">
        <v>11794</v>
      </c>
      <c r="F289" s="429" t="s">
        <v>11796</v>
      </c>
      <c r="G289" s="15" t="s">
        <v>202</v>
      </c>
      <c r="H289" s="482" t="s">
        <v>43</v>
      </c>
    </row>
    <row r="290" spans="1:8" ht="18">
      <c r="A290" s="477">
        <v>289</v>
      </c>
      <c r="B290" s="19"/>
      <c r="C290" s="133"/>
      <c r="D290" s="486" t="s">
        <v>10213</v>
      </c>
      <c r="E290" s="480" t="s">
        <v>11794</v>
      </c>
      <c r="F290" s="429" t="s">
        <v>11796</v>
      </c>
      <c r="G290" s="15" t="s">
        <v>202</v>
      </c>
      <c r="H290" s="482" t="s">
        <v>43</v>
      </c>
    </row>
    <row r="291" spans="1:8" ht="18">
      <c r="A291" s="477">
        <v>290</v>
      </c>
      <c r="B291" s="19"/>
      <c r="C291" s="19"/>
      <c r="D291" s="486" t="s">
        <v>10217</v>
      </c>
      <c r="E291" s="480" t="s">
        <v>11794</v>
      </c>
      <c r="F291" s="429" t="s">
        <v>11796</v>
      </c>
      <c r="G291" s="15" t="s">
        <v>202</v>
      </c>
      <c r="H291" s="482" t="s">
        <v>43</v>
      </c>
    </row>
    <row r="292" spans="1:8" ht="18">
      <c r="A292" s="477">
        <v>291</v>
      </c>
      <c r="B292" s="19"/>
      <c r="C292" s="19"/>
      <c r="D292" s="486" t="s">
        <v>10218</v>
      </c>
      <c r="E292" s="480" t="s">
        <v>11794</v>
      </c>
      <c r="F292" s="429" t="s">
        <v>11796</v>
      </c>
      <c r="G292" s="15" t="s">
        <v>202</v>
      </c>
      <c r="H292" s="482" t="s">
        <v>1084</v>
      </c>
    </row>
    <row r="293" spans="1:8" ht="18">
      <c r="A293" s="477">
        <v>292</v>
      </c>
      <c r="B293" s="19"/>
      <c r="C293" s="19"/>
      <c r="D293" s="486" t="s">
        <v>10220</v>
      </c>
      <c r="E293" s="480" t="s">
        <v>11794</v>
      </c>
      <c r="F293" s="429" t="s">
        <v>11796</v>
      </c>
      <c r="G293" s="15" t="s">
        <v>202</v>
      </c>
      <c r="H293" s="482" t="s">
        <v>43</v>
      </c>
    </row>
    <row r="294" spans="1:8" ht="18">
      <c r="A294" s="477">
        <v>293</v>
      </c>
      <c r="B294" s="19"/>
      <c r="C294" s="19"/>
      <c r="D294" s="486" t="s">
        <v>10221</v>
      </c>
      <c r="E294" s="480" t="s">
        <v>11794</v>
      </c>
      <c r="F294" s="429" t="s">
        <v>11796</v>
      </c>
      <c r="G294" s="15" t="s">
        <v>202</v>
      </c>
      <c r="H294" s="482" t="s">
        <v>43</v>
      </c>
    </row>
    <row r="295" spans="1:8" ht="18">
      <c r="A295" s="477">
        <v>294</v>
      </c>
      <c r="B295" s="19"/>
      <c r="C295" s="19"/>
      <c r="D295" s="486" t="s">
        <v>10222</v>
      </c>
      <c r="E295" s="480" t="s">
        <v>11794</v>
      </c>
      <c r="F295" s="429" t="s">
        <v>11796</v>
      </c>
      <c r="G295" s="15" t="s">
        <v>202</v>
      </c>
      <c r="H295" s="482" t="s">
        <v>43</v>
      </c>
    </row>
    <row r="296" spans="1:8" ht="18">
      <c r="A296" s="477">
        <v>295</v>
      </c>
      <c r="B296" s="19"/>
      <c r="C296" s="19"/>
      <c r="D296" s="486" t="s">
        <v>10224</v>
      </c>
      <c r="E296" s="480" t="s">
        <v>11794</v>
      </c>
      <c r="F296" s="429" t="s">
        <v>11796</v>
      </c>
      <c r="G296" s="15" t="s">
        <v>202</v>
      </c>
      <c r="H296" s="482" t="s">
        <v>43</v>
      </c>
    </row>
    <row r="297" spans="1:8" ht="18">
      <c r="A297" s="477">
        <v>296</v>
      </c>
      <c r="B297" s="19"/>
      <c r="C297" s="133"/>
      <c r="D297" s="486" t="s">
        <v>10225</v>
      </c>
      <c r="E297" s="480" t="s">
        <v>11794</v>
      </c>
      <c r="F297" s="429" t="s">
        <v>11796</v>
      </c>
      <c r="G297" s="15" t="s">
        <v>202</v>
      </c>
      <c r="H297" s="482" t="s">
        <v>1084</v>
      </c>
    </row>
    <row r="298" spans="1:8" ht="18">
      <c r="A298" s="477">
        <v>297</v>
      </c>
      <c r="B298" s="19"/>
      <c r="C298" s="19"/>
      <c r="D298" s="486" t="s">
        <v>10230</v>
      </c>
      <c r="E298" s="480" t="s">
        <v>11794</v>
      </c>
      <c r="F298" s="429" t="s">
        <v>11796</v>
      </c>
      <c r="G298" s="15" t="s">
        <v>202</v>
      </c>
      <c r="H298" s="482" t="s">
        <v>43</v>
      </c>
    </row>
    <row r="299" spans="1:8" ht="18">
      <c r="A299" s="477">
        <v>298</v>
      </c>
      <c r="B299" s="19"/>
      <c r="C299" s="19"/>
      <c r="D299" s="486" t="s">
        <v>10236</v>
      </c>
      <c r="E299" s="480" t="s">
        <v>11794</v>
      </c>
      <c r="F299" s="429" t="s">
        <v>11796</v>
      </c>
      <c r="G299" s="15" t="s">
        <v>202</v>
      </c>
      <c r="H299" s="482" t="s">
        <v>43</v>
      </c>
    </row>
    <row r="300" spans="1:8" ht="18">
      <c r="A300" s="477">
        <v>299</v>
      </c>
      <c r="B300" s="19"/>
      <c r="C300" s="19"/>
      <c r="D300" s="486" t="s">
        <v>10237</v>
      </c>
      <c r="E300" s="480" t="s">
        <v>11794</v>
      </c>
      <c r="F300" s="429" t="s">
        <v>11796</v>
      </c>
      <c r="G300" s="15" t="s">
        <v>202</v>
      </c>
      <c r="H300" s="482" t="s">
        <v>43</v>
      </c>
    </row>
    <row r="301" spans="1:8" ht="18">
      <c r="A301" s="477">
        <v>300</v>
      </c>
      <c r="B301" s="19"/>
      <c r="C301" s="19"/>
      <c r="D301" s="486" t="s">
        <v>10239</v>
      </c>
      <c r="E301" s="480" t="s">
        <v>11794</v>
      </c>
      <c r="F301" s="429" t="s">
        <v>11796</v>
      </c>
      <c r="G301" s="15" t="s">
        <v>202</v>
      </c>
      <c r="H301" s="482" t="s">
        <v>43</v>
      </c>
    </row>
    <row r="302" spans="1:8" ht="18">
      <c r="A302" s="477">
        <v>301</v>
      </c>
      <c r="B302" s="19"/>
      <c r="C302" s="19"/>
      <c r="D302" s="486" t="s">
        <v>10244</v>
      </c>
      <c r="E302" s="480" t="s">
        <v>11794</v>
      </c>
      <c r="F302" s="429" t="s">
        <v>11796</v>
      </c>
      <c r="G302" s="15" t="s">
        <v>202</v>
      </c>
      <c r="H302" s="482" t="s">
        <v>43</v>
      </c>
    </row>
    <row r="303" spans="1:8" ht="18">
      <c r="A303" s="477">
        <v>302</v>
      </c>
      <c r="B303" s="19"/>
      <c r="C303" s="133"/>
      <c r="D303" s="486" t="s">
        <v>10247</v>
      </c>
      <c r="E303" s="480" t="s">
        <v>11794</v>
      </c>
      <c r="F303" s="429" t="s">
        <v>11796</v>
      </c>
      <c r="G303" s="15" t="s">
        <v>202</v>
      </c>
      <c r="H303" s="482" t="s">
        <v>43</v>
      </c>
    </row>
    <row r="304" spans="1:8" ht="18">
      <c r="A304" s="477">
        <v>303</v>
      </c>
      <c r="B304" s="19"/>
      <c r="C304" s="19"/>
      <c r="D304" s="486" t="s">
        <v>10249</v>
      </c>
      <c r="E304" s="480" t="s">
        <v>11794</v>
      </c>
      <c r="F304" s="429" t="s">
        <v>11796</v>
      </c>
      <c r="G304" s="15" t="s">
        <v>202</v>
      </c>
      <c r="H304" s="482" t="s">
        <v>43</v>
      </c>
    </row>
    <row r="305" spans="1:8" ht="18">
      <c r="A305" s="477">
        <v>304</v>
      </c>
      <c r="B305" s="19"/>
      <c r="C305" s="19"/>
      <c r="D305" s="486" t="s">
        <v>10261</v>
      </c>
      <c r="E305" s="480" t="s">
        <v>11794</v>
      </c>
      <c r="F305" s="429" t="s">
        <v>11796</v>
      </c>
      <c r="G305" s="15" t="s">
        <v>202</v>
      </c>
      <c r="H305" s="482" t="s">
        <v>43</v>
      </c>
    </row>
    <row r="306" spans="1:8" ht="18">
      <c r="A306" s="477">
        <v>305</v>
      </c>
      <c r="B306" s="19"/>
      <c r="C306" s="19"/>
      <c r="D306" s="486" t="s">
        <v>10262</v>
      </c>
      <c r="E306" s="480" t="s">
        <v>11794</v>
      </c>
      <c r="F306" s="429" t="s">
        <v>11796</v>
      </c>
      <c r="G306" s="15" t="s">
        <v>202</v>
      </c>
      <c r="H306" s="482" t="s">
        <v>1084</v>
      </c>
    </row>
    <row r="307" spans="1:8" ht="18">
      <c r="A307" s="477">
        <v>306</v>
      </c>
      <c r="B307" s="19"/>
      <c r="C307" s="19"/>
      <c r="D307" s="486" t="s">
        <v>10267</v>
      </c>
      <c r="E307" s="480" t="s">
        <v>11794</v>
      </c>
      <c r="F307" s="429" t="s">
        <v>11796</v>
      </c>
      <c r="G307" s="15" t="s">
        <v>202</v>
      </c>
      <c r="H307" s="482" t="s">
        <v>43</v>
      </c>
    </row>
    <row r="308" spans="1:8" ht="18">
      <c r="A308" s="477">
        <v>307</v>
      </c>
      <c r="B308" s="19"/>
      <c r="C308" s="19"/>
      <c r="D308" s="486" t="s">
        <v>10268</v>
      </c>
      <c r="E308" s="480" t="s">
        <v>11794</v>
      </c>
      <c r="F308" s="429" t="s">
        <v>11796</v>
      </c>
      <c r="G308" s="15" t="s">
        <v>202</v>
      </c>
      <c r="H308" s="482" t="s">
        <v>43</v>
      </c>
    </row>
    <row r="309" spans="1:8" ht="18">
      <c r="A309" s="477">
        <v>308</v>
      </c>
      <c r="B309" s="19"/>
      <c r="C309" s="19"/>
      <c r="D309" s="486" t="s">
        <v>10279</v>
      </c>
      <c r="E309" s="480" t="s">
        <v>11794</v>
      </c>
      <c r="F309" s="429" t="s">
        <v>11796</v>
      </c>
      <c r="G309" s="15" t="s">
        <v>202</v>
      </c>
      <c r="H309" s="482" t="s">
        <v>1084</v>
      </c>
    </row>
    <row r="310" spans="1:8" ht="18">
      <c r="A310" s="477">
        <v>309</v>
      </c>
      <c r="B310" s="19"/>
      <c r="C310" s="19"/>
      <c r="D310" s="486" t="s">
        <v>10280</v>
      </c>
      <c r="E310" s="480" t="s">
        <v>11794</v>
      </c>
      <c r="F310" s="429" t="s">
        <v>11796</v>
      </c>
      <c r="G310" s="15" t="s">
        <v>202</v>
      </c>
      <c r="H310" s="482" t="s">
        <v>43</v>
      </c>
    </row>
    <row r="311" spans="1:8" ht="18">
      <c r="A311" s="477">
        <v>310</v>
      </c>
      <c r="B311" s="19"/>
      <c r="C311" s="19"/>
      <c r="D311" s="486" t="s">
        <v>10282</v>
      </c>
      <c r="E311" s="480" t="s">
        <v>11794</v>
      </c>
      <c r="F311" s="429" t="s">
        <v>11796</v>
      </c>
      <c r="G311" s="15" t="s">
        <v>202</v>
      </c>
      <c r="H311" s="482" t="s">
        <v>43</v>
      </c>
    </row>
    <row r="312" spans="1:8" ht="18">
      <c r="A312" s="477">
        <v>311</v>
      </c>
      <c r="B312" s="19"/>
      <c r="C312" s="19"/>
      <c r="D312" s="486" t="s">
        <v>10284</v>
      </c>
      <c r="E312" s="480" t="s">
        <v>11794</v>
      </c>
      <c r="F312" s="429" t="s">
        <v>11796</v>
      </c>
      <c r="G312" s="15" t="s">
        <v>202</v>
      </c>
      <c r="H312" s="482" t="s">
        <v>43</v>
      </c>
    </row>
    <row r="313" spans="1:8" ht="18">
      <c r="A313" s="477">
        <v>312</v>
      </c>
      <c r="B313" s="19"/>
      <c r="C313" s="19"/>
      <c r="D313" s="486" t="s">
        <v>10288</v>
      </c>
      <c r="E313" s="480" t="s">
        <v>11794</v>
      </c>
      <c r="F313" s="429" t="s">
        <v>11796</v>
      </c>
      <c r="G313" s="15" t="s">
        <v>202</v>
      </c>
      <c r="H313" s="482" t="s">
        <v>43</v>
      </c>
    </row>
    <row r="314" spans="1:8" ht="18">
      <c r="A314" s="477">
        <v>313</v>
      </c>
      <c r="B314" s="19"/>
      <c r="C314" s="19"/>
      <c r="D314" s="486" t="s">
        <v>10292</v>
      </c>
      <c r="E314" s="480" t="s">
        <v>11794</v>
      </c>
      <c r="F314" s="429" t="s">
        <v>11796</v>
      </c>
      <c r="G314" s="15" t="s">
        <v>202</v>
      </c>
      <c r="H314" s="482" t="s">
        <v>43</v>
      </c>
    </row>
    <row r="315" spans="1:8" ht="18">
      <c r="A315" s="477">
        <v>314</v>
      </c>
      <c r="B315" s="19"/>
      <c r="C315" s="19"/>
      <c r="D315" s="486" t="s">
        <v>10302</v>
      </c>
      <c r="E315" s="480" t="s">
        <v>11794</v>
      </c>
      <c r="F315" s="429" t="s">
        <v>11796</v>
      </c>
      <c r="G315" s="15" t="s">
        <v>202</v>
      </c>
      <c r="H315" s="482" t="s">
        <v>43</v>
      </c>
    </row>
    <row r="316" spans="1:8" ht="18">
      <c r="A316" s="477">
        <v>315</v>
      </c>
      <c r="B316" s="19"/>
      <c r="C316" s="19"/>
      <c r="D316" s="486" t="s">
        <v>10317</v>
      </c>
      <c r="E316" s="480" t="s">
        <v>11794</v>
      </c>
      <c r="F316" s="429" t="s">
        <v>11796</v>
      </c>
      <c r="G316" s="15" t="s">
        <v>202</v>
      </c>
      <c r="H316" s="482" t="s">
        <v>43</v>
      </c>
    </row>
    <row r="317" spans="1:8" ht="18">
      <c r="A317" s="477">
        <v>316</v>
      </c>
      <c r="B317" s="19"/>
      <c r="C317" s="19"/>
      <c r="D317" s="486" t="s">
        <v>10326</v>
      </c>
      <c r="E317" s="480" t="s">
        <v>11794</v>
      </c>
      <c r="F317" s="429" t="s">
        <v>11796</v>
      </c>
      <c r="G317" s="15" t="s">
        <v>202</v>
      </c>
      <c r="H317" s="482" t="s">
        <v>1084</v>
      </c>
    </row>
    <row r="318" spans="1:8" ht="18">
      <c r="A318" s="477">
        <v>317</v>
      </c>
      <c r="B318" s="19"/>
      <c r="C318" s="19"/>
      <c r="D318" s="486" t="s">
        <v>10327</v>
      </c>
      <c r="E318" s="480" t="s">
        <v>11794</v>
      </c>
      <c r="F318" s="429" t="s">
        <v>11796</v>
      </c>
      <c r="G318" s="15" t="s">
        <v>202</v>
      </c>
      <c r="H318" s="482" t="s">
        <v>43</v>
      </c>
    </row>
    <row r="319" spans="1:8" ht="18">
      <c r="A319" s="477">
        <v>318</v>
      </c>
      <c r="B319" s="19"/>
      <c r="C319" s="19"/>
      <c r="D319" s="486" t="s">
        <v>10329</v>
      </c>
      <c r="E319" s="480" t="s">
        <v>11794</v>
      </c>
      <c r="F319" s="429" t="s">
        <v>11796</v>
      </c>
      <c r="G319" s="15" t="s">
        <v>202</v>
      </c>
      <c r="H319" s="482" t="s">
        <v>43</v>
      </c>
    </row>
    <row r="320" spans="1:8" ht="18">
      <c r="A320" s="477">
        <v>319</v>
      </c>
      <c r="B320" s="19"/>
      <c r="C320" s="19"/>
      <c r="D320" s="486" t="s">
        <v>10332</v>
      </c>
      <c r="E320" s="480" t="s">
        <v>11794</v>
      </c>
      <c r="F320" s="429" t="s">
        <v>11796</v>
      </c>
      <c r="G320" s="15" t="s">
        <v>202</v>
      </c>
      <c r="H320" s="482" t="s">
        <v>43</v>
      </c>
    </row>
    <row r="321" spans="1:8" ht="18">
      <c r="A321" s="477">
        <v>320</v>
      </c>
      <c r="B321" s="19"/>
      <c r="C321" s="19"/>
      <c r="D321" s="486" t="s">
        <v>10337</v>
      </c>
      <c r="E321" s="480" t="s">
        <v>11794</v>
      </c>
      <c r="F321" s="429" t="s">
        <v>11796</v>
      </c>
      <c r="G321" s="15" t="s">
        <v>202</v>
      </c>
      <c r="H321" s="482" t="s">
        <v>43</v>
      </c>
    </row>
    <row r="322" spans="1:8" ht="18">
      <c r="A322" s="477">
        <v>321</v>
      </c>
      <c r="B322" s="19"/>
      <c r="C322" s="19"/>
      <c r="D322" s="486" t="s">
        <v>10341</v>
      </c>
      <c r="E322" s="480" t="s">
        <v>11794</v>
      </c>
      <c r="F322" s="429" t="s">
        <v>11796</v>
      </c>
      <c r="G322" s="15" t="s">
        <v>202</v>
      </c>
      <c r="H322" s="482" t="s">
        <v>43</v>
      </c>
    </row>
    <row r="323" spans="1:8" ht="18">
      <c r="A323" s="477">
        <v>322</v>
      </c>
      <c r="B323" s="19"/>
      <c r="C323" s="19"/>
      <c r="D323" s="486" t="s">
        <v>10348</v>
      </c>
      <c r="E323" s="480" t="s">
        <v>11794</v>
      </c>
      <c r="F323" s="429" t="s">
        <v>11796</v>
      </c>
      <c r="G323" s="15" t="s">
        <v>202</v>
      </c>
      <c r="H323" s="482" t="s">
        <v>43</v>
      </c>
    </row>
    <row r="324" spans="1:8" ht="18">
      <c r="A324" s="477">
        <v>323</v>
      </c>
      <c r="B324" s="19"/>
      <c r="C324" s="19"/>
      <c r="D324" s="486" t="s">
        <v>10358</v>
      </c>
      <c r="E324" s="480" t="s">
        <v>11794</v>
      </c>
      <c r="F324" s="429" t="s">
        <v>11796</v>
      </c>
      <c r="G324" s="15" t="s">
        <v>202</v>
      </c>
      <c r="H324" s="482" t="s">
        <v>43</v>
      </c>
    </row>
    <row r="325" spans="1:8" ht="18">
      <c r="A325" s="477">
        <v>324</v>
      </c>
      <c r="B325" s="19"/>
      <c r="C325" s="19"/>
      <c r="D325" s="486" t="s">
        <v>10361</v>
      </c>
      <c r="E325" s="480" t="s">
        <v>11794</v>
      </c>
      <c r="F325" s="429" t="s">
        <v>11796</v>
      </c>
      <c r="G325" s="15" t="s">
        <v>202</v>
      </c>
      <c r="H325" s="482" t="s">
        <v>43</v>
      </c>
    </row>
    <row r="326" spans="1:8" ht="18">
      <c r="A326" s="477">
        <v>325</v>
      </c>
      <c r="B326" s="19"/>
      <c r="C326" s="19"/>
      <c r="D326" s="486" t="s">
        <v>10369</v>
      </c>
      <c r="E326" s="480" t="s">
        <v>11794</v>
      </c>
      <c r="F326" s="429" t="s">
        <v>11796</v>
      </c>
      <c r="G326" s="15" t="s">
        <v>202</v>
      </c>
      <c r="H326" s="482" t="s">
        <v>43</v>
      </c>
    </row>
    <row r="327" spans="1:8" ht="18">
      <c r="A327" s="477">
        <v>326</v>
      </c>
      <c r="B327" s="19"/>
      <c r="C327" s="19"/>
      <c r="D327" s="486" t="s">
        <v>10378</v>
      </c>
      <c r="E327" s="480" t="s">
        <v>11794</v>
      </c>
      <c r="F327" s="429" t="s">
        <v>11796</v>
      </c>
      <c r="G327" s="15" t="s">
        <v>202</v>
      </c>
      <c r="H327" s="482" t="s">
        <v>43</v>
      </c>
    </row>
    <row r="328" spans="1:8" ht="18">
      <c r="A328" s="477">
        <v>327</v>
      </c>
      <c r="B328" s="19"/>
      <c r="C328" s="133"/>
      <c r="D328" s="486" t="s">
        <v>10386</v>
      </c>
      <c r="E328" s="480" t="s">
        <v>11794</v>
      </c>
      <c r="F328" s="429" t="s">
        <v>11796</v>
      </c>
      <c r="G328" s="15" t="s">
        <v>202</v>
      </c>
      <c r="H328" s="482" t="s">
        <v>43</v>
      </c>
    </row>
    <row r="329" spans="1:8" ht="18">
      <c r="A329" s="477">
        <v>328</v>
      </c>
      <c r="B329" s="19"/>
      <c r="C329" s="133"/>
      <c r="D329" s="486" t="s">
        <v>10388</v>
      </c>
      <c r="E329" s="480" t="s">
        <v>11794</v>
      </c>
      <c r="F329" s="429" t="s">
        <v>11796</v>
      </c>
      <c r="G329" s="15" t="s">
        <v>202</v>
      </c>
      <c r="H329" s="482" t="s">
        <v>43</v>
      </c>
    </row>
    <row r="330" spans="1:8" ht="18">
      <c r="A330" s="477">
        <v>329</v>
      </c>
      <c r="B330" s="19"/>
      <c r="C330" s="133"/>
      <c r="D330" s="486" t="s">
        <v>10395</v>
      </c>
      <c r="E330" s="480" t="s">
        <v>11794</v>
      </c>
      <c r="F330" s="429" t="s">
        <v>11796</v>
      </c>
      <c r="G330" s="15" t="s">
        <v>202</v>
      </c>
      <c r="H330" s="482" t="s">
        <v>43</v>
      </c>
    </row>
    <row r="331" spans="1:8" ht="18">
      <c r="A331" s="477">
        <v>330</v>
      </c>
      <c r="B331" s="19"/>
      <c r="C331" s="19"/>
      <c r="D331" s="486" t="s">
        <v>10398</v>
      </c>
      <c r="E331" s="480" t="s">
        <v>11794</v>
      </c>
      <c r="F331" s="429" t="s">
        <v>11796</v>
      </c>
      <c r="G331" s="15" t="s">
        <v>202</v>
      </c>
      <c r="H331" s="482" t="s">
        <v>43</v>
      </c>
    </row>
    <row r="332" spans="1:8" ht="18">
      <c r="A332" s="477">
        <v>331</v>
      </c>
      <c r="B332" s="19"/>
      <c r="C332" s="19"/>
      <c r="D332" s="486" t="s">
        <v>10405</v>
      </c>
      <c r="E332" s="480" t="s">
        <v>11794</v>
      </c>
      <c r="F332" s="429" t="s">
        <v>11796</v>
      </c>
      <c r="G332" s="15" t="s">
        <v>202</v>
      </c>
      <c r="H332" s="482" t="s">
        <v>43</v>
      </c>
    </row>
    <row r="333" spans="1:8" ht="18">
      <c r="A333" s="477">
        <v>332</v>
      </c>
      <c r="B333" s="19"/>
      <c r="C333" s="133"/>
      <c r="D333" s="486" t="s">
        <v>10406</v>
      </c>
      <c r="E333" s="480" t="s">
        <v>11794</v>
      </c>
      <c r="F333" s="429" t="s">
        <v>11796</v>
      </c>
      <c r="G333" s="15" t="s">
        <v>202</v>
      </c>
      <c r="H333" s="482" t="s">
        <v>43</v>
      </c>
    </row>
    <row r="334" spans="1:8" ht="18">
      <c r="A334" s="477">
        <v>333</v>
      </c>
      <c r="B334" s="19"/>
      <c r="C334" s="19"/>
      <c r="D334" s="486" t="s">
        <v>10427</v>
      </c>
      <c r="E334" s="480" t="s">
        <v>11794</v>
      </c>
      <c r="F334" s="429" t="s">
        <v>11796</v>
      </c>
      <c r="G334" s="15" t="s">
        <v>202</v>
      </c>
      <c r="H334" s="482" t="s">
        <v>43</v>
      </c>
    </row>
    <row r="335" spans="1:8" ht="18">
      <c r="A335" s="477">
        <v>334</v>
      </c>
      <c r="B335" s="19"/>
      <c r="C335" s="19"/>
      <c r="D335" s="486" t="s">
        <v>10442</v>
      </c>
      <c r="E335" s="480" t="s">
        <v>11794</v>
      </c>
      <c r="F335" s="429" t="s">
        <v>11796</v>
      </c>
      <c r="G335" s="15" t="s">
        <v>202</v>
      </c>
      <c r="H335" s="482" t="s">
        <v>43</v>
      </c>
    </row>
    <row r="336" spans="1:8" ht="18">
      <c r="A336" s="477">
        <v>335</v>
      </c>
      <c r="B336" s="19"/>
      <c r="C336" s="19"/>
      <c r="D336" s="486" t="s">
        <v>10450</v>
      </c>
      <c r="E336" s="480" t="s">
        <v>11794</v>
      </c>
      <c r="F336" s="429" t="s">
        <v>11796</v>
      </c>
      <c r="G336" s="15" t="s">
        <v>202</v>
      </c>
      <c r="H336" s="482" t="s">
        <v>43</v>
      </c>
    </row>
    <row r="337" spans="1:8" ht="18">
      <c r="A337" s="477">
        <v>336</v>
      </c>
      <c r="B337" s="19"/>
      <c r="C337" s="19"/>
      <c r="D337" s="486" t="s">
        <v>10454</v>
      </c>
      <c r="E337" s="480" t="s">
        <v>11794</v>
      </c>
      <c r="F337" s="429" t="s">
        <v>11796</v>
      </c>
      <c r="G337" s="15" t="s">
        <v>202</v>
      </c>
      <c r="H337" s="482" t="s">
        <v>43</v>
      </c>
    </row>
    <row r="338" spans="1:8" ht="18">
      <c r="A338" s="477">
        <v>337</v>
      </c>
      <c r="B338" s="19"/>
      <c r="C338" s="19"/>
      <c r="D338" s="486" t="s">
        <v>10455</v>
      </c>
      <c r="E338" s="480" t="s">
        <v>11794</v>
      </c>
      <c r="F338" s="429" t="s">
        <v>11796</v>
      </c>
      <c r="G338" s="15" t="s">
        <v>202</v>
      </c>
      <c r="H338" s="482" t="s">
        <v>43</v>
      </c>
    </row>
    <row r="339" spans="1:8" ht="18">
      <c r="A339" s="477">
        <v>338</v>
      </c>
      <c r="B339" s="19"/>
      <c r="C339" s="19"/>
      <c r="D339" s="486" t="s">
        <v>10456</v>
      </c>
      <c r="E339" s="480" t="s">
        <v>11794</v>
      </c>
      <c r="F339" s="429" t="s">
        <v>11796</v>
      </c>
      <c r="G339" s="15" t="s">
        <v>202</v>
      </c>
      <c r="H339" s="482" t="s">
        <v>43</v>
      </c>
    </row>
    <row r="340" spans="1:8" ht="18">
      <c r="A340" s="477">
        <v>339</v>
      </c>
      <c r="B340" s="19"/>
      <c r="C340" s="19"/>
      <c r="D340" s="486" t="s">
        <v>10468</v>
      </c>
      <c r="E340" s="480" t="s">
        <v>11794</v>
      </c>
      <c r="F340" s="429" t="s">
        <v>11796</v>
      </c>
      <c r="G340" s="15" t="s">
        <v>202</v>
      </c>
      <c r="H340" s="482" t="s">
        <v>43</v>
      </c>
    </row>
    <row r="341" spans="1:8" ht="18">
      <c r="A341" s="477">
        <v>340</v>
      </c>
      <c r="B341" s="19"/>
      <c r="C341" s="19"/>
      <c r="D341" s="486" t="s">
        <v>10472</v>
      </c>
      <c r="E341" s="480" t="s">
        <v>11794</v>
      </c>
      <c r="F341" s="429" t="s">
        <v>11796</v>
      </c>
      <c r="G341" s="15" t="s">
        <v>202</v>
      </c>
      <c r="H341" s="482" t="s">
        <v>43</v>
      </c>
    </row>
    <row r="342" spans="1:8" ht="18">
      <c r="A342" s="477">
        <v>341</v>
      </c>
      <c r="B342" s="19"/>
      <c r="C342" s="19"/>
      <c r="D342" s="486" t="s">
        <v>10479</v>
      </c>
      <c r="E342" s="480" t="s">
        <v>11794</v>
      </c>
      <c r="F342" s="429" t="s">
        <v>11796</v>
      </c>
      <c r="G342" s="15" t="s">
        <v>202</v>
      </c>
      <c r="H342" s="482" t="s">
        <v>43</v>
      </c>
    </row>
    <row r="343" spans="1:8" ht="18">
      <c r="A343" s="477">
        <v>342</v>
      </c>
      <c r="B343" s="19"/>
      <c r="C343" s="19"/>
      <c r="D343" s="486" t="s">
        <v>10489</v>
      </c>
      <c r="E343" s="480" t="s">
        <v>11794</v>
      </c>
      <c r="F343" s="429" t="s">
        <v>11796</v>
      </c>
      <c r="G343" s="15" t="s">
        <v>202</v>
      </c>
      <c r="H343" s="482" t="s">
        <v>43</v>
      </c>
    </row>
    <row r="344" spans="1:8" ht="18">
      <c r="A344" s="477">
        <v>343</v>
      </c>
      <c r="B344" s="19"/>
      <c r="C344" s="19"/>
      <c r="D344" s="486" t="s">
        <v>10492</v>
      </c>
      <c r="E344" s="480" t="s">
        <v>11794</v>
      </c>
      <c r="F344" s="429" t="s">
        <v>11796</v>
      </c>
      <c r="G344" s="15" t="s">
        <v>202</v>
      </c>
      <c r="H344" s="482" t="s">
        <v>43</v>
      </c>
    </row>
    <row r="345" spans="1:8" ht="18">
      <c r="A345" s="477">
        <v>344</v>
      </c>
      <c r="B345" s="19"/>
      <c r="C345" s="19"/>
      <c r="D345" s="486" t="s">
        <v>10503</v>
      </c>
      <c r="E345" s="480" t="s">
        <v>11794</v>
      </c>
      <c r="F345" s="429" t="s">
        <v>11796</v>
      </c>
      <c r="G345" s="15" t="s">
        <v>202</v>
      </c>
      <c r="H345" s="482" t="s">
        <v>43</v>
      </c>
    </row>
    <row r="346" spans="1:8" ht="18">
      <c r="A346" s="477">
        <v>345</v>
      </c>
      <c r="B346" s="19"/>
      <c r="C346" s="19"/>
      <c r="D346" s="486" t="s">
        <v>10514</v>
      </c>
      <c r="E346" s="480" t="s">
        <v>11794</v>
      </c>
      <c r="F346" s="429" t="s">
        <v>11796</v>
      </c>
      <c r="G346" s="15" t="s">
        <v>202</v>
      </c>
      <c r="H346" s="482" t="s">
        <v>43</v>
      </c>
    </row>
    <row r="347" spans="1:8" ht="18">
      <c r="A347" s="477">
        <v>346</v>
      </c>
      <c r="B347" s="19"/>
      <c r="C347" s="19"/>
      <c r="D347" s="486" t="s">
        <v>10524</v>
      </c>
      <c r="E347" s="480" t="s">
        <v>11794</v>
      </c>
      <c r="F347" s="429" t="s">
        <v>11796</v>
      </c>
      <c r="G347" s="15" t="s">
        <v>202</v>
      </c>
      <c r="H347" s="482" t="s">
        <v>1084</v>
      </c>
    </row>
    <row r="348" spans="1:8" ht="18">
      <c r="A348" s="477">
        <v>347</v>
      </c>
      <c r="B348" s="19"/>
      <c r="C348" s="19"/>
      <c r="D348" s="486" t="s">
        <v>10528</v>
      </c>
      <c r="E348" s="480" t="s">
        <v>11794</v>
      </c>
      <c r="F348" s="429" t="s">
        <v>11796</v>
      </c>
      <c r="G348" s="15" t="s">
        <v>202</v>
      </c>
      <c r="H348" s="482" t="s">
        <v>43</v>
      </c>
    </row>
    <row r="349" spans="1:8" ht="18">
      <c r="A349" s="477">
        <v>348</v>
      </c>
      <c r="B349" s="19"/>
      <c r="C349" s="19"/>
      <c r="D349" s="486" t="s">
        <v>10529</v>
      </c>
      <c r="E349" s="480" t="s">
        <v>11794</v>
      </c>
      <c r="F349" s="429" t="s">
        <v>11796</v>
      </c>
      <c r="G349" s="15" t="s">
        <v>202</v>
      </c>
      <c r="H349" s="482" t="s">
        <v>43</v>
      </c>
    </row>
    <row r="350" spans="1:8" ht="18">
      <c r="A350" s="477">
        <v>349</v>
      </c>
      <c r="B350" s="19"/>
      <c r="C350" s="19"/>
      <c r="D350" s="486" t="s">
        <v>10549</v>
      </c>
      <c r="E350" s="480" t="s">
        <v>11794</v>
      </c>
      <c r="F350" s="429" t="s">
        <v>11796</v>
      </c>
      <c r="G350" s="15" t="s">
        <v>202</v>
      </c>
      <c r="H350" s="482" t="s">
        <v>43</v>
      </c>
    </row>
    <row r="351" spans="1:8" ht="18">
      <c r="A351" s="477">
        <v>350</v>
      </c>
      <c r="B351" s="19"/>
      <c r="C351" s="19"/>
      <c r="D351" s="486" t="s">
        <v>10556</v>
      </c>
      <c r="E351" s="480" t="s">
        <v>11794</v>
      </c>
      <c r="F351" s="429" t="s">
        <v>11796</v>
      </c>
      <c r="G351" s="15" t="s">
        <v>202</v>
      </c>
      <c r="H351" s="482" t="s">
        <v>43</v>
      </c>
    </row>
    <row r="352" spans="1:8" ht="18">
      <c r="A352" s="477">
        <v>351</v>
      </c>
      <c r="B352" s="19"/>
      <c r="C352" s="19"/>
      <c r="D352" s="486" t="s">
        <v>10557</v>
      </c>
      <c r="E352" s="480" t="s">
        <v>11794</v>
      </c>
      <c r="F352" s="429" t="s">
        <v>11796</v>
      </c>
      <c r="G352" s="15" t="s">
        <v>202</v>
      </c>
      <c r="H352" s="482" t="s">
        <v>43</v>
      </c>
    </row>
    <row r="353" spans="1:8" ht="18">
      <c r="A353" s="477">
        <v>352</v>
      </c>
      <c r="B353" s="19"/>
      <c r="C353" s="19"/>
      <c r="D353" s="486" t="s">
        <v>10559</v>
      </c>
      <c r="E353" s="480" t="s">
        <v>11794</v>
      </c>
      <c r="F353" s="429" t="s">
        <v>11796</v>
      </c>
      <c r="G353" s="15" t="s">
        <v>202</v>
      </c>
      <c r="H353" s="482" t="s">
        <v>43</v>
      </c>
    </row>
    <row r="354" spans="1:8" ht="18">
      <c r="A354" s="477">
        <v>353</v>
      </c>
      <c r="B354" s="19"/>
      <c r="C354" s="19"/>
      <c r="D354" s="486" t="s">
        <v>10560</v>
      </c>
      <c r="E354" s="480" t="s">
        <v>11794</v>
      </c>
      <c r="F354" s="429" t="s">
        <v>11796</v>
      </c>
      <c r="G354" s="15" t="s">
        <v>202</v>
      </c>
      <c r="H354" s="482" t="s">
        <v>43</v>
      </c>
    </row>
    <row r="355" spans="1:8" ht="18">
      <c r="A355" s="477">
        <v>354</v>
      </c>
      <c r="B355" s="19"/>
      <c r="C355" s="19"/>
      <c r="D355" s="486" t="s">
        <v>10562</v>
      </c>
      <c r="E355" s="480" t="s">
        <v>11794</v>
      </c>
      <c r="F355" s="429" t="s">
        <v>11796</v>
      </c>
      <c r="G355" s="15" t="s">
        <v>202</v>
      </c>
      <c r="H355" s="482" t="s">
        <v>43</v>
      </c>
    </row>
    <row r="356" spans="1:8" ht="18">
      <c r="A356" s="477">
        <v>355</v>
      </c>
      <c r="B356" s="19"/>
      <c r="C356" s="19"/>
      <c r="D356" s="486" t="s">
        <v>10569</v>
      </c>
      <c r="E356" s="480" t="s">
        <v>11794</v>
      </c>
      <c r="F356" s="429" t="s">
        <v>11796</v>
      </c>
      <c r="G356" s="15" t="s">
        <v>202</v>
      </c>
      <c r="H356" s="482" t="s">
        <v>43</v>
      </c>
    </row>
    <row r="357" spans="1:8" ht="18">
      <c r="A357" s="477">
        <v>356</v>
      </c>
      <c r="B357" s="19"/>
      <c r="C357" s="19"/>
      <c r="D357" s="486" t="s">
        <v>10581</v>
      </c>
      <c r="E357" s="480" t="s">
        <v>11794</v>
      </c>
      <c r="F357" s="429" t="s">
        <v>11796</v>
      </c>
      <c r="G357" s="15" t="s">
        <v>202</v>
      </c>
      <c r="H357" s="482" t="s">
        <v>43</v>
      </c>
    </row>
    <row r="358" spans="1:8" ht="18">
      <c r="A358" s="477">
        <v>357</v>
      </c>
      <c r="B358" s="19"/>
      <c r="C358" s="19"/>
      <c r="D358" s="486" t="s">
        <v>10595</v>
      </c>
      <c r="E358" s="480" t="s">
        <v>11794</v>
      </c>
      <c r="F358" s="429" t="s">
        <v>11796</v>
      </c>
      <c r="G358" s="15" t="s">
        <v>202</v>
      </c>
      <c r="H358" s="482" t="s">
        <v>43</v>
      </c>
    </row>
    <row r="359" spans="1:8" ht="18">
      <c r="A359" s="477">
        <v>358</v>
      </c>
      <c r="B359" s="19"/>
      <c r="C359" s="19"/>
      <c r="D359" s="486" t="s">
        <v>10608</v>
      </c>
      <c r="E359" s="480" t="s">
        <v>11794</v>
      </c>
      <c r="F359" s="429" t="s">
        <v>11796</v>
      </c>
      <c r="G359" s="15" t="s">
        <v>202</v>
      </c>
      <c r="H359" s="482" t="s">
        <v>43</v>
      </c>
    </row>
    <row r="360" spans="1:8" ht="18">
      <c r="A360" s="477">
        <v>359</v>
      </c>
      <c r="B360" s="19"/>
      <c r="C360" s="19"/>
      <c r="D360" s="486" t="s">
        <v>10616</v>
      </c>
      <c r="E360" s="480" t="s">
        <v>11794</v>
      </c>
      <c r="F360" s="429" t="s">
        <v>11796</v>
      </c>
      <c r="G360" s="15" t="s">
        <v>202</v>
      </c>
      <c r="H360" s="482" t="s">
        <v>43</v>
      </c>
    </row>
    <row r="361" spans="1:8" ht="18">
      <c r="A361" s="477">
        <v>360</v>
      </c>
      <c r="B361" s="19"/>
      <c r="C361" s="19"/>
      <c r="D361" s="486" t="s">
        <v>10617</v>
      </c>
      <c r="E361" s="480" t="s">
        <v>11794</v>
      </c>
      <c r="F361" s="429" t="s">
        <v>11796</v>
      </c>
      <c r="G361" s="15" t="s">
        <v>202</v>
      </c>
      <c r="H361" s="482" t="s">
        <v>43</v>
      </c>
    </row>
    <row r="362" spans="1:8" ht="18">
      <c r="A362" s="477">
        <v>361</v>
      </c>
      <c r="B362" s="19"/>
      <c r="C362" s="19"/>
      <c r="D362" s="486" t="s">
        <v>10618</v>
      </c>
      <c r="E362" s="480" t="s">
        <v>11794</v>
      </c>
      <c r="F362" s="429" t="s">
        <v>11796</v>
      </c>
      <c r="G362" s="15" t="s">
        <v>202</v>
      </c>
      <c r="H362" s="482" t="s">
        <v>43</v>
      </c>
    </row>
    <row r="363" spans="1:8" ht="18">
      <c r="A363" s="477">
        <v>362</v>
      </c>
      <c r="B363" s="19"/>
      <c r="C363" s="19"/>
      <c r="D363" s="486" t="s">
        <v>10620</v>
      </c>
      <c r="E363" s="480" t="s">
        <v>11794</v>
      </c>
      <c r="F363" s="429" t="s">
        <v>11796</v>
      </c>
      <c r="G363" s="15" t="s">
        <v>202</v>
      </c>
      <c r="H363" s="482" t="s">
        <v>43</v>
      </c>
    </row>
    <row r="364" spans="1:8" ht="18">
      <c r="A364" s="477">
        <v>363</v>
      </c>
      <c r="B364" s="19"/>
      <c r="C364" s="19"/>
      <c r="D364" s="486" t="s">
        <v>10633</v>
      </c>
      <c r="E364" s="480" t="s">
        <v>11794</v>
      </c>
      <c r="F364" s="429" t="s">
        <v>11796</v>
      </c>
      <c r="G364" s="15" t="s">
        <v>202</v>
      </c>
      <c r="H364" s="482" t="s">
        <v>43</v>
      </c>
    </row>
    <row r="365" spans="1:8" ht="18">
      <c r="A365" s="477">
        <v>364</v>
      </c>
      <c r="B365" s="19"/>
      <c r="C365" s="19"/>
      <c r="D365" s="486" t="s">
        <v>10643</v>
      </c>
      <c r="E365" s="480" t="s">
        <v>11794</v>
      </c>
      <c r="F365" s="429" t="s">
        <v>11796</v>
      </c>
      <c r="G365" s="15" t="s">
        <v>202</v>
      </c>
      <c r="H365" s="482" t="s">
        <v>43</v>
      </c>
    </row>
    <row r="366" spans="1:8" ht="18">
      <c r="A366" s="477">
        <v>365</v>
      </c>
      <c r="B366" s="19"/>
      <c r="C366" s="19"/>
      <c r="D366" s="486" t="s">
        <v>10644</v>
      </c>
      <c r="E366" s="480" t="s">
        <v>11794</v>
      </c>
      <c r="F366" s="429" t="s">
        <v>11796</v>
      </c>
      <c r="G366" s="15" t="s">
        <v>202</v>
      </c>
      <c r="H366" s="482" t="s">
        <v>43</v>
      </c>
    </row>
    <row r="367" spans="1:8" ht="18">
      <c r="A367" s="477">
        <v>366</v>
      </c>
      <c r="B367" s="19"/>
      <c r="C367" s="19"/>
      <c r="D367" s="486" t="s">
        <v>10645</v>
      </c>
      <c r="E367" s="480" t="s">
        <v>11794</v>
      </c>
      <c r="F367" s="429" t="s">
        <v>11796</v>
      </c>
      <c r="G367" s="15" t="s">
        <v>202</v>
      </c>
      <c r="H367" s="482" t="s">
        <v>43</v>
      </c>
    </row>
    <row r="368" spans="1:8" ht="18">
      <c r="A368" s="477">
        <v>367</v>
      </c>
      <c r="B368" s="19"/>
      <c r="C368" s="19"/>
      <c r="D368" s="486" t="s">
        <v>10646</v>
      </c>
      <c r="E368" s="480" t="s">
        <v>11794</v>
      </c>
      <c r="F368" s="429" t="s">
        <v>11796</v>
      </c>
      <c r="G368" s="15" t="s">
        <v>202</v>
      </c>
      <c r="H368" s="482" t="s">
        <v>43</v>
      </c>
    </row>
    <row r="369" spans="1:8" ht="18">
      <c r="A369" s="477">
        <v>368</v>
      </c>
      <c r="B369" s="19"/>
      <c r="C369" s="19"/>
      <c r="D369" s="486" t="s">
        <v>10647</v>
      </c>
      <c r="E369" s="480" t="s">
        <v>11794</v>
      </c>
      <c r="F369" s="429" t="s">
        <v>11796</v>
      </c>
      <c r="G369" s="15" t="s">
        <v>202</v>
      </c>
      <c r="H369" s="482" t="s">
        <v>43</v>
      </c>
    </row>
    <row r="370" spans="1:8" ht="18">
      <c r="A370" s="477">
        <v>369</v>
      </c>
      <c r="B370" s="19"/>
      <c r="C370" s="19"/>
      <c r="D370" s="486" t="s">
        <v>10648</v>
      </c>
      <c r="E370" s="480" t="s">
        <v>11794</v>
      </c>
      <c r="F370" s="429" t="s">
        <v>11796</v>
      </c>
      <c r="G370" s="15" t="s">
        <v>202</v>
      </c>
      <c r="H370" s="482" t="s">
        <v>43</v>
      </c>
    </row>
    <row r="371" spans="1:8" ht="18">
      <c r="A371" s="477">
        <v>370</v>
      </c>
      <c r="B371" s="19"/>
      <c r="C371" s="19"/>
      <c r="D371" s="486" t="s">
        <v>10649</v>
      </c>
      <c r="E371" s="480" t="s">
        <v>11794</v>
      </c>
      <c r="F371" s="429" t="s">
        <v>11796</v>
      </c>
      <c r="G371" s="15" t="s">
        <v>202</v>
      </c>
      <c r="H371" s="482" t="s">
        <v>43</v>
      </c>
    </row>
    <row r="372" spans="1:8" ht="18">
      <c r="A372" s="477">
        <v>371</v>
      </c>
      <c r="B372" s="19"/>
      <c r="C372" s="19"/>
      <c r="D372" s="486" t="s">
        <v>10650</v>
      </c>
      <c r="E372" s="480" t="s">
        <v>11794</v>
      </c>
      <c r="F372" s="429" t="s">
        <v>11796</v>
      </c>
      <c r="G372" s="15" t="s">
        <v>202</v>
      </c>
      <c r="H372" s="482" t="s">
        <v>43</v>
      </c>
    </row>
    <row r="373" spans="1:8" ht="18">
      <c r="A373" s="477">
        <v>372</v>
      </c>
      <c r="B373" s="19"/>
      <c r="C373" s="19"/>
      <c r="D373" s="486" t="s">
        <v>10651</v>
      </c>
      <c r="E373" s="480" t="s">
        <v>11794</v>
      </c>
      <c r="F373" s="429" t="s">
        <v>11796</v>
      </c>
      <c r="G373" s="15" t="s">
        <v>202</v>
      </c>
      <c r="H373" s="482" t="s">
        <v>43</v>
      </c>
    </row>
    <row r="374" spans="1:8" ht="18">
      <c r="A374" s="477">
        <v>373</v>
      </c>
      <c r="B374" s="19"/>
      <c r="C374" s="19"/>
      <c r="D374" s="486" t="s">
        <v>10652</v>
      </c>
      <c r="E374" s="480" t="s">
        <v>11794</v>
      </c>
      <c r="F374" s="429" t="s">
        <v>11796</v>
      </c>
      <c r="G374" s="15" t="s">
        <v>202</v>
      </c>
      <c r="H374" s="482" t="s">
        <v>43</v>
      </c>
    </row>
    <row r="375" spans="1:8" ht="18">
      <c r="A375" s="477">
        <v>374</v>
      </c>
      <c r="B375" s="19"/>
      <c r="C375" s="19"/>
      <c r="D375" s="486" t="s">
        <v>10653</v>
      </c>
      <c r="E375" s="480" t="s">
        <v>11794</v>
      </c>
      <c r="F375" s="429" t="s">
        <v>11796</v>
      </c>
      <c r="G375" s="15" t="s">
        <v>202</v>
      </c>
      <c r="H375" s="482" t="s">
        <v>43</v>
      </c>
    </row>
    <row r="376" spans="1:8" ht="18">
      <c r="A376" s="477">
        <v>375</v>
      </c>
      <c r="B376" s="19"/>
      <c r="C376" s="19"/>
      <c r="D376" s="486" t="s">
        <v>10654</v>
      </c>
      <c r="E376" s="480" t="s">
        <v>11794</v>
      </c>
      <c r="F376" s="429" t="s">
        <v>11796</v>
      </c>
      <c r="G376" s="15" t="s">
        <v>202</v>
      </c>
      <c r="H376" s="482" t="s">
        <v>1084</v>
      </c>
    </row>
    <row r="377" spans="1:8" ht="18">
      <c r="A377" s="477">
        <v>376</v>
      </c>
      <c r="B377" s="19"/>
      <c r="C377" s="19"/>
      <c r="D377" s="486" t="s">
        <v>10655</v>
      </c>
      <c r="E377" s="480" t="s">
        <v>11794</v>
      </c>
      <c r="F377" s="429" t="s">
        <v>11796</v>
      </c>
      <c r="G377" s="15" t="s">
        <v>202</v>
      </c>
      <c r="H377" s="482" t="s">
        <v>43</v>
      </c>
    </row>
    <row r="378" spans="1:8" ht="18">
      <c r="A378" s="477">
        <v>377</v>
      </c>
      <c r="B378" s="19"/>
      <c r="C378" s="19"/>
      <c r="D378" s="486" t="s">
        <v>10656</v>
      </c>
      <c r="E378" s="480" t="s">
        <v>11794</v>
      </c>
      <c r="F378" s="429" t="s">
        <v>11796</v>
      </c>
      <c r="G378" s="15" t="s">
        <v>202</v>
      </c>
      <c r="H378" s="482" t="s">
        <v>43</v>
      </c>
    </row>
    <row r="379" spans="1:8" ht="18">
      <c r="A379" s="477">
        <v>378</v>
      </c>
      <c r="B379" s="19"/>
      <c r="C379" s="19"/>
      <c r="D379" s="486" t="s">
        <v>10657</v>
      </c>
      <c r="E379" s="480" t="s">
        <v>11794</v>
      </c>
      <c r="F379" s="429" t="s">
        <v>11796</v>
      </c>
      <c r="G379" s="15" t="s">
        <v>202</v>
      </c>
      <c r="H379" s="482" t="s">
        <v>43</v>
      </c>
    </row>
    <row r="380" spans="1:8" ht="18">
      <c r="A380" s="477">
        <v>379</v>
      </c>
      <c r="B380" s="19"/>
      <c r="C380" s="19"/>
      <c r="D380" s="486" t="s">
        <v>10659</v>
      </c>
      <c r="E380" s="480" t="s">
        <v>11794</v>
      </c>
      <c r="F380" s="429" t="s">
        <v>11796</v>
      </c>
      <c r="G380" s="15" t="s">
        <v>202</v>
      </c>
      <c r="H380" s="482" t="s">
        <v>43</v>
      </c>
    </row>
    <row r="381" spans="1:8" ht="18">
      <c r="A381" s="477">
        <v>380</v>
      </c>
      <c r="B381" s="19"/>
      <c r="C381" s="19"/>
      <c r="D381" s="486" t="s">
        <v>10671</v>
      </c>
      <c r="E381" s="480" t="s">
        <v>11794</v>
      </c>
      <c r="F381" s="429" t="s">
        <v>11796</v>
      </c>
      <c r="G381" s="15" t="s">
        <v>202</v>
      </c>
      <c r="H381" s="482" t="s">
        <v>43</v>
      </c>
    </row>
    <row r="382" spans="1:8" ht="18">
      <c r="A382" s="477">
        <v>381</v>
      </c>
      <c r="B382" s="19"/>
      <c r="C382" s="19"/>
      <c r="D382" s="486" t="s">
        <v>10676</v>
      </c>
      <c r="E382" s="480" t="s">
        <v>11794</v>
      </c>
      <c r="F382" s="429" t="s">
        <v>11796</v>
      </c>
      <c r="G382" s="15" t="s">
        <v>202</v>
      </c>
      <c r="H382" s="482" t="s">
        <v>43</v>
      </c>
    </row>
    <row r="383" spans="1:8" ht="18">
      <c r="A383" s="477">
        <v>382</v>
      </c>
      <c r="B383" s="19"/>
      <c r="C383" s="19"/>
      <c r="D383" s="486" t="s">
        <v>10677</v>
      </c>
      <c r="E383" s="480" t="s">
        <v>11794</v>
      </c>
      <c r="F383" s="429" t="s">
        <v>11796</v>
      </c>
      <c r="G383" s="15" t="s">
        <v>202</v>
      </c>
      <c r="H383" s="482" t="s">
        <v>43</v>
      </c>
    </row>
    <row r="384" spans="1:8" ht="18">
      <c r="A384" s="477">
        <v>383</v>
      </c>
      <c r="B384" s="19"/>
      <c r="C384" s="19"/>
      <c r="D384" s="486" t="s">
        <v>10694</v>
      </c>
      <c r="E384" s="480" t="s">
        <v>11794</v>
      </c>
      <c r="F384" s="429" t="s">
        <v>11796</v>
      </c>
      <c r="G384" s="15" t="s">
        <v>202</v>
      </c>
      <c r="H384" s="482" t="s">
        <v>43</v>
      </c>
    </row>
    <row r="385" spans="1:8" ht="18">
      <c r="A385" s="477">
        <v>384</v>
      </c>
      <c r="B385" s="19"/>
      <c r="C385" s="19"/>
      <c r="D385" s="486" t="s">
        <v>10711</v>
      </c>
      <c r="E385" s="480" t="s">
        <v>11794</v>
      </c>
      <c r="F385" s="429" t="s">
        <v>11796</v>
      </c>
      <c r="G385" s="15" t="s">
        <v>202</v>
      </c>
      <c r="H385" s="482" t="s">
        <v>43</v>
      </c>
    </row>
    <row r="386" spans="1:8" ht="18">
      <c r="A386" s="477">
        <v>385</v>
      </c>
      <c r="B386" s="19"/>
      <c r="C386" s="19"/>
      <c r="D386" s="486" t="s">
        <v>10722</v>
      </c>
      <c r="E386" s="480" t="s">
        <v>11794</v>
      </c>
      <c r="F386" s="429" t="s">
        <v>11796</v>
      </c>
      <c r="G386" s="15" t="s">
        <v>202</v>
      </c>
      <c r="H386" s="482" t="s">
        <v>43</v>
      </c>
    </row>
    <row r="387" spans="1:8" ht="18">
      <c r="A387" s="477">
        <v>386</v>
      </c>
      <c r="B387" s="19"/>
      <c r="C387" s="133"/>
      <c r="D387" s="486" t="s">
        <v>10724</v>
      </c>
      <c r="E387" s="480" t="s">
        <v>11794</v>
      </c>
      <c r="F387" s="429" t="s">
        <v>11796</v>
      </c>
      <c r="G387" s="15" t="s">
        <v>202</v>
      </c>
      <c r="H387" s="482" t="s">
        <v>43</v>
      </c>
    </row>
    <row r="388" spans="1:8" ht="18">
      <c r="A388" s="477">
        <v>387</v>
      </c>
      <c r="B388" s="19"/>
      <c r="C388" s="19"/>
      <c r="D388" s="486" t="s">
        <v>10735</v>
      </c>
      <c r="E388" s="480" t="s">
        <v>11794</v>
      </c>
      <c r="F388" s="429" t="s">
        <v>11796</v>
      </c>
      <c r="G388" s="15" t="s">
        <v>202</v>
      </c>
      <c r="H388" s="482" t="s">
        <v>43</v>
      </c>
    </row>
    <row r="389" spans="1:8" ht="18">
      <c r="A389" s="477">
        <v>388</v>
      </c>
      <c r="B389" s="19"/>
      <c r="C389" s="19"/>
      <c r="D389" s="486" t="s">
        <v>10736</v>
      </c>
      <c r="E389" s="480" t="s">
        <v>11794</v>
      </c>
      <c r="F389" s="429" t="s">
        <v>11796</v>
      </c>
      <c r="G389" s="15" t="s">
        <v>202</v>
      </c>
      <c r="H389" s="482" t="s">
        <v>43</v>
      </c>
    </row>
    <row r="390" spans="1:8" ht="18">
      <c r="A390" s="477">
        <v>389</v>
      </c>
      <c r="B390" s="19"/>
      <c r="C390" s="19"/>
      <c r="D390" s="486" t="s">
        <v>10741</v>
      </c>
      <c r="E390" s="480" t="s">
        <v>11794</v>
      </c>
      <c r="F390" s="429" t="s">
        <v>11796</v>
      </c>
      <c r="G390" s="15" t="s">
        <v>202</v>
      </c>
      <c r="H390" s="482" t="s">
        <v>43</v>
      </c>
    </row>
    <row r="391" spans="1:8" ht="18">
      <c r="A391" s="477">
        <v>390</v>
      </c>
      <c r="B391" s="19"/>
      <c r="C391" s="19"/>
      <c r="D391" s="486" t="s">
        <v>10747</v>
      </c>
      <c r="E391" s="480" t="s">
        <v>11794</v>
      </c>
      <c r="F391" s="429" t="s">
        <v>11796</v>
      </c>
      <c r="G391" s="15" t="s">
        <v>202</v>
      </c>
      <c r="H391" s="482" t="s">
        <v>43</v>
      </c>
    </row>
    <row r="392" spans="1:8" ht="18">
      <c r="A392" s="477">
        <v>391</v>
      </c>
      <c r="B392" s="19"/>
      <c r="C392" s="19"/>
      <c r="D392" s="486" t="s">
        <v>10759</v>
      </c>
      <c r="E392" s="480" t="s">
        <v>11794</v>
      </c>
      <c r="F392" s="429" t="s">
        <v>11796</v>
      </c>
      <c r="G392" s="15" t="s">
        <v>202</v>
      </c>
      <c r="H392" s="482" t="s">
        <v>43</v>
      </c>
    </row>
    <row r="393" spans="1:8" ht="18">
      <c r="A393" s="477">
        <v>392</v>
      </c>
      <c r="B393" s="19"/>
      <c r="C393" s="19"/>
      <c r="D393" s="486" t="s">
        <v>10760</v>
      </c>
      <c r="E393" s="480" t="s">
        <v>11794</v>
      </c>
      <c r="F393" s="429" t="s">
        <v>11796</v>
      </c>
      <c r="G393" s="15" t="s">
        <v>202</v>
      </c>
      <c r="H393" s="482" t="s">
        <v>43</v>
      </c>
    </row>
    <row r="394" spans="1:8" ht="18">
      <c r="A394" s="477">
        <v>393</v>
      </c>
      <c r="B394" s="19"/>
      <c r="C394" s="19"/>
      <c r="D394" s="486" t="s">
        <v>10784</v>
      </c>
      <c r="E394" s="480" t="s">
        <v>11794</v>
      </c>
      <c r="F394" s="429" t="s">
        <v>11796</v>
      </c>
      <c r="G394" s="15" t="s">
        <v>202</v>
      </c>
      <c r="H394" s="482" t="s">
        <v>43</v>
      </c>
    </row>
    <row r="395" spans="1:8" ht="18">
      <c r="A395" s="477">
        <v>394</v>
      </c>
      <c r="B395" s="19"/>
      <c r="C395" s="19"/>
      <c r="D395" s="486" t="s">
        <v>10800</v>
      </c>
      <c r="E395" s="480" t="s">
        <v>11794</v>
      </c>
      <c r="F395" s="429" t="s">
        <v>11796</v>
      </c>
      <c r="G395" s="15" t="s">
        <v>202</v>
      </c>
      <c r="H395" s="482" t="s">
        <v>43</v>
      </c>
    </row>
    <row r="396" spans="1:8" ht="18">
      <c r="A396" s="477">
        <v>395</v>
      </c>
      <c r="B396" s="19"/>
      <c r="C396" s="19"/>
      <c r="D396" s="486" t="s">
        <v>10805</v>
      </c>
      <c r="E396" s="480" t="s">
        <v>11794</v>
      </c>
      <c r="F396" s="429" t="s">
        <v>11796</v>
      </c>
      <c r="G396" s="15" t="s">
        <v>202</v>
      </c>
      <c r="H396" s="482" t="s">
        <v>43</v>
      </c>
    </row>
    <row r="397" spans="1:8" ht="18">
      <c r="A397" s="477">
        <v>396</v>
      </c>
      <c r="B397" s="19"/>
      <c r="C397" s="19"/>
      <c r="D397" s="486" t="s">
        <v>10808</v>
      </c>
      <c r="E397" s="480" t="s">
        <v>11794</v>
      </c>
      <c r="F397" s="429" t="s">
        <v>11796</v>
      </c>
      <c r="G397" s="15" t="s">
        <v>202</v>
      </c>
      <c r="H397" s="482" t="s">
        <v>43</v>
      </c>
    </row>
    <row r="398" spans="1:8" ht="18">
      <c r="A398" s="477">
        <v>397</v>
      </c>
      <c r="B398" s="19"/>
      <c r="C398" s="19"/>
      <c r="D398" s="486" t="s">
        <v>10811</v>
      </c>
      <c r="E398" s="480" t="s">
        <v>11794</v>
      </c>
      <c r="F398" s="429" t="s">
        <v>11796</v>
      </c>
      <c r="G398" s="15" t="s">
        <v>202</v>
      </c>
      <c r="H398" s="482" t="s">
        <v>43</v>
      </c>
    </row>
    <row r="399" spans="1:8" ht="18">
      <c r="A399" s="477">
        <v>398</v>
      </c>
      <c r="B399" s="19"/>
      <c r="C399" s="19"/>
      <c r="D399" s="486" t="s">
        <v>10816</v>
      </c>
      <c r="E399" s="480" t="s">
        <v>11794</v>
      </c>
      <c r="F399" s="429" t="s">
        <v>11796</v>
      </c>
      <c r="G399" s="15" t="s">
        <v>202</v>
      </c>
      <c r="H399" s="482" t="s">
        <v>43</v>
      </c>
    </row>
    <row r="400" spans="1:8" ht="18">
      <c r="A400" s="477">
        <v>399</v>
      </c>
      <c r="B400" s="486"/>
      <c r="C400" s="19"/>
      <c r="D400" s="486" t="s">
        <v>10821</v>
      </c>
      <c r="E400" s="480" t="s">
        <v>11794</v>
      </c>
      <c r="F400" s="429" t="s">
        <v>11796</v>
      </c>
      <c r="G400" s="15" t="s">
        <v>202</v>
      </c>
      <c r="H400" s="482" t="s">
        <v>43</v>
      </c>
    </row>
    <row r="401" spans="1:8" ht="18">
      <c r="A401" s="477">
        <v>400</v>
      </c>
      <c r="B401" s="19"/>
      <c r="C401" s="19"/>
      <c r="D401" s="486" t="s">
        <v>10867</v>
      </c>
      <c r="E401" s="480" t="s">
        <v>11794</v>
      </c>
      <c r="F401" s="429" t="s">
        <v>11796</v>
      </c>
      <c r="G401" s="15" t="s">
        <v>202</v>
      </c>
      <c r="H401" s="482" t="s">
        <v>43</v>
      </c>
    </row>
    <row r="402" spans="1:8" ht="18">
      <c r="A402" s="477">
        <v>401</v>
      </c>
      <c r="B402" s="19"/>
      <c r="C402" s="19"/>
      <c r="D402" s="486" t="s">
        <v>10869</v>
      </c>
      <c r="E402" s="480" t="s">
        <v>11794</v>
      </c>
      <c r="F402" s="429" t="s">
        <v>11796</v>
      </c>
      <c r="G402" s="15" t="s">
        <v>202</v>
      </c>
      <c r="H402" s="482" t="s">
        <v>43</v>
      </c>
    </row>
    <row r="403" spans="1:8" ht="18">
      <c r="A403" s="477">
        <v>402</v>
      </c>
      <c r="B403" s="19"/>
      <c r="C403" s="19"/>
      <c r="D403" s="486" t="s">
        <v>10887</v>
      </c>
      <c r="E403" s="480" t="s">
        <v>11794</v>
      </c>
      <c r="F403" s="429" t="s">
        <v>11796</v>
      </c>
      <c r="G403" s="15" t="s">
        <v>202</v>
      </c>
      <c r="H403" s="482" t="s">
        <v>43</v>
      </c>
    </row>
    <row r="404" spans="1:8" ht="18">
      <c r="A404" s="477">
        <v>403</v>
      </c>
      <c r="B404" s="19"/>
      <c r="C404" s="19"/>
      <c r="D404" s="486" t="s">
        <v>10894</v>
      </c>
      <c r="E404" s="480" t="s">
        <v>11794</v>
      </c>
      <c r="F404" s="429" t="s">
        <v>11796</v>
      </c>
      <c r="G404" s="15" t="s">
        <v>202</v>
      </c>
      <c r="H404" s="482" t="s">
        <v>43</v>
      </c>
    </row>
    <row r="405" spans="1:8" ht="18">
      <c r="A405" s="477">
        <v>404</v>
      </c>
      <c r="B405" s="19"/>
      <c r="C405" s="19"/>
      <c r="D405" s="486" t="s">
        <v>10897</v>
      </c>
      <c r="E405" s="480" t="s">
        <v>11794</v>
      </c>
      <c r="F405" s="429" t="s">
        <v>11796</v>
      </c>
      <c r="G405" s="15" t="s">
        <v>202</v>
      </c>
      <c r="H405" s="482" t="s">
        <v>43</v>
      </c>
    </row>
    <row r="406" spans="1:8" ht="18">
      <c r="A406" s="477">
        <v>405</v>
      </c>
      <c r="B406" s="19"/>
      <c r="C406" s="19"/>
      <c r="D406" s="486" t="s">
        <v>10901</v>
      </c>
      <c r="E406" s="480" t="s">
        <v>11794</v>
      </c>
      <c r="F406" s="429" t="s">
        <v>11796</v>
      </c>
      <c r="G406" s="15" t="s">
        <v>202</v>
      </c>
      <c r="H406" s="482" t="s">
        <v>43</v>
      </c>
    </row>
    <row r="407" spans="1:8" ht="18">
      <c r="A407" s="477">
        <v>406</v>
      </c>
      <c r="B407" s="19"/>
      <c r="C407" s="19"/>
      <c r="D407" s="486" t="s">
        <v>10906</v>
      </c>
      <c r="E407" s="480" t="s">
        <v>11794</v>
      </c>
      <c r="F407" s="429" t="s">
        <v>11796</v>
      </c>
      <c r="G407" s="15" t="s">
        <v>202</v>
      </c>
      <c r="H407" s="482" t="s">
        <v>43</v>
      </c>
    </row>
    <row r="408" spans="1:8" ht="18">
      <c r="A408" s="477">
        <v>407</v>
      </c>
      <c r="B408" s="19"/>
      <c r="C408" s="19"/>
      <c r="D408" s="486" t="s">
        <v>10908</v>
      </c>
      <c r="E408" s="480" t="s">
        <v>11794</v>
      </c>
      <c r="F408" s="429" t="s">
        <v>11796</v>
      </c>
      <c r="G408" s="15" t="s">
        <v>202</v>
      </c>
      <c r="H408" s="482" t="s">
        <v>43</v>
      </c>
    </row>
    <row r="409" spans="1:8" ht="18">
      <c r="A409" s="477">
        <v>408</v>
      </c>
      <c r="B409" s="19"/>
      <c r="C409" s="19"/>
      <c r="D409" s="486" t="s">
        <v>10910</v>
      </c>
      <c r="E409" s="480" t="s">
        <v>11794</v>
      </c>
      <c r="F409" s="429" t="s">
        <v>11796</v>
      </c>
      <c r="G409" s="15" t="s">
        <v>202</v>
      </c>
      <c r="H409" s="482" t="s">
        <v>43</v>
      </c>
    </row>
    <row r="410" spans="1:8" ht="18">
      <c r="A410" s="477">
        <v>409</v>
      </c>
      <c r="B410" s="19"/>
      <c r="C410" s="19"/>
      <c r="D410" s="486" t="s">
        <v>10917</v>
      </c>
      <c r="E410" s="480" t="s">
        <v>11794</v>
      </c>
      <c r="F410" s="429" t="s">
        <v>11796</v>
      </c>
      <c r="G410" s="15" t="s">
        <v>202</v>
      </c>
      <c r="H410" s="482" t="s">
        <v>43</v>
      </c>
    </row>
    <row r="411" spans="1:8" ht="18">
      <c r="A411" s="477">
        <v>410</v>
      </c>
      <c r="B411" s="19"/>
      <c r="C411" s="19"/>
      <c r="D411" s="486" t="s">
        <v>10920</v>
      </c>
      <c r="E411" s="480" t="s">
        <v>11794</v>
      </c>
      <c r="F411" s="429" t="s">
        <v>11796</v>
      </c>
      <c r="G411" s="15" t="s">
        <v>202</v>
      </c>
      <c r="H411" s="482" t="s">
        <v>43</v>
      </c>
    </row>
    <row r="412" spans="1:8" ht="18">
      <c r="A412" s="477">
        <v>411</v>
      </c>
      <c r="B412" s="19"/>
      <c r="C412" s="19"/>
      <c r="D412" s="486" t="s">
        <v>10924</v>
      </c>
      <c r="E412" s="480" t="s">
        <v>11794</v>
      </c>
      <c r="F412" s="429" t="s">
        <v>11796</v>
      </c>
      <c r="G412" s="15" t="s">
        <v>202</v>
      </c>
      <c r="H412" s="482" t="s">
        <v>43</v>
      </c>
    </row>
    <row r="413" spans="1:8" ht="18">
      <c r="A413" s="477">
        <v>412</v>
      </c>
      <c r="B413" s="19"/>
      <c r="C413" s="19"/>
      <c r="D413" s="486" t="s">
        <v>10925</v>
      </c>
      <c r="E413" s="480" t="s">
        <v>11794</v>
      </c>
      <c r="F413" s="429" t="s">
        <v>11796</v>
      </c>
      <c r="G413" s="15" t="s">
        <v>202</v>
      </c>
      <c r="H413" s="482" t="s">
        <v>43</v>
      </c>
    </row>
    <row r="414" spans="1:8" ht="18">
      <c r="A414" s="477">
        <v>413</v>
      </c>
      <c r="B414" s="19"/>
      <c r="C414" s="19"/>
      <c r="D414" s="486" t="s">
        <v>10934</v>
      </c>
      <c r="E414" s="480" t="s">
        <v>11794</v>
      </c>
      <c r="F414" s="429" t="s">
        <v>11796</v>
      </c>
      <c r="G414" s="15" t="s">
        <v>202</v>
      </c>
      <c r="H414" s="482" t="s">
        <v>43</v>
      </c>
    </row>
    <row r="415" spans="1:8" ht="18">
      <c r="A415" s="477">
        <v>414</v>
      </c>
      <c r="B415" s="19"/>
      <c r="C415" s="19"/>
      <c r="D415" s="486" t="s">
        <v>10949</v>
      </c>
      <c r="E415" s="480" t="s">
        <v>11794</v>
      </c>
      <c r="F415" s="429" t="s">
        <v>11796</v>
      </c>
      <c r="G415" s="15" t="s">
        <v>202</v>
      </c>
      <c r="H415" s="482" t="s">
        <v>43</v>
      </c>
    </row>
    <row r="416" spans="1:8" ht="18">
      <c r="A416" s="477">
        <v>415</v>
      </c>
      <c r="B416" s="19"/>
      <c r="C416" s="19"/>
      <c r="D416" s="486" t="s">
        <v>10950</v>
      </c>
      <c r="E416" s="480" t="s">
        <v>11794</v>
      </c>
      <c r="F416" s="429" t="s">
        <v>11796</v>
      </c>
      <c r="G416" s="15" t="s">
        <v>202</v>
      </c>
      <c r="H416" s="482" t="s">
        <v>43</v>
      </c>
    </row>
    <row r="417" spans="1:8" ht="18">
      <c r="A417" s="477">
        <v>416</v>
      </c>
      <c r="B417" s="19"/>
      <c r="C417" s="19"/>
      <c r="D417" s="486" t="s">
        <v>10955</v>
      </c>
      <c r="E417" s="480" t="s">
        <v>11794</v>
      </c>
      <c r="F417" s="429" t="s">
        <v>11796</v>
      </c>
      <c r="G417" s="15" t="s">
        <v>202</v>
      </c>
      <c r="H417" s="482" t="s">
        <v>43</v>
      </c>
    </row>
    <row r="418" spans="1:8" ht="18">
      <c r="A418" s="477">
        <v>417</v>
      </c>
      <c r="B418" s="19"/>
      <c r="C418" s="19"/>
      <c r="D418" s="486" t="s">
        <v>10958</v>
      </c>
      <c r="E418" s="480" t="s">
        <v>11794</v>
      </c>
      <c r="F418" s="429" t="s">
        <v>11796</v>
      </c>
      <c r="G418" s="15" t="s">
        <v>202</v>
      </c>
      <c r="H418" s="482" t="s">
        <v>43</v>
      </c>
    </row>
    <row r="419" spans="1:8" ht="18">
      <c r="A419" s="477">
        <v>418</v>
      </c>
      <c r="B419" s="19"/>
      <c r="C419" s="19"/>
      <c r="D419" s="486" t="s">
        <v>10959</v>
      </c>
      <c r="E419" s="480" t="s">
        <v>11794</v>
      </c>
      <c r="F419" s="429" t="s">
        <v>11796</v>
      </c>
      <c r="G419" s="15" t="s">
        <v>202</v>
      </c>
      <c r="H419" s="482" t="s">
        <v>43</v>
      </c>
    </row>
    <row r="420" spans="1:8" ht="18">
      <c r="A420" s="477">
        <v>419</v>
      </c>
      <c r="B420" s="19"/>
      <c r="C420" s="19"/>
      <c r="D420" s="486" t="s">
        <v>10971</v>
      </c>
      <c r="E420" s="480" t="s">
        <v>11794</v>
      </c>
      <c r="F420" s="429" t="s">
        <v>11796</v>
      </c>
      <c r="G420" s="15" t="s">
        <v>202</v>
      </c>
      <c r="H420" s="482" t="s">
        <v>43</v>
      </c>
    </row>
    <row r="421" spans="1:8" ht="18">
      <c r="A421" s="477">
        <v>420</v>
      </c>
      <c r="B421" s="19"/>
      <c r="C421" s="19"/>
      <c r="D421" s="486" t="s">
        <v>11425</v>
      </c>
      <c r="E421" s="480" t="s">
        <v>11794</v>
      </c>
      <c r="F421" s="429" t="s">
        <v>11796</v>
      </c>
      <c r="G421" s="15" t="s">
        <v>202</v>
      </c>
      <c r="H421" s="482" t="s">
        <v>43</v>
      </c>
    </row>
    <row r="422" spans="1:8" ht="18">
      <c r="A422" s="477">
        <v>421</v>
      </c>
      <c r="B422" s="19"/>
      <c r="C422" s="19"/>
      <c r="D422" s="486" t="s">
        <v>11436</v>
      </c>
      <c r="E422" s="480" t="s">
        <v>11794</v>
      </c>
      <c r="F422" s="429" t="s">
        <v>11796</v>
      </c>
      <c r="G422" s="15" t="s">
        <v>202</v>
      </c>
      <c r="H422" s="482" t="s">
        <v>43</v>
      </c>
    </row>
    <row r="423" spans="1:8" ht="18">
      <c r="A423" s="477">
        <v>422</v>
      </c>
      <c r="B423" s="19"/>
      <c r="C423" s="19"/>
      <c r="D423" s="486" t="s">
        <v>11457</v>
      </c>
      <c r="E423" s="480" t="s">
        <v>11794</v>
      </c>
      <c r="F423" s="429" t="s">
        <v>11796</v>
      </c>
      <c r="G423" s="15" t="s">
        <v>202</v>
      </c>
      <c r="H423" s="482" t="s">
        <v>43</v>
      </c>
    </row>
    <row r="424" spans="1:8" ht="18">
      <c r="A424" s="477">
        <v>423</v>
      </c>
      <c r="B424" s="19"/>
      <c r="C424" s="19"/>
      <c r="D424" s="486" t="s">
        <v>11460</v>
      </c>
      <c r="E424" s="480" t="s">
        <v>11794</v>
      </c>
      <c r="F424" s="429" t="s">
        <v>11796</v>
      </c>
      <c r="G424" s="15" t="s">
        <v>202</v>
      </c>
      <c r="H424" s="482" t="s">
        <v>43</v>
      </c>
    </row>
    <row r="425" spans="1:8" ht="18">
      <c r="A425" s="477">
        <v>424</v>
      </c>
      <c r="B425" s="19"/>
      <c r="C425" s="19"/>
      <c r="D425" s="486" t="s">
        <v>9875</v>
      </c>
      <c r="E425" s="480" t="s">
        <v>11794</v>
      </c>
      <c r="F425" s="429" t="s">
        <v>11796</v>
      </c>
      <c r="G425" s="15" t="s">
        <v>202</v>
      </c>
      <c r="H425" s="482" t="s">
        <v>43</v>
      </c>
    </row>
    <row r="426" spans="1:8" ht="18">
      <c r="A426" s="477">
        <v>425</v>
      </c>
      <c r="B426" s="19"/>
      <c r="C426" s="19"/>
      <c r="D426" s="486" t="s">
        <v>9885</v>
      </c>
      <c r="E426" s="480" t="s">
        <v>11794</v>
      </c>
      <c r="F426" s="429" t="s">
        <v>11796</v>
      </c>
      <c r="G426" s="15" t="s">
        <v>202</v>
      </c>
      <c r="H426" s="482" t="s">
        <v>43</v>
      </c>
    </row>
    <row r="427" spans="1:8" ht="18">
      <c r="A427" s="477">
        <v>426</v>
      </c>
      <c r="B427" s="19"/>
      <c r="C427" s="19"/>
      <c r="D427" s="486" t="s">
        <v>9886</v>
      </c>
      <c r="E427" s="480" t="s">
        <v>11794</v>
      </c>
      <c r="F427" s="429" t="s">
        <v>11796</v>
      </c>
      <c r="G427" s="15" t="s">
        <v>202</v>
      </c>
      <c r="H427" s="482" t="s">
        <v>43</v>
      </c>
    </row>
    <row r="428" spans="1:8" ht="18">
      <c r="A428" s="477">
        <v>427</v>
      </c>
      <c r="B428" s="19"/>
      <c r="C428" s="19"/>
      <c r="D428" s="486" t="s">
        <v>9887</v>
      </c>
      <c r="E428" s="480" t="s">
        <v>11794</v>
      </c>
      <c r="F428" s="429" t="s">
        <v>11796</v>
      </c>
      <c r="G428" s="15" t="s">
        <v>202</v>
      </c>
      <c r="H428" s="482" t="s">
        <v>43</v>
      </c>
    </row>
    <row r="429" spans="1:8" ht="18">
      <c r="A429" s="477">
        <v>428</v>
      </c>
      <c r="B429" s="19"/>
      <c r="C429" s="19"/>
      <c r="D429" s="486" t="s">
        <v>9895</v>
      </c>
      <c r="E429" s="480" t="s">
        <v>11794</v>
      </c>
      <c r="F429" s="429" t="s">
        <v>11796</v>
      </c>
      <c r="G429" s="15" t="s">
        <v>202</v>
      </c>
      <c r="H429" s="482" t="s">
        <v>43</v>
      </c>
    </row>
    <row r="430" spans="1:8" ht="18">
      <c r="A430" s="477">
        <v>429</v>
      </c>
      <c r="B430" s="19"/>
      <c r="C430" s="19"/>
      <c r="D430" s="486" t="s">
        <v>9921</v>
      </c>
      <c r="E430" s="480" t="s">
        <v>11794</v>
      </c>
      <c r="F430" s="429" t="s">
        <v>11796</v>
      </c>
      <c r="G430" s="15" t="s">
        <v>202</v>
      </c>
      <c r="H430" s="482" t="s">
        <v>43</v>
      </c>
    </row>
    <row r="431" spans="1:8" ht="18">
      <c r="A431" s="477">
        <v>430</v>
      </c>
      <c r="B431" s="19"/>
      <c r="C431" s="19"/>
      <c r="D431" s="486" t="s">
        <v>9929</v>
      </c>
      <c r="E431" s="480" t="s">
        <v>11794</v>
      </c>
      <c r="F431" s="429" t="s">
        <v>11796</v>
      </c>
      <c r="G431" s="15" t="s">
        <v>202</v>
      </c>
      <c r="H431" s="482" t="s">
        <v>43</v>
      </c>
    </row>
    <row r="432" spans="1:8" ht="18">
      <c r="A432" s="477">
        <v>431</v>
      </c>
      <c r="B432" s="19"/>
      <c r="C432" s="19"/>
      <c r="D432" s="486" t="s">
        <v>9958</v>
      </c>
      <c r="E432" s="480" t="s">
        <v>11794</v>
      </c>
      <c r="F432" s="429" t="s">
        <v>11796</v>
      </c>
      <c r="G432" s="15" t="s">
        <v>202</v>
      </c>
      <c r="H432" s="482" t="s">
        <v>43</v>
      </c>
    </row>
    <row r="433" spans="1:8" ht="18">
      <c r="A433" s="477">
        <v>432</v>
      </c>
      <c r="B433" s="19"/>
      <c r="C433" s="19"/>
      <c r="D433" s="486" t="s">
        <v>9980</v>
      </c>
      <c r="E433" s="480" t="s">
        <v>11794</v>
      </c>
      <c r="F433" s="429" t="s">
        <v>11796</v>
      </c>
      <c r="G433" s="15" t="s">
        <v>202</v>
      </c>
      <c r="H433" s="482" t="s">
        <v>43</v>
      </c>
    </row>
    <row r="434" spans="1:8" ht="18">
      <c r="A434" s="477">
        <v>433</v>
      </c>
      <c r="B434" s="19"/>
      <c r="C434" s="19"/>
      <c r="D434" s="486" t="s">
        <v>10017</v>
      </c>
      <c r="E434" s="480" t="s">
        <v>11794</v>
      </c>
      <c r="F434" s="429" t="s">
        <v>11796</v>
      </c>
      <c r="G434" s="15" t="s">
        <v>202</v>
      </c>
      <c r="H434" s="482" t="s">
        <v>43</v>
      </c>
    </row>
    <row r="435" spans="1:8" ht="18">
      <c r="A435" s="477">
        <v>434</v>
      </c>
      <c r="B435" s="19"/>
      <c r="C435" s="19"/>
      <c r="D435" s="486" t="s">
        <v>10668</v>
      </c>
      <c r="E435" s="480" t="s">
        <v>11794</v>
      </c>
      <c r="F435" s="429" t="s">
        <v>11796</v>
      </c>
      <c r="G435" s="15" t="s">
        <v>202</v>
      </c>
      <c r="H435" s="482" t="s">
        <v>43</v>
      </c>
    </row>
    <row r="436" spans="1:8" ht="18">
      <c r="A436" s="477">
        <v>435</v>
      </c>
      <c r="B436" s="19"/>
      <c r="C436" s="19"/>
      <c r="D436" s="486" t="s">
        <v>10036</v>
      </c>
      <c r="E436" s="480" t="s">
        <v>11794</v>
      </c>
      <c r="F436" s="429" t="s">
        <v>11796</v>
      </c>
      <c r="G436" s="15" t="s">
        <v>202</v>
      </c>
      <c r="H436" s="482" t="s">
        <v>43</v>
      </c>
    </row>
    <row r="437" spans="1:8" ht="18">
      <c r="A437" s="477">
        <v>436</v>
      </c>
      <c r="B437" s="19"/>
      <c r="C437" s="19"/>
      <c r="D437" s="486" t="s">
        <v>10094</v>
      </c>
      <c r="E437" s="480" t="s">
        <v>11794</v>
      </c>
      <c r="F437" s="429" t="s">
        <v>11796</v>
      </c>
      <c r="G437" s="15" t="s">
        <v>202</v>
      </c>
      <c r="H437" s="482" t="s">
        <v>43</v>
      </c>
    </row>
    <row r="438" spans="1:8" ht="18">
      <c r="A438" s="477">
        <v>437</v>
      </c>
      <c r="B438" s="19"/>
      <c r="C438" s="19"/>
      <c r="D438" s="486" t="s">
        <v>10070</v>
      </c>
      <c r="E438" s="480" t="s">
        <v>11794</v>
      </c>
      <c r="F438" s="429" t="s">
        <v>11796</v>
      </c>
      <c r="G438" s="15" t="s">
        <v>202</v>
      </c>
      <c r="H438" s="482" t="s">
        <v>43</v>
      </c>
    </row>
    <row r="439" spans="1:8" ht="18">
      <c r="A439" s="477">
        <v>438</v>
      </c>
      <c r="B439" s="19"/>
      <c r="C439" s="19"/>
      <c r="D439" s="486" t="s">
        <v>10042</v>
      </c>
      <c r="E439" s="480" t="s">
        <v>11794</v>
      </c>
      <c r="F439" s="429" t="s">
        <v>11796</v>
      </c>
      <c r="G439" s="15" t="s">
        <v>202</v>
      </c>
      <c r="H439" s="482" t="s">
        <v>43</v>
      </c>
    </row>
    <row r="440" spans="1:8" ht="18">
      <c r="A440" s="477">
        <v>439</v>
      </c>
      <c r="B440" s="19"/>
      <c r="C440" s="19"/>
      <c r="D440" s="486" t="s">
        <v>10049</v>
      </c>
      <c r="E440" s="480" t="s">
        <v>11794</v>
      </c>
      <c r="F440" s="429" t="s">
        <v>11796</v>
      </c>
      <c r="G440" s="15" t="s">
        <v>202</v>
      </c>
      <c r="H440" s="482" t="s">
        <v>43</v>
      </c>
    </row>
    <row r="441" spans="1:8" ht="18">
      <c r="A441" s="477">
        <v>440</v>
      </c>
      <c r="B441" s="19"/>
      <c r="C441" s="19"/>
      <c r="D441" s="486" t="s">
        <v>10166</v>
      </c>
      <c r="E441" s="480" t="s">
        <v>11794</v>
      </c>
      <c r="F441" s="429" t="s">
        <v>11796</v>
      </c>
      <c r="G441" s="15" t="s">
        <v>202</v>
      </c>
      <c r="H441" s="482" t="s">
        <v>43</v>
      </c>
    </row>
    <row r="442" spans="1:8" ht="18">
      <c r="A442" s="477">
        <v>441</v>
      </c>
      <c r="B442" s="19"/>
      <c r="C442" s="19"/>
      <c r="D442" s="486" t="s">
        <v>10235</v>
      </c>
      <c r="E442" s="480" t="s">
        <v>11794</v>
      </c>
      <c r="F442" s="429" t="s">
        <v>11796</v>
      </c>
      <c r="G442" s="15" t="s">
        <v>202</v>
      </c>
      <c r="H442" s="482" t="s">
        <v>43</v>
      </c>
    </row>
    <row r="443" spans="1:8" ht="18">
      <c r="A443" s="477">
        <v>442</v>
      </c>
      <c r="B443" s="19"/>
      <c r="C443" s="19"/>
      <c r="D443" s="486" t="s">
        <v>10147</v>
      </c>
      <c r="E443" s="480" t="s">
        <v>11794</v>
      </c>
      <c r="F443" s="429" t="s">
        <v>11796</v>
      </c>
      <c r="G443" s="15" t="s">
        <v>202</v>
      </c>
      <c r="H443" s="482" t="s">
        <v>43</v>
      </c>
    </row>
    <row r="444" spans="1:8" ht="18">
      <c r="A444" s="477">
        <v>443</v>
      </c>
      <c r="B444" s="19"/>
      <c r="C444" s="19"/>
      <c r="D444" s="486" t="s">
        <v>10172</v>
      </c>
      <c r="E444" s="480" t="s">
        <v>11794</v>
      </c>
      <c r="F444" s="429" t="s">
        <v>11796</v>
      </c>
      <c r="G444" s="15" t="s">
        <v>202</v>
      </c>
      <c r="H444" s="482" t="s">
        <v>43</v>
      </c>
    </row>
    <row r="445" spans="1:8" ht="18">
      <c r="A445" s="477">
        <v>444</v>
      </c>
      <c r="B445" s="19"/>
      <c r="C445" s="19"/>
      <c r="D445" s="486" t="s">
        <v>10238</v>
      </c>
      <c r="E445" s="480" t="s">
        <v>11794</v>
      </c>
      <c r="F445" s="429" t="s">
        <v>11796</v>
      </c>
      <c r="G445" s="15" t="s">
        <v>202</v>
      </c>
      <c r="H445" s="482" t="s">
        <v>43</v>
      </c>
    </row>
    <row r="446" spans="1:8" ht="18">
      <c r="A446" s="477">
        <v>445</v>
      </c>
      <c r="B446" s="19"/>
      <c r="C446" s="19"/>
      <c r="D446" s="486" t="s">
        <v>10031</v>
      </c>
      <c r="E446" s="480" t="s">
        <v>11794</v>
      </c>
      <c r="F446" s="429" t="s">
        <v>11796</v>
      </c>
      <c r="G446" s="15" t="s">
        <v>202</v>
      </c>
      <c r="H446" s="482" t="s">
        <v>43</v>
      </c>
    </row>
    <row r="447" spans="1:8" ht="18">
      <c r="A447" s="477">
        <v>446</v>
      </c>
      <c r="B447" s="19"/>
      <c r="C447" s="19"/>
      <c r="D447" s="486" t="s">
        <v>10178</v>
      </c>
      <c r="E447" s="480" t="s">
        <v>11794</v>
      </c>
      <c r="F447" s="429" t="s">
        <v>11796</v>
      </c>
      <c r="G447" s="15" t="s">
        <v>202</v>
      </c>
      <c r="H447" s="482" t="s">
        <v>43</v>
      </c>
    </row>
    <row r="448" spans="1:8" ht="18">
      <c r="A448" s="477">
        <v>447</v>
      </c>
      <c r="B448" s="19"/>
      <c r="C448" s="19"/>
      <c r="D448" s="486" t="s">
        <v>10115</v>
      </c>
      <c r="E448" s="480" t="s">
        <v>11794</v>
      </c>
      <c r="F448" s="429" t="s">
        <v>11796</v>
      </c>
      <c r="G448" s="15" t="s">
        <v>202</v>
      </c>
      <c r="H448" s="482" t="s">
        <v>43</v>
      </c>
    </row>
    <row r="449" spans="1:8" ht="18">
      <c r="A449" s="477">
        <v>448</v>
      </c>
      <c r="B449" s="19"/>
      <c r="C449" s="19"/>
      <c r="D449" s="486" t="s">
        <v>10119</v>
      </c>
      <c r="E449" s="480" t="s">
        <v>11794</v>
      </c>
      <c r="F449" s="429" t="s">
        <v>11796</v>
      </c>
      <c r="G449" s="15" t="s">
        <v>202</v>
      </c>
      <c r="H449" s="482" t="s">
        <v>43</v>
      </c>
    </row>
    <row r="450" spans="1:8" ht="18">
      <c r="A450" s="477">
        <v>449</v>
      </c>
      <c r="B450" s="19"/>
      <c r="C450" s="19"/>
      <c r="D450" s="486" t="s">
        <v>10112</v>
      </c>
      <c r="E450" s="480" t="s">
        <v>11794</v>
      </c>
      <c r="F450" s="429" t="s">
        <v>11796</v>
      </c>
      <c r="G450" s="15" t="s">
        <v>202</v>
      </c>
      <c r="H450" s="482" t="s">
        <v>43</v>
      </c>
    </row>
    <row r="451" spans="1:8" ht="18">
      <c r="A451" s="477">
        <v>450</v>
      </c>
      <c r="B451" s="19"/>
      <c r="C451" s="19"/>
      <c r="D451" s="486" t="s">
        <v>10205</v>
      </c>
      <c r="E451" s="480" t="s">
        <v>11794</v>
      </c>
      <c r="F451" s="429" t="s">
        <v>11796</v>
      </c>
      <c r="G451" s="15" t="s">
        <v>202</v>
      </c>
      <c r="H451" s="482" t="s">
        <v>43</v>
      </c>
    </row>
    <row r="452" spans="1:8" ht="18">
      <c r="A452" s="477">
        <v>451</v>
      </c>
      <c r="B452" s="19"/>
      <c r="C452" s="19"/>
      <c r="D452" s="486" t="s">
        <v>10180</v>
      </c>
      <c r="E452" s="480" t="s">
        <v>11794</v>
      </c>
      <c r="F452" s="429" t="s">
        <v>11796</v>
      </c>
      <c r="G452" s="15" t="s">
        <v>202</v>
      </c>
      <c r="H452" s="482" t="s">
        <v>43</v>
      </c>
    </row>
    <row r="453" spans="1:8" ht="18">
      <c r="A453" s="477">
        <v>452</v>
      </c>
      <c r="B453" s="19"/>
      <c r="C453" s="19"/>
      <c r="D453" s="486" t="s">
        <v>10201</v>
      </c>
      <c r="E453" s="480" t="s">
        <v>11794</v>
      </c>
      <c r="F453" s="429" t="s">
        <v>11796</v>
      </c>
      <c r="G453" s="15" t="s">
        <v>202</v>
      </c>
      <c r="H453" s="482" t="s">
        <v>43</v>
      </c>
    </row>
    <row r="454" spans="1:8" ht="18">
      <c r="A454" s="477">
        <v>453</v>
      </c>
      <c r="B454" s="19"/>
      <c r="C454" s="19"/>
      <c r="D454" s="486" t="s">
        <v>10223</v>
      </c>
      <c r="E454" s="480" t="s">
        <v>11794</v>
      </c>
      <c r="F454" s="429" t="s">
        <v>11796</v>
      </c>
      <c r="G454" s="15" t="s">
        <v>202</v>
      </c>
      <c r="H454" s="482" t="s">
        <v>43</v>
      </c>
    </row>
    <row r="455" spans="1:8" ht="18">
      <c r="A455" s="477">
        <v>454</v>
      </c>
      <c r="B455" s="19"/>
      <c r="C455" s="19"/>
      <c r="D455" s="486" t="s">
        <v>10199</v>
      </c>
      <c r="E455" s="480" t="s">
        <v>11794</v>
      </c>
      <c r="F455" s="429" t="s">
        <v>11796</v>
      </c>
      <c r="G455" s="15" t="s">
        <v>202</v>
      </c>
      <c r="H455" s="482" t="s">
        <v>43</v>
      </c>
    </row>
    <row r="456" spans="1:8" ht="18">
      <c r="A456" s="477">
        <v>455</v>
      </c>
      <c r="B456" s="19"/>
      <c r="C456" s="19"/>
      <c r="D456" s="486" t="s">
        <v>10905</v>
      </c>
      <c r="E456" s="480" t="s">
        <v>11794</v>
      </c>
      <c r="F456" s="429" t="s">
        <v>11796</v>
      </c>
      <c r="G456" s="15" t="s">
        <v>202</v>
      </c>
      <c r="H456" s="482" t="s">
        <v>43</v>
      </c>
    </row>
    <row r="457" spans="1:8" ht="18">
      <c r="A457" s="477">
        <v>456</v>
      </c>
      <c r="B457" s="19"/>
      <c r="C457" s="19"/>
      <c r="D457" s="486" t="s">
        <v>10793</v>
      </c>
      <c r="E457" s="480" t="s">
        <v>11794</v>
      </c>
      <c r="F457" s="429" t="s">
        <v>11796</v>
      </c>
      <c r="G457" s="15" t="s">
        <v>202</v>
      </c>
      <c r="H457" s="482" t="s">
        <v>43</v>
      </c>
    </row>
    <row r="458" spans="1:8" ht="18">
      <c r="A458" s="477">
        <v>457</v>
      </c>
      <c r="B458" s="19"/>
      <c r="C458" s="19"/>
      <c r="D458" s="486" t="s">
        <v>10451</v>
      </c>
      <c r="E458" s="480" t="s">
        <v>11794</v>
      </c>
      <c r="F458" s="429" t="s">
        <v>11796</v>
      </c>
      <c r="G458" s="15" t="s">
        <v>202</v>
      </c>
      <c r="H458" s="482" t="s">
        <v>43</v>
      </c>
    </row>
    <row r="459" spans="1:8" ht="18">
      <c r="A459" s="477">
        <v>458</v>
      </c>
      <c r="B459" s="19"/>
      <c r="C459" s="19"/>
      <c r="D459" s="486" t="s">
        <v>10181</v>
      </c>
      <c r="E459" s="480" t="s">
        <v>11794</v>
      </c>
      <c r="F459" s="429" t="s">
        <v>11796</v>
      </c>
      <c r="G459" s="15" t="s">
        <v>202</v>
      </c>
      <c r="H459" s="482" t="s">
        <v>43</v>
      </c>
    </row>
    <row r="460" spans="1:8" ht="18">
      <c r="A460" s="477">
        <v>459</v>
      </c>
      <c r="B460" s="19"/>
      <c r="C460" s="19"/>
      <c r="D460" s="486" t="s">
        <v>10913</v>
      </c>
      <c r="E460" s="480" t="s">
        <v>11794</v>
      </c>
      <c r="F460" s="429" t="s">
        <v>11796</v>
      </c>
      <c r="G460" s="15" t="s">
        <v>202</v>
      </c>
      <c r="H460" s="482" t="s">
        <v>43</v>
      </c>
    </row>
    <row r="461" spans="1:8" ht="18">
      <c r="A461" s="477">
        <v>460</v>
      </c>
      <c r="B461" s="19"/>
      <c r="C461" s="19"/>
      <c r="D461" s="486" t="s">
        <v>10919</v>
      </c>
      <c r="E461" s="480" t="s">
        <v>11794</v>
      </c>
      <c r="F461" s="429" t="s">
        <v>11796</v>
      </c>
      <c r="G461" s="15" t="s">
        <v>202</v>
      </c>
      <c r="H461" s="482" t="s">
        <v>43</v>
      </c>
    </row>
    <row r="462" spans="1:8" ht="18">
      <c r="A462" s="477">
        <v>461</v>
      </c>
      <c r="B462" s="19"/>
      <c r="C462" s="19"/>
      <c r="D462" s="486" t="s">
        <v>10353</v>
      </c>
      <c r="E462" s="480" t="s">
        <v>11794</v>
      </c>
      <c r="F462" s="429" t="s">
        <v>11796</v>
      </c>
      <c r="G462" s="15" t="s">
        <v>202</v>
      </c>
      <c r="H462" s="482" t="s">
        <v>43</v>
      </c>
    </row>
    <row r="463" spans="1:8" ht="18">
      <c r="A463" s="477">
        <v>462</v>
      </c>
      <c r="B463" s="19"/>
      <c r="C463" s="19"/>
      <c r="D463" s="486" t="s">
        <v>10402</v>
      </c>
      <c r="E463" s="480" t="s">
        <v>11794</v>
      </c>
      <c r="F463" s="429" t="s">
        <v>11796</v>
      </c>
      <c r="G463" s="15" t="s">
        <v>202</v>
      </c>
      <c r="H463" s="482" t="s">
        <v>43</v>
      </c>
    </row>
    <row r="464" spans="1:8" ht="18">
      <c r="A464" s="477">
        <v>463</v>
      </c>
      <c r="B464" s="19"/>
      <c r="C464" s="19"/>
      <c r="D464" s="486" t="s">
        <v>10879</v>
      </c>
      <c r="E464" s="480" t="s">
        <v>11794</v>
      </c>
      <c r="F464" s="429" t="s">
        <v>11796</v>
      </c>
      <c r="G464" s="15" t="s">
        <v>202</v>
      </c>
      <c r="H464" s="482" t="s">
        <v>43</v>
      </c>
    </row>
    <row r="465" spans="1:8" ht="18">
      <c r="A465" s="477">
        <v>464</v>
      </c>
      <c r="B465" s="19"/>
      <c r="C465" s="19"/>
      <c r="D465" s="486" t="s">
        <v>11749</v>
      </c>
      <c r="E465" s="480" t="s">
        <v>11794</v>
      </c>
      <c r="F465" s="429" t="s">
        <v>11796</v>
      </c>
      <c r="G465" s="15" t="s">
        <v>202</v>
      </c>
      <c r="H465" s="482" t="s">
        <v>43</v>
      </c>
    </row>
  </sheetData>
  <mergeCells count="18">
    <mergeCell ref="C26:C72"/>
    <mergeCell ref="B22:B25"/>
    <mergeCell ref="B18:B19"/>
    <mergeCell ref="C18:C19"/>
    <mergeCell ref="C2:C17"/>
    <mergeCell ref="B88:B89"/>
    <mergeCell ref="C88:C89"/>
    <mergeCell ref="B76:B87"/>
    <mergeCell ref="C76:C87"/>
    <mergeCell ref="B74:B75"/>
    <mergeCell ref="C74:C75"/>
    <mergeCell ref="B97:B99"/>
    <mergeCell ref="C97:C99"/>
    <mergeCell ref="B100:B102"/>
    <mergeCell ref="C100:C102"/>
    <mergeCell ref="B90:B91"/>
    <mergeCell ref="B94:B96"/>
    <mergeCell ref="C94:C96"/>
  </mergeCells>
  <conditionalFormatting sqref="D2">
    <cfRule type="duplicateValues" dxfId="739" priority="64"/>
  </conditionalFormatting>
  <conditionalFormatting sqref="D3">
    <cfRule type="duplicateValues" dxfId="738" priority="62"/>
  </conditionalFormatting>
  <conditionalFormatting sqref="D4">
    <cfRule type="duplicateValues" dxfId="737" priority="61"/>
  </conditionalFormatting>
  <conditionalFormatting sqref="D9">
    <cfRule type="duplicateValues" dxfId="736" priority="67"/>
  </conditionalFormatting>
  <conditionalFormatting sqref="D10">
    <cfRule type="duplicateValues" dxfId="735" priority="59"/>
  </conditionalFormatting>
  <conditionalFormatting sqref="D11">
    <cfRule type="duplicateValues" dxfId="734" priority="63"/>
  </conditionalFormatting>
  <conditionalFormatting sqref="D12">
    <cfRule type="duplicateValues" dxfId="733" priority="66"/>
  </conditionalFormatting>
  <conditionalFormatting sqref="D15">
    <cfRule type="duplicateValues" dxfId="732" priority="65"/>
  </conditionalFormatting>
  <conditionalFormatting sqref="D16">
    <cfRule type="duplicateValues" dxfId="731" priority="60"/>
  </conditionalFormatting>
  <conditionalFormatting sqref="D6">
    <cfRule type="duplicateValues" dxfId="730" priority="68"/>
  </conditionalFormatting>
  <conditionalFormatting sqref="D5 D17 D7:D8 D13:D14 D1">
    <cfRule type="duplicateValues" dxfId="729" priority="69"/>
  </conditionalFormatting>
  <conditionalFormatting sqref="D18:D19">
    <cfRule type="duplicateValues" dxfId="728" priority="58"/>
  </conditionalFormatting>
  <conditionalFormatting sqref="D20">
    <cfRule type="duplicateValues" dxfId="727" priority="57"/>
  </conditionalFormatting>
  <conditionalFormatting sqref="D21">
    <cfRule type="duplicateValues" dxfId="726" priority="56"/>
  </conditionalFormatting>
  <conditionalFormatting sqref="D22">
    <cfRule type="duplicateValues" dxfId="725" priority="55"/>
  </conditionalFormatting>
  <conditionalFormatting sqref="D23">
    <cfRule type="duplicateValues" dxfId="724" priority="54"/>
  </conditionalFormatting>
  <conditionalFormatting sqref="D24">
    <cfRule type="duplicateValues" dxfId="723" priority="53"/>
  </conditionalFormatting>
  <conditionalFormatting sqref="D25">
    <cfRule type="duplicateValues" dxfId="722" priority="52"/>
  </conditionalFormatting>
  <conditionalFormatting sqref="D26">
    <cfRule type="duplicateValues" dxfId="721" priority="38"/>
  </conditionalFormatting>
  <conditionalFormatting sqref="D27">
    <cfRule type="duplicateValues" dxfId="720" priority="40"/>
  </conditionalFormatting>
  <conditionalFormatting sqref="D29">
    <cfRule type="duplicateValues" dxfId="719" priority="47"/>
  </conditionalFormatting>
  <conditionalFormatting sqref="D32">
    <cfRule type="duplicateValues" dxfId="718" priority="46"/>
  </conditionalFormatting>
  <conditionalFormatting sqref="D36">
    <cfRule type="duplicateValues" dxfId="717" priority="43"/>
  </conditionalFormatting>
  <conditionalFormatting sqref="D37">
    <cfRule type="duplicateValues" dxfId="716" priority="45"/>
  </conditionalFormatting>
  <conditionalFormatting sqref="D43">
    <cfRule type="duplicateValues" dxfId="715" priority="42"/>
  </conditionalFormatting>
  <conditionalFormatting sqref="D46">
    <cfRule type="duplicateValues" dxfId="714" priority="44"/>
  </conditionalFormatting>
  <conditionalFormatting sqref="D47">
    <cfRule type="duplicateValues" dxfId="713" priority="39"/>
  </conditionalFormatting>
  <conditionalFormatting sqref="D48">
    <cfRule type="duplicateValues" dxfId="712" priority="41"/>
  </conditionalFormatting>
  <conditionalFormatting sqref="D50">
    <cfRule type="duplicateValues" dxfId="711" priority="33"/>
  </conditionalFormatting>
  <conditionalFormatting sqref="D52">
    <cfRule type="duplicateValues" dxfId="710" priority="36"/>
    <cfRule type="duplicateValues" dxfId="709" priority="37"/>
  </conditionalFormatting>
  <conditionalFormatting sqref="D53">
    <cfRule type="duplicateValues" dxfId="708" priority="28"/>
  </conditionalFormatting>
  <conditionalFormatting sqref="D55">
    <cfRule type="duplicateValues" dxfId="707" priority="26"/>
  </conditionalFormatting>
  <conditionalFormatting sqref="D56">
    <cfRule type="duplicateValues" dxfId="706" priority="32"/>
  </conditionalFormatting>
  <conditionalFormatting sqref="D57">
    <cfRule type="duplicateValues" dxfId="705" priority="34"/>
  </conditionalFormatting>
  <conditionalFormatting sqref="D61">
    <cfRule type="duplicateValues" dxfId="704" priority="30"/>
  </conditionalFormatting>
  <conditionalFormatting sqref="D62">
    <cfRule type="duplicateValues" dxfId="703" priority="25"/>
  </conditionalFormatting>
  <conditionalFormatting sqref="D64">
    <cfRule type="duplicateValues" dxfId="702" priority="29"/>
  </conditionalFormatting>
  <conditionalFormatting sqref="D65">
    <cfRule type="duplicateValues" dxfId="701" priority="24"/>
  </conditionalFormatting>
  <conditionalFormatting sqref="D66">
    <cfRule type="duplicateValues" dxfId="700" priority="35"/>
  </conditionalFormatting>
  <conditionalFormatting sqref="D69">
    <cfRule type="duplicateValues" dxfId="699" priority="23"/>
  </conditionalFormatting>
  <conditionalFormatting sqref="D71">
    <cfRule type="duplicateValues" dxfId="698" priority="31"/>
  </conditionalFormatting>
  <conditionalFormatting sqref="D72">
    <cfRule type="duplicateValues" dxfId="697" priority="27"/>
  </conditionalFormatting>
  <conditionalFormatting sqref="D31">
    <cfRule type="duplicateValues" dxfId="696" priority="48"/>
  </conditionalFormatting>
  <conditionalFormatting sqref="D38">
    <cfRule type="duplicateValues" dxfId="695" priority="49"/>
  </conditionalFormatting>
  <conditionalFormatting sqref="D38 D34">
    <cfRule type="duplicateValues" dxfId="694" priority="50"/>
  </conditionalFormatting>
  <conditionalFormatting sqref="D67:D68 D63 D54 D70 D51 D58:D60 D49 D30 D28 D33 D35 D39:D42 D44:D45">
    <cfRule type="duplicateValues" dxfId="693" priority="51"/>
  </conditionalFormatting>
  <conditionalFormatting sqref="D73">
    <cfRule type="duplicateValues" dxfId="692" priority="22"/>
  </conditionalFormatting>
  <conditionalFormatting sqref="D75">
    <cfRule type="duplicateValues" dxfId="691" priority="20"/>
  </conditionalFormatting>
  <conditionalFormatting sqref="D74">
    <cfRule type="duplicateValues" dxfId="690" priority="21"/>
  </conditionalFormatting>
  <conditionalFormatting sqref="D80">
    <cfRule type="duplicateValues" dxfId="689" priority="18"/>
  </conditionalFormatting>
  <conditionalFormatting sqref="D86">
    <cfRule type="duplicateValues" dxfId="688" priority="17"/>
  </conditionalFormatting>
  <conditionalFormatting sqref="D87">
    <cfRule type="duplicateValues" dxfId="687" priority="16"/>
  </conditionalFormatting>
  <conditionalFormatting sqref="D76:D79 D81:D85">
    <cfRule type="duplicateValues" dxfId="686" priority="19"/>
  </conditionalFormatting>
  <conditionalFormatting sqref="D88">
    <cfRule type="duplicateValues" dxfId="685" priority="14"/>
  </conditionalFormatting>
  <conditionalFormatting sqref="D89">
    <cfRule type="duplicateValues" dxfId="684" priority="15"/>
  </conditionalFormatting>
  <conditionalFormatting sqref="D90">
    <cfRule type="duplicateValues" dxfId="683" priority="13"/>
  </conditionalFormatting>
  <conditionalFormatting sqref="D92">
    <cfRule type="duplicateValues" dxfId="682" priority="12"/>
  </conditionalFormatting>
  <conditionalFormatting sqref="D93">
    <cfRule type="duplicateValues" dxfId="681" priority="11"/>
  </conditionalFormatting>
  <conditionalFormatting sqref="D94:D96">
    <cfRule type="duplicateValues" dxfId="680" priority="10"/>
  </conditionalFormatting>
  <conditionalFormatting sqref="D97">
    <cfRule type="duplicateValues" dxfId="679" priority="9"/>
  </conditionalFormatting>
  <conditionalFormatting sqref="D98">
    <cfRule type="duplicateValues" dxfId="678" priority="8"/>
  </conditionalFormatting>
  <conditionalFormatting sqref="D99">
    <cfRule type="duplicateValues" dxfId="677" priority="7"/>
  </conditionalFormatting>
  <conditionalFormatting sqref="D100">
    <cfRule type="duplicateValues" dxfId="676" priority="6"/>
  </conditionalFormatting>
  <conditionalFormatting sqref="D101">
    <cfRule type="duplicateValues" dxfId="675" priority="5"/>
  </conditionalFormatting>
  <conditionalFormatting sqref="D102">
    <cfRule type="duplicateValues" dxfId="674" priority="2591"/>
  </conditionalFormatting>
  <conditionalFormatting sqref="D103:D161">
    <cfRule type="duplicateValues" dxfId="673" priority="2"/>
  </conditionalFormatting>
  <conditionalFormatting sqref="D162:D465">
    <cfRule type="duplicateValues" dxfId="672" priority="1"/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0"/>
  <sheetViews>
    <sheetView rightToLeft="1" topLeftCell="A692" workbookViewId="0">
      <selection activeCell="B706" sqref="B706:B708"/>
    </sheetView>
  </sheetViews>
  <sheetFormatPr defaultRowHeight="15"/>
  <cols>
    <col min="3" max="3" width="16.140625" customWidth="1"/>
    <col min="5" max="5" width="26.140625" customWidth="1"/>
    <col min="6" max="6" width="15.5703125" customWidth="1"/>
    <col min="7" max="7" width="75.42578125" customWidth="1"/>
    <col min="8" max="8" width="48.28515625" customWidth="1"/>
    <col min="9" max="9" width="148.28515625" customWidth="1"/>
    <col min="10" max="20" width="32.42578125" customWidth="1"/>
  </cols>
  <sheetData>
    <row r="1" spans="1:9" ht="28.5">
      <c r="A1" s="436" t="s">
        <v>0</v>
      </c>
      <c r="B1" s="436" t="s">
        <v>1</v>
      </c>
      <c r="C1" s="436" t="s">
        <v>2</v>
      </c>
      <c r="D1" s="436" t="s">
        <v>3</v>
      </c>
      <c r="E1" s="436" t="s">
        <v>4</v>
      </c>
      <c r="F1" s="436" t="s">
        <v>5</v>
      </c>
      <c r="G1" s="436" t="s">
        <v>11552</v>
      </c>
      <c r="H1" s="437" t="s">
        <v>11551</v>
      </c>
      <c r="I1" s="437" t="s">
        <v>11550</v>
      </c>
    </row>
    <row r="2" spans="1:9" ht="14.25" customHeight="1">
      <c r="A2" s="1480">
        <v>1</v>
      </c>
      <c r="B2" s="1825">
        <v>100</v>
      </c>
      <c r="C2" s="1892" t="s">
        <v>1595</v>
      </c>
      <c r="D2" s="1892" t="s">
        <v>1598</v>
      </c>
      <c r="E2" s="1895" t="s">
        <v>11553</v>
      </c>
      <c r="F2" s="1480" t="s">
        <v>1700</v>
      </c>
      <c r="G2" s="1480" t="s">
        <v>278</v>
      </c>
      <c r="H2" s="1602" t="s">
        <v>1704</v>
      </c>
      <c r="I2" s="1889" t="s">
        <v>1998</v>
      </c>
    </row>
    <row r="3" spans="1:9" ht="14.25" customHeight="1">
      <c r="A3" s="1481"/>
      <c r="B3" s="1826"/>
      <c r="C3" s="1893"/>
      <c r="D3" s="1893"/>
      <c r="E3" s="1896"/>
      <c r="F3" s="1481"/>
      <c r="G3" s="1481"/>
      <c r="H3" s="1607"/>
      <c r="I3" s="1890"/>
    </row>
    <row r="4" spans="1:9" ht="14.25" customHeight="1">
      <c r="A4" s="1481"/>
      <c r="B4" s="1826"/>
      <c r="C4" s="1893"/>
      <c r="D4" s="1893"/>
      <c r="E4" s="1896"/>
      <c r="F4" s="1481"/>
      <c r="G4" s="1481"/>
      <c r="H4" s="1607"/>
      <c r="I4" s="1890"/>
    </row>
    <row r="5" spans="1:9" ht="14.25" customHeight="1">
      <c r="A5" s="1481"/>
      <c r="B5" s="1826"/>
      <c r="C5" s="1893"/>
      <c r="D5" s="1893"/>
      <c r="E5" s="1896"/>
      <c r="F5" s="1481"/>
      <c r="G5" s="1491"/>
      <c r="H5" s="1607"/>
      <c r="I5" s="1890"/>
    </row>
    <row r="6" spans="1:9" ht="18" customHeight="1">
      <c r="A6" s="1481"/>
      <c r="B6" s="1826"/>
      <c r="C6" s="1893"/>
      <c r="D6" s="1893"/>
      <c r="E6" s="1896"/>
      <c r="F6" s="1481"/>
      <c r="G6" s="430" t="s">
        <v>56</v>
      </c>
      <c r="H6" s="1607"/>
      <c r="I6" s="1890"/>
    </row>
    <row r="7" spans="1:9" ht="18" customHeight="1">
      <c r="A7" s="1481"/>
      <c r="B7" s="1826"/>
      <c r="C7" s="1893"/>
      <c r="D7" s="1893"/>
      <c r="E7" s="1896"/>
      <c r="F7" s="1481"/>
      <c r="G7" s="430" t="s">
        <v>50</v>
      </c>
      <c r="H7" s="1607"/>
      <c r="I7" s="1890"/>
    </row>
    <row r="8" spans="1:9" ht="18" customHeight="1">
      <c r="A8" s="1481"/>
      <c r="B8" s="1826"/>
      <c r="C8" s="1893"/>
      <c r="D8" s="1893"/>
      <c r="E8" s="1896"/>
      <c r="F8" s="1481"/>
      <c r="G8" s="447" t="s">
        <v>278</v>
      </c>
      <c r="H8" s="1607"/>
      <c r="I8" s="1890"/>
    </row>
    <row r="9" spans="1:9" ht="18" customHeight="1">
      <c r="A9" s="1481"/>
      <c r="B9" s="1826"/>
      <c r="C9" s="1893"/>
      <c r="D9" s="1893"/>
      <c r="E9" s="1896"/>
      <c r="F9" s="1481"/>
      <c r="G9" s="447" t="s">
        <v>278</v>
      </c>
      <c r="H9" s="1607"/>
      <c r="I9" s="1890"/>
    </row>
    <row r="10" spans="1:9" ht="18" customHeight="1">
      <c r="A10" s="1481"/>
      <c r="B10" s="1826"/>
      <c r="C10" s="1893"/>
      <c r="D10" s="1893"/>
      <c r="E10" s="1896"/>
      <c r="F10" s="1481"/>
      <c r="G10" s="447" t="s">
        <v>278</v>
      </c>
      <c r="H10" s="1607"/>
      <c r="I10" s="1890"/>
    </row>
    <row r="11" spans="1:9" ht="19.5">
      <c r="A11" s="447">
        <v>2</v>
      </c>
      <c r="B11" s="446">
        <v>211</v>
      </c>
      <c r="C11" s="1893"/>
      <c r="D11" s="1893"/>
      <c r="E11" s="431" t="s">
        <v>1720</v>
      </c>
      <c r="F11" s="1491"/>
      <c r="G11" s="447" t="s">
        <v>278</v>
      </c>
      <c r="H11" s="1603"/>
      <c r="I11" s="1891"/>
    </row>
    <row r="12" spans="1:9" ht="18" customHeight="1">
      <c r="A12" s="1480">
        <v>3</v>
      </c>
      <c r="B12" s="1825">
        <v>214</v>
      </c>
      <c r="C12" s="1893"/>
      <c r="D12" s="1893"/>
      <c r="E12" s="1886" t="s">
        <v>1729</v>
      </c>
      <c r="F12" s="1481"/>
      <c r="G12" s="447" t="s">
        <v>1726</v>
      </c>
      <c r="H12" s="1480" t="s">
        <v>202</v>
      </c>
      <c r="I12" s="1480" t="s">
        <v>65</v>
      </c>
    </row>
    <row r="13" spans="1:9" ht="18" customHeight="1">
      <c r="A13" s="1481"/>
      <c r="B13" s="1826"/>
      <c r="C13" s="1893"/>
      <c r="D13" s="1893"/>
      <c r="E13" s="1887"/>
      <c r="F13" s="1481"/>
      <c r="G13" s="447" t="s">
        <v>170</v>
      </c>
      <c r="H13" s="1480"/>
      <c r="I13" s="1481"/>
    </row>
    <row r="14" spans="1:9" ht="18" customHeight="1">
      <c r="A14" s="1491"/>
      <c r="B14" s="1827"/>
      <c r="C14" s="1893"/>
      <c r="D14" s="1893"/>
      <c r="E14" s="1888"/>
      <c r="F14" s="1491"/>
      <c r="G14" s="430" t="s">
        <v>56</v>
      </c>
      <c r="H14" s="1480"/>
      <c r="I14" s="1491"/>
    </row>
    <row r="15" spans="1:9" ht="18" customHeight="1">
      <c r="A15" s="1480">
        <v>4</v>
      </c>
      <c r="B15" s="1825">
        <v>215</v>
      </c>
      <c r="C15" s="1893"/>
      <c r="D15" s="1893"/>
      <c r="E15" s="1886" t="s">
        <v>1736</v>
      </c>
      <c r="F15" s="1480" t="s">
        <v>1737</v>
      </c>
      <c r="G15" s="447" t="s">
        <v>167</v>
      </c>
      <c r="H15" s="1480" t="s">
        <v>202</v>
      </c>
      <c r="I15" s="1480" t="s">
        <v>65</v>
      </c>
    </row>
    <row r="16" spans="1:9" ht="18" customHeight="1">
      <c r="A16" s="1481"/>
      <c r="B16" s="1826"/>
      <c r="C16" s="1893"/>
      <c r="D16" s="1893"/>
      <c r="E16" s="1887"/>
      <c r="F16" s="1481"/>
      <c r="G16" s="447" t="s">
        <v>170</v>
      </c>
      <c r="H16" s="1481"/>
      <c r="I16" s="1481"/>
    </row>
    <row r="17" spans="1:9" ht="18" customHeight="1">
      <c r="A17" s="1491"/>
      <c r="B17" s="1827"/>
      <c r="C17" s="1893"/>
      <c r="D17" s="1894"/>
      <c r="E17" s="1888"/>
      <c r="F17" s="1481"/>
      <c r="G17" s="430" t="s">
        <v>56</v>
      </c>
      <c r="H17" s="1491"/>
      <c r="I17" s="1491"/>
    </row>
    <row r="18" spans="1:9" ht="18" customHeight="1">
      <c r="A18" s="1480">
        <v>5</v>
      </c>
      <c r="B18" s="1825">
        <v>217</v>
      </c>
      <c r="C18" s="1893"/>
      <c r="D18" s="1825" t="s">
        <v>1744</v>
      </c>
      <c r="E18" s="1886" t="s">
        <v>1744</v>
      </c>
      <c r="F18" s="1481"/>
      <c r="G18" s="447" t="s">
        <v>299</v>
      </c>
      <c r="H18" s="1480" t="s">
        <v>202</v>
      </c>
      <c r="I18" s="1480" t="s">
        <v>65</v>
      </c>
    </row>
    <row r="19" spans="1:9" ht="18" customHeight="1">
      <c r="A19" s="1481"/>
      <c r="B19" s="1826"/>
      <c r="C19" s="1893"/>
      <c r="D19" s="1826"/>
      <c r="E19" s="1887"/>
      <c r="F19" s="1481"/>
      <c r="G19" s="447" t="s">
        <v>170</v>
      </c>
      <c r="H19" s="1481"/>
      <c r="I19" s="1481"/>
    </row>
    <row r="20" spans="1:9" ht="18" customHeight="1">
      <c r="A20" s="1480">
        <v>6</v>
      </c>
      <c r="B20" s="1825">
        <v>218</v>
      </c>
      <c r="C20" s="1893"/>
      <c r="D20" s="1825" t="s">
        <v>1598</v>
      </c>
      <c r="E20" s="1886" t="s">
        <v>1748</v>
      </c>
      <c r="F20" s="1481"/>
      <c r="G20" s="447" t="s">
        <v>167</v>
      </c>
      <c r="H20" s="1480" t="s">
        <v>980</v>
      </c>
      <c r="I20" s="1480" t="s">
        <v>65</v>
      </c>
    </row>
    <row r="21" spans="1:9" ht="18" customHeight="1">
      <c r="A21" s="1481"/>
      <c r="B21" s="1826"/>
      <c r="C21" s="1893"/>
      <c r="D21" s="1826"/>
      <c r="E21" s="1887"/>
      <c r="F21" s="1481"/>
      <c r="G21" s="447" t="s">
        <v>170</v>
      </c>
      <c r="H21" s="1481"/>
      <c r="I21" s="1481"/>
    </row>
    <row r="22" spans="1:9" ht="18" customHeight="1">
      <c r="A22" s="1491"/>
      <c r="B22" s="1827"/>
      <c r="C22" s="1893"/>
      <c r="D22" s="1826"/>
      <c r="E22" s="1888"/>
      <c r="F22" s="1491"/>
      <c r="G22" s="430" t="s">
        <v>56</v>
      </c>
      <c r="H22" s="1491"/>
      <c r="I22" s="1491"/>
    </row>
    <row r="23" spans="1:9" ht="18" customHeight="1">
      <c r="A23" s="1480">
        <v>7</v>
      </c>
      <c r="B23" s="1825">
        <v>219</v>
      </c>
      <c r="C23" s="1893"/>
      <c r="D23" s="1826"/>
      <c r="E23" s="1886" t="s">
        <v>1754</v>
      </c>
      <c r="F23" s="1480" t="s">
        <v>1700</v>
      </c>
      <c r="G23" s="447" t="s">
        <v>167</v>
      </c>
      <c r="H23" s="1480" t="s">
        <v>202</v>
      </c>
      <c r="I23" s="1480" t="s">
        <v>65</v>
      </c>
    </row>
    <row r="24" spans="1:9" ht="18" customHeight="1">
      <c r="A24" s="1481"/>
      <c r="B24" s="1826"/>
      <c r="C24" s="1893"/>
      <c r="D24" s="1826"/>
      <c r="E24" s="1887"/>
      <c r="F24" s="1481"/>
      <c r="G24" s="447" t="s">
        <v>170</v>
      </c>
      <c r="H24" s="1481"/>
      <c r="I24" s="1481"/>
    </row>
    <row r="25" spans="1:9" ht="18" customHeight="1">
      <c r="A25" s="1491"/>
      <c r="B25" s="1827"/>
      <c r="C25" s="1893"/>
      <c r="D25" s="1826"/>
      <c r="E25" s="1888"/>
      <c r="F25" s="1491"/>
      <c r="G25" s="430" t="s">
        <v>56</v>
      </c>
      <c r="H25" s="1491"/>
      <c r="I25" s="1491"/>
    </row>
    <row r="26" spans="1:9" ht="18" customHeight="1">
      <c r="A26" s="1480">
        <v>8</v>
      </c>
      <c r="B26" s="1825">
        <v>220</v>
      </c>
      <c r="C26" s="1893"/>
      <c r="D26" s="1826"/>
      <c r="E26" s="1886" t="s">
        <v>1760</v>
      </c>
      <c r="F26" s="1480" t="s">
        <v>1737</v>
      </c>
      <c r="G26" s="447" t="s">
        <v>167</v>
      </c>
      <c r="H26" s="1480" t="s">
        <v>980</v>
      </c>
      <c r="I26" s="1480" t="s">
        <v>484</v>
      </c>
    </row>
    <row r="27" spans="1:9" ht="18" customHeight="1">
      <c r="A27" s="1481"/>
      <c r="B27" s="1826"/>
      <c r="C27" s="1893"/>
      <c r="D27" s="1826"/>
      <c r="E27" s="1887"/>
      <c r="F27" s="1481"/>
      <c r="G27" s="447" t="s">
        <v>170</v>
      </c>
      <c r="H27" s="1481"/>
      <c r="I27" s="1481"/>
    </row>
    <row r="28" spans="1:9" ht="18" customHeight="1">
      <c r="A28" s="1491"/>
      <c r="B28" s="1827"/>
      <c r="C28" s="1893"/>
      <c r="D28" s="1826"/>
      <c r="E28" s="1888"/>
      <c r="F28" s="1481"/>
      <c r="G28" s="430" t="s">
        <v>56</v>
      </c>
      <c r="H28" s="1491"/>
      <c r="I28" s="1491"/>
    </row>
    <row r="29" spans="1:9" ht="18" customHeight="1">
      <c r="A29" s="1480">
        <v>9</v>
      </c>
      <c r="B29" s="1825">
        <v>221</v>
      </c>
      <c r="C29" s="1893"/>
      <c r="D29" s="1826"/>
      <c r="E29" s="1886" t="s">
        <v>1766</v>
      </c>
      <c r="F29" s="1481"/>
      <c r="G29" s="447" t="s">
        <v>167</v>
      </c>
      <c r="H29" s="1480" t="s">
        <v>202</v>
      </c>
      <c r="I29" s="1480" t="s">
        <v>65</v>
      </c>
    </row>
    <row r="30" spans="1:9" ht="18" customHeight="1">
      <c r="A30" s="1481"/>
      <c r="B30" s="1826"/>
      <c r="C30" s="1893"/>
      <c r="D30" s="1826"/>
      <c r="E30" s="1887"/>
      <c r="F30" s="1481"/>
      <c r="G30" s="447" t="s">
        <v>170</v>
      </c>
      <c r="H30" s="1481"/>
      <c r="I30" s="1481"/>
    </row>
    <row r="31" spans="1:9" ht="18" customHeight="1">
      <c r="A31" s="1480">
        <v>10</v>
      </c>
      <c r="B31" s="1825">
        <v>222</v>
      </c>
      <c r="C31" s="1893"/>
      <c r="D31" s="1826"/>
      <c r="E31" s="1886" t="s">
        <v>1771</v>
      </c>
      <c r="F31" s="1481"/>
      <c r="G31" s="447" t="s">
        <v>167</v>
      </c>
      <c r="H31" s="1480" t="s">
        <v>202</v>
      </c>
      <c r="I31" s="1480" t="s">
        <v>65</v>
      </c>
    </row>
    <row r="32" spans="1:9" ht="18" customHeight="1">
      <c r="A32" s="1481"/>
      <c r="B32" s="1826"/>
      <c r="C32" s="1893"/>
      <c r="D32" s="1826"/>
      <c r="E32" s="1887"/>
      <c r="F32" s="1481"/>
      <c r="G32" s="447" t="s">
        <v>170</v>
      </c>
      <c r="H32" s="1481"/>
      <c r="I32" s="1481"/>
    </row>
    <row r="33" spans="1:9" ht="18" customHeight="1">
      <c r="A33" s="1491"/>
      <c r="B33" s="1827"/>
      <c r="C33" s="1893"/>
      <c r="D33" s="1827"/>
      <c r="E33" s="1888"/>
      <c r="F33" s="1491"/>
      <c r="G33" s="430" t="s">
        <v>56</v>
      </c>
      <c r="H33" s="1491"/>
      <c r="I33" s="1491"/>
    </row>
    <row r="34" spans="1:9" ht="18" customHeight="1">
      <c r="A34" s="1480">
        <v>11</v>
      </c>
      <c r="B34" s="1825">
        <v>223</v>
      </c>
      <c r="C34" s="1893"/>
      <c r="D34" s="1825" t="s">
        <v>1772</v>
      </c>
      <c r="E34" s="1886" t="s">
        <v>1596</v>
      </c>
      <c r="F34" s="1480" t="s">
        <v>1700</v>
      </c>
      <c r="G34" s="447" t="s">
        <v>167</v>
      </c>
      <c r="H34" s="1480" t="s">
        <v>202</v>
      </c>
      <c r="I34" s="1480" t="s">
        <v>65</v>
      </c>
    </row>
    <row r="35" spans="1:9" ht="18" customHeight="1">
      <c r="A35" s="1481"/>
      <c r="B35" s="1826"/>
      <c r="C35" s="1893"/>
      <c r="D35" s="1826"/>
      <c r="E35" s="1887"/>
      <c r="F35" s="1481"/>
      <c r="G35" s="447" t="s">
        <v>170</v>
      </c>
      <c r="H35" s="1481"/>
      <c r="I35" s="1481"/>
    </row>
    <row r="36" spans="1:9" ht="18" customHeight="1">
      <c r="A36" s="1491"/>
      <c r="B36" s="1827"/>
      <c r="C36" s="1893"/>
      <c r="D36" s="1827"/>
      <c r="E36" s="1888"/>
      <c r="F36" s="1491"/>
      <c r="G36" s="430" t="s">
        <v>56</v>
      </c>
      <c r="H36" s="1491"/>
      <c r="I36" s="1491"/>
    </row>
    <row r="37" spans="1:9" ht="18" customHeight="1">
      <c r="A37" s="1480">
        <v>12</v>
      </c>
      <c r="B37" s="1825">
        <v>224</v>
      </c>
      <c r="C37" s="1893"/>
      <c r="D37" s="1825" t="s">
        <v>1598</v>
      </c>
      <c r="E37" s="1886" t="s">
        <v>1776</v>
      </c>
      <c r="F37" s="1480" t="s">
        <v>1722</v>
      </c>
      <c r="G37" s="447" t="s">
        <v>167</v>
      </c>
      <c r="H37" s="1480" t="s">
        <v>202</v>
      </c>
      <c r="I37" s="1480" t="s">
        <v>65</v>
      </c>
    </row>
    <row r="38" spans="1:9" ht="18" customHeight="1">
      <c r="A38" s="1481"/>
      <c r="B38" s="1826"/>
      <c r="C38" s="1893"/>
      <c r="D38" s="1826"/>
      <c r="E38" s="1887"/>
      <c r="F38" s="1481"/>
      <c r="G38" s="447" t="s">
        <v>170</v>
      </c>
      <c r="H38" s="1481"/>
      <c r="I38" s="1481"/>
    </row>
    <row r="39" spans="1:9" ht="18" customHeight="1">
      <c r="A39" s="1491"/>
      <c r="B39" s="1827"/>
      <c r="C39" s="1893"/>
      <c r="D39" s="1826"/>
      <c r="E39" s="1888"/>
      <c r="F39" s="1491"/>
      <c r="G39" s="430" t="s">
        <v>56</v>
      </c>
      <c r="H39" s="1491"/>
      <c r="I39" s="1491"/>
    </row>
    <row r="40" spans="1:9" ht="18" customHeight="1">
      <c r="A40" s="1480">
        <v>13</v>
      </c>
      <c r="B40" s="1825">
        <v>225</v>
      </c>
      <c r="C40" s="1893"/>
      <c r="D40" s="1826"/>
      <c r="E40" s="1886" t="s">
        <v>1782</v>
      </c>
      <c r="F40" s="1480" t="s">
        <v>1737</v>
      </c>
      <c r="G40" s="447" t="s">
        <v>167</v>
      </c>
      <c r="H40" s="1480" t="s">
        <v>202</v>
      </c>
      <c r="I40" s="1480" t="s">
        <v>65</v>
      </c>
    </row>
    <row r="41" spans="1:9" ht="18" customHeight="1">
      <c r="A41" s="1481"/>
      <c r="B41" s="1826"/>
      <c r="C41" s="1893"/>
      <c r="D41" s="1826"/>
      <c r="E41" s="1887"/>
      <c r="F41" s="1481"/>
      <c r="G41" s="447" t="s">
        <v>170</v>
      </c>
      <c r="H41" s="1481"/>
      <c r="I41" s="1481"/>
    </row>
    <row r="42" spans="1:9" ht="18" customHeight="1">
      <c r="A42" s="1491"/>
      <c r="B42" s="1827"/>
      <c r="C42" s="1893"/>
      <c r="D42" s="1826"/>
      <c r="E42" s="1888"/>
      <c r="F42" s="1491"/>
      <c r="G42" s="430" t="s">
        <v>56</v>
      </c>
      <c r="H42" s="1491"/>
      <c r="I42" s="1491"/>
    </row>
    <row r="43" spans="1:9" ht="18" customHeight="1">
      <c r="A43" s="1480">
        <v>14</v>
      </c>
      <c r="B43" s="1825">
        <v>226</v>
      </c>
      <c r="C43" s="1893"/>
      <c r="D43" s="1826"/>
      <c r="E43" s="1886" t="s">
        <v>1786</v>
      </c>
      <c r="F43" s="1480" t="s">
        <v>1722</v>
      </c>
      <c r="G43" s="447" t="s">
        <v>1726</v>
      </c>
      <c r="H43" s="1480" t="s">
        <v>202</v>
      </c>
      <c r="I43" s="1480" t="s">
        <v>65</v>
      </c>
    </row>
    <row r="44" spans="1:9" ht="18" customHeight="1">
      <c r="A44" s="1481"/>
      <c r="B44" s="1826"/>
      <c r="C44" s="1893"/>
      <c r="D44" s="1826"/>
      <c r="E44" s="1887"/>
      <c r="F44" s="1481"/>
      <c r="G44" s="447" t="s">
        <v>170</v>
      </c>
      <c r="H44" s="1481"/>
      <c r="I44" s="1481"/>
    </row>
    <row r="45" spans="1:9" ht="18" customHeight="1">
      <c r="A45" s="1480">
        <v>15</v>
      </c>
      <c r="B45" s="1825">
        <v>227</v>
      </c>
      <c r="C45" s="1893"/>
      <c r="D45" s="1826"/>
      <c r="E45" s="1886" t="s">
        <v>1791</v>
      </c>
      <c r="F45" s="1480" t="s">
        <v>1722</v>
      </c>
      <c r="G45" s="447" t="s">
        <v>167</v>
      </c>
      <c r="H45" s="1480" t="s">
        <v>202</v>
      </c>
      <c r="I45" s="1480" t="s">
        <v>65</v>
      </c>
    </row>
    <row r="46" spans="1:9" ht="18" customHeight="1">
      <c r="A46" s="1481"/>
      <c r="B46" s="1826"/>
      <c r="C46" s="1893"/>
      <c r="D46" s="1826"/>
      <c r="E46" s="1887"/>
      <c r="F46" s="1481"/>
      <c r="G46" s="447" t="s">
        <v>170</v>
      </c>
      <c r="H46" s="1481"/>
      <c r="I46" s="1481"/>
    </row>
    <row r="47" spans="1:9" ht="18" customHeight="1">
      <c r="A47" s="1491"/>
      <c r="B47" s="1827"/>
      <c r="C47" s="1893"/>
      <c r="D47" s="1827"/>
      <c r="E47" s="1888"/>
      <c r="F47" s="1491"/>
      <c r="G47" s="430" t="s">
        <v>56</v>
      </c>
      <c r="H47" s="1491"/>
      <c r="I47" s="1491"/>
    </row>
    <row r="48" spans="1:9" ht="18" customHeight="1">
      <c r="A48" s="1480">
        <v>16</v>
      </c>
      <c r="B48" s="1825">
        <v>228</v>
      </c>
      <c r="C48" s="1893"/>
      <c r="D48" s="1825" t="s">
        <v>1602</v>
      </c>
      <c r="E48" s="1886" t="s">
        <v>1602</v>
      </c>
      <c r="F48" s="1480" t="s">
        <v>1796</v>
      </c>
      <c r="G48" s="447" t="s">
        <v>299</v>
      </c>
      <c r="H48" s="1480" t="s">
        <v>202</v>
      </c>
      <c r="I48" s="1480" t="s">
        <v>65</v>
      </c>
    </row>
    <row r="49" spans="1:9" ht="18" customHeight="1">
      <c r="A49" s="1481"/>
      <c r="B49" s="1826"/>
      <c r="C49" s="1893"/>
      <c r="D49" s="1826"/>
      <c r="E49" s="1887"/>
      <c r="F49" s="1481"/>
      <c r="G49" s="447" t="s">
        <v>170</v>
      </c>
      <c r="H49" s="1481"/>
      <c r="I49" s="1481"/>
    </row>
    <row r="50" spans="1:9" ht="18" customHeight="1">
      <c r="A50" s="1480">
        <v>17</v>
      </c>
      <c r="B50" s="1825">
        <v>229</v>
      </c>
      <c r="C50" s="1893"/>
      <c r="D50" s="1825" t="s">
        <v>1598</v>
      </c>
      <c r="E50" s="1886" t="s">
        <v>1802</v>
      </c>
      <c r="F50" s="1480" t="s">
        <v>1700</v>
      </c>
      <c r="G50" s="447" t="s">
        <v>167</v>
      </c>
      <c r="H50" s="1480" t="s">
        <v>202</v>
      </c>
      <c r="I50" s="1480" t="s">
        <v>65</v>
      </c>
    </row>
    <row r="51" spans="1:9" ht="18" customHeight="1">
      <c r="A51" s="1481"/>
      <c r="B51" s="1826"/>
      <c r="C51" s="1893"/>
      <c r="D51" s="1826"/>
      <c r="E51" s="1887"/>
      <c r="F51" s="1481"/>
      <c r="G51" s="447" t="s">
        <v>170</v>
      </c>
      <c r="H51" s="1481"/>
      <c r="I51" s="1481"/>
    </row>
    <row r="52" spans="1:9" ht="18" customHeight="1">
      <c r="A52" s="1491"/>
      <c r="B52" s="1827"/>
      <c r="C52" s="1893"/>
      <c r="D52" s="1826"/>
      <c r="E52" s="1888"/>
      <c r="F52" s="1491"/>
      <c r="G52" s="430" t="s">
        <v>56</v>
      </c>
      <c r="H52" s="1491"/>
      <c r="I52" s="1491"/>
    </row>
    <row r="53" spans="1:9" ht="18" customHeight="1">
      <c r="A53" s="1480">
        <v>18</v>
      </c>
      <c r="B53" s="1825">
        <v>230</v>
      </c>
      <c r="C53" s="1893"/>
      <c r="D53" s="1826"/>
      <c r="E53" s="1886" t="s">
        <v>1806</v>
      </c>
      <c r="F53" s="1480" t="s">
        <v>1722</v>
      </c>
      <c r="G53" s="447" t="s">
        <v>167</v>
      </c>
      <c r="H53" s="1480" t="s">
        <v>202</v>
      </c>
      <c r="I53" s="1480" t="s">
        <v>65</v>
      </c>
    </row>
    <row r="54" spans="1:9" ht="18" customHeight="1">
      <c r="A54" s="1481"/>
      <c r="B54" s="1826"/>
      <c r="C54" s="1893"/>
      <c r="D54" s="1826"/>
      <c r="E54" s="1887"/>
      <c r="F54" s="1481"/>
      <c r="G54" s="447" t="s">
        <v>170</v>
      </c>
      <c r="H54" s="1481"/>
      <c r="I54" s="1481"/>
    </row>
    <row r="55" spans="1:9" ht="18" customHeight="1">
      <c r="A55" s="1480">
        <v>19</v>
      </c>
      <c r="B55" s="1825">
        <v>231</v>
      </c>
      <c r="C55" s="1893"/>
      <c r="D55" s="1826"/>
      <c r="E55" s="1886" t="s">
        <v>1811</v>
      </c>
      <c r="F55" s="1480" t="s">
        <v>1737</v>
      </c>
      <c r="G55" s="447" t="s">
        <v>167</v>
      </c>
      <c r="H55" s="1480" t="s">
        <v>202</v>
      </c>
      <c r="I55" s="1480" t="s">
        <v>65</v>
      </c>
    </row>
    <row r="56" spans="1:9" ht="18" customHeight="1">
      <c r="A56" s="1481"/>
      <c r="B56" s="1826"/>
      <c r="C56" s="1893"/>
      <c r="D56" s="1826"/>
      <c r="E56" s="1887"/>
      <c r="F56" s="1481"/>
      <c r="G56" s="447" t="s">
        <v>170</v>
      </c>
      <c r="H56" s="1481"/>
      <c r="I56" s="1481"/>
    </row>
    <row r="57" spans="1:9" ht="18" customHeight="1">
      <c r="A57" s="1491"/>
      <c r="B57" s="1827"/>
      <c r="C57" s="1893"/>
      <c r="D57" s="1826"/>
      <c r="E57" s="1888"/>
      <c r="F57" s="1491"/>
      <c r="G57" s="430" t="s">
        <v>56</v>
      </c>
      <c r="H57" s="1491"/>
      <c r="I57" s="1481"/>
    </row>
    <row r="58" spans="1:9" ht="18" customHeight="1">
      <c r="A58" s="1480">
        <v>20</v>
      </c>
      <c r="B58" s="1825">
        <v>232</v>
      </c>
      <c r="C58" s="1893"/>
      <c r="D58" s="1826"/>
      <c r="E58" s="1886" t="s">
        <v>1816</v>
      </c>
      <c r="F58" s="1480" t="s">
        <v>1722</v>
      </c>
      <c r="G58" s="447" t="s">
        <v>167</v>
      </c>
      <c r="H58" s="1480" t="s">
        <v>202</v>
      </c>
      <c r="I58" s="1480" t="s">
        <v>65</v>
      </c>
    </row>
    <row r="59" spans="1:9" ht="18" customHeight="1">
      <c r="A59" s="1481"/>
      <c r="B59" s="1826"/>
      <c r="C59" s="1893"/>
      <c r="D59" s="1826"/>
      <c r="E59" s="1887"/>
      <c r="F59" s="1481"/>
      <c r="G59" s="447" t="s">
        <v>170</v>
      </c>
      <c r="H59" s="1481"/>
      <c r="I59" s="1481"/>
    </row>
    <row r="60" spans="1:9" ht="18" customHeight="1">
      <c r="A60" s="1481"/>
      <c r="B60" s="1826"/>
      <c r="C60" s="1893"/>
      <c r="D60" s="1826"/>
      <c r="E60" s="1887"/>
      <c r="F60" s="1481"/>
      <c r="G60" s="430" t="s">
        <v>50</v>
      </c>
      <c r="H60" s="1481"/>
      <c r="I60" s="1481"/>
    </row>
    <row r="61" spans="1:9" ht="18" customHeight="1">
      <c r="A61" s="1480">
        <v>21</v>
      </c>
      <c r="B61" s="1825">
        <v>233</v>
      </c>
      <c r="C61" s="1893"/>
      <c r="D61" s="1826"/>
      <c r="E61" s="1886" t="s">
        <v>1823</v>
      </c>
      <c r="F61" s="1480" t="s">
        <v>1700</v>
      </c>
      <c r="G61" s="447" t="s">
        <v>167</v>
      </c>
      <c r="H61" s="1480" t="s">
        <v>202</v>
      </c>
      <c r="I61" s="1480" t="s">
        <v>65</v>
      </c>
    </row>
    <row r="62" spans="1:9" ht="18" customHeight="1">
      <c r="A62" s="1481"/>
      <c r="B62" s="1826"/>
      <c r="C62" s="1893"/>
      <c r="D62" s="1826"/>
      <c r="E62" s="1887"/>
      <c r="F62" s="1481"/>
      <c r="G62" s="447" t="s">
        <v>170</v>
      </c>
      <c r="H62" s="1481"/>
      <c r="I62" s="1481"/>
    </row>
    <row r="63" spans="1:9" ht="18" customHeight="1">
      <c r="A63" s="1491"/>
      <c r="B63" s="1827"/>
      <c r="C63" s="1893"/>
      <c r="D63" s="1827"/>
      <c r="E63" s="1888"/>
      <c r="F63" s="1491"/>
      <c r="G63" s="430" t="s">
        <v>56</v>
      </c>
      <c r="H63" s="1491"/>
      <c r="I63" s="1491"/>
    </row>
    <row r="64" spans="1:9" ht="18" customHeight="1">
      <c r="A64" s="1480">
        <v>22</v>
      </c>
      <c r="B64" s="1825">
        <v>234</v>
      </c>
      <c r="C64" s="1893"/>
      <c r="D64" s="1825" t="s">
        <v>1829</v>
      </c>
      <c r="E64" s="1886" t="s">
        <v>1830</v>
      </c>
      <c r="F64" s="1480" t="s">
        <v>1737</v>
      </c>
      <c r="G64" s="447" t="s">
        <v>167</v>
      </c>
      <c r="H64" s="1480" t="s">
        <v>202</v>
      </c>
      <c r="I64" s="1480" t="s">
        <v>65</v>
      </c>
    </row>
    <row r="65" spans="1:9" ht="18" customHeight="1">
      <c r="A65" s="1481"/>
      <c r="B65" s="1826"/>
      <c r="C65" s="1893"/>
      <c r="D65" s="1826"/>
      <c r="E65" s="1887"/>
      <c r="F65" s="1481"/>
      <c r="G65" s="447" t="s">
        <v>170</v>
      </c>
      <c r="H65" s="1481"/>
      <c r="I65" s="1481"/>
    </row>
    <row r="66" spans="1:9" ht="18" customHeight="1">
      <c r="A66" s="1491"/>
      <c r="B66" s="1827"/>
      <c r="C66" s="1893"/>
      <c r="D66" s="1827"/>
      <c r="E66" s="1888"/>
      <c r="F66" s="1491"/>
      <c r="G66" s="430" t="s">
        <v>56</v>
      </c>
      <c r="H66" s="1491"/>
      <c r="I66" s="1491"/>
    </row>
    <row r="67" spans="1:9" ht="18" customHeight="1">
      <c r="A67" s="1480">
        <v>23</v>
      </c>
      <c r="B67" s="1825">
        <v>235</v>
      </c>
      <c r="C67" s="1893"/>
      <c r="D67" s="1825" t="s">
        <v>1598</v>
      </c>
      <c r="E67" s="1886" t="s">
        <v>1835</v>
      </c>
      <c r="F67" s="1480" t="s">
        <v>1700</v>
      </c>
      <c r="G67" s="447" t="s">
        <v>1726</v>
      </c>
      <c r="H67" s="1480" t="s">
        <v>980</v>
      </c>
      <c r="I67" s="1480" t="s">
        <v>65</v>
      </c>
    </row>
    <row r="68" spans="1:9" ht="18" customHeight="1">
      <c r="A68" s="1481"/>
      <c r="B68" s="1826"/>
      <c r="C68" s="1893"/>
      <c r="D68" s="1826"/>
      <c r="E68" s="1887"/>
      <c r="F68" s="1481"/>
      <c r="G68" s="447" t="s">
        <v>299</v>
      </c>
      <c r="H68" s="1481"/>
      <c r="I68" s="1481"/>
    </row>
    <row r="69" spans="1:9" ht="18" customHeight="1">
      <c r="A69" s="1480">
        <v>24</v>
      </c>
      <c r="B69" s="1825">
        <v>236</v>
      </c>
      <c r="C69" s="1893"/>
      <c r="D69" s="1826"/>
      <c r="E69" s="1886" t="s">
        <v>1840</v>
      </c>
      <c r="F69" s="1480" t="s">
        <v>1737</v>
      </c>
      <c r="G69" s="447" t="s">
        <v>167</v>
      </c>
      <c r="H69" s="1480" t="s">
        <v>202</v>
      </c>
      <c r="I69" s="1480" t="s">
        <v>65</v>
      </c>
    </row>
    <row r="70" spans="1:9" ht="18" customHeight="1">
      <c r="A70" s="1481"/>
      <c r="B70" s="1826"/>
      <c r="C70" s="1893"/>
      <c r="D70" s="1826"/>
      <c r="E70" s="1887"/>
      <c r="F70" s="1481"/>
      <c r="G70" s="447" t="s">
        <v>170</v>
      </c>
      <c r="H70" s="1481"/>
      <c r="I70" s="1481"/>
    </row>
    <row r="71" spans="1:9" ht="18" customHeight="1">
      <c r="A71" s="1480">
        <v>25</v>
      </c>
      <c r="B71" s="1825">
        <v>237</v>
      </c>
      <c r="C71" s="1893"/>
      <c r="D71" s="1826"/>
      <c r="E71" s="1886" t="s">
        <v>1844</v>
      </c>
      <c r="F71" s="1481"/>
      <c r="G71" s="447" t="s">
        <v>1846</v>
      </c>
      <c r="H71" s="1480" t="s">
        <v>202</v>
      </c>
      <c r="I71" s="1480" t="s">
        <v>65</v>
      </c>
    </row>
    <row r="72" spans="1:9" ht="18" customHeight="1">
      <c r="A72" s="1481"/>
      <c r="B72" s="1826"/>
      <c r="C72" s="1893"/>
      <c r="D72" s="1826"/>
      <c r="E72" s="1887"/>
      <c r="F72" s="1481"/>
      <c r="G72" s="447" t="s">
        <v>170</v>
      </c>
      <c r="H72" s="1481"/>
      <c r="I72" s="1481"/>
    </row>
    <row r="73" spans="1:9" ht="18" customHeight="1">
      <c r="A73" s="1491"/>
      <c r="B73" s="1827"/>
      <c r="C73" s="1893"/>
      <c r="D73" s="1826"/>
      <c r="E73" s="1888"/>
      <c r="F73" s="1491"/>
      <c r="G73" s="430" t="s">
        <v>56</v>
      </c>
      <c r="H73" s="1491"/>
      <c r="I73" s="1491"/>
    </row>
    <row r="74" spans="1:9" ht="18" customHeight="1">
      <c r="A74" s="1480">
        <v>26</v>
      </c>
      <c r="B74" s="1825">
        <v>238</v>
      </c>
      <c r="C74" s="1893"/>
      <c r="D74" s="1826"/>
      <c r="E74" s="1886" t="s">
        <v>1849</v>
      </c>
      <c r="F74" s="1480" t="s">
        <v>1722</v>
      </c>
      <c r="G74" s="447" t="s">
        <v>167</v>
      </c>
      <c r="H74" s="1480" t="s">
        <v>202</v>
      </c>
      <c r="I74" s="1480" t="s">
        <v>65</v>
      </c>
    </row>
    <row r="75" spans="1:9" ht="18" customHeight="1">
      <c r="A75" s="1481"/>
      <c r="B75" s="1826"/>
      <c r="C75" s="1893"/>
      <c r="D75" s="1826"/>
      <c r="E75" s="1887"/>
      <c r="F75" s="1481"/>
      <c r="G75" s="447" t="s">
        <v>170</v>
      </c>
      <c r="H75" s="1481"/>
      <c r="I75" s="1481"/>
    </row>
    <row r="76" spans="1:9" ht="18" customHeight="1">
      <c r="A76" s="1491"/>
      <c r="B76" s="1827"/>
      <c r="C76" s="1893"/>
      <c r="D76" s="1826"/>
      <c r="E76" s="1888"/>
      <c r="F76" s="1491"/>
      <c r="G76" s="430" t="s">
        <v>56</v>
      </c>
      <c r="H76" s="1481"/>
      <c r="I76" s="1481"/>
    </row>
    <row r="77" spans="1:9" ht="18" customHeight="1">
      <c r="A77" s="1480">
        <v>27</v>
      </c>
      <c r="B77" s="1825">
        <v>239</v>
      </c>
      <c r="C77" s="1893"/>
      <c r="D77" s="1826"/>
      <c r="E77" s="1886" t="s">
        <v>1853</v>
      </c>
      <c r="F77" s="1480" t="s">
        <v>1700</v>
      </c>
      <c r="G77" s="447" t="s">
        <v>167</v>
      </c>
      <c r="H77" s="1480" t="s">
        <v>202</v>
      </c>
      <c r="I77" s="1480" t="s">
        <v>65</v>
      </c>
    </row>
    <row r="78" spans="1:9" ht="18" customHeight="1">
      <c r="A78" s="1481"/>
      <c r="B78" s="1826"/>
      <c r="C78" s="1893"/>
      <c r="D78" s="1826"/>
      <c r="E78" s="1887"/>
      <c r="F78" s="1481"/>
      <c r="G78" s="430" t="s">
        <v>50</v>
      </c>
      <c r="H78" s="1481"/>
      <c r="I78" s="1481"/>
    </row>
    <row r="79" spans="1:9" ht="18" customHeight="1">
      <c r="A79" s="1480">
        <v>28</v>
      </c>
      <c r="B79" s="1825">
        <v>240</v>
      </c>
      <c r="C79" s="1893"/>
      <c r="D79" s="1826"/>
      <c r="E79" s="1886" t="s">
        <v>1856</v>
      </c>
      <c r="F79" s="1480" t="s">
        <v>1857</v>
      </c>
      <c r="G79" s="447" t="s">
        <v>167</v>
      </c>
      <c r="H79" s="1480" t="s">
        <v>202</v>
      </c>
      <c r="I79" s="1480" t="s">
        <v>65</v>
      </c>
    </row>
    <row r="80" spans="1:9" ht="18" customHeight="1">
      <c r="A80" s="1481"/>
      <c r="B80" s="1826"/>
      <c r="C80" s="1893"/>
      <c r="D80" s="1826"/>
      <c r="E80" s="1887"/>
      <c r="F80" s="1481"/>
      <c r="G80" s="447" t="s">
        <v>170</v>
      </c>
      <c r="H80" s="1481"/>
      <c r="I80" s="1481"/>
    </row>
    <row r="81" spans="1:9" ht="18" customHeight="1">
      <c r="A81" s="1480">
        <v>29</v>
      </c>
      <c r="B81" s="1825">
        <v>243</v>
      </c>
      <c r="C81" s="1893"/>
      <c r="D81" s="1825" t="s">
        <v>1858</v>
      </c>
      <c r="E81" s="1886" t="s">
        <v>1829</v>
      </c>
      <c r="F81" s="1481"/>
      <c r="G81" s="447" t="s">
        <v>167</v>
      </c>
      <c r="H81" s="1480" t="s">
        <v>202</v>
      </c>
      <c r="I81" s="1480" t="s">
        <v>65</v>
      </c>
    </row>
    <row r="82" spans="1:9" ht="18" customHeight="1">
      <c r="A82" s="1481"/>
      <c r="B82" s="1826"/>
      <c r="C82" s="1893"/>
      <c r="D82" s="1826"/>
      <c r="E82" s="1887"/>
      <c r="F82" s="1481"/>
      <c r="G82" s="447" t="s">
        <v>170</v>
      </c>
      <c r="H82" s="1481"/>
      <c r="I82" s="1481"/>
    </row>
    <row r="83" spans="1:9" ht="18" customHeight="1">
      <c r="A83" s="1491"/>
      <c r="B83" s="1827"/>
      <c r="C83" s="1893"/>
      <c r="D83" s="1827"/>
      <c r="E83" s="1888"/>
      <c r="F83" s="1491"/>
      <c r="G83" s="430" t="s">
        <v>56</v>
      </c>
      <c r="H83" s="1481"/>
      <c r="I83" s="1481"/>
    </row>
    <row r="84" spans="1:9" ht="18" customHeight="1">
      <c r="A84" s="1480">
        <v>30</v>
      </c>
      <c r="B84" s="1825">
        <v>244</v>
      </c>
      <c r="C84" s="1893"/>
      <c r="D84" s="1825" t="s">
        <v>1598</v>
      </c>
      <c r="E84" s="1886" t="s">
        <v>1862</v>
      </c>
      <c r="F84" s="1480" t="s">
        <v>1722</v>
      </c>
      <c r="G84" s="447" t="s">
        <v>167</v>
      </c>
      <c r="H84" s="1581" t="s">
        <v>202</v>
      </c>
      <c r="I84" s="1581" t="s">
        <v>65</v>
      </c>
    </row>
    <row r="85" spans="1:9" ht="18" customHeight="1">
      <c r="A85" s="1481"/>
      <c r="B85" s="1826"/>
      <c r="C85" s="1893"/>
      <c r="D85" s="1826"/>
      <c r="E85" s="1887"/>
      <c r="F85" s="1481"/>
      <c r="G85" s="447" t="s">
        <v>167</v>
      </c>
      <c r="H85" s="1581"/>
      <c r="I85" s="1581"/>
    </row>
    <row r="86" spans="1:9" ht="18" customHeight="1">
      <c r="A86" s="1491"/>
      <c r="B86" s="1827"/>
      <c r="C86" s="1893"/>
      <c r="D86" s="1826"/>
      <c r="E86" s="1888"/>
      <c r="F86" s="1491"/>
      <c r="G86" s="430" t="s">
        <v>56</v>
      </c>
      <c r="H86" s="1581"/>
      <c r="I86" s="1581"/>
    </row>
    <row r="87" spans="1:9" ht="18" customHeight="1">
      <c r="A87" s="1481">
        <v>31</v>
      </c>
      <c r="B87" s="1826">
        <v>245</v>
      </c>
      <c r="C87" s="1893"/>
      <c r="D87" s="1826"/>
      <c r="E87" s="1887" t="s">
        <v>1993</v>
      </c>
      <c r="F87" s="1481"/>
      <c r="G87" s="430" t="s">
        <v>50</v>
      </c>
      <c r="H87" s="1480" t="s">
        <v>202</v>
      </c>
      <c r="I87" s="1480" t="s">
        <v>65</v>
      </c>
    </row>
    <row r="88" spans="1:9" ht="18" customHeight="1">
      <c r="A88" s="1491"/>
      <c r="B88" s="1827"/>
      <c r="C88" s="1893"/>
      <c r="D88" s="1826"/>
      <c r="E88" s="1888"/>
      <c r="F88" s="1481"/>
      <c r="G88" s="430" t="s">
        <v>56</v>
      </c>
      <c r="H88" s="1481"/>
      <c r="I88" s="1481"/>
    </row>
    <row r="89" spans="1:9" ht="18" customHeight="1">
      <c r="A89" s="1480">
        <v>32</v>
      </c>
      <c r="B89" s="1825">
        <v>254</v>
      </c>
      <c r="C89" s="1893"/>
      <c r="D89" s="1826"/>
      <c r="E89" s="1886" t="s">
        <v>1869</v>
      </c>
      <c r="F89" s="1481"/>
      <c r="G89" s="447" t="s">
        <v>167</v>
      </c>
      <c r="H89" s="1480" t="s">
        <v>202</v>
      </c>
      <c r="I89" s="1480" t="s">
        <v>65</v>
      </c>
    </row>
    <row r="90" spans="1:9" ht="18" customHeight="1">
      <c r="A90" s="1481"/>
      <c r="B90" s="1826"/>
      <c r="C90" s="1893"/>
      <c r="D90" s="1826"/>
      <c r="E90" s="1887"/>
      <c r="F90" s="1481"/>
      <c r="G90" s="447" t="s">
        <v>170</v>
      </c>
      <c r="H90" s="1481"/>
      <c r="I90" s="1481"/>
    </row>
    <row r="91" spans="1:9" ht="18" customHeight="1">
      <c r="A91" s="1481"/>
      <c r="B91" s="1826"/>
      <c r="C91" s="1893"/>
      <c r="D91" s="1826"/>
      <c r="E91" s="1887"/>
      <c r="F91" s="1481"/>
      <c r="G91" s="430" t="s">
        <v>50</v>
      </c>
      <c r="H91" s="1481"/>
      <c r="I91" s="1481"/>
    </row>
    <row r="92" spans="1:9" ht="18" customHeight="1">
      <c r="A92" s="1480">
        <v>33</v>
      </c>
      <c r="B92" s="1825">
        <v>255</v>
      </c>
      <c r="C92" s="1893"/>
      <c r="D92" s="1825" t="s">
        <v>1603</v>
      </c>
      <c r="E92" s="1886" t="s">
        <v>1603</v>
      </c>
      <c r="F92" s="1480" t="s">
        <v>1796</v>
      </c>
      <c r="G92" s="447" t="s">
        <v>299</v>
      </c>
      <c r="H92" s="1480" t="s">
        <v>202</v>
      </c>
      <c r="I92" s="1480" t="s">
        <v>65</v>
      </c>
    </row>
    <row r="93" spans="1:9" ht="18" customHeight="1">
      <c r="A93" s="1481"/>
      <c r="B93" s="1826"/>
      <c r="C93" s="1893"/>
      <c r="D93" s="1826"/>
      <c r="E93" s="1887"/>
      <c r="F93" s="1481"/>
      <c r="G93" s="447" t="s">
        <v>170</v>
      </c>
      <c r="H93" s="1481"/>
      <c r="I93" s="1481"/>
    </row>
    <row r="94" spans="1:9" ht="18" customHeight="1">
      <c r="A94" s="1491"/>
      <c r="B94" s="1827"/>
      <c r="C94" s="1893"/>
      <c r="D94" s="1827"/>
      <c r="E94" s="1888"/>
      <c r="F94" s="1491"/>
      <c r="G94" s="430" t="s">
        <v>56</v>
      </c>
      <c r="H94" s="1481"/>
      <c r="I94" s="1481"/>
    </row>
    <row r="95" spans="1:9" ht="18" customHeight="1">
      <c r="A95" s="1480">
        <v>34</v>
      </c>
      <c r="B95" s="1825">
        <v>259</v>
      </c>
      <c r="C95" s="1893"/>
      <c r="D95" s="1825" t="s">
        <v>1598</v>
      </c>
      <c r="E95" s="1886" t="s">
        <v>1883</v>
      </c>
      <c r="F95" s="1480" t="s">
        <v>1700</v>
      </c>
      <c r="G95" s="447" t="s">
        <v>167</v>
      </c>
      <c r="H95" s="1480" t="s">
        <v>980</v>
      </c>
      <c r="I95" s="1480" t="s">
        <v>65</v>
      </c>
    </row>
    <row r="96" spans="1:9" ht="18" customHeight="1">
      <c r="A96" s="1481"/>
      <c r="B96" s="1826"/>
      <c r="C96" s="1893"/>
      <c r="D96" s="1826"/>
      <c r="E96" s="1887"/>
      <c r="F96" s="1481"/>
      <c r="G96" s="447" t="s">
        <v>170</v>
      </c>
      <c r="H96" s="1481"/>
      <c r="I96" s="1481"/>
    </row>
    <row r="97" spans="1:9" ht="18" customHeight="1">
      <c r="A97" s="1491"/>
      <c r="B97" s="1827"/>
      <c r="C97" s="1893"/>
      <c r="D97" s="1827"/>
      <c r="E97" s="1888"/>
      <c r="F97" s="1491"/>
      <c r="G97" s="430" t="s">
        <v>56</v>
      </c>
      <c r="H97" s="1491"/>
      <c r="I97" s="1481"/>
    </row>
    <row r="98" spans="1:9" ht="18" customHeight="1">
      <c r="A98" s="1480">
        <v>35</v>
      </c>
      <c r="B98" s="1825">
        <v>263</v>
      </c>
      <c r="C98" s="1893"/>
      <c r="D98" s="1825" t="s">
        <v>1597</v>
      </c>
      <c r="E98" s="1882" t="s">
        <v>1889</v>
      </c>
      <c r="F98" s="1480" t="s">
        <v>1796</v>
      </c>
      <c r="G98" s="447" t="s">
        <v>167</v>
      </c>
      <c r="H98" s="1480" t="s">
        <v>202</v>
      </c>
      <c r="I98" s="1480" t="s">
        <v>65</v>
      </c>
    </row>
    <row r="99" spans="1:9" ht="18" customHeight="1">
      <c r="A99" s="1481"/>
      <c r="B99" s="1826"/>
      <c r="C99" s="1893"/>
      <c r="D99" s="1826"/>
      <c r="E99" s="1883"/>
      <c r="F99" s="1481"/>
      <c r="G99" s="447" t="s">
        <v>170</v>
      </c>
      <c r="H99" s="1481"/>
      <c r="I99" s="1481"/>
    </row>
    <row r="100" spans="1:9" ht="18" customHeight="1">
      <c r="A100" s="1480">
        <v>36</v>
      </c>
      <c r="B100" s="1825">
        <v>264</v>
      </c>
      <c r="C100" s="1893"/>
      <c r="D100" s="1825" t="s">
        <v>1598</v>
      </c>
      <c r="E100" s="1882" t="s">
        <v>1895</v>
      </c>
      <c r="F100" s="1480" t="s">
        <v>1722</v>
      </c>
      <c r="G100" s="447" t="s">
        <v>167</v>
      </c>
      <c r="H100" s="1480" t="s">
        <v>980</v>
      </c>
      <c r="I100" s="1480" t="s">
        <v>65</v>
      </c>
    </row>
    <row r="101" spans="1:9" ht="18" customHeight="1">
      <c r="A101" s="1481"/>
      <c r="B101" s="1826"/>
      <c r="C101" s="1893"/>
      <c r="D101" s="1826"/>
      <c r="E101" s="1883"/>
      <c r="F101" s="1481"/>
      <c r="G101" s="447" t="s">
        <v>170</v>
      </c>
      <c r="H101" s="1481"/>
      <c r="I101" s="1481"/>
    </row>
    <row r="102" spans="1:9" ht="18" customHeight="1">
      <c r="A102" s="1491"/>
      <c r="B102" s="1827"/>
      <c r="C102" s="1893"/>
      <c r="D102" s="1827"/>
      <c r="E102" s="1884"/>
      <c r="F102" s="1491"/>
      <c r="G102" s="430" t="s">
        <v>56</v>
      </c>
      <c r="H102" s="1491"/>
      <c r="I102" s="1481"/>
    </row>
    <row r="103" spans="1:9" ht="18" customHeight="1">
      <c r="A103" s="1480">
        <v>37</v>
      </c>
      <c r="B103" s="1825">
        <v>268</v>
      </c>
      <c r="C103" s="1893"/>
      <c r="D103" s="1825" t="s">
        <v>1600</v>
      </c>
      <c r="E103" s="1882" t="s">
        <v>1600</v>
      </c>
      <c r="F103" s="1480" t="s">
        <v>1893</v>
      </c>
      <c r="G103" s="447" t="s">
        <v>167</v>
      </c>
      <c r="H103" s="1480" t="s">
        <v>202</v>
      </c>
      <c r="I103" s="1480" t="s">
        <v>65</v>
      </c>
    </row>
    <row r="104" spans="1:9" ht="18" customHeight="1">
      <c r="A104" s="1481"/>
      <c r="B104" s="1826"/>
      <c r="C104" s="1893"/>
      <c r="D104" s="1826"/>
      <c r="E104" s="1883"/>
      <c r="F104" s="1481"/>
      <c r="G104" s="447" t="s">
        <v>170</v>
      </c>
      <c r="H104" s="1481"/>
      <c r="I104" s="1481"/>
    </row>
    <row r="105" spans="1:9" ht="18" customHeight="1">
      <c r="A105" s="1491"/>
      <c r="B105" s="1827"/>
      <c r="C105" s="1893"/>
      <c r="D105" s="1827"/>
      <c r="E105" s="1884"/>
      <c r="F105" s="1491"/>
      <c r="G105" s="430" t="s">
        <v>56</v>
      </c>
      <c r="H105" s="1481"/>
      <c r="I105" s="1481"/>
    </row>
    <row r="106" spans="1:9" ht="18" customHeight="1">
      <c r="A106" s="1480">
        <v>38</v>
      </c>
      <c r="B106" s="1825">
        <v>271</v>
      </c>
      <c r="C106" s="1893"/>
      <c r="D106" s="1825" t="s">
        <v>1598</v>
      </c>
      <c r="E106" s="1882" t="s">
        <v>1909</v>
      </c>
      <c r="F106" s="1480" t="s">
        <v>1700</v>
      </c>
      <c r="G106" s="432"/>
      <c r="H106" s="1684" t="s">
        <v>980</v>
      </c>
      <c r="I106" s="1684" t="s">
        <v>1911</v>
      </c>
    </row>
    <row r="107" spans="1:9" ht="18" customHeight="1">
      <c r="A107" s="1481"/>
      <c r="B107" s="1826"/>
      <c r="C107" s="1893"/>
      <c r="D107" s="1826"/>
      <c r="E107" s="1883"/>
      <c r="F107" s="1481"/>
      <c r="G107" s="432"/>
      <c r="H107" s="1885"/>
      <c r="I107" s="1885"/>
    </row>
    <row r="108" spans="1:9" ht="18" customHeight="1">
      <c r="A108" s="1480">
        <v>39</v>
      </c>
      <c r="B108" s="1825">
        <v>274</v>
      </c>
      <c r="C108" s="1893"/>
      <c r="D108" s="1826"/>
      <c r="E108" s="1882" t="s">
        <v>1913</v>
      </c>
      <c r="F108" s="1480" t="s">
        <v>1722</v>
      </c>
      <c r="G108" s="447" t="s">
        <v>299</v>
      </c>
      <c r="H108" s="1480" t="s">
        <v>202</v>
      </c>
      <c r="I108" s="1480" t="s">
        <v>65</v>
      </c>
    </row>
    <row r="109" spans="1:9" ht="18" customHeight="1">
      <c r="A109" s="1481"/>
      <c r="B109" s="1826"/>
      <c r="C109" s="1893"/>
      <c r="D109" s="1826"/>
      <c r="E109" s="1883"/>
      <c r="F109" s="1481"/>
      <c r="G109" s="447" t="s">
        <v>299</v>
      </c>
      <c r="H109" s="1481"/>
      <c r="I109" s="1481"/>
    </row>
    <row r="110" spans="1:9" ht="18" customHeight="1">
      <c r="A110" s="1480">
        <v>40</v>
      </c>
      <c r="B110" s="1825">
        <v>277</v>
      </c>
      <c r="C110" s="1893"/>
      <c r="D110" s="1825" t="s">
        <v>1917</v>
      </c>
      <c r="E110" s="1882" t="s">
        <v>1917</v>
      </c>
      <c r="F110" s="1480" t="s">
        <v>1700</v>
      </c>
      <c r="G110" s="447" t="s">
        <v>167</v>
      </c>
      <c r="H110" s="1480" t="s">
        <v>202</v>
      </c>
      <c r="I110" s="1480" t="s">
        <v>65</v>
      </c>
    </row>
    <row r="111" spans="1:9" ht="18" customHeight="1">
      <c r="A111" s="1481"/>
      <c r="B111" s="1826"/>
      <c r="C111" s="1893"/>
      <c r="D111" s="1826"/>
      <c r="E111" s="1883"/>
      <c r="F111" s="1481"/>
      <c r="G111" s="447" t="s">
        <v>170</v>
      </c>
      <c r="H111" s="1481"/>
      <c r="I111" s="1481"/>
    </row>
    <row r="112" spans="1:9" ht="18" customHeight="1">
      <c r="A112" s="1491"/>
      <c r="B112" s="1827"/>
      <c r="C112" s="1893"/>
      <c r="D112" s="1827"/>
      <c r="E112" s="1884"/>
      <c r="F112" s="1481"/>
      <c r="G112" s="430" t="s">
        <v>56</v>
      </c>
      <c r="H112" s="1481"/>
      <c r="I112" s="1481"/>
    </row>
    <row r="113" spans="1:9" ht="18" customHeight="1">
      <c r="A113" s="1480">
        <v>41</v>
      </c>
      <c r="B113" s="1825">
        <v>278</v>
      </c>
      <c r="C113" s="1893"/>
      <c r="D113" s="1825" t="s">
        <v>1772</v>
      </c>
      <c r="E113" s="1882" t="s">
        <v>1919</v>
      </c>
      <c r="F113" s="1481"/>
      <c r="G113" s="447" t="s">
        <v>167</v>
      </c>
      <c r="H113" s="1480" t="s">
        <v>202</v>
      </c>
      <c r="I113" s="1480" t="s">
        <v>65</v>
      </c>
    </row>
    <row r="114" spans="1:9" ht="18" customHeight="1">
      <c r="A114" s="1481"/>
      <c r="B114" s="1826"/>
      <c r="C114" s="1893"/>
      <c r="D114" s="1826"/>
      <c r="E114" s="1883"/>
      <c r="F114" s="1481"/>
      <c r="G114" s="447" t="s">
        <v>170</v>
      </c>
      <c r="H114" s="1481"/>
      <c r="I114" s="1481"/>
    </row>
    <row r="115" spans="1:9" ht="18" customHeight="1">
      <c r="A115" s="1480">
        <v>42</v>
      </c>
      <c r="B115" s="1825">
        <v>280</v>
      </c>
      <c r="C115" s="1893"/>
      <c r="D115" s="1825" t="s">
        <v>1598</v>
      </c>
      <c r="E115" s="1882" t="s">
        <v>1591</v>
      </c>
      <c r="F115" s="1481"/>
      <c r="G115" s="447" t="s">
        <v>167</v>
      </c>
      <c r="H115" s="1480" t="s">
        <v>202</v>
      </c>
      <c r="I115" s="1480" t="s">
        <v>65</v>
      </c>
    </row>
    <row r="116" spans="1:9" ht="18" customHeight="1">
      <c r="A116" s="1481"/>
      <c r="B116" s="1826"/>
      <c r="C116" s="1893"/>
      <c r="D116" s="1826"/>
      <c r="E116" s="1883"/>
      <c r="F116" s="1481"/>
      <c r="G116" s="447" t="s">
        <v>170</v>
      </c>
      <c r="H116" s="1481"/>
      <c r="I116" s="1481"/>
    </row>
    <row r="117" spans="1:9" ht="18" customHeight="1">
      <c r="A117" s="1480">
        <v>43</v>
      </c>
      <c r="B117" s="1825">
        <v>289</v>
      </c>
      <c r="C117" s="1893"/>
      <c r="D117" s="1825" t="s">
        <v>1597</v>
      </c>
      <c r="E117" s="1882" t="s">
        <v>1928</v>
      </c>
      <c r="F117" s="1480" t="s">
        <v>1796</v>
      </c>
      <c r="G117" s="447" t="s">
        <v>167</v>
      </c>
      <c r="H117" s="1480" t="s">
        <v>202</v>
      </c>
      <c r="I117" s="1480" t="s">
        <v>65</v>
      </c>
    </row>
    <row r="118" spans="1:9" ht="18" customHeight="1">
      <c r="A118" s="1481"/>
      <c r="B118" s="1826"/>
      <c r="C118" s="1893"/>
      <c r="D118" s="1826"/>
      <c r="E118" s="1883"/>
      <c r="F118" s="1481"/>
      <c r="G118" s="447" t="s">
        <v>170</v>
      </c>
      <c r="H118" s="1481"/>
      <c r="I118" s="1481"/>
    </row>
    <row r="119" spans="1:9" ht="18" customHeight="1">
      <c r="A119" s="1480">
        <v>44</v>
      </c>
      <c r="B119" s="1825">
        <v>292</v>
      </c>
      <c r="C119" s="1893"/>
      <c r="D119" s="1825" t="s">
        <v>1598</v>
      </c>
      <c r="E119" s="1882" t="s">
        <v>1932</v>
      </c>
      <c r="F119" s="1480" t="s">
        <v>1737</v>
      </c>
      <c r="G119" s="447" t="s">
        <v>167</v>
      </c>
      <c r="H119" s="1480" t="s">
        <v>202</v>
      </c>
      <c r="I119" s="1480" t="s">
        <v>65</v>
      </c>
    </row>
    <row r="120" spans="1:9" ht="18" customHeight="1">
      <c r="A120" s="1481"/>
      <c r="B120" s="1826"/>
      <c r="C120" s="1893"/>
      <c r="D120" s="1826"/>
      <c r="E120" s="1883"/>
      <c r="F120" s="1481"/>
      <c r="G120" s="447" t="s">
        <v>170</v>
      </c>
      <c r="H120" s="1481"/>
      <c r="I120" s="1481"/>
    </row>
    <row r="121" spans="1:9" ht="18" customHeight="1">
      <c r="A121" s="1491"/>
      <c r="B121" s="1827"/>
      <c r="C121" s="1893"/>
      <c r="D121" s="1827"/>
      <c r="E121" s="1884"/>
      <c r="F121" s="1491"/>
      <c r="G121" s="430" t="s">
        <v>56</v>
      </c>
      <c r="H121" s="1481"/>
      <c r="I121" s="1491"/>
    </row>
    <row r="122" spans="1:9" ht="18" customHeight="1">
      <c r="A122" s="1480">
        <v>45</v>
      </c>
      <c r="B122" s="1825">
        <v>301</v>
      </c>
      <c r="C122" s="1893"/>
      <c r="D122" s="1825" t="s">
        <v>1938</v>
      </c>
      <c r="E122" s="1882" t="s">
        <v>1939</v>
      </c>
      <c r="F122" s="1480" t="s">
        <v>1893</v>
      </c>
      <c r="G122" s="447" t="s">
        <v>299</v>
      </c>
      <c r="H122" s="1480" t="s">
        <v>202</v>
      </c>
      <c r="I122" s="1480" t="s">
        <v>65</v>
      </c>
    </row>
    <row r="123" spans="1:9" ht="18" customHeight="1">
      <c r="A123" s="1481"/>
      <c r="B123" s="1826"/>
      <c r="C123" s="1893"/>
      <c r="D123" s="1826"/>
      <c r="E123" s="1883"/>
      <c r="F123" s="1481"/>
      <c r="G123" s="447" t="s">
        <v>170</v>
      </c>
      <c r="H123" s="1481"/>
      <c r="I123" s="1481"/>
    </row>
    <row r="124" spans="1:9" ht="18" customHeight="1">
      <c r="A124" s="1480">
        <v>46</v>
      </c>
      <c r="B124" s="1825">
        <v>312</v>
      </c>
      <c r="C124" s="1893"/>
      <c r="D124" s="1825" t="s">
        <v>1598</v>
      </c>
      <c r="E124" s="1879" t="s">
        <v>1946</v>
      </c>
      <c r="F124" s="1480" t="s">
        <v>1722</v>
      </c>
      <c r="G124" s="447" t="s">
        <v>1949</v>
      </c>
      <c r="H124" s="1480" t="s">
        <v>202</v>
      </c>
      <c r="I124" s="1480" t="s">
        <v>65</v>
      </c>
    </row>
    <row r="125" spans="1:9" ht="18" customHeight="1">
      <c r="A125" s="1481"/>
      <c r="B125" s="1826"/>
      <c r="C125" s="1893"/>
      <c r="D125" s="1826"/>
      <c r="E125" s="1880"/>
      <c r="F125" s="1481"/>
      <c r="G125" s="447" t="s">
        <v>170</v>
      </c>
      <c r="H125" s="1481"/>
      <c r="I125" s="1481"/>
    </row>
    <row r="126" spans="1:9" ht="18" customHeight="1">
      <c r="A126" s="1491"/>
      <c r="B126" s="1827"/>
      <c r="C126" s="1893"/>
      <c r="D126" s="1827"/>
      <c r="E126" s="1881"/>
      <c r="F126" s="1491"/>
      <c r="G126" s="430" t="s">
        <v>56</v>
      </c>
      <c r="H126" s="1481"/>
      <c r="I126" s="1491"/>
    </row>
    <row r="127" spans="1:9" ht="18" customHeight="1">
      <c r="A127" s="1480">
        <v>47</v>
      </c>
      <c r="B127" s="1825">
        <v>318</v>
      </c>
      <c r="C127" s="1893"/>
      <c r="D127" s="1825" t="s">
        <v>1954</v>
      </c>
      <c r="E127" s="1879" t="s">
        <v>1599</v>
      </c>
      <c r="F127" s="1480" t="s">
        <v>1893</v>
      </c>
      <c r="G127" s="447" t="s">
        <v>299</v>
      </c>
      <c r="H127" s="1480" t="s">
        <v>202</v>
      </c>
      <c r="I127" s="1480" t="s">
        <v>65</v>
      </c>
    </row>
    <row r="128" spans="1:9" ht="18" customHeight="1">
      <c r="A128" s="1481"/>
      <c r="B128" s="1826"/>
      <c r="C128" s="1893"/>
      <c r="D128" s="1826"/>
      <c r="E128" s="1880"/>
      <c r="F128" s="1481"/>
      <c r="G128" s="447" t="s">
        <v>170</v>
      </c>
      <c r="H128" s="1481"/>
      <c r="I128" s="1481"/>
    </row>
    <row r="129" spans="1:11" ht="18" customHeight="1">
      <c r="A129" s="1491"/>
      <c r="B129" s="1827"/>
      <c r="C129" s="1893"/>
      <c r="D129" s="1827"/>
      <c r="E129" s="1881"/>
      <c r="F129" s="1491"/>
      <c r="G129" s="430" t="s">
        <v>56</v>
      </c>
      <c r="H129" s="1481"/>
      <c r="I129" s="1491"/>
    </row>
    <row r="130" spans="1:11" ht="18" customHeight="1">
      <c r="A130" s="1480">
        <v>48</v>
      </c>
      <c r="B130" s="1825">
        <v>329</v>
      </c>
      <c r="C130" s="1893"/>
      <c r="D130" s="1825" t="s">
        <v>1598</v>
      </c>
      <c r="E130" s="1879" t="s">
        <v>1958</v>
      </c>
      <c r="F130" s="1480" t="s">
        <v>1722</v>
      </c>
      <c r="G130" s="447" t="s">
        <v>167</v>
      </c>
      <c r="H130" s="1480" t="s">
        <v>202</v>
      </c>
      <c r="I130" s="1480" t="s">
        <v>65</v>
      </c>
    </row>
    <row r="131" spans="1:11" ht="18" customHeight="1">
      <c r="A131" s="1481"/>
      <c r="B131" s="1826"/>
      <c r="C131" s="1893"/>
      <c r="D131" s="1826"/>
      <c r="E131" s="1880"/>
      <c r="F131" s="1481"/>
      <c r="G131" s="447" t="s">
        <v>170</v>
      </c>
      <c r="H131" s="1481"/>
      <c r="I131" s="1481"/>
    </row>
    <row r="132" spans="1:11" ht="18" customHeight="1">
      <c r="A132" s="1480">
        <v>49</v>
      </c>
      <c r="B132" s="1825">
        <v>339</v>
      </c>
      <c r="C132" s="1893"/>
      <c r="D132" s="1825" t="s">
        <v>1597</v>
      </c>
      <c r="E132" s="1879" t="s">
        <v>1963</v>
      </c>
      <c r="F132" s="1480" t="s">
        <v>1796</v>
      </c>
      <c r="G132" s="447" t="s">
        <v>167</v>
      </c>
      <c r="H132" s="1480" t="s">
        <v>202</v>
      </c>
      <c r="I132" s="1480" t="s">
        <v>65</v>
      </c>
    </row>
    <row r="133" spans="1:11" ht="18" customHeight="1">
      <c r="A133" s="1481"/>
      <c r="B133" s="1826"/>
      <c r="C133" s="1893"/>
      <c r="D133" s="1826"/>
      <c r="E133" s="1880"/>
      <c r="F133" s="1481"/>
      <c r="G133" s="447" t="s">
        <v>170</v>
      </c>
      <c r="H133" s="1481"/>
      <c r="I133" s="1481"/>
    </row>
    <row r="134" spans="1:11" ht="18" customHeight="1">
      <c r="A134" s="1480">
        <v>50</v>
      </c>
      <c r="B134" s="1825">
        <v>392</v>
      </c>
      <c r="C134" s="1893"/>
      <c r="D134" s="1825" t="s">
        <v>1598</v>
      </c>
      <c r="E134" s="1876" t="s">
        <v>9239</v>
      </c>
      <c r="F134" s="1480" t="s">
        <v>1722</v>
      </c>
      <c r="G134" s="447" t="s">
        <v>170</v>
      </c>
      <c r="H134" s="1480" t="s">
        <v>202</v>
      </c>
      <c r="I134" s="1480" t="s">
        <v>65</v>
      </c>
    </row>
    <row r="135" spans="1:11" ht="18" customHeight="1">
      <c r="A135" s="1481"/>
      <c r="B135" s="1826"/>
      <c r="C135" s="1893"/>
      <c r="D135" s="1826"/>
      <c r="E135" s="1877"/>
      <c r="F135" s="1481"/>
      <c r="G135" s="447" t="s">
        <v>170</v>
      </c>
      <c r="H135" s="1481"/>
      <c r="I135" s="1481"/>
    </row>
    <row r="136" spans="1:11" ht="18" customHeight="1">
      <c r="A136" s="1491"/>
      <c r="B136" s="1827"/>
      <c r="C136" s="1893"/>
      <c r="D136" s="1826"/>
      <c r="E136" s="1878"/>
      <c r="F136" s="1491"/>
      <c r="G136" s="430" t="s">
        <v>50</v>
      </c>
      <c r="H136" s="1491"/>
      <c r="I136" s="1491"/>
    </row>
    <row r="137" spans="1:11" ht="18" customHeight="1">
      <c r="A137" s="1480">
        <v>51</v>
      </c>
      <c r="B137" s="1825">
        <v>477</v>
      </c>
      <c r="C137" s="1893"/>
      <c r="D137" s="1826"/>
      <c r="E137" s="1825" t="s">
        <v>1974</v>
      </c>
      <c r="F137" s="1480" t="s">
        <v>1700</v>
      </c>
      <c r="G137" s="447" t="s">
        <v>167</v>
      </c>
      <c r="H137" s="1480" t="s">
        <v>202</v>
      </c>
      <c r="I137" s="1480" t="s">
        <v>65</v>
      </c>
    </row>
    <row r="138" spans="1:11" ht="18" customHeight="1">
      <c r="A138" s="1481"/>
      <c r="B138" s="1826"/>
      <c r="C138" s="1893"/>
      <c r="D138" s="1826"/>
      <c r="E138" s="1826"/>
      <c r="F138" s="1481"/>
      <c r="G138" s="447" t="s">
        <v>170</v>
      </c>
      <c r="H138" s="1481"/>
      <c r="I138" s="1481"/>
      <c r="J138" s="461"/>
      <c r="K138" s="428" t="s">
        <v>11543</v>
      </c>
    </row>
    <row r="139" spans="1:11" ht="18" customHeight="1">
      <c r="A139" s="1491"/>
      <c r="B139" s="1827"/>
      <c r="C139" s="1893"/>
      <c r="D139" s="1826"/>
      <c r="E139" s="1827"/>
      <c r="F139" s="1491"/>
      <c r="G139" s="430" t="s">
        <v>56</v>
      </c>
      <c r="H139" s="1481"/>
      <c r="I139" s="1491"/>
    </row>
    <row r="140" spans="1:11" ht="18" customHeight="1">
      <c r="A140" s="1480">
        <v>52</v>
      </c>
      <c r="B140" s="1825">
        <v>509</v>
      </c>
      <c r="C140" s="1893"/>
      <c r="D140" s="1826"/>
      <c r="E140" s="1825" t="s">
        <v>1977</v>
      </c>
      <c r="F140" s="1480" t="s">
        <v>1722</v>
      </c>
      <c r="G140" s="447" t="s">
        <v>167</v>
      </c>
      <c r="H140" s="1480" t="s">
        <v>202</v>
      </c>
      <c r="I140" s="1480" t="s">
        <v>65</v>
      </c>
    </row>
    <row r="141" spans="1:11" ht="18" customHeight="1">
      <c r="A141" s="1481"/>
      <c r="B141" s="1826"/>
      <c r="C141" s="1893"/>
      <c r="D141" s="1826"/>
      <c r="E141" s="1826"/>
      <c r="F141" s="1481"/>
      <c r="G141" s="433" t="s">
        <v>1953</v>
      </c>
      <c r="H141" s="1481"/>
      <c r="I141" s="1481"/>
    </row>
    <row r="142" spans="1:11" ht="18" customHeight="1">
      <c r="A142" s="1480">
        <v>53</v>
      </c>
      <c r="B142" s="1825">
        <v>512</v>
      </c>
      <c r="C142" s="1893"/>
      <c r="D142" s="1826"/>
      <c r="E142" s="1825" t="s">
        <v>1982</v>
      </c>
      <c r="F142" s="1480" t="s">
        <v>1700</v>
      </c>
      <c r="G142" s="447" t="s">
        <v>167</v>
      </c>
      <c r="H142" s="1480" t="s">
        <v>202</v>
      </c>
      <c r="I142" s="1480" t="s">
        <v>65</v>
      </c>
    </row>
    <row r="143" spans="1:11" ht="18" customHeight="1">
      <c r="A143" s="1481"/>
      <c r="B143" s="1826"/>
      <c r="C143" s="1893"/>
      <c r="D143" s="1826"/>
      <c r="E143" s="1826"/>
      <c r="F143" s="1481"/>
      <c r="G143" s="447" t="s">
        <v>170</v>
      </c>
      <c r="H143" s="1481"/>
      <c r="I143" s="1481"/>
    </row>
    <row r="144" spans="1:11" ht="18" customHeight="1">
      <c r="A144" s="1480">
        <v>54</v>
      </c>
      <c r="B144" s="1874" t="s">
        <v>43</v>
      </c>
      <c r="C144" s="1893"/>
      <c r="D144" s="1826"/>
      <c r="E144" s="1825" t="s">
        <v>1989</v>
      </c>
      <c r="F144" s="1480" t="s">
        <v>1700</v>
      </c>
      <c r="G144" s="430" t="s">
        <v>50</v>
      </c>
      <c r="H144" s="1480" t="s">
        <v>202</v>
      </c>
      <c r="I144" s="1480" t="s">
        <v>65</v>
      </c>
    </row>
    <row r="145" spans="1:9" ht="18" customHeight="1">
      <c r="A145" s="1491"/>
      <c r="B145" s="1875"/>
      <c r="C145" s="1894"/>
      <c r="D145" s="1827"/>
      <c r="E145" s="1827"/>
      <c r="F145" s="1491"/>
      <c r="G145" s="430" t="s">
        <v>56</v>
      </c>
      <c r="H145" s="1491"/>
      <c r="I145" s="1491"/>
    </row>
    <row r="146" spans="1:9">
      <c r="A146" s="1480">
        <v>55</v>
      </c>
      <c r="B146" s="1492">
        <v>275</v>
      </c>
      <c r="C146" s="1480" t="s">
        <v>1604</v>
      </c>
      <c r="D146" s="1480" t="s">
        <v>1608</v>
      </c>
      <c r="E146" s="1480" t="s">
        <v>2247</v>
      </c>
      <c r="F146" s="1480" t="s">
        <v>1796</v>
      </c>
      <c r="G146" s="1480" t="s">
        <v>2291</v>
      </c>
      <c r="H146" s="1480" t="s">
        <v>2279</v>
      </c>
      <c r="I146" s="1871" t="s">
        <v>2297</v>
      </c>
    </row>
    <row r="147" spans="1:9">
      <c r="A147" s="1481"/>
      <c r="B147" s="1493"/>
      <c r="C147" s="1481"/>
      <c r="D147" s="1481"/>
      <c r="E147" s="1481"/>
      <c r="F147" s="1481"/>
      <c r="G147" s="1481"/>
      <c r="H147" s="1481"/>
      <c r="I147" s="1873"/>
    </row>
    <row r="148" spans="1:9">
      <c r="A148" s="1481"/>
      <c r="B148" s="1493"/>
      <c r="C148" s="1481"/>
      <c r="D148" s="1481"/>
      <c r="E148" s="1481"/>
      <c r="F148" s="1481"/>
      <c r="G148" s="1481"/>
      <c r="H148" s="1481"/>
      <c r="I148" s="1873"/>
    </row>
    <row r="149" spans="1:9">
      <c r="A149" s="1481"/>
      <c r="B149" s="1493"/>
      <c r="C149" s="1481"/>
      <c r="D149" s="1481"/>
      <c r="E149" s="1481"/>
      <c r="F149" s="1481"/>
      <c r="G149" s="1481"/>
      <c r="H149" s="1481"/>
      <c r="I149" s="1873"/>
    </row>
    <row r="150" spans="1:9">
      <c r="A150" s="1481"/>
      <c r="B150" s="1493"/>
      <c r="C150" s="1481"/>
      <c r="D150" s="1481"/>
      <c r="E150" s="1481"/>
      <c r="F150" s="1481"/>
      <c r="G150" s="1491"/>
      <c r="H150" s="1481"/>
      <c r="I150" s="1873"/>
    </row>
    <row r="151" spans="1:9" ht="19.5">
      <c r="A151" s="1491"/>
      <c r="B151" s="1494"/>
      <c r="C151" s="1481"/>
      <c r="D151" s="1491"/>
      <c r="E151" s="1491"/>
      <c r="F151" s="1481"/>
      <c r="G151" s="430" t="s">
        <v>56</v>
      </c>
      <c r="H151" s="1491"/>
      <c r="I151" s="1872"/>
    </row>
    <row r="152" spans="1:9" ht="19.5">
      <c r="A152" s="1480">
        <v>56</v>
      </c>
      <c r="B152" s="1480">
        <v>216</v>
      </c>
      <c r="C152" s="1481"/>
      <c r="D152" s="1480" t="s">
        <v>1605</v>
      </c>
      <c r="E152" s="1480" t="s">
        <v>2259</v>
      </c>
      <c r="F152" s="1481"/>
      <c r="G152" s="447" t="s">
        <v>2263</v>
      </c>
      <c r="H152" s="1480" t="s">
        <v>202</v>
      </c>
      <c r="I152" s="1871" t="s">
        <v>65</v>
      </c>
    </row>
    <row r="153" spans="1:9" ht="19.5">
      <c r="A153" s="1491"/>
      <c r="B153" s="1491"/>
      <c r="C153" s="1481"/>
      <c r="D153" s="1491"/>
      <c r="E153" s="1491"/>
      <c r="F153" s="1481"/>
      <c r="G153" s="430" t="s">
        <v>56</v>
      </c>
      <c r="H153" s="1491"/>
      <c r="I153" s="1872"/>
    </row>
    <row r="154" spans="1:9" ht="19.5">
      <c r="A154" s="1480">
        <v>57</v>
      </c>
      <c r="B154" s="1480">
        <v>258</v>
      </c>
      <c r="C154" s="1481"/>
      <c r="D154" s="1480" t="s">
        <v>1608</v>
      </c>
      <c r="E154" s="1480" t="s">
        <v>2264</v>
      </c>
      <c r="F154" s="1481"/>
      <c r="G154" s="447" t="s">
        <v>2266</v>
      </c>
      <c r="H154" s="1480" t="s">
        <v>202</v>
      </c>
      <c r="I154" s="1871" t="s">
        <v>65</v>
      </c>
    </row>
    <row r="155" spans="1:9" ht="19.5">
      <c r="A155" s="1491"/>
      <c r="B155" s="1491"/>
      <c r="C155" s="1481"/>
      <c r="D155" s="1491"/>
      <c r="E155" s="1491"/>
      <c r="F155" s="1481"/>
      <c r="G155" s="447" t="s">
        <v>299</v>
      </c>
      <c r="H155" s="1481"/>
      <c r="I155" s="1873"/>
    </row>
    <row r="156" spans="1:9" ht="19.5">
      <c r="A156" s="1480">
        <v>58</v>
      </c>
      <c r="B156" s="1480">
        <v>260</v>
      </c>
      <c r="C156" s="1481"/>
      <c r="D156" s="1480" t="s">
        <v>1606</v>
      </c>
      <c r="E156" s="1480" t="s">
        <v>1606</v>
      </c>
      <c r="F156" s="1481"/>
      <c r="G156" s="447" t="s">
        <v>167</v>
      </c>
      <c r="H156" s="1491"/>
      <c r="I156" s="1872"/>
    </row>
    <row r="157" spans="1:9" ht="19.5">
      <c r="A157" s="1481"/>
      <c r="B157" s="1481"/>
      <c r="C157" s="1481"/>
      <c r="D157" s="1481"/>
      <c r="E157" s="1481"/>
      <c r="F157" s="1481"/>
      <c r="G157" s="447" t="s">
        <v>299</v>
      </c>
      <c r="H157" s="1480" t="s">
        <v>202</v>
      </c>
      <c r="I157" s="1871" t="s">
        <v>65</v>
      </c>
    </row>
    <row r="158" spans="1:9" ht="19.5">
      <c r="A158" s="1491"/>
      <c r="B158" s="1491"/>
      <c r="C158" s="1481"/>
      <c r="D158" s="1491"/>
      <c r="E158" s="1491"/>
      <c r="F158" s="1481"/>
      <c r="G158" s="430" t="s">
        <v>56</v>
      </c>
      <c r="H158" s="1491"/>
      <c r="I158" s="1872"/>
    </row>
    <row r="159" spans="1:9" ht="19.5">
      <c r="A159" s="1480">
        <v>59</v>
      </c>
      <c r="B159" s="1480">
        <v>269</v>
      </c>
      <c r="C159" s="1481"/>
      <c r="D159" s="1480" t="s">
        <v>1608</v>
      </c>
      <c r="E159" s="1480" t="s">
        <v>2277</v>
      </c>
      <c r="F159" s="1481"/>
      <c r="G159" s="447" t="s">
        <v>167</v>
      </c>
      <c r="H159" s="1480" t="s">
        <v>202</v>
      </c>
      <c r="I159" s="1871" t="s">
        <v>65</v>
      </c>
    </row>
    <row r="160" spans="1:9" ht="19.5">
      <c r="A160" s="1491"/>
      <c r="B160" s="1491"/>
      <c r="C160" s="1481"/>
      <c r="D160" s="1491"/>
      <c r="E160" s="1491"/>
      <c r="F160" s="1481"/>
      <c r="G160" s="447" t="s">
        <v>299</v>
      </c>
      <c r="H160" s="1491"/>
      <c r="I160" s="1872"/>
    </row>
    <row r="161" spans="1:9" ht="19.5">
      <c r="A161" s="1480">
        <v>60</v>
      </c>
      <c r="B161" s="1480">
        <v>281</v>
      </c>
      <c r="C161" s="1481"/>
      <c r="D161" s="1480" t="s">
        <v>1605</v>
      </c>
      <c r="E161" s="1480" t="s">
        <v>1605</v>
      </c>
      <c r="F161" s="1481"/>
      <c r="G161" s="447" t="s">
        <v>167</v>
      </c>
      <c r="H161" s="1480" t="s">
        <v>202</v>
      </c>
      <c r="I161" s="1871" t="s">
        <v>65</v>
      </c>
    </row>
    <row r="162" spans="1:9" ht="19.5">
      <c r="A162" s="1491"/>
      <c r="B162" s="1491"/>
      <c r="C162" s="1481"/>
      <c r="D162" s="1491"/>
      <c r="E162" s="1491"/>
      <c r="F162" s="1481"/>
      <c r="G162" s="447" t="s">
        <v>299</v>
      </c>
      <c r="H162" s="1491"/>
      <c r="I162" s="1872"/>
    </row>
    <row r="163" spans="1:9" ht="19.5">
      <c r="A163" s="1480">
        <v>61</v>
      </c>
      <c r="B163" s="1480">
        <v>299</v>
      </c>
      <c r="C163" s="1481"/>
      <c r="D163" s="1480" t="s">
        <v>1607</v>
      </c>
      <c r="E163" s="1480" t="s">
        <v>1607</v>
      </c>
      <c r="F163" s="1481"/>
      <c r="G163" s="447" t="s">
        <v>167</v>
      </c>
      <c r="H163" s="1480" t="s">
        <v>202</v>
      </c>
      <c r="I163" s="1871" t="s">
        <v>65</v>
      </c>
    </row>
    <row r="164" spans="1:9" ht="19.5">
      <c r="A164" s="1491"/>
      <c r="B164" s="1491"/>
      <c r="C164" s="1491"/>
      <c r="D164" s="1491"/>
      <c r="E164" s="1491"/>
      <c r="F164" s="1491"/>
      <c r="G164" s="447" t="s">
        <v>299</v>
      </c>
      <c r="H164" s="1491"/>
      <c r="I164" s="1872"/>
    </row>
    <row r="165" spans="1:9" ht="18" customHeight="1">
      <c r="A165" s="1480">
        <v>62</v>
      </c>
      <c r="B165" s="1492">
        <v>246</v>
      </c>
      <c r="C165" s="1480" t="s">
        <v>1592</v>
      </c>
      <c r="D165" s="1480" t="s">
        <v>1594</v>
      </c>
      <c r="E165" s="1480" t="s">
        <v>1611</v>
      </c>
      <c r="F165" s="1480" t="s">
        <v>1592</v>
      </c>
      <c r="G165" s="1480" t="s">
        <v>37</v>
      </c>
      <c r="H165" s="1480" t="s">
        <v>93</v>
      </c>
      <c r="I165" s="1833" t="s">
        <v>484</v>
      </c>
    </row>
    <row r="166" spans="1:9" ht="18" customHeight="1">
      <c r="A166" s="1481"/>
      <c r="B166" s="1493"/>
      <c r="C166" s="1481"/>
      <c r="D166" s="1481"/>
      <c r="E166" s="1481"/>
      <c r="F166" s="1481"/>
      <c r="G166" s="1491"/>
      <c r="H166" s="1481"/>
      <c r="I166" s="1834"/>
    </row>
    <row r="167" spans="1:9" ht="19.5">
      <c r="A167" s="1481"/>
      <c r="B167" s="1493"/>
      <c r="C167" s="1481"/>
      <c r="D167" s="1481"/>
      <c r="E167" s="1481"/>
      <c r="F167" s="1481"/>
      <c r="G167" s="447" t="s">
        <v>170</v>
      </c>
      <c r="H167" s="1481"/>
      <c r="I167" s="1834"/>
    </row>
    <row r="168" spans="1:9" ht="19.5">
      <c r="A168" s="1481"/>
      <c r="B168" s="1493"/>
      <c r="C168" s="1481"/>
      <c r="D168" s="1481"/>
      <c r="E168" s="1481"/>
      <c r="F168" s="1481"/>
      <c r="G168" s="447" t="s">
        <v>151</v>
      </c>
      <c r="H168" s="1481"/>
      <c r="I168" s="1834"/>
    </row>
    <row r="169" spans="1:9" ht="19.5">
      <c r="A169" s="1481"/>
      <c r="B169" s="1493"/>
      <c r="C169" s="1481"/>
      <c r="D169" s="1481"/>
      <c r="E169" s="1481"/>
      <c r="F169" s="1481"/>
      <c r="G169" s="447" t="s">
        <v>151</v>
      </c>
      <c r="H169" s="1481"/>
      <c r="I169" s="1834"/>
    </row>
    <row r="170" spans="1:9" ht="19.5">
      <c r="A170" s="1491"/>
      <c r="B170" s="1494"/>
      <c r="C170" s="1481"/>
      <c r="D170" s="1481"/>
      <c r="E170" s="1491"/>
      <c r="F170" s="1481"/>
      <c r="G170" s="430" t="s">
        <v>56</v>
      </c>
      <c r="H170" s="1491"/>
      <c r="I170" s="1835"/>
    </row>
    <row r="171" spans="1:9" ht="19.5">
      <c r="A171" s="1480">
        <v>63</v>
      </c>
      <c r="B171" s="1480">
        <v>241</v>
      </c>
      <c r="C171" s="1481"/>
      <c r="D171" s="1481"/>
      <c r="E171" s="1480" t="s">
        <v>1626</v>
      </c>
      <c r="F171" s="1481"/>
      <c r="G171" s="447" t="s">
        <v>167</v>
      </c>
      <c r="H171" s="1833" t="s">
        <v>202</v>
      </c>
      <c r="I171" s="1833" t="s">
        <v>65</v>
      </c>
    </row>
    <row r="172" spans="1:9" ht="19.5">
      <c r="A172" s="1491"/>
      <c r="B172" s="1491"/>
      <c r="C172" s="1481"/>
      <c r="D172" s="1491"/>
      <c r="E172" s="1491"/>
      <c r="F172" s="1481"/>
      <c r="G172" s="447" t="s">
        <v>170</v>
      </c>
      <c r="H172" s="1835"/>
      <c r="I172" s="1835"/>
    </row>
    <row r="173" spans="1:9" ht="19.5">
      <c r="A173" s="1480">
        <v>64</v>
      </c>
      <c r="B173" s="1480">
        <v>293</v>
      </c>
      <c r="C173" s="1481"/>
      <c r="D173" s="1825" t="s">
        <v>1593</v>
      </c>
      <c r="E173" s="1480" t="s">
        <v>1593</v>
      </c>
      <c r="F173" s="1481"/>
      <c r="G173" s="447" t="s">
        <v>167</v>
      </c>
      <c r="H173" s="1833" t="s">
        <v>202</v>
      </c>
      <c r="I173" s="1833" t="s">
        <v>65</v>
      </c>
    </row>
    <row r="174" spans="1:9" ht="19.5">
      <c r="A174" s="1491"/>
      <c r="B174" s="1491"/>
      <c r="C174" s="1481"/>
      <c r="D174" s="1827"/>
      <c r="E174" s="1491"/>
      <c r="F174" s="1481"/>
      <c r="G174" s="447" t="s">
        <v>170</v>
      </c>
      <c r="H174" s="1835"/>
      <c r="I174" s="1835"/>
    </row>
    <row r="175" spans="1:9" ht="19.5">
      <c r="A175" s="1480">
        <v>65</v>
      </c>
      <c r="B175" s="1480">
        <v>343</v>
      </c>
      <c r="C175" s="1481"/>
      <c r="D175" s="1480" t="s">
        <v>1594</v>
      </c>
      <c r="E175" s="1480" t="s">
        <v>1632</v>
      </c>
      <c r="F175" s="1481"/>
      <c r="G175" s="447" t="s">
        <v>170</v>
      </c>
      <c r="H175" s="1833" t="s">
        <v>202</v>
      </c>
      <c r="I175" s="1833" t="s">
        <v>242</v>
      </c>
    </row>
    <row r="176" spans="1:9" ht="19.5">
      <c r="A176" s="1481"/>
      <c r="B176" s="1481"/>
      <c r="C176" s="1481"/>
      <c r="D176" s="1481"/>
      <c r="E176" s="1481"/>
      <c r="F176" s="1481"/>
      <c r="G176" s="447" t="s">
        <v>170</v>
      </c>
      <c r="H176" s="1834"/>
      <c r="I176" s="1834"/>
    </row>
    <row r="177" spans="1:9" ht="19.5">
      <c r="A177" s="1481"/>
      <c r="B177" s="1481"/>
      <c r="C177" s="1481"/>
      <c r="D177" s="1481"/>
      <c r="E177" s="1481"/>
      <c r="F177" s="1481"/>
      <c r="G177" s="430" t="s">
        <v>50</v>
      </c>
      <c r="H177" s="1834"/>
      <c r="I177" s="1834"/>
    </row>
    <row r="178" spans="1:9" ht="19.5">
      <c r="A178" s="1491"/>
      <c r="B178" s="1491"/>
      <c r="C178" s="1481"/>
      <c r="D178" s="1491"/>
      <c r="E178" s="1491"/>
      <c r="F178" s="1481"/>
      <c r="G178" s="430" t="s">
        <v>56</v>
      </c>
      <c r="H178" s="1835"/>
      <c r="I178" s="1835"/>
    </row>
    <row r="179" spans="1:9" ht="19.5">
      <c r="A179" s="1480">
        <v>66</v>
      </c>
      <c r="B179" s="1480">
        <v>350</v>
      </c>
      <c r="C179" s="1481"/>
      <c r="D179" s="1480" t="s">
        <v>1641</v>
      </c>
      <c r="E179" s="1480" t="s">
        <v>1641</v>
      </c>
      <c r="F179" s="1481"/>
      <c r="G179" s="447" t="s">
        <v>167</v>
      </c>
      <c r="H179" s="1833" t="s">
        <v>202</v>
      </c>
      <c r="I179" s="1833" t="s">
        <v>65</v>
      </c>
    </row>
    <row r="180" spans="1:9" ht="19.5">
      <c r="A180" s="1491"/>
      <c r="B180" s="1491"/>
      <c r="C180" s="1481"/>
      <c r="D180" s="1491"/>
      <c r="E180" s="1491"/>
      <c r="F180" s="1481"/>
      <c r="G180" s="447" t="s">
        <v>170</v>
      </c>
      <c r="H180" s="1835"/>
      <c r="I180" s="1835"/>
    </row>
    <row r="181" spans="1:9" ht="19.5">
      <c r="A181" s="1480">
        <v>67</v>
      </c>
      <c r="B181" s="1480">
        <v>466</v>
      </c>
      <c r="C181" s="1481"/>
      <c r="D181" s="1480" t="s">
        <v>1645</v>
      </c>
      <c r="E181" s="1480" t="s">
        <v>1645</v>
      </c>
      <c r="F181" s="1481"/>
      <c r="G181" s="447" t="s">
        <v>167</v>
      </c>
      <c r="H181" s="1833" t="s">
        <v>202</v>
      </c>
      <c r="I181" s="1833" t="s">
        <v>65</v>
      </c>
    </row>
    <row r="182" spans="1:9" ht="19.5">
      <c r="A182" s="1491"/>
      <c r="B182" s="1491"/>
      <c r="C182" s="1491"/>
      <c r="D182" s="1491"/>
      <c r="E182" s="1491"/>
      <c r="F182" s="1491"/>
      <c r="G182" s="447" t="s">
        <v>170</v>
      </c>
      <c r="H182" s="1835"/>
      <c r="I182" s="1835"/>
    </row>
    <row r="183" spans="1:9">
      <c r="A183" s="1480">
        <v>68</v>
      </c>
      <c r="B183" s="1492">
        <v>384</v>
      </c>
      <c r="C183" s="1480" t="s">
        <v>2554</v>
      </c>
      <c r="D183" s="1480" t="s">
        <v>2555</v>
      </c>
      <c r="E183" s="1480" t="s">
        <v>2555</v>
      </c>
      <c r="F183" s="1480" t="s">
        <v>1592</v>
      </c>
      <c r="G183" s="1480" t="s">
        <v>450</v>
      </c>
      <c r="H183" s="1480" t="s">
        <v>93</v>
      </c>
      <c r="I183" s="1833" t="s">
        <v>65</v>
      </c>
    </row>
    <row r="184" spans="1:9">
      <c r="A184" s="1481"/>
      <c r="B184" s="1493"/>
      <c r="C184" s="1481"/>
      <c r="D184" s="1481"/>
      <c r="E184" s="1481"/>
      <c r="F184" s="1481"/>
      <c r="G184" s="1481"/>
      <c r="H184" s="1481"/>
      <c r="I184" s="1834"/>
    </row>
    <row r="185" spans="1:9">
      <c r="A185" s="1481"/>
      <c r="B185" s="1493"/>
      <c r="C185" s="1481"/>
      <c r="D185" s="1481"/>
      <c r="E185" s="1481"/>
      <c r="F185" s="1481"/>
      <c r="G185" s="1491"/>
      <c r="H185" s="1481"/>
      <c r="I185" s="1834"/>
    </row>
    <row r="186" spans="1:9" ht="19.5">
      <c r="A186" s="1481"/>
      <c r="B186" s="1493"/>
      <c r="C186" s="1481"/>
      <c r="D186" s="1481"/>
      <c r="E186" s="1481"/>
      <c r="F186" s="1481"/>
      <c r="G186" s="430" t="s">
        <v>50</v>
      </c>
      <c r="H186" s="1481"/>
      <c r="I186" s="1834"/>
    </row>
    <row r="187" spans="1:9" ht="19.5">
      <c r="A187" s="1491"/>
      <c r="B187" s="1494"/>
      <c r="C187" s="1481"/>
      <c r="D187" s="1481"/>
      <c r="E187" s="1491"/>
      <c r="F187" s="1481"/>
      <c r="G187" s="430" t="s">
        <v>56</v>
      </c>
      <c r="H187" s="1491"/>
      <c r="I187" s="1835"/>
    </row>
    <row r="188" spans="1:9" ht="19.5">
      <c r="A188" s="1480">
        <v>69</v>
      </c>
      <c r="B188" s="1480">
        <v>403</v>
      </c>
      <c r="C188" s="1481"/>
      <c r="D188" s="1481"/>
      <c r="E188" s="1480" t="s">
        <v>2566</v>
      </c>
      <c r="F188" s="1481"/>
      <c r="G188" s="447" t="s">
        <v>299</v>
      </c>
      <c r="H188" s="1833" t="s">
        <v>202</v>
      </c>
      <c r="I188" s="1833" t="s">
        <v>65</v>
      </c>
    </row>
    <row r="189" spans="1:9" ht="19.5">
      <c r="A189" s="1481"/>
      <c r="B189" s="1481"/>
      <c r="C189" s="1481"/>
      <c r="D189" s="1481"/>
      <c r="E189" s="1481"/>
      <c r="F189" s="1481"/>
      <c r="G189" s="447" t="s">
        <v>299</v>
      </c>
      <c r="H189" s="1834"/>
      <c r="I189" s="1834"/>
    </row>
    <row r="190" spans="1:9" ht="19.5">
      <c r="A190" s="1491"/>
      <c r="B190" s="1491"/>
      <c r="C190" s="1481"/>
      <c r="D190" s="1491"/>
      <c r="E190" s="1491"/>
      <c r="F190" s="1481"/>
      <c r="G190" s="430" t="s">
        <v>56</v>
      </c>
      <c r="H190" s="1835"/>
      <c r="I190" s="1835"/>
    </row>
    <row r="191" spans="1:9" ht="19.5">
      <c r="A191" s="1480">
        <v>70</v>
      </c>
      <c r="B191" s="1480">
        <v>417</v>
      </c>
      <c r="C191" s="1481"/>
      <c r="D191" s="1480" t="s">
        <v>2570</v>
      </c>
      <c r="E191" s="1480" t="s">
        <v>2571</v>
      </c>
      <c r="F191" s="1481"/>
      <c r="G191" s="447" t="s">
        <v>299</v>
      </c>
      <c r="H191" s="1833" t="s">
        <v>202</v>
      </c>
      <c r="I191" s="1833" t="s">
        <v>65</v>
      </c>
    </row>
    <row r="192" spans="1:9" ht="19.5">
      <c r="A192" s="1481"/>
      <c r="B192" s="1481"/>
      <c r="C192" s="1481"/>
      <c r="D192" s="1481"/>
      <c r="E192" s="1481"/>
      <c r="F192" s="1481"/>
      <c r="G192" s="447" t="s">
        <v>299</v>
      </c>
      <c r="H192" s="1834"/>
      <c r="I192" s="1834"/>
    </row>
    <row r="193" spans="1:9" ht="19.5">
      <c r="A193" s="1491"/>
      <c r="B193" s="1491"/>
      <c r="C193" s="1481"/>
      <c r="D193" s="1491"/>
      <c r="E193" s="1491"/>
      <c r="F193" s="1481"/>
      <c r="G193" s="430" t="s">
        <v>56</v>
      </c>
      <c r="H193" s="1835"/>
      <c r="I193" s="1835"/>
    </row>
    <row r="194" spans="1:9">
      <c r="A194" s="1480">
        <v>71</v>
      </c>
      <c r="B194" s="1480">
        <v>492</v>
      </c>
      <c r="C194" s="1481"/>
      <c r="D194" s="1480" t="s">
        <v>2555</v>
      </c>
      <c r="E194" s="1480" t="s">
        <v>2575</v>
      </c>
      <c r="F194" s="1481"/>
      <c r="G194" s="1480" t="s">
        <v>450</v>
      </c>
      <c r="H194" s="1833" t="s">
        <v>202</v>
      </c>
      <c r="I194" s="1480" t="s">
        <v>65</v>
      </c>
    </row>
    <row r="195" spans="1:9">
      <c r="A195" s="1481"/>
      <c r="B195" s="1481"/>
      <c r="C195" s="1481"/>
      <c r="D195" s="1481"/>
      <c r="E195" s="1481"/>
      <c r="F195" s="1481"/>
      <c r="G195" s="1491"/>
      <c r="H195" s="1834"/>
      <c r="I195" s="1481"/>
    </row>
    <row r="196" spans="1:9" ht="19.5">
      <c r="A196" s="1491"/>
      <c r="B196" s="1491"/>
      <c r="C196" s="1491"/>
      <c r="D196" s="1491"/>
      <c r="E196" s="1491"/>
      <c r="F196" s="1491"/>
      <c r="G196" s="430" t="s">
        <v>56</v>
      </c>
      <c r="H196" s="1835"/>
      <c r="I196" s="1491"/>
    </row>
    <row r="197" spans="1:9">
      <c r="A197" s="1512">
        <v>72</v>
      </c>
      <c r="B197" s="1523">
        <v>253</v>
      </c>
      <c r="C197" s="1512" t="s">
        <v>933</v>
      </c>
      <c r="D197" s="1512" t="s">
        <v>3328</v>
      </c>
      <c r="E197" s="1512" t="s">
        <v>3329</v>
      </c>
      <c r="F197" s="1512" t="s">
        <v>933</v>
      </c>
      <c r="G197" s="1865" t="s">
        <v>3336</v>
      </c>
      <c r="H197" s="1868" t="s">
        <v>3396</v>
      </c>
      <c r="I197" s="1868" t="s">
        <v>3338</v>
      </c>
    </row>
    <row r="198" spans="1:9">
      <c r="A198" s="1621"/>
      <c r="B198" s="1524"/>
      <c r="C198" s="1621"/>
      <c r="D198" s="1621"/>
      <c r="E198" s="1621"/>
      <c r="F198" s="1621"/>
      <c r="G198" s="1866"/>
      <c r="H198" s="1869"/>
      <c r="I198" s="1869"/>
    </row>
    <row r="199" spans="1:9">
      <c r="A199" s="1621"/>
      <c r="B199" s="1524"/>
      <c r="C199" s="1621"/>
      <c r="D199" s="1621"/>
      <c r="E199" s="1621"/>
      <c r="F199" s="1621"/>
      <c r="G199" s="1866"/>
      <c r="H199" s="1869"/>
      <c r="I199" s="1869"/>
    </row>
    <row r="200" spans="1:9">
      <c r="A200" s="1621"/>
      <c r="B200" s="1524"/>
      <c r="C200" s="1621"/>
      <c r="D200" s="1621"/>
      <c r="E200" s="1621"/>
      <c r="F200" s="1621"/>
      <c r="G200" s="1866"/>
      <c r="H200" s="1869"/>
      <c r="I200" s="1869"/>
    </row>
    <row r="201" spans="1:9">
      <c r="A201" s="1621"/>
      <c r="B201" s="1524"/>
      <c r="C201" s="1621"/>
      <c r="D201" s="1621"/>
      <c r="E201" s="1621"/>
      <c r="F201" s="1621"/>
      <c r="G201" s="1866"/>
      <c r="H201" s="1869"/>
      <c r="I201" s="1869"/>
    </row>
    <row r="202" spans="1:9">
      <c r="A202" s="1621"/>
      <c r="B202" s="1524"/>
      <c r="C202" s="1621"/>
      <c r="D202" s="1621"/>
      <c r="E202" s="1621"/>
      <c r="F202" s="1621"/>
      <c r="G202" s="1866"/>
      <c r="H202" s="1869"/>
      <c r="I202" s="1869"/>
    </row>
    <row r="203" spans="1:9">
      <c r="A203" s="1621"/>
      <c r="B203" s="1524"/>
      <c r="C203" s="1621"/>
      <c r="D203" s="1621"/>
      <c r="E203" s="1621"/>
      <c r="F203" s="1621"/>
      <c r="G203" s="1867"/>
      <c r="H203" s="1869"/>
      <c r="I203" s="1869"/>
    </row>
    <row r="204" spans="1:9" ht="19.5">
      <c r="A204" s="1513"/>
      <c r="B204" s="1525"/>
      <c r="C204" s="1621"/>
      <c r="D204" s="1621"/>
      <c r="E204" s="1513"/>
      <c r="F204" s="1621"/>
      <c r="G204" s="434" t="s">
        <v>56</v>
      </c>
      <c r="H204" s="1870"/>
      <c r="I204" s="1870"/>
    </row>
    <row r="205" spans="1:9">
      <c r="A205" s="1512">
        <v>73</v>
      </c>
      <c r="B205" s="1512">
        <v>250</v>
      </c>
      <c r="C205" s="1621"/>
      <c r="D205" s="1621"/>
      <c r="E205" s="1512" t="s">
        <v>3358</v>
      </c>
      <c r="F205" s="1621"/>
      <c r="G205" s="1644" t="s">
        <v>3425</v>
      </c>
      <c r="H205" s="1512" t="s">
        <v>202</v>
      </c>
      <c r="I205" s="1512" t="s">
        <v>65</v>
      </c>
    </row>
    <row r="206" spans="1:9">
      <c r="A206" s="1513"/>
      <c r="B206" s="1513"/>
      <c r="C206" s="1621"/>
      <c r="D206" s="1513"/>
      <c r="E206" s="1513"/>
      <c r="F206" s="1621"/>
      <c r="G206" s="1645"/>
      <c r="H206" s="1513"/>
      <c r="I206" s="1513"/>
    </row>
    <row r="207" spans="1:9" ht="19.5">
      <c r="A207" s="1512">
        <v>74</v>
      </c>
      <c r="B207" s="1512">
        <v>251</v>
      </c>
      <c r="C207" s="1621"/>
      <c r="D207" s="1512" t="s">
        <v>3362</v>
      </c>
      <c r="E207" s="1512" t="s">
        <v>3362</v>
      </c>
      <c r="F207" s="1621"/>
      <c r="G207" s="451" t="s">
        <v>167</v>
      </c>
      <c r="H207" s="1512" t="s">
        <v>202</v>
      </c>
      <c r="I207" s="1565" t="s">
        <v>65</v>
      </c>
    </row>
    <row r="208" spans="1:9" ht="19.5">
      <c r="A208" s="1513"/>
      <c r="B208" s="1513"/>
      <c r="C208" s="1621"/>
      <c r="D208" s="1513"/>
      <c r="E208" s="1513"/>
      <c r="F208" s="1621"/>
      <c r="G208" s="451" t="s">
        <v>299</v>
      </c>
      <c r="H208" s="1513"/>
      <c r="I208" s="1565"/>
    </row>
    <row r="209" spans="1:9">
      <c r="A209" s="1512">
        <v>75</v>
      </c>
      <c r="B209" s="1512">
        <v>261</v>
      </c>
      <c r="C209" s="1621"/>
      <c r="D209" s="1512" t="s">
        <v>3366</v>
      </c>
      <c r="E209" s="1512" t="s">
        <v>3366</v>
      </c>
      <c r="F209" s="1621"/>
      <c r="G209" s="1644" t="s">
        <v>3425</v>
      </c>
      <c r="H209" s="1512" t="s">
        <v>202</v>
      </c>
      <c r="I209" s="1512" t="s">
        <v>65</v>
      </c>
    </row>
    <row r="210" spans="1:9">
      <c r="A210" s="1513"/>
      <c r="B210" s="1513"/>
      <c r="C210" s="1621"/>
      <c r="D210" s="1513"/>
      <c r="E210" s="1513"/>
      <c r="F210" s="1621"/>
      <c r="G210" s="1645"/>
      <c r="H210" s="1513"/>
      <c r="I210" s="1513"/>
    </row>
    <row r="211" spans="1:9">
      <c r="A211" s="1512">
        <v>76</v>
      </c>
      <c r="B211" s="1512">
        <v>265</v>
      </c>
      <c r="C211" s="1621"/>
      <c r="D211" s="1512" t="s">
        <v>3362</v>
      </c>
      <c r="E211" s="1512" t="s">
        <v>3393</v>
      </c>
      <c r="F211" s="1621"/>
      <c r="G211" s="1644" t="s">
        <v>3425</v>
      </c>
      <c r="H211" s="1859" t="s">
        <v>202</v>
      </c>
      <c r="I211" s="1565" t="s">
        <v>65</v>
      </c>
    </row>
    <row r="212" spans="1:9">
      <c r="A212" s="1513"/>
      <c r="B212" s="1513"/>
      <c r="C212" s="1621"/>
      <c r="D212" s="1513"/>
      <c r="E212" s="1513"/>
      <c r="F212" s="1621"/>
      <c r="G212" s="1645"/>
      <c r="H212" s="1860"/>
      <c r="I212" s="1565"/>
    </row>
    <row r="213" spans="1:9" ht="19.5">
      <c r="A213" s="1512">
        <v>77</v>
      </c>
      <c r="B213" s="1512">
        <v>267</v>
      </c>
      <c r="C213" s="1621"/>
      <c r="D213" s="1512" t="s">
        <v>3328</v>
      </c>
      <c r="E213" s="1861" t="s">
        <v>3372</v>
      </c>
      <c r="F213" s="1621"/>
      <c r="G213" s="451" t="s">
        <v>167</v>
      </c>
      <c r="H213" s="1859" t="s">
        <v>202</v>
      </c>
      <c r="I213" s="1565" t="s">
        <v>65</v>
      </c>
    </row>
    <row r="214" spans="1:9" ht="19.5">
      <c r="A214" s="1513"/>
      <c r="B214" s="1513"/>
      <c r="C214" s="1621"/>
      <c r="D214" s="1513"/>
      <c r="E214" s="1863"/>
      <c r="F214" s="1621"/>
      <c r="G214" s="451" t="s">
        <v>299</v>
      </c>
      <c r="H214" s="1860"/>
      <c r="I214" s="1565"/>
    </row>
    <row r="215" spans="1:9" ht="19.5">
      <c r="A215" s="1512">
        <v>78</v>
      </c>
      <c r="B215" s="1512">
        <v>323</v>
      </c>
      <c r="C215" s="1621"/>
      <c r="D215" s="1512" t="s">
        <v>3373</v>
      </c>
      <c r="E215" s="1512" t="s">
        <v>3373</v>
      </c>
      <c r="F215" s="1621"/>
      <c r="G215" s="451" t="s">
        <v>167</v>
      </c>
      <c r="H215" s="1859" t="s">
        <v>202</v>
      </c>
      <c r="I215" s="1565" t="s">
        <v>65</v>
      </c>
    </row>
    <row r="216" spans="1:9" ht="19.5">
      <c r="A216" s="1513"/>
      <c r="B216" s="1513"/>
      <c r="C216" s="1621"/>
      <c r="D216" s="1513"/>
      <c r="E216" s="1513"/>
      <c r="F216" s="1621"/>
      <c r="G216" s="451" t="s">
        <v>299</v>
      </c>
      <c r="H216" s="1860"/>
      <c r="I216" s="1565"/>
    </row>
    <row r="217" spans="1:9" ht="19.5">
      <c r="A217" s="1512">
        <v>79</v>
      </c>
      <c r="B217" s="1512">
        <v>325</v>
      </c>
      <c r="C217" s="1621"/>
      <c r="D217" s="1512" t="s">
        <v>3328</v>
      </c>
      <c r="E217" s="1512" t="s">
        <v>3376</v>
      </c>
      <c r="F217" s="1621"/>
      <c r="G217" s="451" t="s">
        <v>167</v>
      </c>
      <c r="H217" s="1859" t="s">
        <v>202</v>
      </c>
      <c r="I217" s="1565" t="s">
        <v>65</v>
      </c>
    </row>
    <row r="218" spans="1:9" ht="19.5">
      <c r="A218" s="1513"/>
      <c r="B218" s="1513"/>
      <c r="C218" s="1621"/>
      <c r="D218" s="1513"/>
      <c r="E218" s="1513"/>
      <c r="F218" s="1621"/>
      <c r="G218" s="451" t="s">
        <v>170</v>
      </c>
      <c r="H218" s="1860"/>
      <c r="I218" s="1565"/>
    </row>
    <row r="219" spans="1:9" ht="19.5">
      <c r="A219" s="1512">
        <v>80</v>
      </c>
      <c r="B219" s="1512">
        <v>356</v>
      </c>
      <c r="C219" s="1621"/>
      <c r="D219" s="1861" t="s">
        <v>3381</v>
      </c>
      <c r="E219" s="1861" t="s">
        <v>3381</v>
      </c>
      <c r="F219" s="1621"/>
      <c r="G219" s="451" t="s">
        <v>167</v>
      </c>
      <c r="H219" s="1859" t="s">
        <v>202</v>
      </c>
      <c r="I219" s="1565" t="s">
        <v>65</v>
      </c>
    </row>
    <row r="220" spans="1:9" ht="19.5">
      <c r="A220" s="1513"/>
      <c r="B220" s="1513"/>
      <c r="C220" s="1621"/>
      <c r="D220" s="1863"/>
      <c r="E220" s="1863"/>
      <c r="F220" s="1621"/>
      <c r="G220" s="451" t="s">
        <v>299</v>
      </c>
      <c r="H220" s="1860"/>
      <c r="I220" s="1565"/>
    </row>
    <row r="221" spans="1:9" ht="19.5">
      <c r="A221" s="1512">
        <v>81</v>
      </c>
      <c r="B221" s="1512">
        <v>387</v>
      </c>
      <c r="C221" s="1621"/>
      <c r="D221" s="1512" t="s">
        <v>3328</v>
      </c>
      <c r="E221" s="1512" t="s">
        <v>3384</v>
      </c>
      <c r="F221" s="1621"/>
      <c r="G221" s="451" t="s">
        <v>167</v>
      </c>
      <c r="H221" s="1859" t="s">
        <v>202</v>
      </c>
      <c r="I221" s="1565" t="s">
        <v>65</v>
      </c>
    </row>
    <row r="222" spans="1:9" ht="19.5">
      <c r="A222" s="1513"/>
      <c r="B222" s="1513"/>
      <c r="C222" s="1621"/>
      <c r="D222" s="1513"/>
      <c r="E222" s="1513"/>
      <c r="F222" s="1621"/>
      <c r="G222" s="451" t="s">
        <v>299</v>
      </c>
      <c r="H222" s="1860"/>
      <c r="I222" s="1565"/>
    </row>
    <row r="223" spans="1:9">
      <c r="A223" s="1512">
        <v>82</v>
      </c>
      <c r="B223" s="1512">
        <v>388</v>
      </c>
      <c r="C223" s="1621"/>
      <c r="D223" s="1861" t="s">
        <v>3387</v>
      </c>
      <c r="E223" s="1861" t="s">
        <v>3387</v>
      </c>
      <c r="F223" s="1621"/>
      <c r="G223" s="1644" t="s">
        <v>3425</v>
      </c>
      <c r="H223" s="1859" t="s">
        <v>202</v>
      </c>
      <c r="I223" s="1565" t="s">
        <v>65</v>
      </c>
    </row>
    <row r="224" spans="1:9">
      <c r="A224" s="1621"/>
      <c r="B224" s="1621"/>
      <c r="C224" s="1621"/>
      <c r="D224" s="1862"/>
      <c r="E224" s="1862"/>
      <c r="F224" s="1621"/>
      <c r="G224" s="1645"/>
      <c r="H224" s="1864"/>
      <c r="I224" s="1565"/>
    </row>
    <row r="225" spans="1:9" ht="19.5">
      <c r="A225" s="1513"/>
      <c r="B225" s="1513"/>
      <c r="C225" s="1621"/>
      <c r="D225" s="1863"/>
      <c r="E225" s="1863"/>
      <c r="F225" s="1621"/>
      <c r="G225" s="434" t="s">
        <v>50</v>
      </c>
      <c r="H225" s="1860"/>
      <c r="I225" s="1565"/>
    </row>
    <row r="226" spans="1:9">
      <c r="A226" s="1512">
        <v>83</v>
      </c>
      <c r="B226" s="1512">
        <v>494</v>
      </c>
      <c r="C226" s="1621"/>
      <c r="D226" s="1512" t="s">
        <v>3390</v>
      </c>
      <c r="E226" s="1512" t="s">
        <v>3390</v>
      </c>
      <c r="F226" s="1621"/>
      <c r="G226" s="1644" t="s">
        <v>3425</v>
      </c>
      <c r="H226" s="1859" t="s">
        <v>202</v>
      </c>
      <c r="I226" s="1565" t="s">
        <v>65</v>
      </c>
    </row>
    <row r="227" spans="1:9">
      <c r="A227" s="1513"/>
      <c r="B227" s="1513"/>
      <c r="C227" s="1513"/>
      <c r="D227" s="1513"/>
      <c r="E227" s="1513"/>
      <c r="F227" s="1513"/>
      <c r="G227" s="1645"/>
      <c r="H227" s="1860"/>
      <c r="I227" s="1565"/>
    </row>
    <row r="228" spans="1:9" ht="18" customHeight="1">
      <c r="A228" s="1565">
        <v>84</v>
      </c>
      <c r="B228" s="1856">
        <v>200</v>
      </c>
      <c r="C228" s="1825" t="s">
        <v>423</v>
      </c>
      <c r="D228" s="1582" t="s">
        <v>423</v>
      </c>
      <c r="E228" s="1857" t="s">
        <v>11544</v>
      </c>
      <c r="F228" s="1565" t="s">
        <v>480</v>
      </c>
      <c r="G228" s="1512"/>
      <c r="H228" s="1854" t="s">
        <v>1693</v>
      </c>
      <c r="I228" s="1854"/>
    </row>
    <row r="229" spans="1:9" ht="18" customHeight="1">
      <c r="A229" s="1565"/>
      <c r="B229" s="1856"/>
      <c r="C229" s="1826"/>
      <c r="D229" s="1582"/>
      <c r="E229" s="1857"/>
      <c r="F229" s="1566"/>
      <c r="G229" s="1513"/>
      <c r="H229" s="1854"/>
      <c r="I229" s="1854"/>
    </row>
    <row r="230" spans="1:9" ht="19.5">
      <c r="A230" s="1565"/>
      <c r="B230" s="1856"/>
      <c r="C230" s="1826"/>
      <c r="D230" s="1582"/>
      <c r="E230" s="1857"/>
      <c r="F230" s="1566"/>
      <c r="G230" s="434" t="s">
        <v>1692</v>
      </c>
      <c r="H230" s="1854"/>
      <c r="I230" s="1854"/>
    </row>
    <row r="231" spans="1:9" ht="19.5">
      <c r="A231" s="1581">
        <v>85</v>
      </c>
      <c r="B231" s="1843">
        <v>248</v>
      </c>
      <c r="C231" s="1826"/>
      <c r="D231" s="1582"/>
      <c r="E231" s="1855" t="s">
        <v>424</v>
      </c>
      <c r="F231" s="1581" t="s">
        <v>425</v>
      </c>
      <c r="G231" s="447" t="s">
        <v>170</v>
      </c>
      <c r="H231" s="1836" t="s">
        <v>202</v>
      </c>
      <c r="I231" s="1581" t="s">
        <v>65</v>
      </c>
    </row>
    <row r="232" spans="1:9" ht="19.5">
      <c r="A232" s="1581"/>
      <c r="B232" s="1843"/>
      <c r="C232" s="1826"/>
      <c r="D232" s="1582"/>
      <c r="E232" s="1855"/>
      <c r="F232" s="1581"/>
      <c r="G232" s="447" t="s">
        <v>170</v>
      </c>
      <c r="H232" s="1836"/>
      <c r="I232" s="1581"/>
    </row>
    <row r="233" spans="1:9" ht="19.5">
      <c r="A233" s="1581"/>
      <c r="B233" s="1843"/>
      <c r="C233" s="1826"/>
      <c r="D233" s="1582"/>
      <c r="E233" s="1855"/>
      <c r="F233" s="1581"/>
      <c r="G233" s="430" t="s">
        <v>56</v>
      </c>
      <c r="H233" s="1836"/>
      <c r="I233" s="1581"/>
    </row>
    <row r="234" spans="1:9" ht="19.5">
      <c r="A234" s="1581">
        <v>86</v>
      </c>
      <c r="B234" s="1843">
        <v>252</v>
      </c>
      <c r="C234" s="1826"/>
      <c r="D234" s="1582"/>
      <c r="E234" s="1855" t="s">
        <v>434</v>
      </c>
      <c r="F234" s="1581"/>
      <c r="G234" s="447" t="s">
        <v>299</v>
      </c>
      <c r="H234" s="1581" t="s">
        <v>202</v>
      </c>
      <c r="I234" s="1581" t="s">
        <v>65</v>
      </c>
    </row>
    <row r="235" spans="1:9" ht="19.5">
      <c r="A235" s="1581"/>
      <c r="B235" s="1843"/>
      <c r="C235" s="1826"/>
      <c r="D235" s="1582"/>
      <c r="E235" s="1855"/>
      <c r="F235" s="1581"/>
      <c r="G235" s="447" t="s">
        <v>170</v>
      </c>
      <c r="H235" s="1581"/>
      <c r="I235" s="1581"/>
    </row>
    <row r="236" spans="1:9" ht="19.5">
      <c r="A236" s="1581">
        <v>87</v>
      </c>
      <c r="B236" s="1844">
        <v>266</v>
      </c>
      <c r="C236" s="1826"/>
      <c r="D236" s="1582"/>
      <c r="E236" s="1851" t="s">
        <v>440</v>
      </c>
      <c r="F236" s="1581" t="s">
        <v>441</v>
      </c>
      <c r="G236" s="447" t="s">
        <v>299</v>
      </c>
      <c r="H236" s="1581" t="s">
        <v>202</v>
      </c>
      <c r="I236" s="1852" t="s">
        <v>445</v>
      </c>
    </row>
    <row r="237" spans="1:9" ht="19.5">
      <c r="A237" s="1581"/>
      <c r="B237" s="1844"/>
      <c r="C237" s="1826"/>
      <c r="D237" s="1582"/>
      <c r="E237" s="1851"/>
      <c r="F237" s="1581"/>
      <c r="G237" s="449" t="s">
        <v>450</v>
      </c>
      <c r="H237" s="1581"/>
      <c r="I237" s="1852"/>
    </row>
    <row r="238" spans="1:9" ht="19.5">
      <c r="A238" s="1581"/>
      <c r="B238" s="1844"/>
      <c r="C238" s="1826"/>
      <c r="D238" s="1582"/>
      <c r="E238" s="1851"/>
      <c r="F238" s="1581"/>
      <c r="G238" s="430" t="s">
        <v>56</v>
      </c>
      <c r="H238" s="1581"/>
      <c r="I238" s="1852"/>
    </row>
    <row r="239" spans="1:9" ht="19.5">
      <c r="A239" s="1581">
        <v>88</v>
      </c>
      <c r="B239" s="1844">
        <v>287</v>
      </c>
      <c r="C239" s="1826"/>
      <c r="D239" s="1582"/>
      <c r="E239" s="1858" t="s">
        <v>451</v>
      </c>
      <c r="F239" s="1581" t="s">
        <v>425</v>
      </c>
      <c r="G239" s="447" t="s">
        <v>170</v>
      </c>
      <c r="H239" s="1581" t="s">
        <v>202</v>
      </c>
      <c r="I239" s="1581" t="s">
        <v>65</v>
      </c>
    </row>
    <row r="240" spans="1:9" ht="19.5">
      <c r="A240" s="1581"/>
      <c r="B240" s="1844"/>
      <c r="C240" s="1826"/>
      <c r="D240" s="1582"/>
      <c r="E240" s="1858"/>
      <c r="F240" s="1581"/>
      <c r="G240" s="447" t="s">
        <v>170</v>
      </c>
      <c r="H240" s="1581"/>
      <c r="I240" s="1581"/>
    </row>
    <row r="241" spans="1:9" ht="19.5">
      <c r="A241" s="1581"/>
      <c r="B241" s="1844"/>
      <c r="C241" s="1826"/>
      <c r="D241" s="1582"/>
      <c r="E241" s="1858"/>
      <c r="F241" s="1581"/>
      <c r="G241" s="430" t="s">
        <v>56</v>
      </c>
      <c r="H241" s="1581"/>
      <c r="I241" s="1581"/>
    </row>
    <row r="242" spans="1:9" ht="19.5">
      <c r="A242" s="1581">
        <v>89</v>
      </c>
      <c r="B242" s="1844">
        <v>294</v>
      </c>
      <c r="C242" s="1826"/>
      <c r="D242" s="1582"/>
      <c r="E242" s="1858" t="s">
        <v>457</v>
      </c>
      <c r="F242" s="1581" t="s">
        <v>441</v>
      </c>
      <c r="G242" s="447" t="s">
        <v>299</v>
      </c>
      <c r="H242" s="1581" t="s">
        <v>202</v>
      </c>
      <c r="I242" s="1581" t="s">
        <v>65</v>
      </c>
    </row>
    <row r="243" spans="1:9" ht="19.5">
      <c r="A243" s="1581"/>
      <c r="B243" s="1844"/>
      <c r="C243" s="1826"/>
      <c r="D243" s="1582"/>
      <c r="E243" s="1858"/>
      <c r="F243" s="1581"/>
      <c r="G243" s="447" t="s">
        <v>299</v>
      </c>
      <c r="H243" s="1581"/>
      <c r="I243" s="1581"/>
    </row>
    <row r="244" spans="1:9" ht="19.5">
      <c r="A244" s="1581">
        <v>90</v>
      </c>
      <c r="B244" s="1844">
        <v>295</v>
      </c>
      <c r="C244" s="1826"/>
      <c r="D244" s="1582"/>
      <c r="E244" s="1858" t="s">
        <v>462</v>
      </c>
      <c r="F244" s="1581" t="s">
        <v>425</v>
      </c>
      <c r="G244" s="447" t="s">
        <v>299</v>
      </c>
      <c r="H244" s="1581" t="s">
        <v>202</v>
      </c>
      <c r="I244" s="1581" t="s">
        <v>65</v>
      </c>
    </row>
    <row r="245" spans="1:9" ht="19.5">
      <c r="A245" s="1581"/>
      <c r="B245" s="1844"/>
      <c r="C245" s="1826"/>
      <c r="D245" s="1582"/>
      <c r="E245" s="1858"/>
      <c r="F245" s="1581"/>
      <c r="G245" s="447" t="s">
        <v>170</v>
      </c>
      <c r="H245" s="1581"/>
      <c r="I245" s="1581"/>
    </row>
    <row r="246" spans="1:9" ht="19.5">
      <c r="A246" s="1581"/>
      <c r="B246" s="1844"/>
      <c r="C246" s="1826"/>
      <c r="D246" s="1582"/>
      <c r="E246" s="1858"/>
      <c r="F246" s="1581"/>
      <c r="G246" s="430" t="s">
        <v>56</v>
      </c>
      <c r="H246" s="1581"/>
      <c r="I246" s="1581"/>
    </row>
    <row r="247" spans="1:9" ht="19.5">
      <c r="A247" s="1581">
        <v>91</v>
      </c>
      <c r="B247" s="1844">
        <v>340</v>
      </c>
      <c r="C247" s="1826"/>
      <c r="D247" s="1582"/>
      <c r="E247" s="1853" t="s">
        <v>467</v>
      </c>
      <c r="F247" s="1581" t="s">
        <v>468</v>
      </c>
      <c r="G247" s="447" t="s">
        <v>299</v>
      </c>
      <c r="H247" s="1581" t="s">
        <v>375</v>
      </c>
      <c r="I247" s="1581" t="s">
        <v>65</v>
      </c>
    </row>
    <row r="248" spans="1:9" ht="19.5">
      <c r="A248" s="1581"/>
      <c r="B248" s="1844"/>
      <c r="C248" s="1826"/>
      <c r="D248" s="1582"/>
      <c r="E248" s="1853"/>
      <c r="F248" s="1581"/>
      <c r="G248" s="447" t="s">
        <v>170</v>
      </c>
      <c r="H248" s="1581"/>
      <c r="I248" s="1581"/>
    </row>
    <row r="249" spans="1:9" ht="19.5">
      <c r="A249" s="1581"/>
      <c r="B249" s="1844"/>
      <c r="C249" s="1826"/>
      <c r="D249" s="1582"/>
      <c r="E249" s="1853"/>
      <c r="F249" s="1581"/>
      <c r="G249" s="430" t="s">
        <v>56</v>
      </c>
      <c r="H249" s="1581"/>
      <c r="I249" s="1581"/>
    </row>
    <row r="250" spans="1:9" ht="19.5">
      <c r="A250" s="1581">
        <v>92</v>
      </c>
      <c r="B250" s="1844">
        <v>369</v>
      </c>
      <c r="C250" s="1826"/>
      <c r="D250" s="1582"/>
      <c r="E250" s="1850" t="s">
        <v>474</v>
      </c>
      <c r="F250" s="1581" t="s">
        <v>475</v>
      </c>
      <c r="G250" s="447" t="s">
        <v>299</v>
      </c>
      <c r="H250" s="1581" t="s">
        <v>375</v>
      </c>
      <c r="I250" s="1581" t="s">
        <v>65</v>
      </c>
    </row>
    <row r="251" spans="1:9" ht="19.5">
      <c r="A251" s="1581"/>
      <c r="B251" s="1844"/>
      <c r="C251" s="1826"/>
      <c r="D251" s="1582"/>
      <c r="E251" s="1850"/>
      <c r="F251" s="1581"/>
      <c r="G251" s="447" t="s">
        <v>170</v>
      </c>
      <c r="H251" s="1581"/>
      <c r="I251" s="1581"/>
    </row>
    <row r="252" spans="1:9" ht="19.5">
      <c r="A252" s="1581">
        <v>93</v>
      </c>
      <c r="B252" s="1844">
        <v>375</v>
      </c>
      <c r="C252" s="1826"/>
      <c r="D252" s="1582"/>
      <c r="E252" s="1850" t="s">
        <v>485</v>
      </c>
      <c r="F252" s="1581" t="s">
        <v>480</v>
      </c>
      <c r="G252" s="447" t="s">
        <v>299</v>
      </c>
      <c r="H252" s="1581" t="s">
        <v>375</v>
      </c>
      <c r="I252" s="1581" t="s">
        <v>484</v>
      </c>
    </row>
    <row r="253" spans="1:9" ht="19.5">
      <c r="A253" s="1581"/>
      <c r="B253" s="1844"/>
      <c r="C253" s="1826"/>
      <c r="D253" s="1582"/>
      <c r="E253" s="1850"/>
      <c r="F253" s="1581"/>
      <c r="G253" s="447" t="s">
        <v>170</v>
      </c>
      <c r="H253" s="1581"/>
      <c r="I253" s="1581"/>
    </row>
    <row r="254" spans="1:9" ht="19.5">
      <c r="A254" s="1581">
        <v>94</v>
      </c>
      <c r="B254" s="1844">
        <v>379</v>
      </c>
      <c r="C254" s="1826"/>
      <c r="D254" s="1582"/>
      <c r="E254" s="1850" t="s">
        <v>487</v>
      </c>
      <c r="F254" s="1581"/>
      <c r="G254" s="447" t="s">
        <v>170</v>
      </c>
      <c r="H254" s="1581" t="s">
        <v>985</v>
      </c>
      <c r="I254" s="1581" t="s">
        <v>65</v>
      </c>
    </row>
    <row r="255" spans="1:9" ht="19.5">
      <c r="A255" s="1581"/>
      <c r="B255" s="1844"/>
      <c r="C255" s="1826"/>
      <c r="D255" s="1582"/>
      <c r="E255" s="1850"/>
      <c r="F255" s="1581"/>
      <c r="G255" s="447" t="s">
        <v>170</v>
      </c>
      <c r="H255" s="1581"/>
      <c r="I255" s="1581"/>
    </row>
    <row r="256" spans="1:9" ht="19.5">
      <c r="A256" s="1581"/>
      <c r="B256" s="1844"/>
      <c r="C256" s="1826"/>
      <c r="D256" s="1582"/>
      <c r="E256" s="1850"/>
      <c r="F256" s="1581"/>
      <c r="G256" s="430" t="s">
        <v>56</v>
      </c>
      <c r="H256" s="1581"/>
      <c r="I256" s="1581"/>
    </row>
    <row r="257" spans="1:9" ht="19.5">
      <c r="A257" s="1581">
        <v>95</v>
      </c>
      <c r="B257" s="1844">
        <v>398</v>
      </c>
      <c r="C257" s="1826"/>
      <c r="D257" s="1582"/>
      <c r="E257" s="1850" t="s">
        <v>492</v>
      </c>
      <c r="F257" s="1581" t="s">
        <v>425</v>
      </c>
      <c r="G257" s="447" t="s">
        <v>299</v>
      </c>
      <c r="H257" s="1581" t="s">
        <v>202</v>
      </c>
      <c r="I257" s="1581" t="s">
        <v>65</v>
      </c>
    </row>
    <row r="258" spans="1:9" ht="19.5">
      <c r="A258" s="1581"/>
      <c r="B258" s="1844"/>
      <c r="C258" s="1826"/>
      <c r="D258" s="1582"/>
      <c r="E258" s="1850"/>
      <c r="F258" s="1581"/>
      <c r="G258" s="447" t="s">
        <v>170</v>
      </c>
      <c r="H258" s="1581"/>
      <c r="I258" s="1581"/>
    </row>
    <row r="259" spans="1:9" ht="19.5">
      <c r="A259" s="1581">
        <v>96</v>
      </c>
      <c r="B259" s="1844">
        <v>410</v>
      </c>
      <c r="C259" s="1826"/>
      <c r="D259" s="1582"/>
      <c r="E259" s="1850" t="s">
        <v>497</v>
      </c>
      <c r="F259" s="1581" t="s">
        <v>480</v>
      </c>
      <c r="G259" s="447" t="s">
        <v>170</v>
      </c>
      <c r="H259" s="1581" t="s">
        <v>980</v>
      </c>
      <c r="I259" s="1470" t="s">
        <v>11545</v>
      </c>
    </row>
    <row r="260" spans="1:9" ht="19.5">
      <c r="A260" s="1581"/>
      <c r="B260" s="1844"/>
      <c r="C260" s="1826"/>
      <c r="D260" s="1582"/>
      <c r="E260" s="1850"/>
      <c r="F260" s="1581"/>
      <c r="G260" s="447" t="s">
        <v>170</v>
      </c>
      <c r="H260" s="1581"/>
      <c r="I260" s="1470"/>
    </row>
    <row r="261" spans="1:9" ht="19.5">
      <c r="A261" s="1581"/>
      <c r="B261" s="1844"/>
      <c r="C261" s="1826"/>
      <c r="D261" s="1582"/>
      <c r="E261" s="1850"/>
      <c r="F261" s="1581"/>
      <c r="G261" s="430" t="s">
        <v>56</v>
      </c>
      <c r="H261" s="1581"/>
      <c r="I261" s="1470"/>
    </row>
    <row r="262" spans="1:9" ht="19.5">
      <c r="A262" s="1581">
        <v>97</v>
      </c>
      <c r="B262" s="1844">
        <v>411</v>
      </c>
      <c r="C262" s="1826"/>
      <c r="D262" s="1582"/>
      <c r="E262" s="1850" t="s">
        <v>506</v>
      </c>
      <c r="F262" s="1581" t="s">
        <v>441</v>
      </c>
      <c r="G262" s="447" t="s">
        <v>299</v>
      </c>
      <c r="H262" s="1581" t="s">
        <v>202</v>
      </c>
      <c r="I262" s="1581" t="s">
        <v>65</v>
      </c>
    </row>
    <row r="263" spans="1:9" ht="19.5">
      <c r="A263" s="1581"/>
      <c r="B263" s="1844"/>
      <c r="C263" s="1826"/>
      <c r="D263" s="1582"/>
      <c r="E263" s="1850"/>
      <c r="F263" s="1581"/>
      <c r="G263" s="447" t="s">
        <v>170</v>
      </c>
      <c r="H263" s="1581"/>
      <c r="I263" s="1581"/>
    </row>
    <row r="264" spans="1:9" ht="19.5">
      <c r="A264" s="1581">
        <v>98</v>
      </c>
      <c r="B264" s="1844">
        <v>414</v>
      </c>
      <c r="C264" s="1826"/>
      <c r="D264" s="1582"/>
      <c r="E264" s="1850" t="s">
        <v>513</v>
      </c>
      <c r="F264" s="1581" t="s">
        <v>475</v>
      </c>
      <c r="G264" s="447" t="s">
        <v>450</v>
      </c>
      <c r="H264" s="1581" t="s">
        <v>202</v>
      </c>
      <c r="I264" s="1581" t="s">
        <v>65</v>
      </c>
    </row>
    <row r="265" spans="1:9" ht="19.5">
      <c r="A265" s="1581"/>
      <c r="B265" s="1844"/>
      <c r="C265" s="1826"/>
      <c r="D265" s="1582"/>
      <c r="E265" s="1850"/>
      <c r="F265" s="1581"/>
      <c r="G265" s="447" t="s">
        <v>450</v>
      </c>
      <c r="H265" s="1581"/>
      <c r="I265" s="1581"/>
    </row>
    <row r="266" spans="1:9" ht="19.5">
      <c r="A266" s="1581">
        <v>99</v>
      </c>
      <c r="B266" s="1844">
        <v>418</v>
      </c>
      <c r="C266" s="1826"/>
      <c r="D266" s="1582"/>
      <c r="E266" s="1846" t="s">
        <v>522</v>
      </c>
      <c r="F266" s="1581" t="s">
        <v>468</v>
      </c>
      <c r="G266" s="447" t="s">
        <v>299</v>
      </c>
      <c r="H266" s="1581" t="s">
        <v>202</v>
      </c>
      <c r="I266" s="1581" t="s">
        <v>65</v>
      </c>
    </row>
    <row r="267" spans="1:9" ht="19.5">
      <c r="A267" s="1581"/>
      <c r="B267" s="1844"/>
      <c r="C267" s="1826"/>
      <c r="D267" s="1582"/>
      <c r="E267" s="1846"/>
      <c r="F267" s="1581"/>
      <c r="G267" s="447" t="s">
        <v>170</v>
      </c>
      <c r="H267" s="1581"/>
      <c r="I267" s="1581"/>
    </row>
    <row r="268" spans="1:9" ht="19.5">
      <c r="A268" s="1581">
        <v>100</v>
      </c>
      <c r="B268" s="1844">
        <v>419</v>
      </c>
      <c r="C268" s="1826"/>
      <c r="D268" s="1582"/>
      <c r="E268" s="1846" t="s">
        <v>529</v>
      </c>
      <c r="F268" s="1581" t="s">
        <v>441</v>
      </c>
      <c r="G268" s="447" t="s">
        <v>299</v>
      </c>
      <c r="H268" s="1581" t="s">
        <v>202</v>
      </c>
      <c r="I268" s="1581" t="s">
        <v>65</v>
      </c>
    </row>
    <row r="269" spans="1:9" ht="19.5">
      <c r="A269" s="1581"/>
      <c r="B269" s="1844"/>
      <c r="C269" s="1826"/>
      <c r="D269" s="1582"/>
      <c r="E269" s="1846"/>
      <c r="F269" s="1581"/>
      <c r="G269" s="447" t="s">
        <v>170</v>
      </c>
      <c r="H269" s="1581"/>
      <c r="I269" s="1581"/>
    </row>
    <row r="270" spans="1:9" ht="19.5">
      <c r="A270" s="1581">
        <v>101</v>
      </c>
      <c r="B270" s="1844">
        <v>421</v>
      </c>
      <c r="C270" s="1826"/>
      <c r="D270" s="1582"/>
      <c r="E270" s="1846" t="s">
        <v>536</v>
      </c>
      <c r="F270" s="1581" t="s">
        <v>425</v>
      </c>
      <c r="G270" s="447" t="s">
        <v>299</v>
      </c>
      <c r="H270" s="1581" t="s">
        <v>202</v>
      </c>
      <c r="I270" s="1581" t="s">
        <v>65</v>
      </c>
    </row>
    <row r="271" spans="1:9" ht="19.5">
      <c r="A271" s="1581"/>
      <c r="B271" s="1844"/>
      <c r="C271" s="1826"/>
      <c r="D271" s="1582"/>
      <c r="E271" s="1846"/>
      <c r="F271" s="1581"/>
      <c r="G271" s="447" t="s">
        <v>170</v>
      </c>
      <c r="H271" s="1581"/>
      <c r="I271" s="1581"/>
    </row>
    <row r="272" spans="1:9" ht="19.5">
      <c r="A272" s="1581">
        <v>102</v>
      </c>
      <c r="B272" s="1844">
        <v>424</v>
      </c>
      <c r="C272" s="1826"/>
      <c r="D272" s="1582"/>
      <c r="E272" s="1846" t="s">
        <v>543</v>
      </c>
      <c r="F272" s="1581"/>
      <c r="G272" s="447" t="s">
        <v>299</v>
      </c>
      <c r="H272" s="1581" t="s">
        <v>202</v>
      </c>
      <c r="I272" s="1581" t="s">
        <v>65</v>
      </c>
    </row>
    <row r="273" spans="1:9" ht="19.5">
      <c r="A273" s="1581"/>
      <c r="B273" s="1844"/>
      <c r="C273" s="1826"/>
      <c r="D273" s="1582"/>
      <c r="E273" s="1846"/>
      <c r="F273" s="1581"/>
      <c r="G273" s="447" t="s">
        <v>170</v>
      </c>
      <c r="H273" s="1581"/>
      <c r="I273" s="1581"/>
    </row>
    <row r="274" spans="1:9" ht="19.5">
      <c r="A274" s="1581">
        <v>103</v>
      </c>
      <c r="B274" s="1844">
        <v>426</v>
      </c>
      <c r="C274" s="1826"/>
      <c r="D274" s="1582"/>
      <c r="E274" s="1846" t="s">
        <v>550</v>
      </c>
      <c r="F274" s="1581" t="s">
        <v>441</v>
      </c>
      <c r="G274" s="447" t="s">
        <v>299</v>
      </c>
      <c r="H274" s="1581" t="s">
        <v>202</v>
      </c>
      <c r="I274" s="1581" t="s">
        <v>65</v>
      </c>
    </row>
    <row r="275" spans="1:9" ht="19.5">
      <c r="A275" s="1581"/>
      <c r="B275" s="1844"/>
      <c r="C275" s="1826"/>
      <c r="D275" s="1582"/>
      <c r="E275" s="1846"/>
      <c r="F275" s="1581"/>
      <c r="G275" s="447" t="s">
        <v>170</v>
      </c>
      <c r="H275" s="1581"/>
      <c r="I275" s="1581"/>
    </row>
    <row r="276" spans="1:9" ht="19.5">
      <c r="A276" s="1581">
        <v>104</v>
      </c>
      <c r="B276" s="1844">
        <v>431</v>
      </c>
      <c r="C276" s="1826"/>
      <c r="D276" s="1582"/>
      <c r="E276" s="1846" t="s">
        <v>557</v>
      </c>
      <c r="F276" s="1581" t="s">
        <v>475</v>
      </c>
      <c r="G276" s="447" t="s">
        <v>299</v>
      </c>
      <c r="H276" s="1581" t="s">
        <v>202</v>
      </c>
      <c r="I276" s="1581" t="s">
        <v>65</v>
      </c>
    </row>
    <row r="277" spans="1:9" ht="19.5">
      <c r="A277" s="1581"/>
      <c r="B277" s="1844"/>
      <c r="C277" s="1826"/>
      <c r="D277" s="1582"/>
      <c r="E277" s="1846"/>
      <c r="F277" s="1581"/>
      <c r="G277" s="447" t="s">
        <v>170</v>
      </c>
      <c r="H277" s="1581"/>
      <c r="I277" s="1581"/>
    </row>
    <row r="278" spans="1:9" ht="19.5">
      <c r="A278" s="1581">
        <v>105</v>
      </c>
      <c r="B278" s="1844">
        <v>438</v>
      </c>
      <c r="C278" s="1826"/>
      <c r="D278" s="1582"/>
      <c r="E278" s="1847" t="s">
        <v>564</v>
      </c>
      <c r="F278" s="1581" t="s">
        <v>480</v>
      </c>
      <c r="G278" s="447" t="s">
        <v>170</v>
      </c>
      <c r="H278" s="1581" t="s">
        <v>202</v>
      </c>
      <c r="I278" s="1581" t="s">
        <v>65</v>
      </c>
    </row>
    <row r="279" spans="1:9" ht="19.5">
      <c r="A279" s="1581"/>
      <c r="B279" s="1844"/>
      <c r="C279" s="1826"/>
      <c r="D279" s="1582"/>
      <c r="E279" s="1847"/>
      <c r="F279" s="1581"/>
      <c r="G279" s="447" t="s">
        <v>170</v>
      </c>
      <c r="H279" s="1581"/>
      <c r="I279" s="1581"/>
    </row>
    <row r="280" spans="1:9" ht="19.5">
      <c r="A280" s="1581">
        <v>106</v>
      </c>
      <c r="B280" s="1844">
        <v>446</v>
      </c>
      <c r="C280" s="1826"/>
      <c r="D280" s="1582"/>
      <c r="E280" s="1846" t="s">
        <v>573</v>
      </c>
      <c r="F280" s="1581" t="s">
        <v>475</v>
      </c>
      <c r="G280" s="447" t="s">
        <v>299</v>
      </c>
      <c r="H280" s="1581" t="s">
        <v>202</v>
      </c>
      <c r="I280" s="1581" t="s">
        <v>65</v>
      </c>
    </row>
    <row r="281" spans="1:9" ht="19.5">
      <c r="A281" s="1581"/>
      <c r="B281" s="1844"/>
      <c r="C281" s="1826"/>
      <c r="D281" s="1582"/>
      <c r="E281" s="1846"/>
      <c r="F281" s="1581"/>
      <c r="G281" s="447" t="s">
        <v>170</v>
      </c>
      <c r="H281" s="1581"/>
      <c r="I281" s="1581"/>
    </row>
    <row r="282" spans="1:9" ht="19.5">
      <c r="A282" s="1581">
        <v>107</v>
      </c>
      <c r="B282" s="1844">
        <v>447</v>
      </c>
      <c r="C282" s="1826"/>
      <c r="D282" s="1582"/>
      <c r="E282" s="1846" t="s">
        <v>580</v>
      </c>
      <c r="F282" s="1581" t="s">
        <v>441</v>
      </c>
      <c r="G282" s="447" t="s">
        <v>299</v>
      </c>
      <c r="H282" s="1581" t="s">
        <v>202</v>
      </c>
      <c r="I282" s="1581" t="s">
        <v>65</v>
      </c>
    </row>
    <row r="283" spans="1:9" ht="19.5">
      <c r="A283" s="1581"/>
      <c r="B283" s="1844"/>
      <c r="C283" s="1826"/>
      <c r="D283" s="1582"/>
      <c r="E283" s="1846"/>
      <c r="F283" s="1581"/>
      <c r="G283" s="447" t="s">
        <v>170</v>
      </c>
      <c r="H283" s="1581"/>
      <c r="I283" s="1581"/>
    </row>
    <row r="284" spans="1:9" ht="19.5">
      <c r="A284" s="1581">
        <v>108</v>
      </c>
      <c r="B284" s="1844">
        <v>450</v>
      </c>
      <c r="C284" s="1826"/>
      <c r="D284" s="1582"/>
      <c r="E284" s="1846" t="s">
        <v>587</v>
      </c>
      <c r="F284" s="1581" t="s">
        <v>468</v>
      </c>
      <c r="G284" s="447" t="s">
        <v>299</v>
      </c>
      <c r="H284" s="1581" t="s">
        <v>202</v>
      </c>
      <c r="I284" s="1581" t="s">
        <v>65</v>
      </c>
    </row>
    <row r="285" spans="1:9" ht="19.5">
      <c r="A285" s="1581"/>
      <c r="B285" s="1844"/>
      <c r="C285" s="1826"/>
      <c r="D285" s="1582"/>
      <c r="E285" s="1846"/>
      <c r="F285" s="1581"/>
      <c r="G285" s="447" t="s">
        <v>170</v>
      </c>
      <c r="H285" s="1581"/>
      <c r="I285" s="1581"/>
    </row>
    <row r="286" spans="1:9" ht="19.5">
      <c r="A286" s="1581">
        <v>109</v>
      </c>
      <c r="B286" s="1844">
        <v>453</v>
      </c>
      <c r="C286" s="1826"/>
      <c r="D286" s="1582"/>
      <c r="E286" s="1846" t="s">
        <v>593</v>
      </c>
      <c r="F286" s="1581" t="s">
        <v>475</v>
      </c>
      <c r="G286" s="447" t="s">
        <v>299</v>
      </c>
      <c r="H286" s="1581" t="s">
        <v>202</v>
      </c>
      <c r="I286" s="1581" t="s">
        <v>65</v>
      </c>
    </row>
    <row r="287" spans="1:9" ht="19.5">
      <c r="A287" s="1581"/>
      <c r="B287" s="1844"/>
      <c r="C287" s="1826"/>
      <c r="D287" s="1582"/>
      <c r="E287" s="1846"/>
      <c r="F287" s="1581"/>
      <c r="G287" s="447" t="s">
        <v>170</v>
      </c>
      <c r="H287" s="1581"/>
      <c r="I287" s="1581"/>
    </row>
    <row r="288" spans="1:9" ht="19.5">
      <c r="A288" s="1581">
        <v>110</v>
      </c>
      <c r="B288" s="1844">
        <v>454</v>
      </c>
      <c r="C288" s="1826"/>
      <c r="D288" s="1582"/>
      <c r="E288" s="1846" t="s">
        <v>598</v>
      </c>
      <c r="F288" s="1581" t="s">
        <v>468</v>
      </c>
      <c r="G288" s="447" t="s">
        <v>170</v>
      </c>
      <c r="H288" s="1581" t="s">
        <v>202</v>
      </c>
      <c r="I288" s="1581" t="s">
        <v>65</v>
      </c>
    </row>
    <row r="289" spans="1:9" ht="19.5">
      <c r="A289" s="1581"/>
      <c r="B289" s="1844"/>
      <c r="C289" s="1826"/>
      <c r="D289" s="1582"/>
      <c r="E289" s="1846"/>
      <c r="F289" s="1581"/>
      <c r="G289" s="447" t="s">
        <v>170</v>
      </c>
      <c r="H289" s="1581"/>
      <c r="I289" s="1581"/>
    </row>
    <row r="290" spans="1:9" ht="19.5">
      <c r="A290" s="1581"/>
      <c r="B290" s="1844"/>
      <c r="C290" s="1826"/>
      <c r="D290" s="1582"/>
      <c r="E290" s="1846"/>
      <c r="F290" s="1581"/>
      <c r="G290" s="430" t="s">
        <v>56</v>
      </c>
      <c r="H290" s="1581"/>
      <c r="I290" s="1581"/>
    </row>
    <row r="291" spans="1:9" ht="19.5">
      <c r="A291" s="1581">
        <v>111</v>
      </c>
      <c r="B291" s="1844">
        <v>457</v>
      </c>
      <c r="C291" s="1826"/>
      <c r="D291" s="1848" t="s">
        <v>604</v>
      </c>
      <c r="E291" s="1849" t="s">
        <v>605</v>
      </c>
      <c r="F291" s="1581" t="s">
        <v>425</v>
      </c>
      <c r="G291" s="447" t="s">
        <v>299</v>
      </c>
      <c r="H291" s="1581" t="s">
        <v>202</v>
      </c>
      <c r="I291" s="1581" t="s">
        <v>65</v>
      </c>
    </row>
    <row r="292" spans="1:9" ht="19.5">
      <c r="A292" s="1581"/>
      <c r="B292" s="1844"/>
      <c r="C292" s="1826"/>
      <c r="D292" s="1848"/>
      <c r="E292" s="1849"/>
      <c r="F292" s="1581"/>
      <c r="G292" s="447" t="s">
        <v>170</v>
      </c>
      <c r="H292" s="1581"/>
      <c r="I292" s="1581"/>
    </row>
    <row r="293" spans="1:9" ht="19.5">
      <c r="A293" s="1581"/>
      <c r="B293" s="1844"/>
      <c r="C293" s="1826"/>
      <c r="D293" s="1848"/>
      <c r="E293" s="1849"/>
      <c r="F293" s="1581"/>
      <c r="G293" s="430" t="s">
        <v>56</v>
      </c>
      <c r="H293" s="1581"/>
      <c r="I293" s="1581"/>
    </row>
    <row r="294" spans="1:9" ht="19.5">
      <c r="A294" s="1581">
        <v>112</v>
      </c>
      <c r="B294" s="1844">
        <v>458</v>
      </c>
      <c r="C294" s="1826"/>
      <c r="D294" s="1582" t="s">
        <v>423</v>
      </c>
      <c r="E294" s="1846" t="s">
        <v>612</v>
      </c>
      <c r="F294" s="1581" t="s">
        <v>475</v>
      </c>
      <c r="G294" s="447" t="s">
        <v>299</v>
      </c>
      <c r="H294" s="1581" t="s">
        <v>202</v>
      </c>
      <c r="I294" s="1581" t="s">
        <v>65</v>
      </c>
    </row>
    <row r="295" spans="1:9" ht="19.5">
      <c r="A295" s="1581"/>
      <c r="B295" s="1844"/>
      <c r="C295" s="1826"/>
      <c r="D295" s="1582"/>
      <c r="E295" s="1846"/>
      <c r="F295" s="1581"/>
      <c r="G295" s="447" t="s">
        <v>170</v>
      </c>
      <c r="H295" s="1581"/>
      <c r="I295" s="1581"/>
    </row>
    <row r="296" spans="1:9" ht="19.5">
      <c r="A296" s="1581"/>
      <c r="B296" s="1844"/>
      <c r="C296" s="1826"/>
      <c r="D296" s="1582"/>
      <c r="E296" s="1846"/>
      <c r="F296" s="1581"/>
      <c r="G296" s="430" t="s">
        <v>56</v>
      </c>
      <c r="H296" s="1581"/>
      <c r="I296" s="1581"/>
    </row>
    <row r="297" spans="1:9" ht="19.5">
      <c r="A297" s="1581">
        <v>113</v>
      </c>
      <c r="B297" s="1844">
        <v>459</v>
      </c>
      <c r="C297" s="1826"/>
      <c r="D297" s="1582"/>
      <c r="E297" s="1846" t="s">
        <v>617</v>
      </c>
      <c r="F297" s="1581" t="s">
        <v>441</v>
      </c>
      <c r="G297" s="447" t="s">
        <v>299</v>
      </c>
      <c r="H297" s="1581" t="s">
        <v>202</v>
      </c>
      <c r="I297" s="1581" t="s">
        <v>65</v>
      </c>
    </row>
    <row r="298" spans="1:9" ht="19.5">
      <c r="A298" s="1581"/>
      <c r="B298" s="1844"/>
      <c r="C298" s="1826"/>
      <c r="D298" s="1582"/>
      <c r="E298" s="1846"/>
      <c r="F298" s="1581"/>
      <c r="G298" s="447" t="s">
        <v>170</v>
      </c>
      <c r="H298" s="1581"/>
      <c r="I298" s="1581"/>
    </row>
    <row r="299" spans="1:9" ht="19.5">
      <c r="A299" s="1581"/>
      <c r="B299" s="1844"/>
      <c r="C299" s="1826"/>
      <c r="D299" s="1582"/>
      <c r="E299" s="1846"/>
      <c r="F299" s="1581"/>
      <c r="G299" s="430" t="s">
        <v>56</v>
      </c>
      <c r="H299" s="1581"/>
      <c r="I299" s="1581"/>
    </row>
    <row r="300" spans="1:9" ht="19.5">
      <c r="A300" s="1581">
        <v>114</v>
      </c>
      <c r="B300" s="1843">
        <v>460</v>
      </c>
      <c r="C300" s="1826"/>
      <c r="D300" s="1848" t="s">
        <v>604</v>
      </c>
      <c r="E300" s="1849" t="s">
        <v>622</v>
      </c>
      <c r="F300" s="1581" t="s">
        <v>425</v>
      </c>
      <c r="G300" s="447" t="s">
        <v>299</v>
      </c>
      <c r="H300" s="1581" t="s">
        <v>202</v>
      </c>
      <c r="I300" s="1581" t="s">
        <v>65</v>
      </c>
    </row>
    <row r="301" spans="1:9" ht="19.5">
      <c r="A301" s="1581"/>
      <c r="B301" s="1843"/>
      <c r="C301" s="1826"/>
      <c r="D301" s="1848"/>
      <c r="E301" s="1849"/>
      <c r="F301" s="1581"/>
      <c r="G301" s="447" t="s">
        <v>299</v>
      </c>
      <c r="H301" s="1581"/>
      <c r="I301" s="1581"/>
    </row>
    <row r="302" spans="1:9" ht="19.5">
      <c r="A302" s="1470">
        <v>115</v>
      </c>
      <c r="B302" s="1843">
        <v>461</v>
      </c>
      <c r="C302" s="1826"/>
      <c r="D302" s="1582" t="s">
        <v>423</v>
      </c>
      <c r="E302" s="1846" t="s">
        <v>627</v>
      </c>
      <c r="F302" s="1581"/>
      <c r="G302" s="447" t="s">
        <v>450</v>
      </c>
      <c r="H302" s="1581" t="s">
        <v>202</v>
      </c>
      <c r="I302" s="1581" t="s">
        <v>65</v>
      </c>
    </row>
    <row r="303" spans="1:9" ht="19.5">
      <c r="A303" s="1470"/>
      <c r="B303" s="1843"/>
      <c r="C303" s="1826"/>
      <c r="D303" s="1582"/>
      <c r="E303" s="1846"/>
      <c r="F303" s="1581"/>
      <c r="G303" s="447" t="s">
        <v>450</v>
      </c>
      <c r="H303" s="1581"/>
      <c r="I303" s="1581"/>
    </row>
    <row r="304" spans="1:9" ht="19.5">
      <c r="A304" s="1470"/>
      <c r="B304" s="1843"/>
      <c r="C304" s="1826"/>
      <c r="D304" s="1582"/>
      <c r="E304" s="1846"/>
      <c r="F304" s="1581"/>
      <c r="G304" s="430" t="s">
        <v>56</v>
      </c>
      <c r="H304" s="1581"/>
      <c r="I304" s="1581"/>
    </row>
    <row r="305" spans="1:9" ht="19.5">
      <c r="A305" s="1581">
        <v>116</v>
      </c>
      <c r="B305" s="1843">
        <v>462</v>
      </c>
      <c r="C305" s="1826"/>
      <c r="D305" s="1582"/>
      <c r="E305" s="1846" t="s">
        <v>635</v>
      </c>
      <c r="F305" s="1581" t="s">
        <v>480</v>
      </c>
      <c r="G305" s="447" t="s">
        <v>299</v>
      </c>
      <c r="H305" s="1581" t="s">
        <v>202</v>
      </c>
      <c r="I305" s="1581" t="s">
        <v>65</v>
      </c>
    </row>
    <row r="306" spans="1:9" ht="19.5">
      <c r="A306" s="1581"/>
      <c r="B306" s="1843"/>
      <c r="C306" s="1826"/>
      <c r="D306" s="1582"/>
      <c r="E306" s="1846"/>
      <c r="F306" s="1581"/>
      <c r="G306" s="447" t="s">
        <v>170</v>
      </c>
      <c r="H306" s="1581"/>
      <c r="I306" s="1581"/>
    </row>
    <row r="307" spans="1:9" ht="19.5">
      <c r="A307" s="1581">
        <v>117</v>
      </c>
      <c r="B307" s="1843">
        <v>463</v>
      </c>
      <c r="C307" s="1826"/>
      <c r="D307" s="1582"/>
      <c r="E307" s="1847" t="s">
        <v>641</v>
      </c>
      <c r="F307" s="1581" t="s">
        <v>441</v>
      </c>
      <c r="G307" s="447" t="s">
        <v>299</v>
      </c>
      <c r="H307" s="1581" t="s">
        <v>202</v>
      </c>
      <c r="I307" s="1581" t="s">
        <v>1016</v>
      </c>
    </row>
    <row r="308" spans="1:9" ht="19.5">
      <c r="A308" s="1581"/>
      <c r="B308" s="1843"/>
      <c r="C308" s="1826"/>
      <c r="D308" s="1582"/>
      <c r="E308" s="1847"/>
      <c r="F308" s="1581"/>
      <c r="G308" s="447" t="s">
        <v>170</v>
      </c>
      <c r="H308" s="1581"/>
      <c r="I308" s="1581"/>
    </row>
    <row r="309" spans="1:9" ht="19.5">
      <c r="A309" s="1581">
        <v>118</v>
      </c>
      <c r="B309" s="1843">
        <v>465</v>
      </c>
      <c r="C309" s="1826"/>
      <c r="D309" s="1582" t="s">
        <v>648</v>
      </c>
      <c r="E309" s="1846" t="s">
        <v>648</v>
      </c>
      <c r="F309" s="1581" t="s">
        <v>425</v>
      </c>
      <c r="G309" s="447" t="s">
        <v>170</v>
      </c>
      <c r="H309" s="1581" t="s">
        <v>202</v>
      </c>
      <c r="I309" s="1581" t="s">
        <v>65</v>
      </c>
    </row>
    <row r="310" spans="1:9" ht="19.5">
      <c r="A310" s="1581"/>
      <c r="B310" s="1843"/>
      <c r="C310" s="1826"/>
      <c r="D310" s="1582"/>
      <c r="E310" s="1846"/>
      <c r="F310" s="1581"/>
      <c r="G310" s="447" t="s">
        <v>170</v>
      </c>
      <c r="H310" s="1581"/>
      <c r="I310" s="1581"/>
    </row>
    <row r="311" spans="1:9" ht="19.5">
      <c r="A311" s="1581"/>
      <c r="B311" s="1843"/>
      <c r="C311" s="1826"/>
      <c r="D311" s="1582"/>
      <c r="E311" s="1846"/>
      <c r="F311" s="1581"/>
      <c r="G311" s="430" t="s">
        <v>56</v>
      </c>
      <c r="H311" s="1581"/>
      <c r="I311" s="1581"/>
    </row>
    <row r="312" spans="1:9" ht="19.5">
      <c r="A312" s="1581">
        <v>119</v>
      </c>
      <c r="B312" s="1843">
        <v>469</v>
      </c>
      <c r="C312" s="1826"/>
      <c r="D312" s="1848" t="s">
        <v>423</v>
      </c>
      <c r="E312" s="1849" t="s">
        <v>654</v>
      </c>
      <c r="F312" s="1581" t="s">
        <v>468</v>
      </c>
      <c r="G312" s="447" t="s">
        <v>299</v>
      </c>
      <c r="H312" s="1581" t="s">
        <v>980</v>
      </c>
      <c r="I312" s="1581" t="s">
        <v>65</v>
      </c>
    </row>
    <row r="313" spans="1:9" ht="19.5">
      <c r="A313" s="1581"/>
      <c r="B313" s="1843"/>
      <c r="C313" s="1826"/>
      <c r="D313" s="1848"/>
      <c r="E313" s="1849"/>
      <c r="F313" s="1581"/>
      <c r="G313" s="447" t="s">
        <v>170</v>
      </c>
      <c r="H313" s="1581"/>
      <c r="I313" s="1581"/>
    </row>
    <row r="314" spans="1:9" ht="19.5">
      <c r="A314" s="1581"/>
      <c r="B314" s="1843"/>
      <c r="C314" s="1826"/>
      <c r="D314" s="1848"/>
      <c r="E314" s="1849"/>
      <c r="F314" s="1581"/>
      <c r="G314" s="430" t="s">
        <v>50</v>
      </c>
      <c r="H314" s="1581"/>
      <c r="I314" s="1581"/>
    </row>
    <row r="315" spans="1:9" ht="19.5">
      <c r="A315" s="1581">
        <v>120</v>
      </c>
      <c r="B315" s="1844">
        <v>472</v>
      </c>
      <c r="C315" s="1826"/>
      <c r="D315" s="1848"/>
      <c r="E315" s="1846" t="s">
        <v>662</v>
      </c>
      <c r="F315" s="1581" t="s">
        <v>441</v>
      </c>
      <c r="G315" s="447" t="s">
        <v>170</v>
      </c>
      <c r="H315" s="1581" t="s">
        <v>202</v>
      </c>
      <c r="I315" s="1581" t="s">
        <v>65</v>
      </c>
    </row>
    <row r="316" spans="1:9" ht="19.5">
      <c r="A316" s="1581"/>
      <c r="B316" s="1844"/>
      <c r="C316" s="1826"/>
      <c r="D316" s="1848"/>
      <c r="E316" s="1846"/>
      <c r="F316" s="1581"/>
      <c r="G316" s="447" t="s">
        <v>170</v>
      </c>
      <c r="H316" s="1581"/>
      <c r="I316" s="1581"/>
    </row>
    <row r="317" spans="1:9" ht="19.5">
      <c r="A317" s="1581">
        <v>121</v>
      </c>
      <c r="B317" s="1844">
        <v>473</v>
      </c>
      <c r="C317" s="1826"/>
      <c r="D317" s="1848"/>
      <c r="E317" s="1846" t="s">
        <v>667</v>
      </c>
      <c r="F317" s="1581" t="s">
        <v>475</v>
      </c>
      <c r="G317" s="447" t="s">
        <v>450</v>
      </c>
      <c r="H317" s="1581" t="s">
        <v>202</v>
      </c>
      <c r="I317" s="1581" t="s">
        <v>65</v>
      </c>
    </row>
    <row r="318" spans="1:9" ht="19.5">
      <c r="A318" s="1581"/>
      <c r="B318" s="1844"/>
      <c r="C318" s="1826"/>
      <c r="D318" s="1848"/>
      <c r="E318" s="1846"/>
      <c r="F318" s="1581"/>
      <c r="G318" s="447" t="s">
        <v>450</v>
      </c>
      <c r="H318" s="1581"/>
      <c r="I318" s="1581"/>
    </row>
    <row r="319" spans="1:9" ht="19.5">
      <c r="A319" s="1581">
        <v>122</v>
      </c>
      <c r="B319" s="1844">
        <v>478</v>
      </c>
      <c r="C319" s="1826"/>
      <c r="D319" s="1848"/>
      <c r="E319" s="1846" t="s">
        <v>677</v>
      </c>
      <c r="F319" s="1581" t="s">
        <v>480</v>
      </c>
      <c r="G319" s="447" t="s">
        <v>170</v>
      </c>
      <c r="H319" s="1581" t="s">
        <v>202</v>
      </c>
      <c r="I319" s="1581" t="s">
        <v>65</v>
      </c>
    </row>
    <row r="320" spans="1:9" ht="19.5">
      <c r="A320" s="1581"/>
      <c r="B320" s="1844"/>
      <c r="C320" s="1826"/>
      <c r="D320" s="1848"/>
      <c r="E320" s="1846"/>
      <c r="F320" s="1581"/>
      <c r="G320" s="447" t="s">
        <v>170</v>
      </c>
      <c r="H320" s="1581"/>
      <c r="I320" s="1581"/>
    </row>
    <row r="321" spans="1:9" ht="19.5">
      <c r="A321" s="1581">
        <v>123</v>
      </c>
      <c r="B321" s="1844">
        <v>481</v>
      </c>
      <c r="C321" s="1826"/>
      <c r="D321" s="1848"/>
      <c r="E321" s="1846" t="s">
        <v>682</v>
      </c>
      <c r="F321" s="1581" t="s">
        <v>441</v>
      </c>
      <c r="G321" s="447" t="s">
        <v>170</v>
      </c>
      <c r="H321" s="1581" t="s">
        <v>202</v>
      </c>
      <c r="I321" s="1581" t="s">
        <v>65</v>
      </c>
    </row>
    <row r="322" spans="1:9" ht="19.5">
      <c r="A322" s="1581"/>
      <c r="B322" s="1844"/>
      <c r="C322" s="1826"/>
      <c r="D322" s="1848"/>
      <c r="E322" s="1846"/>
      <c r="F322" s="1581"/>
      <c r="G322" s="447" t="s">
        <v>170</v>
      </c>
      <c r="H322" s="1581"/>
      <c r="I322" s="1581"/>
    </row>
    <row r="323" spans="1:9" ht="19.5">
      <c r="A323" s="1581">
        <v>124</v>
      </c>
      <c r="B323" s="1844">
        <v>483</v>
      </c>
      <c r="C323" s="1826"/>
      <c r="D323" s="1848"/>
      <c r="E323" s="1846" t="s">
        <v>687</v>
      </c>
      <c r="F323" s="1581" t="s">
        <v>480</v>
      </c>
      <c r="G323" s="447" t="s">
        <v>170</v>
      </c>
      <c r="H323" s="1581" t="s">
        <v>202</v>
      </c>
      <c r="I323" s="1581" t="s">
        <v>65</v>
      </c>
    </row>
    <row r="324" spans="1:9" ht="19.5">
      <c r="A324" s="1581"/>
      <c r="B324" s="1844"/>
      <c r="C324" s="1826"/>
      <c r="D324" s="1848"/>
      <c r="E324" s="1846"/>
      <c r="F324" s="1581"/>
      <c r="G324" s="447" t="s">
        <v>170</v>
      </c>
      <c r="H324" s="1581"/>
      <c r="I324" s="1581"/>
    </row>
    <row r="325" spans="1:9" ht="19.5">
      <c r="A325" s="1581">
        <v>125</v>
      </c>
      <c r="B325" s="1844">
        <v>485</v>
      </c>
      <c r="C325" s="1826"/>
      <c r="D325" s="1848"/>
      <c r="E325" s="1846" t="s">
        <v>692</v>
      </c>
      <c r="F325" s="1581" t="s">
        <v>425</v>
      </c>
      <c r="G325" s="447" t="s">
        <v>170</v>
      </c>
      <c r="H325" s="1581" t="s">
        <v>202</v>
      </c>
      <c r="I325" s="1581" t="s">
        <v>65</v>
      </c>
    </row>
    <row r="326" spans="1:9" ht="19.5">
      <c r="A326" s="1581"/>
      <c r="B326" s="1844"/>
      <c r="C326" s="1826"/>
      <c r="D326" s="1848"/>
      <c r="E326" s="1846"/>
      <c r="F326" s="1581"/>
      <c r="G326" s="447" t="s">
        <v>170</v>
      </c>
      <c r="H326" s="1581"/>
      <c r="I326" s="1581"/>
    </row>
    <row r="327" spans="1:9" ht="19.5">
      <c r="A327" s="1581">
        <v>126</v>
      </c>
      <c r="B327" s="1844">
        <v>486</v>
      </c>
      <c r="C327" s="1826"/>
      <c r="D327" s="1848"/>
      <c r="E327" s="1846" t="s">
        <v>699</v>
      </c>
      <c r="F327" s="1581" t="s">
        <v>480</v>
      </c>
      <c r="G327" s="447" t="s">
        <v>170</v>
      </c>
      <c r="H327" s="1581" t="s">
        <v>202</v>
      </c>
      <c r="I327" s="1581" t="s">
        <v>65</v>
      </c>
    </row>
    <row r="328" spans="1:9" ht="19.5">
      <c r="A328" s="1581"/>
      <c r="B328" s="1844"/>
      <c r="C328" s="1826"/>
      <c r="D328" s="1848"/>
      <c r="E328" s="1846"/>
      <c r="F328" s="1581"/>
      <c r="G328" s="447" t="s">
        <v>170</v>
      </c>
      <c r="H328" s="1581"/>
      <c r="I328" s="1581"/>
    </row>
    <row r="329" spans="1:9" ht="19.5">
      <c r="A329" s="1581">
        <v>127</v>
      </c>
      <c r="B329" s="1844">
        <v>487</v>
      </c>
      <c r="C329" s="1826"/>
      <c r="D329" s="1848"/>
      <c r="E329" s="1846" t="s">
        <v>704</v>
      </c>
      <c r="F329" s="1581" t="s">
        <v>425</v>
      </c>
      <c r="G329" s="447" t="s">
        <v>170</v>
      </c>
      <c r="H329" s="1581" t="s">
        <v>202</v>
      </c>
      <c r="I329" s="1581" t="s">
        <v>65</v>
      </c>
    </row>
    <row r="330" spans="1:9" ht="19.5">
      <c r="A330" s="1581"/>
      <c r="B330" s="1844"/>
      <c r="C330" s="1826"/>
      <c r="D330" s="1848"/>
      <c r="E330" s="1846"/>
      <c r="F330" s="1581"/>
      <c r="G330" s="447" t="s">
        <v>170</v>
      </c>
      <c r="H330" s="1581"/>
      <c r="I330" s="1581"/>
    </row>
    <row r="331" spans="1:9" ht="19.5">
      <c r="A331" s="1581">
        <v>128</v>
      </c>
      <c r="B331" s="1844">
        <v>489</v>
      </c>
      <c r="C331" s="1826"/>
      <c r="D331" s="1848"/>
      <c r="E331" s="1846" t="s">
        <v>709</v>
      </c>
      <c r="F331" s="1581" t="s">
        <v>441</v>
      </c>
      <c r="G331" s="447" t="s">
        <v>299</v>
      </c>
      <c r="H331" s="1581" t="s">
        <v>202</v>
      </c>
      <c r="I331" s="1581" t="s">
        <v>65</v>
      </c>
    </row>
    <row r="332" spans="1:9" ht="19.5">
      <c r="A332" s="1581"/>
      <c r="B332" s="1844"/>
      <c r="C332" s="1826"/>
      <c r="D332" s="1848"/>
      <c r="E332" s="1846"/>
      <c r="F332" s="1581"/>
      <c r="G332" s="447" t="s">
        <v>170</v>
      </c>
      <c r="H332" s="1581"/>
      <c r="I332" s="1581"/>
    </row>
    <row r="333" spans="1:9" ht="19.5">
      <c r="A333" s="1581">
        <v>129</v>
      </c>
      <c r="B333" s="1844">
        <v>490</v>
      </c>
      <c r="C333" s="1826"/>
      <c r="D333" s="1848"/>
      <c r="E333" s="1846" t="s">
        <v>714</v>
      </c>
      <c r="F333" s="1581" t="s">
        <v>480</v>
      </c>
      <c r="G333" s="447" t="s">
        <v>170</v>
      </c>
      <c r="H333" s="1581" t="s">
        <v>202</v>
      </c>
      <c r="I333" s="1581" t="s">
        <v>65</v>
      </c>
    </row>
    <row r="334" spans="1:9" ht="19.5">
      <c r="A334" s="1581"/>
      <c r="B334" s="1844"/>
      <c r="C334" s="1826"/>
      <c r="D334" s="1848"/>
      <c r="E334" s="1846"/>
      <c r="F334" s="1581"/>
      <c r="G334" s="447" t="s">
        <v>170</v>
      </c>
      <c r="H334" s="1581"/>
      <c r="I334" s="1581"/>
    </row>
    <row r="335" spans="1:9" ht="19.5">
      <c r="A335" s="1581">
        <v>130</v>
      </c>
      <c r="B335" s="1844">
        <v>493</v>
      </c>
      <c r="C335" s="1826"/>
      <c r="D335" s="1848"/>
      <c r="E335" s="1847" t="s">
        <v>719</v>
      </c>
      <c r="F335" s="1581" t="s">
        <v>475</v>
      </c>
      <c r="G335" s="447" t="s">
        <v>299</v>
      </c>
      <c r="H335" s="1581" t="s">
        <v>202</v>
      </c>
      <c r="I335" s="1581" t="s">
        <v>65</v>
      </c>
    </row>
    <row r="336" spans="1:9" ht="19.5">
      <c r="A336" s="1581"/>
      <c r="B336" s="1844"/>
      <c r="C336" s="1826"/>
      <c r="D336" s="1848"/>
      <c r="E336" s="1847"/>
      <c r="F336" s="1581"/>
      <c r="G336" s="447" t="s">
        <v>170</v>
      </c>
      <c r="H336" s="1581"/>
      <c r="I336" s="1581"/>
    </row>
    <row r="337" spans="1:9" ht="19.5">
      <c r="A337" s="1581">
        <v>131</v>
      </c>
      <c r="B337" s="1844">
        <v>496</v>
      </c>
      <c r="C337" s="1826"/>
      <c r="D337" s="1848"/>
      <c r="E337" s="1846" t="s">
        <v>724</v>
      </c>
      <c r="F337" s="1581" t="s">
        <v>468</v>
      </c>
      <c r="G337" s="447" t="s">
        <v>170</v>
      </c>
      <c r="H337" s="1581" t="s">
        <v>202</v>
      </c>
      <c r="I337" s="1581" t="s">
        <v>65</v>
      </c>
    </row>
    <row r="338" spans="1:9" ht="19.5">
      <c r="A338" s="1581"/>
      <c r="B338" s="1844"/>
      <c r="C338" s="1826"/>
      <c r="D338" s="1848"/>
      <c r="E338" s="1846"/>
      <c r="F338" s="1581"/>
      <c r="G338" s="447" t="s">
        <v>170</v>
      </c>
      <c r="H338" s="1581"/>
      <c r="I338" s="1581"/>
    </row>
    <row r="339" spans="1:9" ht="19.5">
      <c r="A339" s="1581">
        <v>132</v>
      </c>
      <c r="B339" s="1844">
        <v>497</v>
      </c>
      <c r="C339" s="1826"/>
      <c r="D339" s="1848"/>
      <c r="E339" s="1846" t="s">
        <v>729</v>
      </c>
      <c r="F339" s="1581" t="s">
        <v>441</v>
      </c>
      <c r="G339" s="447" t="s">
        <v>170</v>
      </c>
      <c r="H339" s="1581" t="s">
        <v>202</v>
      </c>
      <c r="I339" s="1581" t="s">
        <v>65</v>
      </c>
    </row>
    <row r="340" spans="1:9" ht="19.5">
      <c r="A340" s="1581"/>
      <c r="B340" s="1844"/>
      <c r="C340" s="1826"/>
      <c r="D340" s="1848"/>
      <c r="E340" s="1846"/>
      <c r="F340" s="1581"/>
      <c r="G340" s="447" t="s">
        <v>170</v>
      </c>
      <c r="H340" s="1581"/>
      <c r="I340" s="1581"/>
    </row>
    <row r="341" spans="1:9" ht="19.5">
      <c r="A341" s="1581">
        <v>133</v>
      </c>
      <c r="B341" s="1844">
        <v>499</v>
      </c>
      <c r="C341" s="1826"/>
      <c r="D341" s="1848"/>
      <c r="E341" s="1847" t="s">
        <v>735</v>
      </c>
      <c r="F341" s="1581" t="s">
        <v>425</v>
      </c>
      <c r="G341" s="447" t="s">
        <v>299</v>
      </c>
      <c r="H341" s="1581" t="s">
        <v>202</v>
      </c>
      <c r="I341" s="1581" t="s">
        <v>484</v>
      </c>
    </row>
    <row r="342" spans="1:9" ht="19.5">
      <c r="A342" s="1581"/>
      <c r="B342" s="1844"/>
      <c r="C342" s="1826"/>
      <c r="D342" s="1848"/>
      <c r="E342" s="1847"/>
      <c r="F342" s="1581"/>
      <c r="G342" s="447" t="s">
        <v>299</v>
      </c>
      <c r="H342" s="1581"/>
      <c r="I342" s="1581"/>
    </row>
    <row r="343" spans="1:9" ht="19.5">
      <c r="A343" s="1581"/>
      <c r="B343" s="1844"/>
      <c r="C343" s="1826"/>
      <c r="D343" s="1848"/>
      <c r="E343" s="1847"/>
      <c r="F343" s="1581"/>
      <c r="G343" s="430" t="s">
        <v>56</v>
      </c>
      <c r="H343" s="1581"/>
      <c r="I343" s="1581"/>
    </row>
    <row r="344" spans="1:9" ht="19.5">
      <c r="A344" s="1581">
        <v>134</v>
      </c>
      <c r="B344" s="1844">
        <v>500</v>
      </c>
      <c r="C344" s="1826"/>
      <c r="D344" s="1848"/>
      <c r="E344" s="1846" t="s">
        <v>740</v>
      </c>
      <c r="F344" s="1581"/>
      <c r="G344" s="447" t="s">
        <v>170</v>
      </c>
      <c r="H344" s="1581" t="s">
        <v>202</v>
      </c>
      <c r="I344" s="1581" t="s">
        <v>65</v>
      </c>
    </row>
    <row r="345" spans="1:9" ht="19.5">
      <c r="A345" s="1581"/>
      <c r="B345" s="1844"/>
      <c r="C345" s="1826"/>
      <c r="D345" s="1848"/>
      <c r="E345" s="1846"/>
      <c r="F345" s="1581"/>
      <c r="G345" s="447" t="s">
        <v>170</v>
      </c>
      <c r="H345" s="1581"/>
      <c r="I345" s="1581"/>
    </row>
    <row r="346" spans="1:9" ht="19.5">
      <c r="A346" s="1581">
        <v>135</v>
      </c>
      <c r="B346" s="1844">
        <v>501</v>
      </c>
      <c r="C346" s="1826"/>
      <c r="D346" s="1848"/>
      <c r="E346" s="1846" t="s">
        <v>746</v>
      </c>
      <c r="F346" s="1581" t="s">
        <v>441</v>
      </c>
      <c r="G346" s="447" t="s">
        <v>170</v>
      </c>
      <c r="H346" s="1581" t="s">
        <v>202</v>
      </c>
      <c r="I346" s="1581" t="s">
        <v>65</v>
      </c>
    </row>
    <row r="347" spans="1:9" ht="19.5">
      <c r="A347" s="1581"/>
      <c r="B347" s="1844"/>
      <c r="C347" s="1826"/>
      <c r="D347" s="1848"/>
      <c r="E347" s="1846"/>
      <c r="F347" s="1581"/>
      <c r="G347" s="447" t="s">
        <v>170</v>
      </c>
      <c r="H347" s="1581"/>
      <c r="I347" s="1581"/>
    </row>
    <row r="348" spans="1:9" ht="19.5">
      <c r="A348" s="1581">
        <v>136</v>
      </c>
      <c r="B348" s="1844">
        <v>502</v>
      </c>
      <c r="C348" s="1826"/>
      <c r="D348" s="1848"/>
      <c r="E348" s="1846" t="s">
        <v>751</v>
      </c>
      <c r="F348" s="1581"/>
      <c r="G348" s="447" t="s">
        <v>170</v>
      </c>
      <c r="H348" s="1581" t="s">
        <v>202</v>
      </c>
      <c r="I348" s="1581" t="s">
        <v>65</v>
      </c>
    </row>
    <row r="349" spans="1:9" ht="19.5">
      <c r="A349" s="1581"/>
      <c r="B349" s="1844"/>
      <c r="C349" s="1826"/>
      <c r="D349" s="1848"/>
      <c r="E349" s="1846"/>
      <c r="F349" s="1581"/>
      <c r="G349" s="447" t="s">
        <v>170</v>
      </c>
      <c r="H349" s="1581"/>
      <c r="I349" s="1581"/>
    </row>
    <row r="350" spans="1:9" ht="19.5">
      <c r="A350" s="1581">
        <v>137</v>
      </c>
      <c r="B350" s="1844">
        <v>503</v>
      </c>
      <c r="C350" s="1826"/>
      <c r="D350" s="1848"/>
      <c r="E350" s="1846" t="s">
        <v>756</v>
      </c>
      <c r="F350" s="1581" t="s">
        <v>480</v>
      </c>
      <c r="G350" s="447" t="s">
        <v>170</v>
      </c>
      <c r="H350" s="1581" t="s">
        <v>202</v>
      </c>
      <c r="I350" s="1581" t="s">
        <v>65</v>
      </c>
    </row>
    <row r="351" spans="1:9" ht="19.5">
      <c r="A351" s="1581"/>
      <c r="B351" s="1844"/>
      <c r="C351" s="1826"/>
      <c r="D351" s="1848"/>
      <c r="E351" s="1846"/>
      <c r="F351" s="1581"/>
      <c r="G351" s="447" t="s">
        <v>1054</v>
      </c>
      <c r="H351" s="1581"/>
      <c r="I351" s="1581"/>
    </row>
    <row r="352" spans="1:9" ht="19.5">
      <c r="A352" s="1581">
        <v>138</v>
      </c>
      <c r="B352" s="1844">
        <v>506</v>
      </c>
      <c r="C352" s="1826"/>
      <c r="D352" s="1848"/>
      <c r="E352" s="1846" t="s">
        <v>761</v>
      </c>
      <c r="F352" s="1581" t="s">
        <v>468</v>
      </c>
      <c r="G352" s="447" t="s">
        <v>170</v>
      </c>
      <c r="H352" s="1581" t="s">
        <v>202</v>
      </c>
      <c r="I352" s="1581" t="s">
        <v>65</v>
      </c>
    </row>
    <row r="353" spans="1:9" ht="19.5">
      <c r="A353" s="1581"/>
      <c r="B353" s="1844"/>
      <c r="C353" s="1826"/>
      <c r="D353" s="1848"/>
      <c r="E353" s="1846"/>
      <c r="F353" s="1581"/>
      <c r="G353" s="447" t="s">
        <v>1054</v>
      </c>
      <c r="H353" s="1581"/>
      <c r="I353" s="1581"/>
    </row>
    <row r="354" spans="1:9" ht="19.5">
      <c r="A354" s="1581">
        <v>139</v>
      </c>
      <c r="B354" s="1844">
        <v>507</v>
      </c>
      <c r="C354" s="1826"/>
      <c r="D354" s="1848"/>
      <c r="E354" s="1846" t="s">
        <v>766</v>
      </c>
      <c r="F354" s="1581" t="s">
        <v>480</v>
      </c>
      <c r="G354" s="447" t="s">
        <v>170</v>
      </c>
      <c r="H354" s="1581" t="s">
        <v>202</v>
      </c>
      <c r="I354" s="1581" t="s">
        <v>65</v>
      </c>
    </row>
    <row r="355" spans="1:9" ht="19.5">
      <c r="A355" s="1581"/>
      <c r="B355" s="1844"/>
      <c r="C355" s="1826"/>
      <c r="D355" s="1848"/>
      <c r="E355" s="1846"/>
      <c r="F355" s="1581"/>
      <c r="G355" s="447" t="s">
        <v>170</v>
      </c>
      <c r="H355" s="1581"/>
      <c r="I355" s="1581"/>
    </row>
    <row r="356" spans="1:9" ht="19.5">
      <c r="A356" s="1581">
        <v>140</v>
      </c>
      <c r="B356" s="1844">
        <v>508</v>
      </c>
      <c r="C356" s="1826"/>
      <c r="D356" s="1848"/>
      <c r="E356" s="1846" t="s">
        <v>772</v>
      </c>
      <c r="F356" s="1581" t="s">
        <v>441</v>
      </c>
      <c r="G356" s="447" t="s">
        <v>170</v>
      </c>
      <c r="H356" s="1581" t="s">
        <v>202</v>
      </c>
      <c r="I356" s="1581" t="s">
        <v>65</v>
      </c>
    </row>
    <row r="357" spans="1:9" ht="19.5">
      <c r="A357" s="1581"/>
      <c r="B357" s="1844"/>
      <c r="C357" s="1826"/>
      <c r="D357" s="1848"/>
      <c r="E357" s="1846"/>
      <c r="F357" s="1581"/>
      <c r="G357" s="447" t="s">
        <v>1054</v>
      </c>
      <c r="H357" s="1581"/>
      <c r="I357" s="1581"/>
    </row>
    <row r="358" spans="1:9" ht="19.5">
      <c r="A358" s="1581">
        <v>141</v>
      </c>
      <c r="B358" s="1844">
        <v>513</v>
      </c>
      <c r="C358" s="1826"/>
      <c r="D358" s="1848"/>
      <c r="E358" s="1846" t="s">
        <v>777</v>
      </c>
      <c r="F358" s="1581" t="s">
        <v>468</v>
      </c>
      <c r="G358" s="447" t="s">
        <v>299</v>
      </c>
      <c r="H358" s="1581" t="s">
        <v>202</v>
      </c>
      <c r="I358" s="1581" t="s">
        <v>65</v>
      </c>
    </row>
    <row r="359" spans="1:9" ht="19.5">
      <c r="A359" s="1581"/>
      <c r="B359" s="1844"/>
      <c r="C359" s="1826"/>
      <c r="D359" s="1848"/>
      <c r="E359" s="1846"/>
      <c r="F359" s="1581"/>
      <c r="G359" s="447" t="s">
        <v>170</v>
      </c>
      <c r="H359" s="1581"/>
      <c r="I359" s="1581"/>
    </row>
    <row r="360" spans="1:9" ht="19.5">
      <c r="A360" s="447">
        <v>142</v>
      </c>
      <c r="B360" s="448">
        <v>515</v>
      </c>
      <c r="C360" s="1826"/>
      <c r="D360" s="1848"/>
      <c r="E360" s="450" t="s">
        <v>782</v>
      </c>
      <c r="F360" s="1581" t="s">
        <v>475</v>
      </c>
      <c r="G360" s="237" t="s">
        <v>43</v>
      </c>
      <c r="H360" s="237" t="s">
        <v>43</v>
      </c>
      <c r="I360" s="447" t="s">
        <v>788</v>
      </c>
    </row>
    <row r="361" spans="1:9" ht="19.5">
      <c r="A361" s="1581">
        <v>143</v>
      </c>
      <c r="B361" s="1844">
        <v>516</v>
      </c>
      <c r="C361" s="1826"/>
      <c r="D361" s="1848"/>
      <c r="E361" s="1846" t="s">
        <v>789</v>
      </c>
      <c r="F361" s="1581"/>
      <c r="G361" s="447" t="s">
        <v>170</v>
      </c>
      <c r="H361" s="1581" t="s">
        <v>202</v>
      </c>
      <c r="I361" s="1581" t="s">
        <v>65</v>
      </c>
    </row>
    <row r="362" spans="1:9" ht="19.5">
      <c r="A362" s="1581"/>
      <c r="B362" s="1844"/>
      <c r="C362" s="1826"/>
      <c r="D362" s="1848"/>
      <c r="E362" s="1846"/>
      <c r="F362" s="1581"/>
      <c r="G362" s="447" t="s">
        <v>170</v>
      </c>
      <c r="H362" s="1581"/>
      <c r="I362" s="1581"/>
    </row>
    <row r="363" spans="1:9" ht="19.5">
      <c r="A363" s="1581">
        <v>144</v>
      </c>
      <c r="B363" s="1844">
        <v>517</v>
      </c>
      <c r="C363" s="1826"/>
      <c r="D363" s="1848"/>
      <c r="E363" s="1846" t="s">
        <v>794</v>
      </c>
      <c r="F363" s="1581" t="s">
        <v>468</v>
      </c>
      <c r="G363" s="447" t="s">
        <v>170</v>
      </c>
      <c r="H363" s="1581" t="s">
        <v>202</v>
      </c>
      <c r="I363" s="1581" t="s">
        <v>65</v>
      </c>
    </row>
    <row r="364" spans="1:9" ht="19.5">
      <c r="A364" s="1581"/>
      <c r="B364" s="1844"/>
      <c r="C364" s="1826"/>
      <c r="D364" s="1848"/>
      <c r="E364" s="1846"/>
      <c r="F364" s="1581"/>
      <c r="G364" s="447" t="s">
        <v>1054</v>
      </c>
      <c r="H364" s="1581"/>
      <c r="I364" s="1581"/>
    </row>
    <row r="365" spans="1:9" ht="19.5">
      <c r="A365" s="1581">
        <v>145</v>
      </c>
      <c r="B365" s="1844">
        <v>518</v>
      </c>
      <c r="C365" s="1826"/>
      <c r="D365" s="1848"/>
      <c r="E365" s="1846" t="s">
        <v>799</v>
      </c>
      <c r="F365" s="1581"/>
      <c r="G365" s="447" t="s">
        <v>299</v>
      </c>
      <c r="H365" s="1581" t="s">
        <v>202</v>
      </c>
      <c r="I365" s="1581" t="s">
        <v>65</v>
      </c>
    </row>
    <row r="366" spans="1:9" ht="19.5">
      <c r="A366" s="1581"/>
      <c r="B366" s="1844"/>
      <c r="C366" s="1826"/>
      <c r="D366" s="1848"/>
      <c r="E366" s="1846"/>
      <c r="F366" s="1581"/>
      <c r="G366" s="447" t="s">
        <v>170</v>
      </c>
      <c r="H366" s="1581"/>
      <c r="I366" s="1581"/>
    </row>
    <row r="367" spans="1:9" ht="19.5">
      <c r="A367" s="1581">
        <v>146</v>
      </c>
      <c r="B367" s="1844">
        <v>519</v>
      </c>
      <c r="C367" s="1826"/>
      <c r="D367" s="1848"/>
      <c r="E367" s="1847" t="s">
        <v>804</v>
      </c>
      <c r="F367" s="1581" t="s">
        <v>480</v>
      </c>
      <c r="G367" s="447" t="s">
        <v>299</v>
      </c>
      <c r="H367" s="1581" t="s">
        <v>202</v>
      </c>
      <c r="I367" s="1581" t="s">
        <v>65</v>
      </c>
    </row>
    <row r="368" spans="1:9" ht="19.5">
      <c r="A368" s="1581"/>
      <c r="B368" s="1844"/>
      <c r="C368" s="1826"/>
      <c r="D368" s="1848"/>
      <c r="E368" s="1847"/>
      <c r="F368" s="1581"/>
      <c r="G368" s="447" t="s">
        <v>170</v>
      </c>
      <c r="H368" s="1581"/>
      <c r="I368" s="1581"/>
    </row>
    <row r="369" spans="1:9" ht="19.5">
      <c r="A369" s="1581">
        <v>147</v>
      </c>
      <c r="B369" s="1844">
        <v>522</v>
      </c>
      <c r="C369" s="1826"/>
      <c r="D369" s="1848"/>
      <c r="E369" s="1846" t="s">
        <v>810</v>
      </c>
      <c r="F369" s="1581" t="s">
        <v>468</v>
      </c>
      <c r="G369" s="447" t="s">
        <v>170</v>
      </c>
      <c r="H369" s="1581" t="s">
        <v>202</v>
      </c>
      <c r="I369" s="1581" t="s">
        <v>65</v>
      </c>
    </row>
    <row r="370" spans="1:9" ht="19.5">
      <c r="A370" s="1581"/>
      <c r="B370" s="1844"/>
      <c r="C370" s="1826"/>
      <c r="D370" s="1848"/>
      <c r="E370" s="1846"/>
      <c r="F370" s="1581"/>
      <c r="G370" s="447" t="s">
        <v>170</v>
      </c>
      <c r="H370" s="1581"/>
      <c r="I370" s="1581"/>
    </row>
    <row r="371" spans="1:9" ht="19.5">
      <c r="A371" s="1581">
        <v>148</v>
      </c>
      <c r="B371" s="1844">
        <v>523</v>
      </c>
      <c r="C371" s="1826"/>
      <c r="D371" s="1848"/>
      <c r="E371" s="1846" t="s">
        <v>817</v>
      </c>
      <c r="F371" s="1581"/>
      <c r="G371" s="447" t="s">
        <v>170</v>
      </c>
      <c r="H371" s="1581" t="s">
        <v>202</v>
      </c>
      <c r="I371" s="1581" t="s">
        <v>65</v>
      </c>
    </row>
    <row r="372" spans="1:9" ht="19.5">
      <c r="A372" s="1581"/>
      <c r="B372" s="1844"/>
      <c r="C372" s="1826"/>
      <c r="D372" s="1848"/>
      <c r="E372" s="1846"/>
      <c r="F372" s="1581"/>
      <c r="G372" s="447" t="s">
        <v>170</v>
      </c>
      <c r="H372" s="1581"/>
      <c r="I372" s="1581"/>
    </row>
    <row r="373" spans="1:9" ht="19.5">
      <c r="A373" s="1581">
        <v>149</v>
      </c>
      <c r="B373" s="1844">
        <v>524</v>
      </c>
      <c r="C373" s="1826"/>
      <c r="D373" s="1848"/>
      <c r="E373" s="1846" t="s">
        <v>824</v>
      </c>
      <c r="F373" s="1581" t="s">
        <v>475</v>
      </c>
      <c r="G373" s="447" t="s">
        <v>1054</v>
      </c>
      <c r="H373" s="1581" t="s">
        <v>202</v>
      </c>
      <c r="I373" s="1581" t="s">
        <v>65</v>
      </c>
    </row>
    <row r="374" spans="1:9" ht="19.5">
      <c r="A374" s="1581"/>
      <c r="B374" s="1844"/>
      <c r="C374" s="1826"/>
      <c r="D374" s="1848"/>
      <c r="E374" s="1846"/>
      <c r="F374" s="1581"/>
      <c r="G374" s="447" t="s">
        <v>170</v>
      </c>
      <c r="H374" s="1581"/>
      <c r="I374" s="1581"/>
    </row>
    <row r="375" spans="1:9" ht="19.5">
      <c r="A375" s="1581">
        <v>150</v>
      </c>
      <c r="B375" s="1844">
        <v>525</v>
      </c>
      <c r="C375" s="1826"/>
      <c r="D375" s="1848"/>
      <c r="E375" s="1846" t="s">
        <v>829</v>
      </c>
      <c r="F375" s="1581" t="s">
        <v>480</v>
      </c>
      <c r="G375" s="447" t="s">
        <v>170</v>
      </c>
      <c r="H375" s="1581" t="s">
        <v>202</v>
      </c>
      <c r="I375" s="1581" t="s">
        <v>65</v>
      </c>
    </row>
    <row r="376" spans="1:9" ht="19.5">
      <c r="A376" s="1581"/>
      <c r="B376" s="1844"/>
      <c r="C376" s="1826"/>
      <c r="D376" s="1848"/>
      <c r="E376" s="1846"/>
      <c r="F376" s="1581"/>
      <c r="G376" s="447" t="s">
        <v>1054</v>
      </c>
      <c r="H376" s="1581"/>
      <c r="I376" s="1581"/>
    </row>
    <row r="377" spans="1:9" ht="19.5">
      <c r="A377" s="1581">
        <v>151</v>
      </c>
      <c r="B377" s="1844">
        <v>526</v>
      </c>
      <c r="C377" s="1826"/>
      <c r="D377" s="1848"/>
      <c r="E377" s="1846" t="s">
        <v>834</v>
      </c>
      <c r="F377" s="1581" t="s">
        <v>475</v>
      </c>
      <c r="G377" s="447" t="s">
        <v>170</v>
      </c>
      <c r="H377" s="1581" t="s">
        <v>202</v>
      </c>
      <c r="I377" s="1581" t="s">
        <v>65</v>
      </c>
    </row>
    <row r="378" spans="1:9" ht="19.5">
      <c r="A378" s="1581"/>
      <c r="B378" s="1844"/>
      <c r="C378" s="1826"/>
      <c r="D378" s="1848"/>
      <c r="E378" s="1846"/>
      <c r="F378" s="1581"/>
      <c r="G378" s="447" t="s">
        <v>170</v>
      </c>
      <c r="H378" s="1581"/>
      <c r="I378" s="1581"/>
    </row>
    <row r="379" spans="1:9" ht="14.25" customHeight="1">
      <c r="A379" s="1581">
        <v>152</v>
      </c>
      <c r="B379" s="1844">
        <v>527</v>
      </c>
      <c r="C379" s="1826"/>
      <c r="D379" s="1848"/>
      <c r="E379" s="1846" t="s">
        <v>841</v>
      </c>
      <c r="F379" s="1581" t="s">
        <v>468</v>
      </c>
      <c r="G379" s="1581" t="s">
        <v>450</v>
      </c>
      <c r="H379" s="1581" t="s">
        <v>202</v>
      </c>
      <c r="I379" s="1581" t="s">
        <v>484</v>
      </c>
    </row>
    <row r="380" spans="1:9" ht="14.25" customHeight="1">
      <c r="A380" s="1581"/>
      <c r="B380" s="1844"/>
      <c r="C380" s="1826"/>
      <c r="D380" s="1848"/>
      <c r="E380" s="1846"/>
      <c r="F380" s="1581"/>
      <c r="G380" s="1581"/>
      <c r="H380" s="1581"/>
      <c r="I380" s="1581"/>
    </row>
    <row r="381" spans="1:9" ht="19.5">
      <c r="A381" s="1581">
        <v>153</v>
      </c>
      <c r="B381" s="1844">
        <v>528</v>
      </c>
      <c r="C381" s="1826"/>
      <c r="D381" s="1848"/>
      <c r="E381" s="1846" t="s">
        <v>848</v>
      </c>
      <c r="F381" s="1581" t="s">
        <v>441</v>
      </c>
      <c r="G381" s="447" t="s">
        <v>170</v>
      </c>
      <c r="H381" s="1581" t="s">
        <v>202</v>
      </c>
      <c r="I381" s="1581" t="s">
        <v>65</v>
      </c>
    </row>
    <row r="382" spans="1:9" ht="19.5">
      <c r="A382" s="1581"/>
      <c r="B382" s="1844"/>
      <c r="C382" s="1826"/>
      <c r="D382" s="1848"/>
      <c r="E382" s="1846"/>
      <c r="F382" s="1581"/>
      <c r="G382" s="447" t="s">
        <v>170</v>
      </c>
      <c r="H382" s="1581"/>
      <c r="I382" s="1581"/>
    </row>
    <row r="383" spans="1:9" ht="19.5">
      <c r="A383" s="1581"/>
      <c r="B383" s="1844"/>
      <c r="C383" s="1826"/>
      <c r="D383" s="1848"/>
      <c r="E383" s="1846"/>
      <c r="F383" s="1581"/>
      <c r="G383" s="430" t="s">
        <v>56</v>
      </c>
      <c r="H383" s="1581"/>
      <c r="I383" s="1581"/>
    </row>
    <row r="384" spans="1:9" ht="19.5">
      <c r="A384" s="1581">
        <v>154</v>
      </c>
      <c r="B384" s="1844">
        <v>529</v>
      </c>
      <c r="C384" s="1826"/>
      <c r="D384" s="1848"/>
      <c r="E384" s="1846" t="s">
        <v>857</v>
      </c>
      <c r="F384" s="1581" t="s">
        <v>468</v>
      </c>
      <c r="G384" s="447" t="s">
        <v>1054</v>
      </c>
      <c r="H384" s="1581" t="s">
        <v>202</v>
      </c>
      <c r="I384" s="1581" t="s">
        <v>65</v>
      </c>
    </row>
    <row r="385" spans="1:9" ht="19.5">
      <c r="A385" s="1581"/>
      <c r="B385" s="1844"/>
      <c r="C385" s="1826"/>
      <c r="D385" s="1848"/>
      <c r="E385" s="1846"/>
      <c r="F385" s="1581"/>
      <c r="G385" s="447" t="s">
        <v>170</v>
      </c>
      <c r="H385" s="1581"/>
      <c r="I385" s="1581"/>
    </row>
    <row r="386" spans="1:9" ht="19.5">
      <c r="A386" s="1581">
        <v>155</v>
      </c>
      <c r="B386" s="1844">
        <v>530</v>
      </c>
      <c r="C386" s="1826"/>
      <c r="D386" s="1848"/>
      <c r="E386" s="1846" t="s">
        <v>862</v>
      </c>
      <c r="F386" s="1581" t="s">
        <v>480</v>
      </c>
      <c r="G386" s="447" t="s">
        <v>170</v>
      </c>
      <c r="H386" s="1581" t="s">
        <v>202</v>
      </c>
      <c r="I386" s="1581" t="s">
        <v>65</v>
      </c>
    </row>
    <row r="387" spans="1:9" ht="19.5">
      <c r="A387" s="1581"/>
      <c r="B387" s="1844"/>
      <c r="C387" s="1826"/>
      <c r="D387" s="1848"/>
      <c r="E387" s="1846"/>
      <c r="F387" s="1581"/>
      <c r="G387" s="447" t="s">
        <v>1054</v>
      </c>
      <c r="H387" s="1581"/>
      <c r="I387" s="1581"/>
    </row>
    <row r="388" spans="1:9" ht="19.5">
      <c r="A388" s="1581">
        <v>156</v>
      </c>
      <c r="B388" s="1844">
        <v>531</v>
      </c>
      <c r="C388" s="1826"/>
      <c r="D388" s="1848"/>
      <c r="E388" s="1846" t="s">
        <v>867</v>
      </c>
      <c r="F388" s="1581" t="s">
        <v>475</v>
      </c>
      <c r="G388" s="447" t="s">
        <v>1054</v>
      </c>
      <c r="H388" s="1581" t="s">
        <v>202</v>
      </c>
      <c r="I388" s="1581" t="s">
        <v>65</v>
      </c>
    </row>
    <row r="389" spans="1:9" ht="19.5">
      <c r="A389" s="1581"/>
      <c r="B389" s="1844"/>
      <c r="C389" s="1826"/>
      <c r="D389" s="1848"/>
      <c r="E389" s="1846"/>
      <c r="F389" s="1581"/>
      <c r="G389" s="447" t="s">
        <v>170</v>
      </c>
      <c r="H389" s="1581"/>
      <c r="I389" s="1581"/>
    </row>
    <row r="390" spans="1:9" ht="19.5">
      <c r="A390" s="1581">
        <v>157</v>
      </c>
      <c r="B390" s="1844">
        <v>532</v>
      </c>
      <c r="C390" s="1826"/>
      <c r="D390" s="1848"/>
      <c r="E390" s="1846" t="s">
        <v>872</v>
      </c>
      <c r="F390" s="1581"/>
      <c r="G390" s="447" t="s">
        <v>170</v>
      </c>
      <c r="H390" s="1581" t="s">
        <v>202</v>
      </c>
      <c r="I390" s="1581" t="s">
        <v>484</v>
      </c>
    </row>
    <row r="391" spans="1:9" ht="19.5">
      <c r="A391" s="1581"/>
      <c r="B391" s="1844"/>
      <c r="C391" s="1826"/>
      <c r="D391" s="1848"/>
      <c r="E391" s="1846"/>
      <c r="F391" s="1581"/>
      <c r="G391" s="447" t="s">
        <v>170</v>
      </c>
      <c r="H391" s="1581"/>
      <c r="I391" s="1581"/>
    </row>
    <row r="392" spans="1:9" ht="19.5">
      <c r="A392" s="1581">
        <v>158</v>
      </c>
      <c r="B392" s="1844">
        <v>533</v>
      </c>
      <c r="C392" s="1826"/>
      <c r="D392" s="1848"/>
      <c r="E392" s="1846" t="s">
        <v>881</v>
      </c>
      <c r="F392" s="1581" t="s">
        <v>468</v>
      </c>
      <c r="G392" s="447" t="s">
        <v>170</v>
      </c>
      <c r="H392" s="1581" t="s">
        <v>202</v>
      </c>
      <c r="I392" s="1581" t="s">
        <v>65</v>
      </c>
    </row>
    <row r="393" spans="1:9" ht="19.5">
      <c r="A393" s="1581"/>
      <c r="B393" s="1844"/>
      <c r="C393" s="1826"/>
      <c r="D393" s="1848"/>
      <c r="E393" s="1846"/>
      <c r="F393" s="1581"/>
      <c r="G393" s="447" t="s">
        <v>1054</v>
      </c>
      <c r="H393" s="1581"/>
      <c r="I393" s="1581"/>
    </row>
    <row r="394" spans="1:9" ht="19.5">
      <c r="A394" s="1581">
        <v>159</v>
      </c>
      <c r="B394" s="1844">
        <v>534</v>
      </c>
      <c r="C394" s="1826"/>
      <c r="D394" s="1848"/>
      <c r="E394" s="1847" t="s">
        <v>889</v>
      </c>
      <c r="F394" s="1581"/>
      <c r="G394" s="447" t="s">
        <v>170</v>
      </c>
      <c r="H394" s="1581" t="s">
        <v>202</v>
      </c>
      <c r="I394" s="1581" t="s">
        <v>484</v>
      </c>
    </row>
    <row r="395" spans="1:9" ht="19.5">
      <c r="A395" s="1581"/>
      <c r="B395" s="1844"/>
      <c r="C395" s="1826"/>
      <c r="D395" s="1848"/>
      <c r="E395" s="1847"/>
      <c r="F395" s="1581"/>
      <c r="G395" s="447" t="s">
        <v>1054</v>
      </c>
      <c r="H395" s="1581"/>
      <c r="I395" s="1581"/>
    </row>
    <row r="396" spans="1:9" ht="19.5">
      <c r="A396" s="1581"/>
      <c r="B396" s="1844"/>
      <c r="C396" s="1826"/>
      <c r="D396" s="1848"/>
      <c r="E396" s="1847"/>
      <c r="F396" s="1581"/>
      <c r="G396" s="430" t="s">
        <v>56</v>
      </c>
      <c r="H396" s="1581"/>
      <c r="I396" s="1581"/>
    </row>
    <row r="397" spans="1:9" ht="19.5">
      <c r="A397" s="1581">
        <v>160</v>
      </c>
      <c r="B397" s="1844">
        <v>535</v>
      </c>
      <c r="C397" s="1826"/>
      <c r="D397" s="1848"/>
      <c r="E397" s="1846" t="s">
        <v>896</v>
      </c>
      <c r="F397" s="1581" t="s">
        <v>475</v>
      </c>
      <c r="G397" s="447" t="s">
        <v>170</v>
      </c>
      <c r="H397" s="1581" t="s">
        <v>202</v>
      </c>
      <c r="I397" s="1581" t="s">
        <v>65</v>
      </c>
    </row>
    <row r="398" spans="1:9" ht="19.5">
      <c r="A398" s="1581"/>
      <c r="B398" s="1844"/>
      <c r="C398" s="1826"/>
      <c r="D398" s="1848"/>
      <c r="E398" s="1846"/>
      <c r="F398" s="1581"/>
      <c r="G398" s="447" t="s">
        <v>170</v>
      </c>
      <c r="H398" s="1581"/>
      <c r="I398" s="1581"/>
    </row>
    <row r="399" spans="1:9" ht="19.5">
      <c r="A399" s="1581">
        <v>161</v>
      </c>
      <c r="B399" s="1844">
        <v>536</v>
      </c>
      <c r="C399" s="1826"/>
      <c r="D399" s="1848"/>
      <c r="E399" s="1846" t="s">
        <v>901</v>
      </c>
      <c r="F399" s="1581" t="s">
        <v>480</v>
      </c>
      <c r="G399" s="447" t="s">
        <v>170</v>
      </c>
      <c r="H399" s="1581" t="s">
        <v>202</v>
      </c>
      <c r="I399" s="1581" t="s">
        <v>65</v>
      </c>
    </row>
    <row r="400" spans="1:9" ht="19.5">
      <c r="A400" s="1581"/>
      <c r="B400" s="1844"/>
      <c r="C400" s="1826"/>
      <c r="D400" s="1848"/>
      <c r="E400" s="1846"/>
      <c r="F400" s="1581"/>
      <c r="G400" s="447" t="s">
        <v>1054</v>
      </c>
      <c r="H400" s="1581"/>
      <c r="I400" s="1581"/>
    </row>
    <row r="401" spans="1:9" ht="19.5">
      <c r="A401" s="1581">
        <v>162</v>
      </c>
      <c r="B401" s="1844">
        <v>544</v>
      </c>
      <c r="C401" s="1826"/>
      <c r="D401" s="1848"/>
      <c r="E401" s="1846" t="s">
        <v>906</v>
      </c>
      <c r="F401" s="1581" t="s">
        <v>468</v>
      </c>
      <c r="G401" s="447" t="s">
        <v>170</v>
      </c>
      <c r="H401" s="1581" t="s">
        <v>202</v>
      </c>
      <c r="I401" s="1581" t="s">
        <v>65</v>
      </c>
    </row>
    <row r="402" spans="1:9" ht="19.5">
      <c r="A402" s="1581"/>
      <c r="B402" s="1844"/>
      <c r="C402" s="1826"/>
      <c r="D402" s="1848"/>
      <c r="E402" s="1846"/>
      <c r="F402" s="1581"/>
      <c r="G402" s="447" t="s">
        <v>170</v>
      </c>
      <c r="H402" s="1581"/>
      <c r="I402" s="1581"/>
    </row>
    <row r="403" spans="1:9" ht="19.5">
      <c r="A403" s="1581">
        <v>163</v>
      </c>
      <c r="B403" s="1844">
        <v>545</v>
      </c>
      <c r="C403" s="1826"/>
      <c r="D403" s="1848"/>
      <c r="E403" s="1846" t="s">
        <v>915</v>
      </c>
      <c r="F403" s="1581" t="s">
        <v>480</v>
      </c>
      <c r="G403" s="447" t="s">
        <v>170</v>
      </c>
      <c r="H403" s="1581" t="s">
        <v>202</v>
      </c>
      <c r="I403" s="1581" t="s">
        <v>65</v>
      </c>
    </row>
    <row r="404" spans="1:9" ht="19.5">
      <c r="A404" s="1581"/>
      <c r="B404" s="1844"/>
      <c r="C404" s="1826"/>
      <c r="D404" s="1848"/>
      <c r="E404" s="1846"/>
      <c r="F404" s="1581"/>
      <c r="G404" s="447" t="s">
        <v>170</v>
      </c>
      <c r="H404" s="1581"/>
      <c r="I404" s="1581"/>
    </row>
    <row r="405" spans="1:9" ht="19.5">
      <c r="A405" s="1581"/>
      <c r="B405" s="1844"/>
      <c r="C405" s="1826"/>
      <c r="D405" s="1848"/>
      <c r="E405" s="1846"/>
      <c r="F405" s="1581"/>
      <c r="G405" s="430" t="s">
        <v>50</v>
      </c>
      <c r="H405" s="1581"/>
      <c r="I405" s="1581"/>
    </row>
    <row r="406" spans="1:9" ht="19.5">
      <c r="A406" s="1581">
        <v>164</v>
      </c>
      <c r="B406" s="1844">
        <v>550</v>
      </c>
      <c r="C406" s="1826"/>
      <c r="D406" s="1848"/>
      <c r="E406" s="1846" t="s">
        <v>923</v>
      </c>
      <c r="F406" s="1581" t="s">
        <v>475</v>
      </c>
      <c r="G406" s="447" t="s">
        <v>170</v>
      </c>
      <c r="H406" s="1581" t="s">
        <v>202</v>
      </c>
      <c r="I406" s="1581" t="s">
        <v>65</v>
      </c>
    </row>
    <row r="407" spans="1:9" ht="19.5">
      <c r="A407" s="1581"/>
      <c r="B407" s="1844"/>
      <c r="C407" s="1826"/>
      <c r="D407" s="1848"/>
      <c r="E407" s="1846"/>
      <c r="F407" s="1581"/>
      <c r="G407" s="447" t="s">
        <v>170</v>
      </c>
      <c r="H407" s="1581"/>
      <c r="I407" s="1581"/>
    </row>
    <row r="408" spans="1:9" ht="19.5">
      <c r="A408" s="1581">
        <v>165</v>
      </c>
      <c r="B408" s="1844">
        <v>558</v>
      </c>
      <c r="C408" s="1826"/>
      <c r="D408" s="1848"/>
      <c r="E408" s="1846" t="s">
        <v>933</v>
      </c>
      <c r="F408" s="1581"/>
      <c r="G408" s="447" t="s">
        <v>450</v>
      </c>
      <c r="H408" s="1581" t="s">
        <v>202</v>
      </c>
      <c r="I408" s="1581" t="s">
        <v>65</v>
      </c>
    </row>
    <row r="409" spans="1:9" ht="19.5">
      <c r="A409" s="1581"/>
      <c r="B409" s="1844"/>
      <c r="C409" s="1826"/>
      <c r="D409" s="1848"/>
      <c r="E409" s="1846"/>
      <c r="F409" s="1581"/>
      <c r="G409" s="447" t="s">
        <v>450</v>
      </c>
      <c r="H409" s="1581"/>
      <c r="I409" s="1581"/>
    </row>
    <row r="410" spans="1:9" ht="19.5">
      <c r="A410" s="1581">
        <v>166</v>
      </c>
      <c r="B410" s="1844">
        <v>559</v>
      </c>
      <c r="C410" s="1826"/>
      <c r="D410" s="1848"/>
      <c r="E410" s="1846" t="s">
        <v>941</v>
      </c>
      <c r="F410" s="1581" t="s">
        <v>468</v>
      </c>
      <c r="G410" s="447" t="s">
        <v>170</v>
      </c>
      <c r="H410" s="1581" t="s">
        <v>202</v>
      </c>
      <c r="I410" s="1581" t="s">
        <v>65</v>
      </c>
    </row>
    <row r="411" spans="1:9" ht="19.5">
      <c r="A411" s="1581"/>
      <c r="B411" s="1844"/>
      <c r="C411" s="1826"/>
      <c r="D411" s="1848"/>
      <c r="E411" s="1846"/>
      <c r="F411" s="1581"/>
      <c r="G411" s="447" t="s">
        <v>170</v>
      </c>
      <c r="H411" s="1581"/>
      <c r="I411" s="1581"/>
    </row>
    <row r="412" spans="1:9" ht="19.5">
      <c r="A412" s="1581">
        <v>167</v>
      </c>
      <c r="B412" s="1844">
        <v>561</v>
      </c>
      <c r="C412" s="1826"/>
      <c r="D412" s="1582" t="s">
        <v>950</v>
      </c>
      <c r="E412" s="1846" t="s">
        <v>950</v>
      </c>
      <c r="F412" s="1581" t="s">
        <v>425</v>
      </c>
      <c r="G412" s="447" t="s">
        <v>170</v>
      </c>
      <c r="H412" s="1581" t="s">
        <v>202</v>
      </c>
      <c r="I412" s="1581" t="s">
        <v>65</v>
      </c>
    </row>
    <row r="413" spans="1:9" ht="19.5">
      <c r="A413" s="1581"/>
      <c r="B413" s="1844"/>
      <c r="C413" s="1826"/>
      <c r="D413" s="1582"/>
      <c r="E413" s="1846"/>
      <c r="F413" s="1581"/>
      <c r="G413" s="447" t="s">
        <v>170</v>
      </c>
      <c r="H413" s="1581"/>
      <c r="I413" s="1581"/>
    </row>
    <row r="414" spans="1:9" ht="19.5" customHeight="1">
      <c r="A414" s="1581">
        <v>168</v>
      </c>
      <c r="B414" s="1844">
        <v>579</v>
      </c>
      <c r="C414" s="1826"/>
      <c r="D414" s="1825" t="s">
        <v>423</v>
      </c>
      <c r="E414" s="1845" t="s">
        <v>1012</v>
      </c>
      <c r="F414" s="1581" t="s">
        <v>480</v>
      </c>
      <c r="G414" s="1480" t="s">
        <v>450</v>
      </c>
      <c r="H414" s="1470" t="s">
        <v>962</v>
      </c>
      <c r="I414" s="1470" t="s">
        <v>11754</v>
      </c>
    </row>
    <row r="415" spans="1:9" ht="19.5" customHeight="1">
      <c r="A415" s="1581"/>
      <c r="B415" s="1844"/>
      <c r="C415" s="1826"/>
      <c r="D415" s="1826"/>
      <c r="E415" s="1845"/>
      <c r="F415" s="1581"/>
      <c r="G415" s="1491"/>
      <c r="H415" s="1470"/>
      <c r="I415" s="1470"/>
    </row>
    <row r="416" spans="1:9" ht="19.5">
      <c r="A416" s="1581"/>
      <c r="B416" s="1844"/>
      <c r="C416" s="1826"/>
      <c r="D416" s="1826"/>
      <c r="E416" s="1845"/>
      <c r="F416" s="1581"/>
      <c r="G416" s="430" t="s">
        <v>50</v>
      </c>
      <c r="H416" s="1470"/>
      <c r="I416" s="1470"/>
    </row>
    <row r="417" spans="1:9" ht="18" customHeight="1">
      <c r="A417" s="1581">
        <v>169</v>
      </c>
      <c r="B417" s="1843">
        <v>999</v>
      </c>
      <c r="C417" s="1826"/>
      <c r="D417" s="1826"/>
      <c r="E417" s="1842" t="s">
        <v>11065</v>
      </c>
      <c r="F417" s="1581" t="s">
        <v>480</v>
      </c>
      <c r="G417" s="1471" t="s">
        <v>11546</v>
      </c>
      <c r="H417" s="1471" t="s">
        <v>11547</v>
      </c>
      <c r="I417" s="1840" t="s">
        <v>11755</v>
      </c>
    </row>
    <row r="418" spans="1:9" ht="15" customHeight="1">
      <c r="A418" s="1581"/>
      <c r="B418" s="1843"/>
      <c r="C418" s="1826"/>
      <c r="D418" s="1826"/>
      <c r="E418" s="1842"/>
      <c r="F418" s="1581"/>
      <c r="G418" s="1472"/>
      <c r="H418" s="1472"/>
      <c r="I418" s="1841"/>
    </row>
    <row r="419" spans="1:9" ht="14.25" customHeight="1">
      <c r="A419" s="1581">
        <v>170</v>
      </c>
      <c r="B419" s="1843">
        <v>999</v>
      </c>
      <c r="C419" s="1826"/>
      <c r="D419" s="1826"/>
      <c r="E419" s="1581" t="s">
        <v>11548</v>
      </c>
      <c r="F419" s="1581" t="s">
        <v>480</v>
      </c>
      <c r="G419" s="430" t="s">
        <v>50</v>
      </c>
      <c r="H419" s="1581" t="s">
        <v>202</v>
      </c>
      <c r="I419" s="1581" t="s">
        <v>65</v>
      </c>
    </row>
    <row r="420" spans="1:9" ht="14.25" customHeight="1">
      <c r="A420" s="1581"/>
      <c r="B420" s="1843"/>
      <c r="C420" s="1826"/>
      <c r="D420" s="1826"/>
      <c r="E420" s="1581"/>
      <c r="F420" s="1581"/>
      <c r="G420" s="430" t="s">
        <v>56</v>
      </c>
      <c r="H420" s="1581"/>
      <c r="I420" s="1581"/>
    </row>
    <row r="421" spans="1:9" ht="19.5">
      <c r="A421" s="445">
        <v>171</v>
      </c>
      <c r="B421" s="445">
        <v>999</v>
      </c>
      <c r="C421" s="1826"/>
      <c r="D421" s="1826"/>
      <c r="E421" s="435" t="s">
        <v>11549</v>
      </c>
      <c r="F421" s="447" t="s">
        <v>480</v>
      </c>
      <c r="G421" s="430" t="s">
        <v>50</v>
      </c>
      <c r="H421" s="447" t="s">
        <v>202</v>
      </c>
      <c r="I421" s="447" t="s">
        <v>65</v>
      </c>
    </row>
    <row r="422" spans="1:9" ht="19.5">
      <c r="A422" s="1480">
        <v>172</v>
      </c>
      <c r="B422" s="1581">
        <v>355</v>
      </c>
      <c r="C422" s="1480" t="s">
        <v>331</v>
      </c>
      <c r="D422" s="1581" t="s">
        <v>332</v>
      </c>
      <c r="E422" s="1581" t="s">
        <v>333</v>
      </c>
      <c r="F422" s="1480" t="s">
        <v>334</v>
      </c>
      <c r="G422" s="447" t="s">
        <v>170</v>
      </c>
      <c r="H422" s="1836" t="s">
        <v>202</v>
      </c>
      <c r="I422" s="1836" t="s">
        <v>65</v>
      </c>
    </row>
    <row r="423" spans="1:9" ht="19.5">
      <c r="A423" s="1481"/>
      <c r="B423" s="1581"/>
      <c r="C423" s="1481"/>
      <c r="D423" s="1581"/>
      <c r="E423" s="1581"/>
      <c r="F423" s="1481"/>
      <c r="G423" s="447" t="s">
        <v>170</v>
      </c>
      <c r="H423" s="1836"/>
      <c r="I423" s="1836"/>
    </row>
    <row r="424" spans="1:9" ht="19.5">
      <c r="A424" s="1491"/>
      <c r="B424" s="1581"/>
      <c r="C424" s="1481"/>
      <c r="D424" s="1581"/>
      <c r="E424" s="1581"/>
      <c r="F424" s="1481"/>
      <c r="G424" s="430" t="s">
        <v>56</v>
      </c>
      <c r="H424" s="1836"/>
      <c r="I424" s="1836"/>
    </row>
    <row r="425" spans="1:9" ht="19.5">
      <c r="A425" s="1480">
        <v>173</v>
      </c>
      <c r="B425" s="1581">
        <v>399</v>
      </c>
      <c r="C425" s="1481"/>
      <c r="D425" s="1581" t="s">
        <v>339</v>
      </c>
      <c r="E425" s="1581" t="s">
        <v>339</v>
      </c>
      <c r="F425" s="1481"/>
      <c r="G425" s="447" t="s">
        <v>170</v>
      </c>
      <c r="H425" s="1836" t="s">
        <v>202</v>
      </c>
      <c r="I425" s="1836" t="s">
        <v>65</v>
      </c>
    </row>
    <row r="426" spans="1:9" ht="19.5">
      <c r="A426" s="1481"/>
      <c r="B426" s="1581"/>
      <c r="C426" s="1481"/>
      <c r="D426" s="1581"/>
      <c r="E426" s="1581"/>
      <c r="F426" s="1481"/>
      <c r="G426" s="447" t="s">
        <v>170</v>
      </c>
      <c r="H426" s="1836"/>
      <c r="I426" s="1836"/>
    </row>
    <row r="427" spans="1:9" ht="19.5">
      <c r="A427" s="1491"/>
      <c r="B427" s="1581"/>
      <c r="C427" s="1481"/>
      <c r="D427" s="1581"/>
      <c r="E427" s="1581"/>
      <c r="F427" s="1481"/>
      <c r="G427" s="430" t="s">
        <v>56</v>
      </c>
      <c r="H427" s="1836"/>
      <c r="I427" s="1836"/>
    </row>
    <row r="428" spans="1:9" ht="19.5">
      <c r="A428" s="1480">
        <v>174</v>
      </c>
      <c r="B428" s="1582">
        <v>484</v>
      </c>
      <c r="C428" s="1481"/>
      <c r="D428" s="1582" t="s">
        <v>332</v>
      </c>
      <c r="E428" s="1582" t="s">
        <v>344</v>
      </c>
      <c r="F428" s="1481"/>
      <c r="G428" s="447" t="s">
        <v>170</v>
      </c>
      <c r="H428" s="1836" t="s">
        <v>202</v>
      </c>
      <c r="I428" s="1836" t="s">
        <v>65</v>
      </c>
    </row>
    <row r="429" spans="1:9" ht="19.5">
      <c r="A429" s="1491"/>
      <c r="B429" s="1582"/>
      <c r="C429" s="1481"/>
      <c r="D429" s="1582"/>
      <c r="E429" s="1582"/>
      <c r="F429" s="1481"/>
      <c r="G429" s="447" t="s">
        <v>170</v>
      </c>
      <c r="H429" s="1836"/>
      <c r="I429" s="1836"/>
    </row>
    <row r="430" spans="1:9" ht="19.5">
      <c r="A430" s="1480">
        <v>175</v>
      </c>
      <c r="B430" s="1582">
        <v>505</v>
      </c>
      <c r="C430" s="1481"/>
      <c r="D430" s="1582" t="s">
        <v>332</v>
      </c>
      <c r="E430" s="1582" t="s">
        <v>350</v>
      </c>
      <c r="F430" s="1481"/>
      <c r="G430" s="447" t="s">
        <v>170</v>
      </c>
      <c r="H430" s="1836" t="s">
        <v>202</v>
      </c>
      <c r="I430" s="1836" t="s">
        <v>65</v>
      </c>
    </row>
    <row r="431" spans="1:9" ht="19.5">
      <c r="A431" s="1481"/>
      <c r="B431" s="1582"/>
      <c r="C431" s="1481"/>
      <c r="D431" s="1582"/>
      <c r="E431" s="1582"/>
      <c r="F431" s="1481"/>
      <c r="G431" s="447" t="s">
        <v>170</v>
      </c>
      <c r="H431" s="1836"/>
      <c r="I431" s="1836"/>
    </row>
    <row r="432" spans="1:9" ht="19.5">
      <c r="A432" s="1491"/>
      <c r="B432" s="1582"/>
      <c r="C432" s="1481"/>
      <c r="D432" s="1582"/>
      <c r="E432" s="1582"/>
      <c r="F432" s="1481"/>
      <c r="G432" s="430" t="s">
        <v>56</v>
      </c>
      <c r="H432" s="1836"/>
      <c r="I432" s="1836"/>
    </row>
    <row r="433" spans="1:9" ht="19.5">
      <c r="A433" s="1480">
        <v>176</v>
      </c>
      <c r="B433" s="1480">
        <v>546</v>
      </c>
      <c r="C433" s="1481"/>
      <c r="D433" s="1480" t="s">
        <v>332</v>
      </c>
      <c r="E433" s="1480" t="s">
        <v>356</v>
      </c>
      <c r="F433" s="1481"/>
      <c r="G433" s="447" t="s">
        <v>170</v>
      </c>
      <c r="H433" s="1833" t="s">
        <v>202</v>
      </c>
      <c r="I433" s="1833" t="s">
        <v>65</v>
      </c>
    </row>
    <row r="434" spans="1:9" ht="19.5">
      <c r="A434" s="1481"/>
      <c r="B434" s="1481"/>
      <c r="C434" s="1481"/>
      <c r="D434" s="1481"/>
      <c r="E434" s="1481"/>
      <c r="F434" s="1481"/>
      <c r="G434" s="447" t="s">
        <v>170</v>
      </c>
      <c r="H434" s="1834"/>
      <c r="I434" s="1834"/>
    </row>
    <row r="435" spans="1:9" ht="19.5">
      <c r="A435" s="1491"/>
      <c r="B435" s="1491"/>
      <c r="C435" s="1491"/>
      <c r="D435" s="1491"/>
      <c r="E435" s="1491"/>
      <c r="F435" s="1491"/>
      <c r="G435" s="430" t="s">
        <v>50</v>
      </c>
      <c r="H435" s="1835"/>
      <c r="I435" s="1835"/>
    </row>
    <row r="436" spans="1:9" ht="19.5">
      <c r="A436" s="1480">
        <v>177</v>
      </c>
      <c r="B436" s="1492">
        <v>304</v>
      </c>
      <c r="C436" s="1480" t="s">
        <v>25</v>
      </c>
      <c r="D436" s="1480" t="s">
        <v>25</v>
      </c>
      <c r="E436" s="1825" t="s">
        <v>25</v>
      </c>
      <c r="F436" s="1825" t="s">
        <v>26</v>
      </c>
      <c r="G436" s="447" t="s">
        <v>37</v>
      </c>
      <c r="H436" s="1837" t="s">
        <v>93</v>
      </c>
      <c r="I436" s="1833" t="s">
        <v>38</v>
      </c>
    </row>
    <row r="437" spans="1:9" ht="19.5">
      <c r="A437" s="1481"/>
      <c r="B437" s="1493"/>
      <c r="C437" s="1481"/>
      <c r="D437" s="1481"/>
      <c r="E437" s="1826"/>
      <c r="F437" s="1826"/>
      <c r="G437" s="447" t="s">
        <v>37</v>
      </c>
      <c r="H437" s="1838"/>
      <c r="I437" s="1834"/>
    </row>
    <row r="438" spans="1:9" ht="19.5">
      <c r="A438" s="1481"/>
      <c r="B438" s="1493"/>
      <c r="C438" s="1481"/>
      <c r="D438" s="1481"/>
      <c r="E438" s="1826"/>
      <c r="F438" s="1826"/>
      <c r="G438" s="430" t="s">
        <v>50</v>
      </c>
      <c r="H438" s="1838"/>
      <c r="I438" s="1834"/>
    </row>
    <row r="439" spans="1:9" ht="19.5">
      <c r="A439" s="1491"/>
      <c r="B439" s="1494"/>
      <c r="C439" s="1481"/>
      <c r="D439" s="1481"/>
      <c r="E439" s="1827"/>
      <c r="F439" s="1826"/>
      <c r="G439" s="430" t="s">
        <v>56</v>
      </c>
      <c r="H439" s="1839"/>
      <c r="I439" s="1835"/>
    </row>
    <row r="440" spans="1:9" ht="19.5">
      <c r="A440" s="1480">
        <v>178</v>
      </c>
      <c r="B440" s="1480">
        <v>327</v>
      </c>
      <c r="C440" s="1481"/>
      <c r="D440" s="1481"/>
      <c r="E440" s="1825" t="s">
        <v>57</v>
      </c>
      <c r="F440" s="1826"/>
      <c r="G440" s="447" t="s">
        <v>64</v>
      </c>
      <c r="H440" s="1833" t="s">
        <v>92</v>
      </c>
      <c r="I440" s="1833" t="s">
        <v>65</v>
      </c>
    </row>
    <row r="441" spans="1:9" ht="19.5">
      <c r="A441" s="1491"/>
      <c r="B441" s="1491"/>
      <c r="C441" s="1481"/>
      <c r="D441" s="1491"/>
      <c r="E441" s="1827"/>
      <c r="F441" s="1826"/>
      <c r="G441" s="430" t="s">
        <v>50</v>
      </c>
      <c r="H441" s="1835"/>
      <c r="I441" s="1835"/>
    </row>
    <row r="442" spans="1:9" ht="19.5">
      <c r="A442" s="1480">
        <v>179</v>
      </c>
      <c r="B442" s="1480">
        <v>347</v>
      </c>
      <c r="C442" s="1481"/>
      <c r="D442" s="1825" t="s">
        <v>69</v>
      </c>
      <c r="E442" s="1825" t="s">
        <v>70</v>
      </c>
      <c r="F442" s="1826"/>
      <c r="G442" s="447" t="s">
        <v>64</v>
      </c>
      <c r="H442" s="1833" t="s">
        <v>92</v>
      </c>
      <c r="I442" s="1833" t="s">
        <v>65</v>
      </c>
    </row>
    <row r="443" spans="1:9" ht="19.5">
      <c r="A443" s="1491"/>
      <c r="B443" s="1491"/>
      <c r="C443" s="1481"/>
      <c r="D443" s="1827"/>
      <c r="E443" s="1827"/>
      <c r="F443" s="1826"/>
      <c r="G443" s="430" t="s">
        <v>50</v>
      </c>
      <c r="H443" s="1835"/>
      <c r="I443" s="1835"/>
    </row>
    <row r="444" spans="1:9" ht="19.5">
      <c r="A444" s="1480">
        <v>180</v>
      </c>
      <c r="B444" s="1480">
        <v>409</v>
      </c>
      <c r="C444" s="1481"/>
      <c r="D444" s="1825" t="s">
        <v>76</v>
      </c>
      <c r="E444" s="1825" t="s">
        <v>76</v>
      </c>
      <c r="F444" s="1826"/>
      <c r="G444" s="447" t="s">
        <v>64</v>
      </c>
      <c r="H444" s="1833" t="s">
        <v>92</v>
      </c>
      <c r="I444" s="1833" t="s">
        <v>65</v>
      </c>
    </row>
    <row r="445" spans="1:9" ht="19.5">
      <c r="A445" s="1491"/>
      <c r="B445" s="1491"/>
      <c r="C445" s="1491"/>
      <c r="D445" s="1827"/>
      <c r="E445" s="1827"/>
      <c r="F445" s="1827"/>
      <c r="G445" s="430" t="s">
        <v>50</v>
      </c>
      <c r="H445" s="1835"/>
      <c r="I445" s="1835"/>
    </row>
    <row r="446" spans="1:9" ht="19.5">
      <c r="A446" s="1480">
        <v>181</v>
      </c>
      <c r="B446" s="1492">
        <v>322</v>
      </c>
      <c r="C446" s="1480" t="s">
        <v>94</v>
      </c>
      <c r="D446" s="1825" t="s">
        <v>95</v>
      </c>
      <c r="E446" s="1825" t="s">
        <v>95</v>
      </c>
      <c r="F446" s="1825" t="s">
        <v>26</v>
      </c>
      <c r="G446" s="447" t="s">
        <v>37</v>
      </c>
      <c r="H446" s="1833" t="s">
        <v>93</v>
      </c>
      <c r="I446" s="1836" t="s">
        <v>38</v>
      </c>
    </row>
    <row r="447" spans="1:9" ht="19.5">
      <c r="A447" s="1481"/>
      <c r="B447" s="1493"/>
      <c r="C447" s="1481"/>
      <c r="D447" s="1826"/>
      <c r="E447" s="1826"/>
      <c r="F447" s="1826"/>
      <c r="G447" s="430" t="s">
        <v>50</v>
      </c>
      <c r="H447" s="1834"/>
      <c r="I447" s="1836"/>
    </row>
    <row r="448" spans="1:9" ht="19.5">
      <c r="A448" s="1491"/>
      <c r="B448" s="1494"/>
      <c r="C448" s="1481"/>
      <c r="D448" s="1826"/>
      <c r="E448" s="1827"/>
      <c r="F448" s="1826"/>
      <c r="G448" s="430" t="s">
        <v>56</v>
      </c>
      <c r="H448" s="1835"/>
      <c r="I448" s="1836"/>
    </row>
    <row r="449" spans="1:9" ht="19.5">
      <c r="A449" s="1480">
        <v>182</v>
      </c>
      <c r="B449" s="1480">
        <v>333</v>
      </c>
      <c r="C449" s="1481"/>
      <c r="D449" s="1826"/>
      <c r="E449" s="1825" t="s">
        <v>105</v>
      </c>
      <c r="F449" s="1826"/>
      <c r="G449" s="447" t="s">
        <v>111</v>
      </c>
      <c r="H449" s="1833" t="s">
        <v>92</v>
      </c>
      <c r="I449" s="1833" t="s">
        <v>65</v>
      </c>
    </row>
    <row r="450" spans="1:9" ht="19.5">
      <c r="A450" s="1491"/>
      <c r="B450" s="1491"/>
      <c r="C450" s="1481"/>
      <c r="D450" s="1827"/>
      <c r="E450" s="1827"/>
      <c r="F450" s="1826"/>
      <c r="G450" s="430" t="s">
        <v>50</v>
      </c>
      <c r="H450" s="1835"/>
      <c r="I450" s="1835"/>
    </row>
    <row r="451" spans="1:9" ht="19.5">
      <c r="A451" s="1480">
        <v>183</v>
      </c>
      <c r="B451" s="1480">
        <v>386</v>
      </c>
      <c r="C451" s="1481"/>
      <c r="D451" s="1825" t="s">
        <v>114</v>
      </c>
      <c r="E451" s="1825" t="s">
        <v>114</v>
      </c>
      <c r="F451" s="1826"/>
      <c r="G451" s="447" t="s">
        <v>111</v>
      </c>
      <c r="H451" s="1833" t="s">
        <v>92</v>
      </c>
      <c r="I451" s="1833" t="s">
        <v>65</v>
      </c>
    </row>
    <row r="452" spans="1:9" ht="19.5">
      <c r="A452" s="1491"/>
      <c r="B452" s="1491"/>
      <c r="C452" s="1481"/>
      <c r="D452" s="1827"/>
      <c r="E452" s="1827"/>
      <c r="F452" s="1826"/>
      <c r="G452" s="430" t="s">
        <v>50</v>
      </c>
      <c r="H452" s="1835"/>
      <c r="I452" s="1835"/>
    </row>
    <row r="453" spans="1:9" ht="19.5">
      <c r="A453" s="1480">
        <v>184</v>
      </c>
      <c r="B453" s="1480">
        <v>390</v>
      </c>
      <c r="C453" s="1481"/>
      <c r="D453" s="1825" t="s">
        <v>120</v>
      </c>
      <c r="E453" s="1825" t="s">
        <v>121</v>
      </c>
      <c r="F453" s="1826"/>
      <c r="G453" s="447" t="s">
        <v>111</v>
      </c>
      <c r="H453" s="1833" t="s">
        <v>92</v>
      </c>
      <c r="I453" s="1833" t="s">
        <v>65</v>
      </c>
    </row>
    <row r="454" spans="1:9" ht="19.5">
      <c r="A454" s="1491"/>
      <c r="B454" s="1491"/>
      <c r="C454" s="1481"/>
      <c r="D454" s="1827"/>
      <c r="E454" s="1827"/>
      <c r="F454" s="1826"/>
      <c r="G454" s="430" t="s">
        <v>50</v>
      </c>
      <c r="H454" s="1835"/>
      <c r="I454" s="1835"/>
    </row>
    <row r="455" spans="1:9" ht="19.5">
      <c r="A455" s="1480">
        <v>185</v>
      </c>
      <c r="B455" s="1480">
        <v>451</v>
      </c>
      <c r="C455" s="1481"/>
      <c r="D455" s="1825" t="s">
        <v>126</v>
      </c>
      <c r="E455" s="1825" t="s">
        <v>126</v>
      </c>
      <c r="F455" s="1826"/>
      <c r="G455" s="447" t="s">
        <v>111</v>
      </c>
      <c r="H455" s="1833" t="s">
        <v>92</v>
      </c>
      <c r="I455" s="1833" t="s">
        <v>65</v>
      </c>
    </row>
    <row r="456" spans="1:9" ht="19.5">
      <c r="A456" s="1491"/>
      <c r="B456" s="1491"/>
      <c r="C456" s="1491"/>
      <c r="D456" s="1827"/>
      <c r="E456" s="1827"/>
      <c r="F456" s="1827"/>
      <c r="G456" s="430" t="s">
        <v>50</v>
      </c>
      <c r="H456" s="1835"/>
      <c r="I456" s="1835"/>
    </row>
    <row r="457" spans="1:9" ht="18" customHeight="1">
      <c r="A457" s="1480">
        <v>186</v>
      </c>
      <c r="B457" s="1492">
        <v>314</v>
      </c>
      <c r="C457" s="1825" t="s">
        <v>26</v>
      </c>
      <c r="D457" s="1825" t="s">
        <v>138</v>
      </c>
      <c r="E457" s="1825" t="s">
        <v>138</v>
      </c>
      <c r="F457" s="1825" t="s">
        <v>26</v>
      </c>
      <c r="G457" s="1480" t="s">
        <v>37</v>
      </c>
      <c r="H457" s="1602" t="s">
        <v>93</v>
      </c>
      <c r="I457" s="1828" t="s">
        <v>143</v>
      </c>
    </row>
    <row r="458" spans="1:9" ht="18" customHeight="1">
      <c r="A458" s="1481"/>
      <c r="B458" s="1493"/>
      <c r="C458" s="1826"/>
      <c r="D458" s="1826"/>
      <c r="E458" s="1826"/>
      <c r="F458" s="1826"/>
      <c r="G458" s="1491"/>
      <c r="H458" s="1607"/>
      <c r="I458" s="1832"/>
    </row>
    <row r="459" spans="1:9" ht="19.5">
      <c r="A459" s="1481"/>
      <c r="B459" s="1493"/>
      <c r="C459" s="1826"/>
      <c r="D459" s="1826"/>
      <c r="E459" s="1826"/>
      <c r="F459" s="1826"/>
      <c r="G459" s="447" t="s">
        <v>151</v>
      </c>
      <c r="H459" s="1607"/>
      <c r="I459" s="1832"/>
    </row>
    <row r="460" spans="1:9" ht="19.5">
      <c r="A460" s="1481"/>
      <c r="B460" s="1493"/>
      <c r="C460" s="1826"/>
      <c r="D460" s="1826"/>
      <c r="E460" s="1826"/>
      <c r="F460" s="1826"/>
      <c r="G460" s="447" t="s">
        <v>151</v>
      </c>
      <c r="H460" s="1607"/>
      <c r="I460" s="1832"/>
    </row>
    <row r="461" spans="1:9" ht="19.5">
      <c r="A461" s="1481"/>
      <c r="B461" s="1493"/>
      <c r="C461" s="1826"/>
      <c r="D461" s="1826"/>
      <c r="E461" s="1826"/>
      <c r="F461" s="1826"/>
      <c r="G461" s="447" t="s">
        <v>151</v>
      </c>
      <c r="H461" s="1607"/>
      <c r="I461" s="1832"/>
    </row>
    <row r="462" spans="1:9" ht="19.5">
      <c r="A462" s="1481"/>
      <c r="B462" s="1493"/>
      <c r="C462" s="1826"/>
      <c r="D462" s="1826"/>
      <c r="E462" s="1826"/>
      <c r="F462" s="1826"/>
      <c r="G462" s="447" t="s">
        <v>151</v>
      </c>
      <c r="H462" s="1607"/>
      <c r="I462" s="1832"/>
    </row>
    <row r="463" spans="1:9" ht="19.5">
      <c r="A463" s="1491"/>
      <c r="B463" s="1494"/>
      <c r="C463" s="1826"/>
      <c r="D463" s="1826"/>
      <c r="E463" s="1827"/>
      <c r="F463" s="1826"/>
      <c r="G463" s="430" t="s">
        <v>56</v>
      </c>
      <c r="H463" s="1603"/>
      <c r="I463" s="1829"/>
    </row>
    <row r="464" spans="1:9" ht="19.5">
      <c r="A464" s="1480">
        <v>187</v>
      </c>
      <c r="B464" s="1480">
        <v>337</v>
      </c>
      <c r="C464" s="1826"/>
      <c r="D464" s="1826"/>
      <c r="E464" s="1825" t="s">
        <v>162</v>
      </c>
      <c r="F464" s="1826"/>
      <c r="G464" s="447" t="s">
        <v>167</v>
      </c>
      <c r="H464" s="1830" t="s">
        <v>202</v>
      </c>
      <c r="I464" s="1828" t="s">
        <v>65</v>
      </c>
    </row>
    <row r="465" spans="1:9" ht="19.5">
      <c r="A465" s="1491"/>
      <c r="B465" s="1491"/>
      <c r="C465" s="1826"/>
      <c r="D465" s="1827"/>
      <c r="E465" s="1827"/>
      <c r="F465" s="1826"/>
      <c r="G465" s="447" t="s">
        <v>170</v>
      </c>
      <c r="H465" s="1831"/>
      <c r="I465" s="1829"/>
    </row>
    <row r="466" spans="1:9" ht="19.5">
      <c r="A466" s="1480">
        <v>188</v>
      </c>
      <c r="B466" s="1480">
        <v>352</v>
      </c>
      <c r="C466" s="1826"/>
      <c r="D466" s="1825" t="s">
        <v>171</v>
      </c>
      <c r="E466" s="1825" t="s">
        <v>171</v>
      </c>
      <c r="F466" s="1826"/>
      <c r="G466" s="447" t="s">
        <v>167</v>
      </c>
      <c r="H466" s="1830" t="s">
        <v>202</v>
      </c>
      <c r="I466" s="1828" t="s">
        <v>65</v>
      </c>
    </row>
    <row r="467" spans="1:9" ht="19.5">
      <c r="A467" s="1491"/>
      <c r="B467" s="1491"/>
      <c r="C467" s="1826"/>
      <c r="D467" s="1827"/>
      <c r="E467" s="1827"/>
      <c r="F467" s="1826"/>
      <c r="G467" s="447" t="s">
        <v>170</v>
      </c>
      <c r="H467" s="1831"/>
      <c r="I467" s="1829"/>
    </row>
    <row r="468" spans="1:9" ht="19.5">
      <c r="A468" s="1480">
        <v>189</v>
      </c>
      <c r="B468" s="1480">
        <v>395</v>
      </c>
      <c r="C468" s="1826"/>
      <c r="D468" s="1825" t="s">
        <v>161</v>
      </c>
      <c r="E468" s="1825" t="s">
        <v>174</v>
      </c>
      <c r="F468" s="1826"/>
      <c r="G468" s="447" t="s">
        <v>167</v>
      </c>
      <c r="H468" s="1830" t="s">
        <v>202</v>
      </c>
      <c r="I468" s="1828" t="s">
        <v>65</v>
      </c>
    </row>
    <row r="469" spans="1:9" ht="19.5">
      <c r="A469" s="1491"/>
      <c r="B469" s="1491"/>
      <c r="C469" s="1826"/>
      <c r="D469" s="1827"/>
      <c r="E469" s="1827"/>
      <c r="F469" s="1826"/>
      <c r="G469" s="447" t="s">
        <v>170</v>
      </c>
      <c r="H469" s="1831"/>
      <c r="I469" s="1829"/>
    </row>
    <row r="470" spans="1:9" ht="19.5">
      <c r="A470" s="1480">
        <v>190</v>
      </c>
      <c r="B470" s="1480">
        <v>400</v>
      </c>
      <c r="C470" s="1826"/>
      <c r="D470" s="1825" t="s">
        <v>179</v>
      </c>
      <c r="E470" s="1825" t="s">
        <v>179</v>
      </c>
      <c r="F470" s="1826"/>
      <c r="G470" s="447" t="s">
        <v>167</v>
      </c>
      <c r="H470" s="1830" t="s">
        <v>202</v>
      </c>
      <c r="I470" s="1828" t="s">
        <v>65</v>
      </c>
    </row>
    <row r="471" spans="1:9" ht="19.5">
      <c r="A471" s="1491"/>
      <c r="B471" s="1491"/>
      <c r="C471" s="1826"/>
      <c r="D471" s="1827"/>
      <c r="E471" s="1827"/>
      <c r="F471" s="1826"/>
      <c r="G471" s="447" t="s">
        <v>170</v>
      </c>
      <c r="H471" s="1831"/>
      <c r="I471" s="1829"/>
    </row>
    <row r="472" spans="1:9" ht="19.5">
      <c r="A472" s="1480">
        <v>191</v>
      </c>
      <c r="B472" s="1480">
        <v>479</v>
      </c>
      <c r="C472" s="1826"/>
      <c r="D472" s="1825" t="s">
        <v>183</v>
      </c>
      <c r="E472" s="1825" t="s">
        <v>184</v>
      </c>
      <c r="F472" s="1826"/>
      <c r="G472" s="447" t="s">
        <v>167</v>
      </c>
      <c r="H472" s="1830" t="s">
        <v>202</v>
      </c>
      <c r="I472" s="1828" t="s">
        <v>65</v>
      </c>
    </row>
    <row r="473" spans="1:9" ht="19.5">
      <c r="A473" s="1491"/>
      <c r="B473" s="1491"/>
      <c r="C473" s="1826"/>
      <c r="D473" s="1827"/>
      <c r="E473" s="1827"/>
      <c r="F473" s="1826"/>
      <c r="G473" s="447" t="s">
        <v>170</v>
      </c>
      <c r="H473" s="1831"/>
      <c r="I473" s="1829"/>
    </row>
    <row r="474" spans="1:9" ht="19.5">
      <c r="A474" s="1480">
        <v>192</v>
      </c>
      <c r="B474" s="1480">
        <v>480</v>
      </c>
      <c r="C474" s="1826"/>
      <c r="D474" s="1825" t="s">
        <v>161</v>
      </c>
      <c r="E474" s="1825" t="s">
        <v>188</v>
      </c>
      <c r="F474" s="1826"/>
      <c r="G474" s="447" t="s">
        <v>167</v>
      </c>
      <c r="H474" s="1830" t="s">
        <v>202</v>
      </c>
      <c r="I474" s="1828" t="s">
        <v>65</v>
      </c>
    </row>
    <row r="475" spans="1:9" ht="19.5">
      <c r="A475" s="1491"/>
      <c r="B475" s="1491"/>
      <c r="C475" s="1826"/>
      <c r="D475" s="1826"/>
      <c r="E475" s="1827"/>
      <c r="F475" s="1826"/>
      <c r="G475" s="447" t="s">
        <v>170</v>
      </c>
      <c r="H475" s="1831"/>
      <c r="I475" s="1829"/>
    </row>
    <row r="476" spans="1:9" ht="19.5">
      <c r="A476" s="1480">
        <v>193</v>
      </c>
      <c r="B476" s="1480">
        <v>548</v>
      </c>
      <c r="C476" s="1826"/>
      <c r="D476" s="1826"/>
      <c r="E476" s="1825" t="s">
        <v>192</v>
      </c>
      <c r="F476" s="1826"/>
      <c r="G476" s="447" t="s">
        <v>167</v>
      </c>
      <c r="H476" s="1830" t="s">
        <v>202</v>
      </c>
      <c r="I476" s="1828" t="s">
        <v>65</v>
      </c>
    </row>
    <row r="477" spans="1:9" ht="19.5">
      <c r="A477" s="1491"/>
      <c r="B477" s="1491"/>
      <c r="C477" s="1827"/>
      <c r="D477" s="1827"/>
      <c r="E477" s="1827"/>
      <c r="F477" s="1827"/>
      <c r="G477" s="447" t="s">
        <v>170</v>
      </c>
      <c r="H477" s="1831"/>
      <c r="I477" s="1829"/>
    </row>
    <row r="478" spans="1:9">
      <c r="A478" s="1390">
        <v>194</v>
      </c>
      <c r="B478" s="1492">
        <v>370</v>
      </c>
      <c r="C478" s="1390" t="s">
        <v>1609</v>
      </c>
      <c r="D478" s="1390" t="s">
        <v>2326</v>
      </c>
      <c r="E478" s="1390" t="s">
        <v>2327</v>
      </c>
      <c r="F478" s="1390" t="s">
        <v>1609</v>
      </c>
      <c r="G478" s="1390" t="s">
        <v>2336</v>
      </c>
      <c r="H478" s="1390" t="s">
        <v>2279</v>
      </c>
      <c r="I478" s="1390" t="s">
        <v>484</v>
      </c>
    </row>
    <row r="479" spans="1:9">
      <c r="A479" s="1391"/>
      <c r="B479" s="1493"/>
      <c r="C479" s="1391"/>
      <c r="D479" s="1391"/>
      <c r="E479" s="1391"/>
      <c r="F479" s="1391"/>
      <c r="G479" s="1391"/>
      <c r="H479" s="1391"/>
      <c r="I479" s="1391"/>
    </row>
    <row r="480" spans="1:9">
      <c r="A480" s="1391"/>
      <c r="B480" s="1493"/>
      <c r="C480" s="1391"/>
      <c r="D480" s="1391"/>
      <c r="E480" s="1391"/>
      <c r="F480" s="1391"/>
      <c r="G480" s="1391"/>
      <c r="H480" s="1391"/>
      <c r="I480" s="1391"/>
    </row>
    <row r="481" spans="1:9">
      <c r="A481" s="1391"/>
      <c r="B481" s="1493"/>
      <c r="C481" s="1391"/>
      <c r="D481" s="1391"/>
      <c r="E481" s="1391"/>
      <c r="F481" s="1391"/>
      <c r="G481" s="1395"/>
      <c r="H481" s="1391"/>
      <c r="I481" s="1391"/>
    </row>
    <row r="482" spans="1:9" ht="18">
      <c r="A482" s="1391"/>
      <c r="B482" s="1493"/>
      <c r="C482" s="1391"/>
      <c r="D482" s="1391"/>
      <c r="E482" s="1391"/>
      <c r="F482" s="1391"/>
      <c r="G482" s="429" t="s">
        <v>50</v>
      </c>
      <c r="H482" s="1391"/>
      <c r="I482" s="1391"/>
    </row>
    <row r="483" spans="1:9" ht="18">
      <c r="A483" s="1395"/>
      <c r="B483" s="1494"/>
      <c r="C483" s="1391"/>
      <c r="D483" s="1395"/>
      <c r="E483" s="1395"/>
      <c r="F483" s="1391"/>
      <c r="G483" s="429" t="s">
        <v>56</v>
      </c>
      <c r="H483" s="1395"/>
      <c r="I483" s="1395"/>
    </row>
    <row r="484" spans="1:9" ht="18">
      <c r="A484" s="1390">
        <v>195</v>
      </c>
      <c r="B484" s="1480">
        <v>276</v>
      </c>
      <c r="C484" s="1391"/>
      <c r="D484" s="1390" t="s">
        <v>1610</v>
      </c>
      <c r="E484" s="1390" t="s">
        <v>1610</v>
      </c>
      <c r="F484" s="1391"/>
      <c r="G484" s="444" t="s">
        <v>299</v>
      </c>
      <c r="H484" s="1390" t="s">
        <v>202</v>
      </c>
      <c r="I484" s="1390" t="s">
        <v>65</v>
      </c>
    </row>
    <row r="485" spans="1:9" ht="18">
      <c r="A485" s="1391"/>
      <c r="B485" s="1481"/>
      <c r="C485" s="1391"/>
      <c r="D485" s="1391"/>
      <c r="E485" s="1391"/>
      <c r="F485" s="1391"/>
      <c r="G485" s="444" t="s">
        <v>170</v>
      </c>
      <c r="H485" s="1391"/>
      <c r="I485" s="1391"/>
    </row>
    <row r="486" spans="1:9" ht="18">
      <c r="A486" s="1395"/>
      <c r="B486" s="1491"/>
      <c r="C486" s="1391"/>
      <c r="D486" s="1395"/>
      <c r="E486" s="1395"/>
      <c r="F486" s="1391"/>
      <c r="G486" s="429" t="s">
        <v>56</v>
      </c>
      <c r="H486" s="1395"/>
      <c r="I486" s="1395"/>
    </row>
    <row r="487" spans="1:9" ht="18">
      <c r="A487" s="1390">
        <v>196</v>
      </c>
      <c r="B487" s="1480">
        <v>296</v>
      </c>
      <c r="C487" s="1391"/>
      <c r="D487" s="1390" t="s">
        <v>2326</v>
      </c>
      <c r="E487" s="1390" t="s">
        <v>2326</v>
      </c>
      <c r="F487" s="1391"/>
      <c r="G487" s="444" t="s">
        <v>2362</v>
      </c>
      <c r="H487" s="1390" t="s">
        <v>980</v>
      </c>
      <c r="I487" s="1390" t="s">
        <v>65</v>
      </c>
    </row>
    <row r="488" spans="1:9" ht="18">
      <c r="A488" s="1391"/>
      <c r="B488" s="1481"/>
      <c r="C488" s="1391"/>
      <c r="D488" s="1391"/>
      <c r="E488" s="1391"/>
      <c r="F488" s="1391"/>
      <c r="G488" s="444" t="s">
        <v>170</v>
      </c>
      <c r="H488" s="1391"/>
      <c r="I488" s="1391"/>
    </row>
    <row r="489" spans="1:9" ht="18">
      <c r="A489" s="1395"/>
      <c r="B489" s="1491"/>
      <c r="C489" s="1391"/>
      <c r="D489" s="1395"/>
      <c r="E489" s="1395"/>
      <c r="F489" s="1391"/>
      <c r="G489" s="429" t="s">
        <v>56</v>
      </c>
      <c r="H489" s="1395"/>
      <c r="I489" s="1395"/>
    </row>
    <row r="490" spans="1:9" ht="18">
      <c r="A490" s="1390">
        <v>197</v>
      </c>
      <c r="B490" s="1480">
        <v>297</v>
      </c>
      <c r="C490" s="1391"/>
      <c r="D490" s="1390" t="s">
        <v>2364</v>
      </c>
      <c r="E490" s="1390" t="s">
        <v>2364</v>
      </c>
      <c r="F490" s="1391"/>
      <c r="G490" s="444" t="s">
        <v>2362</v>
      </c>
      <c r="H490" s="1390" t="s">
        <v>202</v>
      </c>
      <c r="I490" s="1390" t="s">
        <v>65</v>
      </c>
    </row>
    <row r="491" spans="1:9" ht="18">
      <c r="A491" s="1391"/>
      <c r="B491" s="1481"/>
      <c r="C491" s="1391"/>
      <c r="D491" s="1391"/>
      <c r="E491" s="1391"/>
      <c r="F491" s="1391"/>
      <c r="G491" s="444" t="s">
        <v>170</v>
      </c>
      <c r="H491" s="1391"/>
      <c r="I491" s="1391"/>
    </row>
    <row r="492" spans="1:9" ht="18">
      <c r="A492" s="1395"/>
      <c r="B492" s="1491"/>
      <c r="C492" s="1391"/>
      <c r="D492" s="1395"/>
      <c r="E492" s="1395"/>
      <c r="F492" s="1391"/>
      <c r="G492" s="429" t="s">
        <v>50</v>
      </c>
      <c r="H492" s="1395"/>
      <c r="I492" s="1395"/>
    </row>
    <row r="493" spans="1:9" ht="18">
      <c r="A493" s="1390">
        <v>198</v>
      </c>
      <c r="B493" s="1480">
        <v>298</v>
      </c>
      <c r="C493" s="1391"/>
      <c r="D493" s="1390" t="s">
        <v>2371</v>
      </c>
      <c r="E493" s="1390" t="s">
        <v>2371</v>
      </c>
      <c r="F493" s="1391"/>
      <c r="G493" s="444" t="s">
        <v>299</v>
      </c>
      <c r="H493" s="1390" t="s">
        <v>202</v>
      </c>
      <c r="I493" s="1390" t="s">
        <v>65</v>
      </c>
    </row>
    <row r="494" spans="1:9" ht="18">
      <c r="A494" s="1391"/>
      <c r="B494" s="1481"/>
      <c r="C494" s="1391"/>
      <c r="D494" s="1391"/>
      <c r="E494" s="1391"/>
      <c r="F494" s="1391"/>
      <c r="G494" s="444" t="s">
        <v>170</v>
      </c>
      <c r="H494" s="1391"/>
      <c r="I494" s="1391"/>
    </row>
    <row r="495" spans="1:9" ht="18">
      <c r="A495" s="1395"/>
      <c r="B495" s="1491"/>
      <c r="C495" s="1391"/>
      <c r="D495" s="1395"/>
      <c r="E495" s="1395"/>
      <c r="F495" s="1391"/>
      <c r="G495" s="429" t="s">
        <v>50</v>
      </c>
      <c r="H495" s="1395"/>
      <c r="I495" s="1395"/>
    </row>
    <row r="496" spans="1:9" ht="18">
      <c r="A496" s="1390">
        <v>199</v>
      </c>
      <c r="B496" s="1480">
        <v>317</v>
      </c>
      <c r="C496" s="1391"/>
      <c r="D496" s="1390" t="s">
        <v>1610</v>
      </c>
      <c r="E496" s="1390" t="s">
        <v>2374</v>
      </c>
      <c r="F496" s="1391"/>
      <c r="G496" s="444" t="s">
        <v>299</v>
      </c>
      <c r="H496" s="1390" t="s">
        <v>202</v>
      </c>
      <c r="I496" s="1390" t="s">
        <v>65</v>
      </c>
    </row>
    <row r="497" spans="1:9" ht="18">
      <c r="A497" s="1391"/>
      <c r="B497" s="1481"/>
      <c r="C497" s="1391"/>
      <c r="D497" s="1391"/>
      <c r="E497" s="1391"/>
      <c r="F497" s="1391"/>
      <c r="G497" s="444" t="s">
        <v>170</v>
      </c>
      <c r="H497" s="1391"/>
      <c r="I497" s="1391"/>
    </row>
    <row r="498" spans="1:9" ht="18">
      <c r="A498" s="1395"/>
      <c r="B498" s="1491"/>
      <c r="C498" s="1391"/>
      <c r="D498" s="1395"/>
      <c r="E498" s="1395"/>
      <c r="F498" s="1391"/>
      <c r="G498" s="429" t="s">
        <v>50</v>
      </c>
      <c r="H498" s="1395"/>
      <c r="I498" s="1395"/>
    </row>
    <row r="499" spans="1:9" ht="18">
      <c r="A499" s="1390">
        <v>200</v>
      </c>
      <c r="B499" s="1480">
        <v>321</v>
      </c>
      <c r="C499" s="1391"/>
      <c r="D499" s="1390" t="s">
        <v>2378</v>
      </c>
      <c r="E499" s="1390" t="s">
        <v>2378</v>
      </c>
      <c r="F499" s="1391"/>
      <c r="G499" s="444" t="s">
        <v>167</v>
      </c>
      <c r="H499" s="1390" t="s">
        <v>202</v>
      </c>
      <c r="I499" s="1390" t="s">
        <v>65</v>
      </c>
    </row>
    <row r="500" spans="1:9" ht="18">
      <c r="A500" s="1391"/>
      <c r="B500" s="1481"/>
      <c r="C500" s="1391"/>
      <c r="D500" s="1391"/>
      <c r="E500" s="1391"/>
      <c r="F500" s="1391"/>
      <c r="G500" s="444" t="s">
        <v>170</v>
      </c>
      <c r="H500" s="1391"/>
      <c r="I500" s="1391"/>
    </row>
    <row r="501" spans="1:9" ht="18">
      <c r="A501" s="1395"/>
      <c r="B501" s="1491"/>
      <c r="C501" s="1391"/>
      <c r="D501" s="1395"/>
      <c r="E501" s="1395"/>
      <c r="F501" s="1391"/>
      <c r="G501" s="429" t="s">
        <v>50</v>
      </c>
      <c r="H501" s="1395"/>
      <c r="I501" s="1395"/>
    </row>
    <row r="502" spans="1:9" ht="18">
      <c r="A502" s="1390">
        <v>201</v>
      </c>
      <c r="B502" s="1480">
        <v>328</v>
      </c>
      <c r="C502" s="1391"/>
      <c r="D502" s="1390" t="s">
        <v>2384</v>
      </c>
      <c r="E502" s="1390" t="s">
        <v>2384</v>
      </c>
      <c r="F502" s="1391"/>
      <c r="G502" s="444" t="s">
        <v>299</v>
      </c>
      <c r="H502" s="1390" t="s">
        <v>202</v>
      </c>
      <c r="I502" s="1390" t="s">
        <v>65</v>
      </c>
    </row>
    <row r="503" spans="1:9" ht="18">
      <c r="A503" s="1391"/>
      <c r="B503" s="1481"/>
      <c r="C503" s="1391"/>
      <c r="D503" s="1391"/>
      <c r="E503" s="1391"/>
      <c r="F503" s="1391"/>
      <c r="G503" s="444" t="s">
        <v>170</v>
      </c>
      <c r="H503" s="1391"/>
      <c r="I503" s="1391"/>
    </row>
    <row r="504" spans="1:9" ht="18">
      <c r="A504" s="1395"/>
      <c r="B504" s="1491"/>
      <c r="C504" s="1391"/>
      <c r="D504" s="1395"/>
      <c r="E504" s="1395"/>
      <c r="F504" s="1391"/>
      <c r="G504" s="429" t="s">
        <v>50</v>
      </c>
      <c r="H504" s="1395"/>
      <c r="I504" s="1395"/>
    </row>
    <row r="505" spans="1:9" ht="18">
      <c r="A505" s="1390">
        <v>202</v>
      </c>
      <c r="B505" s="1480">
        <v>334</v>
      </c>
      <c r="C505" s="1391"/>
      <c r="D505" s="1390" t="s">
        <v>2388</v>
      </c>
      <c r="E505" s="1390" t="s">
        <v>2388</v>
      </c>
      <c r="F505" s="1391"/>
      <c r="G505" s="444" t="s">
        <v>2362</v>
      </c>
      <c r="H505" s="1390" t="s">
        <v>202</v>
      </c>
      <c r="I505" s="1390" t="s">
        <v>65</v>
      </c>
    </row>
    <row r="506" spans="1:9" ht="18">
      <c r="A506" s="1391"/>
      <c r="B506" s="1481"/>
      <c r="C506" s="1391"/>
      <c r="D506" s="1391"/>
      <c r="E506" s="1391"/>
      <c r="F506" s="1391"/>
      <c r="G506" s="444" t="s">
        <v>170</v>
      </c>
      <c r="H506" s="1391"/>
      <c r="I506" s="1391"/>
    </row>
    <row r="507" spans="1:9" ht="18">
      <c r="A507" s="1395"/>
      <c r="B507" s="1491"/>
      <c r="C507" s="1391"/>
      <c r="D507" s="1395"/>
      <c r="E507" s="1395"/>
      <c r="F507" s="1391"/>
      <c r="G507" s="429" t="s">
        <v>56</v>
      </c>
      <c r="H507" s="1395"/>
      <c r="I507" s="1395"/>
    </row>
    <row r="508" spans="1:9" ht="18">
      <c r="A508" s="1390">
        <v>203</v>
      </c>
      <c r="B508" s="1480">
        <v>335</v>
      </c>
      <c r="C508" s="1391"/>
      <c r="D508" s="1390" t="s">
        <v>2394</v>
      </c>
      <c r="E508" s="1390" t="s">
        <v>2395</v>
      </c>
      <c r="F508" s="1391"/>
      <c r="G508" s="444" t="s">
        <v>299</v>
      </c>
      <c r="H508" s="1390" t="s">
        <v>202</v>
      </c>
      <c r="I508" s="1390" t="s">
        <v>65</v>
      </c>
    </row>
    <row r="509" spans="1:9" ht="18">
      <c r="A509" s="1391"/>
      <c r="B509" s="1481"/>
      <c r="C509" s="1391"/>
      <c r="D509" s="1391"/>
      <c r="E509" s="1391"/>
      <c r="F509" s="1391"/>
      <c r="G509" s="444" t="s">
        <v>170</v>
      </c>
      <c r="H509" s="1391"/>
      <c r="I509" s="1391"/>
    </row>
    <row r="510" spans="1:9" ht="18">
      <c r="A510" s="1391"/>
      <c r="B510" s="1481"/>
      <c r="C510" s="1391"/>
      <c r="D510" s="1391"/>
      <c r="E510" s="1391"/>
      <c r="F510" s="1391"/>
      <c r="G510" s="429" t="s">
        <v>56</v>
      </c>
      <c r="H510" s="1391"/>
      <c r="I510" s="1391"/>
    </row>
    <row r="511" spans="1:9" ht="18">
      <c r="A511" s="1390">
        <v>204</v>
      </c>
      <c r="B511" s="1480">
        <v>363</v>
      </c>
      <c r="C511" s="1391"/>
      <c r="D511" s="1390" t="s">
        <v>2400</v>
      </c>
      <c r="E511" s="1390" t="s">
        <v>2400</v>
      </c>
      <c r="F511" s="1391"/>
      <c r="G511" s="444" t="s">
        <v>170</v>
      </c>
      <c r="H511" s="1390" t="s">
        <v>202</v>
      </c>
      <c r="I511" s="1390" t="s">
        <v>65</v>
      </c>
    </row>
    <row r="512" spans="1:9" ht="18">
      <c r="A512" s="1391"/>
      <c r="B512" s="1481"/>
      <c r="C512" s="1391"/>
      <c r="D512" s="1391"/>
      <c r="E512" s="1391"/>
      <c r="F512" s="1391"/>
      <c r="G512" s="444" t="s">
        <v>170</v>
      </c>
      <c r="H512" s="1391"/>
      <c r="I512" s="1391"/>
    </row>
    <row r="513" spans="1:9" ht="18">
      <c r="A513" s="1395"/>
      <c r="B513" s="1491"/>
      <c r="C513" s="1391"/>
      <c r="D513" s="1395"/>
      <c r="E513" s="1395"/>
      <c r="F513" s="1391"/>
      <c r="G513" s="429" t="s">
        <v>56</v>
      </c>
      <c r="H513" s="1395"/>
      <c r="I513" s="1395"/>
    </row>
    <row r="514" spans="1:9" ht="18">
      <c r="A514" s="1390">
        <v>205</v>
      </c>
      <c r="B514" s="1480">
        <v>368</v>
      </c>
      <c r="C514" s="1391"/>
      <c r="D514" s="1390" t="s">
        <v>1610</v>
      </c>
      <c r="E514" s="1390" t="s">
        <v>2402</v>
      </c>
      <c r="F514" s="1391"/>
      <c r="G514" s="444" t="s">
        <v>299</v>
      </c>
      <c r="H514" s="1390" t="s">
        <v>202</v>
      </c>
      <c r="I514" s="1390" t="s">
        <v>65</v>
      </c>
    </row>
    <row r="515" spans="1:9" ht="18">
      <c r="A515" s="1391"/>
      <c r="B515" s="1481"/>
      <c r="C515" s="1391"/>
      <c r="D515" s="1391"/>
      <c r="E515" s="1391"/>
      <c r="F515" s="1391"/>
      <c r="G515" s="444" t="s">
        <v>170</v>
      </c>
      <c r="H515" s="1391"/>
      <c r="I515" s="1391"/>
    </row>
    <row r="516" spans="1:9" ht="18">
      <c r="A516" s="1395"/>
      <c r="B516" s="1491"/>
      <c r="C516" s="1391"/>
      <c r="D516" s="1391"/>
      <c r="E516" s="1395"/>
      <c r="F516" s="1391"/>
      <c r="G516" s="429" t="s">
        <v>50</v>
      </c>
      <c r="H516" s="1395"/>
      <c r="I516" s="1395"/>
    </row>
    <row r="517" spans="1:9" ht="18">
      <c r="A517" s="1390">
        <v>206</v>
      </c>
      <c r="B517" s="1480">
        <v>430</v>
      </c>
      <c r="C517" s="1391"/>
      <c r="D517" s="1391"/>
      <c r="E517" s="1390" t="s">
        <v>2408</v>
      </c>
      <c r="F517" s="1391"/>
      <c r="G517" s="444" t="s">
        <v>299</v>
      </c>
      <c r="H517" s="1390" t="s">
        <v>202</v>
      </c>
      <c r="I517" s="1390" t="s">
        <v>65</v>
      </c>
    </row>
    <row r="518" spans="1:9" ht="18">
      <c r="A518" s="1391"/>
      <c r="B518" s="1481"/>
      <c r="C518" s="1391"/>
      <c r="D518" s="1391"/>
      <c r="E518" s="1391"/>
      <c r="F518" s="1391"/>
      <c r="G518" s="444" t="s">
        <v>170</v>
      </c>
      <c r="H518" s="1391"/>
      <c r="I518" s="1391"/>
    </row>
    <row r="519" spans="1:9" ht="18">
      <c r="A519" s="1395"/>
      <c r="B519" s="1491"/>
      <c r="C519" s="1391"/>
      <c r="D519" s="1395"/>
      <c r="E519" s="1395"/>
      <c r="F519" s="1391"/>
      <c r="G519" s="429" t="s">
        <v>50</v>
      </c>
      <c r="H519" s="1395"/>
      <c r="I519" s="1395"/>
    </row>
    <row r="520" spans="1:9" ht="18">
      <c r="A520" s="1390">
        <v>207</v>
      </c>
      <c r="B520" s="1480">
        <v>432</v>
      </c>
      <c r="C520" s="1391"/>
      <c r="D520" s="1390" t="s">
        <v>2411</v>
      </c>
      <c r="E520" s="1488" t="s">
        <v>2411</v>
      </c>
      <c r="F520" s="1391"/>
      <c r="G520" s="444" t="s">
        <v>299</v>
      </c>
      <c r="H520" s="1390" t="s">
        <v>202</v>
      </c>
      <c r="I520" s="1390" t="s">
        <v>65</v>
      </c>
    </row>
    <row r="521" spans="1:9" ht="18">
      <c r="A521" s="1391"/>
      <c r="B521" s="1481"/>
      <c r="C521" s="1391"/>
      <c r="D521" s="1391"/>
      <c r="E521" s="1489"/>
      <c r="F521" s="1391"/>
      <c r="G521" s="444" t="s">
        <v>170</v>
      </c>
      <c r="H521" s="1391"/>
      <c r="I521" s="1391"/>
    </row>
    <row r="522" spans="1:9" ht="18">
      <c r="A522" s="1391"/>
      <c r="B522" s="1481"/>
      <c r="C522" s="1391"/>
      <c r="D522" s="1391"/>
      <c r="E522" s="1489"/>
      <c r="F522" s="1391"/>
      <c r="G522" s="429" t="s">
        <v>50</v>
      </c>
      <c r="H522" s="1391"/>
      <c r="I522" s="1391"/>
    </row>
    <row r="523" spans="1:9" ht="18">
      <c r="A523" s="1395"/>
      <c r="B523" s="1491"/>
      <c r="C523" s="1391"/>
      <c r="D523" s="1395"/>
      <c r="E523" s="1490"/>
      <c r="F523" s="1391"/>
      <c r="G523" s="429" t="s">
        <v>56</v>
      </c>
      <c r="H523" s="1395"/>
      <c r="I523" s="1395"/>
    </row>
    <row r="524" spans="1:9" ht="18">
      <c r="A524" s="1390">
        <v>208</v>
      </c>
      <c r="B524" s="1480">
        <v>514</v>
      </c>
      <c r="C524" s="1391"/>
      <c r="D524" s="1390" t="s">
        <v>2326</v>
      </c>
      <c r="E524" s="1390" t="s">
        <v>2415</v>
      </c>
      <c r="F524" s="1391"/>
      <c r="G524" s="444" t="s">
        <v>299</v>
      </c>
      <c r="H524" s="1390" t="s">
        <v>202</v>
      </c>
      <c r="I524" s="1390" t="s">
        <v>65</v>
      </c>
    </row>
    <row r="525" spans="1:9" ht="18">
      <c r="A525" s="1391"/>
      <c r="B525" s="1481"/>
      <c r="C525" s="1391"/>
      <c r="D525" s="1391"/>
      <c r="E525" s="1391"/>
      <c r="F525" s="1391"/>
      <c r="G525" s="444" t="s">
        <v>170</v>
      </c>
      <c r="H525" s="1391"/>
      <c r="I525" s="1391"/>
    </row>
    <row r="526" spans="1:9" ht="18">
      <c r="A526" s="1395"/>
      <c r="B526" s="1491"/>
      <c r="C526" s="1391"/>
      <c r="D526" s="1395"/>
      <c r="E526" s="1395"/>
      <c r="F526" s="1391"/>
      <c r="G526" s="429" t="s">
        <v>50</v>
      </c>
      <c r="H526" s="1395"/>
      <c r="I526" s="1395"/>
    </row>
    <row r="527" spans="1:9" ht="18">
      <c r="A527" s="1390">
        <v>209</v>
      </c>
      <c r="B527" s="1480">
        <v>538</v>
      </c>
      <c r="C527" s="1391"/>
      <c r="D527" s="1390" t="s">
        <v>2420</v>
      </c>
      <c r="E527" s="1390" t="s">
        <v>2420</v>
      </c>
      <c r="F527" s="1391"/>
      <c r="G527" s="444" t="s">
        <v>2362</v>
      </c>
      <c r="H527" s="1390" t="s">
        <v>202</v>
      </c>
      <c r="I527" s="1390" t="s">
        <v>65</v>
      </c>
    </row>
    <row r="528" spans="1:9" ht="18">
      <c r="A528" s="1391"/>
      <c r="B528" s="1481"/>
      <c r="C528" s="1391"/>
      <c r="D528" s="1391"/>
      <c r="E528" s="1391"/>
      <c r="F528" s="1391"/>
      <c r="G528" s="444" t="s">
        <v>170</v>
      </c>
      <c r="H528" s="1391"/>
      <c r="I528" s="1391"/>
    </row>
    <row r="529" spans="1:9" ht="18">
      <c r="A529" s="1395"/>
      <c r="B529" s="1491"/>
      <c r="C529" s="1391"/>
      <c r="D529" s="1395"/>
      <c r="E529" s="1395"/>
      <c r="F529" s="1391"/>
      <c r="G529" s="429" t="s">
        <v>50</v>
      </c>
      <c r="H529" s="1395"/>
      <c r="I529" s="1395"/>
    </row>
    <row r="530" spans="1:9" ht="18">
      <c r="A530" s="1390">
        <v>210</v>
      </c>
      <c r="B530" s="1825">
        <v>547</v>
      </c>
      <c r="C530" s="1391"/>
      <c r="D530" s="1390" t="s">
        <v>2428</v>
      </c>
      <c r="E530" s="1390" t="s">
        <v>2428</v>
      </c>
      <c r="F530" s="1391"/>
      <c r="G530" s="444" t="s">
        <v>2362</v>
      </c>
      <c r="H530" s="1390" t="s">
        <v>202</v>
      </c>
      <c r="I530" s="1390" t="s">
        <v>65</v>
      </c>
    </row>
    <row r="531" spans="1:9" ht="18">
      <c r="A531" s="1391"/>
      <c r="B531" s="1826"/>
      <c r="C531" s="1391"/>
      <c r="D531" s="1391"/>
      <c r="E531" s="1391"/>
      <c r="F531" s="1391"/>
      <c r="G531" s="429" t="s">
        <v>50</v>
      </c>
      <c r="H531" s="1391"/>
      <c r="I531" s="1391"/>
    </row>
    <row r="532" spans="1:9" ht="18">
      <c r="A532" s="1395"/>
      <c r="B532" s="1827"/>
      <c r="C532" s="1391"/>
      <c r="D532" s="1395"/>
      <c r="E532" s="1395"/>
      <c r="F532" s="1391"/>
      <c r="G532" s="429" t="s">
        <v>56</v>
      </c>
      <c r="H532" s="1395"/>
      <c r="I532" s="1395"/>
    </row>
    <row r="533" spans="1:9" ht="18">
      <c r="A533" s="1390">
        <v>211</v>
      </c>
      <c r="B533" s="1825">
        <v>549</v>
      </c>
      <c r="C533" s="1391"/>
      <c r="D533" s="1390" t="s">
        <v>2432</v>
      </c>
      <c r="E533" s="1390" t="s">
        <v>2432</v>
      </c>
      <c r="F533" s="1391"/>
      <c r="G533" s="444" t="s">
        <v>167</v>
      </c>
      <c r="H533" s="1390" t="s">
        <v>202</v>
      </c>
      <c r="I533" s="1390" t="s">
        <v>65</v>
      </c>
    </row>
    <row r="534" spans="1:9" ht="18">
      <c r="A534" s="1391"/>
      <c r="B534" s="1826"/>
      <c r="C534" s="1391"/>
      <c r="D534" s="1391"/>
      <c r="E534" s="1391"/>
      <c r="F534" s="1391"/>
      <c r="G534" s="444" t="s">
        <v>170</v>
      </c>
      <c r="H534" s="1391"/>
      <c r="I534" s="1391"/>
    </row>
    <row r="535" spans="1:9" ht="18">
      <c r="A535" s="1395"/>
      <c r="B535" s="1827"/>
      <c r="C535" s="1391"/>
      <c r="D535" s="1395"/>
      <c r="E535" s="1395"/>
      <c r="F535" s="1391"/>
      <c r="G535" s="429" t="s">
        <v>56</v>
      </c>
      <c r="H535" s="1395"/>
      <c r="I535" s="1395"/>
    </row>
    <row r="536" spans="1:9" ht="18">
      <c r="A536" s="1390">
        <v>212</v>
      </c>
      <c r="B536" s="1825">
        <v>551</v>
      </c>
      <c r="C536" s="1391"/>
      <c r="D536" s="1390" t="s">
        <v>2438</v>
      </c>
      <c r="E536" s="1390" t="s">
        <v>2438</v>
      </c>
      <c r="F536" s="1391"/>
      <c r="G536" s="444" t="s">
        <v>2362</v>
      </c>
      <c r="H536" s="1390" t="s">
        <v>202</v>
      </c>
      <c r="I536" s="1390" t="s">
        <v>65</v>
      </c>
    </row>
    <row r="537" spans="1:9" ht="18">
      <c r="A537" s="1391"/>
      <c r="B537" s="1826"/>
      <c r="C537" s="1391"/>
      <c r="D537" s="1391"/>
      <c r="E537" s="1391"/>
      <c r="F537" s="1391"/>
      <c r="G537" s="444" t="s">
        <v>170</v>
      </c>
      <c r="H537" s="1391"/>
      <c r="I537" s="1391"/>
    </row>
    <row r="538" spans="1:9" ht="18">
      <c r="A538" s="1395"/>
      <c r="B538" s="1827"/>
      <c r="C538" s="1395"/>
      <c r="D538" s="1395"/>
      <c r="E538" s="1395"/>
      <c r="F538" s="1395"/>
      <c r="G538" s="429" t="s">
        <v>56</v>
      </c>
      <c r="H538" s="1395"/>
      <c r="I538" s="1395"/>
    </row>
    <row r="539" spans="1:9">
      <c r="A539" s="1390">
        <v>213</v>
      </c>
      <c r="B539" s="1492">
        <v>543</v>
      </c>
      <c r="C539" s="1452" t="s">
        <v>2592</v>
      </c>
      <c r="D539" s="1390" t="s">
        <v>2593</v>
      </c>
      <c r="E539" s="1390" t="s">
        <v>2768</v>
      </c>
      <c r="F539" s="1452" t="s">
        <v>2592</v>
      </c>
      <c r="G539" s="1450" t="s">
        <v>2925</v>
      </c>
      <c r="H539" s="1452" t="s">
        <v>2772</v>
      </c>
      <c r="I539" s="1452" t="s">
        <v>2782</v>
      </c>
    </row>
    <row r="540" spans="1:9">
      <c r="A540" s="1391"/>
      <c r="B540" s="1493"/>
      <c r="C540" s="1566"/>
      <c r="D540" s="1391"/>
      <c r="E540" s="1391"/>
      <c r="F540" s="1566"/>
      <c r="G540" s="1451"/>
      <c r="H540" s="1452"/>
      <c r="I540" s="1452"/>
    </row>
    <row r="541" spans="1:9">
      <c r="A541" s="1391"/>
      <c r="B541" s="1493"/>
      <c r="C541" s="1566"/>
      <c r="D541" s="1391"/>
      <c r="E541" s="1391"/>
      <c r="F541" s="1566"/>
      <c r="G541" s="1619"/>
      <c r="H541" s="1452"/>
      <c r="I541" s="1452"/>
    </row>
    <row r="542" spans="1:9" ht="18">
      <c r="A542" s="1395"/>
      <c r="B542" s="1494"/>
      <c r="C542" s="1566"/>
      <c r="D542" s="1391"/>
      <c r="E542" s="1395"/>
      <c r="F542" s="1566"/>
      <c r="G542" s="429" t="s">
        <v>56</v>
      </c>
      <c r="H542" s="1452"/>
      <c r="I542" s="1452"/>
    </row>
    <row r="543" spans="1:9" ht="18">
      <c r="A543" s="1390">
        <v>214</v>
      </c>
      <c r="B543" s="1480">
        <v>336</v>
      </c>
      <c r="C543" s="1566"/>
      <c r="D543" s="1391"/>
      <c r="E543" s="1390" t="s">
        <v>2593</v>
      </c>
      <c r="F543" s="1566"/>
      <c r="G543" s="444" t="s">
        <v>2595</v>
      </c>
      <c r="H543" s="1390" t="s">
        <v>985</v>
      </c>
      <c r="I543" s="1452" t="s">
        <v>65</v>
      </c>
    </row>
    <row r="544" spans="1:9" ht="18">
      <c r="A544" s="1395"/>
      <c r="B544" s="1491"/>
      <c r="C544" s="1566"/>
      <c r="D544" s="1391"/>
      <c r="E544" s="1395"/>
      <c r="F544" s="1566"/>
      <c r="G544" s="444" t="s">
        <v>2595</v>
      </c>
      <c r="H544" s="1395"/>
      <c r="I544" s="1452"/>
    </row>
    <row r="545" spans="1:9" ht="18">
      <c r="A545" s="1390">
        <v>215</v>
      </c>
      <c r="B545" s="1480">
        <v>371</v>
      </c>
      <c r="C545" s="1566"/>
      <c r="D545" s="1391"/>
      <c r="E545" s="1390" t="s">
        <v>2605</v>
      </c>
      <c r="F545" s="1566"/>
      <c r="G545" s="444" t="s">
        <v>2595</v>
      </c>
      <c r="H545" s="1390" t="s">
        <v>202</v>
      </c>
      <c r="I545" s="1452" t="s">
        <v>65</v>
      </c>
    </row>
    <row r="546" spans="1:9" ht="18">
      <c r="A546" s="1395"/>
      <c r="B546" s="1491"/>
      <c r="C546" s="1566"/>
      <c r="D546" s="1395"/>
      <c r="E546" s="1395"/>
      <c r="F546" s="1566"/>
      <c r="G546" s="444" t="s">
        <v>2595</v>
      </c>
      <c r="H546" s="1395"/>
      <c r="I546" s="1452"/>
    </row>
    <row r="547" spans="1:9" ht="18">
      <c r="A547" s="1390">
        <v>216</v>
      </c>
      <c r="B547" s="1480">
        <v>385</v>
      </c>
      <c r="C547" s="1566"/>
      <c r="D547" s="1390" t="s">
        <v>2609</v>
      </c>
      <c r="E547" s="1390" t="s">
        <v>2609</v>
      </c>
      <c r="F547" s="1566"/>
      <c r="G547" s="444" t="s">
        <v>2595</v>
      </c>
      <c r="H547" s="1390" t="s">
        <v>202</v>
      </c>
      <c r="I547" s="1452" t="s">
        <v>65</v>
      </c>
    </row>
    <row r="548" spans="1:9" ht="18">
      <c r="A548" s="1395"/>
      <c r="B548" s="1491"/>
      <c r="C548" s="1566"/>
      <c r="D548" s="1395"/>
      <c r="E548" s="1395"/>
      <c r="F548" s="1566"/>
      <c r="G548" s="444" t="s">
        <v>2595</v>
      </c>
      <c r="H548" s="1395"/>
      <c r="I548" s="1452"/>
    </row>
    <row r="549" spans="1:9" ht="18">
      <c r="A549" s="1390">
        <v>217</v>
      </c>
      <c r="B549" s="1480">
        <v>389</v>
      </c>
      <c r="C549" s="1566"/>
      <c r="D549" s="1390" t="s">
        <v>2614</v>
      </c>
      <c r="E549" s="1390" t="s">
        <v>2614</v>
      </c>
      <c r="F549" s="1566"/>
      <c r="G549" s="444" t="s">
        <v>2595</v>
      </c>
      <c r="H549" s="1390" t="s">
        <v>202</v>
      </c>
      <c r="I549" s="1390" t="s">
        <v>65</v>
      </c>
    </row>
    <row r="550" spans="1:9" ht="18">
      <c r="A550" s="1391"/>
      <c r="B550" s="1481"/>
      <c r="C550" s="1566"/>
      <c r="D550" s="1391"/>
      <c r="E550" s="1391"/>
      <c r="F550" s="1566"/>
      <c r="G550" s="444" t="s">
        <v>2595</v>
      </c>
      <c r="H550" s="1391"/>
      <c r="I550" s="1391"/>
    </row>
    <row r="551" spans="1:9" ht="18">
      <c r="A551" s="1395"/>
      <c r="B551" s="1491"/>
      <c r="C551" s="1566"/>
      <c r="D551" s="1395"/>
      <c r="E551" s="1395"/>
      <c r="F551" s="1566"/>
      <c r="G551" s="429" t="s">
        <v>56</v>
      </c>
      <c r="H551" s="1395"/>
      <c r="I551" s="1395"/>
    </row>
    <row r="552" spans="1:9" ht="18">
      <c r="A552" s="1390">
        <v>218</v>
      </c>
      <c r="B552" s="1480">
        <v>422</v>
      </c>
      <c r="C552" s="1566"/>
      <c r="D552" s="1390" t="s">
        <v>2621</v>
      </c>
      <c r="E552" s="1390" t="s">
        <v>2622</v>
      </c>
      <c r="F552" s="1566"/>
      <c r="G552" s="444" t="s">
        <v>2595</v>
      </c>
      <c r="H552" s="1390" t="s">
        <v>202</v>
      </c>
      <c r="I552" s="1452" t="s">
        <v>65</v>
      </c>
    </row>
    <row r="553" spans="1:9" ht="18">
      <c r="A553" s="1395"/>
      <c r="B553" s="1491"/>
      <c r="C553" s="1566"/>
      <c r="D553" s="1395"/>
      <c r="E553" s="1395"/>
      <c r="F553" s="1566"/>
      <c r="G553" s="444" t="s">
        <v>2595</v>
      </c>
      <c r="H553" s="1395"/>
      <c r="I553" s="1452"/>
    </row>
    <row r="554" spans="1:9" ht="18">
      <c r="A554" s="1390">
        <v>219</v>
      </c>
      <c r="B554" s="1480">
        <v>436</v>
      </c>
      <c r="C554" s="1566"/>
      <c r="D554" s="1390" t="s">
        <v>2627</v>
      </c>
      <c r="E554" s="1390" t="s">
        <v>2627</v>
      </c>
      <c r="F554" s="1566"/>
      <c r="G554" s="444" t="s">
        <v>2595</v>
      </c>
      <c r="H554" s="1390" t="s">
        <v>202</v>
      </c>
      <c r="I554" s="1452" t="s">
        <v>65</v>
      </c>
    </row>
    <row r="555" spans="1:9" ht="18">
      <c r="A555" s="1395"/>
      <c r="B555" s="1491"/>
      <c r="C555" s="1566"/>
      <c r="D555" s="1395"/>
      <c r="E555" s="1395"/>
      <c r="F555" s="1566"/>
      <c r="G555" s="444" t="s">
        <v>2595</v>
      </c>
      <c r="H555" s="1395"/>
      <c r="I555" s="1452"/>
    </row>
    <row r="556" spans="1:9" ht="18">
      <c r="A556" s="1390">
        <v>220</v>
      </c>
      <c r="B556" s="1480">
        <v>439</v>
      </c>
      <c r="C556" s="1566"/>
      <c r="D556" s="1390" t="s">
        <v>2593</v>
      </c>
      <c r="E556" s="1390" t="s">
        <v>2632</v>
      </c>
      <c r="F556" s="1566"/>
      <c r="G556" s="444" t="s">
        <v>2595</v>
      </c>
      <c r="H556" s="1390" t="s">
        <v>202</v>
      </c>
      <c r="I556" s="1452" t="s">
        <v>65</v>
      </c>
    </row>
    <row r="557" spans="1:9" ht="18">
      <c r="A557" s="1395"/>
      <c r="B557" s="1491"/>
      <c r="C557" s="1566"/>
      <c r="D557" s="1395"/>
      <c r="E557" s="1395"/>
      <c r="F557" s="1566"/>
      <c r="G557" s="444" t="s">
        <v>2595</v>
      </c>
      <c r="H557" s="1395"/>
      <c r="I557" s="1452"/>
    </row>
    <row r="558" spans="1:9" ht="18">
      <c r="A558" s="1390">
        <v>221</v>
      </c>
      <c r="B558" s="1480">
        <v>448</v>
      </c>
      <c r="C558" s="1566"/>
      <c r="D558" s="1390" t="s">
        <v>2636</v>
      </c>
      <c r="E558" s="1390" t="s">
        <v>2636</v>
      </c>
      <c r="F558" s="1566"/>
      <c r="G558" s="444" t="s">
        <v>2595</v>
      </c>
      <c r="H558" s="1390" t="s">
        <v>202</v>
      </c>
      <c r="I558" s="1452" t="s">
        <v>65</v>
      </c>
    </row>
    <row r="559" spans="1:9" ht="18">
      <c r="A559" s="1395"/>
      <c r="B559" s="1491"/>
      <c r="C559" s="1566"/>
      <c r="D559" s="1395"/>
      <c r="E559" s="1395"/>
      <c r="F559" s="1566"/>
      <c r="G559" s="444" t="s">
        <v>2595</v>
      </c>
      <c r="H559" s="1395"/>
      <c r="I559" s="1452"/>
    </row>
    <row r="560" spans="1:9" ht="18">
      <c r="A560" s="1390">
        <v>222</v>
      </c>
      <c r="B560" s="1480">
        <v>520</v>
      </c>
      <c r="C560" s="1566"/>
      <c r="D560" s="1390" t="s">
        <v>2641</v>
      </c>
      <c r="E560" s="1390" t="s">
        <v>2641</v>
      </c>
      <c r="F560" s="1566"/>
      <c r="G560" s="444" t="s">
        <v>2595</v>
      </c>
      <c r="H560" s="1390" t="s">
        <v>202</v>
      </c>
      <c r="I560" s="1452" t="s">
        <v>65</v>
      </c>
    </row>
    <row r="561" spans="1:9" ht="18">
      <c r="A561" s="1395"/>
      <c r="B561" s="1491"/>
      <c r="C561" s="1566"/>
      <c r="D561" s="1395"/>
      <c r="E561" s="1395"/>
      <c r="F561" s="1566"/>
      <c r="G561" s="444" t="s">
        <v>2595</v>
      </c>
      <c r="H561" s="1395"/>
      <c r="I561" s="1452"/>
    </row>
    <row r="562" spans="1:9" ht="18">
      <c r="A562" s="1390">
        <v>223</v>
      </c>
      <c r="B562" s="1480">
        <v>542</v>
      </c>
      <c r="C562" s="1566"/>
      <c r="D562" s="1390" t="s">
        <v>2593</v>
      </c>
      <c r="E562" s="1390" t="s">
        <v>1543</v>
      </c>
      <c r="F562" s="1566"/>
      <c r="G562" s="429" t="s">
        <v>50</v>
      </c>
      <c r="H562" s="1390" t="s">
        <v>202</v>
      </c>
      <c r="I562" s="1452" t="s">
        <v>65</v>
      </c>
    </row>
    <row r="563" spans="1:9" ht="18">
      <c r="A563" s="1395"/>
      <c r="B563" s="1491"/>
      <c r="C563" s="1566"/>
      <c r="D563" s="1395"/>
      <c r="E563" s="1395"/>
      <c r="F563" s="1566"/>
      <c r="G563" s="429" t="s">
        <v>56</v>
      </c>
      <c r="H563" s="1395"/>
      <c r="I563" s="1452"/>
    </row>
    <row r="564" spans="1:9">
      <c r="A564" s="1390">
        <v>224</v>
      </c>
      <c r="B564" s="1480" t="s">
        <v>5</v>
      </c>
      <c r="C564" s="1566"/>
      <c r="D564" s="1390" t="s">
        <v>5</v>
      </c>
      <c r="E564" s="1390" t="s">
        <v>2593</v>
      </c>
      <c r="F564" s="1566"/>
      <c r="G564" s="1390" t="s">
        <v>2925</v>
      </c>
      <c r="H564" s="1390" t="s">
        <v>202</v>
      </c>
      <c r="I564" s="1452" t="s">
        <v>2946</v>
      </c>
    </row>
    <row r="565" spans="1:9">
      <c r="A565" s="1395"/>
      <c r="B565" s="1491"/>
      <c r="C565" s="1566"/>
      <c r="D565" s="1395"/>
      <c r="E565" s="1395"/>
      <c r="F565" s="1566"/>
      <c r="G565" s="1395"/>
      <c r="H565" s="1395"/>
      <c r="I565" s="1452"/>
    </row>
    <row r="566" spans="1:9">
      <c r="A566" s="1422">
        <v>225</v>
      </c>
      <c r="B566" s="1523">
        <v>332</v>
      </c>
      <c r="C566" s="1422" t="s">
        <v>2969</v>
      </c>
      <c r="D566" s="1422" t="s">
        <v>2969</v>
      </c>
      <c r="E566" s="1422" t="s">
        <v>2969</v>
      </c>
      <c r="F566" s="1422" t="s">
        <v>2970</v>
      </c>
      <c r="G566" s="1517" t="s">
        <v>2976</v>
      </c>
      <c r="H566" s="1529" t="s">
        <v>93</v>
      </c>
      <c r="I566" s="1529" t="s">
        <v>242</v>
      </c>
    </row>
    <row r="567" spans="1:9">
      <c r="A567" s="1423"/>
      <c r="B567" s="1524"/>
      <c r="C567" s="1423"/>
      <c r="D567" s="1423"/>
      <c r="E567" s="1423"/>
      <c r="F567" s="1423"/>
      <c r="G567" s="1518"/>
      <c r="H567" s="1530"/>
      <c r="I567" s="1530"/>
    </row>
    <row r="568" spans="1:9">
      <c r="A568" s="1423"/>
      <c r="B568" s="1524"/>
      <c r="C568" s="1423"/>
      <c r="D568" s="1423"/>
      <c r="E568" s="1423"/>
      <c r="F568" s="1423"/>
      <c r="G568" s="1519"/>
      <c r="H568" s="1530"/>
      <c r="I568" s="1530"/>
    </row>
    <row r="569" spans="1:9" ht="18">
      <c r="A569" s="1508"/>
      <c r="B569" s="1525"/>
      <c r="C569" s="1423"/>
      <c r="D569" s="1423"/>
      <c r="E569" s="1508"/>
      <c r="F569" s="1423"/>
      <c r="G569" s="441" t="s">
        <v>56</v>
      </c>
      <c r="H569" s="1531"/>
      <c r="I569" s="1531"/>
    </row>
    <row r="570" spans="1:9" ht="18">
      <c r="A570" s="1422">
        <v>226</v>
      </c>
      <c r="B570" s="1512">
        <v>357</v>
      </c>
      <c r="C570" s="1423"/>
      <c r="D570" s="1423"/>
      <c r="E570" s="1422" t="s">
        <v>2982</v>
      </c>
      <c r="F570" s="1423"/>
      <c r="G570" s="442" t="s">
        <v>299</v>
      </c>
      <c r="H570" s="1422" t="s">
        <v>202</v>
      </c>
      <c r="I570" s="1528" t="s">
        <v>65</v>
      </c>
    </row>
    <row r="571" spans="1:9" ht="18">
      <c r="A571" s="1423"/>
      <c r="B571" s="1621"/>
      <c r="C571" s="1423"/>
      <c r="D571" s="1423"/>
      <c r="E571" s="1423"/>
      <c r="F571" s="1423"/>
      <c r="G571" s="442" t="s">
        <v>299</v>
      </c>
      <c r="H571" s="1423"/>
      <c r="I571" s="1528"/>
    </row>
    <row r="572" spans="1:9" ht="18">
      <c r="A572" s="1508"/>
      <c r="B572" s="1513"/>
      <c r="C572" s="1508"/>
      <c r="D572" s="1508"/>
      <c r="E572" s="1508"/>
      <c r="F572" s="1508"/>
      <c r="G572" s="429" t="s">
        <v>50</v>
      </c>
      <c r="H572" s="1508"/>
      <c r="I572" s="1528"/>
    </row>
    <row r="573" spans="1:9" ht="18">
      <c r="A573" s="1450">
        <v>227</v>
      </c>
      <c r="B573" s="1631">
        <v>359</v>
      </c>
      <c r="C573" s="1625" t="s">
        <v>3001</v>
      </c>
      <c r="D573" s="1625" t="s">
        <v>3002</v>
      </c>
      <c r="E573" s="1625" t="s">
        <v>3001</v>
      </c>
      <c r="F573" s="1625" t="s">
        <v>235</v>
      </c>
      <c r="G573" s="452" t="s">
        <v>299</v>
      </c>
      <c r="H573" s="1628" t="s">
        <v>93</v>
      </c>
      <c r="I573" s="1628" t="s">
        <v>65</v>
      </c>
    </row>
    <row r="574" spans="1:9" ht="18">
      <c r="A574" s="1451"/>
      <c r="B574" s="1632"/>
      <c r="C574" s="1627"/>
      <c r="D574" s="1627"/>
      <c r="E574" s="1627"/>
      <c r="F574" s="1627"/>
      <c r="G574" s="452" t="s">
        <v>170</v>
      </c>
      <c r="H574" s="1629"/>
      <c r="I574" s="1629"/>
    </row>
    <row r="575" spans="1:9" ht="18">
      <c r="A575" s="1451"/>
      <c r="B575" s="1632"/>
      <c r="C575" s="1627"/>
      <c r="D575" s="1627"/>
      <c r="E575" s="1627"/>
      <c r="F575" s="1627"/>
      <c r="G575" s="452" t="s">
        <v>151</v>
      </c>
      <c r="H575" s="1629"/>
      <c r="I575" s="1629"/>
    </row>
    <row r="576" spans="1:9" ht="18">
      <c r="A576" s="1619"/>
      <c r="B576" s="1633"/>
      <c r="C576" s="1627"/>
      <c r="D576" s="1626"/>
      <c r="E576" s="1626"/>
      <c r="F576" s="1627"/>
      <c r="G576" s="429" t="s">
        <v>56</v>
      </c>
      <c r="H576" s="1630"/>
      <c r="I576" s="1630"/>
    </row>
    <row r="577" spans="1:9" ht="18">
      <c r="A577" s="1450">
        <v>228</v>
      </c>
      <c r="B577" s="1471">
        <v>444</v>
      </c>
      <c r="C577" s="1627"/>
      <c r="D577" s="1625" t="s">
        <v>3008</v>
      </c>
      <c r="E577" s="1625" t="s">
        <v>3008</v>
      </c>
      <c r="F577" s="1627"/>
      <c r="G577" s="452" t="s">
        <v>1726</v>
      </c>
      <c r="H577" s="1450" t="s">
        <v>202</v>
      </c>
      <c r="I577" s="1505" t="s">
        <v>65</v>
      </c>
    </row>
    <row r="578" spans="1:9" ht="18">
      <c r="A578" s="1619"/>
      <c r="B578" s="1472"/>
      <c r="C578" s="1626"/>
      <c r="D578" s="1626"/>
      <c r="E578" s="1626"/>
      <c r="F578" s="1626"/>
      <c r="G578" s="452" t="s">
        <v>170</v>
      </c>
      <c r="H578" s="1619"/>
      <c r="I578" s="1505"/>
    </row>
    <row r="579" spans="1:9">
      <c r="A579" s="1533">
        <v>229</v>
      </c>
      <c r="B579" s="1523">
        <v>401</v>
      </c>
      <c r="C579" s="1533" t="s">
        <v>3467</v>
      </c>
      <c r="D579" s="1533" t="s">
        <v>3468</v>
      </c>
      <c r="E579" s="1533" t="s">
        <v>3468</v>
      </c>
      <c r="F579" s="1533" t="s">
        <v>2970</v>
      </c>
      <c r="G579" s="1533" t="s">
        <v>3477</v>
      </c>
      <c r="H579" s="1641" t="s">
        <v>93</v>
      </c>
      <c r="I579" s="1641" t="s">
        <v>242</v>
      </c>
    </row>
    <row r="580" spans="1:9">
      <c r="A580" s="1647"/>
      <c r="B580" s="1524"/>
      <c r="C580" s="1647"/>
      <c r="D580" s="1647"/>
      <c r="E580" s="1647"/>
      <c r="F580" s="1647"/>
      <c r="G580" s="1647"/>
      <c r="H580" s="1642"/>
      <c r="I580" s="1642"/>
    </row>
    <row r="581" spans="1:9">
      <c r="A581" s="1647"/>
      <c r="B581" s="1524"/>
      <c r="C581" s="1647"/>
      <c r="D581" s="1647"/>
      <c r="E581" s="1647"/>
      <c r="F581" s="1647"/>
      <c r="G581" s="1534"/>
      <c r="H581" s="1642"/>
      <c r="I581" s="1642"/>
    </row>
    <row r="582" spans="1:9" ht="18">
      <c r="A582" s="1647"/>
      <c r="B582" s="1524"/>
      <c r="C582" s="1647"/>
      <c r="D582" s="1647"/>
      <c r="E582" s="1647"/>
      <c r="F582" s="1647"/>
      <c r="G582" s="443" t="s">
        <v>3485</v>
      </c>
      <c r="H582" s="1642"/>
      <c r="I582" s="1642"/>
    </row>
    <row r="583" spans="1:9" ht="18">
      <c r="A583" s="1647"/>
      <c r="B583" s="1524"/>
      <c r="C583" s="1647"/>
      <c r="D583" s="1647"/>
      <c r="E583" s="1647"/>
      <c r="F583" s="1647"/>
      <c r="G583" s="443" t="s">
        <v>3485</v>
      </c>
      <c r="H583" s="1642"/>
      <c r="I583" s="1642"/>
    </row>
    <row r="584" spans="1:9" ht="18">
      <c r="A584" s="1534"/>
      <c r="B584" s="1525"/>
      <c r="C584" s="1647"/>
      <c r="D584" s="1534"/>
      <c r="E584" s="1534"/>
      <c r="F584" s="1647"/>
      <c r="G584" s="441" t="s">
        <v>50</v>
      </c>
      <c r="H584" s="1643"/>
      <c r="I584" s="1643"/>
    </row>
    <row r="585" spans="1:9" ht="18">
      <c r="A585" s="1533">
        <v>230</v>
      </c>
      <c r="B585" s="1644">
        <v>320</v>
      </c>
      <c r="C585" s="1647"/>
      <c r="D585" s="1533" t="s">
        <v>3489</v>
      </c>
      <c r="E585" s="1533" t="s">
        <v>3489</v>
      </c>
      <c r="F585" s="1647"/>
      <c r="G585" s="443" t="s">
        <v>167</v>
      </c>
      <c r="H585" s="1641" t="s">
        <v>202</v>
      </c>
      <c r="I585" s="1641" t="s">
        <v>65</v>
      </c>
    </row>
    <row r="586" spans="1:9" ht="18">
      <c r="A586" s="1534"/>
      <c r="B586" s="1645"/>
      <c r="C586" s="1647"/>
      <c r="D586" s="1534"/>
      <c r="E586" s="1534"/>
      <c r="F586" s="1647"/>
      <c r="G586" s="443" t="s">
        <v>170</v>
      </c>
      <c r="H586" s="1642"/>
      <c r="I586" s="1642"/>
    </row>
    <row r="587" spans="1:9" ht="18">
      <c r="A587" s="1533">
        <v>231</v>
      </c>
      <c r="B587" s="1644">
        <v>364</v>
      </c>
      <c r="C587" s="1647"/>
      <c r="D587" s="1533" t="s">
        <v>3493</v>
      </c>
      <c r="E587" s="1533" t="s">
        <v>3493</v>
      </c>
      <c r="F587" s="1647"/>
      <c r="G587" s="443" t="s">
        <v>167</v>
      </c>
      <c r="H587" s="1641" t="s">
        <v>202</v>
      </c>
      <c r="I587" s="1641" t="s">
        <v>65</v>
      </c>
    </row>
    <row r="588" spans="1:9" ht="18">
      <c r="A588" s="1534"/>
      <c r="B588" s="1645"/>
      <c r="C588" s="1647"/>
      <c r="D588" s="1534"/>
      <c r="E588" s="1534"/>
      <c r="F588" s="1647"/>
      <c r="G588" s="443" t="s">
        <v>170</v>
      </c>
      <c r="H588" s="1642"/>
      <c r="I588" s="1643"/>
    </row>
    <row r="589" spans="1:9" ht="18">
      <c r="A589" s="1533">
        <v>232</v>
      </c>
      <c r="B589" s="1644">
        <v>415</v>
      </c>
      <c r="C589" s="1647"/>
      <c r="D589" s="1533" t="s">
        <v>3496</v>
      </c>
      <c r="E589" s="1533" t="s">
        <v>3496</v>
      </c>
      <c r="F589" s="1647"/>
      <c r="G589" s="443" t="s">
        <v>167</v>
      </c>
      <c r="H589" s="1641" t="s">
        <v>202</v>
      </c>
      <c r="I589" s="1641" t="s">
        <v>65</v>
      </c>
    </row>
    <row r="590" spans="1:9" ht="18">
      <c r="A590" s="1534"/>
      <c r="B590" s="1645"/>
      <c r="C590" s="1647"/>
      <c r="D590" s="1534"/>
      <c r="E590" s="1534"/>
      <c r="F590" s="1647"/>
      <c r="G590" s="443" t="s">
        <v>170</v>
      </c>
      <c r="H590" s="1642"/>
      <c r="I590" s="1643"/>
    </row>
    <row r="591" spans="1:9" ht="18">
      <c r="A591" s="1533">
        <v>233</v>
      </c>
      <c r="B591" s="1644">
        <v>416</v>
      </c>
      <c r="C591" s="1647"/>
      <c r="D591" s="1533" t="s">
        <v>3499</v>
      </c>
      <c r="E591" s="1533" t="s">
        <v>3499</v>
      </c>
      <c r="F591" s="1647"/>
      <c r="G591" s="443" t="s">
        <v>167</v>
      </c>
      <c r="H591" s="1641" t="s">
        <v>202</v>
      </c>
      <c r="I591" s="1641" t="s">
        <v>65</v>
      </c>
    </row>
    <row r="592" spans="1:9" ht="18">
      <c r="A592" s="1534"/>
      <c r="B592" s="1645"/>
      <c r="C592" s="1647"/>
      <c r="D592" s="1534"/>
      <c r="E592" s="1534"/>
      <c r="F592" s="1647"/>
      <c r="G592" s="443" t="s">
        <v>170</v>
      </c>
      <c r="H592" s="1642"/>
      <c r="I592" s="1643"/>
    </row>
    <row r="593" spans="1:9" ht="18">
      <c r="A593" s="1533">
        <v>234</v>
      </c>
      <c r="B593" s="1644" t="s">
        <v>3502</v>
      </c>
      <c r="C593" s="1647"/>
      <c r="D593" s="1533" t="s">
        <v>3503</v>
      </c>
      <c r="E593" s="1533" t="s">
        <v>3503</v>
      </c>
      <c r="F593" s="1647"/>
      <c r="G593" s="443" t="s">
        <v>170</v>
      </c>
      <c r="H593" s="1641" t="s">
        <v>202</v>
      </c>
      <c r="I593" s="1641" t="s">
        <v>65</v>
      </c>
    </row>
    <row r="594" spans="1:9" ht="18">
      <c r="A594" s="1647"/>
      <c r="B594" s="1646"/>
      <c r="C594" s="1647"/>
      <c r="D594" s="1647"/>
      <c r="E594" s="1647"/>
      <c r="F594" s="1647"/>
      <c r="G594" s="443" t="s">
        <v>170</v>
      </c>
      <c r="H594" s="1642"/>
      <c r="I594" s="1642"/>
    </row>
    <row r="595" spans="1:9" ht="18">
      <c r="A595" s="1534"/>
      <c r="B595" s="1645"/>
      <c r="C595" s="1647"/>
      <c r="D595" s="1534"/>
      <c r="E595" s="1534"/>
      <c r="F595" s="1647"/>
      <c r="G595" s="441" t="s">
        <v>56</v>
      </c>
      <c r="H595" s="1643"/>
      <c r="I595" s="1643"/>
    </row>
    <row r="596" spans="1:9" ht="18">
      <c r="A596" s="1533">
        <v>235</v>
      </c>
      <c r="B596" s="1644">
        <v>488</v>
      </c>
      <c r="C596" s="1647"/>
      <c r="D596" s="1533" t="s">
        <v>3489</v>
      </c>
      <c r="E596" s="1533" t="s">
        <v>3509</v>
      </c>
      <c r="F596" s="1647"/>
      <c r="G596" s="443" t="s">
        <v>167</v>
      </c>
      <c r="H596" s="1641" t="s">
        <v>202</v>
      </c>
      <c r="I596" s="1641" t="s">
        <v>65</v>
      </c>
    </row>
    <row r="597" spans="1:9" ht="18">
      <c r="A597" s="1534"/>
      <c r="B597" s="1645"/>
      <c r="C597" s="1647"/>
      <c r="D597" s="1534"/>
      <c r="E597" s="1534"/>
      <c r="F597" s="1647"/>
      <c r="G597" s="443" t="s">
        <v>170</v>
      </c>
      <c r="H597" s="1642"/>
      <c r="I597" s="1643"/>
    </row>
    <row r="598" spans="1:9" ht="18">
      <c r="A598" s="1533">
        <v>236</v>
      </c>
      <c r="B598" s="1644">
        <v>540</v>
      </c>
      <c r="C598" s="1647"/>
      <c r="D598" s="1533" t="s">
        <v>3514</v>
      </c>
      <c r="E598" s="1533" t="s">
        <v>3514</v>
      </c>
      <c r="F598" s="1647"/>
      <c r="G598" s="443" t="s">
        <v>170</v>
      </c>
      <c r="H598" s="1641" t="s">
        <v>202</v>
      </c>
      <c r="I598" s="1641" t="s">
        <v>65</v>
      </c>
    </row>
    <row r="599" spans="1:9" ht="18">
      <c r="A599" s="1647"/>
      <c r="B599" s="1646"/>
      <c r="C599" s="1647"/>
      <c r="D599" s="1647"/>
      <c r="E599" s="1647"/>
      <c r="F599" s="1647"/>
      <c r="G599" s="443" t="s">
        <v>170</v>
      </c>
      <c r="H599" s="1642"/>
      <c r="I599" s="1642"/>
    </row>
    <row r="600" spans="1:9" ht="18">
      <c r="A600" s="1534"/>
      <c r="B600" s="1645"/>
      <c r="C600" s="1534"/>
      <c r="D600" s="1534"/>
      <c r="E600" s="1534"/>
      <c r="F600" s="1534"/>
      <c r="G600" s="441" t="s">
        <v>50</v>
      </c>
      <c r="H600" s="1643"/>
      <c r="I600" s="1643"/>
    </row>
    <row r="601" spans="1:9" ht="18">
      <c r="A601" s="1422">
        <v>237</v>
      </c>
      <c r="B601" s="1523">
        <v>372</v>
      </c>
      <c r="C601" s="1422" t="s">
        <v>3742</v>
      </c>
      <c r="D601" s="1422" t="s">
        <v>3742</v>
      </c>
      <c r="E601" s="1422" t="s">
        <v>3742</v>
      </c>
      <c r="F601" s="1657" t="s">
        <v>235</v>
      </c>
      <c r="G601" s="442" t="s">
        <v>170</v>
      </c>
      <c r="H601" s="1422" t="s">
        <v>93</v>
      </c>
      <c r="I601" s="1529" t="s">
        <v>242</v>
      </c>
    </row>
    <row r="602" spans="1:9" ht="18">
      <c r="A602" s="1423"/>
      <c r="B602" s="1524"/>
      <c r="C602" s="1423"/>
      <c r="D602" s="1423"/>
      <c r="E602" s="1423"/>
      <c r="F602" s="1658"/>
      <c r="G602" s="442" t="s">
        <v>170</v>
      </c>
      <c r="H602" s="1423"/>
      <c r="I602" s="1530"/>
    </row>
    <row r="603" spans="1:9" ht="18">
      <c r="A603" s="1423"/>
      <c r="B603" s="1524"/>
      <c r="C603" s="1423"/>
      <c r="D603" s="1423"/>
      <c r="E603" s="1423"/>
      <c r="F603" s="1658"/>
      <c r="G603" s="442" t="s">
        <v>299</v>
      </c>
      <c r="H603" s="1423"/>
      <c r="I603" s="1530"/>
    </row>
    <row r="604" spans="1:9" ht="18">
      <c r="A604" s="1508"/>
      <c r="B604" s="1525"/>
      <c r="C604" s="1423"/>
      <c r="D604" s="1423"/>
      <c r="E604" s="1508"/>
      <c r="F604" s="1658"/>
      <c r="G604" s="441" t="s">
        <v>56</v>
      </c>
      <c r="H604" s="1508"/>
      <c r="I604" s="1531"/>
    </row>
    <row r="605" spans="1:9" ht="18">
      <c r="A605" s="1422">
        <v>238</v>
      </c>
      <c r="B605" s="1660">
        <v>406</v>
      </c>
      <c r="C605" s="1423"/>
      <c r="D605" s="1423"/>
      <c r="E605" s="1657" t="s">
        <v>4774</v>
      </c>
      <c r="F605" s="1658"/>
      <c r="G605" s="442" t="s">
        <v>170</v>
      </c>
      <c r="H605" s="1529" t="s">
        <v>202</v>
      </c>
      <c r="I605" s="1529" t="s">
        <v>242</v>
      </c>
    </row>
    <row r="606" spans="1:9" ht="18">
      <c r="A606" s="1423"/>
      <c r="B606" s="1661"/>
      <c r="C606" s="1423"/>
      <c r="D606" s="1423"/>
      <c r="E606" s="1658"/>
      <c r="F606" s="1658"/>
      <c r="G606" s="442" t="s">
        <v>170</v>
      </c>
      <c r="H606" s="1530"/>
      <c r="I606" s="1530"/>
    </row>
    <row r="607" spans="1:9" ht="18">
      <c r="A607" s="1508"/>
      <c r="B607" s="1662"/>
      <c r="C607" s="1423"/>
      <c r="D607" s="1508"/>
      <c r="E607" s="1659"/>
      <c r="F607" s="1658"/>
      <c r="G607" s="441" t="s">
        <v>56</v>
      </c>
      <c r="H607" s="1531"/>
      <c r="I607" s="1531"/>
    </row>
    <row r="608" spans="1:9" ht="18">
      <c r="A608" s="1422">
        <v>239</v>
      </c>
      <c r="B608" s="1660">
        <v>495</v>
      </c>
      <c r="C608" s="1423"/>
      <c r="D608" s="1657" t="s">
        <v>4775</v>
      </c>
      <c r="E608" s="1663" t="s">
        <v>4776</v>
      </c>
      <c r="F608" s="1658"/>
      <c r="G608" s="442" t="s">
        <v>299</v>
      </c>
      <c r="H608" s="1529" t="s">
        <v>202</v>
      </c>
      <c r="I608" s="1529" t="s">
        <v>242</v>
      </c>
    </row>
    <row r="609" spans="1:9" ht="18">
      <c r="A609" s="1423"/>
      <c r="B609" s="1661"/>
      <c r="C609" s="1423"/>
      <c r="D609" s="1658"/>
      <c r="E609" s="1664"/>
      <c r="F609" s="1658"/>
      <c r="G609" s="442" t="s">
        <v>170</v>
      </c>
      <c r="H609" s="1530"/>
      <c r="I609" s="1530"/>
    </row>
    <row r="610" spans="1:9" ht="18">
      <c r="A610" s="1508"/>
      <c r="B610" s="1662"/>
      <c r="C610" s="1423"/>
      <c r="D610" s="1659"/>
      <c r="E610" s="1897"/>
      <c r="F610" s="1658"/>
      <c r="G610" s="441" t="s">
        <v>56</v>
      </c>
      <c r="H610" s="1531"/>
      <c r="I610" s="1531"/>
    </row>
    <row r="611" spans="1:9" ht="18">
      <c r="A611" s="1422">
        <v>240</v>
      </c>
      <c r="B611" s="1660">
        <v>541</v>
      </c>
      <c r="C611" s="1423"/>
      <c r="D611" s="1657" t="s">
        <v>4780</v>
      </c>
      <c r="E611" s="1657" t="s">
        <v>4780</v>
      </c>
      <c r="F611" s="1658"/>
      <c r="G611" s="442" t="s">
        <v>170</v>
      </c>
      <c r="H611" s="1529" t="s">
        <v>202</v>
      </c>
      <c r="I611" s="1529" t="s">
        <v>65</v>
      </c>
    </row>
    <row r="612" spans="1:9" ht="18">
      <c r="A612" s="1423"/>
      <c r="B612" s="1661"/>
      <c r="C612" s="1423"/>
      <c r="D612" s="1658"/>
      <c r="E612" s="1658"/>
      <c r="F612" s="1658"/>
      <c r="G612" s="442" t="s">
        <v>170</v>
      </c>
      <c r="H612" s="1530"/>
      <c r="I612" s="1530"/>
    </row>
    <row r="613" spans="1:9" ht="18">
      <c r="A613" s="1508"/>
      <c r="B613" s="1662"/>
      <c r="C613" s="1508"/>
      <c r="D613" s="1659"/>
      <c r="E613" s="1659"/>
      <c r="F613" s="1659"/>
      <c r="G613" s="441" t="s">
        <v>50</v>
      </c>
      <c r="H613" s="1531"/>
      <c r="I613" s="1531"/>
    </row>
    <row r="614" spans="1:9" ht="18" customHeight="1">
      <c r="A614" s="1668">
        <v>241</v>
      </c>
      <c r="B614" s="1669">
        <v>580</v>
      </c>
      <c r="C614" s="1668" t="s">
        <v>2970</v>
      </c>
      <c r="D614" s="1668" t="s">
        <v>4814</v>
      </c>
      <c r="E614" s="1668" t="s">
        <v>4815</v>
      </c>
      <c r="F614" s="1533" t="s">
        <v>2970</v>
      </c>
      <c r="G614" s="443" t="s">
        <v>3236</v>
      </c>
      <c r="H614" s="1641" t="s">
        <v>93</v>
      </c>
      <c r="I614" s="1641" t="s">
        <v>242</v>
      </c>
    </row>
    <row r="615" spans="1:9" ht="18" customHeight="1">
      <c r="A615" s="1668"/>
      <c r="B615" s="1669"/>
      <c r="C615" s="1668"/>
      <c r="D615" s="1668"/>
      <c r="E615" s="1668"/>
      <c r="F615" s="1647"/>
      <c r="G615" s="443" t="s">
        <v>3236</v>
      </c>
      <c r="H615" s="1642"/>
      <c r="I615" s="1642"/>
    </row>
    <row r="616" spans="1:9" ht="18" customHeight="1">
      <c r="A616" s="1668"/>
      <c r="B616" s="1669"/>
      <c r="C616" s="1668"/>
      <c r="D616" s="1668"/>
      <c r="E616" s="1668"/>
      <c r="F616" s="1647"/>
      <c r="G616" s="443" t="s">
        <v>3485</v>
      </c>
      <c r="H616" s="1642"/>
      <c r="I616" s="1642"/>
    </row>
    <row r="617" spans="1:9" ht="18" customHeight="1">
      <c r="A617" s="1668"/>
      <c r="B617" s="1669"/>
      <c r="C617" s="1668"/>
      <c r="D617" s="1668"/>
      <c r="E617" s="1668"/>
      <c r="F617" s="1647"/>
      <c r="G617" s="443" t="s">
        <v>299</v>
      </c>
      <c r="H617" s="1642"/>
      <c r="I617" s="1642"/>
    </row>
    <row r="618" spans="1:9" ht="18" customHeight="1">
      <c r="A618" s="1668"/>
      <c r="B618" s="1669"/>
      <c r="C618" s="1668"/>
      <c r="D618" s="1668"/>
      <c r="E618" s="1668"/>
      <c r="F618" s="1647"/>
      <c r="G618" s="441" t="s">
        <v>56</v>
      </c>
      <c r="H618" s="1643"/>
      <c r="I618" s="1643"/>
    </row>
    <row r="619" spans="1:9" ht="18" customHeight="1">
      <c r="A619" s="1668">
        <v>242</v>
      </c>
      <c r="B619" s="1620">
        <v>330</v>
      </c>
      <c r="C619" s="1668"/>
      <c r="D619" s="1668"/>
      <c r="E619" s="1668" t="s">
        <v>2970</v>
      </c>
      <c r="F619" s="1647"/>
      <c r="G619" s="443" t="s">
        <v>278</v>
      </c>
      <c r="H619" s="1533" t="s">
        <v>202</v>
      </c>
      <c r="I619" s="1641" t="s">
        <v>65</v>
      </c>
    </row>
    <row r="620" spans="1:9" ht="18" customHeight="1">
      <c r="A620" s="1668"/>
      <c r="B620" s="1620"/>
      <c r="C620" s="1668"/>
      <c r="D620" s="1668"/>
      <c r="E620" s="1668"/>
      <c r="F620" s="1647"/>
      <c r="G620" s="443" t="s">
        <v>3236</v>
      </c>
      <c r="H620" s="1647"/>
      <c r="I620" s="1642"/>
    </row>
    <row r="621" spans="1:9" ht="18" customHeight="1">
      <c r="A621" s="1668"/>
      <c r="B621" s="1620"/>
      <c r="C621" s="1668"/>
      <c r="D621" s="1668"/>
      <c r="E621" s="1668"/>
      <c r="F621" s="1647"/>
      <c r="G621" s="441" t="s">
        <v>50</v>
      </c>
      <c r="H621" s="1534"/>
      <c r="I621" s="1643"/>
    </row>
    <row r="622" spans="1:9" ht="18" customHeight="1">
      <c r="A622" s="1668">
        <v>243</v>
      </c>
      <c r="B622" s="1620">
        <v>351</v>
      </c>
      <c r="C622" s="1668"/>
      <c r="D622" s="1668" t="s">
        <v>4842</v>
      </c>
      <c r="E622" s="1668" t="s">
        <v>4842</v>
      </c>
      <c r="F622" s="1647"/>
      <c r="G622" s="443" t="s">
        <v>299</v>
      </c>
      <c r="H622" s="1533" t="s">
        <v>202</v>
      </c>
      <c r="I622" s="1641" t="s">
        <v>65</v>
      </c>
    </row>
    <row r="623" spans="1:9" ht="18" customHeight="1">
      <c r="A623" s="1668"/>
      <c r="B623" s="1620"/>
      <c r="C623" s="1668"/>
      <c r="D623" s="1668"/>
      <c r="E623" s="1668"/>
      <c r="F623" s="1647"/>
      <c r="G623" s="443" t="s">
        <v>3236</v>
      </c>
      <c r="H623" s="1534"/>
      <c r="I623" s="1643"/>
    </row>
    <row r="624" spans="1:9" ht="18" customHeight="1">
      <c r="A624" s="1668">
        <v>244</v>
      </c>
      <c r="B624" s="1620">
        <v>354</v>
      </c>
      <c r="C624" s="1668"/>
      <c r="D624" s="1668" t="s">
        <v>4837</v>
      </c>
      <c r="E624" s="1668" t="s">
        <v>4837</v>
      </c>
      <c r="F624" s="1647"/>
      <c r="G624" s="443" t="s">
        <v>299</v>
      </c>
      <c r="H624" s="1533" t="s">
        <v>202</v>
      </c>
      <c r="I624" s="1641" t="s">
        <v>65</v>
      </c>
    </row>
    <row r="625" spans="1:9" ht="18" customHeight="1">
      <c r="A625" s="1668"/>
      <c r="B625" s="1620"/>
      <c r="C625" s="1668"/>
      <c r="D625" s="1668"/>
      <c r="E625" s="1668"/>
      <c r="F625" s="1647"/>
      <c r="G625" s="443" t="s">
        <v>3236</v>
      </c>
      <c r="H625" s="1534"/>
      <c r="I625" s="1643"/>
    </row>
    <row r="626" spans="1:9" ht="18" customHeight="1">
      <c r="A626" s="1668">
        <v>245</v>
      </c>
      <c r="B626" s="1620">
        <v>362</v>
      </c>
      <c r="C626" s="1668"/>
      <c r="D626" s="1668" t="s">
        <v>4832</v>
      </c>
      <c r="E626" s="1668" t="s">
        <v>4832</v>
      </c>
      <c r="F626" s="1647"/>
      <c r="G626" s="443" t="s">
        <v>299</v>
      </c>
      <c r="H626" s="1533" t="s">
        <v>202</v>
      </c>
      <c r="I626" s="1641" t="s">
        <v>65</v>
      </c>
    </row>
    <row r="627" spans="1:9" ht="18" customHeight="1">
      <c r="A627" s="1668"/>
      <c r="B627" s="1620"/>
      <c r="C627" s="1668"/>
      <c r="D627" s="1668"/>
      <c r="E627" s="1668"/>
      <c r="F627" s="1647"/>
      <c r="G627" s="443" t="s">
        <v>3236</v>
      </c>
      <c r="H627" s="1534"/>
      <c r="I627" s="1643"/>
    </row>
    <row r="628" spans="1:9" ht="18" customHeight="1">
      <c r="A628" s="1668">
        <v>246</v>
      </c>
      <c r="B628" s="1620">
        <v>373</v>
      </c>
      <c r="C628" s="1668"/>
      <c r="D628" s="1668"/>
      <c r="E628" s="1668" t="s">
        <v>1538</v>
      </c>
      <c r="F628" s="1647"/>
      <c r="G628" s="443" t="s">
        <v>167</v>
      </c>
      <c r="H628" s="1533" t="s">
        <v>202</v>
      </c>
      <c r="I628" s="1641" t="s">
        <v>65</v>
      </c>
    </row>
    <row r="629" spans="1:9" ht="18" customHeight="1">
      <c r="A629" s="1668"/>
      <c r="B629" s="1620"/>
      <c r="C629" s="1668"/>
      <c r="D629" s="1668"/>
      <c r="E629" s="1668"/>
      <c r="F629" s="1647"/>
      <c r="G629" s="443" t="s">
        <v>3236</v>
      </c>
      <c r="H629" s="1534"/>
      <c r="I629" s="1643"/>
    </row>
    <row r="630" spans="1:9" ht="18" customHeight="1">
      <c r="A630" s="1668">
        <v>247</v>
      </c>
      <c r="B630" s="1620">
        <v>442</v>
      </c>
      <c r="C630" s="1668"/>
      <c r="D630" s="1668"/>
      <c r="E630" s="1668" t="s">
        <v>1591</v>
      </c>
      <c r="F630" s="1647"/>
      <c r="G630" s="443" t="s">
        <v>167</v>
      </c>
      <c r="H630" s="1533" t="s">
        <v>202</v>
      </c>
      <c r="I630" s="1641" t="s">
        <v>65</v>
      </c>
    </row>
    <row r="631" spans="1:9" ht="18" customHeight="1">
      <c r="A631" s="1668"/>
      <c r="B631" s="1620"/>
      <c r="C631" s="1668"/>
      <c r="D631" s="1668"/>
      <c r="E631" s="1668"/>
      <c r="F631" s="1534"/>
      <c r="G631" s="443" t="s">
        <v>3236</v>
      </c>
      <c r="H631" s="1534"/>
      <c r="I631" s="1643"/>
    </row>
    <row r="632" spans="1:9" ht="18">
      <c r="A632" s="1450">
        <v>248</v>
      </c>
      <c r="B632" s="1492">
        <v>443</v>
      </c>
      <c r="C632" s="1625" t="s">
        <v>235</v>
      </c>
      <c r="D632" s="1625" t="s">
        <v>235</v>
      </c>
      <c r="E632" s="1675" t="s">
        <v>3124</v>
      </c>
      <c r="F632" s="1625" t="s">
        <v>235</v>
      </c>
      <c r="G632" s="452" t="s">
        <v>299</v>
      </c>
      <c r="H632" s="1628" t="s">
        <v>93</v>
      </c>
      <c r="I632" s="1628" t="s">
        <v>484</v>
      </c>
    </row>
    <row r="633" spans="1:9" ht="18">
      <c r="A633" s="1451"/>
      <c r="B633" s="1493"/>
      <c r="C633" s="1627"/>
      <c r="D633" s="1627"/>
      <c r="E633" s="1676"/>
      <c r="F633" s="1627"/>
      <c r="G633" s="452" t="s">
        <v>299</v>
      </c>
      <c r="H633" s="1629"/>
      <c r="I633" s="1629"/>
    </row>
    <row r="634" spans="1:9" ht="18">
      <c r="A634" s="1451"/>
      <c r="B634" s="1493"/>
      <c r="C634" s="1627"/>
      <c r="D634" s="1627"/>
      <c r="E634" s="1676"/>
      <c r="F634" s="1627"/>
      <c r="G634" s="452" t="s">
        <v>151</v>
      </c>
      <c r="H634" s="1629"/>
      <c r="I634" s="1629"/>
    </row>
    <row r="635" spans="1:9" ht="18">
      <c r="A635" s="1451"/>
      <c r="B635" s="1493"/>
      <c r="C635" s="1627"/>
      <c r="D635" s="1627"/>
      <c r="E635" s="1676"/>
      <c r="F635" s="1627"/>
      <c r="G635" s="452" t="s">
        <v>151</v>
      </c>
      <c r="H635" s="1629"/>
      <c r="I635" s="1629"/>
    </row>
    <row r="636" spans="1:9" ht="18">
      <c r="A636" s="1619"/>
      <c r="B636" s="1494"/>
      <c r="C636" s="1627"/>
      <c r="D636" s="1627"/>
      <c r="E636" s="1677"/>
      <c r="F636" s="1627"/>
      <c r="G636" s="429" t="s">
        <v>56</v>
      </c>
      <c r="H636" s="1630"/>
      <c r="I636" s="1630"/>
    </row>
    <row r="637" spans="1:9" ht="18">
      <c r="A637" s="1450">
        <v>249</v>
      </c>
      <c r="B637" s="1471">
        <v>358</v>
      </c>
      <c r="C637" s="1627"/>
      <c r="D637" s="1627"/>
      <c r="E637" s="1898" t="s">
        <v>3137</v>
      </c>
      <c r="F637" s="1627"/>
      <c r="G637" s="452" t="s">
        <v>167</v>
      </c>
      <c r="H637" s="1450" t="s">
        <v>202</v>
      </c>
      <c r="I637" s="1450" t="s">
        <v>65</v>
      </c>
    </row>
    <row r="638" spans="1:9" ht="18">
      <c r="A638" s="1451"/>
      <c r="B638" s="1419"/>
      <c r="C638" s="1627"/>
      <c r="D638" s="1627"/>
      <c r="E638" s="1899"/>
      <c r="F638" s="1627"/>
      <c r="G638" s="452" t="s">
        <v>299</v>
      </c>
      <c r="H638" s="1451"/>
      <c r="I638" s="1451"/>
    </row>
    <row r="639" spans="1:9" ht="18">
      <c r="A639" s="1619"/>
      <c r="B639" s="1472"/>
      <c r="C639" s="1627"/>
      <c r="D639" s="1626"/>
      <c r="E639" s="1900"/>
      <c r="F639" s="1627"/>
      <c r="G639" s="429" t="s">
        <v>50</v>
      </c>
      <c r="H639" s="1619"/>
      <c r="I639" s="1619"/>
    </row>
    <row r="640" spans="1:9" ht="18">
      <c r="A640" s="1450">
        <v>250</v>
      </c>
      <c r="B640" s="1471">
        <v>361</v>
      </c>
      <c r="C640" s="1627"/>
      <c r="D640" s="1450" t="s">
        <v>3146</v>
      </c>
      <c r="E640" s="1450" t="s">
        <v>3146</v>
      </c>
      <c r="F640" s="1627"/>
      <c r="G640" s="452" t="s">
        <v>167</v>
      </c>
      <c r="H640" s="1450" t="s">
        <v>202</v>
      </c>
      <c r="I640" s="1505" t="s">
        <v>65</v>
      </c>
    </row>
    <row r="641" spans="1:9" ht="18">
      <c r="A641" s="1619"/>
      <c r="B641" s="1472"/>
      <c r="C641" s="1627"/>
      <c r="D641" s="1619"/>
      <c r="E641" s="1619"/>
      <c r="F641" s="1627"/>
      <c r="G641" s="452" t="s">
        <v>299</v>
      </c>
      <c r="H641" s="1619"/>
      <c r="I641" s="1505"/>
    </row>
    <row r="642" spans="1:9" ht="18">
      <c r="A642" s="1450">
        <v>251</v>
      </c>
      <c r="B642" s="1471">
        <v>504</v>
      </c>
      <c r="C642" s="1627"/>
      <c r="D642" s="1625" t="s">
        <v>235</v>
      </c>
      <c r="E642" s="1625" t="s">
        <v>3139</v>
      </c>
      <c r="F642" s="1627"/>
      <c r="G642" s="452" t="s">
        <v>167</v>
      </c>
      <c r="H642" s="1450" t="s">
        <v>202</v>
      </c>
      <c r="I642" s="1505" t="s">
        <v>65</v>
      </c>
    </row>
    <row r="643" spans="1:9" ht="18">
      <c r="A643" s="1619"/>
      <c r="B643" s="1472"/>
      <c r="C643" s="1627"/>
      <c r="D643" s="1626"/>
      <c r="E643" s="1626"/>
      <c r="F643" s="1627"/>
      <c r="G643" s="452" t="s">
        <v>299</v>
      </c>
      <c r="H643" s="1619"/>
      <c r="I643" s="1505"/>
    </row>
    <row r="644" spans="1:9" ht="18">
      <c r="A644" s="1450">
        <v>252</v>
      </c>
      <c r="B644" s="1471">
        <v>521</v>
      </c>
      <c r="C644" s="1627"/>
      <c r="D644" s="1625" t="s">
        <v>3141</v>
      </c>
      <c r="E644" s="1675" t="s">
        <v>3142</v>
      </c>
      <c r="F644" s="1627"/>
      <c r="G644" s="452" t="s">
        <v>167</v>
      </c>
      <c r="H644" s="1450" t="s">
        <v>202</v>
      </c>
      <c r="I644" s="1505" t="s">
        <v>65</v>
      </c>
    </row>
    <row r="645" spans="1:9" ht="18">
      <c r="A645" s="1619"/>
      <c r="B645" s="1472"/>
      <c r="C645" s="1626"/>
      <c r="D645" s="1626"/>
      <c r="E645" s="1677"/>
      <c r="F645" s="1626"/>
      <c r="G645" s="452" t="s">
        <v>299</v>
      </c>
      <c r="H645" s="1619"/>
      <c r="I645" s="1505"/>
    </row>
    <row r="646" spans="1:9" ht="18">
      <c r="A646" s="1390">
        <v>253</v>
      </c>
      <c r="B646" s="1492">
        <v>345</v>
      </c>
      <c r="C646" s="1390" t="s">
        <v>334</v>
      </c>
      <c r="D646" s="1390" t="s">
        <v>334</v>
      </c>
      <c r="E646" s="1678" t="s">
        <v>2695</v>
      </c>
      <c r="F646" s="1390" t="s">
        <v>334</v>
      </c>
      <c r="G646" s="444" t="s">
        <v>2701</v>
      </c>
      <c r="H646" s="1495" t="s">
        <v>93</v>
      </c>
      <c r="I646" s="1495" t="s">
        <v>484</v>
      </c>
    </row>
    <row r="647" spans="1:9" ht="18">
      <c r="A647" s="1391"/>
      <c r="B647" s="1493"/>
      <c r="C647" s="1391"/>
      <c r="D647" s="1391"/>
      <c r="E647" s="1679"/>
      <c r="F647" s="1391"/>
      <c r="G647" s="444" t="s">
        <v>2701</v>
      </c>
      <c r="H647" s="1497"/>
      <c r="I647" s="1497"/>
    </row>
    <row r="648" spans="1:9" ht="18">
      <c r="A648" s="1391"/>
      <c r="B648" s="1493"/>
      <c r="C648" s="1391"/>
      <c r="D648" s="1391"/>
      <c r="E648" s="1679"/>
      <c r="F648" s="1391"/>
      <c r="G648" s="444" t="s">
        <v>299</v>
      </c>
      <c r="H648" s="1497"/>
      <c r="I648" s="1497"/>
    </row>
    <row r="649" spans="1:9" ht="18">
      <c r="A649" s="1391"/>
      <c r="B649" s="1493"/>
      <c r="C649" s="1391"/>
      <c r="D649" s="1391"/>
      <c r="E649" s="1679"/>
      <c r="F649" s="1391"/>
      <c r="G649" s="444" t="s">
        <v>299</v>
      </c>
      <c r="H649" s="1497"/>
      <c r="I649" s="1497"/>
    </row>
    <row r="650" spans="1:9" ht="18">
      <c r="A650" s="1391"/>
      <c r="B650" s="1493"/>
      <c r="C650" s="1391"/>
      <c r="D650" s="1391"/>
      <c r="E650" s="1679"/>
      <c r="F650" s="1391"/>
      <c r="G650" s="444" t="s">
        <v>299</v>
      </c>
      <c r="H650" s="1497"/>
      <c r="I650" s="1497"/>
    </row>
    <row r="651" spans="1:9" ht="18">
      <c r="A651" s="1395"/>
      <c r="B651" s="1494"/>
      <c r="C651" s="1391"/>
      <c r="D651" s="1391"/>
      <c r="E651" s="1680"/>
      <c r="F651" s="1391"/>
      <c r="G651" s="429" t="s">
        <v>56</v>
      </c>
      <c r="H651" s="1496"/>
      <c r="I651" s="1496"/>
    </row>
    <row r="652" spans="1:9" ht="18">
      <c r="A652" s="1390">
        <v>254</v>
      </c>
      <c r="B652" s="1480">
        <v>319</v>
      </c>
      <c r="C652" s="1391"/>
      <c r="D652" s="1391"/>
      <c r="E652" s="1390" t="s">
        <v>2712</v>
      </c>
      <c r="F652" s="1391"/>
      <c r="G652" s="444" t="s">
        <v>299</v>
      </c>
      <c r="H652" s="1390" t="s">
        <v>202</v>
      </c>
      <c r="I652" s="1452" t="s">
        <v>65</v>
      </c>
    </row>
    <row r="653" spans="1:9" ht="18">
      <c r="A653" s="1395"/>
      <c r="B653" s="1491"/>
      <c r="C653" s="1391"/>
      <c r="D653" s="1391"/>
      <c r="E653" s="1395"/>
      <c r="F653" s="1391"/>
      <c r="G653" s="444" t="s">
        <v>299</v>
      </c>
      <c r="H653" s="1395"/>
      <c r="I653" s="1452"/>
    </row>
    <row r="654" spans="1:9" ht="18">
      <c r="A654" s="1390">
        <v>255</v>
      </c>
      <c r="B654" s="1480">
        <v>338</v>
      </c>
      <c r="C654" s="1391"/>
      <c r="D654" s="1391"/>
      <c r="E654" s="1390" t="s">
        <v>2715</v>
      </c>
      <c r="F654" s="1391"/>
      <c r="G654" s="444" t="s">
        <v>299</v>
      </c>
      <c r="H654" s="1390" t="s">
        <v>202</v>
      </c>
      <c r="I654" s="1452" t="s">
        <v>65</v>
      </c>
    </row>
    <row r="655" spans="1:9" ht="18">
      <c r="A655" s="1395"/>
      <c r="B655" s="1491"/>
      <c r="C655" s="1391"/>
      <c r="D655" s="1395"/>
      <c r="E655" s="1395"/>
      <c r="F655" s="1391"/>
      <c r="G655" s="444" t="s">
        <v>299</v>
      </c>
      <c r="H655" s="1395"/>
      <c r="I655" s="1452"/>
    </row>
    <row r="656" spans="1:9" ht="18">
      <c r="A656" s="1390">
        <v>256</v>
      </c>
      <c r="B656" s="1480">
        <v>376</v>
      </c>
      <c r="C656" s="1391"/>
      <c r="D656" s="1390" t="s">
        <v>2718</v>
      </c>
      <c r="E656" s="1390" t="s">
        <v>2718</v>
      </c>
      <c r="F656" s="1391"/>
      <c r="G656" s="444" t="s">
        <v>299</v>
      </c>
      <c r="H656" s="1390" t="s">
        <v>202</v>
      </c>
      <c r="I656" s="1452" t="s">
        <v>65</v>
      </c>
    </row>
    <row r="657" spans="1:9" ht="18">
      <c r="A657" s="1395"/>
      <c r="B657" s="1491"/>
      <c r="C657" s="1391"/>
      <c r="D657" s="1395"/>
      <c r="E657" s="1395"/>
      <c r="F657" s="1391"/>
      <c r="G657" s="444" t="s">
        <v>299</v>
      </c>
      <c r="H657" s="1395"/>
      <c r="I657" s="1452"/>
    </row>
    <row r="658" spans="1:9" ht="18">
      <c r="A658" s="1390">
        <v>257</v>
      </c>
      <c r="B658" s="1480">
        <v>437</v>
      </c>
      <c r="C658" s="1391"/>
      <c r="D658" s="1390" t="s">
        <v>2723</v>
      </c>
      <c r="E658" s="1390" t="s">
        <v>2723</v>
      </c>
      <c r="F658" s="1391"/>
      <c r="G658" s="444" t="s">
        <v>299</v>
      </c>
      <c r="H658" s="1390" t="s">
        <v>202</v>
      </c>
      <c r="I658" s="1452" t="s">
        <v>65</v>
      </c>
    </row>
    <row r="659" spans="1:9" ht="18">
      <c r="A659" s="1395"/>
      <c r="B659" s="1491"/>
      <c r="C659" s="1391"/>
      <c r="D659" s="1395"/>
      <c r="E659" s="1395"/>
      <c r="F659" s="1391"/>
      <c r="G659" s="444" t="s">
        <v>299</v>
      </c>
      <c r="H659" s="1395"/>
      <c r="I659" s="1452"/>
    </row>
    <row r="660" spans="1:9" ht="18">
      <c r="A660" s="1390">
        <v>258</v>
      </c>
      <c r="B660" s="1480">
        <v>441</v>
      </c>
      <c r="C660" s="1391"/>
      <c r="D660" s="1390" t="s">
        <v>2726</v>
      </c>
      <c r="E660" s="1390" t="s">
        <v>2726</v>
      </c>
      <c r="F660" s="1391"/>
      <c r="G660" s="444" t="s">
        <v>299</v>
      </c>
      <c r="H660" s="1390" t="s">
        <v>202</v>
      </c>
      <c r="I660" s="1452" t="s">
        <v>65</v>
      </c>
    </row>
    <row r="661" spans="1:9" ht="18">
      <c r="A661" s="1395"/>
      <c r="B661" s="1491"/>
      <c r="C661" s="1391"/>
      <c r="D661" s="1395"/>
      <c r="E661" s="1395"/>
      <c r="F661" s="1391"/>
      <c r="G661" s="444" t="s">
        <v>299</v>
      </c>
      <c r="H661" s="1395"/>
      <c r="I661" s="1452"/>
    </row>
    <row r="662" spans="1:9" ht="18">
      <c r="A662" s="1390">
        <v>259</v>
      </c>
      <c r="B662" s="1480">
        <v>452</v>
      </c>
      <c r="C662" s="1391"/>
      <c r="D662" s="1390" t="s">
        <v>334</v>
      </c>
      <c r="E662" s="1390" t="s">
        <v>2729</v>
      </c>
      <c r="F662" s="1391"/>
      <c r="G662" s="444" t="s">
        <v>299</v>
      </c>
      <c r="H662" s="1390" t="s">
        <v>202</v>
      </c>
      <c r="I662" s="1452" t="s">
        <v>65</v>
      </c>
    </row>
    <row r="663" spans="1:9" ht="18">
      <c r="A663" s="1395"/>
      <c r="B663" s="1491"/>
      <c r="C663" s="1395"/>
      <c r="D663" s="1395"/>
      <c r="E663" s="1395"/>
      <c r="F663" s="1395"/>
      <c r="G663" s="444" t="s">
        <v>299</v>
      </c>
      <c r="H663" s="1395"/>
      <c r="I663" s="1452"/>
    </row>
    <row r="664" spans="1:9" ht="18">
      <c r="A664" s="1390">
        <v>260</v>
      </c>
      <c r="B664" s="1480">
        <v>404</v>
      </c>
      <c r="C664" s="1390" t="s">
        <v>234</v>
      </c>
      <c r="D664" s="1392" t="s">
        <v>234</v>
      </c>
      <c r="E664" s="1392" t="s">
        <v>234</v>
      </c>
      <c r="F664" s="1392" t="s">
        <v>235</v>
      </c>
      <c r="G664" s="444" t="s">
        <v>170</v>
      </c>
      <c r="H664" s="1495" t="s">
        <v>93</v>
      </c>
      <c r="I664" s="1495" t="s">
        <v>242</v>
      </c>
    </row>
    <row r="665" spans="1:9" ht="18">
      <c r="A665" s="1391"/>
      <c r="B665" s="1481"/>
      <c r="C665" s="1391"/>
      <c r="D665" s="1394"/>
      <c r="E665" s="1394"/>
      <c r="F665" s="1394"/>
      <c r="G665" s="444" t="s">
        <v>170</v>
      </c>
      <c r="H665" s="1497"/>
      <c r="I665" s="1497"/>
    </row>
    <row r="666" spans="1:9" ht="18">
      <c r="A666" s="1391"/>
      <c r="B666" s="1481"/>
      <c r="C666" s="1391"/>
      <c r="D666" s="1394"/>
      <c r="E666" s="1394"/>
      <c r="F666" s="1394"/>
      <c r="G666" s="444" t="s">
        <v>151</v>
      </c>
      <c r="H666" s="1497"/>
      <c r="I666" s="1497"/>
    </row>
    <row r="667" spans="1:9" ht="18">
      <c r="A667" s="1395"/>
      <c r="B667" s="1491"/>
      <c r="C667" s="1391"/>
      <c r="D667" s="1394"/>
      <c r="E667" s="1393"/>
      <c r="F667" s="1394"/>
      <c r="G667" s="429" t="s">
        <v>56</v>
      </c>
      <c r="H667" s="1496"/>
      <c r="I667" s="1496"/>
    </row>
    <row r="668" spans="1:9" ht="18">
      <c r="A668" s="1390">
        <v>261</v>
      </c>
      <c r="B668" s="1480">
        <v>471</v>
      </c>
      <c r="C668" s="1391"/>
      <c r="D668" s="1394"/>
      <c r="E668" s="1392" t="s">
        <v>254</v>
      </c>
      <c r="F668" s="1394"/>
      <c r="G668" s="444" t="s">
        <v>151</v>
      </c>
      <c r="H668" s="1495" t="s">
        <v>202</v>
      </c>
      <c r="I668" s="1495" t="s">
        <v>242</v>
      </c>
    </row>
    <row r="669" spans="1:9" ht="18">
      <c r="A669" s="1391"/>
      <c r="B669" s="1481"/>
      <c r="C669" s="1391"/>
      <c r="D669" s="1394"/>
      <c r="E669" s="1394"/>
      <c r="F669" s="1394"/>
      <c r="G669" s="444" t="s">
        <v>170</v>
      </c>
      <c r="H669" s="1497"/>
      <c r="I669" s="1497"/>
    </row>
    <row r="670" spans="1:9" ht="18">
      <c r="A670" s="1395"/>
      <c r="B670" s="1491"/>
      <c r="C670" s="1395"/>
      <c r="D670" s="1393"/>
      <c r="E670" s="1393"/>
      <c r="F670" s="1393"/>
      <c r="G670" s="429" t="s">
        <v>56</v>
      </c>
      <c r="H670" s="1496"/>
      <c r="I670" s="1496"/>
    </row>
    <row r="671" spans="1:9" ht="18" customHeight="1">
      <c r="A671" s="1390">
        <v>262</v>
      </c>
      <c r="B671" s="1492">
        <v>249</v>
      </c>
      <c r="C671" s="1390" t="s">
        <v>267</v>
      </c>
      <c r="D671" s="1390" t="s">
        <v>267</v>
      </c>
      <c r="E671" s="1390" t="s">
        <v>268</v>
      </c>
      <c r="F671" s="1390" t="s">
        <v>267</v>
      </c>
      <c r="G671" s="1480" t="s">
        <v>278</v>
      </c>
      <c r="H671" s="1495" t="s">
        <v>93</v>
      </c>
      <c r="I671" s="1495" t="s">
        <v>279</v>
      </c>
    </row>
    <row r="672" spans="1:9" ht="18" customHeight="1">
      <c r="A672" s="1391"/>
      <c r="B672" s="1493"/>
      <c r="C672" s="1391"/>
      <c r="D672" s="1391"/>
      <c r="E672" s="1391"/>
      <c r="F672" s="1391"/>
      <c r="G672" s="1481"/>
      <c r="H672" s="1497"/>
      <c r="I672" s="1497"/>
    </row>
    <row r="673" spans="1:9" ht="18" customHeight="1">
      <c r="A673" s="1391"/>
      <c r="B673" s="1493"/>
      <c r="C673" s="1391"/>
      <c r="D673" s="1391"/>
      <c r="E673" s="1391"/>
      <c r="F673" s="1391"/>
      <c r="G673" s="1481"/>
      <c r="H673" s="1497"/>
      <c r="I673" s="1497"/>
    </row>
    <row r="674" spans="1:9" ht="18" customHeight="1">
      <c r="A674" s="1391"/>
      <c r="B674" s="1493"/>
      <c r="C674" s="1391"/>
      <c r="D674" s="1391"/>
      <c r="E674" s="1391"/>
      <c r="F674" s="1391"/>
      <c r="G674" s="1491"/>
      <c r="H674" s="1497"/>
      <c r="I674" s="1497"/>
    </row>
    <row r="675" spans="1:9" ht="18">
      <c r="A675" s="1395"/>
      <c r="B675" s="1494"/>
      <c r="C675" s="1391"/>
      <c r="D675" s="1391"/>
      <c r="E675" s="1395"/>
      <c r="F675" s="1391"/>
      <c r="G675" s="429" t="s">
        <v>288</v>
      </c>
      <c r="H675" s="1496"/>
      <c r="I675" s="1496"/>
    </row>
    <row r="676" spans="1:9" ht="18">
      <c r="A676" s="1390">
        <v>263</v>
      </c>
      <c r="B676" s="1480">
        <v>331</v>
      </c>
      <c r="C676" s="1391"/>
      <c r="D676" s="1391"/>
      <c r="E676" s="1390" t="s">
        <v>289</v>
      </c>
      <c r="F676" s="1391"/>
      <c r="G676" s="444" t="s">
        <v>167</v>
      </c>
      <c r="H676" s="1390" t="s">
        <v>202</v>
      </c>
      <c r="I676" s="1495" t="s">
        <v>242</v>
      </c>
    </row>
    <row r="677" spans="1:9" ht="18">
      <c r="A677" s="1395"/>
      <c r="B677" s="1491"/>
      <c r="C677" s="1391"/>
      <c r="D677" s="1391"/>
      <c r="E677" s="1395"/>
      <c r="F677" s="1391"/>
      <c r="G677" s="444" t="s">
        <v>170</v>
      </c>
      <c r="H677" s="1391"/>
      <c r="I677" s="1497"/>
    </row>
    <row r="678" spans="1:9" ht="18">
      <c r="A678" s="1390">
        <v>264</v>
      </c>
      <c r="B678" s="1480">
        <v>353</v>
      </c>
      <c r="C678" s="1391"/>
      <c r="D678" s="1391"/>
      <c r="E678" s="1390" t="s">
        <v>294</v>
      </c>
      <c r="F678" s="1391"/>
      <c r="G678" s="444" t="s">
        <v>167</v>
      </c>
      <c r="H678" s="1495" t="s">
        <v>202</v>
      </c>
      <c r="I678" s="1495" t="s">
        <v>65</v>
      </c>
    </row>
    <row r="679" spans="1:9" ht="18">
      <c r="A679" s="1391"/>
      <c r="B679" s="1481"/>
      <c r="C679" s="1391"/>
      <c r="D679" s="1391"/>
      <c r="E679" s="1391"/>
      <c r="F679" s="1391"/>
      <c r="G679" s="444" t="s">
        <v>299</v>
      </c>
      <c r="H679" s="1497"/>
      <c r="I679" s="1497"/>
    </row>
    <row r="680" spans="1:9" ht="18">
      <c r="A680" s="1391"/>
      <c r="B680" s="1481"/>
      <c r="C680" s="1391"/>
      <c r="D680" s="1391"/>
      <c r="E680" s="1391"/>
      <c r="F680" s="1391"/>
      <c r="G680" s="429" t="s">
        <v>50</v>
      </c>
      <c r="H680" s="1497"/>
      <c r="I680" s="1497"/>
    </row>
    <row r="681" spans="1:9" ht="18">
      <c r="A681" s="1395"/>
      <c r="B681" s="1491"/>
      <c r="C681" s="1391"/>
      <c r="D681" s="1395"/>
      <c r="E681" s="1395"/>
      <c r="F681" s="1391"/>
      <c r="G681" s="429" t="s">
        <v>56</v>
      </c>
      <c r="H681" s="1496"/>
      <c r="I681" s="1496"/>
    </row>
    <row r="682" spans="1:9" ht="18">
      <c r="A682" s="1390">
        <v>265</v>
      </c>
      <c r="B682" s="1480">
        <v>367</v>
      </c>
      <c r="C682" s="1391"/>
      <c r="D682" s="1390" t="s">
        <v>300</v>
      </c>
      <c r="E682" s="1390" t="s">
        <v>300</v>
      </c>
      <c r="F682" s="1391"/>
      <c r="G682" s="444" t="s">
        <v>167</v>
      </c>
      <c r="H682" s="1495" t="s">
        <v>202</v>
      </c>
      <c r="I682" s="1495" t="s">
        <v>65</v>
      </c>
    </row>
    <row r="683" spans="1:9" ht="18">
      <c r="A683" s="1395"/>
      <c r="B683" s="1491"/>
      <c r="C683" s="1391"/>
      <c r="D683" s="1395"/>
      <c r="E683" s="1395"/>
      <c r="F683" s="1391"/>
      <c r="G683" s="444" t="s">
        <v>299</v>
      </c>
      <c r="H683" s="1496"/>
      <c r="I683" s="1496"/>
    </row>
    <row r="684" spans="1:9" ht="18">
      <c r="A684" s="1390">
        <v>266</v>
      </c>
      <c r="B684" s="1480">
        <v>407</v>
      </c>
      <c r="C684" s="1391"/>
      <c r="D684" s="1390" t="s">
        <v>303</v>
      </c>
      <c r="E684" s="1390" t="s">
        <v>304</v>
      </c>
      <c r="F684" s="1391"/>
      <c r="G684" s="444" t="s">
        <v>167</v>
      </c>
      <c r="H684" s="1495" t="s">
        <v>202</v>
      </c>
      <c r="I684" s="1495" t="s">
        <v>65</v>
      </c>
    </row>
    <row r="685" spans="1:9" ht="18">
      <c r="A685" s="1391"/>
      <c r="B685" s="1481"/>
      <c r="C685" s="1391"/>
      <c r="D685" s="1391"/>
      <c r="E685" s="1391"/>
      <c r="F685" s="1391"/>
      <c r="G685" s="444" t="s">
        <v>299</v>
      </c>
      <c r="H685" s="1497"/>
      <c r="I685" s="1497"/>
    </row>
    <row r="686" spans="1:9" ht="18">
      <c r="A686" s="1395"/>
      <c r="B686" s="1491"/>
      <c r="C686" s="1391"/>
      <c r="D686" s="1395"/>
      <c r="E686" s="1395"/>
      <c r="F686" s="1391"/>
      <c r="G686" s="429" t="s">
        <v>50</v>
      </c>
      <c r="H686" s="1496"/>
      <c r="I686" s="1496"/>
    </row>
    <row r="687" spans="1:9" ht="18">
      <c r="A687" s="1390">
        <v>267</v>
      </c>
      <c r="B687" s="1480">
        <v>482</v>
      </c>
      <c r="C687" s="1391"/>
      <c r="D687" s="444" t="s">
        <v>267</v>
      </c>
      <c r="E687" s="1390" t="s">
        <v>307</v>
      </c>
      <c r="F687" s="1391"/>
      <c r="G687" s="444" t="s">
        <v>167</v>
      </c>
      <c r="H687" s="1495" t="s">
        <v>202</v>
      </c>
      <c r="I687" s="1495" t="s">
        <v>65</v>
      </c>
    </row>
    <row r="688" spans="1:9" ht="18">
      <c r="A688" s="1395"/>
      <c r="B688" s="1491"/>
      <c r="C688" s="1391"/>
      <c r="D688" s="444" t="s">
        <v>267</v>
      </c>
      <c r="E688" s="1395"/>
      <c r="F688" s="1391"/>
      <c r="G688" s="444" t="s">
        <v>299</v>
      </c>
      <c r="H688" s="1496"/>
      <c r="I688" s="1496"/>
    </row>
    <row r="689" spans="1:9" ht="18">
      <c r="A689" s="1390">
        <v>268</v>
      </c>
      <c r="B689" s="1480">
        <v>511</v>
      </c>
      <c r="C689" s="1391"/>
      <c r="D689" s="444" t="s">
        <v>267</v>
      </c>
      <c r="E689" s="1390" t="s">
        <v>310</v>
      </c>
      <c r="F689" s="1391"/>
      <c r="G689" s="444" t="s">
        <v>64</v>
      </c>
      <c r="H689" s="1495" t="s">
        <v>202</v>
      </c>
      <c r="I689" s="1495" t="s">
        <v>65</v>
      </c>
    </row>
    <row r="690" spans="1:9" ht="18">
      <c r="A690" s="1395"/>
      <c r="B690" s="1491"/>
      <c r="C690" s="1391"/>
      <c r="D690" s="444" t="s">
        <v>267</v>
      </c>
      <c r="E690" s="1395"/>
      <c r="F690" s="1391"/>
      <c r="G690" s="444" t="s">
        <v>299</v>
      </c>
      <c r="H690" s="1496"/>
      <c r="I690" s="1496"/>
    </row>
    <row r="691" spans="1:9" ht="18">
      <c r="A691" s="1390">
        <v>269</v>
      </c>
      <c r="B691" s="1480">
        <v>537</v>
      </c>
      <c r="C691" s="1391"/>
      <c r="D691" s="444" t="s">
        <v>267</v>
      </c>
      <c r="E691" s="1390" t="s">
        <v>313</v>
      </c>
      <c r="F691" s="1391"/>
      <c r="G691" s="444" t="s">
        <v>299</v>
      </c>
      <c r="H691" s="1495" t="s">
        <v>202</v>
      </c>
      <c r="I691" s="1495" t="s">
        <v>65</v>
      </c>
    </row>
    <row r="692" spans="1:9" ht="18">
      <c r="A692" s="1395"/>
      <c r="B692" s="1491"/>
      <c r="C692" s="1395"/>
      <c r="D692" s="444" t="s">
        <v>267</v>
      </c>
      <c r="E692" s="1395"/>
      <c r="F692" s="1395"/>
      <c r="G692" s="444" t="s">
        <v>299</v>
      </c>
      <c r="H692" s="1496"/>
      <c r="I692" s="1496"/>
    </row>
    <row r="693" spans="1:9" ht="18">
      <c r="A693" s="1390">
        <v>270</v>
      </c>
      <c r="B693" s="1492">
        <v>456</v>
      </c>
      <c r="C693" s="1390" t="s">
        <v>376</v>
      </c>
      <c r="D693" s="1390" t="s">
        <v>376</v>
      </c>
      <c r="E693" s="1450" t="s">
        <v>377</v>
      </c>
      <c r="F693" s="1390" t="s">
        <v>376</v>
      </c>
      <c r="G693" s="444" t="s">
        <v>383</v>
      </c>
      <c r="H693" s="1495" t="s">
        <v>93</v>
      </c>
      <c r="I693" s="1495" t="s">
        <v>65</v>
      </c>
    </row>
    <row r="694" spans="1:9" ht="18">
      <c r="A694" s="1391"/>
      <c r="B694" s="1493"/>
      <c r="C694" s="1391"/>
      <c r="D694" s="1391"/>
      <c r="E694" s="1451"/>
      <c r="F694" s="1391"/>
      <c r="G694" s="444" t="s">
        <v>386</v>
      </c>
      <c r="H694" s="1497"/>
      <c r="I694" s="1497"/>
    </row>
    <row r="695" spans="1:9" ht="18">
      <c r="A695" s="1391"/>
      <c r="B695" s="1493"/>
      <c r="C695" s="1391"/>
      <c r="D695" s="1391"/>
      <c r="E695" s="1451"/>
      <c r="F695" s="1391"/>
      <c r="G695" s="444" t="s">
        <v>389</v>
      </c>
      <c r="H695" s="1497"/>
      <c r="I695" s="1497"/>
    </row>
    <row r="696" spans="1:9" ht="18">
      <c r="A696" s="1391"/>
      <c r="B696" s="1493"/>
      <c r="C696" s="1391"/>
      <c r="D696" s="1391"/>
      <c r="E696" s="1451"/>
      <c r="F696" s="1391"/>
      <c r="G696" s="444" t="s">
        <v>389</v>
      </c>
      <c r="H696" s="1497"/>
      <c r="I696" s="1497"/>
    </row>
    <row r="697" spans="1:9" ht="18">
      <c r="A697" s="1395"/>
      <c r="B697" s="1494"/>
      <c r="C697" s="1391"/>
      <c r="D697" s="1395"/>
      <c r="E697" s="1619"/>
      <c r="F697" s="1391"/>
      <c r="G697" s="429" t="s">
        <v>56</v>
      </c>
      <c r="H697" s="1496"/>
      <c r="I697" s="1496"/>
    </row>
    <row r="698" spans="1:9" ht="18">
      <c r="A698" s="1390">
        <v>271</v>
      </c>
      <c r="B698" s="1480">
        <v>405</v>
      </c>
      <c r="C698" s="1391"/>
      <c r="D698" s="1390" t="s">
        <v>376</v>
      </c>
      <c r="E698" s="1390" t="s">
        <v>376</v>
      </c>
      <c r="F698" s="1391"/>
      <c r="G698" s="444" t="s">
        <v>167</v>
      </c>
      <c r="H698" s="1495" t="s">
        <v>202</v>
      </c>
      <c r="I698" s="1495" t="s">
        <v>65</v>
      </c>
    </row>
    <row r="699" spans="1:9" ht="18">
      <c r="A699" s="1395"/>
      <c r="B699" s="1491"/>
      <c r="C699" s="1391"/>
      <c r="D699" s="1395"/>
      <c r="E699" s="1395"/>
      <c r="F699" s="1391"/>
      <c r="G699" s="444" t="s">
        <v>395</v>
      </c>
      <c r="H699" s="1496"/>
      <c r="I699" s="1496"/>
    </row>
    <row r="700" spans="1:9" ht="18">
      <c r="A700" s="1390">
        <v>272</v>
      </c>
      <c r="B700" s="1480">
        <v>427</v>
      </c>
      <c r="C700" s="1391"/>
      <c r="D700" s="1390" t="s">
        <v>396</v>
      </c>
      <c r="E700" s="1390" t="s">
        <v>396</v>
      </c>
      <c r="F700" s="1391"/>
      <c r="G700" s="444" t="s">
        <v>167</v>
      </c>
      <c r="H700" s="1495" t="s">
        <v>418</v>
      </c>
      <c r="I700" s="1390" t="s">
        <v>65</v>
      </c>
    </row>
    <row r="701" spans="1:9" ht="18">
      <c r="A701" s="1395"/>
      <c r="B701" s="1491"/>
      <c r="C701" s="1391"/>
      <c r="D701" s="1395"/>
      <c r="E701" s="1395"/>
      <c r="F701" s="1391"/>
      <c r="G701" s="444" t="s">
        <v>395</v>
      </c>
      <c r="H701" s="1497"/>
      <c r="I701" s="1391"/>
    </row>
    <row r="702" spans="1:9" ht="18">
      <c r="A702" s="1390">
        <v>273</v>
      </c>
      <c r="B702" s="1480">
        <v>440</v>
      </c>
      <c r="C702" s="1391"/>
      <c r="D702" s="1390" t="s">
        <v>399</v>
      </c>
      <c r="E702" s="1390" t="s">
        <v>399</v>
      </c>
      <c r="F702" s="1391"/>
      <c r="G702" s="444" t="s">
        <v>167</v>
      </c>
      <c r="H702" s="1495" t="s">
        <v>202</v>
      </c>
      <c r="I702" s="1390" t="s">
        <v>65</v>
      </c>
    </row>
    <row r="703" spans="1:9" ht="18">
      <c r="A703" s="1395"/>
      <c r="B703" s="1491"/>
      <c r="C703" s="1391"/>
      <c r="D703" s="1395"/>
      <c r="E703" s="1395"/>
      <c r="F703" s="1391"/>
      <c r="G703" s="444" t="s">
        <v>395</v>
      </c>
      <c r="H703" s="1497"/>
      <c r="I703" s="1391"/>
    </row>
    <row r="704" spans="1:9" ht="18">
      <c r="A704" s="1390">
        <v>274</v>
      </c>
      <c r="B704" s="1480">
        <v>470</v>
      </c>
      <c r="C704" s="1391"/>
      <c r="D704" s="1390" t="s">
        <v>404</v>
      </c>
      <c r="E704" s="1390" t="s">
        <v>404</v>
      </c>
      <c r="F704" s="1391"/>
      <c r="G704" s="444" t="s">
        <v>167</v>
      </c>
      <c r="H704" s="1495" t="s">
        <v>202</v>
      </c>
      <c r="I704" s="1390" t="s">
        <v>65</v>
      </c>
    </row>
    <row r="705" spans="1:9" ht="18">
      <c r="A705" s="1395"/>
      <c r="B705" s="1491"/>
      <c r="C705" s="1391"/>
      <c r="D705" s="1395"/>
      <c r="E705" s="1395"/>
      <c r="F705" s="1391"/>
      <c r="G705" s="444" t="s">
        <v>395</v>
      </c>
      <c r="H705" s="1497"/>
      <c r="I705" s="1391"/>
    </row>
    <row r="706" spans="1:9" ht="18">
      <c r="A706" s="1390">
        <v>275</v>
      </c>
      <c r="B706" s="1480">
        <v>498</v>
      </c>
      <c r="C706" s="1391"/>
      <c r="D706" s="1390" t="s">
        <v>407</v>
      </c>
      <c r="E706" s="1390" t="s">
        <v>407</v>
      </c>
      <c r="F706" s="1391"/>
      <c r="G706" s="444" t="s">
        <v>167</v>
      </c>
      <c r="H706" s="1495" t="s">
        <v>202</v>
      </c>
      <c r="I706" s="1495" t="s">
        <v>65</v>
      </c>
    </row>
    <row r="707" spans="1:9" ht="18">
      <c r="A707" s="1391"/>
      <c r="B707" s="1481"/>
      <c r="C707" s="1391"/>
      <c r="D707" s="1391"/>
      <c r="E707" s="1391"/>
      <c r="F707" s="1391"/>
      <c r="G707" s="444" t="s">
        <v>395</v>
      </c>
      <c r="H707" s="1497"/>
      <c r="I707" s="1497"/>
    </row>
    <row r="708" spans="1:9" ht="18">
      <c r="A708" s="1395"/>
      <c r="B708" s="1491"/>
      <c r="C708" s="1395"/>
      <c r="D708" s="1395"/>
      <c r="E708" s="1395"/>
      <c r="F708" s="1395"/>
      <c r="G708" s="429" t="s">
        <v>50</v>
      </c>
      <c r="H708" s="1496"/>
      <c r="I708" s="1496"/>
    </row>
    <row r="709" spans="1:9">
      <c r="A709" s="1390">
        <v>276</v>
      </c>
      <c r="B709" s="1492">
        <v>315</v>
      </c>
      <c r="C709" s="1390" t="s">
        <v>1506</v>
      </c>
      <c r="D709" s="1390" t="s">
        <v>1507</v>
      </c>
      <c r="E709" s="1390" t="s">
        <v>1507</v>
      </c>
      <c r="F709" s="1390" t="s">
        <v>267</v>
      </c>
      <c r="G709" s="1390" t="s">
        <v>450</v>
      </c>
      <c r="H709" s="1495" t="s">
        <v>93</v>
      </c>
      <c r="I709" s="1495" t="s">
        <v>242</v>
      </c>
    </row>
    <row r="710" spans="1:9">
      <c r="A710" s="1391"/>
      <c r="B710" s="1493"/>
      <c r="C710" s="1391"/>
      <c r="D710" s="1391"/>
      <c r="E710" s="1391"/>
      <c r="F710" s="1391"/>
      <c r="G710" s="1395"/>
      <c r="H710" s="1497"/>
      <c r="I710" s="1497"/>
    </row>
    <row r="711" spans="1:9" ht="18">
      <c r="A711" s="1391"/>
      <c r="B711" s="1493"/>
      <c r="C711" s="1391"/>
      <c r="D711" s="1391"/>
      <c r="E711" s="1391"/>
      <c r="F711" s="1391"/>
      <c r="G711" s="444" t="s">
        <v>151</v>
      </c>
      <c r="H711" s="1497"/>
      <c r="I711" s="1497"/>
    </row>
    <row r="712" spans="1:9" ht="18">
      <c r="A712" s="1395"/>
      <c r="B712" s="1494"/>
      <c r="C712" s="1391"/>
      <c r="D712" s="1395"/>
      <c r="E712" s="1395"/>
      <c r="F712" s="1391"/>
      <c r="G712" s="429" t="s">
        <v>56</v>
      </c>
      <c r="H712" s="1496"/>
      <c r="I712" s="1496"/>
    </row>
    <row r="713" spans="1:9" ht="18">
      <c r="A713" s="1390">
        <v>277</v>
      </c>
      <c r="B713" s="1480">
        <v>382</v>
      </c>
      <c r="C713" s="1391"/>
      <c r="D713" s="1390" t="s">
        <v>1513</v>
      </c>
      <c r="E713" s="1390" t="s">
        <v>1513</v>
      </c>
      <c r="F713" s="1391"/>
      <c r="G713" s="444" t="s">
        <v>167</v>
      </c>
      <c r="H713" s="1495" t="s">
        <v>202</v>
      </c>
      <c r="I713" s="1495" t="s">
        <v>242</v>
      </c>
    </row>
    <row r="714" spans="1:9" ht="18">
      <c r="A714" s="1391"/>
      <c r="B714" s="1481"/>
      <c r="C714" s="1391"/>
      <c r="D714" s="1391"/>
      <c r="E714" s="1391"/>
      <c r="F714" s="1391"/>
      <c r="G714" s="444" t="s">
        <v>170</v>
      </c>
      <c r="H714" s="1497"/>
      <c r="I714" s="1497"/>
    </row>
    <row r="715" spans="1:9" ht="18">
      <c r="A715" s="1395"/>
      <c r="B715" s="1491"/>
      <c r="C715" s="1391"/>
      <c r="D715" s="1395"/>
      <c r="E715" s="1395"/>
      <c r="F715" s="1391"/>
      <c r="G715" s="429" t="s">
        <v>56</v>
      </c>
      <c r="H715" s="1496"/>
      <c r="I715" s="1496"/>
    </row>
    <row r="716" spans="1:9" ht="18">
      <c r="A716" s="1390">
        <v>278</v>
      </c>
      <c r="B716" s="1480">
        <v>467</v>
      </c>
      <c r="C716" s="1391"/>
      <c r="D716" s="1390" t="s">
        <v>1507</v>
      </c>
      <c r="E716" s="1390" t="s">
        <v>1519</v>
      </c>
      <c r="F716" s="1391"/>
      <c r="G716" s="444" t="s">
        <v>1536</v>
      </c>
      <c r="H716" s="1495" t="s">
        <v>202</v>
      </c>
      <c r="I716" s="1495" t="s">
        <v>65</v>
      </c>
    </row>
    <row r="717" spans="1:9" ht="18">
      <c r="A717" s="1395"/>
      <c r="B717" s="1491"/>
      <c r="C717" s="1395"/>
      <c r="D717" s="1395"/>
      <c r="E717" s="1395"/>
      <c r="F717" s="1395"/>
      <c r="G717" s="444" t="s">
        <v>170</v>
      </c>
      <c r="H717" s="1496"/>
      <c r="I717" s="1496"/>
    </row>
    <row r="718" spans="1:9">
      <c r="A718" s="1390">
        <v>279</v>
      </c>
      <c r="B718" s="1492">
        <v>464</v>
      </c>
      <c r="C718" s="1390" t="s">
        <v>2449</v>
      </c>
      <c r="D718" s="1390" t="s">
        <v>2449</v>
      </c>
      <c r="E718" s="1390" t="s">
        <v>2450</v>
      </c>
      <c r="F718" s="1390" t="s">
        <v>334</v>
      </c>
      <c r="G718" s="1390" t="s">
        <v>450</v>
      </c>
      <c r="H718" s="1495" t="s">
        <v>93</v>
      </c>
      <c r="I718" s="1495" t="s">
        <v>65</v>
      </c>
    </row>
    <row r="719" spans="1:9">
      <c r="A719" s="1391"/>
      <c r="B719" s="1493"/>
      <c r="C719" s="1391"/>
      <c r="D719" s="1391"/>
      <c r="E719" s="1391"/>
      <c r="F719" s="1391"/>
      <c r="G719" s="1395"/>
      <c r="H719" s="1497"/>
      <c r="I719" s="1497"/>
    </row>
    <row r="720" spans="1:9" ht="18">
      <c r="A720" s="1391"/>
      <c r="B720" s="1493"/>
      <c r="C720" s="1391"/>
      <c r="D720" s="1391"/>
      <c r="E720" s="1391"/>
      <c r="F720" s="1391"/>
      <c r="G720" s="444" t="s">
        <v>2461</v>
      </c>
      <c r="H720" s="1497"/>
      <c r="I720" s="1497"/>
    </row>
    <row r="721" spans="1:9" ht="18">
      <c r="A721" s="1395"/>
      <c r="B721" s="1494"/>
      <c r="C721" s="1391"/>
      <c r="D721" s="1391"/>
      <c r="E721" s="1395"/>
      <c r="F721" s="1391"/>
      <c r="G721" s="429" t="s">
        <v>56</v>
      </c>
      <c r="H721" s="1497"/>
      <c r="I721" s="1497"/>
    </row>
    <row r="722" spans="1:9" ht="18">
      <c r="A722" s="1390">
        <v>280</v>
      </c>
      <c r="B722" s="1480">
        <v>346</v>
      </c>
      <c r="C722" s="1391"/>
      <c r="D722" s="1391"/>
      <c r="E722" s="1390" t="s">
        <v>2463</v>
      </c>
      <c r="F722" s="1391"/>
      <c r="G722" s="444" t="s">
        <v>167</v>
      </c>
      <c r="H722" s="1390" t="s">
        <v>202</v>
      </c>
      <c r="I722" s="1452" t="s">
        <v>65</v>
      </c>
    </row>
    <row r="723" spans="1:9" ht="18">
      <c r="A723" s="1395"/>
      <c r="B723" s="1491"/>
      <c r="C723" s="1391"/>
      <c r="D723" s="1395"/>
      <c r="E723" s="1395"/>
      <c r="F723" s="1391"/>
      <c r="G723" s="444" t="s">
        <v>299</v>
      </c>
      <c r="H723" s="1395"/>
      <c r="I723" s="1452"/>
    </row>
    <row r="724" spans="1:9" ht="18">
      <c r="A724" s="1390">
        <v>281</v>
      </c>
      <c r="B724" s="1480">
        <v>393</v>
      </c>
      <c r="C724" s="1391"/>
      <c r="D724" s="1390" t="s">
        <v>2467</v>
      </c>
      <c r="E724" s="1390" t="s">
        <v>2467</v>
      </c>
      <c r="F724" s="1391"/>
      <c r="G724" s="444" t="s">
        <v>167</v>
      </c>
      <c r="H724" s="1390" t="s">
        <v>202</v>
      </c>
      <c r="I724" s="1452" t="s">
        <v>65</v>
      </c>
    </row>
    <row r="725" spans="1:9" ht="18">
      <c r="A725" s="1395"/>
      <c r="B725" s="1491"/>
      <c r="C725" s="1391"/>
      <c r="D725" s="1395"/>
      <c r="E725" s="1395"/>
      <c r="F725" s="1391"/>
      <c r="G725" s="444" t="s">
        <v>299</v>
      </c>
      <c r="H725" s="1395"/>
      <c r="I725" s="1452"/>
    </row>
    <row r="726" spans="1:9" ht="18">
      <c r="A726" s="1390">
        <v>282</v>
      </c>
      <c r="B726" s="1480">
        <v>425</v>
      </c>
      <c r="C726" s="1391"/>
      <c r="D726" s="1390" t="s">
        <v>2449</v>
      </c>
      <c r="E726" s="1390" t="s">
        <v>2470</v>
      </c>
      <c r="F726" s="1391"/>
      <c r="G726" s="444" t="s">
        <v>299</v>
      </c>
      <c r="H726" s="1390" t="s">
        <v>202</v>
      </c>
      <c r="I726" s="1452" t="s">
        <v>65</v>
      </c>
    </row>
    <row r="727" spans="1:9" ht="18">
      <c r="A727" s="1395"/>
      <c r="B727" s="1491"/>
      <c r="C727" s="1391"/>
      <c r="D727" s="1395"/>
      <c r="E727" s="1395"/>
      <c r="F727" s="1391"/>
      <c r="G727" s="429" t="s">
        <v>50</v>
      </c>
      <c r="H727" s="1395"/>
      <c r="I727" s="1452"/>
    </row>
    <row r="728" spans="1:9" ht="18">
      <c r="A728" s="1390">
        <v>283</v>
      </c>
      <c r="B728" s="1480">
        <v>475</v>
      </c>
      <c r="C728" s="1391"/>
      <c r="D728" s="1390" t="s">
        <v>2471</v>
      </c>
      <c r="E728" s="1390" t="s">
        <v>2471</v>
      </c>
      <c r="F728" s="1391"/>
      <c r="G728" s="444" t="s">
        <v>167</v>
      </c>
      <c r="H728" s="1495" t="s">
        <v>202</v>
      </c>
      <c r="I728" s="1495" t="s">
        <v>65</v>
      </c>
    </row>
    <row r="729" spans="1:9" ht="18">
      <c r="A729" s="1391"/>
      <c r="B729" s="1481"/>
      <c r="C729" s="1391"/>
      <c r="D729" s="1391"/>
      <c r="E729" s="1391"/>
      <c r="F729" s="1391"/>
      <c r="G729" s="444" t="s">
        <v>299</v>
      </c>
      <c r="H729" s="1497"/>
      <c r="I729" s="1497"/>
    </row>
    <row r="730" spans="1:9" ht="18">
      <c r="A730" s="1395"/>
      <c r="B730" s="1491"/>
      <c r="C730" s="1395"/>
      <c r="D730" s="1395"/>
      <c r="E730" s="1395"/>
      <c r="F730" s="1395"/>
      <c r="G730" s="429" t="s">
        <v>50</v>
      </c>
      <c r="H730" s="1496"/>
      <c r="I730" s="1496"/>
    </row>
    <row r="731" spans="1:9">
      <c r="A731" s="1390">
        <v>284</v>
      </c>
      <c r="B731" s="1492">
        <v>344</v>
      </c>
      <c r="C731" s="1390" t="s">
        <v>2476</v>
      </c>
      <c r="D731" s="1390" t="s">
        <v>2476</v>
      </c>
      <c r="E731" s="1390" t="s">
        <v>2477</v>
      </c>
      <c r="F731" s="1390" t="s">
        <v>2476</v>
      </c>
      <c r="G731" s="1488" t="s">
        <v>2485</v>
      </c>
      <c r="H731" s="1495" t="s">
        <v>2525</v>
      </c>
      <c r="I731" s="1686" t="s">
        <v>2486</v>
      </c>
    </row>
    <row r="732" spans="1:9">
      <c r="A732" s="1391"/>
      <c r="B732" s="1493"/>
      <c r="C732" s="1391"/>
      <c r="D732" s="1391"/>
      <c r="E732" s="1391"/>
      <c r="F732" s="1391"/>
      <c r="G732" s="1489"/>
      <c r="H732" s="1497"/>
      <c r="I732" s="1687"/>
    </row>
    <row r="733" spans="1:9">
      <c r="A733" s="1391"/>
      <c r="B733" s="1493"/>
      <c r="C733" s="1391"/>
      <c r="D733" s="1391"/>
      <c r="E733" s="1391"/>
      <c r="F733" s="1391"/>
      <c r="G733" s="1489"/>
      <c r="H733" s="1497"/>
      <c r="I733" s="1687"/>
    </row>
    <row r="734" spans="1:9">
      <c r="A734" s="1391"/>
      <c r="B734" s="1493"/>
      <c r="C734" s="1391"/>
      <c r="D734" s="1391"/>
      <c r="E734" s="1391"/>
      <c r="F734" s="1391"/>
      <c r="G734" s="1490"/>
      <c r="H734" s="1497"/>
      <c r="I734" s="1687"/>
    </row>
    <row r="735" spans="1:9" ht="18">
      <c r="A735" s="1395"/>
      <c r="B735" s="1494"/>
      <c r="C735" s="1391"/>
      <c r="D735" s="1395"/>
      <c r="E735" s="1395"/>
      <c r="F735" s="1391"/>
      <c r="G735" s="429" t="s">
        <v>56</v>
      </c>
      <c r="H735" s="1496"/>
      <c r="I735" s="1688"/>
    </row>
    <row r="736" spans="1:9" ht="18">
      <c r="A736" s="1390">
        <v>285</v>
      </c>
      <c r="B736" s="1480">
        <v>262</v>
      </c>
      <c r="C736" s="1391"/>
      <c r="D736" s="1390" t="s">
        <v>2499</v>
      </c>
      <c r="E736" s="1390" t="s">
        <v>2499</v>
      </c>
      <c r="F736" s="1391"/>
      <c r="G736" s="444" t="s">
        <v>299</v>
      </c>
      <c r="H736" s="1390" t="s">
        <v>202</v>
      </c>
      <c r="I736" s="1452" t="s">
        <v>65</v>
      </c>
    </row>
    <row r="737" spans="1:9" ht="18">
      <c r="A737" s="1395"/>
      <c r="B737" s="1491"/>
      <c r="C737" s="1391"/>
      <c r="D737" s="1395"/>
      <c r="E737" s="1395"/>
      <c r="F737" s="1391"/>
      <c r="G737" s="444" t="s">
        <v>299</v>
      </c>
      <c r="H737" s="1395"/>
      <c r="I737" s="1452"/>
    </row>
    <row r="738" spans="1:9" ht="18">
      <c r="A738" s="1390">
        <v>286</v>
      </c>
      <c r="B738" s="1480">
        <v>270</v>
      </c>
      <c r="C738" s="1391"/>
      <c r="D738" s="1390" t="s">
        <v>2501</v>
      </c>
      <c r="E738" s="1390" t="s">
        <v>2501</v>
      </c>
      <c r="F738" s="1391"/>
      <c r="G738" s="444" t="s">
        <v>299</v>
      </c>
      <c r="H738" s="1390" t="s">
        <v>202</v>
      </c>
      <c r="I738" s="1452" t="s">
        <v>65</v>
      </c>
    </row>
    <row r="739" spans="1:9" ht="18">
      <c r="A739" s="1395"/>
      <c r="B739" s="1491"/>
      <c r="C739" s="1391"/>
      <c r="D739" s="1395"/>
      <c r="E739" s="1395"/>
      <c r="F739" s="1391"/>
      <c r="G739" s="444" t="s">
        <v>299</v>
      </c>
      <c r="H739" s="1395"/>
      <c r="I739" s="1452"/>
    </row>
    <row r="740" spans="1:9" ht="18">
      <c r="A740" s="1390">
        <v>287</v>
      </c>
      <c r="B740" s="1480">
        <v>272</v>
      </c>
      <c r="C740" s="1391"/>
      <c r="D740" s="1390" t="s">
        <v>2476</v>
      </c>
      <c r="E740" s="1390" t="s">
        <v>2476</v>
      </c>
      <c r="F740" s="1391"/>
      <c r="G740" s="444" t="s">
        <v>170</v>
      </c>
      <c r="H740" s="1452" t="s">
        <v>202</v>
      </c>
      <c r="I740" s="1452" t="s">
        <v>65</v>
      </c>
    </row>
    <row r="741" spans="1:9" ht="18">
      <c r="A741" s="1391"/>
      <c r="B741" s="1481"/>
      <c r="C741" s="1391"/>
      <c r="D741" s="1391"/>
      <c r="E741" s="1391"/>
      <c r="F741" s="1391"/>
      <c r="G741" s="444" t="s">
        <v>170</v>
      </c>
      <c r="H741" s="1452"/>
      <c r="I741" s="1452"/>
    </row>
    <row r="742" spans="1:9" ht="18">
      <c r="A742" s="1395"/>
      <c r="B742" s="1491"/>
      <c r="C742" s="1391"/>
      <c r="D742" s="1395"/>
      <c r="E742" s="1395"/>
      <c r="F742" s="1391"/>
      <c r="G742" s="429" t="s">
        <v>56</v>
      </c>
      <c r="H742" s="1452"/>
      <c r="I742" s="1452"/>
    </row>
    <row r="743" spans="1:9" ht="18">
      <c r="A743" s="1390">
        <v>288</v>
      </c>
      <c r="B743" s="1480">
        <v>273</v>
      </c>
      <c r="C743" s="1391"/>
      <c r="D743" s="1390" t="s">
        <v>2505</v>
      </c>
      <c r="E743" s="1390" t="s">
        <v>2506</v>
      </c>
      <c r="F743" s="1391"/>
      <c r="G743" s="444" t="s">
        <v>299</v>
      </c>
      <c r="H743" s="1390" t="s">
        <v>202</v>
      </c>
      <c r="I743" s="1452" t="s">
        <v>65</v>
      </c>
    </row>
    <row r="744" spans="1:9" ht="18">
      <c r="A744" s="1395"/>
      <c r="B744" s="1491"/>
      <c r="C744" s="1391"/>
      <c r="D744" s="1395"/>
      <c r="E744" s="1395"/>
      <c r="F744" s="1391"/>
      <c r="G744" s="444" t="s">
        <v>299</v>
      </c>
      <c r="H744" s="1395"/>
      <c r="I744" s="1452"/>
    </row>
    <row r="745" spans="1:9" ht="18">
      <c r="A745" s="1390">
        <v>289</v>
      </c>
      <c r="B745" s="1480">
        <v>288</v>
      </c>
      <c r="C745" s="1391"/>
      <c r="D745" s="1390" t="s">
        <v>2499</v>
      </c>
      <c r="E745" s="1390" t="s">
        <v>2509</v>
      </c>
      <c r="F745" s="1391"/>
      <c r="G745" s="444" t="s">
        <v>299</v>
      </c>
      <c r="H745" s="1390" t="s">
        <v>202</v>
      </c>
      <c r="I745" s="1452" t="s">
        <v>65</v>
      </c>
    </row>
    <row r="746" spans="1:9" ht="18">
      <c r="A746" s="1395"/>
      <c r="B746" s="1491"/>
      <c r="C746" s="1391"/>
      <c r="D746" s="1395"/>
      <c r="E746" s="1395"/>
      <c r="F746" s="1391"/>
      <c r="G746" s="444" t="s">
        <v>299</v>
      </c>
      <c r="H746" s="1395"/>
      <c r="I746" s="1452"/>
    </row>
    <row r="747" spans="1:9" ht="18">
      <c r="A747" s="1390">
        <v>290</v>
      </c>
      <c r="B747" s="1480">
        <v>308</v>
      </c>
      <c r="C747" s="1391"/>
      <c r="D747" s="1390" t="s">
        <v>2476</v>
      </c>
      <c r="E747" s="1390" t="s">
        <v>2510</v>
      </c>
      <c r="F747" s="1391"/>
      <c r="G747" s="444" t="s">
        <v>299</v>
      </c>
      <c r="H747" s="1390" t="s">
        <v>202</v>
      </c>
      <c r="I747" s="1452" t="s">
        <v>65</v>
      </c>
    </row>
    <row r="748" spans="1:9" ht="18">
      <c r="A748" s="1395"/>
      <c r="B748" s="1491"/>
      <c r="C748" s="1391"/>
      <c r="D748" s="1395"/>
      <c r="E748" s="1395"/>
      <c r="F748" s="1391"/>
      <c r="G748" s="444" t="s">
        <v>299</v>
      </c>
      <c r="H748" s="1395"/>
      <c r="I748" s="1452"/>
    </row>
    <row r="749" spans="1:9" ht="18">
      <c r="A749" s="1390">
        <v>291</v>
      </c>
      <c r="B749" s="1480">
        <v>313</v>
      </c>
      <c r="C749" s="1391"/>
      <c r="D749" s="1390" t="s">
        <v>2499</v>
      </c>
      <c r="E749" s="1390" t="s">
        <v>2514</v>
      </c>
      <c r="F749" s="1391"/>
      <c r="G749" s="444" t="s">
        <v>299</v>
      </c>
      <c r="H749" s="1390" t="s">
        <v>202</v>
      </c>
      <c r="I749" s="1452" t="s">
        <v>65</v>
      </c>
    </row>
    <row r="750" spans="1:9" ht="18">
      <c r="A750" s="1395"/>
      <c r="B750" s="1491"/>
      <c r="C750" s="1391"/>
      <c r="D750" s="1395"/>
      <c r="E750" s="1395"/>
      <c r="F750" s="1391"/>
      <c r="G750" s="444" t="s">
        <v>299</v>
      </c>
      <c r="H750" s="1395"/>
      <c r="I750" s="1452"/>
    </row>
    <row r="751" spans="1:9" ht="18">
      <c r="A751" s="1390">
        <v>292</v>
      </c>
      <c r="B751" s="1480">
        <v>341</v>
      </c>
      <c r="C751" s="1391"/>
      <c r="D751" s="1390" t="s">
        <v>2505</v>
      </c>
      <c r="E751" s="1390" t="s">
        <v>2516</v>
      </c>
      <c r="F751" s="1391"/>
      <c r="G751" s="444" t="s">
        <v>299</v>
      </c>
      <c r="H751" s="1390" t="s">
        <v>202</v>
      </c>
      <c r="I751" s="1452" t="s">
        <v>65</v>
      </c>
    </row>
    <row r="752" spans="1:9" ht="18">
      <c r="A752" s="1395"/>
      <c r="B752" s="1491"/>
      <c r="C752" s="1391"/>
      <c r="D752" s="1395"/>
      <c r="E752" s="1395"/>
      <c r="F752" s="1391"/>
      <c r="G752" s="444" t="s">
        <v>299</v>
      </c>
      <c r="H752" s="1395"/>
      <c r="I752" s="1452"/>
    </row>
    <row r="753" spans="1:9" ht="18">
      <c r="A753" s="1390">
        <v>293</v>
      </c>
      <c r="B753" s="1480">
        <v>435</v>
      </c>
      <c r="C753" s="1391"/>
      <c r="D753" s="1390" t="s">
        <v>2476</v>
      </c>
      <c r="E753" s="1390" t="s">
        <v>2519</v>
      </c>
      <c r="F753" s="1391"/>
      <c r="G753" s="444" t="s">
        <v>167</v>
      </c>
      <c r="H753" s="1390" t="s">
        <v>202</v>
      </c>
      <c r="I753" s="1452" t="s">
        <v>65</v>
      </c>
    </row>
    <row r="754" spans="1:9" ht="18">
      <c r="A754" s="1395"/>
      <c r="B754" s="1491"/>
      <c r="C754" s="1391"/>
      <c r="D754" s="1395"/>
      <c r="E754" s="1395"/>
      <c r="F754" s="1391"/>
      <c r="G754" s="444" t="s">
        <v>299</v>
      </c>
      <c r="H754" s="1395"/>
      <c r="I754" s="1452"/>
    </row>
    <row r="755" spans="1:9" ht="18">
      <c r="A755" s="1390">
        <v>294</v>
      </c>
      <c r="B755" s="1480">
        <v>474</v>
      </c>
      <c r="C755" s="1391"/>
      <c r="D755" s="1390" t="s">
        <v>2499</v>
      </c>
      <c r="E755" s="1390" t="s">
        <v>2523</v>
      </c>
      <c r="F755" s="1391"/>
      <c r="G755" s="444" t="s">
        <v>167</v>
      </c>
      <c r="H755" s="1390" t="s">
        <v>202</v>
      </c>
      <c r="I755" s="1452" t="s">
        <v>65</v>
      </c>
    </row>
    <row r="756" spans="1:9" ht="18">
      <c r="A756" s="1395"/>
      <c r="B756" s="1491"/>
      <c r="C756" s="1395"/>
      <c r="D756" s="1395"/>
      <c r="E756" s="1395"/>
      <c r="F756" s="1395"/>
      <c r="G756" s="444" t="s">
        <v>299</v>
      </c>
      <c r="H756" s="1395"/>
      <c r="I756" s="1452"/>
    </row>
    <row r="757" spans="1:9">
      <c r="A757" s="1533">
        <v>295</v>
      </c>
      <c r="B757" s="1523">
        <v>412</v>
      </c>
      <c r="C757" s="1533" t="s">
        <v>3163</v>
      </c>
      <c r="D757" s="1533" t="s">
        <v>3164</v>
      </c>
      <c r="E757" s="1533" t="s">
        <v>3164</v>
      </c>
      <c r="F757" s="1533" t="s">
        <v>2592</v>
      </c>
      <c r="G757" s="1533" t="s">
        <v>2336</v>
      </c>
      <c r="H757" s="1641" t="s">
        <v>93</v>
      </c>
      <c r="I757" s="1641" t="s">
        <v>65</v>
      </c>
    </row>
    <row r="758" spans="1:9">
      <c r="A758" s="1647"/>
      <c r="B758" s="1524"/>
      <c r="C758" s="1647"/>
      <c r="D758" s="1647"/>
      <c r="E758" s="1647"/>
      <c r="F758" s="1647"/>
      <c r="G758" s="1647"/>
      <c r="H758" s="1642"/>
      <c r="I758" s="1642"/>
    </row>
    <row r="759" spans="1:9">
      <c r="A759" s="1647"/>
      <c r="B759" s="1524"/>
      <c r="C759" s="1647"/>
      <c r="D759" s="1647"/>
      <c r="E759" s="1647"/>
      <c r="F759" s="1647"/>
      <c r="G759" s="1534"/>
      <c r="H759" s="1642"/>
      <c r="I759" s="1642"/>
    </row>
    <row r="760" spans="1:9" ht="18">
      <c r="A760" s="1647"/>
      <c r="B760" s="1524"/>
      <c r="C760" s="1647"/>
      <c r="D760" s="1647"/>
      <c r="E760" s="1647"/>
      <c r="F760" s="1647"/>
      <c r="G760" s="441" t="s">
        <v>50</v>
      </c>
      <c r="H760" s="1642"/>
      <c r="I760" s="1642"/>
    </row>
    <row r="761" spans="1:9" ht="18">
      <c r="A761" s="1534"/>
      <c r="B761" s="1525"/>
      <c r="C761" s="1647"/>
      <c r="D761" s="1534"/>
      <c r="E761" s="1534"/>
      <c r="F761" s="1647"/>
      <c r="G761" s="441" t="s">
        <v>56</v>
      </c>
      <c r="H761" s="1643"/>
      <c r="I761" s="1643"/>
    </row>
    <row r="762" spans="1:9" ht="18">
      <c r="A762" s="1533">
        <v>296</v>
      </c>
      <c r="B762" s="1644">
        <v>539</v>
      </c>
      <c r="C762" s="1647"/>
      <c r="D762" s="1533" t="s">
        <v>3179</v>
      </c>
      <c r="E762" s="1533" t="s">
        <v>3179</v>
      </c>
      <c r="F762" s="1647"/>
      <c r="G762" s="443" t="s">
        <v>299</v>
      </c>
      <c r="H762" s="1533" t="s">
        <v>202</v>
      </c>
      <c r="I762" s="1533" t="s">
        <v>65</v>
      </c>
    </row>
    <row r="763" spans="1:9" ht="18">
      <c r="A763" s="1647"/>
      <c r="B763" s="1646"/>
      <c r="C763" s="1647"/>
      <c r="D763" s="1647"/>
      <c r="E763" s="1647"/>
      <c r="F763" s="1647"/>
      <c r="G763" s="443" t="s">
        <v>167</v>
      </c>
      <c r="H763" s="1647"/>
      <c r="I763" s="1647"/>
    </row>
    <row r="764" spans="1:9" ht="18">
      <c r="A764" s="1534"/>
      <c r="B764" s="1645"/>
      <c r="C764" s="1534"/>
      <c r="D764" s="1534"/>
      <c r="E764" s="1534"/>
      <c r="F764" s="1534"/>
      <c r="G764" s="441" t="s">
        <v>50</v>
      </c>
      <c r="H764" s="1534"/>
      <c r="I764" s="1534"/>
    </row>
    <row r="765" spans="1:9" ht="18" customHeight="1">
      <c r="A765" s="1422">
        <v>297</v>
      </c>
      <c r="B765" s="1523">
        <v>247</v>
      </c>
      <c r="C765" s="1422" t="s">
        <v>3191</v>
      </c>
      <c r="D765" s="1422" t="s">
        <v>3191</v>
      </c>
      <c r="E765" s="1422" t="s">
        <v>3191</v>
      </c>
      <c r="F765" s="1422" t="s">
        <v>267</v>
      </c>
      <c r="G765" s="1533" t="s">
        <v>3416</v>
      </c>
      <c r="H765" s="1422" t="s">
        <v>93</v>
      </c>
      <c r="I765" s="1529" t="s">
        <v>242</v>
      </c>
    </row>
    <row r="766" spans="1:9" ht="18" customHeight="1">
      <c r="A766" s="1423"/>
      <c r="B766" s="1524"/>
      <c r="C766" s="1423"/>
      <c r="D766" s="1423"/>
      <c r="E766" s="1423"/>
      <c r="F766" s="1423"/>
      <c r="G766" s="1647"/>
      <c r="H766" s="1423"/>
      <c r="I766" s="1530"/>
    </row>
    <row r="767" spans="1:9" ht="18" customHeight="1">
      <c r="A767" s="1423"/>
      <c r="B767" s="1524"/>
      <c r="C767" s="1423"/>
      <c r="D767" s="1423"/>
      <c r="E767" s="1423"/>
      <c r="F767" s="1423"/>
      <c r="G767" s="1534"/>
      <c r="H767" s="1423"/>
      <c r="I767" s="1530"/>
    </row>
    <row r="768" spans="1:9" ht="18">
      <c r="A768" s="1508"/>
      <c r="B768" s="1525"/>
      <c r="C768" s="1423"/>
      <c r="D768" s="1423"/>
      <c r="E768" s="1508"/>
      <c r="F768" s="1423"/>
      <c r="G768" s="441" t="s">
        <v>56</v>
      </c>
      <c r="H768" s="1508"/>
      <c r="I768" s="1531"/>
    </row>
    <row r="769" spans="1:9" ht="18">
      <c r="A769" s="1422">
        <v>298</v>
      </c>
      <c r="B769" s="1512">
        <v>349</v>
      </c>
      <c r="C769" s="1423"/>
      <c r="D769" s="1423"/>
      <c r="E769" s="1422" t="s">
        <v>3196</v>
      </c>
      <c r="F769" s="1423"/>
      <c r="G769" s="442" t="s">
        <v>299</v>
      </c>
      <c r="H769" s="1529" t="s">
        <v>202</v>
      </c>
      <c r="I769" s="1529" t="s">
        <v>242</v>
      </c>
    </row>
    <row r="770" spans="1:9" ht="18">
      <c r="A770" s="1423"/>
      <c r="B770" s="1621"/>
      <c r="C770" s="1423"/>
      <c r="D770" s="1423"/>
      <c r="E770" s="1423"/>
      <c r="F770" s="1423"/>
      <c r="G770" s="442" t="s">
        <v>299</v>
      </c>
      <c r="H770" s="1530"/>
      <c r="I770" s="1530"/>
    </row>
    <row r="771" spans="1:9" ht="18">
      <c r="A771" s="1508"/>
      <c r="B771" s="1513"/>
      <c r="C771" s="1423"/>
      <c r="D771" s="1423"/>
      <c r="E771" s="1508"/>
      <c r="F771" s="1423"/>
      <c r="G771" s="441" t="s">
        <v>56</v>
      </c>
      <c r="H771" s="1531"/>
      <c r="I771" s="1531"/>
    </row>
    <row r="772" spans="1:9" ht="18">
      <c r="A772" s="1422">
        <v>299</v>
      </c>
      <c r="B772" s="1512">
        <v>455</v>
      </c>
      <c r="C772" s="1423"/>
      <c r="D772" s="1423"/>
      <c r="E772" s="1422" t="s">
        <v>3199</v>
      </c>
      <c r="F772" s="1423"/>
      <c r="G772" s="442" t="s">
        <v>299</v>
      </c>
      <c r="H772" s="1422" t="s">
        <v>202</v>
      </c>
      <c r="I772" s="1529" t="s">
        <v>65</v>
      </c>
    </row>
    <row r="773" spans="1:9" ht="18">
      <c r="A773" s="1508"/>
      <c r="B773" s="1513"/>
      <c r="C773" s="1508"/>
      <c r="D773" s="1508"/>
      <c r="E773" s="1508"/>
      <c r="F773" s="1508"/>
      <c r="G773" s="442" t="s">
        <v>299</v>
      </c>
      <c r="H773" s="1508"/>
      <c r="I773" s="1531"/>
    </row>
    <row r="774" spans="1:9">
      <c r="A774" s="1533">
        <v>300</v>
      </c>
      <c r="B774" s="1523">
        <v>279</v>
      </c>
      <c r="C774" s="1533" t="s">
        <v>3212</v>
      </c>
      <c r="D774" s="1694" t="s">
        <v>3213</v>
      </c>
      <c r="E774" s="1697" t="s">
        <v>3214</v>
      </c>
      <c r="F774" s="1533" t="s">
        <v>3212</v>
      </c>
      <c r="G774" s="1533" t="s">
        <v>4764</v>
      </c>
      <c r="H774" s="1641" t="s">
        <v>2279</v>
      </c>
      <c r="I774" s="1641" t="s">
        <v>484</v>
      </c>
    </row>
    <row r="775" spans="1:9">
      <c r="A775" s="1647"/>
      <c r="B775" s="1524"/>
      <c r="C775" s="1647"/>
      <c r="D775" s="1695"/>
      <c r="E775" s="1699"/>
      <c r="F775" s="1647"/>
      <c r="G775" s="1647"/>
      <c r="H775" s="1642"/>
      <c r="I775" s="1642"/>
    </row>
    <row r="776" spans="1:9">
      <c r="A776" s="1647"/>
      <c r="B776" s="1524"/>
      <c r="C776" s="1647"/>
      <c r="D776" s="1695"/>
      <c r="E776" s="1699"/>
      <c r="F776" s="1647"/>
      <c r="G776" s="1647"/>
      <c r="H776" s="1642"/>
      <c r="I776" s="1642"/>
    </row>
    <row r="777" spans="1:9">
      <c r="A777" s="1647"/>
      <c r="B777" s="1524"/>
      <c r="C777" s="1647"/>
      <c r="D777" s="1695"/>
      <c r="E777" s="1699"/>
      <c r="F777" s="1647"/>
      <c r="G777" s="1534"/>
      <c r="H777" s="1642"/>
      <c r="I777" s="1642"/>
    </row>
    <row r="778" spans="1:9" ht="18">
      <c r="A778" s="1534"/>
      <c r="B778" s="1525"/>
      <c r="C778" s="1647"/>
      <c r="D778" s="1696"/>
      <c r="E778" s="1698"/>
      <c r="F778" s="1647"/>
      <c r="G778" s="441" t="s">
        <v>56</v>
      </c>
      <c r="H778" s="1643"/>
      <c r="I778" s="1643"/>
    </row>
    <row r="779" spans="1:9" ht="18">
      <c r="A779" s="1533">
        <v>301</v>
      </c>
      <c r="B779" s="1644">
        <v>284</v>
      </c>
      <c r="C779" s="1647"/>
      <c r="D779" s="1694" t="s">
        <v>3233</v>
      </c>
      <c r="E779" s="1697" t="s">
        <v>3233</v>
      </c>
      <c r="F779" s="1647"/>
      <c r="G779" s="443" t="s">
        <v>167</v>
      </c>
      <c r="H779" s="1533" t="s">
        <v>202</v>
      </c>
      <c r="I779" s="1533" t="s">
        <v>65</v>
      </c>
    </row>
    <row r="780" spans="1:9" ht="18">
      <c r="A780" s="1647"/>
      <c r="B780" s="1646"/>
      <c r="C780" s="1647"/>
      <c r="D780" s="1695"/>
      <c r="E780" s="1699"/>
      <c r="F780" s="1647"/>
      <c r="G780" s="443" t="s">
        <v>3236</v>
      </c>
      <c r="H780" s="1647"/>
      <c r="I780" s="1647"/>
    </row>
    <row r="781" spans="1:9" ht="18">
      <c r="A781" s="1534"/>
      <c r="B781" s="1645"/>
      <c r="C781" s="1647"/>
      <c r="D781" s="1696"/>
      <c r="E781" s="1698"/>
      <c r="F781" s="1647"/>
      <c r="G781" s="441" t="s">
        <v>56</v>
      </c>
      <c r="H781" s="1534"/>
      <c r="I781" s="1534"/>
    </row>
    <row r="782" spans="1:9" ht="18">
      <c r="A782" s="1533">
        <v>302</v>
      </c>
      <c r="B782" s="1644">
        <v>285</v>
      </c>
      <c r="C782" s="1647"/>
      <c r="D782" s="1694" t="s">
        <v>3237</v>
      </c>
      <c r="E782" s="1697" t="s">
        <v>3237</v>
      </c>
      <c r="F782" s="1647"/>
      <c r="G782" s="443" t="s">
        <v>167</v>
      </c>
      <c r="H782" s="1641" t="s">
        <v>202</v>
      </c>
      <c r="I782" s="1641" t="s">
        <v>65</v>
      </c>
    </row>
    <row r="783" spans="1:9" ht="18">
      <c r="A783" s="1534"/>
      <c r="B783" s="1645"/>
      <c r="C783" s="1647"/>
      <c r="D783" s="1696"/>
      <c r="E783" s="1698"/>
      <c r="F783" s="1647"/>
      <c r="G783" s="443" t="s">
        <v>3236</v>
      </c>
      <c r="H783" s="1643"/>
      <c r="I783" s="1643"/>
    </row>
    <row r="784" spans="1:9" ht="18">
      <c r="A784" s="1533">
        <v>303</v>
      </c>
      <c r="B784" s="1644">
        <v>286</v>
      </c>
      <c r="C784" s="1647"/>
      <c r="D784" s="1694" t="s">
        <v>3242</v>
      </c>
      <c r="E784" s="1697" t="s">
        <v>3242</v>
      </c>
      <c r="F784" s="1647"/>
      <c r="G784" s="443" t="s">
        <v>167</v>
      </c>
      <c r="H784" s="1641" t="s">
        <v>202</v>
      </c>
      <c r="I784" s="1641" t="s">
        <v>65</v>
      </c>
    </row>
    <row r="785" spans="1:9" ht="18">
      <c r="A785" s="1534"/>
      <c r="B785" s="1645"/>
      <c r="C785" s="1647"/>
      <c r="D785" s="1696"/>
      <c r="E785" s="1698"/>
      <c r="F785" s="1647"/>
      <c r="G785" s="443" t="s">
        <v>170</v>
      </c>
      <c r="H785" s="1643"/>
      <c r="I785" s="1643"/>
    </row>
    <row r="786" spans="1:9" ht="18">
      <c r="A786" s="1533">
        <v>304</v>
      </c>
      <c r="B786" s="1644">
        <v>302</v>
      </c>
      <c r="C786" s="1647"/>
      <c r="D786" s="1694" t="s">
        <v>3213</v>
      </c>
      <c r="E786" s="1697" t="s">
        <v>3246</v>
      </c>
      <c r="F786" s="1647"/>
      <c r="G786" s="443" t="s">
        <v>167</v>
      </c>
      <c r="H786" s="1533" t="s">
        <v>202</v>
      </c>
      <c r="I786" s="1533" t="s">
        <v>65</v>
      </c>
    </row>
    <row r="787" spans="1:9" ht="18">
      <c r="A787" s="1647"/>
      <c r="B787" s="1646"/>
      <c r="C787" s="1647"/>
      <c r="D787" s="1695"/>
      <c r="E787" s="1699"/>
      <c r="F787" s="1647"/>
      <c r="G787" s="443" t="s">
        <v>3249</v>
      </c>
      <c r="H787" s="1647"/>
      <c r="I787" s="1647"/>
    </row>
    <row r="788" spans="1:9" ht="18">
      <c r="A788" s="1534"/>
      <c r="B788" s="1645"/>
      <c r="C788" s="1647"/>
      <c r="D788" s="1696"/>
      <c r="E788" s="1698"/>
      <c r="F788" s="1647"/>
      <c r="G788" s="441" t="s">
        <v>56</v>
      </c>
      <c r="H788" s="1534"/>
      <c r="I788" s="1534"/>
    </row>
    <row r="789" spans="1:9" ht="18">
      <c r="A789" s="1533">
        <v>305</v>
      </c>
      <c r="B789" s="1644">
        <v>303</v>
      </c>
      <c r="C789" s="1647"/>
      <c r="D789" s="1694" t="s">
        <v>3251</v>
      </c>
      <c r="E789" s="1697" t="s">
        <v>3251</v>
      </c>
      <c r="F789" s="1647"/>
      <c r="G789" s="443" t="s">
        <v>167</v>
      </c>
      <c r="H789" s="1533" t="s">
        <v>202</v>
      </c>
      <c r="I789" s="1533" t="s">
        <v>65</v>
      </c>
    </row>
    <row r="790" spans="1:9" ht="18">
      <c r="A790" s="1647"/>
      <c r="B790" s="1646"/>
      <c r="C790" s="1647"/>
      <c r="D790" s="1695"/>
      <c r="E790" s="1699"/>
      <c r="F790" s="1647"/>
      <c r="G790" s="443" t="s">
        <v>3236</v>
      </c>
      <c r="H790" s="1647"/>
      <c r="I790" s="1647"/>
    </row>
    <row r="791" spans="1:9" ht="18">
      <c r="A791" s="1534"/>
      <c r="B791" s="1645"/>
      <c r="C791" s="1647"/>
      <c r="D791" s="1696"/>
      <c r="E791" s="1698"/>
      <c r="F791" s="1647"/>
      <c r="G791" s="441" t="s">
        <v>56</v>
      </c>
      <c r="H791" s="1534"/>
      <c r="I791" s="1534"/>
    </row>
    <row r="792" spans="1:9" ht="18">
      <c r="A792" s="1533">
        <v>306</v>
      </c>
      <c r="B792" s="1644">
        <v>305</v>
      </c>
      <c r="C792" s="1647"/>
      <c r="D792" s="1694" t="s">
        <v>3213</v>
      </c>
      <c r="E792" s="1697" t="s">
        <v>3256</v>
      </c>
      <c r="F792" s="1647"/>
      <c r="G792" s="443" t="s">
        <v>3258</v>
      </c>
      <c r="H792" s="1641" t="s">
        <v>202</v>
      </c>
      <c r="I792" s="1641" t="s">
        <v>65</v>
      </c>
    </row>
    <row r="793" spans="1:9" ht="18">
      <c r="A793" s="1534"/>
      <c r="B793" s="1645"/>
      <c r="C793" s="1647"/>
      <c r="D793" s="1696"/>
      <c r="E793" s="1698"/>
      <c r="F793" s="1647"/>
      <c r="G793" s="441" t="s">
        <v>50</v>
      </c>
      <c r="H793" s="1643"/>
      <c r="I793" s="1643"/>
    </row>
    <row r="794" spans="1:9" ht="18">
      <c r="A794" s="1533">
        <v>307</v>
      </c>
      <c r="B794" s="1644">
        <v>306</v>
      </c>
      <c r="C794" s="1647"/>
      <c r="D794" s="1694" t="s">
        <v>3262</v>
      </c>
      <c r="E794" s="1697" t="s">
        <v>3262</v>
      </c>
      <c r="F794" s="1647"/>
      <c r="G794" s="443" t="s">
        <v>167</v>
      </c>
      <c r="H794" s="1641" t="s">
        <v>202</v>
      </c>
      <c r="I794" s="1641" t="s">
        <v>65</v>
      </c>
    </row>
    <row r="795" spans="1:9" ht="18">
      <c r="A795" s="1534"/>
      <c r="B795" s="1645"/>
      <c r="C795" s="1647"/>
      <c r="D795" s="1696"/>
      <c r="E795" s="1698"/>
      <c r="F795" s="1647"/>
      <c r="G795" s="443" t="s">
        <v>3236</v>
      </c>
      <c r="H795" s="1643"/>
      <c r="I795" s="1643"/>
    </row>
    <row r="796" spans="1:9" ht="18">
      <c r="A796" s="1533">
        <v>308</v>
      </c>
      <c r="B796" s="1644">
        <v>307</v>
      </c>
      <c r="C796" s="1647"/>
      <c r="D796" s="1694" t="s">
        <v>3265</v>
      </c>
      <c r="E796" s="1697" t="s">
        <v>3265</v>
      </c>
      <c r="F796" s="1647"/>
      <c r="G796" s="443" t="s">
        <v>167</v>
      </c>
      <c r="H796" s="1641" t="s">
        <v>202</v>
      </c>
      <c r="I796" s="1641" t="s">
        <v>65</v>
      </c>
    </row>
    <row r="797" spans="1:9" ht="18">
      <c r="A797" s="1534"/>
      <c r="B797" s="1645"/>
      <c r="C797" s="1647"/>
      <c r="D797" s="1696"/>
      <c r="E797" s="1698"/>
      <c r="F797" s="1647"/>
      <c r="G797" s="443" t="s">
        <v>3236</v>
      </c>
      <c r="H797" s="1643"/>
      <c r="I797" s="1643"/>
    </row>
    <row r="798" spans="1:9" ht="18">
      <c r="A798" s="1533">
        <v>309</v>
      </c>
      <c r="B798" s="1644">
        <v>309</v>
      </c>
      <c r="C798" s="1647"/>
      <c r="D798" s="1694" t="s">
        <v>3268</v>
      </c>
      <c r="E798" s="1697" t="s">
        <v>3268</v>
      </c>
      <c r="F798" s="1647"/>
      <c r="G798" s="443" t="s">
        <v>167</v>
      </c>
      <c r="H798" s="1641" t="s">
        <v>202</v>
      </c>
      <c r="I798" s="1641" t="s">
        <v>65</v>
      </c>
    </row>
    <row r="799" spans="1:9" ht="18">
      <c r="A799" s="1534"/>
      <c r="B799" s="1645"/>
      <c r="C799" s="1647"/>
      <c r="D799" s="1696"/>
      <c r="E799" s="1698"/>
      <c r="F799" s="1647"/>
      <c r="G799" s="443" t="s">
        <v>3236</v>
      </c>
      <c r="H799" s="1643"/>
      <c r="I799" s="1643"/>
    </row>
    <row r="800" spans="1:9" ht="18">
      <c r="A800" s="1533">
        <v>310</v>
      </c>
      <c r="B800" s="1644">
        <v>316</v>
      </c>
      <c r="C800" s="1647"/>
      <c r="D800" s="1694" t="s">
        <v>3271</v>
      </c>
      <c r="E800" s="1697" t="s">
        <v>3271</v>
      </c>
      <c r="F800" s="1647"/>
      <c r="G800" s="443" t="s">
        <v>167</v>
      </c>
      <c r="H800" s="1641" t="s">
        <v>202</v>
      </c>
      <c r="I800" s="1641" t="s">
        <v>65</v>
      </c>
    </row>
    <row r="801" spans="1:9" ht="18">
      <c r="A801" s="1534"/>
      <c r="B801" s="1645"/>
      <c r="C801" s="1647"/>
      <c r="D801" s="1696"/>
      <c r="E801" s="1698"/>
      <c r="F801" s="1647"/>
      <c r="G801" s="443" t="s">
        <v>3236</v>
      </c>
      <c r="H801" s="1643"/>
      <c r="I801" s="1643"/>
    </row>
    <row r="802" spans="1:9" ht="18">
      <c r="A802" s="1533">
        <v>311</v>
      </c>
      <c r="B802" s="1644">
        <v>342</v>
      </c>
      <c r="C802" s="1647"/>
      <c r="D802" s="1694" t="s">
        <v>3213</v>
      </c>
      <c r="E802" s="1697" t="s">
        <v>3274</v>
      </c>
      <c r="F802" s="1647"/>
      <c r="G802" s="443" t="s">
        <v>167</v>
      </c>
      <c r="H802" s="1641" t="s">
        <v>202</v>
      </c>
      <c r="I802" s="1641" t="s">
        <v>65</v>
      </c>
    </row>
    <row r="803" spans="1:9" ht="18">
      <c r="A803" s="1647"/>
      <c r="B803" s="1646"/>
      <c r="C803" s="1647"/>
      <c r="D803" s="1695"/>
      <c r="E803" s="1699"/>
      <c r="F803" s="1647"/>
      <c r="G803" s="443" t="s">
        <v>3236</v>
      </c>
      <c r="H803" s="1642"/>
      <c r="I803" s="1642"/>
    </row>
    <row r="804" spans="1:9" ht="18">
      <c r="A804" s="1534"/>
      <c r="B804" s="1645"/>
      <c r="C804" s="1647"/>
      <c r="D804" s="1696"/>
      <c r="E804" s="1698"/>
      <c r="F804" s="1647"/>
      <c r="G804" s="441" t="s">
        <v>50</v>
      </c>
      <c r="H804" s="1643"/>
      <c r="I804" s="1643"/>
    </row>
    <row r="805" spans="1:9" ht="18">
      <c r="A805" s="1533">
        <v>312</v>
      </c>
      <c r="B805" s="1644">
        <v>360</v>
      </c>
      <c r="C805" s="1647"/>
      <c r="D805" s="1694" t="s">
        <v>3277</v>
      </c>
      <c r="E805" s="1697" t="s">
        <v>3278</v>
      </c>
      <c r="F805" s="1647"/>
      <c r="G805" s="443" t="s">
        <v>167</v>
      </c>
      <c r="H805" s="1641" t="s">
        <v>202</v>
      </c>
      <c r="I805" s="1641" t="s">
        <v>65</v>
      </c>
    </row>
    <row r="806" spans="1:9" ht="18">
      <c r="A806" s="1534"/>
      <c r="B806" s="1645"/>
      <c r="C806" s="1647"/>
      <c r="D806" s="1695"/>
      <c r="E806" s="1698"/>
      <c r="F806" s="1647"/>
      <c r="G806" s="443" t="s">
        <v>3236</v>
      </c>
      <c r="H806" s="1643"/>
      <c r="I806" s="1643"/>
    </row>
    <row r="807" spans="1:9" ht="18">
      <c r="A807" s="1533">
        <v>313</v>
      </c>
      <c r="B807" s="1644">
        <v>423</v>
      </c>
      <c r="C807" s="1647"/>
      <c r="D807" s="1695"/>
      <c r="E807" s="1697" t="s">
        <v>3282</v>
      </c>
      <c r="F807" s="1647"/>
      <c r="G807" s="443" t="s">
        <v>3236</v>
      </c>
      <c r="H807" s="1533" t="s">
        <v>202</v>
      </c>
      <c r="I807" s="1641" t="s">
        <v>65</v>
      </c>
    </row>
    <row r="808" spans="1:9" ht="18">
      <c r="A808" s="1647"/>
      <c r="B808" s="1646"/>
      <c r="C808" s="1647"/>
      <c r="D808" s="1695"/>
      <c r="E808" s="1699"/>
      <c r="F808" s="1647"/>
      <c r="G808" s="443" t="s">
        <v>3236</v>
      </c>
      <c r="H808" s="1647"/>
      <c r="I808" s="1642"/>
    </row>
    <row r="809" spans="1:9" ht="18">
      <c r="A809" s="1534"/>
      <c r="B809" s="1645"/>
      <c r="C809" s="1647"/>
      <c r="D809" s="1696"/>
      <c r="E809" s="1698"/>
      <c r="F809" s="1647"/>
      <c r="G809" s="441" t="s">
        <v>50</v>
      </c>
      <c r="H809" s="1534"/>
      <c r="I809" s="1643"/>
    </row>
    <row r="810" spans="1:9" ht="18">
      <c r="A810" s="1533">
        <v>314</v>
      </c>
      <c r="B810" s="1644">
        <v>428</v>
      </c>
      <c r="C810" s="1647"/>
      <c r="D810" s="1533" t="s">
        <v>3285</v>
      </c>
      <c r="E810" s="1824" t="s">
        <v>3285</v>
      </c>
      <c r="F810" s="1647"/>
      <c r="G810" s="443" t="s">
        <v>3326</v>
      </c>
      <c r="H810" s="1823" t="s">
        <v>202</v>
      </c>
      <c r="I810" s="1823" t="s">
        <v>65</v>
      </c>
    </row>
    <row r="811" spans="1:9" ht="18">
      <c r="A811" s="1647"/>
      <c r="B811" s="1646"/>
      <c r="C811" s="1647"/>
      <c r="D811" s="1647"/>
      <c r="E811" s="1824"/>
      <c r="F811" s="1647"/>
      <c r="G811" s="443" t="s">
        <v>3326</v>
      </c>
      <c r="H811" s="1823"/>
      <c r="I811" s="1823"/>
    </row>
    <row r="812" spans="1:9" ht="18">
      <c r="A812" s="1534"/>
      <c r="B812" s="1645"/>
      <c r="C812" s="1534"/>
      <c r="D812" s="1534"/>
      <c r="E812" s="1824"/>
      <c r="F812" s="1534"/>
      <c r="G812" s="441" t="s">
        <v>50</v>
      </c>
      <c r="H812" s="1823"/>
      <c r="I812" s="1823"/>
    </row>
    <row r="813" spans="1:9">
      <c r="A813" s="1422">
        <v>315</v>
      </c>
      <c r="B813" s="1512" t="s">
        <v>43</v>
      </c>
      <c r="C813" s="1422" t="s">
        <v>3705</v>
      </c>
      <c r="D813" s="1422" t="s">
        <v>4869</v>
      </c>
      <c r="E813" s="1703" t="s">
        <v>4870</v>
      </c>
      <c r="F813" s="1422" t="s">
        <v>3705</v>
      </c>
      <c r="G813" s="1422" t="s">
        <v>4993</v>
      </c>
      <c r="H813" s="1529" t="s">
        <v>4950</v>
      </c>
      <c r="I813" s="1529" t="s">
        <v>484</v>
      </c>
    </row>
    <row r="814" spans="1:9">
      <c r="A814" s="1423"/>
      <c r="B814" s="1621"/>
      <c r="C814" s="1423"/>
      <c r="D814" s="1423"/>
      <c r="E814" s="1704"/>
      <c r="F814" s="1423"/>
      <c r="G814" s="1508"/>
      <c r="H814" s="1530"/>
      <c r="I814" s="1530"/>
    </row>
    <row r="815" spans="1:9" ht="18">
      <c r="A815" s="1423"/>
      <c r="B815" s="1621"/>
      <c r="C815" s="1423"/>
      <c r="D815" s="1423"/>
      <c r="E815" s="1704"/>
      <c r="F815" s="1423"/>
      <c r="G815" s="442" t="s">
        <v>4873</v>
      </c>
      <c r="H815" s="1530"/>
      <c r="I815" s="1530"/>
    </row>
    <row r="816" spans="1:9" ht="18">
      <c r="A816" s="1423"/>
      <c r="B816" s="1621"/>
      <c r="C816" s="1423"/>
      <c r="D816" s="1423"/>
      <c r="E816" s="1704"/>
      <c r="F816" s="1423"/>
      <c r="G816" s="442" t="s">
        <v>4873</v>
      </c>
      <c r="H816" s="1530"/>
      <c r="I816" s="1530"/>
    </row>
    <row r="817" spans="1:9" ht="18">
      <c r="A817" s="1423"/>
      <c r="B817" s="1621"/>
      <c r="C817" s="1423"/>
      <c r="D817" s="1423"/>
      <c r="E817" s="1704"/>
      <c r="F817" s="1423"/>
      <c r="G817" s="442" t="s">
        <v>4873</v>
      </c>
      <c r="H817" s="1530"/>
      <c r="I817" s="1530"/>
    </row>
    <row r="818" spans="1:9" ht="18">
      <c r="A818" s="1423"/>
      <c r="B818" s="1621"/>
      <c r="C818" s="1423"/>
      <c r="D818" s="1423"/>
      <c r="E818" s="1704"/>
      <c r="F818" s="1423"/>
      <c r="G818" s="442" t="s">
        <v>4873</v>
      </c>
      <c r="H818" s="1530"/>
      <c r="I818" s="1530"/>
    </row>
    <row r="819" spans="1:9" ht="18">
      <c r="A819" s="1423"/>
      <c r="B819" s="1621"/>
      <c r="C819" s="1423"/>
      <c r="D819" s="1423"/>
      <c r="E819" s="1704"/>
      <c r="F819" s="1423"/>
      <c r="G819" s="442" t="s">
        <v>4871</v>
      </c>
      <c r="H819" s="1530"/>
      <c r="I819" s="1530"/>
    </row>
    <row r="820" spans="1:9" ht="18">
      <c r="A820" s="1508"/>
      <c r="B820" s="1513"/>
      <c r="C820" s="1423"/>
      <c r="D820" s="1508"/>
      <c r="E820" s="1705"/>
      <c r="F820" s="1423"/>
      <c r="G820" s="441" t="s">
        <v>56</v>
      </c>
      <c r="H820" s="1531"/>
      <c r="I820" s="1531"/>
    </row>
    <row r="821" spans="1:9" ht="18">
      <c r="A821" s="1422">
        <v>316</v>
      </c>
      <c r="B821" s="1512">
        <v>256</v>
      </c>
      <c r="C821" s="1423"/>
      <c r="D821" s="1422" t="s">
        <v>4883</v>
      </c>
      <c r="E821" s="1422" t="s">
        <v>4883</v>
      </c>
      <c r="F821" s="1423"/>
      <c r="G821" s="442" t="s">
        <v>167</v>
      </c>
      <c r="H821" s="1422" t="s">
        <v>202</v>
      </c>
      <c r="I821" s="1529" t="s">
        <v>65</v>
      </c>
    </row>
    <row r="822" spans="1:9" ht="18">
      <c r="A822" s="1508"/>
      <c r="B822" s="1513"/>
      <c r="C822" s="1423"/>
      <c r="D822" s="1508"/>
      <c r="E822" s="1508"/>
      <c r="F822" s="1423"/>
      <c r="G822" s="442" t="s">
        <v>4885</v>
      </c>
      <c r="H822" s="1508"/>
      <c r="I822" s="1531"/>
    </row>
    <row r="823" spans="1:9">
      <c r="A823" s="1422">
        <v>317</v>
      </c>
      <c r="B823" s="1512">
        <v>257</v>
      </c>
      <c r="C823" s="1423"/>
      <c r="D823" s="1422" t="s">
        <v>4892</v>
      </c>
      <c r="E823" s="1422" t="s">
        <v>4892</v>
      </c>
      <c r="F823" s="1423"/>
      <c r="G823" s="1422" t="s">
        <v>4992</v>
      </c>
      <c r="H823" s="1422" t="s">
        <v>202</v>
      </c>
      <c r="I823" s="1529" t="s">
        <v>65</v>
      </c>
    </row>
    <row r="824" spans="1:9">
      <c r="A824" s="1508"/>
      <c r="B824" s="1513"/>
      <c r="C824" s="1423"/>
      <c r="D824" s="1508"/>
      <c r="E824" s="1508"/>
      <c r="F824" s="1423"/>
      <c r="G824" s="1508"/>
      <c r="H824" s="1508"/>
      <c r="I824" s="1531"/>
    </row>
    <row r="825" spans="1:9" ht="18">
      <c r="A825" s="1422">
        <v>318</v>
      </c>
      <c r="B825" s="1512">
        <v>282</v>
      </c>
      <c r="C825" s="1423"/>
      <c r="D825" s="1422" t="s">
        <v>4886</v>
      </c>
      <c r="E825" s="1422" t="s">
        <v>4887</v>
      </c>
      <c r="F825" s="1423"/>
      <c r="G825" s="442" t="s">
        <v>167</v>
      </c>
      <c r="H825" s="1422" t="s">
        <v>202</v>
      </c>
      <c r="I825" s="1529" t="s">
        <v>65</v>
      </c>
    </row>
    <row r="826" spans="1:9" ht="18">
      <c r="A826" s="1508"/>
      <c r="B826" s="1513"/>
      <c r="C826" s="1423"/>
      <c r="D826" s="1508"/>
      <c r="E826" s="1508"/>
      <c r="F826" s="1423"/>
      <c r="G826" s="442" t="s">
        <v>4885</v>
      </c>
      <c r="H826" s="1508"/>
      <c r="I826" s="1531"/>
    </row>
    <row r="827" spans="1:9" ht="18">
      <c r="A827" s="1422">
        <v>319</v>
      </c>
      <c r="B827" s="1512">
        <v>283</v>
      </c>
      <c r="C827" s="1423"/>
      <c r="D827" s="1422" t="s">
        <v>4890</v>
      </c>
      <c r="E827" s="1422" t="s">
        <v>4890</v>
      </c>
      <c r="F827" s="1423"/>
      <c r="G827" s="442" t="s">
        <v>167</v>
      </c>
      <c r="H827" s="1422" t="s">
        <v>202</v>
      </c>
      <c r="I827" s="1529" t="s">
        <v>65</v>
      </c>
    </row>
    <row r="828" spans="1:9" ht="18">
      <c r="A828" s="1508"/>
      <c r="B828" s="1513"/>
      <c r="C828" s="1423"/>
      <c r="D828" s="1508"/>
      <c r="E828" s="1508"/>
      <c r="F828" s="1423"/>
      <c r="G828" s="442" t="s">
        <v>4885</v>
      </c>
      <c r="H828" s="1508"/>
      <c r="I828" s="1531"/>
    </row>
    <row r="829" spans="1:9" ht="18">
      <c r="A829" s="1422">
        <v>320</v>
      </c>
      <c r="B829" s="1512">
        <v>291</v>
      </c>
      <c r="C829" s="1423"/>
      <c r="D829" s="1422" t="s">
        <v>4892</v>
      </c>
      <c r="E829" s="1422" t="s">
        <v>4893</v>
      </c>
      <c r="F829" s="1423"/>
      <c r="G829" s="442" t="s">
        <v>167</v>
      </c>
      <c r="H829" s="1422" t="s">
        <v>202</v>
      </c>
      <c r="I829" s="1529" t="s">
        <v>65</v>
      </c>
    </row>
    <row r="830" spans="1:9" ht="18">
      <c r="A830" s="1508"/>
      <c r="B830" s="1513"/>
      <c r="C830" s="1423"/>
      <c r="D830" s="1508"/>
      <c r="E830" s="1508"/>
      <c r="F830" s="1423"/>
      <c r="G830" s="442" t="s">
        <v>4885</v>
      </c>
      <c r="H830" s="1508"/>
      <c r="I830" s="1531"/>
    </row>
    <row r="831" spans="1:9" ht="18">
      <c r="A831" s="1422">
        <v>321</v>
      </c>
      <c r="B831" s="1512">
        <v>310</v>
      </c>
      <c r="C831" s="1423"/>
      <c r="D831" s="1422" t="s">
        <v>4896</v>
      </c>
      <c r="E831" s="1422" t="s">
        <v>4896</v>
      </c>
      <c r="F831" s="1423"/>
      <c r="G831" s="442" t="s">
        <v>167</v>
      </c>
      <c r="H831" s="1422" t="s">
        <v>202</v>
      </c>
      <c r="I831" s="1529" t="s">
        <v>65</v>
      </c>
    </row>
    <row r="832" spans="1:9" ht="18">
      <c r="A832" s="1508"/>
      <c r="B832" s="1513"/>
      <c r="C832" s="1423"/>
      <c r="D832" s="1508"/>
      <c r="E832" s="1508"/>
      <c r="F832" s="1423"/>
      <c r="G832" s="442" t="s">
        <v>4885</v>
      </c>
      <c r="H832" s="1508"/>
      <c r="I832" s="1531"/>
    </row>
    <row r="833" spans="1:9" ht="18">
      <c r="A833" s="1422">
        <v>322</v>
      </c>
      <c r="B833" s="1512">
        <v>311</v>
      </c>
      <c r="C833" s="1423"/>
      <c r="D833" s="1706" t="s">
        <v>4899</v>
      </c>
      <c r="E833" s="1706" t="s">
        <v>4899</v>
      </c>
      <c r="F833" s="1423"/>
      <c r="G833" s="499" t="s">
        <v>4971</v>
      </c>
      <c r="H833" s="1422" t="s">
        <v>202</v>
      </c>
      <c r="I833" s="1529" t="s">
        <v>65</v>
      </c>
    </row>
    <row r="834" spans="1:9" ht="18">
      <c r="A834" s="1508"/>
      <c r="B834" s="1513"/>
      <c r="C834" s="1423"/>
      <c r="D834" s="1707"/>
      <c r="E834" s="1707"/>
      <c r="F834" s="1423"/>
      <c r="G834" s="499" t="s">
        <v>4885</v>
      </c>
      <c r="H834" s="1508"/>
      <c r="I834" s="1531"/>
    </row>
    <row r="835" spans="1:9" ht="18">
      <c r="A835" s="1422">
        <v>323</v>
      </c>
      <c r="B835" s="1660">
        <v>324</v>
      </c>
      <c r="C835" s="1423"/>
      <c r="D835" s="1657" t="s">
        <v>4901</v>
      </c>
      <c r="E835" s="1657" t="s">
        <v>4901</v>
      </c>
      <c r="F835" s="1423"/>
      <c r="G835" s="499" t="s">
        <v>167</v>
      </c>
      <c r="H835" s="1422" t="s">
        <v>202</v>
      </c>
      <c r="I835" s="1529" t="s">
        <v>65</v>
      </c>
    </row>
    <row r="836" spans="1:9" ht="18">
      <c r="A836" s="1508"/>
      <c r="B836" s="1662"/>
      <c r="C836" s="1423"/>
      <c r="D836" s="1659"/>
      <c r="E836" s="1659"/>
      <c r="F836" s="1423"/>
      <c r="G836" s="499" t="s">
        <v>4885</v>
      </c>
      <c r="H836" s="1508"/>
      <c r="I836" s="1531"/>
    </row>
    <row r="837" spans="1:9" ht="18">
      <c r="A837" s="1422">
        <v>324</v>
      </c>
      <c r="B837" s="1660">
        <v>326</v>
      </c>
      <c r="C837" s="1423"/>
      <c r="D837" s="1657" t="s">
        <v>4869</v>
      </c>
      <c r="E837" s="1657" t="s">
        <v>4903</v>
      </c>
      <c r="F837" s="1423"/>
      <c r="G837" s="499" t="s">
        <v>167</v>
      </c>
      <c r="H837" s="1422" t="s">
        <v>202</v>
      </c>
      <c r="I837" s="1529" t="s">
        <v>65</v>
      </c>
    </row>
    <row r="838" spans="1:9" ht="18">
      <c r="A838" s="1508"/>
      <c r="B838" s="1662"/>
      <c r="C838" s="1423"/>
      <c r="D838" s="1659"/>
      <c r="E838" s="1659"/>
      <c r="F838" s="1423"/>
      <c r="G838" s="499" t="s">
        <v>4885</v>
      </c>
      <c r="H838" s="1508"/>
      <c r="I838" s="1530"/>
    </row>
    <row r="839" spans="1:9" ht="18">
      <c r="A839" s="1422">
        <v>325</v>
      </c>
      <c r="B839" s="1660">
        <v>348</v>
      </c>
      <c r="C839" s="1423"/>
      <c r="D839" s="1657" t="s">
        <v>4906</v>
      </c>
      <c r="E839" s="1657" t="s">
        <v>4906</v>
      </c>
      <c r="F839" s="1423"/>
      <c r="G839" s="499" t="s">
        <v>167</v>
      </c>
      <c r="H839" s="1422" t="s">
        <v>202</v>
      </c>
      <c r="I839" s="1529" t="s">
        <v>65</v>
      </c>
    </row>
    <row r="840" spans="1:9" ht="18">
      <c r="A840" s="1508"/>
      <c r="B840" s="1662"/>
      <c r="C840" s="1423"/>
      <c r="D840" s="1659"/>
      <c r="E840" s="1659"/>
      <c r="F840" s="1423"/>
      <c r="G840" s="499" t="s">
        <v>4885</v>
      </c>
      <c r="H840" s="1508"/>
      <c r="I840" s="1531"/>
    </row>
    <row r="841" spans="1:9" ht="18">
      <c r="A841" s="1422">
        <v>326</v>
      </c>
      <c r="B841" s="1660">
        <v>366</v>
      </c>
      <c r="C841" s="1423"/>
      <c r="D841" s="1657" t="s">
        <v>4908</v>
      </c>
      <c r="E841" s="1657" t="s">
        <v>4908</v>
      </c>
      <c r="F841" s="1423"/>
      <c r="G841" s="499" t="s">
        <v>167</v>
      </c>
      <c r="H841" s="1422" t="s">
        <v>202</v>
      </c>
      <c r="I841" s="1529" t="s">
        <v>65</v>
      </c>
    </row>
    <row r="842" spans="1:9" ht="18">
      <c r="A842" s="1508"/>
      <c r="B842" s="1662"/>
      <c r="C842" s="1423"/>
      <c r="D842" s="1659"/>
      <c r="E842" s="1659"/>
      <c r="F842" s="1423"/>
      <c r="G842" s="499" t="s">
        <v>4885</v>
      </c>
      <c r="H842" s="1508"/>
      <c r="I842" s="1531"/>
    </row>
    <row r="843" spans="1:9" ht="18">
      <c r="A843" s="1422">
        <v>327</v>
      </c>
      <c r="B843" s="1660">
        <v>434</v>
      </c>
      <c r="C843" s="1423"/>
      <c r="D843" s="1657" t="s">
        <v>4913</v>
      </c>
      <c r="E843" s="1657" t="s">
        <v>4913</v>
      </c>
      <c r="F843" s="1423"/>
      <c r="G843" s="499" t="s">
        <v>167</v>
      </c>
      <c r="H843" s="1422" t="s">
        <v>202</v>
      </c>
      <c r="I843" s="1529" t="s">
        <v>65</v>
      </c>
    </row>
    <row r="844" spans="1:9" ht="18">
      <c r="A844" s="1508"/>
      <c r="B844" s="1662"/>
      <c r="C844" s="1423"/>
      <c r="D844" s="1659"/>
      <c r="E844" s="1659"/>
      <c r="F844" s="1423"/>
      <c r="G844" s="499" t="s">
        <v>4885</v>
      </c>
      <c r="H844" s="1508"/>
      <c r="I844" s="1531"/>
    </row>
    <row r="845" spans="1:9" ht="18">
      <c r="A845" s="1422">
        <v>328</v>
      </c>
      <c r="B845" s="1660">
        <v>449</v>
      </c>
      <c r="C845" s="1423"/>
      <c r="D845" s="1657" t="s">
        <v>4917</v>
      </c>
      <c r="E845" s="1657" t="s">
        <v>4917</v>
      </c>
      <c r="F845" s="1423"/>
      <c r="G845" s="499" t="s">
        <v>167</v>
      </c>
      <c r="H845" s="1422" t="s">
        <v>202</v>
      </c>
      <c r="I845" s="1529" t="s">
        <v>65</v>
      </c>
    </row>
    <row r="846" spans="1:9" ht="18">
      <c r="A846" s="1508"/>
      <c r="B846" s="1662"/>
      <c r="C846" s="1423"/>
      <c r="D846" s="1659"/>
      <c r="E846" s="1659"/>
      <c r="F846" s="1423"/>
      <c r="G846" s="499" t="s">
        <v>4885</v>
      </c>
      <c r="H846" s="1508"/>
      <c r="I846" s="1530"/>
    </row>
    <row r="847" spans="1:9" ht="18">
      <c r="A847" s="1422">
        <v>329</v>
      </c>
      <c r="B847" s="1660">
        <v>468</v>
      </c>
      <c r="C847" s="1423"/>
      <c r="D847" s="1708" t="s">
        <v>4920</v>
      </c>
      <c r="E847" s="1708" t="s">
        <v>4920</v>
      </c>
      <c r="F847" s="1423"/>
      <c r="G847" s="499" t="s">
        <v>167</v>
      </c>
      <c r="H847" s="1422" t="s">
        <v>202</v>
      </c>
      <c r="I847" s="1529" t="s">
        <v>65</v>
      </c>
    </row>
    <row r="848" spans="1:9" ht="18">
      <c r="A848" s="1508"/>
      <c r="B848" s="1662"/>
      <c r="C848" s="1508"/>
      <c r="D848" s="1709"/>
      <c r="E848" s="1709"/>
      <c r="F848" s="1508"/>
      <c r="G848" s="499" t="s">
        <v>4885</v>
      </c>
      <c r="H848" s="1508"/>
      <c r="I848" s="1531"/>
    </row>
    <row r="849" spans="1:9" ht="18">
      <c r="A849" s="1668">
        <v>330</v>
      </c>
      <c r="B849" s="1669">
        <v>408</v>
      </c>
      <c r="C849" s="1668" t="s">
        <v>3873</v>
      </c>
      <c r="D849" s="1668" t="s">
        <v>4994</v>
      </c>
      <c r="E849" s="1668" t="s">
        <v>4994</v>
      </c>
      <c r="F849" s="1668" t="s">
        <v>376</v>
      </c>
      <c r="G849" s="443" t="s">
        <v>4410</v>
      </c>
      <c r="H849" s="1641" t="s">
        <v>2772</v>
      </c>
      <c r="I849" s="1641" t="s">
        <v>65</v>
      </c>
    </row>
    <row r="850" spans="1:9" ht="18">
      <c r="A850" s="1668"/>
      <c r="B850" s="1669"/>
      <c r="C850" s="1668"/>
      <c r="D850" s="1668"/>
      <c r="E850" s="1668"/>
      <c r="F850" s="1668"/>
      <c r="G850" s="443" t="s">
        <v>4873</v>
      </c>
      <c r="H850" s="1642"/>
      <c r="I850" s="1642"/>
    </row>
    <row r="851" spans="1:9" ht="18">
      <c r="A851" s="1668"/>
      <c r="B851" s="1669"/>
      <c r="C851" s="1668"/>
      <c r="D851" s="1668"/>
      <c r="E851" s="1668"/>
      <c r="F851" s="1668"/>
      <c r="G851" s="443" t="s">
        <v>4410</v>
      </c>
      <c r="H851" s="1642"/>
      <c r="I851" s="1642"/>
    </row>
    <row r="852" spans="1:9" ht="18">
      <c r="A852" s="1668"/>
      <c r="B852" s="1669"/>
      <c r="C852" s="1668"/>
      <c r="D852" s="1668"/>
      <c r="E852" s="1668"/>
      <c r="F852" s="1668"/>
      <c r="G852" s="441" t="s">
        <v>50</v>
      </c>
      <c r="H852" s="1642"/>
      <c r="I852" s="1642"/>
    </row>
    <row r="853" spans="1:9" ht="18">
      <c r="A853" s="1668"/>
      <c r="B853" s="1669"/>
      <c r="C853" s="1668"/>
      <c r="D853" s="1668"/>
      <c r="E853" s="1668"/>
      <c r="F853" s="1668"/>
      <c r="G853" s="441" t="s">
        <v>56</v>
      </c>
      <c r="H853" s="1642"/>
      <c r="I853" s="1642"/>
    </row>
    <row r="854" spans="1:9">
      <c r="A854" s="1668">
        <v>331</v>
      </c>
      <c r="B854" s="1620">
        <v>413</v>
      </c>
      <c r="C854" s="1668"/>
      <c r="D854" s="1668" t="s">
        <v>5005</v>
      </c>
      <c r="E854" s="1668" t="s">
        <v>5005</v>
      </c>
      <c r="F854" s="1668"/>
      <c r="G854" s="1533" t="s">
        <v>4871</v>
      </c>
      <c r="H854" s="1533" t="s">
        <v>202</v>
      </c>
      <c r="I854" s="1641" t="s">
        <v>65</v>
      </c>
    </row>
    <row r="855" spans="1:9">
      <c r="A855" s="1668"/>
      <c r="B855" s="1620"/>
      <c r="C855" s="1668"/>
      <c r="D855" s="1668"/>
      <c r="E855" s="1668"/>
      <c r="F855" s="1668"/>
      <c r="G855" s="1534"/>
      <c r="H855" s="1647"/>
      <c r="I855" s="1642"/>
    </row>
    <row r="856" spans="1:9" ht="18">
      <c r="A856" s="1668">
        <v>332</v>
      </c>
      <c r="B856" s="1620">
        <v>420</v>
      </c>
      <c r="C856" s="1668"/>
      <c r="D856" s="1668" t="s">
        <v>5008</v>
      </c>
      <c r="E856" s="1668" t="s">
        <v>5008</v>
      </c>
      <c r="F856" s="1668"/>
      <c r="G856" s="443" t="s">
        <v>299</v>
      </c>
      <c r="H856" s="1533" t="s">
        <v>202</v>
      </c>
      <c r="I856" s="1641" t="s">
        <v>65</v>
      </c>
    </row>
    <row r="857" spans="1:9" ht="18">
      <c r="A857" s="1668"/>
      <c r="B857" s="1620"/>
      <c r="C857" s="1668"/>
      <c r="D857" s="1668"/>
      <c r="E857" s="1668"/>
      <c r="F857" s="1668"/>
      <c r="G857" s="443" t="s">
        <v>299</v>
      </c>
      <c r="H857" s="1647"/>
      <c r="I857" s="1642"/>
    </row>
    <row r="858" spans="1:9" ht="18">
      <c r="A858" s="1668"/>
      <c r="B858" s="1620"/>
      <c r="C858" s="1668"/>
      <c r="D858" s="1668"/>
      <c r="E858" s="1668"/>
      <c r="F858" s="1668"/>
      <c r="G858" s="443" t="s">
        <v>50</v>
      </c>
      <c r="H858" s="1534"/>
      <c r="I858" s="1643"/>
    </row>
    <row r="859" spans="1:9" ht="18">
      <c r="A859" s="1668">
        <v>333</v>
      </c>
      <c r="B859" s="1620">
        <v>429</v>
      </c>
      <c r="C859" s="1668"/>
      <c r="D859" s="1668" t="s">
        <v>5013</v>
      </c>
      <c r="E859" s="1668" t="s">
        <v>5014</v>
      </c>
      <c r="F859" s="1668"/>
      <c r="G859" s="443" t="s">
        <v>5015</v>
      </c>
      <c r="H859" s="1533" t="s">
        <v>202</v>
      </c>
      <c r="I859" s="1641" t="s">
        <v>65</v>
      </c>
    </row>
    <row r="860" spans="1:9" ht="18">
      <c r="A860" s="1668"/>
      <c r="B860" s="1620"/>
      <c r="C860" s="1668"/>
      <c r="D860" s="1668"/>
      <c r="E860" s="1668"/>
      <c r="F860" s="1668"/>
      <c r="G860" s="441" t="s">
        <v>50</v>
      </c>
      <c r="H860" s="1647"/>
      <c r="I860" s="1642"/>
    </row>
    <row r="861" spans="1:9" ht="18">
      <c r="A861" s="1668"/>
      <c r="B861" s="1620"/>
      <c r="C861" s="1668"/>
      <c r="D861" s="1668"/>
      <c r="E861" s="1668"/>
      <c r="F861" s="1668"/>
      <c r="G861" s="441" t="s">
        <v>56</v>
      </c>
      <c r="H861" s="1534"/>
      <c r="I861" s="1643"/>
    </row>
    <row r="862" spans="1:9" ht="18">
      <c r="A862" s="1668">
        <v>334</v>
      </c>
      <c r="B862" s="1620">
        <v>554</v>
      </c>
      <c r="C862" s="1668"/>
      <c r="D862" s="1668" t="s">
        <v>5017</v>
      </c>
      <c r="E862" s="1668" t="s">
        <v>5017</v>
      </c>
      <c r="F862" s="1668"/>
      <c r="G862" s="443" t="s">
        <v>395</v>
      </c>
      <c r="H862" s="1641" t="s">
        <v>985</v>
      </c>
      <c r="I862" s="1641" t="s">
        <v>65</v>
      </c>
    </row>
    <row r="863" spans="1:9" ht="18">
      <c r="A863" s="1668"/>
      <c r="B863" s="1620"/>
      <c r="C863" s="1668"/>
      <c r="D863" s="1668"/>
      <c r="E863" s="1668"/>
      <c r="F863" s="1668"/>
      <c r="G863" s="443" t="s">
        <v>5021</v>
      </c>
      <c r="H863" s="1642"/>
      <c r="I863" s="1642"/>
    </row>
    <row r="864" spans="1:9" ht="18">
      <c r="A864" s="1668"/>
      <c r="B864" s="1620"/>
      <c r="C864" s="1668"/>
      <c r="D864" s="1668"/>
      <c r="E864" s="1668"/>
      <c r="F864" s="1668"/>
      <c r="G864" s="441" t="s">
        <v>56</v>
      </c>
      <c r="H864" s="1643"/>
      <c r="I864" s="1643"/>
    </row>
    <row r="865" spans="1:9" ht="18">
      <c r="A865" s="1668">
        <v>335</v>
      </c>
      <c r="B865" s="1620">
        <v>560</v>
      </c>
      <c r="C865" s="1668"/>
      <c r="D865" s="1668" t="s">
        <v>4994</v>
      </c>
      <c r="E865" s="1668" t="s">
        <v>4994</v>
      </c>
      <c r="F865" s="1668"/>
      <c r="G865" s="443" t="s">
        <v>3249</v>
      </c>
      <c r="H865" s="1668" t="s">
        <v>985</v>
      </c>
      <c r="I865" s="1823" t="s">
        <v>65</v>
      </c>
    </row>
    <row r="866" spans="1:9" ht="18">
      <c r="A866" s="1668"/>
      <c r="B866" s="1620"/>
      <c r="C866" s="1668"/>
      <c r="D866" s="1668"/>
      <c r="E866" s="1668"/>
      <c r="F866" s="1668"/>
      <c r="G866" s="443" t="s">
        <v>3249</v>
      </c>
      <c r="H866" s="1668"/>
      <c r="I866" s="1823"/>
    </row>
    <row r="867" spans="1:9" ht="18">
      <c r="A867" s="1668"/>
      <c r="B867" s="1620"/>
      <c r="C867" s="1668"/>
      <c r="D867" s="1668"/>
      <c r="E867" s="1668"/>
      <c r="F867" s="1668"/>
      <c r="G867" s="441" t="s">
        <v>50</v>
      </c>
      <c r="H867" s="1668"/>
      <c r="I867" s="1823"/>
    </row>
    <row r="868" spans="1:9">
      <c r="A868" s="1422">
        <v>336</v>
      </c>
      <c r="B868" s="1523">
        <v>365</v>
      </c>
      <c r="C868" s="1422" t="s">
        <v>3018</v>
      </c>
      <c r="D868" s="1422" t="s">
        <v>3018</v>
      </c>
      <c r="E868" s="1422" t="s">
        <v>3019</v>
      </c>
      <c r="F868" s="1422" t="s">
        <v>3018</v>
      </c>
      <c r="G868" s="1422" t="s">
        <v>278</v>
      </c>
      <c r="H868" s="1529" t="s">
        <v>93</v>
      </c>
      <c r="I868" s="1529" t="s">
        <v>242</v>
      </c>
    </row>
    <row r="869" spans="1:9">
      <c r="A869" s="1423"/>
      <c r="B869" s="1524"/>
      <c r="C869" s="1423"/>
      <c r="D869" s="1423"/>
      <c r="E869" s="1423"/>
      <c r="F869" s="1423"/>
      <c r="G869" s="1423"/>
      <c r="H869" s="1530"/>
      <c r="I869" s="1530"/>
    </row>
    <row r="870" spans="1:9">
      <c r="A870" s="1423"/>
      <c r="B870" s="1524"/>
      <c r="C870" s="1423"/>
      <c r="D870" s="1423"/>
      <c r="E870" s="1423"/>
      <c r="F870" s="1423"/>
      <c r="G870" s="1508"/>
      <c r="H870" s="1530"/>
      <c r="I870" s="1530"/>
    </row>
    <row r="871" spans="1:9" ht="18">
      <c r="A871" s="1423"/>
      <c r="B871" s="1524"/>
      <c r="C871" s="1423"/>
      <c r="D871" s="1423"/>
      <c r="E871" s="1423"/>
      <c r="F871" s="1423"/>
      <c r="G871" s="442" t="s">
        <v>151</v>
      </c>
      <c r="H871" s="1530"/>
      <c r="I871" s="1530"/>
    </row>
    <row r="872" spans="1:9" ht="18">
      <c r="A872" s="1508"/>
      <c r="B872" s="1525"/>
      <c r="C872" s="1423"/>
      <c r="D872" s="1423"/>
      <c r="E872" s="1508"/>
      <c r="F872" s="1423"/>
      <c r="G872" s="441" t="s">
        <v>56</v>
      </c>
      <c r="H872" s="1531"/>
      <c r="I872" s="1531"/>
    </row>
    <row r="873" spans="1:9" ht="18">
      <c r="A873" s="1422">
        <v>337</v>
      </c>
      <c r="B873" s="1512">
        <v>374</v>
      </c>
      <c r="C873" s="1423"/>
      <c r="D873" s="1423"/>
      <c r="E873" s="1422" t="s">
        <v>3037</v>
      </c>
      <c r="F873" s="1423"/>
      <c r="G873" s="442" t="s">
        <v>299</v>
      </c>
      <c r="H873" s="1529" t="s">
        <v>202</v>
      </c>
      <c r="I873" s="1529" t="s">
        <v>65</v>
      </c>
    </row>
    <row r="874" spans="1:9" ht="18">
      <c r="A874" s="1423"/>
      <c r="B874" s="1621"/>
      <c r="C874" s="1423"/>
      <c r="D874" s="1423"/>
      <c r="E874" s="1423"/>
      <c r="F874" s="1423"/>
      <c r="G874" s="442" t="s">
        <v>299</v>
      </c>
      <c r="H874" s="1530"/>
      <c r="I874" s="1530"/>
    </row>
    <row r="875" spans="1:9" ht="18">
      <c r="A875" s="1508"/>
      <c r="B875" s="1513"/>
      <c r="C875" s="1423"/>
      <c r="D875" s="1508"/>
      <c r="E875" s="1508"/>
      <c r="F875" s="1423"/>
      <c r="G875" s="441" t="s">
        <v>56</v>
      </c>
      <c r="H875" s="1531"/>
      <c r="I875" s="1531"/>
    </row>
    <row r="876" spans="1:9" ht="18">
      <c r="A876" s="1422">
        <v>338</v>
      </c>
      <c r="B876" s="1512">
        <v>377</v>
      </c>
      <c r="C876" s="1423"/>
      <c r="D876" s="1422" t="s">
        <v>3040</v>
      </c>
      <c r="E876" s="1422" t="s">
        <v>3040</v>
      </c>
      <c r="F876" s="1423"/>
      <c r="G876" s="442" t="s">
        <v>299</v>
      </c>
      <c r="H876" s="1422" t="s">
        <v>202</v>
      </c>
      <c r="I876" s="1528" t="s">
        <v>65</v>
      </c>
    </row>
    <row r="877" spans="1:9" ht="18">
      <c r="A877" s="1508"/>
      <c r="B877" s="1513"/>
      <c r="C877" s="1423"/>
      <c r="D877" s="1508"/>
      <c r="E877" s="1508"/>
      <c r="F877" s="1423"/>
      <c r="G877" s="442" t="s">
        <v>299</v>
      </c>
      <c r="H877" s="1508"/>
      <c r="I877" s="1528"/>
    </row>
    <row r="878" spans="1:9" ht="18">
      <c r="A878" s="1422">
        <v>339</v>
      </c>
      <c r="B878" s="1512">
        <v>378</v>
      </c>
      <c r="C878" s="1423"/>
      <c r="D878" s="1422" t="s">
        <v>3044</v>
      </c>
      <c r="E878" s="1422" t="s">
        <v>3044</v>
      </c>
      <c r="F878" s="1423"/>
      <c r="G878" s="442" t="s">
        <v>299</v>
      </c>
      <c r="H878" s="1529" t="s">
        <v>202</v>
      </c>
      <c r="I878" s="1422" t="s">
        <v>65</v>
      </c>
    </row>
    <row r="879" spans="1:9" ht="18">
      <c r="A879" s="1423"/>
      <c r="B879" s="1621"/>
      <c r="C879" s="1423"/>
      <c r="D879" s="1423"/>
      <c r="E879" s="1423"/>
      <c r="F879" s="1423"/>
      <c r="G879" s="442" t="s">
        <v>170</v>
      </c>
      <c r="H879" s="1530"/>
      <c r="I879" s="1423"/>
    </row>
    <row r="880" spans="1:9" ht="18">
      <c r="A880" s="1508"/>
      <c r="B880" s="1513"/>
      <c r="C880" s="1423"/>
      <c r="D880" s="1508"/>
      <c r="E880" s="1508"/>
      <c r="F880" s="1423"/>
      <c r="G880" s="441" t="s">
        <v>50</v>
      </c>
      <c r="H880" s="1531"/>
      <c r="I880" s="1508"/>
    </row>
    <row r="881" spans="1:9" ht="18">
      <c r="A881" s="1422">
        <v>340</v>
      </c>
      <c r="B881" s="1512">
        <v>380</v>
      </c>
      <c r="C881" s="1423"/>
      <c r="D881" s="1422" t="s">
        <v>3018</v>
      </c>
      <c r="E881" s="1422" t="s">
        <v>3050</v>
      </c>
      <c r="F881" s="1423"/>
      <c r="G881" s="442" t="s">
        <v>167</v>
      </c>
      <c r="H881" s="1422" t="s">
        <v>202</v>
      </c>
      <c r="I881" s="1528" t="s">
        <v>65</v>
      </c>
    </row>
    <row r="882" spans="1:9" ht="18">
      <c r="A882" s="1508"/>
      <c r="B882" s="1513"/>
      <c r="C882" s="1423"/>
      <c r="D882" s="1508"/>
      <c r="E882" s="1508"/>
      <c r="F882" s="1423"/>
      <c r="G882" s="442" t="s">
        <v>299</v>
      </c>
      <c r="H882" s="1508"/>
      <c r="I882" s="1528"/>
    </row>
    <row r="883" spans="1:9" ht="18">
      <c r="A883" s="1422">
        <v>341</v>
      </c>
      <c r="B883" s="1512">
        <v>381</v>
      </c>
      <c r="C883" s="1423"/>
      <c r="D883" s="1422" t="s">
        <v>3051</v>
      </c>
      <c r="E883" s="1422" t="s">
        <v>3051</v>
      </c>
      <c r="F883" s="1423"/>
      <c r="G883" s="442" t="s">
        <v>299</v>
      </c>
      <c r="H883" s="1422" t="s">
        <v>202</v>
      </c>
      <c r="I883" s="1528" t="s">
        <v>65</v>
      </c>
    </row>
    <row r="884" spans="1:9" ht="18">
      <c r="A884" s="1508"/>
      <c r="B884" s="1513"/>
      <c r="C884" s="1423"/>
      <c r="D884" s="1508"/>
      <c r="E884" s="1508"/>
      <c r="F884" s="1423"/>
      <c r="G884" s="442" t="s">
        <v>299</v>
      </c>
      <c r="H884" s="1508"/>
      <c r="I884" s="1528"/>
    </row>
    <row r="885" spans="1:9" ht="18">
      <c r="A885" s="1422">
        <v>342</v>
      </c>
      <c r="B885" s="1512">
        <v>383</v>
      </c>
      <c r="C885" s="1423"/>
      <c r="D885" s="1422" t="s">
        <v>3018</v>
      </c>
      <c r="E885" s="1422" t="s">
        <v>3055</v>
      </c>
      <c r="F885" s="1423"/>
      <c r="G885" s="442" t="s">
        <v>167</v>
      </c>
      <c r="H885" s="1422" t="s">
        <v>202</v>
      </c>
      <c r="I885" s="1528" t="s">
        <v>65</v>
      </c>
    </row>
    <row r="886" spans="1:9" ht="18">
      <c r="A886" s="1508"/>
      <c r="B886" s="1513"/>
      <c r="C886" s="1423"/>
      <c r="D886" s="1423"/>
      <c r="E886" s="1508"/>
      <c r="F886" s="1423"/>
      <c r="G886" s="442" t="s">
        <v>299</v>
      </c>
      <c r="H886" s="1508"/>
      <c r="I886" s="1528"/>
    </row>
    <row r="887" spans="1:9" ht="18">
      <c r="A887" s="1422">
        <v>343</v>
      </c>
      <c r="B887" s="1512">
        <v>391</v>
      </c>
      <c r="C887" s="1423"/>
      <c r="D887" s="1423"/>
      <c r="E887" s="1422" t="s">
        <v>3056</v>
      </c>
      <c r="F887" s="1423"/>
      <c r="G887" s="442" t="s">
        <v>167</v>
      </c>
      <c r="H887" s="1422" t="s">
        <v>202</v>
      </c>
      <c r="I887" s="1528" t="s">
        <v>65</v>
      </c>
    </row>
    <row r="888" spans="1:9" ht="18">
      <c r="A888" s="1508"/>
      <c r="B888" s="1513"/>
      <c r="C888" s="1423"/>
      <c r="D888" s="1508"/>
      <c r="E888" s="1508"/>
      <c r="F888" s="1423"/>
      <c r="G888" s="442" t="s">
        <v>299</v>
      </c>
      <c r="H888" s="1508"/>
      <c r="I888" s="1528"/>
    </row>
    <row r="889" spans="1:9" ht="18">
      <c r="A889" s="1422">
        <v>344</v>
      </c>
      <c r="B889" s="1512">
        <v>394</v>
      </c>
      <c r="C889" s="1423"/>
      <c r="D889" s="1422" t="s">
        <v>3059</v>
      </c>
      <c r="E889" s="1422" t="s">
        <v>3059</v>
      </c>
      <c r="F889" s="1423"/>
      <c r="G889" s="442" t="s">
        <v>299</v>
      </c>
      <c r="H889" s="1422" t="s">
        <v>202</v>
      </c>
      <c r="I889" s="1528" t="s">
        <v>65</v>
      </c>
    </row>
    <row r="890" spans="1:9" ht="18">
      <c r="A890" s="1508"/>
      <c r="B890" s="1513"/>
      <c r="C890" s="1423"/>
      <c r="D890" s="1508"/>
      <c r="E890" s="1508"/>
      <c r="F890" s="1423"/>
      <c r="G890" s="442" t="s">
        <v>299</v>
      </c>
      <c r="H890" s="1508"/>
      <c r="I890" s="1528"/>
    </row>
    <row r="891" spans="1:9" ht="18">
      <c r="A891" s="1422">
        <v>345</v>
      </c>
      <c r="B891" s="1512">
        <v>396</v>
      </c>
      <c r="C891" s="1423"/>
      <c r="D891" s="1422" t="s">
        <v>3063</v>
      </c>
      <c r="E891" s="1422" t="s">
        <v>3063</v>
      </c>
      <c r="F891" s="1423"/>
      <c r="G891" s="442" t="s">
        <v>299</v>
      </c>
      <c r="H891" s="1422" t="s">
        <v>202</v>
      </c>
      <c r="I891" s="1528" t="s">
        <v>65</v>
      </c>
    </row>
    <row r="892" spans="1:9" ht="18">
      <c r="A892" s="1508"/>
      <c r="B892" s="1513"/>
      <c r="C892" s="1423"/>
      <c r="D892" s="1508"/>
      <c r="E892" s="1508"/>
      <c r="F892" s="1423"/>
      <c r="G892" s="442" t="s">
        <v>299</v>
      </c>
      <c r="H892" s="1508"/>
      <c r="I892" s="1528"/>
    </row>
    <row r="893" spans="1:9" ht="18">
      <c r="A893" s="1422">
        <v>346</v>
      </c>
      <c r="B893" s="1512">
        <v>397</v>
      </c>
      <c r="C893" s="1423"/>
      <c r="D893" s="1422" t="s">
        <v>3068</v>
      </c>
      <c r="E893" s="1422" t="s">
        <v>3068</v>
      </c>
      <c r="F893" s="1423"/>
      <c r="G893" s="442" t="s">
        <v>299</v>
      </c>
      <c r="H893" s="1422" t="s">
        <v>202</v>
      </c>
      <c r="I893" s="1528" t="s">
        <v>65</v>
      </c>
    </row>
    <row r="894" spans="1:9" ht="18">
      <c r="A894" s="1508"/>
      <c r="B894" s="1513"/>
      <c r="C894" s="1423"/>
      <c r="D894" s="1508"/>
      <c r="E894" s="1508"/>
      <c r="F894" s="1423"/>
      <c r="G894" s="442" t="s">
        <v>299</v>
      </c>
      <c r="H894" s="1508"/>
      <c r="I894" s="1528"/>
    </row>
    <row r="895" spans="1:9" ht="18">
      <c r="A895" s="1422">
        <v>347</v>
      </c>
      <c r="B895" s="1512">
        <v>402</v>
      </c>
      <c r="C895" s="1423"/>
      <c r="D895" s="1422" t="s">
        <v>3072</v>
      </c>
      <c r="E895" s="1422" t="s">
        <v>3073</v>
      </c>
      <c r="F895" s="1423"/>
      <c r="G895" s="442" t="s">
        <v>299</v>
      </c>
      <c r="H895" s="1422" t="s">
        <v>202</v>
      </c>
      <c r="I895" s="1528" t="s">
        <v>65</v>
      </c>
    </row>
    <row r="896" spans="1:9" ht="18">
      <c r="A896" s="1508"/>
      <c r="B896" s="1513"/>
      <c r="C896" s="1423"/>
      <c r="D896" s="1508"/>
      <c r="E896" s="1508"/>
      <c r="F896" s="1423"/>
      <c r="G896" s="442" t="s">
        <v>299</v>
      </c>
      <c r="H896" s="1508"/>
      <c r="I896" s="1528"/>
    </row>
    <row r="897" spans="1:9" ht="18">
      <c r="A897" s="1422">
        <v>348</v>
      </c>
      <c r="B897" s="1512">
        <v>445</v>
      </c>
      <c r="C897" s="1423"/>
      <c r="D897" s="1422" t="s">
        <v>3077</v>
      </c>
      <c r="E897" s="1422" t="s">
        <v>3077</v>
      </c>
      <c r="F897" s="1423"/>
      <c r="G897" s="442" t="s">
        <v>299</v>
      </c>
      <c r="H897" s="1422" t="s">
        <v>202</v>
      </c>
      <c r="I897" s="1528" t="s">
        <v>65</v>
      </c>
    </row>
    <row r="898" spans="1:9" ht="18">
      <c r="A898" s="1508"/>
      <c r="B898" s="1513"/>
      <c r="C898" s="1508"/>
      <c r="D898" s="1508"/>
      <c r="E898" s="1508"/>
      <c r="F898" s="1508"/>
      <c r="G898" s="442" t="s">
        <v>299</v>
      </c>
      <c r="H898" s="1508"/>
      <c r="I898" s="1528"/>
    </row>
    <row r="899" spans="1:9" ht="18" customHeight="1">
      <c r="A899" s="1528">
        <v>349</v>
      </c>
      <c r="B899" s="1565">
        <v>999</v>
      </c>
      <c r="C899" s="1528" t="s">
        <v>423</v>
      </c>
      <c r="D899" s="1528" t="s">
        <v>423</v>
      </c>
      <c r="E899" s="1821" t="s">
        <v>4595</v>
      </c>
      <c r="F899" s="1528" t="s">
        <v>423</v>
      </c>
      <c r="G899" s="1422" t="s">
        <v>11572</v>
      </c>
      <c r="H899" s="1528" t="s">
        <v>11573</v>
      </c>
      <c r="I899" s="1528" t="s">
        <v>1694</v>
      </c>
    </row>
    <row r="900" spans="1:9" ht="18" customHeight="1">
      <c r="A900" s="1528"/>
      <c r="B900" s="1565"/>
      <c r="C900" s="1528"/>
      <c r="D900" s="1528"/>
      <c r="E900" s="1821"/>
      <c r="F900" s="1528"/>
      <c r="G900" s="1508"/>
      <c r="H900" s="1528"/>
      <c r="I900" s="1528"/>
    </row>
    <row r="901" spans="1:9" ht="18" customHeight="1">
      <c r="A901" s="1528">
        <v>350</v>
      </c>
      <c r="B901" s="1565">
        <v>999</v>
      </c>
      <c r="C901" s="1528" t="s">
        <v>2476</v>
      </c>
      <c r="D901" s="1528" t="s">
        <v>2476</v>
      </c>
      <c r="E901" s="1821" t="s">
        <v>4594</v>
      </c>
      <c r="F901" s="1528" t="s">
        <v>2476</v>
      </c>
      <c r="G901" s="1422" t="s">
        <v>11572</v>
      </c>
      <c r="H901" s="1528" t="s">
        <v>11575</v>
      </c>
      <c r="I901" s="1528" t="s">
        <v>11574</v>
      </c>
    </row>
    <row r="902" spans="1:9" ht="18" customHeight="1">
      <c r="A902" s="1528"/>
      <c r="B902" s="1565"/>
      <c r="C902" s="1528"/>
      <c r="D902" s="1528"/>
      <c r="E902" s="1821"/>
      <c r="F902" s="1528"/>
      <c r="G902" s="1508"/>
      <c r="H902" s="1528"/>
      <c r="I902" s="1528"/>
    </row>
    <row r="903" spans="1:9" ht="15" customHeight="1">
      <c r="A903" s="1528">
        <v>351</v>
      </c>
      <c r="B903" s="1565">
        <v>999</v>
      </c>
      <c r="C903" s="1528" t="s">
        <v>423</v>
      </c>
      <c r="D903" s="1528" t="s">
        <v>423</v>
      </c>
      <c r="E903" s="1528" t="s">
        <v>11756</v>
      </c>
      <c r="F903" s="1528" t="s">
        <v>423</v>
      </c>
      <c r="G903" s="1422" t="s">
        <v>11799</v>
      </c>
      <c r="H903" s="1422" t="s">
        <v>5169</v>
      </c>
      <c r="I903" s="1820" t="s">
        <v>11757</v>
      </c>
    </row>
    <row r="904" spans="1:9" ht="15" customHeight="1">
      <c r="A904" s="1528"/>
      <c r="B904" s="1565"/>
      <c r="C904" s="1528"/>
      <c r="D904" s="1528"/>
      <c r="E904" s="1528"/>
      <c r="F904" s="1528"/>
      <c r="G904" s="1508"/>
      <c r="H904" s="1508"/>
      <c r="I904" s="1820"/>
    </row>
    <row r="905" spans="1:9" ht="15" customHeight="1">
      <c r="A905" s="1528">
        <v>352</v>
      </c>
      <c r="B905" s="1565">
        <v>999</v>
      </c>
      <c r="C905" s="1528" t="s">
        <v>423</v>
      </c>
      <c r="D905" s="1528" t="s">
        <v>423</v>
      </c>
      <c r="E905" s="1528" t="s">
        <v>11758</v>
      </c>
      <c r="F905" s="1528" t="s">
        <v>423</v>
      </c>
      <c r="G905" s="1501" t="s">
        <v>43</v>
      </c>
      <c r="H905" s="1422" t="s">
        <v>11759</v>
      </c>
      <c r="I905" s="1668" t="s">
        <v>11760</v>
      </c>
    </row>
    <row r="906" spans="1:9" ht="15" customHeight="1">
      <c r="A906" s="1528"/>
      <c r="B906" s="1565"/>
      <c r="C906" s="1528"/>
      <c r="D906" s="1528"/>
      <c r="E906" s="1528"/>
      <c r="F906" s="1528"/>
      <c r="G906" s="1503"/>
      <c r="H906" s="1508"/>
      <c r="I906" s="1668"/>
    </row>
    <row r="907" spans="1:9" ht="15" customHeight="1">
      <c r="A907" s="1528">
        <v>353</v>
      </c>
      <c r="B907" s="1565">
        <v>999</v>
      </c>
      <c r="C907" s="1528" t="s">
        <v>423</v>
      </c>
      <c r="D907" s="1528" t="s">
        <v>423</v>
      </c>
      <c r="E907" s="1725" t="s">
        <v>11761</v>
      </c>
      <c r="F907" s="1528" t="s">
        <v>423</v>
      </c>
      <c r="G907" s="1501" t="s">
        <v>43</v>
      </c>
      <c r="H907" s="1501" t="s">
        <v>43</v>
      </c>
      <c r="I907" s="1820" t="s">
        <v>11762</v>
      </c>
    </row>
    <row r="908" spans="1:9" ht="15" customHeight="1">
      <c r="A908" s="1528"/>
      <c r="B908" s="1565"/>
      <c r="C908" s="1528"/>
      <c r="D908" s="1528"/>
      <c r="E908" s="1725"/>
      <c r="F908" s="1528"/>
      <c r="G908" s="1503"/>
      <c r="H908" s="1503"/>
      <c r="I908" s="1820"/>
    </row>
    <row r="909" spans="1:9" ht="15" customHeight="1">
      <c r="A909" s="1528">
        <v>354</v>
      </c>
      <c r="B909" s="1565">
        <v>999</v>
      </c>
      <c r="C909" s="1528" t="s">
        <v>423</v>
      </c>
      <c r="D909" s="1528" t="s">
        <v>423</v>
      </c>
      <c r="E909" s="1725" t="s">
        <v>11763</v>
      </c>
      <c r="F909" s="1528" t="s">
        <v>423</v>
      </c>
      <c r="G909" s="1501" t="s">
        <v>43</v>
      </c>
      <c r="H909" s="1501" t="s">
        <v>43</v>
      </c>
      <c r="I909" s="1822" t="s">
        <v>11764</v>
      </c>
    </row>
    <row r="910" spans="1:9" ht="15" customHeight="1">
      <c r="A910" s="1528"/>
      <c r="B910" s="1565"/>
      <c r="C910" s="1528"/>
      <c r="D910" s="1528"/>
      <c r="E910" s="1725"/>
      <c r="F910" s="1528"/>
      <c r="G910" s="1503"/>
      <c r="H910" s="1503"/>
      <c r="I910" s="1822"/>
    </row>
  </sheetData>
  <mergeCells count="2204">
    <mergeCell ref="A662:A663"/>
    <mergeCell ref="B662:B663"/>
    <mergeCell ref="D662:D663"/>
    <mergeCell ref="E662:E663"/>
    <mergeCell ref="H662:H663"/>
    <mergeCell ref="I662:I663"/>
    <mergeCell ref="I671:I675"/>
    <mergeCell ref="A676:A677"/>
    <mergeCell ref="B676:B677"/>
    <mergeCell ref="H676:H677"/>
    <mergeCell ref="I676:I677"/>
    <mergeCell ref="I709:I712"/>
    <mergeCell ref="A713:A715"/>
    <mergeCell ref="B713:B715"/>
    <mergeCell ref="D713:D715"/>
    <mergeCell ref="E713:E715"/>
    <mergeCell ref="H713:H715"/>
    <mergeCell ref="I713:I715"/>
    <mergeCell ref="D709:D712"/>
    <mergeCell ref="E709:E712"/>
    <mergeCell ref="F709:F717"/>
    <mergeCell ref="G709:G710"/>
    <mergeCell ref="H709:H712"/>
    <mergeCell ref="B716:B717"/>
    <mergeCell ref="D716:D717"/>
    <mergeCell ref="H684:H686"/>
    <mergeCell ref="I684:I686"/>
    <mergeCell ref="A687:A688"/>
    <mergeCell ref="B687:B688"/>
    <mergeCell ref="H687:H688"/>
    <mergeCell ref="I687:I688"/>
    <mergeCell ref="A689:A690"/>
    <mergeCell ref="A656:A657"/>
    <mergeCell ref="B656:B657"/>
    <mergeCell ref="D656:D657"/>
    <mergeCell ref="E656:E657"/>
    <mergeCell ref="H656:H657"/>
    <mergeCell ref="I656:I657"/>
    <mergeCell ref="A658:A659"/>
    <mergeCell ref="B658:B659"/>
    <mergeCell ref="D658:D659"/>
    <mergeCell ref="E658:E659"/>
    <mergeCell ref="H658:H659"/>
    <mergeCell ref="I658:I659"/>
    <mergeCell ref="A660:A661"/>
    <mergeCell ref="B660:B661"/>
    <mergeCell ref="D660:D661"/>
    <mergeCell ref="E660:E661"/>
    <mergeCell ref="H660:H661"/>
    <mergeCell ref="I660:I661"/>
    <mergeCell ref="H640:H641"/>
    <mergeCell ref="I640:I641"/>
    <mergeCell ref="A642:A643"/>
    <mergeCell ref="B642:B643"/>
    <mergeCell ref="D642:D643"/>
    <mergeCell ref="E642:E643"/>
    <mergeCell ref="H642:H643"/>
    <mergeCell ref="I642:I643"/>
    <mergeCell ref="A644:A645"/>
    <mergeCell ref="B644:B645"/>
    <mergeCell ref="D644:D645"/>
    <mergeCell ref="E644:E645"/>
    <mergeCell ref="H644:H645"/>
    <mergeCell ref="I644:I645"/>
    <mergeCell ref="A646:A651"/>
    <mergeCell ref="B646:B651"/>
    <mergeCell ref="C646:C663"/>
    <mergeCell ref="D646:D655"/>
    <mergeCell ref="E646:E651"/>
    <mergeCell ref="F646:F663"/>
    <mergeCell ref="H646:H651"/>
    <mergeCell ref="I646:I651"/>
    <mergeCell ref="A652:A653"/>
    <mergeCell ref="B652:B653"/>
    <mergeCell ref="E652:E653"/>
    <mergeCell ref="H652:H653"/>
    <mergeCell ref="I652:I653"/>
    <mergeCell ref="A654:A655"/>
    <mergeCell ref="B654:B655"/>
    <mergeCell ref="E654:E655"/>
    <mergeCell ref="H654:H655"/>
    <mergeCell ref="I654:I655"/>
    <mergeCell ref="D626:D627"/>
    <mergeCell ref="E626:E627"/>
    <mergeCell ref="H626:H627"/>
    <mergeCell ref="I626:I627"/>
    <mergeCell ref="A628:A629"/>
    <mergeCell ref="B628:B629"/>
    <mergeCell ref="D628:D631"/>
    <mergeCell ref="E628:E629"/>
    <mergeCell ref="H628:H629"/>
    <mergeCell ref="I628:I629"/>
    <mergeCell ref="A630:A631"/>
    <mergeCell ref="B630:B631"/>
    <mergeCell ref="E630:E631"/>
    <mergeCell ref="H630:H631"/>
    <mergeCell ref="I630:I631"/>
    <mergeCell ref="A632:A636"/>
    <mergeCell ref="B632:B636"/>
    <mergeCell ref="C632:C645"/>
    <mergeCell ref="D632:D639"/>
    <mergeCell ref="E632:E636"/>
    <mergeCell ref="F632:F645"/>
    <mergeCell ref="H632:H636"/>
    <mergeCell ref="I632:I636"/>
    <mergeCell ref="A637:A639"/>
    <mergeCell ref="B637:B639"/>
    <mergeCell ref="E637:E639"/>
    <mergeCell ref="H637:H639"/>
    <mergeCell ref="I637:I639"/>
    <mergeCell ref="A640:A641"/>
    <mergeCell ref="B640:B641"/>
    <mergeCell ref="D640:D641"/>
    <mergeCell ref="E640:E641"/>
    <mergeCell ref="B611:B613"/>
    <mergeCell ref="D611:D613"/>
    <mergeCell ref="E611:E613"/>
    <mergeCell ref="H611:H613"/>
    <mergeCell ref="I611:I613"/>
    <mergeCell ref="A614:A618"/>
    <mergeCell ref="B614:B618"/>
    <mergeCell ref="C614:C631"/>
    <mergeCell ref="D614:D621"/>
    <mergeCell ref="E614:E618"/>
    <mergeCell ref="F614:F631"/>
    <mergeCell ref="H614:H618"/>
    <mergeCell ref="I614:I618"/>
    <mergeCell ref="A619:A621"/>
    <mergeCell ref="B619:B621"/>
    <mergeCell ref="E619:E621"/>
    <mergeCell ref="H619:H621"/>
    <mergeCell ref="I619:I621"/>
    <mergeCell ref="A622:A623"/>
    <mergeCell ref="B622:B623"/>
    <mergeCell ref="D622:D623"/>
    <mergeCell ref="E622:E623"/>
    <mergeCell ref="H622:H623"/>
    <mergeCell ref="I622:I623"/>
    <mergeCell ref="A624:A625"/>
    <mergeCell ref="B624:B625"/>
    <mergeCell ref="D624:D625"/>
    <mergeCell ref="E624:E625"/>
    <mergeCell ref="H624:H625"/>
    <mergeCell ref="I624:I625"/>
    <mergeCell ref="A626:A627"/>
    <mergeCell ref="B626:B627"/>
    <mergeCell ref="A596:A597"/>
    <mergeCell ref="B596:B597"/>
    <mergeCell ref="D596:D597"/>
    <mergeCell ref="E596:E597"/>
    <mergeCell ref="H596:H597"/>
    <mergeCell ref="I596:I597"/>
    <mergeCell ref="A598:A600"/>
    <mergeCell ref="B598:B600"/>
    <mergeCell ref="D598:D600"/>
    <mergeCell ref="E598:E600"/>
    <mergeCell ref="H598:H600"/>
    <mergeCell ref="I598:I600"/>
    <mergeCell ref="A601:A604"/>
    <mergeCell ref="B601:B604"/>
    <mergeCell ref="C601:C613"/>
    <mergeCell ref="D601:D607"/>
    <mergeCell ref="E601:E604"/>
    <mergeCell ref="F601:F613"/>
    <mergeCell ref="H601:H604"/>
    <mergeCell ref="I601:I604"/>
    <mergeCell ref="A605:A607"/>
    <mergeCell ref="B605:B607"/>
    <mergeCell ref="E605:E607"/>
    <mergeCell ref="H605:H607"/>
    <mergeCell ref="I605:I607"/>
    <mergeCell ref="A608:A610"/>
    <mergeCell ref="B608:B610"/>
    <mergeCell ref="D608:D610"/>
    <mergeCell ref="E608:E610"/>
    <mergeCell ref="H608:H610"/>
    <mergeCell ref="I608:I610"/>
    <mergeCell ref="A611:A613"/>
    <mergeCell ref="E587:E588"/>
    <mergeCell ref="H587:H588"/>
    <mergeCell ref="I587:I588"/>
    <mergeCell ref="A589:A590"/>
    <mergeCell ref="B589:B590"/>
    <mergeCell ref="D589:D590"/>
    <mergeCell ref="E589:E590"/>
    <mergeCell ref="H589:H590"/>
    <mergeCell ref="I589:I590"/>
    <mergeCell ref="A591:A592"/>
    <mergeCell ref="B591:B592"/>
    <mergeCell ref="D591:D592"/>
    <mergeCell ref="E591:E592"/>
    <mergeCell ref="H591:H592"/>
    <mergeCell ref="I591:I592"/>
    <mergeCell ref="A593:A595"/>
    <mergeCell ref="B593:B595"/>
    <mergeCell ref="D593:D595"/>
    <mergeCell ref="E593:E595"/>
    <mergeCell ref="H593:H595"/>
    <mergeCell ref="I593:I595"/>
    <mergeCell ref="A573:A576"/>
    <mergeCell ref="B573:B576"/>
    <mergeCell ref="C573:C578"/>
    <mergeCell ref="D573:D576"/>
    <mergeCell ref="E573:E576"/>
    <mergeCell ref="F573:F578"/>
    <mergeCell ref="H573:H576"/>
    <mergeCell ref="I573:I576"/>
    <mergeCell ref="A577:A578"/>
    <mergeCell ref="B577:B578"/>
    <mergeCell ref="D577:D578"/>
    <mergeCell ref="E577:E578"/>
    <mergeCell ref="H577:H578"/>
    <mergeCell ref="I577:I578"/>
    <mergeCell ref="A579:A584"/>
    <mergeCell ref="B579:B584"/>
    <mergeCell ref="C579:C600"/>
    <mergeCell ref="D579:D584"/>
    <mergeCell ref="E579:E584"/>
    <mergeCell ref="F579:F600"/>
    <mergeCell ref="G579:G581"/>
    <mergeCell ref="H579:H584"/>
    <mergeCell ref="I579:I584"/>
    <mergeCell ref="A585:A586"/>
    <mergeCell ref="B585:B586"/>
    <mergeCell ref="D585:D586"/>
    <mergeCell ref="E585:E586"/>
    <mergeCell ref="H585:H586"/>
    <mergeCell ref="I585:I586"/>
    <mergeCell ref="A587:A588"/>
    <mergeCell ref="B587:B588"/>
    <mergeCell ref="D587:D588"/>
    <mergeCell ref="A564:A565"/>
    <mergeCell ref="B564:B565"/>
    <mergeCell ref="D564:D565"/>
    <mergeCell ref="E564:E565"/>
    <mergeCell ref="G564:G565"/>
    <mergeCell ref="H564:H565"/>
    <mergeCell ref="I564:I565"/>
    <mergeCell ref="G414:G415"/>
    <mergeCell ref="H419:H420"/>
    <mergeCell ref="I412:I413"/>
    <mergeCell ref="A566:A569"/>
    <mergeCell ref="B566:B569"/>
    <mergeCell ref="C566:C572"/>
    <mergeCell ref="D566:D572"/>
    <mergeCell ref="E566:E569"/>
    <mergeCell ref="F566:F572"/>
    <mergeCell ref="G566:G568"/>
    <mergeCell ref="H566:H569"/>
    <mergeCell ref="I566:I569"/>
    <mergeCell ref="A570:A572"/>
    <mergeCell ref="B570:B572"/>
    <mergeCell ref="E570:E572"/>
    <mergeCell ref="H570:H572"/>
    <mergeCell ref="I570:I572"/>
    <mergeCell ref="A558:A559"/>
    <mergeCell ref="B558:B559"/>
    <mergeCell ref="D558:D559"/>
    <mergeCell ref="E558:E559"/>
    <mergeCell ref="H558:H559"/>
    <mergeCell ref="I558:I559"/>
    <mergeCell ref="A560:A561"/>
    <mergeCell ref="B560:B561"/>
    <mergeCell ref="D560:D561"/>
    <mergeCell ref="E560:E561"/>
    <mergeCell ref="H560:H561"/>
    <mergeCell ref="I560:I561"/>
    <mergeCell ref="A562:A563"/>
    <mergeCell ref="B562:B563"/>
    <mergeCell ref="D562:D563"/>
    <mergeCell ref="E562:E563"/>
    <mergeCell ref="H562:H563"/>
    <mergeCell ref="I562:I563"/>
    <mergeCell ref="B552:B553"/>
    <mergeCell ref="D552:D553"/>
    <mergeCell ref="E552:E553"/>
    <mergeCell ref="H552:H553"/>
    <mergeCell ref="I552:I553"/>
    <mergeCell ref="A554:A555"/>
    <mergeCell ref="B554:B555"/>
    <mergeCell ref="D554:D555"/>
    <mergeCell ref="E554:E555"/>
    <mergeCell ref="H554:H555"/>
    <mergeCell ref="I554:I555"/>
    <mergeCell ref="A556:A557"/>
    <mergeCell ref="B556:B557"/>
    <mergeCell ref="D556:D557"/>
    <mergeCell ref="E556:E557"/>
    <mergeCell ref="H556:H557"/>
    <mergeCell ref="I556:I557"/>
    <mergeCell ref="A539:A542"/>
    <mergeCell ref="B539:B542"/>
    <mergeCell ref="C539:C565"/>
    <mergeCell ref="D539:D546"/>
    <mergeCell ref="E539:E542"/>
    <mergeCell ref="F539:F565"/>
    <mergeCell ref="G539:G541"/>
    <mergeCell ref="H539:H542"/>
    <mergeCell ref="I539:I542"/>
    <mergeCell ref="A543:A544"/>
    <mergeCell ref="B543:B544"/>
    <mergeCell ref="E543:E544"/>
    <mergeCell ref="H543:H544"/>
    <mergeCell ref="I543:I544"/>
    <mergeCell ref="A545:A546"/>
    <mergeCell ref="B545:B546"/>
    <mergeCell ref="E545:E546"/>
    <mergeCell ref="H545:H546"/>
    <mergeCell ref="I545:I546"/>
    <mergeCell ref="A547:A548"/>
    <mergeCell ref="B547:B548"/>
    <mergeCell ref="D547:D548"/>
    <mergeCell ref="E547:E548"/>
    <mergeCell ref="H547:H548"/>
    <mergeCell ref="I547:I548"/>
    <mergeCell ref="A549:A551"/>
    <mergeCell ref="B549:B551"/>
    <mergeCell ref="D549:D551"/>
    <mergeCell ref="E549:E551"/>
    <mergeCell ref="H549:H551"/>
    <mergeCell ref="I549:I551"/>
    <mergeCell ref="A552:A553"/>
    <mergeCell ref="H2:H11"/>
    <mergeCell ref="I2:I11"/>
    <mergeCell ref="A2:A10"/>
    <mergeCell ref="B2:B10"/>
    <mergeCell ref="C2:C145"/>
    <mergeCell ref="D2:D17"/>
    <mergeCell ref="E2:E10"/>
    <mergeCell ref="F2:F11"/>
    <mergeCell ref="F12:F14"/>
    <mergeCell ref="I18:I19"/>
    <mergeCell ref="A20:A22"/>
    <mergeCell ref="B20:B22"/>
    <mergeCell ref="D20:D33"/>
    <mergeCell ref="E20:E22"/>
    <mergeCell ref="H20:H22"/>
    <mergeCell ref="I20:I22"/>
    <mergeCell ref="H15:H17"/>
    <mergeCell ref="I15:I17"/>
    <mergeCell ref="A18:A19"/>
    <mergeCell ref="B18:B19"/>
    <mergeCell ref="D18:D19"/>
    <mergeCell ref="E18:E19"/>
    <mergeCell ref="H18:H19"/>
    <mergeCell ref="I12:I14"/>
    <mergeCell ref="A15:A17"/>
    <mergeCell ref="B15:B17"/>
    <mergeCell ref="E15:E17"/>
    <mergeCell ref="F15:F22"/>
    <mergeCell ref="A12:A14"/>
    <mergeCell ref="B12:B14"/>
    <mergeCell ref="E12:E14"/>
    <mergeCell ref="H26:H28"/>
    <mergeCell ref="I26:I28"/>
    <mergeCell ref="A29:A30"/>
    <mergeCell ref="B29:B30"/>
    <mergeCell ref="E29:E30"/>
    <mergeCell ref="H29:H30"/>
    <mergeCell ref="I29:I30"/>
    <mergeCell ref="H23:H25"/>
    <mergeCell ref="I23:I25"/>
    <mergeCell ref="A26:A28"/>
    <mergeCell ref="B26:B28"/>
    <mergeCell ref="E26:E28"/>
    <mergeCell ref="F26:F33"/>
    <mergeCell ref="A23:A25"/>
    <mergeCell ref="B23:B25"/>
    <mergeCell ref="E23:E25"/>
    <mergeCell ref="F23:F25"/>
    <mergeCell ref="H37:H39"/>
    <mergeCell ref="I37:I39"/>
    <mergeCell ref="H34:H36"/>
    <mergeCell ref="I34:I36"/>
    <mergeCell ref="A37:A39"/>
    <mergeCell ref="B37:B39"/>
    <mergeCell ref="D37:D47"/>
    <mergeCell ref="E37:E39"/>
    <mergeCell ref="F37:F39"/>
    <mergeCell ref="H31:H33"/>
    <mergeCell ref="I31:I33"/>
    <mergeCell ref="A34:A36"/>
    <mergeCell ref="B34:B36"/>
    <mergeCell ref="D34:D36"/>
    <mergeCell ref="E34:E36"/>
    <mergeCell ref="F34:F36"/>
    <mergeCell ref="A31:A33"/>
    <mergeCell ref="B31:B33"/>
    <mergeCell ref="E31:E33"/>
    <mergeCell ref="H45:H47"/>
    <mergeCell ref="I45:I47"/>
    <mergeCell ref="A45:A47"/>
    <mergeCell ref="B45:B47"/>
    <mergeCell ref="E45:E47"/>
    <mergeCell ref="F45:F47"/>
    <mergeCell ref="I40:I42"/>
    <mergeCell ref="A43:A44"/>
    <mergeCell ref="B43:B44"/>
    <mergeCell ref="E43:E44"/>
    <mergeCell ref="F43:F44"/>
    <mergeCell ref="H43:H44"/>
    <mergeCell ref="I43:I44"/>
    <mergeCell ref="H53:H54"/>
    <mergeCell ref="I53:I54"/>
    <mergeCell ref="A40:A42"/>
    <mergeCell ref="B40:B42"/>
    <mergeCell ref="E40:E42"/>
    <mergeCell ref="F40:F42"/>
    <mergeCell ref="H40:H42"/>
    <mergeCell ref="H50:H52"/>
    <mergeCell ref="I50:I52"/>
    <mergeCell ref="A53:A54"/>
    <mergeCell ref="B53:B54"/>
    <mergeCell ref="E53:E54"/>
    <mergeCell ref="F53:F54"/>
    <mergeCell ref="H48:H49"/>
    <mergeCell ref="I48:I49"/>
    <mergeCell ref="A50:A52"/>
    <mergeCell ref="B50:B52"/>
    <mergeCell ref="D50:D63"/>
    <mergeCell ref="E50:E52"/>
    <mergeCell ref="F50:F52"/>
    <mergeCell ref="H61:H63"/>
    <mergeCell ref="I61:I63"/>
    <mergeCell ref="A48:A49"/>
    <mergeCell ref="B48:B49"/>
    <mergeCell ref="D48:D49"/>
    <mergeCell ref="E48:E49"/>
    <mergeCell ref="F48:F49"/>
    <mergeCell ref="A61:A63"/>
    <mergeCell ref="B61:B63"/>
    <mergeCell ref="E61:E63"/>
    <mergeCell ref="F61:F63"/>
    <mergeCell ref="I55:I57"/>
    <mergeCell ref="A58:A60"/>
    <mergeCell ref="B58:B60"/>
    <mergeCell ref="E58:E60"/>
    <mergeCell ref="F58:F60"/>
    <mergeCell ref="H58:H60"/>
    <mergeCell ref="I58:I60"/>
    <mergeCell ref="H69:H70"/>
    <mergeCell ref="I69:I70"/>
    <mergeCell ref="A55:A57"/>
    <mergeCell ref="B55:B57"/>
    <mergeCell ref="E55:E57"/>
    <mergeCell ref="F55:F57"/>
    <mergeCell ref="H55:H57"/>
    <mergeCell ref="A71:A73"/>
    <mergeCell ref="B71:B73"/>
    <mergeCell ref="E71:E73"/>
    <mergeCell ref="H71:H73"/>
    <mergeCell ref="I71:I73"/>
    <mergeCell ref="H67:H68"/>
    <mergeCell ref="I67:I68"/>
    <mergeCell ref="A69:A70"/>
    <mergeCell ref="B69:B70"/>
    <mergeCell ref="E69:E70"/>
    <mergeCell ref="F69:F73"/>
    <mergeCell ref="H64:H66"/>
    <mergeCell ref="I64:I66"/>
    <mergeCell ref="A67:A68"/>
    <mergeCell ref="B67:B68"/>
    <mergeCell ref="D67:D80"/>
    <mergeCell ref="E67:E68"/>
    <mergeCell ref="F67:F68"/>
    <mergeCell ref="I79:I80"/>
    <mergeCell ref="A64:A66"/>
    <mergeCell ref="B64:B66"/>
    <mergeCell ref="D64:D66"/>
    <mergeCell ref="E64:E66"/>
    <mergeCell ref="F64:F66"/>
    <mergeCell ref="A81:A83"/>
    <mergeCell ref="B81:B83"/>
    <mergeCell ref="D81:D83"/>
    <mergeCell ref="E81:E83"/>
    <mergeCell ref="H81:H83"/>
    <mergeCell ref="I81:I83"/>
    <mergeCell ref="H77:H78"/>
    <mergeCell ref="I77:I78"/>
    <mergeCell ref="A79:A80"/>
    <mergeCell ref="B79:B80"/>
    <mergeCell ref="E79:E80"/>
    <mergeCell ref="F79:F83"/>
    <mergeCell ref="H79:H80"/>
    <mergeCell ref="H74:H76"/>
    <mergeCell ref="I74:I76"/>
    <mergeCell ref="A77:A78"/>
    <mergeCell ref="B77:B78"/>
    <mergeCell ref="E77:E78"/>
    <mergeCell ref="F77:F78"/>
    <mergeCell ref="A74:A76"/>
    <mergeCell ref="B74:B76"/>
    <mergeCell ref="E74:E76"/>
    <mergeCell ref="F74:F76"/>
    <mergeCell ref="I89:I91"/>
    <mergeCell ref="A92:A94"/>
    <mergeCell ref="B92:B94"/>
    <mergeCell ref="D92:D94"/>
    <mergeCell ref="E92:E94"/>
    <mergeCell ref="F92:F94"/>
    <mergeCell ref="H92:H94"/>
    <mergeCell ref="H87:H88"/>
    <mergeCell ref="I87:I88"/>
    <mergeCell ref="A89:A91"/>
    <mergeCell ref="B89:B91"/>
    <mergeCell ref="E89:E91"/>
    <mergeCell ref="H89:H91"/>
    <mergeCell ref="H84:H86"/>
    <mergeCell ref="I84:I86"/>
    <mergeCell ref="A87:A88"/>
    <mergeCell ref="B87:B88"/>
    <mergeCell ref="E87:E88"/>
    <mergeCell ref="F87:F91"/>
    <mergeCell ref="A84:A86"/>
    <mergeCell ref="B84:B86"/>
    <mergeCell ref="D84:D91"/>
    <mergeCell ref="E84:E86"/>
    <mergeCell ref="F84:F86"/>
    <mergeCell ref="I98:I99"/>
    <mergeCell ref="A100:A102"/>
    <mergeCell ref="B100:B102"/>
    <mergeCell ref="D100:D102"/>
    <mergeCell ref="E100:E102"/>
    <mergeCell ref="F100:F102"/>
    <mergeCell ref="H100:H102"/>
    <mergeCell ref="I95:I97"/>
    <mergeCell ref="A98:A99"/>
    <mergeCell ref="B98:B99"/>
    <mergeCell ref="D98:D99"/>
    <mergeCell ref="E98:E99"/>
    <mergeCell ref="F98:F99"/>
    <mergeCell ref="H98:H99"/>
    <mergeCell ref="I92:I94"/>
    <mergeCell ref="A95:A97"/>
    <mergeCell ref="B95:B97"/>
    <mergeCell ref="D95:D97"/>
    <mergeCell ref="E95:E97"/>
    <mergeCell ref="F95:F97"/>
    <mergeCell ref="H95:H97"/>
    <mergeCell ref="I106:I107"/>
    <mergeCell ref="A108:A109"/>
    <mergeCell ref="B108:B109"/>
    <mergeCell ref="E108:E109"/>
    <mergeCell ref="F108:F109"/>
    <mergeCell ref="H108:H109"/>
    <mergeCell ref="I108:I109"/>
    <mergeCell ref="I103:I105"/>
    <mergeCell ref="A106:A107"/>
    <mergeCell ref="B106:B107"/>
    <mergeCell ref="D106:D109"/>
    <mergeCell ref="E106:E107"/>
    <mergeCell ref="F106:F107"/>
    <mergeCell ref="H106:H107"/>
    <mergeCell ref="I100:I102"/>
    <mergeCell ref="A103:A105"/>
    <mergeCell ref="B103:B105"/>
    <mergeCell ref="D103:D105"/>
    <mergeCell ref="E103:E105"/>
    <mergeCell ref="F103:F105"/>
    <mergeCell ref="H103:H105"/>
    <mergeCell ref="H113:H114"/>
    <mergeCell ref="I113:I114"/>
    <mergeCell ref="A115:A116"/>
    <mergeCell ref="B115:B116"/>
    <mergeCell ref="D115:D116"/>
    <mergeCell ref="E115:E116"/>
    <mergeCell ref="H110:H112"/>
    <mergeCell ref="I110:I112"/>
    <mergeCell ref="A113:A114"/>
    <mergeCell ref="B113:B114"/>
    <mergeCell ref="D113:D114"/>
    <mergeCell ref="E113:E114"/>
    <mergeCell ref="A110:A112"/>
    <mergeCell ref="B110:B112"/>
    <mergeCell ref="D110:D112"/>
    <mergeCell ref="E110:E112"/>
    <mergeCell ref="F110:F116"/>
    <mergeCell ref="H119:H121"/>
    <mergeCell ref="I119:I121"/>
    <mergeCell ref="A122:A123"/>
    <mergeCell ref="B122:B123"/>
    <mergeCell ref="D122:D123"/>
    <mergeCell ref="E122:E123"/>
    <mergeCell ref="F122:F123"/>
    <mergeCell ref="H117:H118"/>
    <mergeCell ref="I117:I118"/>
    <mergeCell ref="A119:A121"/>
    <mergeCell ref="B119:B121"/>
    <mergeCell ref="D119:D121"/>
    <mergeCell ref="E119:E121"/>
    <mergeCell ref="F119:F121"/>
    <mergeCell ref="H115:H116"/>
    <mergeCell ref="I115:I116"/>
    <mergeCell ref="A117:A118"/>
    <mergeCell ref="B117:B118"/>
    <mergeCell ref="D117:D118"/>
    <mergeCell ref="E117:E118"/>
    <mergeCell ref="F117:F118"/>
    <mergeCell ref="H127:H129"/>
    <mergeCell ref="I127:I129"/>
    <mergeCell ref="A130:A131"/>
    <mergeCell ref="B130:B131"/>
    <mergeCell ref="D130:D131"/>
    <mergeCell ref="E130:E131"/>
    <mergeCell ref="F130:F131"/>
    <mergeCell ref="H124:H126"/>
    <mergeCell ref="I124:I126"/>
    <mergeCell ref="A127:A129"/>
    <mergeCell ref="B127:B129"/>
    <mergeCell ref="D127:D129"/>
    <mergeCell ref="E127:E129"/>
    <mergeCell ref="F127:F129"/>
    <mergeCell ref="H122:H123"/>
    <mergeCell ref="I122:I123"/>
    <mergeCell ref="A124:A126"/>
    <mergeCell ref="B124:B126"/>
    <mergeCell ref="D124:D126"/>
    <mergeCell ref="E124:E126"/>
    <mergeCell ref="F124:F126"/>
    <mergeCell ref="B137:B139"/>
    <mergeCell ref="E137:E139"/>
    <mergeCell ref="F137:F139"/>
    <mergeCell ref="H137:H139"/>
    <mergeCell ref="H132:H133"/>
    <mergeCell ref="I132:I133"/>
    <mergeCell ref="A134:A136"/>
    <mergeCell ref="B134:B136"/>
    <mergeCell ref="D134:D145"/>
    <mergeCell ref="E134:E136"/>
    <mergeCell ref="F134:F136"/>
    <mergeCell ref="H130:H131"/>
    <mergeCell ref="I130:I131"/>
    <mergeCell ref="A132:A133"/>
    <mergeCell ref="B132:B133"/>
    <mergeCell ref="D132:D133"/>
    <mergeCell ref="E132:E133"/>
    <mergeCell ref="F132:F133"/>
    <mergeCell ref="H12:H14"/>
    <mergeCell ref="A146:A151"/>
    <mergeCell ref="B146:B151"/>
    <mergeCell ref="C146:C164"/>
    <mergeCell ref="D146:D151"/>
    <mergeCell ref="E146:E151"/>
    <mergeCell ref="E188:E190"/>
    <mergeCell ref="H188:H190"/>
    <mergeCell ref="I188:I190"/>
    <mergeCell ref="H144:H145"/>
    <mergeCell ref="I144:I145"/>
    <mergeCell ref="G2:G5"/>
    <mergeCell ref="H142:H143"/>
    <mergeCell ref="I142:I143"/>
    <mergeCell ref="A144:A145"/>
    <mergeCell ref="B144:B145"/>
    <mergeCell ref="E144:E145"/>
    <mergeCell ref="F144:F145"/>
    <mergeCell ref="A142:A143"/>
    <mergeCell ref="B142:B143"/>
    <mergeCell ref="E142:E143"/>
    <mergeCell ref="F142:F143"/>
    <mergeCell ref="I137:I139"/>
    <mergeCell ref="A140:A141"/>
    <mergeCell ref="B140:B141"/>
    <mergeCell ref="E140:E141"/>
    <mergeCell ref="F140:F141"/>
    <mergeCell ref="H140:H141"/>
    <mergeCell ref="I140:I141"/>
    <mergeCell ref="H134:H136"/>
    <mergeCell ref="I134:I136"/>
    <mergeCell ref="A137:A139"/>
    <mergeCell ref="A154:A155"/>
    <mergeCell ref="B154:B155"/>
    <mergeCell ref="D154:D155"/>
    <mergeCell ref="E154:E155"/>
    <mergeCell ref="H154:H156"/>
    <mergeCell ref="I154:I156"/>
    <mergeCell ref="A156:A158"/>
    <mergeCell ref="B156:B158"/>
    <mergeCell ref="D156:D158"/>
    <mergeCell ref="E156:E158"/>
    <mergeCell ref="F146:F164"/>
    <mergeCell ref="G146:G150"/>
    <mergeCell ref="H146:H151"/>
    <mergeCell ref="I146:I151"/>
    <mergeCell ref="A152:A153"/>
    <mergeCell ref="B152:B153"/>
    <mergeCell ref="D152:D153"/>
    <mergeCell ref="E152:E153"/>
    <mergeCell ref="H152:H153"/>
    <mergeCell ref="I152:I153"/>
    <mergeCell ref="A163:A164"/>
    <mergeCell ref="B163:B164"/>
    <mergeCell ref="D163:D164"/>
    <mergeCell ref="E163:E164"/>
    <mergeCell ref="H163:H164"/>
    <mergeCell ref="I163:I164"/>
    <mergeCell ref="A161:A162"/>
    <mergeCell ref="B161:B162"/>
    <mergeCell ref="D161:D162"/>
    <mergeCell ref="E161:E162"/>
    <mergeCell ref="H161:H162"/>
    <mergeCell ref="I161:I162"/>
    <mergeCell ref="H157:H158"/>
    <mergeCell ref="I157:I158"/>
    <mergeCell ref="A159:A160"/>
    <mergeCell ref="B159:B160"/>
    <mergeCell ref="D159:D160"/>
    <mergeCell ref="E159:E160"/>
    <mergeCell ref="H159:H160"/>
    <mergeCell ref="I159:I160"/>
    <mergeCell ref="H165:H170"/>
    <mergeCell ref="I165:I170"/>
    <mergeCell ref="A171:A172"/>
    <mergeCell ref="B171:B172"/>
    <mergeCell ref="E171:E172"/>
    <mergeCell ref="H171:H172"/>
    <mergeCell ref="I171:I172"/>
    <mergeCell ref="G165:G166"/>
    <mergeCell ref="A165:A170"/>
    <mergeCell ref="B165:B170"/>
    <mergeCell ref="C165:C182"/>
    <mergeCell ref="D165:D172"/>
    <mergeCell ref="E165:E170"/>
    <mergeCell ref="F165:F182"/>
    <mergeCell ref="A173:A174"/>
    <mergeCell ref="B173:B174"/>
    <mergeCell ref="D173:D174"/>
    <mergeCell ref="E173:E174"/>
    <mergeCell ref="A181:A182"/>
    <mergeCell ref="B181:B182"/>
    <mergeCell ref="D181:D182"/>
    <mergeCell ref="E181:E182"/>
    <mergeCell ref="H181:H182"/>
    <mergeCell ref="I181:I182"/>
    <mergeCell ref="A179:A180"/>
    <mergeCell ref="B179:B180"/>
    <mergeCell ref="D179:D180"/>
    <mergeCell ref="E179:E180"/>
    <mergeCell ref="H179:H180"/>
    <mergeCell ref="I179:I180"/>
    <mergeCell ref="H173:H174"/>
    <mergeCell ref="I173:I174"/>
    <mergeCell ref="A175:A178"/>
    <mergeCell ref="B175:B178"/>
    <mergeCell ref="D175:D178"/>
    <mergeCell ref="E175:E178"/>
    <mergeCell ref="H175:H178"/>
    <mergeCell ref="I175:I178"/>
    <mergeCell ref="I191:I193"/>
    <mergeCell ref="A194:A196"/>
    <mergeCell ref="B194:B196"/>
    <mergeCell ref="D194:D196"/>
    <mergeCell ref="E194:E196"/>
    <mergeCell ref="G194:G195"/>
    <mergeCell ref="H194:H196"/>
    <mergeCell ref="I194:I196"/>
    <mergeCell ref="G183:G185"/>
    <mergeCell ref="H183:H187"/>
    <mergeCell ref="I183:I187"/>
    <mergeCell ref="A188:A190"/>
    <mergeCell ref="B188:B190"/>
    <mergeCell ref="A191:A193"/>
    <mergeCell ref="B191:B193"/>
    <mergeCell ref="D191:D193"/>
    <mergeCell ref="E191:E193"/>
    <mergeCell ref="H191:H193"/>
    <mergeCell ref="A183:A187"/>
    <mergeCell ref="B183:B187"/>
    <mergeCell ref="C183:C196"/>
    <mergeCell ref="D183:D190"/>
    <mergeCell ref="E183:E187"/>
    <mergeCell ref="F183:F196"/>
    <mergeCell ref="G197:G203"/>
    <mergeCell ref="H197:H204"/>
    <mergeCell ref="I197:I204"/>
    <mergeCell ref="A205:A206"/>
    <mergeCell ref="B205:B206"/>
    <mergeCell ref="E205:E206"/>
    <mergeCell ref="G205:G206"/>
    <mergeCell ref="H205:H206"/>
    <mergeCell ref="I205:I206"/>
    <mergeCell ref="A197:A204"/>
    <mergeCell ref="B197:B204"/>
    <mergeCell ref="C197:C227"/>
    <mergeCell ref="D197:D206"/>
    <mergeCell ref="E197:E204"/>
    <mergeCell ref="F197:F227"/>
    <mergeCell ref="A207:A208"/>
    <mergeCell ref="B207:B208"/>
    <mergeCell ref="D207:D208"/>
    <mergeCell ref="E207:E208"/>
    <mergeCell ref="I211:I212"/>
    <mergeCell ref="A213:A214"/>
    <mergeCell ref="B213:B214"/>
    <mergeCell ref="D213:D214"/>
    <mergeCell ref="E213:E214"/>
    <mergeCell ref="H213:H214"/>
    <mergeCell ref="I213:I214"/>
    <mergeCell ref="A211:A212"/>
    <mergeCell ref="B211:B212"/>
    <mergeCell ref="D211:D212"/>
    <mergeCell ref="E211:E212"/>
    <mergeCell ref="G211:G212"/>
    <mergeCell ref="H211:H212"/>
    <mergeCell ref="H207:H208"/>
    <mergeCell ref="I207:I208"/>
    <mergeCell ref="A209:A210"/>
    <mergeCell ref="B209:B210"/>
    <mergeCell ref="D209:D210"/>
    <mergeCell ref="E209:E210"/>
    <mergeCell ref="G209:G210"/>
    <mergeCell ref="H209:H210"/>
    <mergeCell ref="I209:I210"/>
    <mergeCell ref="A219:A220"/>
    <mergeCell ref="B219:B220"/>
    <mergeCell ref="D219:D220"/>
    <mergeCell ref="E219:E220"/>
    <mergeCell ref="H219:H220"/>
    <mergeCell ref="I219:I220"/>
    <mergeCell ref="A217:A218"/>
    <mergeCell ref="B217:B218"/>
    <mergeCell ref="D217:D218"/>
    <mergeCell ref="E217:E218"/>
    <mergeCell ref="H217:H218"/>
    <mergeCell ref="I217:I218"/>
    <mergeCell ref="A215:A216"/>
    <mergeCell ref="B215:B216"/>
    <mergeCell ref="D215:D216"/>
    <mergeCell ref="E215:E216"/>
    <mergeCell ref="H215:H216"/>
    <mergeCell ref="I215:I216"/>
    <mergeCell ref="I223:I225"/>
    <mergeCell ref="A226:A227"/>
    <mergeCell ref="B226:B227"/>
    <mergeCell ref="D226:D227"/>
    <mergeCell ref="E226:E227"/>
    <mergeCell ref="G226:G227"/>
    <mergeCell ref="H226:H227"/>
    <mergeCell ref="I226:I227"/>
    <mergeCell ref="A223:A225"/>
    <mergeCell ref="B223:B225"/>
    <mergeCell ref="D223:D225"/>
    <mergeCell ref="E223:E225"/>
    <mergeCell ref="G223:G224"/>
    <mergeCell ref="H223:H225"/>
    <mergeCell ref="A221:A222"/>
    <mergeCell ref="B221:B222"/>
    <mergeCell ref="D221:D222"/>
    <mergeCell ref="E221:E222"/>
    <mergeCell ref="H221:H222"/>
    <mergeCell ref="I221:I222"/>
    <mergeCell ref="H228:H230"/>
    <mergeCell ref="I228:I230"/>
    <mergeCell ref="A231:A233"/>
    <mergeCell ref="B231:B233"/>
    <mergeCell ref="E231:E233"/>
    <mergeCell ref="F231:F235"/>
    <mergeCell ref="H231:H233"/>
    <mergeCell ref="I231:I233"/>
    <mergeCell ref="A234:A235"/>
    <mergeCell ref="B234:B235"/>
    <mergeCell ref="A228:A230"/>
    <mergeCell ref="B228:B230"/>
    <mergeCell ref="D228:D290"/>
    <mergeCell ref="E228:E230"/>
    <mergeCell ref="F228:F230"/>
    <mergeCell ref="E234:E235"/>
    <mergeCell ref="A239:A241"/>
    <mergeCell ref="B239:B241"/>
    <mergeCell ref="E239:E241"/>
    <mergeCell ref="A244:A246"/>
    <mergeCell ref="B244:B246"/>
    <mergeCell ref="E244:E246"/>
    <mergeCell ref="F244:F246"/>
    <mergeCell ref="H244:H246"/>
    <mergeCell ref="I244:I246"/>
    <mergeCell ref="F239:F241"/>
    <mergeCell ref="H239:H241"/>
    <mergeCell ref="I239:I241"/>
    <mergeCell ref="A242:A243"/>
    <mergeCell ref="B242:B243"/>
    <mergeCell ref="E242:E243"/>
    <mergeCell ref="F242:F243"/>
    <mergeCell ref="H242:H243"/>
    <mergeCell ref="I242:I243"/>
    <mergeCell ref="H234:H235"/>
    <mergeCell ref="I234:I235"/>
    <mergeCell ref="A236:A238"/>
    <mergeCell ref="B236:B238"/>
    <mergeCell ref="E236:E238"/>
    <mergeCell ref="F236:F238"/>
    <mergeCell ref="H236:H238"/>
    <mergeCell ref="I236:I238"/>
    <mergeCell ref="A252:A253"/>
    <mergeCell ref="B252:B253"/>
    <mergeCell ref="E252:E253"/>
    <mergeCell ref="F252:F256"/>
    <mergeCell ref="H252:H253"/>
    <mergeCell ref="I252:I253"/>
    <mergeCell ref="A254:A256"/>
    <mergeCell ref="B254:B256"/>
    <mergeCell ref="E254:E256"/>
    <mergeCell ref="H254:H256"/>
    <mergeCell ref="A250:A251"/>
    <mergeCell ref="B250:B251"/>
    <mergeCell ref="E250:E251"/>
    <mergeCell ref="F250:F251"/>
    <mergeCell ref="H250:H251"/>
    <mergeCell ref="I250:I251"/>
    <mergeCell ref="A247:A249"/>
    <mergeCell ref="B247:B249"/>
    <mergeCell ref="E247:E249"/>
    <mergeCell ref="F247:F249"/>
    <mergeCell ref="H247:H249"/>
    <mergeCell ref="I247:I249"/>
    <mergeCell ref="A262:A263"/>
    <mergeCell ref="B262:B263"/>
    <mergeCell ref="E262:E263"/>
    <mergeCell ref="F262:F263"/>
    <mergeCell ref="H262:H263"/>
    <mergeCell ref="I262:I263"/>
    <mergeCell ref="A259:A261"/>
    <mergeCell ref="B259:B261"/>
    <mergeCell ref="E259:E261"/>
    <mergeCell ref="F259:F261"/>
    <mergeCell ref="H259:H261"/>
    <mergeCell ref="I259:I261"/>
    <mergeCell ref="I254:I256"/>
    <mergeCell ref="A257:A258"/>
    <mergeCell ref="B257:B258"/>
    <mergeCell ref="E257:E258"/>
    <mergeCell ref="F257:F258"/>
    <mergeCell ref="H257:H258"/>
    <mergeCell ref="I257:I258"/>
    <mergeCell ref="A268:A269"/>
    <mergeCell ref="B268:B269"/>
    <mergeCell ref="E268:E269"/>
    <mergeCell ref="F268:F269"/>
    <mergeCell ref="H268:H269"/>
    <mergeCell ref="I268:I269"/>
    <mergeCell ref="A266:A267"/>
    <mergeCell ref="B266:B267"/>
    <mergeCell ref="E266:E267"/>
    <mergeCell ref="F266:F267"/>
    <mergeCell ref="H266:H267"/>
    <mergeCell ref="I266:I267"/>
    <mergeCell ref="A264:A265"/>
    <mergeCell ref="B264:B265"/>
    <mergeCell ref="E264:E265"/>
    <mergeCell ref="F264:F265"/>
    <mergeCell ref="H264:H265"/>
    <mergeCell ref="I264:I265"/>
    <mergeCell ref="I272:I273"/>
    <mergeCell ref="A274:A275"/>
    <mergeCell ref="B274:B275"/>
    <mergeCell ref="E274:E275"/>
    <mergeCell ref="F274:F275"/>
    <mergeCell ref="H274:H275"/>
    <mergeCell ref="I274:I275"/>
    <mergeCell ref="A270:A271"/>
    <mergeCell ref="B270:B271"/>
    <mergeCell ref="E270:E271"/>
    <mergeCell ref="F270:F273"/>
    <mergeCell ref="H270:H271"/>
    <mergeCell ref="I270:I271"/>
    <mergeCell ref="A272:A273"/>
    <mergeCell ref="B272:B273"/>
    <mergeCell ref="E272:E273"/>
    <mergeCell ref="H272:H273"/>
    <mergeCell ref="A280:A281"/>
    <mergeCell ref="B280:B281"/>
    <mergeCell ref="E280:E281"/>
    <mergeCell ref="F280:F281"/>
    <mergeCell ref="H280:H281"/>
    <mergeCell ref="I280:I281"/>
    <mergeCell ref="A278:A279"/>
    <mergeCell ref="B278:B279"/>
    <mergeCell ref="E278:E279"/>
    <mergeCell ref="F278:F279"/>
    <mergeCell ref="H278:H279"/>
    <mergeCell ref="I278:I279"/>
    <mergeCell ref="A276:A277"/>
    <mergeCell ref="B276:B277"/>
    <mergeCell ref="E276:E277"/>
    <mergeCell ref="F276:F277"/>
    <mergeCell ref="H276:H277"/>
    <mergeCell ref="I276:I277"/>
    <mergeCell ref="A286:A287"/>
    <mergeCell ref="B286:B287"/>
    <mergeCell ref="E286:E287"/>
    <mergeCell ref="F286:F287"/>
    <mergeCell ref="H286:H287"/>
    <mergeCell ref="I286:I287"/>
    <mergeCell ref="A284:A285"/>
    <mergeCell ref="B284:B285"/>
    <mergeCell ref="E284:E285"/>
    <mergeCell ref="F284:F285"/>
    <mergeCell ref="H284:H285"/>
    <mergeCell ref="I284:I285"/>
    <mergeCell ref="A282:A283"/>
    <mergeCell ref="B282:B283"/>
    <mergeCell ref="E282:E283"/>
    <mergeCell ref="F282:F283"/>
    <mergeCell ref="H282:H283"/>
    <mergeCell ref="I282:I283"/>
    <mergeCell ref="I291:I293"/>
    <mergeCell ref="A294:A296"/>
    <mergeCell ref="B294:B296"/>
    <mergeCell ref="D294:D299"/>
    <mergeCell ref="E294:E296"/>
    <mergeCell ref="F294:F296"/>
    <mergeCell ref="H294:H296"/>
    <mergeCell ref="I294:I296"/>
    <mergeCell ref="A297:A299"/>
    <mergeCell ref="B297:B299"/>
    <mergeCell ref="A291:A293"/>
    <mergeCell ref="B291:B293"/>
    <mergeCell ref="D291:D293"/>
    <mergeCell ref="E291:E293"/>
    <mergeCell ref="F291:F293"/>
    <mergeCell ref="H291:H293"/>
    <mergeCell ref="A288:A290"/>
    <mergeCell ref="B288:B290"/>
    <mergeCell ref="E288:E290"/>
    <mergeCell ref="F288:F290"/>
    <mergeCell ref="H288:H290"/>
    <mergeCell ref="I288:I290"/>
    <mergeCell ref="I300:I301"/>
    <mergeCell ref="A302:A304"/>
    <mergeCell ref="B302:B304"/>
    <mergeCell ref="D302:D308"/>
    <mergeCell ref="E302:E304"/>
    <mergeCell ref="H302:H304"/>
    <mergeCell ref="I302:I304"/>
    <mergeCell ref="A305:A306"/>
    <mergeCell ref="B305:B306"/>
    <mergeCell ref="E305:E306"/>
    <mergeCell ref="E297:E299"/>
    <mergeCell ref="F297:F299"/>
    <mergeCell ref="H297:H299"/>
    <mergeCell ref="I297:I299"/>
    <mergeCell ref="A300:A301"/>
    <mergeCell ref="B300:B301"/>
    <mergeCell ref="D300:D301"/>
    <mergeCell ref="E300:E301"/>
    <mergeCell ref="F300:F304"/>
    <mergeCell ref="H300:H301"/>
    <mergeCell ref="I309:I311"/>
    <mergeCell ref="A312:A314"/>
    <mergeCell ref="B312:B314"/>
    <mergeCell ref="D312:D411"/>
    <mergeCell ref="E312:E314"/>
    <mergeCell ref="F312:F314"/>
    <mergeCell ref="H312:H314"/>
    <mergeCell ref="I312:I314"/>
    <mergeCell ref="A315:A316"/>
    <mergeCell ref="B315:B316"/>
    <mergeCell ref="A309:A311"/>
    <mergeCell ref="B309:B311"/>
    <mergeCell ref="D309:D311"/>
    <mergeCell ref="E309:E311"/>
    <mergeCell ref="F309:F311"/>
    <mergeCell ref="H309:H311"/>
    <mergeCell ref="F305:F306"/>
    <mergeCell ref="H305:H306"/>
    <mergeCell ref="I305:I306"/>
    <mergeCell ref="A307:A308"/>
    <mergeCell ref="B307:B308"/>
    <mergeCell ref="E307:E308"/>
    <mergeCell ref="F307:F308"/>
    <mergeCell ref="H307:H308"/>
    <mergeCell ref="I307:I308"/>
    <mergeCell ref="A321:A322"/>
    <mergeCell ref="B321:B322"/>
    <mergeCell ref="E321:E322"/>
    <mergeCell ref="F321:F322"/>
    <mergeCell ref="H321:H322"/>
    <mergeCell ref="I321:I322"/>
    <mergeCell ref="A319:A320"/>
    <mergeCell ref="B319:B320"/>
    <mergeCell ref="E319:E320"/>
    <mergeCell ref="F319:F320"/>
    <mergeCell ref="H319:H320"/>
    <mergeCell ref="I319:I320"/>
    <mergeCell ref="E315:E316"/>
    <mergeCell ref="F315:F316"/>
    <mergeCell ref="H315:H316"/>
    <mergeCell ref="I315:I316"/>
    <mergeCell ref="A317:A318"/>
    <mergeCell ref="B317:B318"/>
    <mergeCell ref="E317:E318"/>
    <mergeCell ref="F317:F318"/>
    <mergeCell ref="H317:H318"/>
    <mergeCell ref="I317:I318"/>
    <mergeCell ref="A327:A328"/>
    <mergeCell ref="B327:B328"/>
    <mergeCell ref="E327:E328"/>
    <mergeCell ref="F327:F328"/>
    <mergeCell ref="H327:H328"/>
    <mergeCell ref="I327:I328"/>
    <mergeCell ref="A325:A326"/>
    <mergeCell ref="B325:B326"/>
    <mergeCell ref="E325:E326"/>
    <mergeCell ref="F325:F326"/>
    <mergeCell ref="H325:H326"/>
    <mergeCell ref="I325:I326"/>
    <mergeCell ref="A323:A324"/>
    <mergeCell ref="B323:B324"/>
    <mergeCell ref="E323:E324"/>
    <mergeCell ref="F323:F324"/>
    <mergeCell ref="H323:H324"/>
    <mergeCell ref="I323:I324"/>
    <mergeCell ref="A333:A334"/>
    <mergeCell ref="B333:B334"/>
    <mergeCell ref="E333:E334"/>
    <mergeCell ref="F333:F334"/>
    <mergeCell ref="H333:H334"/>
    <mergeCell ref="I333:I334"/>
    <mergeCell ref="A331:A332"/>
    <mergeCell ref="B331:B332"/>
    <mergeCell ref="E331:E332"/>
    <mergeCell ref="F331:F332"/>
    <mergeCell ref="H331:H332"/>
    <mergeCell ref="I331:I332"/>
    <mergeCell ref="A329:A330"/>
    <mergeCell ref="B329:B330"/>
    <mergeCell ref="E329:E330"/>
    <mergeCell ref="F329:F330"/>
    <mergeCell ref="H329:H330"/>
    <mergeCell ref="I329:I330"/>
    <mergeCell ref="A339:A340"/>
    <mergeCell ref="B339:B340"/>
    <mergeCell ref="E339:E340"/>
    <mergeCell ref="F339:F340"/>
    <mergeCell ref="H339:H340"/>
    <mergeCell ref="I339:I340"/>
    <mergeCell ref="A337:A338"/>
    <mergeCell ref="B337:B338"/>
    <mergeCell ref="E337:E338"/>
    <mergeCell ref="F337:F338"/>
    <mergeCell ref="H337:H338"/>
    <mergeCell ref="I337:I338"/>
    <mergeCell ref="A335:A336"/>
    <mergeCell ref="B335:B336"/>
    <mergeCell ref="E335:E336"/>
    <mergeCell ref="F335:F336"/>
    <mergeCell ref="H335:H336"/>
    <mergeCell ref="I335:I336"/>
    <mergeCell ref="I344:I345"/>
    <mergeCell ref="A346:A347"/>
    <mergeCell ref="B346:B347"/>
    <mergeCell ref="E346:E347"/>
    <mergeCell ref="F346:F349"/>
    <mergeCell ref="H346:H347"/>
    <mergeCell ref="I346:I347"/>
    <mergeCell ref="A348:A349"/>
    <mergeCell ref="B348:B349"/>
    <mergeCell ref="E348:E349"/>
    <mergeCell ref="A341:A343"/>
    <mergeCell ref="B341:B343"/>
    <mergeCell ref="E341:E343"/>
    <mergeCell ref="F341:F345"/>
    <mergeCell ref="H341:H343"/>
    <mergeCell ref="I341:I343"/>
    <mergeCell ref="A344:A345"/>
    <mergeCell ref="B344:B345"/>
    <mergeCell ref="E344:E345"/>
    <mergeCell ref="H344:H345"/>
    <mergeCell ref="A354:A355"/>
    <mergeCell ref="B354:B355"/>
    <mergeCell ref="E354:E355"/>
    <mergeCell ref="F354:F355"/>
    <mergeCell ref="H354:H355"/>
    <mergeCell ref="I354:I355"/>
    <mergeCell ref="A352:A353"/>
    <mergeCell ref="B352:B353"/>
    <mergeCell ref="E352:E353"/>
    <mergeCell ref="F352:F353"/>
    <mergeCell ref="H352:H353"/>
    <mergeCell ref="I352:I353"/>
    <mergeCell ref="H348:H349"/>
    <mergeCell ref="I348:I349"/>
    <mergeCell ref="A350:A351"/>
    <mergeCell ref="B350:B351"/>
    <mergeCell ref="E350:E351"/>
    <mergeCell ref="F350:F351"/>
    <mergeCell ref="H350:H351"/>
    <mergeCell ref="I350:I351"/>
    <mergeCell ref="F360:F362"/>
    <mergeCell ref="A361:A362"/>
    <mergeCell ref="B361:B362"/>
    <mergeCell ref="E361:E362"/>
    <mergeCell ref="H361:H362"/>
    <mergeCell ref="I361:I362"/>
    <mergeCell ref="A358:A359"/>
    <mergeCell ref="B358:B359"/>
    <mergeCell ref="E358:E359"/>
    <mergeCell ref="F358:F359"/>
    <mergeCell ref="H358:H359"/>
    <mergeCell ref="I358:I359"/>
    <mergeCell ref="A356:A357"/>
    <mergeCell ref="B356:B357"/>
    <mergeCell ref="E356:E357"/>
    <mergeCell ref="F356:F357"/>
    <mergeCell ref="H356:H357"/>
    <mergeCell ref="I356:I357"/>
    <mergeCell ref="I365:I366"/>
    <mergeCell ref="A367:A368"/>
    <mergeCell ref="B367:B368"/>
    <mergeCell ref="E367:E368"/>
    <mergeCell ref="F367:F368"/>
    <mergeCell ref="H367:H368"/>
    <mergeCell ref="I367:I368"/>
    <mergeCell ref="A363:A364"/>
    <mergeCell ref="B363:B364"/>
    <mergeCell ref="E363:E364"/>
    <mergeCell ref="F363:F366"/>
    <mergeCell ref="H363:H364"/>
    <mergeCell ref="I363:I364"/>
    <mergeCell ref="A365:A366"/>
    <mergeCell ref="B365:B366"/>
    <mergeCell ref="E365:E366"/>
    <mergeCell ref="H365:H366"/>
    <mergeCell ref="A375:A376"/>
    <mergeCell ref="B375:B376"/>
    <mergeCell ref="E375:E376"/>
    <mergeCell ref="F375:F376"/>
    <mergeCell ref="H375:H376"/>
    <mergeCell ref="I375:I376"/>
    <mergeCell ref="I371:I372"/>
    <mergeCell ref="A373:A374"/>
    <mergeCell ref="B373:B374"/>
    <mergeCell ref="E373:E374"/>
    <mergeCell ref="F373:F374"/>
    <mergeCell ref="H373:H374"/>
    <mergeCell ref="I373:I374"/>
    <mergeCell ref="A369:A370"/>
    <mergeCell ref="B369:B370"/>
    <mergeCell ref="E369:E370"/>
    <mergeCell ref="F369:F372"/>
    <mergeCell ref="H369:H370"/>
    <mergeCell ref="I369:I370"/>
    <mergeCell ref="A371:A372"/>
    <mergeCell ref="B371:B372"/>
    <mergeCell ref="E371:E372"/>
    <mergeCell ref="H371:H372"/>
    <mergeCell ref="I379:I380"/>
    <mergeCell ref="A381:A383"/>
    <mergeCell ref="B381:B383"/>
    <mergeCell ref="E381:E383"/>
    <mergeCell ref="F381:F383"/>
    <mergeCell ref="H381:H383"/>
    <mergeCell ref="I381:I383"/>
    <mergeCell ref="A379:A380"/>
    <mergeCell ref="B379:B380"/>
    <mergeCell ref="E379:E380"/>
    <mergeCell ref="F379:F380"/>
    <mergeCell ref="G379:G380"/>
    <mergeCell ref="H379:H380"/>
    <mergeCell ref="A377:A378"/>
    <mergeCell ref="B377:B378"/>
    <mergeCell ref="E377:E378"/>
    <mergeCell ref="F377:F378"/>
    <mergeCell ref="H377:H378"/>
    <mergeCell ref="I377:I378"/>
    <mergeCell ref="A388:A389"/>
    <mergeCell ref="B388:B389"/>
    <mergeCell ref="E388:E389"/>
    <mergeCell ref="F388:F391"/>
    <mergeCell ref="H388:H389"/>
    <mergeCell ref="I388:I389"/>
    <mergeCell ref="A390:A391"/>
    <mergeCell ref="B390:B391"/>
    <mergeCell ref="E390:E391"/>
    <mergeCell ref="H390:H391"/>
    <mergeCell ref="A386:A387"/>
    <mergeCell ref="B386:B387"/>
    <mergeCell ref="E386:E387"/>
    <mergeCell ref="F386:F387"/>
    <mergeCell ref="H386:H387"/>
    <mergeCell ref="I386:I387"/>
    <mergeCell ref="A384:A385"/>
    <mergeCell ref="B384:B385"/>
    <mergeCell ref="E384:E385"/>
    <mergeCell ref="F384:F385"/>
    <mergeCell ref="H384:H385"/>
    <mergeCell ref="I384:I385"/>
    <mergeCell ref="H394:H396"/>
    <mergeCell ref="I394:I396"/>
    <mergeCell ref="A397:A398"/>
    <mergeCell ref="B397:B398"/>
    <mergeCell ref="E397:E398"/>
    <mergeCell ref="F397:F398"/>
    <mergeCell ref="H397:H398"/>
    <mergeCell ref="I397:I398"/>
    <mergeCell ref="I390:I391"/>
    <mergeCell ref="A392:A393"/>
    <mergeCell ref="B392:B393"/>
    <mergeCell ref="E392:E393"/>
    <mergeCell ref="F392:F396"/>
    <mergeCell ref="H392:H393"/>
    <mergeCell ref="I392:I393"/>
    <mergeCell ref="A394:A396"/>
    <mergeCell ref="B394:B396"/>
    <mergeCell ref="E394:E396"/>
    <mergeCell ref="A403:A405"/>
    <mergeCell ref="B403:B405"/>
    <mergeCell ref="E403:E405"/>
    <mergeCell ref="F403:F405"/>
    <mergeCell ref="H403:H405"/>
    <mergeCell ref="I403:I405"/>
    <mergeCell ref="A401:A402"/>
    <mergeCell ref="B401:B402"/>
    <mergeCell ref="E401:E402"/>
    <mergeCell ref="F401:F402"/>
    <mergeCell ref="H401:H402"/>
    <mergeCell ref="I401:I402"/>
    <mergeCell ref="A399:A400"/>
    <mergeCell ref="B399:B400"/>
    <mergeCell ref="E399:E400"/>
    <mergeCell ref="F399:F400"/>
    <mergeCell ref="H399:H400"/>
    <mergeCell ref="I399:I400"/>
    <mergeCell ref="I414:I416"/>
    <mergeCell ref="A417:A418"/>
    <mergeCell ref="B417:B418"/>
    <mergeCell ref="A412:A413"/>
    <mergeCell ref="B412:B413"/>
    <mergeCell ref="D412:D413"/>
    <mergeCell ref="E412:E413"/>
    <mergeCell ref="F412:F413"/>
    <mergeCell ref="H412:H413"/>
    <mergeCell ref="I408:I409"/>
    <mergeCell ref="A410:A411"/>
    <mergeCell ref="B410:B411"/>
    <mergeCell ref="E410:E411"/>
    <mergeCell ref="F410:F411"/>
    <mergeCell ref="H410:H411"/>
    <mergeCell ref="I410:I411"/>
    <mergeCell ref="A406:A407"/>
    <mergeCell ref="B406:B407"/>
    <mergeCell ref="E406:E407"/>
    <mergeCell ref="F406:F409"/>
    <mergeCell ref="H406:H407"/>
    <mergeCell ref="I406:I407"/>
    <mergeCell ref="A408:A409"/>
    <mergeCell ref="B408:B409"/>
    <mergeCell ref="E408:E409"/>
    <mergeCell ref="H408:H409"/>
    <mergeCell ref="H422:H424"/>
    <mergeCell ref="I422:I424"/>
    <mergeCell ref="A425:A427"/>
    <mergeCell ref="B425:B427"/>
    <mergeCell ref="D425:D427"/>
    <mergeCell ref="E425:E427"/>
    <mergeCell ref="H425:H427"/>
    <mergeCell ref="I425:I427"/>
    <mergeCell ref="A422:A424"/>
    <mergeCell ref="B422:B424"/>
    <mergeCell ref="C422:C435"/>
    <mergeCell ref="D422:D424"/>
    <mergeCell ref="E422:E424"/>
    <mergeCell ref="F422:F435"/>
    <mergeCell ref="H417:H418"/>
    <mergeCell ref="I417:I418"/>
    <mergeCell ref="C228:C421"/>
    <mergeCell ref="D414:D421"/>
    <mergeCell ref="E419:E420"/>
    <mergeCell ref="F419:F420"/>
    <mergeCell ref="E417:E418"/>
    <mergeCell ref="F417:F418"/>
    <mergeCell ref="A419:A420"/>
    <mergeCell ref="B419:B420"/>
    <mergeCell ref="G228:G229"/>
    <mergeCell ref="G417:G418"/>
    <mergeCell ref="I419:I420"/>
    <mergeCell ref="A414:A416"/>
    <mergeCell ref="B414:B416"/>
    <mergeCell ref="E414:E416"/>
    <mergeCell ref="F414:F416"/>
    <mergeCell ref="H414:H416"/>
    <mergeCell ref="A433:A435"/>
    <mergeCell ref="B433:B435"/>
    <mergeCell ref="D433:D435"/>
    <mergeCell ref="E433:E435"/>
    <mergeCell ref="H433:H435"/>
    <mergeCell ref="I433:I435"/>
    <mergeCell ref="A430:A432"/>
    <mergeCell ref="B430:B432"/>
    <mergeCell ref="D430:D432"/>
    <mergeCell ref="E430:E432"/>
    <mergeCell ref="H430:H432"/>
    <mergeCell ref="I430:I432"/>
    <mergeCell ref="A428:A429"/>
    <mergeCell ref="B428:B429"/>
    <mergeCell ref="D428:D429"/>
    <mergeCell ref="E428:E429"/>
    <mergeCell ref="H428:H429"/>
    <mergeCell ref="I428:I429"/>
    <mergeCell ref="D436:D441"/>
    <mergeCell ref="D442:D443"/>
    <mergeCell ref="D444:D445"/>
    <mergeCell ref="E436:E439"/>
    <mergeCell ref="E440:E441"/>
    <mergeCell ref="E442:E443"/>
    <mergeCell ref="E444:E445"/>
    <mergeCell ref="B442:B443"/>
    <mergeCell ref="H442:H443"/>
    <mergeCell ref="I442:I443"/>
    <mergeCell ref="A444:A445"/>
    <mergeCell ref="B444:B445"/>
    <mergeCell ref="H444:H445"/>
    <mergeCell ref="I444:I445"/>
    <mergeCell ref="F436:F445"/>
    <mergeCell ref="A436:A439"/>
    <mergeCell ref="B436:B439"/>
    <mergeCell ref="C436:C445"/>
    <mergeCell ref="H436:H439"/>
    <mergeCell ref="I436:I439"/>
    <mergeCell ref="A440:A441"/>
    <mergeCell ref="B440:B441"/>
    <mergeCell ref="H440:H441"/>
    <mergeCell ref="I440:I441"/>
    <mergeCell ref="A442:A443"/>
    <mergeCell ref="E446:E448"/>
    <mergeCell ref="E449:E450"/>
    <mergeCell ref="E451:E452"/>
    <mergeCell ref="D451:D452"/>
    <mergeCell ref="D453:D454"/>
    <mergeCell ref="E453:E454"/>
    <mergeCell ref="H446:H448"/>
    <mergeCell ref="I446:I448"/>
    <mergeCell ref="H449:H450"/>
    <mergeCell ref="I449:I450"/>
    <mergeCell ref="H451:H452"/>
    <mergeCell ref="I451:I452"/>
    <mergeCell ref="H453:H454"/>
    <mergeCell ref="I453:I454"/>
    <mergeCell ref="H455:H456"/>
    <mergeCell ref="A455:A456"/>
    <mergeCell ref="B455:B456"/>
    <mergeCell ref="I455:I456"/>
    <mergeCell ref="E455:E456"/>
    <mergeCell ref="D455:D456"/>
    <mergeCell ref="F446:F456"/>
    <mergeCell ref="A453:A454"/>
    <mergeCell ref="B453:B454"/>
    <mergeCell ref="A449:A450"/>
    <mergeCell ref="B449:B450"/>
    <mergeCell ref="D446:D450"/>
    <mergeCell ref="A446:A448"/>
    <mergeCell ref="B446:B448"/>
    <mergeCell ref="C446:C456"/>
    <mergeCell ref="A451:A452"/>
    <mergeCell ref="B451:B452"/>
    <mergeCell ref="H466:H467"/>
    <mergeCell ref="I466:I467"/>
    <mergeCell ref="A468:A469"/>
    <mergeCell ref="B468:B469"/>
    <mergeCell ref="H468:H469"/>
    <mergeCell ref="I468:I469"/>
    <mergeCell ref="E468:E469"/>
    <mergeCell ref="E466:E467"/>
    <mergeCell ref="A457:A463"/>
    <mergeCell ref="B457:B463"/>
    <mergeCell ref="C457:C477"/>
    <mergeCell ref="H457:H463"/>
    <mergeCell ref="I457:I463"/>
    <mergeCell ref="A464:A465"/>
    <mergeCell ref="B464:B465"/>
    <mergeCell ref="H464:H465"/>
    <mergeCell ref="I464:I465"/>
    <mergeCell ref="A466:A467"/>
    <mergeCell ref="B474:B475"/>
    <mergeCell ref="H474:H475"/>
    <mergeCell ref="I474:I475"/>
    <mergeCell ref="A476:A477"/>
    <mergeCell ref="B476:B477"/>
    <mergeCell ref="H476:H477"/>
    <mergeCell ref="I476:I477"/>
    <mergeCell ref="E474:E475"/>
    <mergeCell ref="E476:E477"/>
    <mergeCell ref="A470:A471"/>
    <mergeCell ref="B470:B471"/>
    <mergeCell ref="H470:H471"/>
    <mergeCell ref="I470:I471"/>
    <mergeCell ref="H472:H473"/>
    <mergeCell ref="I472:I473"/>
    <mergeCell ref="E470:E471"/>
    <mergeCell ref="E472:E473"/>
    <mergeCell ref="A487:A489"/>
    <mergeCell ref="B487:B489"/>
    <mergeCell ref="D487:D489"/>
    <mergeCell ref="E487:E489"/>
    <mergeCell ref="H487:H489"/>
    <mergeCell ref="I487:I489"/>
    <mergeCell ref="G478:G481"/>
    <mergeCell ref="H478:H483"/>
    <mergeCell ref="I478:I483"/>
    <mergeCell ref="A484:A486"/>
    <mergeCell ref="B484:B486"/>
    <mergeCell ref="D484:D486"/>
    <mergeCell ref="E484:E486"/>
    <mergeCell ref="H484:H486"/>
    <mergeCell ref="I484:I486"/>
    <mergeCell ref="E464:E465"/>
    <mergeCell ref="E457:E463"/>
    <mergeCell ref="F457:F477"/>
    <mergeCell ref="G457:G458"/>
    <mergeCell ref="A478:A483"/>
    <mergeCell ref="B478:B483"/>
    <mergeCell ref="C478:C538"/>
    <mergeCell ref="D478:D483"/>
    <mergeCell ref="E478:E483"/>
    <mergeCell ref="F478:F538"/>
    <mergeCell ref="D457:D465"/>
    <mergeCell ref="D466:D467"/>
    <mergeCell ref="D468:D469"/>
    <mergeCell ref="D470:D471"/>
    <mergeCell ref="D472:D473"/>
    <mergeCell ref="D474:D477"/>
    <mergeCell ref="A474:A475"/>
    <mergeCell ref="A496:A498"/>
    <mergeCell ref="B496:B498"/>
    <mergeCell ref="D496:D498"/>
    <mergeCell ref="E496:E498"/>
    <mergeCell ref="A514:A516"/>
    <mergeCell ref="B514:B516"/>
    <mergeCell ref="D514:D519"/>
    <mergeCell ref="E514:E516"/>
    <mergeCell ref="A527:A529"/>
    <mergeCell ref="B527:B529"/>
    <mergeCell ref="D527:D529"/>
    <mergeCell ref="E527:E529"/>
    <mergeCell ref="A472:A473"/>
    <mergeCell ref="B472:B473"/>
    <mergeCell ref="B466:B467"/>
    <mergeCell ref="A490:A492"/>
    <mergeCell ref="B490:B492"/>
    <mergeCell ref="D490:D492"/>
    <mergeCell ref="E490:E492"/>
    <mergeCell ref="H490:H492"/>
    <mergeCell ref="I490:I492"/>
    <mergeCell ref="A505:A507"/>
    <mergeCell ref="B505:B507"/>
    <mergeCell ref="D505:D507"/>
    <mergeCell ref="E505:E507"/>
    <mergeCell ref="H505:H507"/>
    <mergeCell ref="I505:I507"/>
    <mergeCell ref="A502:A504"/>
    <mergeCell ref="B502:B504"/>
    <mergeCell ref="D502:D504"/>
    <mergeCell ref="E502:E504"/>
    <mergeCell ref="H502:H504"/>
    <mergeCell ref="I502:I504"/>
    <mergeCell ref="A499:A501"/>
    <mergeCell ref="B499:B501"/>
    <mergeCell ref="D499:D501"/>
    <mergeCell ref="E499:E501"/>
    <mergeCell ref="H499:H501"/>
    <mergeCell ref="I499:I501"/>
    <mergeCell ref="I527:I529"/>
    <mergeCell ref="A524:A526"/>
    <mergeCell ref="B524:B526"/>
    <mergeCell ref="D524:D526"/>
    <mergeCell ref="E524:E526"/>
    <mergeCell ref="H524:H526"/>
    <mergeCell ref="I524:I526"/>
    <mergeCell ref="I517:I519"/>
    <mergeCell ref="A520:A523"/>
    <mergeCell ref="B520:B523"/>
    <mergeCell ref="D520:D523"/>
    <mergeCell ref="H496:H498"/>
    <mergeCell ref="I496:I498"/>
    <mergeCell ref="A493:A495"/>
    <mergeCell ref="B493:B495"/>
    <mergeCell ref="D493:D495"/>
    <mergeCell ref="E493:E495"/>
    <mergeCell ref="H493:H495"/>
    <mergeCell ref="I493:I495"/>
    <mergeCell ref="H514:H516"/>
    <mergeCell ref="I514:I516"/>
    <mergeCell ref="A517:A519"/>
    <mergeCell ref="B517:B519"/>
    <mergeCell ref="E517:E519"/>
    <mergeCell ref="H517:H519"/>
    <mergeCell ref="A511:A513"/>
    <mergeCell ref="B511:B513"/>
    <mergeCell ref="D511:D513"/>
    <mergeCell ref="E511:E513"/>
    <mergeCell ref="H511:H513"/>
    <mergeCell ref="I511:I513"/>
    <mergeCell ref="A508:A510"/>
    <mergeCell ref="B508:B510"/>
    <mergeCell ref="D508:D510"/>
    <mergeCell ref="E508:E510"/>
    <mergeCell ref="H508:H510"/>
    <mergeCell ref="I508:I510"/>
    <mergeCell ref="A678:A681"/>
    <mergeCell ref="B678:B681"/>
    <mergeCell ref="H678:H681"/>
    <mergeCell ref="I678:I681"/>
    <mergeCell ref="A682:A683"/>
    <mergeCell ref="B682:B683"/>
    <mergeCell ref="H682:H683"/>
    <mergeCell ref="I682:I683"/>
    <mergeCell ref="A684:A686"/>
    <mergeCell ref="B684:B686"/>
    <mergeCell ref="E520:E523"/>
    <mergeCell ref="H520:H523"/>
    <mergeCell ref="I520:I523"/>
    <mergeCell ref="A536:A538"/>
    <mergeCell ref="B536:B538"/>
    <mergeCell ref="D536:D538"/>
    <mergeCell ref="E536:E538"/>
    <mergeCell ref="H536:H538"/>
    <mergeCell ref="I536:I538"/>
    <mergeCell ref="A533:A535"/>
    <mergeCell ref="B533:B535"/>
    <mergeCell ref="D533:D535"/>
    <mergeCell ref="E533:E535"/>
    <mergeCell ref="H533:H535"/>
    <mergeCell ref="I533:I535"/>
    <mergeCell ref="A530:A532"/>
    <mergeCell ref="B530:B532"/>
    <mergeCell ref="D530:D532"/>
    <mergeCell ref="E530:E532"/>
    <mergeCell ref="H530:H532"/>
    <mergeCell ref="I530:I532"/>
    <mergeCell ref="H527:H529"/>
    <mergeCell ref="B698:B699"/>
    <mergeCell ref="D698:D699"/>
    <mergeCell ref="H698:H699"/>
    <mergeCell ref="I698:I699"/>
    <mergeCell ref="A700:A701"/>
    <mergeCell ref="B700:B701"/>
    <mergeCell ref="D700:D701"/>
    <mergeCell ref="H700:H701"/>
    <mergeCell ref="I700:I701"/>
    <mergeCell ref="A702:A703"/>
    <mergeCell ref="A664:A667"/>
    <mergeCell ref="B664:B667"/>
    <mergeCell ref="C664:C670"/>
    <mergeCell ref="D664:D670"/>
    <mergeCell ref="F664:F670"/>
    <mergeCell ref="H664:H667"/>
    <mergeCell ref="I664:I667"/>
    <mergeCell ref="A668:A670"/>
    <mergeCell ref="B668:B670"/>
    <mergeCell ref="H668:H670"/>
    <mergeCell ref="I668:I670"/>
    <mergeCell ref="A671:A675"/>
    <mergeCell ref="B671:B675"/>
    <mergeCell ref="C671:C692"/>
    <mergeCell ref="F671:F692"/>
    <mergeCell ref="G671:G674"/>
    <mergeCell ref="H671:H675"/>
    <mergeCell ref="B689:B690"/>
    <mergeCell ref="H689:H690"/>
    <mergeCell ref="I689:I690"/>
    <mergeCell ref="A691:A692"/>
    <mergeCell ref="B691:B692"/>
    <mergeCell ref="H691:H692"/>
    <mergeCell ref="I691:I692"/>
    <mergeCell ref="A693:A697"/>
    <mergeCell ref="B693:B697"/>
    <mergeCell ref="C693:C708"/>
    <mergeCell ref="D693:D697"/>
    <mergeCell ref="F693:F708"/>
    <mergeCell ref="H693:H697"/>
    <mergeCell ref="I693:I697"/>
    <mergeCell ref="A698:A699"/>
    <mergeCell ref="E689:E690"/>
    <mergeCell ref="E691:E692"/>
    <mergeCell ref="D736:D737"/>
    <mergeCell ref="E736:E737"/>
    <mergeCell ref="H736:H737"/>
    <mergeCell ref="I736:I737"/>
    <mergeCell ref="A738:A739"/>
    <mergeCell ref="I724:I725"/>
    <mergeCell ref="A726:A727"/>
    <mergeCell ref="B726:B727"/>
    <mergeCell ref="D726:D727"/>
    <mergeCell ref="E726:E727"/>
    <mergeCell ref="H726:H727"/>
    <mergeCell ref="I726:I727"/>
    <mergeCell ref="A728:A730"/>
    <mergeCell ref="B728:B730"/>
    <mergeCell ref="D728:D730"/>
    <mergeCell ref="B702:B703"/>
    <mergeCell ref="D702:D703"/>
    <mergeCell ref="H702:H703"/>
    <mergeCell ref="I702:I703"/>
    <mergeCell ref="A704:A705"/>
    <mergeCell ref="B704:B705"/>
    <mergeCell ref="D704:D705"/>
    <mergeCell ref="H704:H705"/>
    <mergeCell ref="I704:I705"/>
    <mergeCell ref="A706:A708"/>
    <mergeCell ref="B706:B708"/>
    <mergeCell ref="D706:D708"/>
    <mergeCell ref="H706:H708"/>
    <mergeCell ref="I706:I708"/>
    <mergeCell ref="A709:A712"/>
    <mergeCell ref="B709:B712"/>
    <mergeCell ref="C709:C717"/>
    <mergeCell ref="E716:E717"/>
    <mergeCell ref="H716:H717"/>
    <mergeCell ref="I716:I717"/>
    <mergeCell ref="A718:A721"/>
    <mergeCell ref="B718:B721"/>
    <mergeCell ref="C718:C730"/>
    <mergeCell ref="D718:D723"/>
    <mergeCell ref="E718:E721"/>
    <mergeCell ref="F718:F730"/>
    <mergeCell ref="G718:G719"/>
    <mergeCell ref="H718:H721"/>
    <mergeCell ref="I718:I721"/>
    <mergeCell ref="A722:A723"/>
    <mergeCell ref="B722:B723"/>
    <mergeCell ref="E722:E723"/>
    <mergeCell ref="H722:H723"/>
    <mergeCell ref="I722:I723"/>
    <mergeCell ref="B724:B725"/>
    <mergeCell ref="D724:D725"/>
    <mergeCell ref="E724:E725"/>
    <mergeCell ref="H724:H725"/>
    <mergeCell ref="A716:A717"/>
    <mergeCell ref="E728:E730"/>
    <mergeCell ref="H728:H730"/>
    <mergeCell ref="I728:I730"/>
    <mergeCell ref="B740:B742"/>
    <mergeCell ref="D740:D742"/>
    <mergeCell ref="E740:E742"/>
    <mergeCell ref="H740:H742"/>
    <mergeCell ref="I740:I742"/>
    <mergeCell ref="A743:A744"/>
    <mergeCell ref="B743:B744"/>
    <mergeCell ref="D747:D748"/>
    <mergeCell ref="E747:E748"/>
    <mergeCell ref="H747:H748"/>
    <mergeCell ref="I747:I748"/>
    <mergeCell ref="A749:A750"/>
    <mergeCell ref="B749:B750"/>
    <mergeCell ref="D749:D750"/>
    <mergeCell ref="E749:E750"/>
    <mergeCell ref="D743:D744"/>
    <mergeCell ref="E743:E744"/>
    <mergeCell ref="H743:H744"/>
    <mergeCell ref="I743:I744"/>
    <mergeCell ref="A745:A746"/>
    <mergeCell ref="A731:A735"/>
    <mergeCell ref="B731:B735"/>
    <mergeCell ref="C731:C756"/>
    <mergeCell ref="D731:D735"/>
    <mergeCell ref="E731:E735"/>
    <mergeCell ref="F731:F756"/>
    <mergeCell ref="G731:G734"/>
    <mergeCell ref="H731:H735"/>
    <mergeCell ref="I731:I735"/>
    <mergeCell ref="A736:A737"/>
    <mergeCell ref="B736:B737"/>
    <mergeCell ref="B738:B739"/>
    <mergeCell ref="D738:D739"/>
    <mergeCell ref="E738:E739"/>
    <mergeCell ref="A755:A756"/>
    <mergeCell ref="B755:B756"/>
    <mergeCell ref="D755:D756"/>
    <mergeCell ref="E755:E756"/>
    <mergeCell ref="H755:H756"/>
    <mergeCell ref="I755:I756"/>
    <mergeCell ref="B745:B746"/>
    <mergeCell ref="D745:D746"/>
    <mergeCell ref="E745:E746"/>
    <mergeCell ref="H745:H746"/>
    <mergeCell ref="B753:B754"/>
    <mergeCell ref="D753:D754"/>
    <mergeCell ref="E753:E754"/>
    <mergeCell ref="H753:H754"/>
    <mergeCell ref="I753:I754"/>
    <mergeCell ref="H738:H739"/>
    <mergeCell ref="I738:I739"/>
    <mergeCell ref="A740:A742"/>
    <mergeCell ref="E664:E667"/>
    <mergeCell ref="E668:E670"/>
    <mergeCell ref="A757:A761"/>
    <mergeCell ref="B757:B761"/>
    <mergeCell ref="C757:C764"/>
    <mergeCell ref="D757:D761"/>
    <mergeCell ref="E757:E761"/>
    <mergeCell ref="F757:F764"/>
    <mergeCell ref="G757:G759"/>
    <mergeCell ref="H757:H761"/>
    <mergeCell ref="I757:I761"/>
    <mergeCell ref="A762:A764"/>
    <mergeCell ref="B762:B764"/>
    <mergeCell ref="D762:D764"/>
    <mergeCell ref="E762:E764"/>
    <mergeCell ref="H762:H764"/>
    <mergeCell ref="I762:I764"/>
    <mergeCell ref="E706:E708"/>
    <mergeCell ref="E704:E705"/>
    <mergeCell ref="E702:E703"/>
    <mergeCell ref="E700:E701"/>
    <mergeCell ref="E698:E699"/>
    <mergeCell ref="E693:E697"/>
    <mergeCell ref="E678:E681"/>
    <mergeCell ref="E682:E683"/>
    <mergeCell ref="E684:E686"/>
    <mergeCell ref="E687:E688"/>
    <mergeCell ref="D682:D683"/>
    <mergeCell ref="D684:D686"/>
    <mergeCell ref="A751:A752"/>
    <mergeCell ref="B751:B752"/>
    <mergeCell ref="D751:D752"/>
    <mergeCell ref="E671:E675"/>
    <mergeCell ref="E676:E677"/>
    <mergeCell ref="D671:D681"/>
    <mergeCell ref="A765:A768"/>
    <mergeCell ref="B765:B768"/>
    <mergeCell ref="C765:C773"/>
    <mergeCell ref="E765:E768"/>
    <mergeCell ref="F765:F773"/>
    <mergeCell ref="G765:G767"/>
    <mergeCell ref="H765:H768"/>
    <mergeCell ref="I765:I768"/>
    <mergeCell ref="A769:A771"/>
    <mergeCell ref="B769:B771"/>
    <mergeCell ref="E769:E771"/>
    <mergeCell ref="H769:H771"/>
    <mergeCell ref="I769:I771"/>
    <mergeCell ref="A772:A773"/>
    <mergeCell ref="B772:B773"/>
    <mergeCell ref="E772:E773"/>
    <mergeCell ref="H772:H773"/>
    <mergeCell ref="I772:I773"/>
    <mergeCell ref="I745:I746"/>
    <mergeCell ref="A747:A748"/>
    <mergeCell ref="B747:B748"/>
    <mergeCell ref="H749:H750"/>
    <mergeCell ref="I749:I750"/>
    <mergeCell ref="E751:E752"/>
    <mergeCell ref="H751:H752"/>
    <mergeCell ref="I751:I752"/>
    <mergeCell ref="A753:A754"/>
    <mergeCell ref="D765:D773"/>
    <mergeCell ref="A724:A725"/>
    <mergeCell ref="A774:A778"/>
    <mergeCell ref="B774:B778"/>
    <mergeCell ref="C774:C812"/>
    <mergeCell ref="D774:D778"/>
    <mergeCell ref="E774:E778"/>
    <mergeCell ref="F774:F812"/>
    <mergeCell ref="G774:G777"/>
    <mergeCell ref="H774:H778"/>
    <mergeCell ref="I774:I778"/>
    <mergeCell ref="A779:A781"/>
    <mergeCell ref="B779:B781"/>
    <mergeCell ref="D779:D781"/>
    <mergeCell ref="E779:E781"/>
    <mergeCell ref="H779:H781"/>
    <mergeCell ref="I779:I781"/>
    <mergeCell ref="A782:A783"/>
    <mergeCell ref="B782:B783"/>
    <mergeCell ref="D782:D783"/>
    <mergeCell ref="E782:E783"/>
    <mergeCell ref="H782:H783"/>
    <mergeCell ref="I782:I783"/>
    <mergeCell ref="A784:A785"/>
    <mergeCell ref="B784:B785"/>
    <mergeCell ref="D784:D785"/>
    <mergeCell ref="E784:E785"/>
    <mergeCell ref="H784:H785"/>
    <mergeCell ref="I784:I785"/>
    <mergeCell ref="A786:A788"/>
    <mergeCell ref="B786:B788"/>
    <mergeCell ref="D786:D788"/>
    <mergeCell ref="E786:E788"/>
    <mergeCell ref="H786:H788"/>
    <mergeCell ref="I786:I788"/>
    <mergeCell ref="A789:A791"/>
    <mergeCell ref="B789:B791"/>
    <mergeCell ref="D789:D791"/>
    <mergeCell ref="E789:E791"/>
    <mergeCell ref="H789:H791"/>
    <mergeCell ref="I789:I791"/>
    <mergeCell ref="A792:A793"/>
    <mergeCell ref="B792:B793"/>
    <mergeCell ref="D792:D793"/>
    <mergeCell ref="E792:E793"/>
    <mergeCell ref="H792:H793"/>
    <mergeCell ref="I792:I793"/>
    <mergeCell ref="A794:A795"/>
    <mergeCell ref="B794:B795"/>
    <mergeCell ref="D794:D795"/>
    <mergeCell ref="E794:E795"/>
    <mergeCell ref="H794:H795"/>
    <mergeCell ref="I794:I795"/>
    <mergeCell ref="A796:A797"/>
    <mergeCell ref="B796:B797"/>
    <mergeCell ref="D796:D797"/>
    <mergeCell ref="E796:E797"/>
    <mergeCell ref="H796:H797"/>
    <mergeCell ref="I796:I797"/>
    <mergeCell ref="A798:A799"/>
    <mergeCell ref="B798:B799"/>
    <mergeCell ref="D798:D799"/>
    <mergeCell ref="E798:E799"/>
    <mergeCell ref="H798:H799"/>
    <mergeCell ref="I798:I799"/>
    <mergeCell ref="A800:A801"/>
    <mergeCell ref="B800:B801"/>
    <mergeCell ref="D800:D801"/>
    <mergeCell ref="E800:E801"/>
    <mergeCell ref="H800:H801"/>
    <mergeCell ref="I800:I801"/>
    <mergeCell ref="A802:A804"/>
    <mergeCell ref="B802:B804"/>
    <mergeCell ref="D802:D804"/>
    <mergeCell ref="E802:E804"/>
    <mergeCell ref="H802:H804"/>
    <mergeCell ref="I802:I804"/>
    <mergeCell ref="A805:A806"/>
    <mergeCell ref="B805:B806"/>
    <mergeCell ref="D805:D809"/>
    <mergeCell ref="E805:E806"/>
    <mergeCell ref="H805:H806"/>
    <mergeCell ref="I805:I806"/>
    <mergeCell ref="A807:A809"/>
    <mergeCell ref="B807:B809"/>
    <mergeCell ref="E807:E809"/>
    <mergeCell ref="H807:H809"/>
    <mergeCell ref="I807:I809"/>
    <mergeCell ref="A810:A812"/>
    <mergeCell ref="B810:B812"/>
    <mergeCell ref="D810:D812"/>
    <mergeCell ref="E810:E812"/>
    <mergeCell ref="H810:H812"/>
    <mergeCell ref="I810:I812"/>
    <mergeCell ref="A813:A820"/>
    <mergeCell ref="B813:B820"/>
    <mergeCell ref="C813:C848"/>
    <mergeCell ref="D813:D820"/>
    <mergeCell ref="E813:E820"/>
    <mergeCell ref="F813:F848"/>
    <mergeCell ref="G813:G814"/>
    <mergeCell ref="H813:H820"/>
    <mergeCell ref="I813:I820"/>
    <mergeCell ref="A821:A822"/>
    <mergeCell ref="B821:B822"/>
    <mergeCell ref="D821:D822"/>
    <mergeCell ref="E821:E822"/>
    <mergeCell ref="H821:H822"/>
    <mergeCell ref="I821:I822"/>
    <mergeCell ref="A823:A824"/>
    <mergeCell ref="B823:B824"/>
    <mergeCell ref="D823:D824"/>
    <mergeCell ref="E823:E824"/>
    <mergeCell ref="G823:G824"/>
    <mergeCell ref="H823:H824"/>
    <mergeCell ref="I823:I824"/>
    <mergeCell ref="A825:A826"/>
    <mergeCell ref="B825:B826"/>
    <mergeCell ref="D825:D826"/>
    <mergeCell ref="E825:E826"/>
    <mergeCell ref="H825:H826"/>
    <mergeCell ref="I825:I826"/>
    <mergeCell ref="A827:A828"/>
    <mergeCell ref="B827:B828"/>
    <mergeCell ref="D827:D828"/>
    <mergeCell ref="E827:E828"/>
    <mergeCell ref="H827:H828"/>
    <mergeCell ref="I827:I828"/>
    <mergeCell ref="A829:A830"/>
    <mergeCell ref="B829:B830"/>
    <mergeCell ref="D829:D830"/>
    <mergeCell ref="E829:E830"/>
    <mergeCell ref="H829:H830"/>
    <mergeCell ref="I829:I830"/>
    <mergeCell ref="A831:A832"/>
    <mergeCell ref="B831:B832"/>
    <mergeCell ref="D831:D832"/>
    <mergeCell ref="E831:E832"/>
    <mergeCell ref="H831:H832"/>
    <mergeCell ref="I831:I832"/>
    <mergeCell ref="A833:A834"/>
    <mergeCell ref="B833:B834"/>
    <mergeCell ref="D833:D834"/>
    <mergeCell ref="E833:E834"/>
    <mergeCell ref="H833:H834"/>
    <mergeCell ref="I833:I834"/>
    <mergeCell ref="A835:A836"/>
    <mergeCell ref="B835:B836"/>
    <mergeCell ref="D835:D836"/>
    <mergeCell ref="E835:E836"/>
    <mergeCell ref="H835:H836"/>
    <mergeCell ref="I835:I836"/>
    <mergeCell ref="A837:A838"/>
    <mergeCell ref="B837:B838"/>
    <mergeCell ref="D837:D838"/>
    <mergeCell ref="E837:E838"/>
    <mergeCell ref="H837:H838"/>
    <mergeCell ref="I837:I838"/>
    <mergeCell ref="A839:A840"/>
    <mergeCell ref="B839:B840"/>
    <mergeCell ref="D839:D840"/>
    <mergeCell ref="E839:E840"/>
    <mergeCell ref="H839:H840"/>
    <mergeCell ref="I839:I840"/>
    <mergeCell ref="A841:A842"/>
    <mergeCell ref="B841:B842"/>
    <mergeCell ref="D841:D842"/>
    <mergeCell ref="E841:E842"/>
    <mergeCell ref="H841:H842"/>
    <mergeCell ref="I841:I842"/>
    <mergeCell ref="A843:A844"/>
    <mergeCell ref="B843:B844"/>
    <mergeCell ref="D843:D844"/>
    <mergeCell ref="E843:E844"/>
    <mergeCell ref="H843:H844"/>
    <mergeCell ref="I843:I844"/>
    <mergeCell ref="A845:A846"/>
    <mergeCell ref="B845:B846"/>
    <mergeCell ref="D845:D846"/>
    <mergeCell ref="E845:E846"/>
    <mergeCell ref="H845:H846"/>
    <mergeCell ref="I845:I846"/>
    <mergeCell ref="A847:A848"/>
    <mergeCell ref="B847:B848"/>
    <mergeCell ref="D847:D848"/>
    <mergeCell ref="E847:E848"/>
    <mergeCell ref="H847:H848"/>
    <mergeCell ref="I847:I848"/>
    <mergeCell ref="A849:A853"/>
    <mergeCell ref="B849:B853"/>
    <mergeCell ref="C849:C867"/>
    <mergeCell ref="D849:D853"/>
    <mergeCell ref="E849:E853"/>
    <mergeCell ref="F849:F867"/>
    <mergeCell ref="H849:H853"/>
    <mergeCell ref="I849:I853"/>
    <mergeCell ref="A854:A855"/>
    <mergeCell ref="B854:B855"/>
    <mergeCell ref="D854:D855"/>
    <mergeCell ref="E854:E855"/>
    <mergeCell ref="G854:G855"/>
    <mergeCell ref="H854:H855"/>
    <mergeCell ref="I854:I855"/>
    <mergeCell ref="A856:A858"/>
    <mergeCell ref="B856:B858"/>
    <mergeCell ref="D856:D858"/>
    <mergeCell ref="E856:E858"/>
    <mergeCell ref="H856:H858"/>
    <mergeCell ref="E878:E880"/>
    <mergeCell ref="H878:H880"/>
    <mergeCell ref="I878:I880"/>
    <mergeCell ref="A881:A882"/>
    <mergeCell ref="B881:B882"/>
    <mergeCell ref="D881:D882"/>
    <mergeCell ref="E881:E882"/>
    <mergeCell ref="H881:H882"/>
    <mergeCell ref="I881:I882"/>
    <mergeCell ref="I856:I858"/>
    <mergeCell ref="A859:A861"/>
    <mergeCell ref="B859:B861"/>
    <mergeCell ref="D859:D861"/>
    <mergeCell ref="E859:E861"/>
    <mergeCell ref="H859:H861"/>
    <mergeCell ref="I859:I861"/>
    <mergeCell ref="A862:A864"/>
    <mergeCell ref="B862:B864"/>
    <mergeCell ref="D862:D864"/>
    <mergeCell ref="E862:E864"/>
    <mergeCell ref="H862:H864"/>
    <mergeCell ref="I862:I864"/>
    <mergeCell ref="A865:A867"/>
    <mergeCell ref="B865:B867"/>
    <mergeCell ref="D865:D867"/>
    <mergeCell ref="E865:E867"/>
    <mergeCell ref="H865:H867"/>
    <mergeCell ref="I865:I867"/>
    <mergeCell ref="B893:B894"/>
    <mergeCell ref="D893:D894"/>
    <mergeCell ref="E893:E894"/>
    <mergeCell ref="H893:H894"/>
    <mergeCell ref="I893:I894"/>
    <mergeCell ref="B887:B888"/>
    <mergeCell ref="E887:E888"/>
    <mergeCell ref="H887:H888"/>
    <mergeCell ref="I887:I888"/>
    <mergeCell ref="A868:A872"/>
    <mergeCell ref="B868:B872"/>
    <mergeCell ref="C868:C898"/>
    <mergeCell ref="D868:D875"/>
    <mergeCell ref="E868:E872"/>
    <mergeCell ref="F868:F898"/>
    <mergeCell ref="G868:G870"/>
    <mergeCell ref="H868:H872"/>
    <mergeCell ref="I868:I872"/>
    <mergeCell ref="A873:A875"/>
    <mergeCell ref="B873:B875"/>
    <mergeCell ref="E873:E875"/>
    <mergeCell ref="H873:H875"/>
    <mergeCell ref="I873:I875"/>
    <mergeCell ref="A876:A877"/>
    <mergeCell ref="B876:B877"/>
    <mergeCell ref="D876:D877"/>
    <mergeCell ref="E876:E877"/>
    <mergeCell ref="H876:H877"/>
    <mergeCell ref="I876:I877"/>
    <mergeCell ref="A878:A880"/>
    <mergeCell ref="B878:B880"/>
    <mergeCell ref="D878:D880"/>
    <mergeCell ref="A883:A884"/>
    <mergeCell ref="B883:B884"/>
    <mergeCell ref="D883:D884"/>
    <mergeCell ref="E883:E884"/>
    <mergeCell ref="H883:H884"/>
    <mergeCell ref="I883:I884"/>
    <mergeCell ref="A885:A886"/>
    <mergeCell ref="B885:B886"/>
    <mergeCell ref="D885:D888"/>
    <mergeCell ref="E885:E886"/>
    <mergeCell ref="H885:H886"/>
    <mergeCell ref="I885:I886"/>
    <mergeCell ref="A887:A888"/>
    <mergeCell ref="A895:A896"/>
    <mergeCell ref="B895:B896"/>
    <mergeCell ref="D895:D896"/>
    <mergeCell ref="E895:E896"/>
    <mergeCell ref="H895:H896"/>
    <mergeCell ref="I895:I896"/>
    <mergeCell ref="A889:A890"/>
    <mergeCell ref="B889:B890"/>
    <mergeCell ref="D889:D890"/>
    <mergeCell ref="E889:E890"/>
    <mergeCell ref="H889:H890"/>
    <mergeCell ref="I889:I890"/>
    <mergeCell ref="A891:A892"/>
    <mergeCell ref="B891:B892"/>
    <mergeCell ref="D891:D892"/>
    <mergeCell ref="E891:E892"/>
    <mergeCell ref="H891:H892"/>
    <mergeCell ref="I891:I892"/>
    <mergeCell ref="A893:A894"/>
    <mergeCell ref="A909:A910"/>
    <mergeCell ref="B909:B910"/>
    <mergeCell ref="C909:C910"/>
    <mergeCell ref="D909:D910"/>
    <mergeCell ref="E909:E910"/>
    <mergeCell ref="F909:F910"/>
    <mergeCell ref="G909:G910"/>
    <mergeCell ref="H909:H910"/>
    <mergeCell ref="I909:I910"/>
    <mergeCell ref="A901:A902"/>
    <mergeCell ref="B901:B902"/>
    <mergeCell ref="C901:C902"/>
    <mergeCell ref="D901:D902"/>
    <mergeCell ref="E901:E902"/>
    <mergeCell ref="F901:F902"/>
    <mergeCell ref="G901:G902"/>
    <mergeCell ref="H901:H902"/>
    <mergeCell ref="D903:D904"/>
    <mergeCell ref="E903:E904"/>
    <mergeCell ref="F903:F904"/>
    <mergeCell ref="H903:H904"/>
    <mergeCell ref="I903:I904"/>
    <mergeCell ref="A905:A906"/>
    <mergeCell ref="B905:B906"/>
    <mergeCell ref="C905:C906"/>
    <mergeCell ref="D905:D906"/>
    <mergeCell ref="E905:E906"/>
    <mergeCell ref="F905:F906"/>
    <mergeCell ref="H905:H906"/>
    <mergeCell ref="I905:I906"/>
    <mergeCell ref="I901:I902"/>
    <mergeCell ref="G903:G904"/>
    <mergeCell ref="A907:A908"/>
    <mergeCell ref="B907:B908"/>
    <mergeCell ref="C907:C908"/>
    <mergeCell ref="D907:D908"/>
    <mergeCell ref="E907:E908"/>
    <mergeCell ref="F907:F908"/>
    <mergeCell ref="H907:H908"/>
    <mergeCell ref="I907:I908"/>
    <mergeCell ref="G905:G906"/>
    <mergeCell ref="G907:G908"/>
    <mergeCell ref="A903:A904"/>
    <mergeCell ref="B903:B904"/>
    <mergeCell ref="C903:C904"/>
    <mergeCell ref="A897:A898"/>
    <mergeCell ref="B897:B898"/>
    <mergeCell ref="D897:D898"/>
    <mergeCell ref="E897:E898"/>
    <mergeCell ref="H897:H898"/>
    <mergeCell ref="I897:I898"/>
    <mergeCell ref="A899:A900"/>
    <mergeCell ref="B899:B900"/>
    <mergeCell ref="D899:D900"/>
    <mergeCell ref="E899:E900"/>
    <mergeCell ref="H899:H900"/>
    <mergeCell ref="I899:I900"/>
    <mergeCell ref="C899:C900"/>
    <mergeCell ref="F899:F900"/>
    <mergeCell ref="G899:G90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rightToLeft="1" workbookViewId="0">
      <selection activeCell="I23" sqref="I23"/>
    </sheetView>
  </sheetViews>
  <sheetFormatPr defaultRowHeight="15"/>
  <cols>
    <col min="2" max="2" width="16" customWidth="1"/>
    <col min="3" max="3" width="17.5703125" customWidth="1"/>
    <col min="4" max="5" width="19.85546875" customWidth="1"/>
    <col min="6" max="6" width="14.140625" customWidth="1"/>
    <col min="7" max="7" width="16.28515625" customWidth="1"/>
    <col min="8" max="8" width="20.5703125" customWidth="1"/>
    <col min="9" max="9" width="22.28515625" customWidth="1"/>
  </cols>
  <sheetData>
    <row r="1" spans="1:9" ht="22.5">
      <c r="A1" s="463" t="s">
        <v>0</v>
      </c>
      <c r="B1" s="463" t="s">
        <v>2</v>
      </c>
      <c r="C1" s="463" t="s">
        <v>3</v>
      </c>
      <c r="D1" s="463" t="s">
        <v>11765</v>
      </c>
      <c r="E1" s="463" t="s">
        <v>4733</v>
      </c>
      <c r="F1" s="464" t="s">
        <v>11766</v>
      </c>
      <c r="G1" s="464" t="s">
        <v>11767</v>
      </c>
      <c r="H1" s="464" t="s">
        <v>11768</v>
      </c>
      <c r="I1" s="464" t="s">
        <v>7727</v>
      </c>
    </row>
    <row r="2" spans="1:9" ht="18" customHeight="1">
      <c r="A2" s="462">
        <v>2</v>
      </c>
      <c r="B2" s="1689" t="s">
        <v>423</v>
      </c>
      <c r="C2" s="1689" t="s">
        <v>423</v>
      </c>
      <c r="D2" s="1903" t="s">
        <v>11769</v>
      </c>
      <c r="E2" s="1903" t="s">
        <v>4734</v>
      </c>
      <c r="F2" s="465" t="s">
        <v>11770</v>
      </c>
      <c r="G2" s="465" t="s">
        <v>11771</v>
      </c>
      <c r="H2" s="465" t="s">
        <v>11772</v>
      </c>
      <c r="I2" s="465">
        <v>2</v>
      </c>
    </row>
    <row r="3" spans="1:9" ht="18" customHeight="1">
      <c r="A3" s="462">
        <v>3</v>
      </c>
      <c r="B3" s="1689"/>
      <c r="C3" s="1689"/>
      <c r="D3" s="1554"/>
      <c r="E3" s="1554"/>
      <c r="F3" s="465" t="s">
        <v>11773</v>
      </c>
      <c r="G3" s="465" t="s">
        <v>11771</v>
      </c>
      <c r="H3" s="465" t="s">
        <v>11774</v>
      </c>
      <c r="I3" s="465">
        <v>27</v>
      </c>
    </row>
    <row r="4" spans="1:9">
      <c r="A4" s="462">
        <v>4</v>
      </c>
      <c r="B4" s="1551" t="s">
        <v>423</v>
      </c>
      <c r="C4" s="1553" t="s">
        <v>423</v>
      </c>
      <c r="D4" s="1553" t="s">
        <v>11775</v>
      </c>
      <c r="E4" s="1553" t="s">
        <v>4734</v>
      </c>
      <c r="F4" s="466" t="s">
        <v>11551</v>
      </c>
      <c r="G4" s="466" t="s">
        <v>11776</v>
      </c>
      <c r="H4" s="466" t="s">
        <v>11777</v>
      </c>
      <c r="I4" s="466">
        <v>1</v>
      </c>
    </row>
    <row r="5" spans="1:9">
      <c r="A5" s="462">
        <v>5</v>
      </c>
      <c r="B5" s="1551"/>
      <c r="C5" s="1903"/>
      <c r="D5" s="1903"/>
      <c r="E5" s="1903"/>
      <c r="F5" s="466" t="s">
        <v>11773</v>
      </c>
      <c r="G5" s="466" t="s">
        <v>11771</v>
      </c>
      <c r="H5" s="466" t="s">
        <v>11778</v>
      </c>
      <c r="I5" s="466">
        <v>3</v>
      </c>
    </row>
    <row r="6" spans="1:9">
      <c r="A6" s="462">
        <v>6</v>
      </c>
      <c r="B6" s="1551"/>
      <c r="C6" s="1554"/>
      <c r="D6" s="1554"/>
      <c r="E6" s="1554"/>
      <c r="F6" s="466" t="s">
        <v>11550</v>
      </c>
      <c r="G6" s="466" t="s">
        <v>11779</v>
      </c>
      <c r="H6" s="466" t="s">
        <v>11780</v>
      </c>
      <c r="I6" s="466">
        <v>1</v>
      </c>
    </row>
    <row r="7" spans="1:9" ht="15" customHeight="1">
      <c r="A7" s="488">
        <v>7</v>
      </c>
      <c r="B7" s="1738" t="s">
        <v>2476</v>
      </c>
      <c r="C7" s="1738" t="s">
        <v>2476</v>
      </c>
      <c r="D7" s="1738" t="s">
        <v>11781</v>
      </c>
      <c r="E7" s="1738" t="s">
        <v>4734</v>
      </c>
      <c r="F7" s="466" t="s">
        <v>11551</v>
      </c>
      <c r="G7" s="466" t="s">
        <v>11776</v>
      </c>
      <c r="H7" s="466" t="s">
        <v>11777</v>
      </c>
      <c r="I7" s="466">
        <v>1</v>
      </c>
    </row>
    <row r="8" spans="1:9" ht="15" customHeight="1">
      <c r="A8" s="488">
        <v>8</v>
      </c>
      <c r="B8" s="1901"/>
      <c r="C8" s="1901"/>
      <c r="D8" s="1901"/>
      <c r="E8" s="1901"/>
      <c r="F8" s="466" t="s">
        <v>11550</v>
      </c>
      <c r="G8" s="466" t="s">
        <v>11779</v>
      </c>
      <c r="H8" s="466" t="s">
        <v>11800</v>
      </c>
      <c r="I8" s="466">
        <v>1</v>
      </c>
    </row>
    <row r="9" spans="1:9" ht="15" customHeight="1">
      <c r="A9" s="488">
        <v>9</v>
      </c>
      <c r="B9" s="1736"/>
      <c r="C9" s="1736"/>
      <c r="D9" s="1736"/>
      <c r="E9" s="1736"/>
      <c r="F9" s="466" t="s">
        <v>11773</v>
      </c>
      <c r="G9" s="466" t="s">
        <v>11801</v>
      </c>
      <c r="H9" s="466" t="s">
        <v>43</v>
      </c>
      <c r="I9" s="466">
        <v>3</v>
      </c>
    </row>
    <row r="10" spans="1:9">
      <c r="A10" s="488">
        <v>10</v>
      </c>
      <c r="B10" s="1689" t="s">
        <v>1595</v>
      </c>
      <c r="C10" s="1689" t="s">
        <v>1598</v>
      </c>
      <c r="D10" s="1902" t="s">
        <v>11782</v>
      </c>
      <c r="E10" s="1689" t="s">
        <v>4735</v>
      </c>
      <c r="F10" s="466" t="s">
        <v>11551</v>
      </c>
      <c r="G10" s="466" t="s">
        <v>11776</v>
      </c>
      <c r="H10" s="466" t="s">
        <v>11783</v>
      </c>
      <c r="I10" s="466">
        <v>2</v>
      </c>
    </row>
    <row r="11" spans="1:9">
      <c r="A11" s="488">
        <v>11</v>
      </c>
      <c r="B11" s="1689"/>
      <c r="C11" s="1689"/>
      <c r="D11" s="1902"/>
      <c r="E11" s="1689"/>
      <c r="F11" s="466" t="s">
        <v>11773</v>
      </c>
      <c r="G11" s="466" t="s">
        <v>11771</v>
      </c>
      <c r="H11" s="466" t="s">
        <v>11778</v>
      </c>
      <c r="I11" s="466">
        <v>3</v>
      </c>
    </row>
    <row r="12" spans="1:9">
      <c r="A12" s="488">
        <v>12</v>
      </c>
      <c r="B12" s="1689"/>
      <c r="C12" s="1689"/>
      <c r="D12" s="1902"/>
      <c r="E12" s="1689"/>
      <c r="F12" s="466" t="s">
        <v>11550</v>
      </c>
      <c r="G12" s="466" t="s">
        <v>11779</v>
      </c>
      <c r="H12" s="466" t="s">
        <v>11784</v>
      </c>
      <c r="I12" s="466">
        <v>1</v>
      </c>
    </row>
    <row r="13" spans="1:9">
      <c r="A13" s="488">
        <v>13</v>
      </c>
      <c r="B13" s="1689" t="s">
        <v>423</v>
      </c>
      <c r="C13" s="1689" t="s">
        <v>423</v>
      </c>
      <c r="D13" s="1903" t="s">
        <v>11756</v>
      </c>
      <c r="E13" s="1903" t="s">
        <v>4735</v>
      </c>
      <c r="F13" s="466" t="s">
        <v>11770</v>
      </c>
      <c r="G13" s="466" t="s">
        <v>11771</v>
      </c>
      <c r="H13" s="466" t="s">
        <v>11785</v>
      </c>
      <c r="I13" s="466">
        <v>2</v>
      </c>
    </row>
    <row r="14" spans="1:9">
      <c r="A14" s="488">
        <v>14</v>
      </c>
      <c r="B14" s="1689"/>
      <c r="C14" s="1689"/>
      <c r="D14" s="1554"/>
      <c r="E14" s="1554"/>
      <c r="F14" s="466" t="s">
        <v>11773</v>
      </c>
      <c r="G14" s="466" t="s">
        <v>11771</v>
      </c>
      <c r="H14" s="466" t="s">
        <v>11774</v>
      </c>
      <c r="I14" s="466">
        <v>14</v>
      </c>
    </row>
    <row r="15" spans="1:9">
      <c r="A15" s="488">
        <v>15</v>
      </c>
      <c r="B15" s="1738" t="s">
        <v>423</v>
      </c>
      <c r="C15" s="1738" t="s">
        <v>423</v>
      </c>
      <c r="D15" s="1738" t="s">
        <v>11758</v>
      </c>
      <c r="E15" s="1738" t="s">
        <v>4735</v>
      </c>
      <c r="F15" s="466" t="s">
        <v>11551</v>
      </c>
      <c r="G15" s="466" t="s">
        <v>11776</v>
      </c>
      <c r="H15" s="466" t="s">
        <v>11786</v>
      </c>
      <c r="I15" s="466">
        <v>1</v>
      </c>
    </row>
    <row r="16" spans="1:9">
      <c r="A16" s="488">
        <v>16</v>
      </c>
      <c r="B16" s="1901"/>
      <c r="C16" s="1901"/>
      <c r="D16" s="1901"/>
      <c r="E16" s="1901"/>
      <c r="F16" s="466" t="s">
        <v>11773</v>
      </c>
      <c r="G16" s="466" t="s">
        <v>11771</v>
      </c>
      <c r="H16" s="466" t="s">
        <v>11778</v>
      </c>
      <c r="I16" s="466">
        <v>6</v>
      </c>
    </row>
    <row r="17" spans="1:9">
      <c r="A17" s="488">
        <v>17</v>
      </c>
      <c r="B17" s="1736"/>
      <c r="C17" s="1736"/>
      <c r="D17" s="1736"/>
      <c r="E17" s="1736"/>
      <c r="F17" s="466" t="s">
        <v>11550</v>
      </c>
      <c r="G17" s="466" t="s">
        <v>11779</v>
      </c>
      <c r="H17" s="466" t="s">
        <v>788</v>
      </c>
      <c r="I17" s="466">
        <v>1</v>
      </c>
    </row>
    <row r="18" spans="1:9">
      <c r="A18" s="488">
        <v>18</v>
      </c>
      <c r="B18" s="1738" t="s">
        <v>423</v>
      </c>
      <c r="C18" s="1738" t="s">
        <v>423</v>
      </c>
      <c r="D18" s="1738" t="s">
        <v>11787</v>
      </c>
      <c r="E18" s="1738" t="s">
        <v>4735</v>
      </c>
      <c r="F18" s="466" t="s">
        <v>11551</v>
      </c>
      <c r="G18" s="466" t="s">
        <v>11776</v>
      </c>
      <c r="H18" s="466" t="s">
        <v>11786</v>
      </c>
      <c r="I18" s="466">
        <v>1</v>
      </c>
    </row>
    <row r="19" spans="1:9">
      <c r="A19" s="488">
        <v>19</v>
      </c>
      <c r="B19" s="1901"/>
      <c r="C19" s="1901"/>
      <c r="D19" s="1901"/>
      <c r="E19" s="1901"/>
      <c r="F19" s="466" t="s">
        <v>11773</v>
      </c>
      <c r="G19" s="466" t="s">
        <v>11771</v>
      </c>
      <c r="H19" s="466" t="s">
        <v>11778</v>
      </c>
      <c r="I19" s="466">
        <v>4</v>
      </c>
    </row>
    <row r="20" spans="1:9">
      <c r="A20" s="488">
        <v>20</v>
      </c>
      <c r="B20" s="1736"/>
      <c r="C20" s="1736"/>
      <c r="D20" s="1736"/>
      <c r="E20" s="1736"/>
      <c r="F20" s="466" t="s">
        <v>11550</v>
      </c>
      <c r="G20" s="466" t="s">
        <v>11779</v>
      </c>
      <c r="H20" s="466" t="s">
        <v>1084</v>
      </c>
      <c r="I20" s="466">
        <v>1</v>
      </c>
    </row>
    <row r="21" spans="1:9">
      <c r="A21" s="488">
        <v>21</v>
      </c>
      <c r="B21" s="1738" t="s">
        <v>423</v>
      </c>
      <c r="C21" s="1738" t="s">
        <v>423</v>
      </c>
      <c r="D21" s="1738" t="s">
        <v>11788</v>
      </c>
      <c r="E21" s="1738" t="s">
        <v>4734</v>
      </c>
      <c r="F21" s="466" t="s">
        <v>11551</v>
      </c>
      <c r="G21" s="466" t="s">
        <v>11776</v>
      </c>
      <c r="H21" s="466" t="s">
        <v>11786</v>
      </c>
      <c r="I21" s="466">
        <v>1</v>
      </c>
    </row>
    <row r="22" spans="1:9">
      <c r="A22" s="488">
        <v>22</v>
      </c>
      <c r="B22" s="1901"/>
      <c r="C22" s="1901"/>
      <c r="D22" s="1901"/>
      <c r="E22" s="1901"/>
      <c r="F22" s="466" t="s">
        <v>11773</v>
      </c>
      <c r="G22" s="466" t="s">
        <v>11801</v>
      </c>
      <c r="H22" s="466" t="s">
        <v>43</v>
      </c>
      <c r="I22" s="466">
        <v>5</v>
      </c>
    </row>
    <row r="23" spans="1:9">
      <c r="A23" s="488">
        <v>23</v>
      </c>
      <c r="B23" s="1736"/>
      <c r="C23" s="1736"/>
      <c r="D23" s="1736"/>
      <c r="E23" s="1736"/>
      <c r="F23" s="466" t="s">
        <v>11550</v>
      </c>
      <c r="G23" s="466" t="s">
        <v>11779</v>
      </c>
      <c r="H23" s="466" t="s">
        <v>1084</v>
      </c>
      <c r="I23" s="466">
        <v>1</v>
      </c>
    </row>
  </sheetData>
  <mergeCells count="32">
    <mergeCell ref="B7:B9"/>
    <mergeCell ref="C7:C9"/>
    <mergeCell ref="D7:D9"/>
    <mergeCell ref="E7:E9"/>
    <mergeCell ref="B2:B3"/>
    <mergeCell ref="C2:C3"/>
    <mergeCell ref="D2:D3"/>
    <mergeCell ref="E2:E3"/>
    <mergeCell ref="B4:B6"/>
    <mergeCell ref="C4:C6"/>
    <mergeCell ref="D4:D6"/>
    <mergeCell ref="E4:E6"/>
    <mergeCell ref="B10:B12"/>
    <mergeCell ref="C10:C12"/>
    <mergeCell ref="D10:D12"/>
    <mergeCell ref="E10:E12"/>
    <mergeCell ref="B13:B14"/>
    <mergeCell ref="C13:C14"/>
    <mergeCell ref="D13:D14"/>
    <mergeCell ref="E13:E14"/>
    <mergeCell ref="B21:B23"/>
    <mergeCell ref="C21:C23"/>
    <mergeCell ref="D21:D23"/>
    <mergeCell ref="E21:E23"/>
    <mergeCell ref="B15:B17"/>
    <mergeCell ref="C15:C17"/>
    <mergeCell ref="D15:D17"/>
    <mergeCell ref="E15:E17"/>
    <mergeCell ref="B18:B20"/>
    <mergeCell ref="C18:C20"/>
    <mergeCell ref="D18:D20"/>
    <mergeCell ref="E18:E2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workbookViewId="0">
      <selection activeCell="A9" sqref="A9:B9"/>
    </sheetView>
  </sheetViews>
  <sheetFormatPr defaultRowHeight="15"/>
  <cols>
    <col min="2" max="2" width="17.140625" customWidth="1"/>
    <col min="3" max="6" width="41.42578125" customWidth="1"/>
    <col min="7" max="7" width="69.5703125" customWidth="1"/>
  </cols>
  <sheetData>
    <row r="1" spans="1:7" s="212" customFormat="1" ht="21.75" customHeight="1">
      <c r="A1" s="1767" t="s">
        <v>11241</v>
      </c>
      <c r="B1" s="1768"/>
      <c r="C1" s="1768"/>
      <c r="D1" s="1768"/>
      <c r="E1" s="1768"/>
      <c r="F1" s="1768"/>
      <c r="G1" s="1768"/>
    </row>
    <row r="2" spans="1:7" s="212" customFormat="1" ht="14.25" customHeight="1">
      <c r="A2" s="1769" t="s">
        <v>11057</v>
      </c>
      <c r="B2" s="1770"/>
      <c r="C2" s="1770"/>
      <c r="D2" s="1770"/>
      <c r="E2" s="1770"/>
      <c r="F2" s="1770"/>
      <c r="G2" s="1770"/>
    </row>
    <row r="3" spans="1:7" s="212" customFormat="1" ht="15" customHeight="1">
      <c r="A3" s="1904" t="s">
        <v>11242</v>
      </c>
      <c r="B3" s="1905"/>
      <c r="C3" s="414" t="s">
        <v>11243</v>
      </c>
      <c r="D3" s="414" t="s">
        <v>196</v>
      </c>
      <c r="E3" s="414" t="s">
        <v>11246</v>
      </c>
      <c r="F3" s="414" t="s">
        <v>11245</v>
      </c>
      <c r="G3" s="414" t="s">
        <v>11244</v>
      </c>
    </row>
    <row r="4" spans="1:7" s="212" customFormat="1" ht="15" customHeight="1">
      <c r="A4" s="1744" t="s">
        <v>11360</v>
      </c>
      <c r="B4" s="1745"/>
      <c r="C4" s="415" t="s">
        <v>4695</v>
      </c>
      <c r="D4" s="359" t="s">
        <v>4738</v>
      </c>
      <c r="E4" s="359" t="s">
        <v>11361</v>
      </c>
      <c r="F4" s="359"/>
      <c r="G4" s="359" t="s">
        <v>11362</v>
      </c>
    </row>
    <row r="5" spans="1:7" s="212" customFormat="1" ht="15" customHeight="1">
      <c r="A5" s="1744" t="s">
        <v>11363</v>
      </c>
      <c r="B5" s="1745"/>
      <c r="C5" s="359" t="s">
        <v>7594</v>
      </c>
      <c r="D5" s="359" t="s">
        <v>11364</v>
      </c>
      <c r="E5" s="359" t="s">
        <v>11365</v>
      </c>
      <c r="F5" s="359"/>
      <c r="G5" s="359" t="s">
        <v>11366</v>
      </c>
    </row>
    <row r="6" spans="1:7" s="212" customFormat="1" ht="15" customHeight="1">
      <c r="A6" s="1744" t="s">
        <v>11367</v>
      </c>
      <c r="B6" s="1745"/>
      <c r="C6" s="359" t="s">
        <v>4680</v>
      </c>
      <c r="D6" s="359" t="s">
        <v>4724</v>
      </c>
      <c r="E6" s="359" t="s">
        <v>4729</v>
      </c>
      <c r="F6" s="359"/>
      <c r="G6" s="359"/>
    </row>
    <row r="7" spans="1:7" s="212" customFormat="1" ht="15" customHeight="1">
      <c r="A7" s="1744" t="s">
        <v>11368</v>
      </c>
      <c r="B7" s="1745"/>
      <c r="C7" s="359" t="s">
        <v>4680</v>
      </c>
      <c r="D7" s="359" t="s">
        <v>4413</v>
      </c>
      <c r="E7" s="359" t="s">
        <v>11369</v>
      </c>
      <c r="F7" s="359"/>
      <c r="G7" s="359"/>
    </row>
    <row r="8" spans="1:7" s="212" customFormat="1" ht="15" customHeight="1">
      <c r="A8" s="1744" t="s">
        <v>11370</v>
      </c>
      <c r="B8" s="1745"/>
      <c r="C8" s="359" t="s">
        <v>7594</v>
      </c>
      <c r="D8" s="359" t="s">
        <v>4738</v>
      </c>
      <c r="E8" s="359" t="s">
        <v>11369</v>
      </c>
      <c r="F8" s="359"/>
      <c r="G8" s="359" t="s">
        <v>11366</v>
      </c>
    </row>
    <row r="9" spans="1:7" s="212" customFormat="1" ht="20.25" customHeight="1">
      <c r="A9" s="1744" t="s">
        <v>11370</v>
      </c>
      <c r="B9" s="1745"/>
      <c r="C9" s="359" t="s">
        <v>4680</v>
      </c>
      <c r="D9" s="359" t="s">
        <v>4724</v>
      </c>
      <c r="E9" s="359" t="s">
        <v>11369</v>
      </c>
      <c r="F9" s="359"/>
      <c r="G9" s="359"/>
    </row>
    <row r="10" spans="1:7" ht="19.5">
      <c r="A10" s="1744" t="s">
        <v>11371</v>
      </c>
      <c r="B10" s="1745"/>
      <c r="C10" s="359" t="s">
        <v>4706</v>
      </c>
      <c r="D10" s="359" t="s">
        <v>9207</v>
      </c>
      <c r="E10" s="359" t="s">
        <v>43</v>
      </c>
      <c r="F10" s="359"/>
      <c r="G10" s="359" t="s">
        <v>11372</v>
      </c>
    </row>
    <row r="11" spans="1:7" ht="19.5">
      <c r="A11" s="1744" t="s">
        <v>11373</v>
      </c>
      <c r="B11" s="1745"/>
      <c r="C11" s="216" t="s">
        <v>4695</v>
      </c>
      <c r="D11" s="359" t="s">
        <v>1995</v>
      </c>
      <c r="E11" s="359" t="s">
        <v>11374</v>
      </c>
      <c r="F11" s="359"/>
      <c r="G11" s="359" t="s">
        <v>11375</v>
      </c>
    </row>
    <row r="12" spans="1:7" ht="19.5">
      <c r="A12" s="1744" t="s">
        <v>11376</v>
      </c>
      <c r="B12" s="1745"/>
      <c r="C12" s="359" t="s">
        <v>4680</v>
      </c>
      <c r="D12" s="359" t="s">
        <v>4476</v>
      </c>
      <c r="E12" s="359" t="s">
        <v>11369</v>
      </c>
      <c r="F12" s="359"/>
      <c r="G12" s="359"/>
    </row>
    <row r="13" spans="1:7" ht="19.5">
      <c r="A13" s="1744" t="s">
        <v>11377</v>
      </c>
      <c r="B13" s="1745"/>
      <c r="C13" s="359" t="s">
        <v>4680</v>
      </c>
      <c r="D13" s="359" t="s">
        <v>1995</v>
      </c>
      <c r="E13" s="359" t="s">
        <v>11374</v>
      </c>
      <c r="F13" s="359"/>
      <c r="G13" s="359"/>
    </row>
    <row r="14" spans="1:7" ht="19.5">
      <c r="A14" s="1746" t="s">
        <v>11070</v>
      </c>
      <c r="B14" s="1747"/>
      <c r="C14" s="360">
        <f>SUM(C3:C9)</f>
        <v>0</v>
      </c>
      <c r="D14" s="412"/>
      <c r="E14" s="412"/>
      <c r="F14" s="412"/>
      <c r="G14" s="400"/>
    </row>
  </sheetData>
  <mergeCells count="14">
    <mergeCell ref="A7:B7"/>
    <mergeCell ref="A8:B8"/>
    <mergeCell ref="A9:B9"/>
    <mergeCell ref="A1:G1"/>
    <mergeCell ref="A2:G2"/>
    <mergeCell ref="A3:B3"/>
    <mergeCell ref="A4:B4"/>
    <mergeCell ref="A5:B5"/>
    <mergeCell ref="A6:B6"/>
    <mergeCell ref="A10:B10"/>
    <mergeCell ref="A11:B11"/>
    <mergeCell ref="A12:B12"/>
    <mergeCell ref="A13:B13"/>
    <mergeCell ref="A14:B14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5"/>
  <sheetViews>
    <sheetView rightToLeft="1" workbookViewId="0">
      <selection activeCell="E9" sqref="E9"/>
    </sheetView>
  </sheetViews>
  <sheetFormatPr defaultRowHeight="15"/>
  <cols>
    <col min="1" max="2" width="9.28515625" style="113" bestFit="1" customWidth="1"/>
    <col min="3" max="3" width="9.140625" style="113"/>
    <col min="4" max="4" width="9.28515625" style="113" bestFit="1" customWidth="1"/>
    <col min="5" max="5" width="62.28515625" style="113" customWidth="1"/>
    <col min="6" max="6" width="9.28515625" style="113" bestFit="1" customWidth="1"/>
    <col min="7" max="7" width="16.85546875" style="113" customWidth="1"/>
    <col min="8" max="8" width="15.5703125" style="113" customWidth="1"/>
    <col min="9" max="9" width="23.85546875" style="113" customWidth="1"/>
    <col min="10" max="10" width="31.140625" style="113" customWidth="1"/>
    <col min="11" max="12" width="9.28515625" style="113" bestFit="1" customWidth="1"/>
    <col min="13" max="23" width="9.140625" style="113"/>
    <col min="24" max="24" width="22" style="113" customWidth="1"/>
    <col min="25" max="25" width="27" style="113" customWidth="1"/>
    <col min="26" max="26" width="10.140625" style="113" bestFit="1" customWidth="1"/>
    <col min="27" max="27" width="19.85546875" style="113" customWidth="1"/>
    <col min="28" max="28" width="32.7109375" style="113" customWidth="1"/>
    <col min="29" max="29" width="28.42578125" style="113" customWidth="1"/>
    <col min="30" max="16384" width="9.140625" style="113"/>
  </cols>
  <sheetData>
    <row r="1" spans="1:34" s="862" customFormat="1" ht="19.5">
      <c r="A1" s="1236" t="s">
        <v>0</v>
      </c>
      <c r="B1" s="1236" t="s">
        <v>1</v>
      </c>
      <c r="C1" s="1236" t="s">
        <v>2</v>
      </c>
      <c r="D1" s="1236" t="s">
        <v>3</v>
      </c>
      <c r="E1" s="1236" t="s">
        <v>4</v>
      </c>
      <c r="F1" s="1236" t="s">
        <v>5</v>
      </c>
      <c r="G1" s="244" t="s">
        <v>6</v>
      </c>
      <c r="H1" s="1236" t="s">
        <v>7</v>
      </c>
      <c r="I1" s="1236" t="s">
        <v>8</v>
      </c>
      <c r="J1" s="245" t="s">
        <v>233</v>
      </c>
      <c r="K1" s="1236" t="s">
        <v>9</v>
      </c>
      <c r="L1" s="1236" t="s">
        <v>10</v>
      </c>
      <c r="M1" s="1236" t="s">
        <v>11</v>
      </c>
      <c r="N1" s="1236" t="s">
        <v>12</v>
      </c>
      <c r="O1" s="1236" t="s">
        <v>13</v>
      </c>
      <c r="P1" s="245" t="s">
        <v>14</v>
      </c>
      <c r="Q1" s="244" t="s">
        <v>15</v>
      </c>
      <c r="R1" s="244" t="s">
        <v>16</v>
      </c>
      <c r="S1" s="244" t="s">
        <v>17</v>
      </c>
      <c r="T1" s="1236" t="s">
        <v>18</v>
      </c>
      <c r="U1" s="1236" t="s">
        <v>19</v>
      </c>
      <c r="V1" s="1236" t="s">
        <v>20</v>
      </c>
      <c r="W1" s="244" t="s">
        <v>21</v>
      </c>
      <c r="X1" s="1236" t="s">
        <v>22</v>
      </c>
      <c r="Y1" s="244" t="s">
        <v>23</v>
      </c>
      <c r="Z1" s="244" t="s">
        <v>24</v>
      </c>
      <c r="AA1" s="1237" t="s">
        <v>9184</v>
      </c>
      <c r="AB1" s="1237" t="s">
        <v>11896</v>
      </c>
      <c r="AC1" s="1237"/>
      <c r="AD1" s="864"/>
      <c r="AE1" s="864"/>
      <c r="AF1" s="864"/>
      <c r="AG1" s="864"/>
    </row>
    <row r="2" spans="1:34" s="83" customFormat="1" ht="15.75" customHeight="1">
      <c r="A2" s="175">
        <v>1</v>
      </c>
      <c r="B2" s="1289">
        <v>100</v>
      </c>
      <c r="C2" s="1236"/>
      <c r="D2" s="1236"/>
      <c r="E2" s="1289" t="s">
        <v>8593</v>
      </c>
      <c r="F2" s="1236"/>
      <c r="G2" s="1238">
        <v>405571</v>
      </c>
      <c r="H2" s="1284" t="s">
        <v>9209</v>
      </c>
      <c r="I2" s="1237"/>
      <c r="J2" s="1290" t="s">
        <v>11902</v>
      </c>
      <c r="K2" s="85" t="s">
        <v>43</v>
      </c>
      <c r="L2" s="1291" t="s">
        <v>1701</v>
      </c>
      <c r="M2" s="1291" t="s">
        <v>1702</v>
      </c>
      <c r="N2" s="1291" t="s">
        <v>11414</v>
      </c>
      <c r="O2" s="85" t="s">
        <v>43</v>
      </c>
      <c r="P2" s="1238"/>
      <c r="Q2" s="85" t="s">
        <v>43</v>
      </c>
      <c r="R2" s="85" t="s">
        <v>43</v>
      </c>
      <c r="S2" s="85" t="s">
        <v>43</v>
      </c>
      <c r="T2" s="85" t="s">
        <v>4612</v>
      </c>
      <c r="U2" s="85" t="s">
        <v>43</v>
      </c>
      <c r="V2" s="85" t="s">
        <v>43</v>
      </c>
      <c r="W2" s="85" t="s">
        <v>43</v>
      </c>
      <c r="X2" s="1237" t="s">
        <v>278</v>
      </c>
      <c r="Y2" s="1237"/>
      <c r="Z2" s="1237"/>
      <c r="AA2" s="230">
        <v>155606060.60609999</v>
      </c>
      <c r="AB2" s="1237" t="s">
        <v>11881</v>
      </c>
      <c r="AC2" s="1237"/>
      <c r="AD2" s="1237"/>
      <c r="AE2" s="1237"/>
      <c r="AF2" s="1237"/>
      <c r="AG2" s="1237"/>
    </row>
    <row r="3" spans="1:34" s="83" customFormat="1" ht="15.75" customHeight="1">
      <c r="A3" s="175">
        <v>2</v>
      </c>
      <c r="B3" s="1289">
        <v>100</v>
      </c>
      <c r="C3" s="1236"/>
      <c r="D3" s="1236"/>
      <c r="E3" s="1289" t="s">
        <v>8593</v>
      </c>
      <c r="F3" s="1236"/>
      <c r="G3" s="1292" t="s">
        <v>1705</v>
      </c>
      <c r="H3" s="1284" t="s">
        <v>9208</v>
      </c>
      <c r="I3" s="1237"/>
      <c r="J3" s="1293" t="s">
        <v>11903</v>
      </c>
      <c r="K3" s="85" t="s">
        <v>43</v>
      </c>
      <c r="L3" s="85" t="s">
        <v>43</v>
      </c>
      <c r="M3" s="1291" t="s">
        <v>1706</v>
      </c>
      <c r="N3" s="1291" t="s">
        <v>1707</v>
      </c>
      <c r="O3" s="85" t="s">
        <v>43</v>
      </c>
      <c r="P3" s="1238"/>
      <c r="Q3" s="85" t="s">
        <v>43</v>
      </c>
      <c r="R3" s="85" t="s">
        <v>43</v>
      </c>
      <c r="S3" s="85" t="s">
        <v>43</v>
      </c>
      <c r="T3" s="85" t="s">
        <v>43</v>
      </c>
      <c r="U3" s="85" t="s">
        <v>43</v>
      </c>
      <c r="V3" s="85" t="s">
        <v>43</v>
      </c>
      <c r="W3" s="85" t="s">
        <v>43</v>
      </c>
      <c r="X3" s="1237" t="s">
        <v>278</v>
      </c>
      <c r="Y3" s="1237"/>
      <c r="Z3" s="1237"/>
      <c r="AA3" s="219">
        <v>63636363.636399999</v>
      </c>
      <c r="AB3" s="1237"/>
      <c r="AC3" s="1237" t="s">
        <v>9247</v>
      </c>
      <c r="AD3" s="1237"/>
      <c r="AE3" s="1237"/>
      <c r="AF3" s="1237"/>
      <c r="AG3" s="1237"/>
    </row>
    <row r="4" spans="1:34" s="83" customFormat="1" ht="15.75" customHeight="1">
      <c r="A4" s="175">
        <v>3</v>
      </c>
      <c r="B4" s="1289">
        <v>100</v>
      </c>
      <c r="C4" s="1236"/>
      <c r="D4" s="1236"/>
      <c r="E4" s="1289" t="s">
        <v>8593</v>
      </c>
      <c r="F4" s="1236"/>
      <c r="G4" s="1238" t="s">
        <v>1708</v>
      </c>
      <c r="H4" s="1284" t="s">
        <v>12038</v>
      </c>
      <c r="I4" s="1237"/>
      <c r="J4" s="1293" t="s">
        <v>11904</v>
      </c>
      <c r="K4" s="85" t="s">
        <v>43</v>
      </c>
      <c r="L4" s="85" t="s">
        <v>43</v>
      </c>
      <c r="M4" s="1237" t="s">
        <v>11412</v>
      </c>
      <c r="N4" s="85" t="s">
        <v>11411</v>
      </c>
      <c r="O4" s="85" t="s">
        <v>43</v>
      </c>
      <c r="P4" s="1238"/>
      <c r="Q4" s="85" t="s">
        <v>43</v>
      </c>
      <c r="R4" s="85" t="s">
        <v>43</v>
      </c>
      <c r="S4" s="85" t="s">
        <v>43</v>
      </c>
      <c r="T4" s="85" t="s">
        <v>43</v>
      </c>
      <c r="U4" s="85" t="s">
        <v>43</v>
      </c>
      <c r="V4" s="85" t="s">
        <v>43</v>
      </c>
      <c r="W4" s="85" t="s">
        <v>43</v>
      </c>
      <c r="X4" s="1237" t="s">
        <v>278</v>
      </c>
      <c r="Y4" s="1237"/>
      <c r="Z4" s="1237"/>
      <c r="AA4" s="219">
        <v>25200000</v>
      </c>
      <c r="AB4" s="1237"/>
      <c r="AC4" s="1237" t="s">
        <v>9247</v>
      </c>
      <c r="AD4" s="1237"/>
      <c r="AE4" s="1237"/>
      <c r="AF4" s="1237"/>
      <c r="AG4" s="1237"/>
    </row>
    <row r="5" spans="1:34" s="83" customFormat="1" ht="15.75" customHeight="1">
      <c r="A5" s="175">
        <v>4</v>
      </c>
      <c r="B5" s="1289">
        <v>100</v>
      </c>
      <c r="C5" s="1907" t="s">
        <v>1595</v>
      </c>
      <c r="D5" s="1907" t="s">
        <v>1598</v>
      </c>
      <c r="E5" s="1289" t="s">
        <v>8593</v>
      </c>
      <c r="F5" s="1236"/>
      <c r="G5" s="85" t="s">
        <v>1712</v>
      </c>
      <c r="H5" s="1237" t="s">
        <v>249</v>
      </c>
      <c r="I5" s="1236"/>
      <c r="J5" s="1290" t="s">
        <v>1995</v>
      </c>
      <c r="K5" s="1236"/>
      <c r="L5" s="1291" t="s">
        <v>1713</v>
      </c>
      <c r="M5" s="1291" t="s">
        <v>1714</v>
      </c>
      <c r="N5" s="1291" t="s">
        <v>1715</v>
      </c>
      <c r="O5" s="85" t="s">
        <v>43</v>
      </c>
      <c r="P5" s="245"/>
      <c r="Q5" s="85" t="s">
        <v>43</v>
      </c>
      <c r="R5" s="85" t="s">
        <v>43</v>
      </c>
      <c r="S5" s="85" t="s">
        <v>43</v>
      </c>
      <c r="T5" s="85" t="s">
        <v>43</v>
      </c>
      <c r="U5" s="85" t="s">
        <v>43</v>
      </c>
      <c r="V5" s="85" t="s">
        <v>43</v>
      </c>
      <c r="W5" s="85" t="s">
        <v>43</v>
      </c>
      <c r="X5" s="1237" t="s">
        <v>278</v>
      </c>
      <c r="Y5" s="244"/>
      <c r="Z5" s="244"/>
      <c r="AA5" s="219">
        <v>153400000</v>
      </c>
      <c r="AB5" s="1237"/>
      <c r="AC5" s="1237"/>
      <c r="AD5" s="1237"/>
      <c r="AE5" s="1237"/>
      <c r="AF5" s="1237"/>
      <c r="AG5" s="1237"/>
    </row>
    <row r="6" spans="1:34" s="83" customFormat="1" ht="15.75" customHeight="1">
      <c r="A6" s="175">
        <v>5</v>
      </c>
      <c r="B6" s="1289">
        <v>100</v>
      </c>
      <c r="C6" s="1907"/>
      <c r="D6" s="1907"/>
      <c r="E6" s="1289" t="s">
        <v>8593</v>
      </c>
      <c r="F6" s="1236"/>
      <c r="G6" s="85" t="s">
        <v>1716</v>
      </c>
      <c r="H6" s="1237" t="s">
        <v>249</v>
      </c>
      <c r="I6" s="1236"/>
      <c r="J6" s="1290" t="s">
        <v>204</v>
      </c>
      <c r="K6" s="1236"/>
      <c r="L6" s="1291" t="s">
        <v>1717</v>
      </c>
      <c r="M6" s="1291" t="s">
        <v>1714</v>
      </c>
      <c r="N6" s="1291" t="s">
        <v>1715</v>
      </c>
      <c r="O6" s="85" t="s">
        <v>43</v>
      </c>
      <c r="P6" s="245"/>
      <c r="Q6" s="85" t="s">
        <v>43</v>
      </c>
      <c r="R6" s="85" t="s">
        <v>43</v>
      </c>
      <c r="S6" s="85" t="s">
        <v>43</v>
      </c>
      <c r="T6" s="85" t="s">
        <v>43</v>
      </c>
      <c r="U6" s="85" t="s">
        <v>43</v>
      </c>
      <c r="V6" s="85" t="s">
        <v>43</v>
      </c>
      <c r="W6" s="85" t="s">
        <v>43</v>
      </c>
      <c r="X6" s="1237" t="s">
        <v>278</v>
      </c>
      <c r="Y6" s="244"/>
      <c r="Z6" s="244"/>
      <c r="AA6" s="219">
        <v>0</v>
      </c>
      <c r="AB6" s="1237" t="s">
        <v>9192</v>
      </c>
      <c r="AC6" s="1237" t="s">
        <v>9247</v>
      </c>
      <c r="AD6" s="1237"/>
      <c r="AE6" s="1237"/>
      <c r="AF6" s="1237"/>
      <c r="AG6" s="1237"/>
    </row>
    <row r="7" spans="1:34" s="83" customFormat="1" ht="15.75" customHeight="1">
      <c r="A7" s="175">
        <v>6</v>
      </c>
      <c r="B7" s="1289">
        <v>214</v>
      </c>
      <c r="C7" s="1907"/>
      <c r="D7" s="1907"/>
      <c r="E7" s="1289" t="s">
        <v>11894</v>
      </c>
      <c r="F7" s="1289"/>
      <c r="G7" s="85" t="s">
        <v>43</v>
      </c>
      <c r="H7" s="1237" t="s">
        <v>51</v>
      </c>
      <c r="I7" s="1237" t="s">
        <v>45</v>
      </c>
      <c r="J7" s="1124" t="s">
        <v>11886</v>
      </c>
      <c r="K7" s="1289"/>
      <c r="L7" s="1289"/>
      <c r="M7" s="84"/>
      <c r="N7" s="84"/>
      <c r="O7" s="85" t="s">
        <v>43</v>
      </c>
      <c r="P7" s="1289"/>
      <c r="Q7" s="85" t="s">
        <v>43</v>
      </c>
      <c r="R7" s="1238" t="s">
        <v>338</v>
      </c>
      <c r="S7" s="85" t="s">
        <v>43</v>
      </c>
      <c r="T7" s="85" t="s">
        <v>43</v>
      </c>
      <c r="U7" s="85" t="s">
        <v>43</v>
      </c>
      <c r="V7" s="85" t="s">
        <v>43</v>
      </c>
      <c r="W7" s="1238" t="s">
        <v>1735</v>
      </c>
      <c r="X7" s="1237" t="s">
        <v>56</v>
      </c>
      <c r="Y7" s="1289"/>
      <c r="Z7" s="1289"/>
      <c r="AA7" s="219">
        <v>0</v>
      </c>
      <c r="AB7" s="1237" t="s">
        <v>11897</v>
      </c>
      <c r="AC7" s="1237"/>
      <c r="AD7" s="1237"/>
      <c r="AE7" s="1237"/>
      <c r="AF7" s="1237"/>
      <c r="AG7" s="1237"/>
    </row>
    <row r="8" spans="1:34" s="83" customFormat="1" ht="15.75" customHeight="1">
      <c r="A8" s="175">
        <v>7</v>
      </c>
      <c r="B8" s="1289">
        <v>235</v>
      </c>
      <c r="C8" s="1907"/>
      <c r="D8" s="1907"/>
      <c r="E8" s="1289" t="s">
        <v>1736</v>
      </c>
      <c r="F8" s="1289"/>
      <c r="G8" s="85" t="s">
        <v>43</v>
      </c>
      <c r="H8" s="1237" t="s">
        <v>51</v>
      </c>
      <c r="I8" s="1237" t="s">
        <v>45</v>
      </c>
      <c r="J8" s="1124" t="s">
        <v>11886</v>
      </c>
      <c r="K8" s="1289"/>
      <c r="L8" s="1289"/>
      <c r="M8" s="84"/>
      <c r="N8" s="84"/>
      <c r="O8" s="85" t="s">
        <v>43</v>
      </c>
      <c r="P8" s="1289"/>
      <c r="Q8" s="85" t="s">
        <v>43</v>
      </c>
      <c r="R8" s="1238" t="s">
        <v>338</v>
      </c>
      <c r="S8" s="85" t="s">
        <v>43</v>
      </c>
      <c r="T8" s="85" t="s">
        <v>43</v>
      </c>
      <c r="U8" s="85" t="s">
        <v>43</v>
      </c>
      <c r="V8" s="85" t="s">
        <v>43</v>
      </c>
      <c r="W8" s="1238" t="s">
        <v>1735</v>
      </c>
      <c r="X8" s="1237" t="s">
        <v>56</v>
      </c>
      <c r="Y8" s="1289"/>
      <c r="Z8" s="1289"/>
      <c r="AA8" s="219">
        <v>0</v>
      </c>
      <c r="AB8" s="1237" t="s">
        <v>11897</v>
      </c>
      <c r="AC8" s="1237"/>
      <c r="AD8" s="1237"/>
      <c r="AE8" s="1237"/>
      <c r="AF8" s="1237"/>
      <c r="AG8" s="1237"/>
    </row>
    <row r="9" spans="1:34" s="83" customFormat="1" ht="15.75" customHeight="1">
      <c r="A9" s="175">
        <v>8</v>
      </c>
      <c r="B9" s="1289">
        <v>215</v>
      </c>
      <c r="C9" s="1907"/>
      <c r="D9" s="1907"/>
      <c r="E9" s="1289" t="s">
        <v>1736</v>
      </c>
      <c r="F9" s="1289"/>
      <c r="G9" s="85" t="s">
        <v>43</v>
      </c>
      <c r="H9" s="1237" t="s">
        <v>51</v>
      </c>
      <c r="I9" s="1237" t="s">
        <v>45</v>
      </c>
      <c r="J9" s="1124" t="s">
        <v>11886</v>
      </c>
      <c r="K9" s="1289"/>
      <c r="L9" s="1289"/>
      <c r="M9" s="84" t="s">
        <v>1743</v>
      </c>
      <c r="N9" s="84"/>
      <c r="O9" s="85" t="s">
        <v>43</v>
      </c>
      <c r="P9" s="1289"/>
      <c r="Q9" s="85" t="s">
        <v>43</v>
      </c>
      <c r="R9" s="1238" t="s">
        <v>338</v>
      </c>
      <c r="S9" s="85" t="s">
        <v>43</v>
      </c>
      <c r="T9" s="85" t="s">
        <v>43</v>
      </c>
      <c r="U9" s="85" t="s">
        <v>43</v>
      </c>
      <c r="V9" s="85" t="s">
        <v>43</v>
      </c>
      <c r="W9" s="1238" t="s">
        <v>1735</v>
      </c>
      <c r="X9" s="1237" t="s">
        <v>56</v>
      </c>
      <c r="Y9" s="1289"/>
      <c r="Z9" s="1289"/>
      <c r="AA9" s="219">
        <v>0</v>
      </c>
      <c r="AB9" s="1237" t="s">
        <v>11897</v>
      </c>
      <c r="AC9" s="1237"/>
      <c r="AD9" s="1237"/>
      <c r="AE9" s="1237"/>
      <c r="AF9" s="1237"/>
      <c r="AG9" s="1237"/>
    </row>
    <row r="10" spans="1:34" s="83" customFormat="1" ht="15.75" customHeight="1">
      <c r="A10" s="175">
        <v>9</v>
      </c>
      <c r="B10" s="1289">
        <v>224</v>
      </c>
      <c r="C10" s="1907"/>
      <c r="D10" s="1907"/>
      <c r="E10" s="1289" t="s">
        <v>11895</v>
      </c>
      <c r="F10" s="1289"/>
      <c r="G10" s="85" t="s">
        <v>43</v>
      </c>
      <c r="H10" s="1237" t="s">
        <v>51</v>
      </c>
      <c r="I10" s="1237" t="s">
        <v>45</v>
      </c>
      <c r="J10" s="1124" t="s">
        <v>11886</v>
      </c>
      <c r="K10" s="1289"/>
      <c r="L10" s="1289"/>
      <c r="M10" s="84" t="s">
        <v>1743</v>
      </c>
      <c r="N10" s="84"/>
      <c r="O10" s="85" t="s">
        <v>43</v>
      </c>
      <c r="P10" s="1289"/>
      <c r="Q10" s="85" t="s">
        <v>43</v>
      </c>
      <c r="R10" s="1238" t="s">
        <v>338</v>
      </c>
      <c r="S10" s="85" t="s">
        <v>43</v>
      </c>
      <c r="T10" s="85" t="s">
        <v>43</v>
      </c>
      <c r="U10" s="85" t="s">
        <v>43</v>
      </c>
      <c r="V10" s="85" t="s">
        <v>43</v>
      </c>
      <c r="W10" s="1238" t="s">
        <v>1735</v>
      </c>
      <c r="X10" s="1237" t="s">
        <v>56</v>
      </c>
      <c r="Y10" s="1289"/>
      <c r="Z10" s="1289"/>
      <c r="AA10" s="219">
        <v>0</v>
      </c>
      <c r="AB10" s="1237" t="s">
        <v>11897</v>
      </c>
      <c r="AC10" s="1237"/>
      <c r="AD10" s="1237"/>
      <c r="AE10" s="1237"/>
      <c r="AF10" s="1237"/>
      <c r="AG10" s="1237"/>
    </row>
    <row r="11" spans="1:34" s="83" customFormat="1" ht="15.75" customHeight="1">
      <c r="A11" s="175">
        <v>10</v>
      </c>
      <c r="B11" s="1289">
        <v>217</v>
      </c>
      <c r="C11" s="1907"/>
      <c r="D11" s="1907"/>
      <c r="E11" s="1289" t="s">
        <v>1744</v>
      </c>
      <c r="F11" s="1289"/>
      <c r="G11" s="85" t="s">
        <v>43</v>
      </c>
      <c r="H11" s="1237" t="s">
        <v>44</v>
      </c>
      <c r="I11" s="1237" t="s">
        <v>45</v>
      </c>
      <c r="J11" s="1290" t="s">
        <v>205</v>
      </c>
      <c r="K11" s="1289"/>
      <c r="L11" s="1289"/>
      <c r="M11" s="84" t="s">
        <v>1821</v>
      </c>
      <c r="N11" s="85" t="s">
        <v>11893</v>
      </c>
      <c r="O11" s="85" t="s">
        <v>43</v>
      </c>
      <c r="P11" s="1289"/>
      <c r="Q11" s="85" t="s">
        <v>43</v>
      </c>
      <c r="R11" s="1238" t="s">
        <v>48</v>
      </c>
      <c r="S11" s="85" t="s">
        <v>43</v>
      </c>
      <c r="T11" s="85" t="s">
        <v>43</v>
      </c>
      <c r="U11" s="85" t="s">
        <v>43</v>
      </c>
      <c r="V11" s="85" t="s">
        <v>43</v>
      </c>
      <c r="W11" s="1238" t="s">
        <v>1822</v>
      </c>
      <c r="X11" s="1237" t="s">
        <v>50</v>
      </c>
      <c r="Y11" s="1289"/>
      <c r="Z11" s="1289"/>
      <c r="AA11" s="219">
        <v>0</v>
      </c>
      <c r="AB11" s="1237">
        <v>14041118</v>
      </c>
      <c r="AC11" s="1237"/>
      <c r="AD11" s="1237"/>
      <c r="AE11" s="1237"/>
      <c r="AF11" s="1237"/>
      <c r="AG11" s="1237"/>
    </row>
    <row r="12" spans="1:34" s="83" customFormat="1" ht="15.75" customHeight="1">
      <c r="A12" s="175">
        <v>11</v>
      </c>
      <c r="B12" s="1289">
        <v>232</v>
      </c>
      <c r="C12" s="1907"/>
      <c r="D12" s="1907"/>
      <c r="E12" s="1289" t="s">
        <v>1816</v>
      </c>
      <c r="F12" s="1289"/>
      <c r="G12" s="85" t="s">
        <v>43</v>
      </c>
      <c r="H12" s="1237" t="s">
        <v>44</v>
      </c>
      <c r="I12" s="1237" t="s">
        <v>45</v>
      </c>
      <c r="J12" s="1290" t="s">
        <v>201</v>
      </c>
      <c r="K12" s="1289"/>
      <c r="L12" s="1289"/>
      <c r="M12" s="84" t="s">
        <v>1821</v>
      </c>
      <c r="N12" s="85" t="s">
        <v>11893</v>
      </c>
      <c r="O12" s="85" t="s">
        <v>43</v>
      </c>
      <c r="P12" s="1289"/>
      <c r="Q12" s="85" t="s">
        <v>43</v>
      </c>
      <c r="R12" s="1238" t="s">
        <v>48</v>
      </c>
      <c r="S12" s="85" t="s">
        <v>43</v>
      </c>
      <c r="T12" s="85" t="s">
        <v>43</v>
      </c>
      <c r="U12" s="85" t="s">
        <v>43</v>
      </c>
      <c r="V12" s="85" t="s">
        <v>43</v>
      </c>
      <c r="W12" s="1238" t="s">
        <v>1822</v>
      </c>
      <c r="X12" s="1237" t="s">
        <v>50</v>
      </c>
      <c r="Y12" s="1289"/>
      <c r="Z12" s="1289"/>
      <c r="AA12" s="219">
        <v>0</v>
      </c>
      <c r="AB12" s="1237">
        <v>14041118</v>
      </c>
      <c r="AC12" s="1237"/>
      <c r="AD12" s="1237"/>
      <c r="AE12" s="1237"/>
      <c r="AF12" s="1237"/>
      <c r="AG12" s="1237"/>
    </row>
    <row r="13" spans="1:34" s="856" customFormat="1" ht="15.75" customHeight="1">
      <c r="A13" s="175">
        <v>12</v>
      </c>
      <c r="B13" s="1289">
        <v>244</v>
      </c>
      <c r="C13" s="1907"/>
      <c r="D13" s="1907"/>
      <c r="E13" s="1289" t="s">
        <v>1816</v>
      </c>
      <c r="F13" s="1289"/>
      <c r="G13" s="85" t="s">
        <v>43</v>
      </c>
      <c r="H13" s="1237" t="s">
        <v>51</v>
      </c>
      <c r="I13" s="1237" t="s">
        <v>45</v>
      </c>
      <c r="J13" s="1124" t="s">
        <v>11886</v>
      </c>
      <c r="K13" s="1289"/>
      <c r="L13" s="1289"/>
      <c r="M13" s="84" t="s">
        <v>1866</v>
      </c>
      <c r="N13" s="1237" t="s">
        <v>1868</v>
      </c>
      <c r="O13" s="85" t="s">
        <v>43</v>
      </c>
      <c r="P13" s="1289"/>
      <c r="Q13" s="85" t="s">
        <v>43</v>
      </c>
      <c r="R13" s="1238" t="s">
        <v>338</v>
      </c>
      <c r="S13" s="85" t="s">
        <v>43</v>
      </c>
      <c r="T13" s="85" t="s">
        <v>43</v>
      </c>
      <c r="U13" s="85" t="s">
        <v>43</v>
      </c>
      <c r="V13" s="85" t="s">
        <v>43</v>
      </c>
      <c r="W13" s="1238" t="s">
        <v>1735</v>
      </c>
      <c r="X13" s="1237" t="s">
        <v>56</v>
      </c>
      <c r="Y13" s="1289"/>
      <c r="Z13" s="1289"/>
      <c r="AA13" s="219">
        <v>0</v>
      </c>
      <c r="AB13" s="1237"/>
      <c r="AC13" s="1237"/>
      <c r="AD13" s="1237"/>
      <c r="AE13" s="1237"/>
      <c r="AF13" s="1237"/>
      <c r="AG13" s="1237"/>
      <c r="AH13" s="857"/>
    </row>
    <row r="14" spans="1:34" s="856" customFormat="1" ht="15.75" customHeight="1">
      <c r="A14" s="175">
        <v>13</v>
      </c>
      <c r="B14" s="1289">
        <v>264</v>
      </c>
      <c r="C14" s="1907"/>
      <c r="D14" s="1907"/>
      <c r="E14" s="1289" t="s">
        <v>11934</v>
      </c>
      <c r="F14" s="1289"/>
      <c r="G14" s="85" t="s">
        <v>43</v>
      </c>
      <c r="H14" s="1237" t="s">
        <v>51</v>
      </c>
      <c r="I14" s="1237" t="s">
        <v>45</v>
      </c>
      <c r="J14" s="1124" t="s">
        <v>11886</v>
      </c>
      <c r="K14" s="1289"/>
      <c r="L14" s="1289"/>
      <c r="M14" s="84" t="s">
        <v>1900</v>
      </c>
      <c r="N14" s="84" t="s">
        <v>1904</v>
      </c>
      <c r="O14" s="85" t="s">
        <v>43</v>
      </c>
      <c r="P14" s="1289"/>
      <c r="Q14" s="85" t="s">
        <v>43</v>
      </c>
      <c r="R14" s="1238" t="s">
        <v>338</v>
      </c>
      <c r="S14" s="85" t="s">
        <v>43</v>
      </c>
      <c r="T14" s="85" t="s">
        <v>43</v>
      </c>
      <c r="U14" s="85" t="s">
        <v>43</v>
      </c>
      <c r="V14" s="85" t="s">
        <v>43</v>
      </c>
      <c r="W14" s="1238" t="s">
        <v>1518</v>
      </c>
      <c r="X14" s="1237" t="s">
        <v>56</v>
      </c>
      <c r="Y14" s="1289"/>
      <c r="Z14" s="1289"/>
      <c r="AA14" s="219">
        <v>0</v>
      </c>
      <c r="AB14" s="1237"/>
      <c r="AC14" s="1237"/>
      <c r="AD14" s="1237"/>
      <c r="AE14" s="1237"/>
      <c r="AF14" s="1237"/>
      <c r="AG14" s="1237"/>
      <c r="AH14" s="857"/>
    </row>
    <row r="15" spans="1:34" s="83" customFormat="1" ht="15.75" customHeight="1">
      <c r="A15" s="175">
        <v>14</v>
      </c>
      <c r="B15" s="1289">
        <v>292</v>
      </c>
      <c r="C15" s="1907"/>
      <c r="D15" s="1907"/>
      <c r="E15" s="1289"/>
      <c r="F15" s="1289"/>
      <c r="G15" s="85" t="s">
        <v>43</v>
      </c>
      <c r="H15" s="1237" t="s">
        <v>51</v>
      </c>
      <c r="I15" s="1237" t="s">
        <v>45</v>
      </c>
      <c r="J15" s="1124" t="s">
        <v>11886</v>
      </c>
      <c r="K15" s="1289"/>
      <c r="L15" s="1289"/>
      <c r="M15" s="84" t="s">
        <v>1937</v>
      </c>
      <c r="N15" s="1237" t="s">
        <v>11958</v>
      </c>
      <c r="O15" s="85" t="s">
        <v>43</v>
      </c>
      <c r="P15" s="1289"/>
      <c r="Q15" s="85" t="s">
        <v>43</v>
      </c>
      <c r="R15" s="1238" t="s">
        <v>338</v>
      </c>
      <c r="S15" s="85" t="s">
        <v>43</v>
      </c>
      <c r="T15" s="85" t="s">
        <v>43</v>
      </c>
      <c r="U15" s="85" t="s">
        <v>43</v>
      </c>
      <c r="V15" s="85" t="s">
        <v>43</v>
      </c>
      <c r="W15" s="1238" t="s">
        <v>1735</v>
      </c>
      <c r="X15" s="1237" t="s">
        <v>56</v>
      </c>
      <c r="Y15" s="1289"/>
      <c r="Z15" s="1289"/>
      <c r="AA15" s="219">
        <v>0</v>
      </c>
      <c r="AB15" s="1237"/>
      <c r="AC15" s="1237"/>
      <c r="AD15" s="1237"/>
      <c r="AE15" s="1237"/>
      <c r="AF15" s="1237"/>
      <c r="AG15" s="1237"/>
    </row>
    <row r="16" spans="1:34" s="83" customFormat="1" ht="15.75" customHeight="1">
      <c r="A16" s="175">
        <v>15</v>
      </c>
      <c r="B16" s="1289">
        <v>271</v>
      </c>
      <c r="C16" s="1907"/>
      <c r="D16" s="1907"/>
      <c r="E16" s="1289" t="s">
        <v>11942</v>
      </c>
      <c r="F16" s="1289"/>
      <c r="G16" s="85" t="s">
        <v>9231</v>
      </c>
      <c r="H16" s="1237" t="s">
        <v>335</v>
      </c>
      <c r="I16" s="1237" t="s">
        <v>260</v>
      </c>
      <c r="J16" s="85" t="s">
        <v>199</v>
      </c>
      <c r="K16" s="1289"/>
      <c r="L16" s="1289"/>
      <c r="M16" s="84" t="s">
        <v>1724</v>
      </c>
      <c r="N16" s="85" t="s">
        <v>1725</v>
      </c>
      <c r="O16" s="85" t="s">
        <v>43</v>
      </c>
      <c r="P16" s="1289"/>
      <c r="Q16" s="85" t="s">
        <v>43</v>
      </c>
      <c r="R16" s="1238" t="s">
        <v>3023</v>
      </c>
      <c r="S16" s="85" t="s">
        <v>43</v>
      </c>
      <c r="T16" s="85" t="s">
        <v>43</v>
      </c>
      <c r="U16" s="85" t="s">
        <v>43</v>
      </c>
      <c r="V16" s="85" t="s">
        <v>43</v>
      </c>
      <c r="W16" s="85" t="s">
        <v>43</v>
      </c>
      <c r="X16" s="1668" t="s">
        <v>2947</v>
      </c>
      <c r="Y16" s="1289"/>
      <c r="Z16" s="1289"/>
      <c r="AA16" s="219">
        <v>15680000</v>
      </c>
      <c r="AB16" s="1237"/>
      <c r="AC16" s="1237"/>
      <c r="AD16" s="1237"/>
      <c r="AE16" s="1237"/>
      <c r="AF16" s="1237"/>
      <c r="AG16" s="1237"/>
    </row>
    <row r="17" spans="1:33" s="83" customFormat="1" ht="15.75" customHeight="1">
      <c r="A17" s="175">
        <v>16</v>
      </c>
      <c r="B17" s="1289">
        <v>271</v>
      </c>
      <c r="C17" s="1907"/>
      <c r="D17" s="1907"/>
      <c r="E17" s="1289" t="s">
        <v>11942</v>
      </c>
      <c r="F17" s="1289"/>
      <c r="G17" s="85" t="s">
        <v>1912</v>
      </c>
      <c r="H17" s="1284" t="s">
        <v>195</v>
      </c>
      <c r="I17" s="1237" t="s">
        <v>260</v>
      </c>
      <c r="J17" s="85" t="s">
        <v>199</v>
      </c>
      <c r="K17" s="1289"/>
      <c r="L17" s="1289"/>
      <c r="M17" s="84" t="s">
        <v>1728</v>
      </c>
      <c r="N17" s="1291" t="s">
        <v>11940</v>
      </c>
      <c r="O17" s="85" t="s">
        <v>43</v>
      </c>
      <c r="P17" s="1289"/>
      <c r="Q17" s="85" t="s">
        <v>43</v>
      </c>
      <c r="R17" s="1238" t="s">
        <v>3031</v>
      </c>
      <c r="S17" s="85" t="s">
        <v>43</v>
      </c>
      <c r="T17" s="85" t="s">
        <v>43</v>
      </c>
      <c r="U17" s="85" t="s">
        <v>43</v>
      </c>
      <c r="V17" s="85" t="s">
        <v>43</v>
      </c>
      <c r="W17" s="85" t="s">
        <v>43</v>
      </c>
      <c r="X17" s="1668"/>
      <c r="Y17" s="1289"/>
      <c r="Z17" s="1289"/>
      <c r="AA17" s="219">
        <v>36400000</v>
      </c>
      <c r="AB17" s="1237"/>
      <c r="AC17" s="1237"/>
      <c r="AD17" s="1237"/>
      <c r="AE17" s="1237"/>
      <c r="AF17" s="1237"/>
      <c r="AG17" s="1237"/>
    </row>
    <row r="18" spans="1:33" s="83" customFormat="1" ht="15.75" customHeight="1">
      <c r="A18" s="175">
        <v>17</v>
      </c>
      <c r="B18" s="1289">
        <v>277</v>
      </c>
      <c r="C18" s="1907"/>
      <c r="D18" s="1907"/>
      <c r="E18" s="1289" t="s">
        <v>1917</v>
      </c>
      <c r="F18" s="1289"/>
      <c r="G18" s="85" t="s">
        <v>9234</v>
      </c>
      <c r="H18" s="1284" t="s">
        <v>195</v>
      </c>
      <c r="I18" s="1237" t="s">
        <v>168</v>
      </c>
      <c r="J18" s="1290" t="s">
        <v>11951</v>
      </c>
      <c r="K18" s="1289"/>
      <c r="L18" s="1289"/>
      <c r="M18" s="84" t="s">
        <v>221</v>
      </c>
      <c r="N18" s="1291" t="s">
        <v>11949</v>
      </c>
      <c r="O18" s="85" t="s">
        <v>43</v>
      </c>
      <c r="P18" s="1289"/>
      <c r="Q18" s="85" t="s">
        <v>43</v>
      </c>
      <c r="R18" s="1238" t="s">
        <v>246</v>
      </c>
      <c r="S18" s="85" t="s">
        <v>43</v>
      </c>
      <c r="T18" s="85" t="s">
        <v>43</v>
      </c>
      <c r="U18" s="85" t="s">
        <v>43</v>
      </c>
      <c r="V18" s="85" t="s">
        <v>43</v>
      </c>
      <c r="W18" s="1238" t="s">
        <v>1517</v>
      </c>
      <c r="X18" s="1237" t="s">
        <v>170</v>
      </c>
      <c r="Y18" s="1289"/>
      <c r="Z18" s="1289"/>
      <c r="AA18" s="219">
        <v>20800000</v>
      </c>
      <c r="AB18" s="1237">
        <v>14041010</v>
      </c>
      <c r="AC18" s="1237" t="s">
        <v>12008</v>
      </c>
      <c r="AD18" s="864" t="s">
        <v>12035</v>
      </c>
      <c r="AE18" s="1237"/>
      <c r="AF18" s="1237"/>
      <c r="AG18" s="1237"/>
    </row>
    <row r="19" spans="1:33" s="862" customFormat="1" ht="18">
      <c r="A19" s="175">
        <v>18</v>
      </c>
      <c r="B19" s="1237" t="s">
        <v>1700</v>
      </c>
      <c r="C19" s="1907"/>
      <c r="D19" s="1907"/>
      <c r="E19" s="1906" t="s">
        <v>2026</v>
      </c>
      <c r="F19" s="1906"/>
      <c r="G19" s="85" t="s">
        <v>43</v>
      </c>
      <c r="H19" s="85" t="s">
        <v>2225</v>
      </c>
      <c r="I19" s="1237" t="s">
        <v>45</v>
      </c>
      <c r="J19" s="1237" t="s">
        <v>969</v>
      </c>
      <c r="K19" s="84" t="s">
        <v>2027</v>
      </c>
      <c r="L19" s="84"/>
      <c r="M19" s="84"/>
      <c r="N19" s="85" t="s">
        <v>43</v>
      </c>
      <c r="O19" s="85" t="s">
        <v>43</v>
      </c>
      <c r="P19" s="85" t="s">
        <v>43</v>
      </c>
      <c r="Q19" s="85" t="s">
        <v>43</v>
      </c>
      <c r="R19" s="85" t="s">
        <v>43</v>
      </c>
      <c r="S19" s="85" t="s">
        <v>43</v>
      </c>
      <c r="T19" s="86" t="s">
        <v>68</v>
      </c>
      <c r="U19" s="1237" t="s">
        <v>50</v>
      </c>
      <c r="V19" s="1124" t="s">
        <v>202</v>
      </c>
      <c r="W19" s="85" t="s">
        <v>43</v>
      </c>
      <c r="X19" s="1294"/>
      <c r="Y19" s="1237"/>
      <c r="Z19" s="1237"/>
      <c r="AA19" s="1289"/>
      <c r="AB19" s="1237">
        <v>14041010</v>
      </c>
      <c r="AC19" s="1237" t="s">
        <v>12019</v>
      </c>
      <c r="AD19" s="864" t="s">
        <v>12035</v>
      </c>
      <c r="AE19" s="864"/>
      <c r="AF19" s="864"/>
      <c r="AG19" s="864"/>
    </row>
    <row r="20" spans="1:33" s="862" customFormat="1" ht="18">
      <c r="A20" s="175">
        <v>19</v>
      </c>
      <c r="B20" s="1237" t="s">
        <v>1700</v>
      </c>
      <c r="C20" s="1907"/>
      <c r="D20" s="1907"/>
      <c r="E20" s="1906" t="s">
        <v>2067</v>
      </c>
      <c r="F20" s="1906"/>
      <c r="G20" s="85" t="s">
        <v>43</v>
      </c>
      <c r="H20" s="1237" t="s">
        <v>84</v>
      </c>
      <c r="I20" s="1237" t="s">
        <v>45</v>
      </c>
      <c r="J20" s="1237" t="s">
        <v>201</v>
      </c>
      <c r="K20" s="84" t="s">
        <v>2068</v>
      </c>
      <c r="L20" s="84" t="s">
        <v>2069</v>
      </c>
      <c r="M20" s="84" t="s">
        <v>2070</v>
      </c>
      <c r="N20" s="85" t="s">
        <v>43</v>
      </c>
      <c r="O20" s="85" t="s">
        <v>43</v>
      </c>
      <c r="P20" s="85" t="s">
        <v>43</v>
      </c>
      <c r="Q20" s="85" t="s">
        <v>43</v>
      </c>
      <c r="R20" s="85" t="s">
        <v>43</v>
      </c>
      <c r="S20" s="85" t="s">
        <v>43</v>
      </c>
      <c r="T20" s="86" t="s">
        <v>417</v>
      </c>
      <c r="U20" s="1237" t="s">
        <v>50</v>
      </c>
      <c r="V20" s="1124" t="s">
        <v>985</v>
      </c>
      <c r="W20" s="85" t="s">
        <v>43</v>
      </c>
      <c r="X20" s="1294"/>
      <c r="Y20" s="1237"/>
      <c r="Z20" s="1237"/>
      <c r="AA20" s="1289"/>
      <c r="AB20" s="1237">
        <v>14040405</v>
      </c>
      <c r="AC20" s="1237"/>
      <c r="AD20" s="864"/>
      <c r="AE20" s="864"/>
      <c r="AF20" s="864"/>
      <c r="AG20" s="864"/>
    </row>
    <row r="21" spans="1:33" s="862" customFormat="1" ht="18">
      <c r="A21" s="175">
        <v>20</v>
      </c>
      <c r="B21" s="1237" t="s">
        <v>1737</v>
      </c>
      <c r="C21" s="1907"/>
      <c r="D21" s="1907"/>
      <c r="E21" s="1906" t="s">
        <v>2071</v>
      </c>
      <c r="F21" s="1906"/>
      <c r="G21" s="85" t="s">
        <v>2072</v>
      </c>
      <c r="H21" s="1237" t="s">
        <v>1514</v>
      </c>
      <c r="I21" s="1237" t="s">
        <v>60</v>
      </c>
      <c r="J21" s="1237" t="s">
        <v>201</v>
      </c>
      <c r="K21" s="84" t="s">
        <v>2073</v>
      </c>
      <c r="L21" s="84" t="s">
        <v>2055</v>
      </c>
      <c r="M21" s="84" t="s">
        <v>2074</v>
      </c>
      <c r="N21" s="85" t="s">
        <v>43</v>
      </c>
      <c r="O21" s="85" t="s">
        <v>43</v>
      </c>
      <c r="P21" s="85" t="s">
        <v>43</v>
      </c>
      <c r="Q21" s="1238" t="s">
        <v>2075</v>
      </c>
      <c r="R21" s="1238" t="s">
        <v>2076</v>
      </c>
      <c r="S21" s="85" t="s">
        <v>43</v>
      </c>
      <c r="T21" s="1237" t="s">
        <v>166</v>
      </c>
      <c r="U21" s="1237" t="s">
        <v>167</v>
      </c>
      <c r="V21" s="1124" t="s">
        <v>202</v>
      </c>
      <c r="W21" s="85" t="s">
        <v>43</v>
      </c>
      <c r="X21" s="1294"/>
      <c r="Y21" s="1237"/>
      <c r="Z21" s="1237"/>
      <c r="AA21" s="219">
        <v>8960000</v>
      </c>
      <c r="AB21" s="1237">
        <v>14040801</v>
      </c>
      <c r="AC21" s="1237" t="s">
        <v>12031</v>
      </c>
      <c r="AD21" s="864" t="s">
        <v>12035</v>
      </c>
      <c r="AE21" s="864"/>
      <c r="AF21" s="864"/>
      <c r="AG21" s="864"/>
    </row>
    <row r="22" spans="1:33" s="862" customFormat="1" ht="18">
      <c r="A22" s="175">
        <v>21</v>
      </c>
      <c r="B22" s="1237" t="s">
        <v>1700</v>
      </c>
      <c r="C22" s="1907"/>
      <c r="D22" s="84" t="s">
        <v>1596</v>
      </c>
      <c r="E22" s="1906" t="s">
        <v>2086</v>
      </c>
      <c r="F22" s="1906"/>
      <c r="G22" s="85" t="s">
        <v>11122</v>
      </c>
      <c r="H22" s="1237" t="s">
        <v>1514</v>
      </c>
      <c r="I22" s="1237" t="s">
        <v>60</v>
      </c>
      <c r="J22" s="84" t="s">
        <v>205</v>
      </c>
      <c r="K22" s="84" t="s">
        <v>2087</v>
      </c>
      <c r="L22" s="84" t="s">
        <v>2088</v>
      </c>
      <c r="M22" s="84" t="s">
        <v>2089</v>
      </c>
      <c r="N22" s="85" t="s">
        <v>43</v>
      </c>
      <c r="O22" s="85" t="s">
        <v>43</v>
      </c>
      <c r="P22" s="85" t="s">
        <v>43</v>
      </c>
      <c r="Q22" s="1238" t="s">
        <v>2090</v>
      </c>
      <c r="R22" s="1238" t="s">
        <v>2091</v>
      </c>
      <c r="S22" s="85" t="s">
        <v>43</v>
      </c>
      <c r="T22" s="1237" t="s">
        <v>166</v>
      </c>
      <c r="U22" s="1237" t="s">
        <v>167</v>
      </c>
      <c r="V22" s="1124" t="s">
        <v>202</v>
      </c>
      <c r="W22" s="1237"/>
      <c r="X22" s="1294"/>
      <c r="Y22" s="1237"/>
      <c r="Z22" s="1237"/>
      <c r="AA22" s="219">
        <v>8960000</v>
      </c>
      <c r="AB22" s="1237">
        <v>14040801</v>
      </c>
      <c r="AC22" s="1237" t="s">
        <v>12031</v>
      </c>
      <c r="AD22" s="864" t="s">
        <v>12035</v>
      </c>
      <c r="AE22" s="864"/>
      <c r="AF22" s="864"/>
      <c r="AG22" s="864"/>
    </row>
    <row r="23" spans="1:33" s="862" customFormat="1" ht="18">
      <c r="A23" s="175">
        <v>22</v>
      </c>
      <c r="B23" s="1237" t="s">
        <v>1700</v>
      </c>
      <c r="C23" s="1907"/>
      <c r="D23" s="84" t="s">
        <v>1939</v>
      </c>
      <c r="E23" s="1906" t="s">
        <v>2113</v>
      </c>
      <c r="F23" s="1906"/>
      <c r="G23" s="85" t="s">
        <v>43</v>
      </c>
      <c r="H23" s="1237" t="s">
        <v>107</v>
      </c>
      <c r="I23" s="1237" t="s">
        <v>45</v>
      </c>
      <c r="J23" s="84" t="s">
        <v>201</v>
      </c>
      <c r="K23" s="84" t="s">
        <v>2114</v>
      </c>
      <c r="L23" s="84" t="s">
        <v>2115</v>
      </c>
      <c r="M23" s="84" t="s">
        <v>2116</v>
      </c>
      <c r="N23" s="85" t="s">
        <v>43</v>
      </c>
      <c r="O23" s="85" t="s">
        <v>43</v>
      </c>
      <c r="P23" s="85" t="s">
        <v>43</v>
      </c>
      <c r="Q23" s="85" t="s">
        <v>43</v>
      </c>
      <c r="R23" s="85" t="s">
        <v>43</v>
      </c>
      <c r="S23" s="85" t="s">
        <v>43</v>
      </c>
      <c r="T23" s="86" t="s">
        <v>68</v>
      </c>
      <c r="U23" s="1237" t="s">
        <v>1504</v>
      </c>
      <c r="V23" s="1124" t="s">
        <v>202</v>
      </c>
      <c r="W23" s="85" t="s">
        <v>43</v>
      </c>
      <c r="X23" s="1294"/>
      <c r="Y23" s="1237"/>
      <c r="Z23" s="1237"/>
      <c r="AA23" s="1237"/>
      <c r="AB23" s="1237">
        <v>14040801</v>
      </c>
      <c r="AC23" s="1237" t="s">
        <v>12033</v>
      </c>
      <c r="AD23" s="864" t="s">
        <v>12035</v>
      </c>
      <c r="AE23" s="864"/>
      <c r="AF23" s="864"/>
      <c r="AG23" s="864"/>
    </row>
    <row r="24" spans="1:33" s="862" customFormat="1" ht="18">
      <c r="A24" s="175">
        <v>23</v>
      </c>
      <c r="B24" s="1237" t="s">
        <v>1722</v>
      </c>
      <c r="C24" s="1907"/>
      <c r="D24" s="84" t="s">
        <v>1602</v>
      </c>
      <c r="E24" s="1906" t="s">
        <v>2129</v>
      </c>
      <c r="F24" s="1906"/>
      <c r="G24" s="85" t="s">
        <v>2130</v>
      </c>
      <c r="H24" s="1237" t="s">
        <v>1514</v>
      </c>
      <c r="I24" s="1237" t="s">
        <v>60</v>
      </c>
      <c r="J24" s="84" t="s">
        <v>205</v>
      </c>
      <c r="K24" s="84" t="s">
        <v>2131</v>
      </c>
      <c r="L24" s="84" t="s">
        <v>2055</v>
      </c>
      <c r="M24" s="84" t="s">
        <v>2132</v>
      </c>
      <c r="N24" s="85" t="s">
        <v>43</v>
      </c>
      <c r="O24" s="85" t="s">
        <v>43</v>
      </c>
      <c r="P24" s="85" t="s">
        <v>43</v>
      </c>
      <c r="Q24" s="85" t="s">
        <v>43</v>
      </c>
      <c r="R24" s="85" t="s">
        <v>43</v>
      </c>
      <c r="S24" s="85" t="s">
        <v>43</v>
      </c>
      <c r="T24" s="1237" t="s">
        <v>166</v>
      </c>
      <c r="U24" s="1237" t="s">
        <v>167</v>
      </c>
      <c r="V24" s="1124" t="s">
        <v>202</v>
      </c>
      <c r="W24" s="1237" t="s">
        <v>1084</v>
      </c>
      <c r="X24" s="1294"/>
      <c r="Y24" s="1237"/>
      <c r="Z24" s="1237"/>
      <c r="AA24" s="219">
        <v>8960000</v>
      </c>
      <c r="AB24" s="1237">
        <v>14040801</v>
      </c>
      <c r="AC24" s="1237" t="s">
        <v>12033</v>
      </c>
      <c r="AD24" s="864" t="s">
        <v>12035</v>
      </c>
      <c r="AE24" s="864"/>
      <c r="AF24" s="864"/>
      <c r="AG24" s="864"/>
    </row>
    <row r="25" spans="1:33" s="862" customFormat="1" ht="18">
      <c r="A25" s="175">
        <v>24</v>
      </c>
      <c r="B25" s="1237" t="s">
        <v>1722</v>
      </c>
      <c r="C25" s="1907"/>
      <c r="D25" s="1907" t="s">
        <v>1598</v>
      </c>
      <c r="E25" s="1906" t="s">
        <v>2136</v>
      </c>
      <c r="F25" s="1906"/>
      <c r="G25" s="85" t="s">
        <v>43</v>
      </c>
      <c r="H25" s="1237" t="s">
        <v>84</v>
      </c>
      <c r="I25" s="1237" t="s">
        <v>45</v>
      </c>
      <c r="J25" s="1237" t="s">
        <v>201</v>
      </c>
      <c r="K25" s="84" t="s">
        <v>2137</v>
      </c>
      <c r="L25" s="84" t="s">
        <v>2138</v>
      </c>
      <c r="M25" s="84" t="s">
        <v>2139</v>
      </c>
      <c r="N25" s="85" t="s">
        <v>43</v>
      </c>
      <c r="O25" s="85" t="s">
        <v>43</v>
      </c>
      <c r="P25" s="85" t="s">
        <v>43</v>
      </c>
      <c r="Q25" s="85" t="s">
        <v>43</v>
      </c>
      <c r="R25" s="85" t="s">
        <v>43</v>
      </c>
      <c r="S25" s="85" t="s">
        <v>43</v>
      </c>
      <c r="T25" s="86" t="s">
        <v>68</v>
      </c>
      <c r="U25" s="1237" t="s">
        <v>50</v>
      </c>
      <c r="V25" s="1124" t="s">
        <v>202</v>
      </c>
      <c r="W25" s="1237"/>
      <c r="X25" s="1294"/>
      <c r="Y25" s="1237"/>
      <c r="Z25" s="1237"/>
      <c r="AA25" s="1289"/>
      <c r="AB25" s="1237">
        <v>14040720</v>
      </c>
      <c r="AC25" s="1237"/>
      <c r="AD25" s="864"/>
      <c r="AE25" s="864"/>
      <c r="AF25" s="864"/>
      <c r="AG25" s="864"/>
    </row>
    <row r="26" spans="1:33" s="862" customFormat="1" ht="19.5">
      <c r="A26" s="175">
        <v>25</v>
      </c>
      <c r="B26" s="1237" t="s">
        <v>1722</v>
      </c>
      <c r="C26" s="1907"/>
      <c r="D26" s="1907"/>
      <c r="E26" s="1908" t="s">
        <v>2160</v>
      </c>
      <c r="F26" s="1908"/>
      <c r="G26" s="85" t="s">
        <v>43</v>
      </c>
      <c r="H26" s="1237" t="s">
        <v>84</v>
      </c>
      <c r="I26" s="1237" t="s">
        <v>45</v>
      </c>
      <c r="J26" s="1237" t="s">
        <v>201</v>
      </c>
      <c r="K26" s="84" t="s">
        <v>2161</v>
      </c>
      <c r="L26" s="84" t="s">
        <v>2162</v>
      </c>
      <c r="M26" s="84" t="s">
        <v>2163</v>
      </c>
      <c r="N26" s="1295"/>
      <c r="O26" s="1237"/>
      <c r="P26" s="1237"/>
      <c r="Q26" s="1238"/>
      <c r="R26" s="1238"/>
      <c r="S26" s="1237"/>
      <c r="T26" s="86" t="s">
        <v>68</v>
      </c>
      <c r="U26" s="1237" t="s">
        <v>50</v>
      </c>
      <c r="V26" s="1124" t="s">
        <v>202</v>
      </c>
      <c r="W26" s="1237"/>
      <c r="X26" s="1294"/>
      <c r="Y26" s="1237"/>
      <c r="Z26" s="1237"/>
      <c r="AA26" s="1289"/>
      <c r="AB26" s="1237">
        <v>14040801</v>
      </c>
      <c r="AC26" s="1237" t="s">
        <v>12031</v>
      </c>
      <c r="AD26" s="864" t="s">
        <v>12039</v>
      </c>
      <c r="AE26" s="864"/>
      <c r="AF26" s="864"/>
      <c r="AG26" s="864"/>
    </row>
    <row r="27" spans="1:33" s="862" customFormat="1" ht="18">
      <c r="A27" s="175">
        <v>26</v>
      </c>
      <c r="B27" s="1237" t="s">
        <v>1737</v>
      </c>
      <c r="C27" s="1907"/>
      <c r="D27" s="1907"/>
      <c r="E27" s="1908" t="s">
        <v>2174</v>
      </c>
      <c r="F27" s="1908"/>
      <c r="G27" s="85" t="s">
        <v>2175</v>
      </c>
      <c r="H27" s="1237" t="s">
        <v>335</v>
      </c>
      <c r="I27" s="1237" t="s">
        <v>108</v>
      </c>
      <c r="J27" s="84" t="s">
        <v>205</v>
      </c>
      <c r="K27" s="84" t="s">
        <v>2176</v>
      </c>
      <c r="L27" s="84" t="s">
        <v>2177</v>
      </c>
      <c r="M27" s="84" t="s">
        <v>2178</v>
      </c>
      <c r="N27" s="84"/>
      <c r="O27" s="84" t="s">
        <v>438</v>
      </c>
      <c r="P27" s="84"/>
      <c r="Q27" s="1238"/>
      <c r="R27" s="1238"/>
      <c r="S27" s="1237"/>
      <c r="T27" s="1237" t="s">
        <v>315</v>
      </c>
      <c r="U27" s="1237" t="s">
        <v>2179</v>
      </c>
      <c r="V27" s="1124" t="s">
        <v>202</v>
      </c>
      <c r="W27" s="1237"/>
      <c r="X27" s="1294"/>
      <c r="Y27" s="1237"/>
      <c r="Z27" s="219"/>
      <c r="AA27" s="219">
        <v>4480000</v>
      </c>
      <c r="AB27" s="1237"/>
      <c r="AC27" s="1237" t="s">
        <v>12043</v>
      </c>
      <c r="AD27" s="864" t="s">
        <v>12044</v>
      </c>
      <c r="AE27" s="864"/>
      <c r="AF27" s="864"/>
      <c r="AG27" s="864"/>
    </row>
    <row r="28" spans="1:33" s="862" customFormat="1" ht="19.5">
      <c r="A28" s="175">
        <v>27</v>
      </c>
      <c r="B28" s="1237" t="s">
        <v>1737</v>
      </c>
      <c r="C28" s="1907"/>
      <c r="D28" s="1907"/>
      <c r="E28" s="1908" t="s">
        <v>2180</v>
      </c>
      <c r="F28" s="1908"/>
      <c r="G28" s="85" t="s">
        <v>2181</v>
      </c>
      <c r="H28" s="1237" t="s">
        <v>335</v>
      </c>
      <c r="I28" s="1237" t="s">
        <v>168</v>
      </c>
      <c r="J28" s="84" t="s">
        <v>205</v>
      </c>
      <c r="K28" s="84" t="s">
        <v>2182</v>
      </c>
      <c r="L28" s="1295" t="s">
        <v>2183</v>
      </c>
      <c r="M28" s="84" t="s">
        <v>2184</v>
      </c>
      <c r="N28" s="84"/>
      <c r="O28" s="84"/>
      <c r="P28" s="84"/>
      <c r="Q28" s="1238"/>
      <c r="R28" s="1238"/>
      <c r="S28" s="1237"/>
      <c r="T28" s="86" t="s">
        <v>68</v>
      </c>
      <c r="U28" s="1237" t="s">
        <v>1504</v>
      </c>
      <c r="V28" s="1124" t="s">
        <v>202</v>
      </c>
      <c r="W28" s="1237"/>
      <c r="X28" s="1294"/>
      <c r="Y28" s="1237"/>
      <c r="Z28" s="219"/>
      <c r="AA28" s="219">
        <v>4480000</v>
      </c>
      <c r="AB28" s="1237"/>
      <c r="AC28" s="1237" t="s">
        <v>12043</v>
      </c>
      <c r="AD28" s="864" t="s">
        <v>12044</v>
      </c>
      <c r="AE28" s="864"/>
      <c r="AF28" s="864"/>
      <c r="AG28" s="864"/>
    </row>
    <row r="29" spans="1:33" s="862" customFormat="1" ht="19.5" customHeight="1">
      <c r="A29" s="175">
        <v>28</v>
      </c>
      <c r="B29" s="1237" t="s">
        <v>1737</v>
      </c>
      <c r="C29" s="1907"/>
      <c r="D29" s="1907"/>
      <c r="E29" s="1908" t="s">
        <v>2207</v>
      </c>
      <c r="F29" s="1908"/>
      <c r="G29" s="85" t="s">
        <v>43</v>
      </c>
      <c r="H29" s="1237" t="s">
        <v>84</v>
      </c>
      <c r="I29" s="1237" t="s">
        <v>45</v>
      </c>
      <c r="J29" s="1237" t="s">
        <v>201</v>
      </c>
      <c r="K29" s="1296" t="s">
        <v>2208</v>
      </c>
      <c r="L29" s="84" t="s">
        <v>2209</v>
      </c>
      <c r="M29" s="84" t="s">
        <v>2210</v>
      </c>
      <c r="N29" s="84"/>
      <c r="O29" s="1237"/>
      <c r="P29" s="1237"/>
      <c r="Q29" s="1238"/>
      <c r="R29" s="1238"/>
      <c r="S29" s="1237"/>
      <c r="T29" s="86" t="s">
        <v>68</v>
      </c>
      <c r="U29" s="1237" t="s">
        <v>50</v>
      </c>
      <c r="V29" s="1124" t="s">
        <v>202</v>
      </c>
      <c r="W29" s="1237"/>
      <c r="X29" s="1294"/>
      <c r="Y29" s="1237"/>
      <c r="Z29" s="1237"/>
      <c r="AA29" s="1289"/>
      <c r="AB29" s="1237"/>
      <c r="AC29" s="1237" t="s">
        <v>12031</v>
      </c>
      <c r="AD29" s="864" t="s">
        <v>12039</v>
      </c>
      <c r="AE29" s="864"/>
      <c r="AF29" s="864"/>
      <c r="AG29" s="864"/>
    </row>
    <row r="30" spans="1:33" s="83" customFormat="1" ht="18">
      <c r="A30" s="175">
        <v>29</v>
      </c>
      <c r="B30" s="1289"/>
      <c r="C30" s="1289" t="s">
        <v>1604</v>
      </c>
      <c r="D30" s="84" t="s">
        <v>1608</v>
      </c>
      <c r="E30" s="1906" t="s">
        <v>2315</v>
      </c>
      <c r="F30" s="1906"/>
      <c r="G30" s="85" t="s">
        <v>2316</v>
      </c>
      <c r="H30" s="218" t="s">
        <v>7763</v>
      </c>
      <c r="I30" s="1237" t="s">
        <v>260</v>
      </c>
      <c r="J30" s="1237">
        <v>512</v>
      </c>
      <c r="K30" s="84" t="s">
        <v>2317</v>
      </c>
      <c r="L30" s="84" t="s">
        <v>2318</v>
      </c>
      <c r="M30" s="84" t="s">
        <v>2319</v>
      </c>
      <c r="N30" s="85" t="s">
        <v>43</v>
      </c>
      <c r="O30" s="85" t="s">
        <v>43</v>
      </c>
      <c r="P30" s="85" t="s">
        <v>43</v>
      </c>
      <c r="Q30" s="85" t="s">
        <v>43</v>
      </c>
      <c r="R30" s="85" t="s">
        <v>43</v>
      </c>
      <c r="S30" s="85" t="s">
        <v>43</v>
      </c>
      <c r="T30" s="1237" t="s">
        <v>166</v>
      </c>
      <c r="U30" s="1237" t="s">
        <v>167</v>
      </c>
      <c r="V30" s="1124" t="s">
        <v>202</v>
      </c>
      <c r="W30" s="85" t="s">
        <v>43</v>
      </c>
      <c r="X30" s="293">
        <v>12800000</v>
      </c>
      <c r="Y30" s="1237"/>
      <c r="Z30" s="1237"/>
      <c r="AA30" s="1237"/>
      <c r="AB30" s="1237"/>
      <c r="AC30" s="1237" t="s">
        <v>12033</v>
      </c>
      <c r="AD30" s="864" t="s">
        <v>12035</v>
      </c>
      <c r="AE30" s="1237" t="s">
        <v>12060</v>
      </c>
      <c r="AF30" s="1237"/>
      <c r="AG30" s="1237"/>
    </row>
    <row r="31" spans="1:33" s="83" customFormat="1" ht="18">
      <c r="A31" s="175">
        <v>30</v>
      </c>
      <c r="B31" s="1289"/>
      <c r="C31" s="1289" t="s">
        <v>1592</v>
      </c>
      <c r="D31" s="84" t="s">
        <v>1641</v>
      </c>
      <c r="E31" s="1906" t="s">
        <v>1658</v>
      </c>
      <c r="F31" s="1906"/>
      <c r="G31" s="85" t="s">
        <v>9190</v>
      </c>
      <c r="H31" s="1237" t="s">
        <v>9183</v>
      </c>
      <c r="I31" s="1237" t="s">
        <v>168</v>
      </c>
      <c r="J31" s="1124" t="s">
        <v>201</v>
      </c>
      <c r="K31" s="84" t="s">
        <v>1660</v>
      </c>
      <c r="L31" s="84" t="s">
        <v>1661</v>
      </c>
      <c r="M31" s="84" t="s">
        <v>1662</v>
      </c>
      <c r="N31" s="85" t="s">
        <v>43</v>
      </c>
      <c r="O31" s="85" t="s">
        <v>43</v>
      </c>
      <c r="P31" s="85" t="s">
        <v>43</v>
      </c>
      <c r="Q31" s="85" t="s">
        <v>43</v>
      </c>
      <c r="R31" s="85" t="s">
        <v>43</v>
      </c>
      <c r="S31" s="85" t="s">
        <v>43</v>
      </c>
      <c r="T31" s="86" t="s">
        <v>68</v>
      </c>
      <c r="U31" s="1237" t="s">
        <v>1504</v>
      </c>
      <c r="V31" s="1124" t="s">
        <v>202</v>
      </c>
      <c r="W31" s="85" t="s">
        <v>43</v>
      </c>
      <c r="X31" s="219">
        <v>1600000</v>
      </c>
      <c r="Y31" s="1237"/>
      <c r="Z31" s="1237"/>
      <c r="AA31" s="1289"/>
      <c r="AB31" s="1289"/>
      <c r="AC31" s="1237" t="s">
        <v>12033</v>
      </c>
      <c r="AD31" s="864" t="s">
        <v>12035</v>
      </c>
      <c r="AE31" s="1237" t="s">
        <v>12060</v>
      </c>
      <c r="AF31" s="1237"/>
      <c r="AG31" s="1237"/>
    </row>
    <row r="32" spans="1:33" s="862" customFormat="1" ht="15.75" customHeight="1">
      <c r="A32" s="175">
        <v>31</v>
      </c>
      <c r="B32" s="1289"/>
      <c r="C32" s="1907" t="s">
        <v>933</v>
      </c>
      <c r="D32" s="1907" t="s">
        <v>933</v>
      </c>
      <c r="E32" s="1289"/>
      <c r="F32" s="1289"/>
      <c r="G32" s="1289"/>
      <c r="H32" s="87" t="s">
        <v>3351</v>
      </c>
      <c r="I32" s="1237" t="s">
        <v>249</v>
      </c>
      <c r="J32" s="1237" t="s">
        <v>60</v>
      </c>
      <c r="K32" s="1124" t="s">
        <v>204</v>
      </c>
      <c r="L32" s="1289"/>
      <c r="M32" s="1289"/>
      <c r="N32" s="1289"/>
      <c r="O32" s="1289"/>
      <c r="P32" s="85" t="s">
        <v>43</v>
      </c>
      <c r="Q32" s="1289"/>
      <c r="R32" s="1289"/>
      <c r="S32" s="1289"/>
      <c r="T32" s="85" t="s">
        <v>43</v>
      </c>
      <c r="U32" s="85" t="s">
        <v>43</v>
      </c>
      <c r="V32" s="85" t="s">
        <v>43</v>
      </c>
      <c r="W32" s="85" t="s">
        <v>43</v>
      </c>
      <c r="X32" s="1238" t="s">
        <v>3354</v>
      </c>
      <c r="Y32" s="1289"/>
      <c r="Z32" s="1289"/>
      <c r="AA32" s="1289"/>
      <c r="AB32" s="219">
        <v>0</v>
      </c>
      <c r="AC32" s="1237" t="s">
        <v>9192</v>
      </c>
      <c r="AD32" s="864" t="s">
        <v>9251</v>
      </c>
      <c r="AE32" s="864"/>
      <c r="AF32" s="864"/>
      <c r="AG32" s="864"/>
    </row>
    <row r="33" spans="1:33" s="862" customFormat="1" ht="15.75" customHeight="1">
      <c r="A33" s="175">
        <v>32</v>
      </c>
      <c r="B33" s="1289"/>
      <c r="C33" s="1907"/>
      <c r="D33" s="1907"/>
      <c r="E33" s="1289"/>
      <c r="F33" s="1289"/>
      <c r="G33" s="1289"/>
      <c r="H33" s="87" t="s">
        <v>3355</v>
      </c>
      <c r="I33" s="1237" t="s">
        <v>2968</v>
      </c>
      <c r="J33" s="1237" t="s">
        <v>60</v>
      </c>
      <c r="K33" s="1124" t="s">
        <v>204</v>
      </c>
      <c r="L33" s="1289"/>
      <c r="M33" s="1289"/>
      <c r="N33" s="1237" t="s">
        <v>3410</v>
      </c>
      <c r="O33" s="1237" t="s">
        <v>3352</v>
      </c>
      <c r="P33" s="85" t="s">
        <v>43</v>
      </c>
      <c r="Q33" s="1289"/>
      <c r="R33" s="85" t="s">
        <v>43</v>
      </c>
      <c r="S33" s="1238" t="s">
        <v>3353</v>
      </c>
      <c r="T33" s="85" t="s">
        <v>43</v>
      </c>
      <c r="U33" s="85" t="s">
        <v>43</v>
      </c>
      <c r="V33" s="85" t="s">
        <v>43</v>
      </c>
      <c r="W33" s="85" t="s">
        <v>43</v>
      </c>
      <c r="X33" s="1238" t="s">
        <v>3232</v>
      </c>
      <c r="Y33" s="1289"/>
      <c r="Z33" s="1289"/>
      <c r="AA33" s="1289"/>
      <c r="AB33" s="219">
        <v>0</v>
      </c>
      <c r="AC33" s="1237" t="s">
        <v>9192</v>
      </c>
      <c r="AD33" s="864" t="s">
        <v>9251</v>
      </c>
      <c r="AE33" s="864"/>
      <c r="AF33" s="864" t="s">
        <v>12072</v>
      </c>
      <c r="AG33" s="864"/>
    </row>
    <row r="34" spans="1:33" s="862" customFormat="1" ht="15.75" customHeight="1">
      <c r="A34" s="175">
        <v>33</v>
      </c>
      <c r="B34" s="1289"/>
      <c r="C34" s="1907"/>
      <c r="D34" s="1907"/>
      <c r="E34" s="1289"/>
      <c r="F34" s="1289"/>
      <c r="G34" s="1289"/>
      <c r="H34" s="85" t="s">
        <v>3349</v>
      </c>
      <c r="I34" s="1237" t="s">
        <v>249</v>
      </c>
      <c r="J34" s="1237" t="s">
        <v>60</v>
      </c>
      <c r="K34" s="1124" t="s">
        <v>204</v>
      </c>
      <c r="L34" s="1289"/>
      <c r="M34" s="1289"/>
      <c r="N34" s="1289"/>
      <c r="O34" s="1289"/>
      <c r="P34" s="85" t="s">
        <v>43</v>
      </c>
      <c r="Q34" s="1289"/>
      <c r="R34" s="1289"/>
      <c r="S34" s="1289"/>
      <c r="T34" s="85" t="s">
        <v>43</v>
      </c>
      <c r="U34" s="85" t="s">
        <v>43</v>
      </c>
      <c r="V34" s="85" t="s">
        <v>43</v>
      </c>
      <c r="W34" s="85" t="s">
        <v>43</v>
      </c>
      <c r="X34" s="85" t="s">
        <v>43</v>
      </c>
      <c r="Y34" s="1289"/>
      <c r="Z34" s="1289"/>
      <c r="AA34" s="1289"/>
      <c r="AB34" s="219">
        <v>0</v>
      </c>
      <c r="AC34" s="1237" t="s">
        <v>9192</v>
      </c>
      <c r="AD34" s="864" t="s">
        <v>9251</v>
      </c>
      <c r="AE34" s="864" t="s">
        <v>11858</v>
      </c>
      <c r="AF34" s="864" t="s">
        <v>12072</v>
      </c>
      <c r="AG34" s="864"/>
    </row>
    <row r="35" spans="1:33" s="102" customFormat="1" ht="18">
      <c r="A35" s="175">
        <v>34</v>
      </c>
      <c r="B35" s="1237"/>
      <c r="C35" s="1907"/>
      <c r="D35" s="1907"/>
      <c r="E35" s="84" t="s">
        <v>3366</v>
      </c>
      <c r="F35" s="1906" t="s">
        <v>3452</v>
      </c>
      <c r="G35" s="1906"/>
      <c r="H35" s="85" t="s">
        <v>9206</v>
      </c>
      <c r="I35" s="1237" t="s">
        <v>1659</v>
      </c>
      <c r="J35" s="1237" t="s">
        <v>168</v>
      </c>
      <c r="K35" s="1237">
        <v>512</v>
      </c>
      <c r="L35" s="84" t="s">
        <v>3453</v>
      </c>
      <c r="M35" s="84" t="s">
        <v>3454</v>
      </c>
      <c r="N35" s="84" t="s">
        <v>3455</v>
      </c>
      <c r="O35" s="85" t="s">
        <v>43</v>
      </c>
      <c r="P35" s="85" t="s">
        <v>43</v>
      </c>
      <c r="Q35" s="85" t="s">
        <v>43</v>
      </c>
      <c r="R35" s="85" t="s">
        <v>43</v>
      </c>
      <c r="S35" s="85" t="s">
        <v>43</v>
      </c>
      <c r="T35" s="85" t="s">
        <v>43</v>
      </c>
      <c r="U35" s="1237" t="s">
        <v>68</v>
      </c>
      <c r="V35" s="1237" t="s">
        <v>1504</v>
      </c>
      <c r="W35" s="1124" t="s">
        <v>202</v>
      </c>
      <c r="X35" s="85" t="s">
        <v>43</v>
      </c>
      <c r="Y35" s="293">
        <v>4000000</v>
      </c>
      <c r="Z35" s="1237" t="s">
        <v>9192</v>
      </c>
      <c r="AA35" s="1237"/>
      <c r="AB35" s="1289" t="s">
        <v>12076</v>
      </c>
      <c r="AC35" s="1289"/>
      <c r="AD35" s="1237"/>
      <c r="AE35" s="1237"/>
      <c r="AF35" s="1237"/>
      <c r="AG35" s="1237"/>
    </row>
    <row r="36" spans="1:33" s="862" customFormat="1" ht="18">
      <c r="A36" s="175">
        <v>35</v>
      </c>
      <c r="B36" s="1237" t="s">
        <v>468</v>
      </c>
      <c r="C36" s="1289" t="s">
        <v>423</v>
      </c>
      <c r="D36" s="1289" t="s">
        <v>423</v>
      </c>
      <c r="E36" s="1906" t="s">
        <v>12084</v>
      </c>
      <c r="F36" s="1906"/>
      <c r="G36" s="85" t="s">
        <v>1096</v>
      </c>
      <c r="H36" s="1237" t="s">
        <v>335</v>
      </c>
      <c r="I36" s="1237" t="s">
        <v>168</v>
      </c>
      <c r="J36" s="1124" t="s">
        <v>205</v>
      </c>
      <c r="K36" s="84" t="s">
        <v>1097</v>
      </c>
      <c r="L36" s="84" t="s">
        <v>1098</v>
      </c>
      <c r="M36" s="84" t="s">
        <v>1099</v>
      </c>
      <c r="N36" s="85" t="s">
        <v>43</v>
      </c>
      <c r="O36" s="85" t="s">
        <v>43</v>
      </c>
      <c r="P36" s="85" t="s">
        <v>43</v>
      </c>
      <c r="Q36" s="85" t="s">
        <v>43</v>
      </c>
      <c r="R36" s="85" t="s">
        <v>43</v>
      </c>
      <c r="S36" s="85" t="s">
        <v>43</v>
      </c>
      <c r="T36" s="86" t="s">
        <v>68</v>
      </c>
      <c r="U36" s="1237" t="s">
        <v>170</v>
      </c>
      <c r="V36" s="1124" t="s">
        <v>202</v>
      </c>
      <c r="W36" s="85" t="s">
        <v>43</v>
      </c>
      <c r="X36" s="219">
        <v>4480000</v>
      </c>
      <c r="Y36" s="1237"/>
      <c r="Z36" s="1237"/>
      <c r="AA36" s="1289"/>
      <c r="AB36" s="1237">
        <v>14040401</v>
      </c>
      <c r="AC36" s="1237" t="s">
        <v>12031</v>
      </c>
      <c r="AD36" s="864" t="s">
        <v>12035</v>
      </c>
      <c r="AE36" s="864"/>
      <c r="AF36" s="864"/>
      <c r="AG36" s="864"/>
    </row>
    <row r="37" spans="1:33" s="862" customFormat="1" ht="18">
      <c r="A37" s="175">
        <v>36</v>
      </c>
      <c r="B37" s="1237" t="s">
        <v>425</v>
      </c>
      <c r="C37" s="1289" t="s">
        <v>423</v>
      </c>
      <c r="D37" s="1289" t="s">
        <v>423</v>
      </c>
      <c r="E37" s="1906" t="s">
        <v>1102</v>
      </c>
      <c r="F37" s="1906"/>
      <c r="G37" s="85" t="s">
        <v>1103</v>
      </c>
      <c r="H37" s="1237" t="s">
        <v>335</v>
      </c>
      <c r="I37" s="1237" t="s">
        <v>168</v>
      </c>
      <c r="J37" s="1124" t="s">
        <v>205</v>
      </c>
      <c r="K37" s="84" t="s">
        <v>1104</v>
      </c>
      <c r="L37" s="84" t="s">
        <v>1105</v>
      </c>
      <c r="M37" s="84" t="s">
        <v>1106</v>
      </c>
      <c r="N37" s="85" t="s">
        <v>43</v>
      </c>
      <c r="O37" s="85" t="s">
        <v>43</v>
      </c>
      <c r="P37" s="85" t="s">
        <v>43</v>
      </c>
      <c r="Q37" s="85" t="s">
        <v>43</v>
      </c>
      <c r="R37" s="85" t="s">
        <v>43</v>
      </c>
      <c r="S37" s="85" t="s">
        <v>43</v>
      </c>
      <c r="T37" s="86" t="s">
        <v>68</v>
      </c>
      <c r="U37" s="1237" t="s">
        <v>170</v>
      </c>
      <c r="V37" s="1124" t="s">
        <v>202</v>
      </c>
      <c r="W37" s="85" t="s">
        <v>43</v>
      </c>
      <c r="X37" s="219">
        <v>4480000</v>
      </c>
      <c r="Y37" s="1237"/>
      <c r="Z37" s="1237"/>
      <c r="AA37" s="1289"/>
      <c r="AB37" s="1237"/>
      <c r="AC37" s="1237" t="s">
        <v>12031</v>
      </c>
      <c r="AD37" s="864" t="s">
        <v>12035</v>
      </c>
      <c r="AE37" s="864"/>
      <c r="AF37" s="864"/>
      <c r="AG37" s="864"/>
    </row>
    <row r="38" spans="1:33" ht="18">
      <c r="A38" s="175">
        <v>37</v>
      </c>
      <c r="B38" s="1297" t="s">
        <v>423</v>
      </c>
      <c r="C38" s="1297" t="s">
        <v>423</v>
      </c>
      <c r="D38" s="1298" t="s">
        <v>9437</v>
      </c>
      <c r="E38" s="1298" t="s">
        <v>9438</v>
      </c>
      <c r="F38" s="1297" t="s">
        <v>9347</v>
      </c>
      <c r="G38" s="1299" t="s">
        <v>9439</v>
      </c>
      <c r="H38" s="1299"/>
      <c r="I38" s="84" t="s">
        <v>1107</v>
      </c>
      <c r="J38" s="1300" t="s">
        <v>969</v>
      </c>
      <c r="K38" s="1301">
        <v>4725000</v>
      </c>
      <c r="L38" s="1301" t="s">
        <v>375</v>
      </c>
      <c r="M38" s="1301" t="s">
        <v>1084</v>
      </c>
      <c r="N38" s="1289"/>
      <c r="O38" s="1289"/>
      <c r="P38" s="1289"/>
      <c r="Q38" s="1289"/>
      <c r="R38" s="1289"/>
      <c r="S38" s="1289"/>
      <c r="T38" s="1289"/>
      <c r="U38" s="1289"/>
      <c r="V38" s="1289"/>
      <c r="W38" s="1289"/>
      <c r="X38" s="1289"/>
      <c r="Y38" s="1289"/>
      <c r="Z38" s="1289"/>
      <c r="AA38" s="1289"/>
      <c r="AB38" s="1289">
        <v>14041125</v>
      </c>
      <c r="AC38" s="1289" t="s">
        <v>12088</v>
      </c>
      <c r="AD38" s="1289"/>
      <c r="AE38" s="1289"/>
      <c r="AF38" s="1289"/>
      <c r="AG38" s="1289"/>
    </row>
    <row r="39" spans="1:33" s="862" customFormat="1" ht="18">
      <c r="A39" s="175">
        <v>38</v>
      </c>
      <c r="B39" s="1237" t="s">
        <v>425</v>
      </c>
      <c r="C39" s="1289" t="s">
        <v>423</v>
      </c>
      <c r="D39" s="1289" t="s">
        <v>423</v>
      </c>
      <c r="E39" s="1906" t="s">
        <v>1111</v>
      </c>
      <c r="F39" s="1906"/>
      <c r="G39" s="85" t="s">
        <v>1112</v>
      </c>
      <c r="H39" s="1237" t="s">
        <v>335</v>
      </c>
      <c r="I39" s="1237" t="s">
        <v>168</v>
      </c>
      <c r="J39" s="1124" t="s">
        <v>205</v>
      </c>
      <c r="K39" s="84" t="s">
        <v>1113</v>
      </c>
      <c r="L39" s="84" t="s">
        <v>1114</v>
      </c>
      <c r="M39" s="84" t="s">
        <v>1115</v>
      </c>
      <c r="N39" s="85" t="s">
        <v>43</v>
      </c>
      <c r="O39" s="85" t="s">
        <v>43</v>
      </c>
      <c r="P39" s="85" t="s">
        <v>43</v>
      </c>
      <c r="Q39" s="85" t="s">
        <v>43</v>
      </c>
      <c r="R39" s="85" t="s">
        <v>43</v>
      </c>
      <c r="S39" s="85" t="s">
        <v>43</v>
      </c>
      <c r="T39" s="86" t="s">
        <v>68</v>
      </c>
      <c r="U39" s="1237" t="s">
        <v>170</v>
      </c>
      <c r="V39" s="1124" t="s">
        <v>202</v>
      </c>
      <c r="W39" s="85" t="s">
        <v>43</v>
      </c>
      <c r="X39" s="219">
        <v>4480000</v>
      </c>
      <c r="Y39" s="1237"/>
      <c r="Z39" s="1237"/>
      <c r="AA39" s="1289"/>
      <c r="AB39" s="1237"/>
      <c r="AC39" s="1237" t="s">
        <v>12031</v>
      </c>
      <c r="AD39" s="864"/>
      <c r="AE39" s="864"/>
      <c r="AF39" s="864"/>
      <c r="AG39" s="864"/>
    </row>
    <row r="40" spans="1:33" s="862" customFormat="1" ht="18">
      <c r="A40" s="175">
        <v>39</v>
      </c>
      <c r="B40" s="1237" t="s">
        <v>468</v>
      </c>
      <c r="C40" s="1289" t="s">
        <v>423</v>
      </c>
      <c r="D40" s="1289" t="s">
        <v>423</v>
      </c>
      <c r="E40" s="1289" t="s">
        <v>1127</v>
      </c>
      <c r="F40" s="1289"/>
      <c r="G40" s="85" t="s">
        <v>1128</v>
      </c>
      <c r="H40" s="1237" t="s">
        <v>335</v>
      </c>
      <c r="I40" s="1237" t="s">
        <v>168</v>
      </c>
      <c r="J40" s="1124" t="s">
        <v>205</v>
      </c>
      <c r="K40" s="1289"/>
      <c r="L40" s="84" t="s">
        <v>1130</v>
      </c>
      <c r="M40" s="84" t="s">
        <v>1131</v>
      </c>
      <c r="N40" s="85" t="s">
        <v>43</v>
      </c>
      <c r="O40" s="85" t="s">
        <v>43</v>
      </c>
      <c r="P40" s="85" t="s">
        <v>43</v>
      </c>
      <c r="Q40" s="85" t="s">
        <v>43</v>
      </c>
      <c r="R40" s="85" t="s">
        <v>43</v>
      </c>
      <c r="S40" s="1237" t="s">
        <v>1132</v>
      </c>
      <c r="T40" s="86" t="s">
        <v>68</v>
      </c>
      <c r="U40" s="1237" t="s">
        <v>170</v>
      </c>
      <c r="V40" s="1124" t="s">
        <v>202</v>
      </c>
      <c r="W40" s="1237" t="s">
        <v>1084</v>
      </c>
      <c r="X40" s="219">
        <v>4480000</v>
      </c>
      <c r="Y40" s="1237"/>
      <c r="Z40" s="1237"/>
      <c r="AA40" s="1289"/>
      <c r="AB40" s="1237" t="s">
        <v>12089</v>
      </c>
      <c r="AC40" s="1237" t="s">
        <v>12090</v>
      </c>
      <c r="AD40" s="864"/>
      <c r="AE40" s="864"/>
      <c r="AF40" s="864"/>
      <c r="AG40" s="864"/>
    </row>
    <row r="41" spans="1:33" s="862" customFormat="1" ht="18">
      <c r="A41" s="175">
        <v>40</v>
      </c>
      <c r="B41" s="1237" t="s">
        <v>480</v>
      </c>
      <c r="C41" s="1289" t="s">
        <v>423</v>
      </c>
      <c r="D41" s="1289" t="s">
        <v>423</v>
      </c>
      <c r="E41" s="1906" t="s">
        <v>12091</v>
      </c>
      <c r="F41" s="1906"/>
      <c r="G41" s="85" t="s">
        <v>43</v>
      </c>
      <c r="H41" s="1237" t="s">
        <v>84</v>
      </c>
      <c r="I41" s="1237" t="s">
        <v>45</v>
      </c>
      <c r="J41" s="1290" t="s">
        <v>201</v>
      </c>
      <c r="K41" s="1237" t="s">
        <v>1135</v>
      </c>
      <c r="L41" s="84" t="s">
        <v>1136</v>
      </c>
      <c r="M41" s="84" t="s">
        <v>1137</v>
      </c>
      <c r="N41" s="85" t="s">
        <v>43</v>
      </c>
      <c r="O41" s="85" t="s">
        <v>43</v>
      </c>
      <c r="P41" s="85" t="s">
        <v>43</v>
      </c>
      <c r="Q41" s="85" t="s">
        <v>43</v>
      </c>
      <c r="R41" s="85" t="s">
        <v>43</v>
      </c>
      <c r="S41" s="85" t="s">
        <v>43</v>
      </c>
      <c r="T41" s="86" t="s">
        <v>68</v>
      </c>
      <c r="U41" s="1237" t="s">
        <v>50</v>
      </c>
      <c r="V41" s="1124" t="s">
        <v>202</v>
      </c>
      <c r="W41" s="1237" t="s">
        <v>1138</v>
      </c>
      <c r="X41" s="1294"/>
      <c r="Y41" s="1237"/>
      <c r="Z41" s="1237"/>
      <c r="AA41" s="1289"/>
      <c r="AB41" s="1237">
        <v>14040801</v>
      </c>
      <c r="AC41" s="1237"/>
      <c r="AD41" s="864"/>
      <c r="AE41" s="864"/>
      <c r="AF41" s="864"/>
      <c r="AG41" s="864"/>
    </row>
    <row r="42" spans="1:33" s="862" customFormat="1" ht="18">
      <c r="A42" s="175">
        <v>41</v>
      </c>
      <c r="B42" s="1237" t="s">
        <v>475</v>
      </c>
      <c r="C42" s="1289" t="s">
        <v>423</v>
      </c>
      <c r="D42" s="1289" t="s">
        <v>423</v>
      </c>
      <c r="E42" s="1906" t="s">
        <v>1139</v>
      </c>
      <c r="F42" s="1906"/>
      <c r="G42" s="85" t="s">
        <v>43</v>
      </c>
      <c r="H42" s="1237" t="s">
        <v>84</v>
      </c>
      <c r="I42" s="1237" t="s">
        <v>45</v>
      </c>
      <c r="J42" s="1290" t="s">
        <v>201</v>
      </c>
      <c r="K42" s="84" t="s">
        <v>1140</v>
      </c>
      <c r="L42" s="84" t="s">
        <v>1141</v>
      </c>
      <c r="M42" s="84" t="s">
        <v>1142</v>
      </c>
      <c r="N42" s="85" t="s">
        <v>43</v>
      </c>
      <c r="O42" s="85" t="s">
        <v>43</v>
      </c>
      <c r="P42" s="85" t="s">
        <v>43</v>
      </c>
      <c r="Q42" s="85" t="s">
        <v>43</v>
      </c>
      <c r="R42" s="85" t="s">
        <v>43</v>
      </c>
      <c r="S42" s="85" t="s">
        <v>43</v>
      </c>
      <c r="T42" s="86" t="s">
        <v>68</v>
      </c>
      <c r="U42" s="1237" t="s">
        <v>50</v>
      </c>
      <c r="V42" s="1124" t="s">
        <v>202</v>
      </c>
      <c r="W42" s="85" t="s">
        <v>43</v>
      </c>
      <c r="X42" s="1294"/>
      <c r="Y42" s="1237"/>
      <c r="Z42" s="1237"/>
      <c r="AA42" s="1289"/>
      <c r="AB42" s="1237">
        <v>14040801</v>
      </c>
      <c r="AC42" s="1237"/>
      <c r="AD42" s="864"/>
      <c r="AE42" s="864"/>
      <c r="AF42" s="864"/>
      <c r="AG42" s="864"/>
    </row>
    <row r="43" spans="1:33" s="862" customFormat="1" ht="18">
      <c r="A43" s="175">
        <v>42</v>
      </c>
      <c r="B43" s="1237" t="s">
        <v>425</v>
      </c>
      <c r="C43" s="1289" t="s">
        <v>423</v>
      </c>
      <c r="D43" s="1289" t="s">
        <v>423</v>
      </c>
      <c r="E43" s="1906" t="s">
        <v>1144</v>
      </c>
      <c r="F43" s="1906"/>
      <c r="G43" s="85" t="s">
        <v>43</v>
      </c>
      <c r="H43" s="1237" t="s">
        <v>84</v>
      </c>
      <c r="I43" s="1237" t="s">
        <v>45</v>
      </c>
      <c r="J43" s="1290" t="s">
        <v>201</v>
      </c>
      <c r="K43" s="84" t="s">
        <v>1145</v>
      </c>
      <c r="L43" s="84" t="s">
        <v>1146</v>
      </c>
      <c r="M43" s="84" t="s">
        <v>1147</v>
      </c>
      <c r="N43" s="85" t="s">
        <v>43</v>
      </c>
      <c r="O43" s="85" t="s">
        <v>43</v>
      </c>
      <c r="P43" s="85" t="s">
        <v>43</v>
      </c>
      <c r="Q43" s="85" t="s">
        <v>43</v>
      </c>
      <c r="R43" s="85" t="s">
        <v>43</v>
      </c>
      <c r="S43" s="85" t="s">
        <v>43</v>
      </c>
      <c r="T43" s="86" t="s">
        <v>68</v>
      </c>
      <c r="U43" s="1237" t="s">
        <v>50</v>
      </c>
      <c r="V43" s="1124" t="s">
        <v>202</v>
      </c>
      <c r="W43" s="85" t="s">
        <v>43</v>
      </c>
      <c r="X43" s="1294"/>
      <c r="Y43" s="1237"/>
      <c r="Z43" s="1237"/>
      <c r="AA43" s="1289"/>
      <c r="AB43" s="1237"/>
      <c r="AC43" s="1237"/>
      <c r="AD43" s="864"/>
      <c r="AE43" s="864"/>
      <c r="AF43" s="864"/>
      <c r="AG43" s="864"/>
    </row>
    <row r="44" spans="1:33" s="862" customFormat="1" ht="18">
      <c r="A44" s="175">
        <v>43</v>
      </c>
      <c r="B44" s="1237" t="s">
        <v>468</v>
      </c>
      <c r="C44" s="1289" t="s">
        <v>423</v>
      </c>
      <c r="D44" s="1289" t="s">
        <v>423</v>
      </c>
      <c r="E44" s="1906" t="s">
        <v>1157</v>
      </c>
      <c r="F44" s="1906"/>
      <c r="G44" s="85" t="s">
        <v>43</v>
      </c>
      <c r="H44" s="1237" t="s">
        <v>1158</v>
      </c>
      <c r="I44" s="1237" t="s">
        <v>45</v>
      </c>
      <c r="J44" s="1290" t="s">
        <v>201</v>
      </c>
      <c r="K44" s="84" t="s">
        <v>1159</v>
      </c>
      <c r="L44" s="84" t="s">
        <v>1160</v>
      </c>
      <c r="M44" s="84" t="s">
        <v>1161</v>
      </c>
      <c r="N44" s="85" t="s">
        <v>43</v>
      </c>
      <c r="O44" s="85" t="s">
        <v>43</v>
      </c>
      <c r="P44" s="85" t="s">
        <v>43</v>
      </c>
      <c r="Q44" s="85" t="s">
        <v>43</v>
      </c>
      <c r="R44" s="85" t="s">
        <v>43</v>
      </c>
      <c r="S44" s="85" t="s">
        <v>43</v>
      </c>
      <c r="T44" s="86" t="s">
        <v>68</v>
      </c>
      <c r="U44" s="1237" t="s">
        <v>50</v>
      </c>
      <c r="V44" s="1124" t="s">
        <v>202</v>
      </c>
      <c r="W44" s="85" t="s">
        <v>43</v>
      </c>
      <c r="X44" s="1294"/>
      <c r="Y44" s="1237"/>
      <c r="Z44" s="1237"/>
      <c r="AA44" s="1289"/>
      <c r="AB44" s="1237">
        <v>14031201</v>
      </c>
      <c r="AC44" s="1237"/>
      <c r="AD44" s="864"/>
      <c r="AE44" s="864"/>
      <c r="AF44" s="864"/>
      <c r="AG44" s="864"/>
    </row>
    <row r="45" spans="1:33" s="862" customFormat="1" ht="18">
      <c r="A45" s="175">
        <v>44</v>
      </c>
      <c r="B45" s="1237" t="s">
        <v>441</v>
      </c>
      <c r="C45" s="1289" t="s">
        <v>423</v>
      </c>
      <c r="D45" s="1289" t="s">
        <v>423</v>
      </c>
      <c r="E45" s="1906" t="s">
        <v>1169</v>
      </c>
      <c r="F45" s="1906"/>
      <c r="G45" s="85" t="s">
        <v>1170</v>
      </c>
      <c r="H45" s="1237" t="s">
        <v>335</v>
      </c>
      <c r="I45" s="1237" t="s">
        <v>168</v>
      </c>
      <c r="J45" s="1124" t="s">
        <v>205</v>
      </c>
      <c r="K45" s="84" t="s">
        <v>1171</v>
      </c>
      <c r="L45" s="84" t="s">
        <v>1172</v>
      </c>
      <c r="M45" s="84" t="s">
        <v>1173</v>
      </c>
      <c r="N45" s="85" t="s">
        <v>43</v>
      </c>
      <c r="O45" s="85" t="s">
        <v>43</v>
      </c>
      <c r="P45" s="85" t="s">
        <v>43</v>
      </c>
      <c r="Q45" s="85" t="s">
        <v>43</v>
      </c>
      <c r="R45" s="85" t="s">
        <v>43</v>
      </c>
      <c r="S45" s="85" t="s">
        <v>43</v>
      </c>
      <c r="T45" s="86" t="s">
        <v>68</v>
      </c>
      <c r="U45" s="1237" t="s">
        <v>170</v>
      </c>
      <c r="V45" s="1124" t="s">
        <v>202</v>
      </c>
      <c r="W45" s="85" t="s">
        <v>43</v>
      </c>
      <c r="X45" s="219">
        <v>4480000</v>
      </c>
      <c r="Y45" s="1237"/>
      <c r="Z45" s="1237"/>
      <c r="AA45" s="1289"/>
      <c r="AB45" s="1289" t="s">
        <v>12076</v>
      </c>
      <c r="AC45" s="1237"/>
      <c r="AD45" s="864"/>
      <c r="AE45" s="864"/>
      <c r="AF45" s="864"/>
      <c r="AG45" s="864"/>
    </row>
    <row r="46" spans="1:33" s="862" customFormat="1" ht="19.5">
      <c r="A46" s="175">
        <v>45</v>
      </c>
      <c r="B46" s="1237" t="s">
        <v>425</v>
      </c>
      <c r="C46" s="1289" t="s">
        <v>423</v>
      </c>
      <c r="D46" s="1289" t="s">
        <v>423</v>
      </c>
      <c r="E46" s="1906" t="s">
        <v>1174</v>
      </c>
      <c r="F46" s="1906"/>
      <c r="G46" s="85"/>
      <c r="H46" s="1237" t="s">
        <v>84</v>
      </c>
      <c r="I46" s="1237" t="s">
        <v>45</v>
      </c>
      <c r="J46" s="1290" t="s">
        <v>201</v>
      </c>
      <c r="K46" s="84" t="s">
        <v>1175</v>
      </c>
      <c r="L46" s="1295" t="s">
        <v>1176</v>
      </c>
      <c r="M46" s="84" t="s">
        <v>1177</v>
      </c>
      <c r="N46" s="85" t="s">
        <v>43</v>
      </c>
      <c r="O46" s="85" t="s">
        <v>43</v>
      </c>
      <c r="P46" s="85" t="s">
        <v>43</v>
      </c>
      <c r="Q46" s="85" t="s">
        <v>43</v>
      </c>
      <c r="R46" s="85" t="s">
        <v>43</v>
      </c>
      <c r="S46" s="85" t="s">
        <v>43</v>
      </c>
      <c r="T46" s="86" t="s">
        <v>68</v>
      </c>
      <c r="U46" s="1237" t="s">
        <v>50</v>
      </c>
      <c r="V46" s="1124" t="s">
        <v>202</v>
      </c>
      <c r="W46" s="1237" t="s">
        <v>1084</v>
      </c>
      <c r="X46" s="1294"/>
      <c r="Y46" s="1237"/>
      <c r="Z46" s="1237"/>
      <c r="AA46" s="1289"/>
      <c r="AB46" s="1289" t="s">
        <v>12076</v>
      </c>
      <c r="AC46" s="1237"/>
      <c r="AD46" s="864"/>
      <c r="AE46" s="864"/>
      <c r="AF46" s="864"/>
      <c r="AG46" s="864"/>
    </row>
    <row r="47" spans="1:33" s="862" customFormat="1" ht="18">
      <c r="A47" s="175">
        <v>46</v>
      </c>
      <c r="B47" s="1237" t="s">
        <v>480</v>
      </c>
      <c r="C47" s="1289" t="s">
        <v>423</v>
      </c>
      <c r="D47" s="1289" t="s">
        <v>423</v>
      </c>
      <c r="E47" s="1906" t="s">
        <v>1178</v>
      </c>
      <c r="F47" s="1906"/>
      <c r="G47" s="85"/>
      <c r="H47" s="1237" t="s">
        <v>84</v>
      </c>
      <c r="I47" s="1237" t="s">
        <v>45</v>
      </c>
      <c r="J47" s="1290" t="s">
        <v>201</v>
      </c>
      <c r="K47" s="84" t="s">
        <v>1179</v>
      </c>
      <c r="L47" s="84" t="s">
        <v>1180</v>
      </c>
      <c r="M47" s="84" t="s">
        <v>1181</v>
      </c>
      <c r="N47" s="85" t="s">
        <v>43</v>
      </c>
      <c r="O47" s="85" t="s">
        <v>43</v>
      </c>
      <c r="P47" s="85" t="s">
        <v>43</v>
      </c>
      <c r="Q47" s="85" t="s">
        <v>43</v>
      </c>
      <c r="R47" s="85" t="s">
        <v>43</v>
      </c>
      <c r="S47" s="85" t="s">
        <v>43</v>
      </c>
      <c r="T47" s="86" t="s">
        <v>68</v>
      </c>
      <c r="U47" s="1237" t="s">
        <v>50</v>
      </c>
      <c r="V47" s="1124" t="s">
        <v>202</v>
      </c>
      <c r="W47" s="85" t="s">
        <v>43</v>
      </c>
      <c r="X47" s="1294"/>
      <c r="Y47" s="1237"/>
      <c r="Z47" s="1237"/>
      <c r="AA47" s="1289"/>
      <c r="AB47" s="1289" t="s">
        <v>12076</v>
      </c>
      <c r="AC47" s="1237"/>
      <c r="AD47" s="864"/>
      <c r="AE47" s="864"/>
      <c r="AF47" s="864"/>
      <c r="AG47" s="864"/>
    </row>
    <row r="48" spans="1:33" s="862" customFormat="1" ht="19.5">
      <c r="A48" s="175">
        <v>47</v>
      </c>
      <c r="B48" s="1237" t="s">
        <v>468</v>
      </c>
      <c r="C48" s="1289" t="s">
        <v>423</v>
      </c>
      <c r="D48" s="1289" t="s">
        <v>423</v>
      </c>
      <c r="E48" s="1906" t="s">
        <v>1188</v>
      </c>
      <c r="F48" s="1906"/>
      <c r="G48" s="85">
        <v>95018830111</v>
      </c>
      <c r="H48" s="1237" t="s">
        <v>335</v>
      </c>
      <c r="I48" s="1237" t="s">
        <v>168</v>
      </c>
      <c r="J48" s="1124" t="s">
        <v>205</v>
      </c>
      <c r="K48" s="84" t="s">
        <v>1189</v>
      </c>
      <c r="L48" s="84" t="s">
        <v>1190</v>
      </c>
      <c r="M48" s="84" t="s">
        <v>1191</v>
      </c>
      <c r="N48" s="1295"/>
      <c r="O48" s="1237"/>
      <c r="P48" s="1238"/>
      <c r="Q48" s="1238"/>
      <c r="R48" s="1238"/>
      <c r="S48" s="1237"/>
      <c r="T48" s="86" t="s">
        <v>68</v>
      </c>
      <c r="U48" s="1237" t="s">
        <v>170</v>
      </c>
      <c r="V48" s="1124" t="s">
        <v>202</v>
      </c>
      <c r="W48" s="1237" t="s">
        <v>1084</v>
      </c>
      <c r="X48" s="219">
        <v>4480000</v>
      </c>
      <c r="Y48" s="1237"/>
      <c r="Z48" s="1237"/>
      <c r="AA48" s="1289"/>
      <c r="AB48" s="1237" t="s">
        <v>12097</v>
      </c>
      <c r="AC48" s="1237" t="s">
        <v>12031</v>
      </c>
      <c r="AD48" s="864"/>
      <c r="AE48" s="864"/>
      <c r="AF48" s="864"/>
      <c r="AG48" s="864"/>
    </row>
    <row r="49" spans="1:33" s="862" customFormat="1" ht="18">
      <c r="A49" s="175">
        <v>48</v>
      </c>
      <c r="B49" s="1237" t="s">
        <v>441</v>
      </c>
      <c r="C49" s="1289" t="s">
        <v>423</v>
      </c>
      <c r="D49" s="1289" t="s">
        <v>423</v>
      </c>
      <c r="E49" s="1906" t="s">
        <v>1192</v>
      </c>
      <c r="F49" s="1906"/>
      <c r="G49" s="85" t="s">
        <v>12098</v>
      </c>
      <c r="H49" s="1237" t="s">
        <v>335</v>
      </c>
      <c r="I49" s="1237" t="s">
        <v>260</v>
      </c>
      <c r="J49" s="1124" t="s">
        <v>205</v>
      </c>
      <c r="K49" s="84" t="s">
        <v>1193</v>
      </c>
      <c r="L49" s="84" t="s">
        <v>1194</v>
      </c>
      <c r="M49" s="84" t="s">
        <v>1195</v>
      </c>
      <c r="N49" s="84"/>
      <c r="O49" s="1237"/>
      <c r="P49" s="1238"/>
      <c r="Q49" s="1238"/>
      <c r="R49" s="1238"/>
      <c r="S49" s="1237"/>
      <c r="T49" s="86" t="s">
        <v>68</v>
      </c>
      <c r="U49" s="1237" t="s">
        <v>170</v>
      </c>
      <c r="V49" s="1124" t="s">
        <v>202</v>
      </c>
      <c r="W49" s="1237"/>
      <c r="X49" s="219">
        <v>4480000</v>
      </c>
      <c r="Y49" s="1237"/>
      <c r="Z49" s="1237"/>
      <c r="AA49" s="1289"/>
      <c r="AB49" s="1289" t="s">
        <v>12099</v>
      </c>
      <c r="AC49" s="1237" t="s">
        <v>12031</v>
      </c>
      <c r="AD49" s="864"/>
      <c r="AE49" s="864"/>
      <c r="AF49" s="864"/>
      <c r="AG49" s="864"/>
    </row>
    <row r="50" spans="1:33" s="862" customFormat="1" ht="18">
      <c r="A50" s="175">
        <v>49</v>
      </c>
      <c r="B50" s="1237" t="s">
        <v>475</v>
      </c>
      <c r="C50" s="1289" t="s">
        <v>423</v>
      </c>
      <c r="D50" s="1289" t="s">
        <v>423</v>
      </c>
      <c r="E50" s="1906" t="s">
        <v>1209</v>
      </c>
      <c r="F50" s="1906"/>
      <c r="G50" s="85">
        <v>95019770460</v>
      </c>
      <c r="H50" s="1237" t="s">
        <v>335</v>
      </c>
      <c r="I50" s="1237" t="s">
        <v>168</v>
      </c>
      <c r="J50" s="1124" t="s">
        <v>205</v>
      </c>
      <c r="K50" s="84" t="s">
        <v>1210</v>
      </c>
      <c r="L50" s="84" t="s">
        <v>1211</v>
      </c>
      <c r="M50" s="84" t="s">
        <v>1212</v>
      </c>
      <c r="N50" s="84"/>
      <c r="O50" s="1237"/>
      <c r="P50" s="1238"/>
      <c r="Q50" s="1238"/>
      <c r="R50" s="1238"/>
      <c r="S50" s="1237"/>
      <c r="T50" s="86" t="s">
        <v>68</v>
      </c>
      <c r="U50" s="1237" t="s">
        <v>170</v>
      </c>
      <c r="V50" s="1124" t="s">
        <v>202</v>
      </c>
      <c r="W50" s="1237" t="s">
        <v>1084</v>
      </c>
      <c r="X50" s="219">
        <v>4480000</v>
      </c>
      <c r="Y50" s="1237"/>
      <c r="Z50" s="1237"/>
      <c r="AA50" s="1289"/>
      <c r="AB50" s="1289" t="s">
        <v>12076</v>
      </c>
      <c r="AC50" s="1237"/>
      <c r="AD50" s="864"/>
      <c r="AE50" s="864"/>
      <c r="AF50" s="864"/>
      <c r="AG50" s="864"/>
    </row>
    <row r="51" spans="1:33" s="862" customFormat="1" ht="18">
      <c r="A51" s="175">
        <v>50</v>
      </c>
      <c r="B51" s="1237" t="s">
        <v>468</v>
      </c>
      <c r="C51" s="1289" t="s">
        <v>423</v>
      </c>
      <c r="D51" s="1289" t="s">
        <v>423</v>
      </c>
      <c r="E51" s="1906" t="s">
        <v>1217</v>
      </c>
      <c r="F51" s="1906"/>
      <c r="G51" s="85" t="s">
        <v>43</v>
      </c>
      <c r="H51" s="1237" t="s">
        <v>84</v>
      </c>
      <c r="I51" s="1237" t="s">
        <v>45</v>
      </c>
      <c r="J51" s="1290" t="s">
        <v>201</v>
      </c>
      <c r="K51" s="84" t="s">
        <v>1218</v>
      </c>
      <c r="L51" s="84" t="s">
        <v>1219</v>
      </c>
      <c r="M51" s="84" t="s">
        <v>1220</v>
      </c>
      <c r="N51" s="84"/>
      <c r="O51" s="1237"/>
      <c r="P51" s="1238"/>
      <c r="Q51" s="1238"/>
      <c r="R51" s="1238"/>
      <c r="S51" s="1237"/>
      <c r="T51" s="86" t="s">
        <v>68</v>
      </c>
      <c r="U51" s="1237" t="s">
        <v>50</v>
      </c>
      <c r="V51" s="1124" t="s">
        <v>202</v>
      </c>
      <c r="W51" s="1237"/>
      <c r="X51" s="1294"/>
      <c r="Y51" s="1237"/>
      <c r="Z51" s="1237"/>
      <c r="AA51" s="1289"/>
      <c r="AB51" s="1289" t="s">
        <v>12076</v>
      </c>
      <c r="AC51" s="1237"/>
      <c r="AD51" s="864"/>
      <c r="AE51" s="864"/>
      <c r="AF51" s="864"/>
      <c r="AG51" s="864"/>
    </row>
    <row r="52" spans="1:33" s="862" customFormat="1" ht="18">
      <c r="A52" s="175">
        <v>51</v>
      </c>
      <c r="B52" s="1237" t="s">
        <v>475</v>
      </c>
      <c r="C52" s="1289" t="s">
        <v>423</v>
      </c>
      <c r="D52" s="1289" t="s">
        <v>423</v>
      </c>
      <c r="E52" s="1906" t="s">
        <v>12102</v>
      </c>
      <c r="F52" s="1906"/>
      <c r="G52" s="85" t="s">
        <v>43</v>
      </c>
      <c r="H52" s="1237" t="s">
        <v>84</v>
      </c>
      <c r="I52" s="1237" t="s">
        <v>45</v>
      </c>
      <c r="J52" s="1290" t="s">
        <v>201</v>
      </c>
      <c r="K52" s="84" t="s">
        <v>12103</v>
      </c>
      <c r="L52" s="84" t="s">
        <v>12104</v>
      </c>
      <c r="M52" s="84" t="s">
        <v>12105</v>
      </c>
      <c r="N52" s="85" t="s">
        <v>43</v>
      </c>
      <c r="O52" s="85" t="s">
        <v>12106</v>
      </c>
      <c r="P52" s="85" t="s">
        <v>43</v>
      </c>
      <c r="Q52" s="1237"/>
      <c r="R52" s="1237"/>
      <c r="S52" s="1237"/>
      <c r="T52" s="1237"/>
      <c r="U52" s="1237"/>
      <c r="V52" s="1237"/>
      <c r="W52" s="1237"/>
      <c r="X52" s="1237"/>
      <c r="Y52" s="1237"/>
      <c r="Z52" s="1237"/>
      <c r="AA52" s="1237"/>
      <c r="AB52" s="1289" t="s">
        <v>12076</v>
      </c>
      <c r="AC52" s="1237"/>
      <c r="AD52" s="864"/>
      <c r="AE52" s="864"/>
      <c r="AF52" s="864"/>
      <c r="AG52" s="864"/>
    </row>
    <row r="53" spans="1:33" s="862" customFormat="1" ht="18">
      <c r="A53" s="175">
        <v>52</v>
      </c>
      <c r="B53" s="1237" t="s">
        <v>425</v>
      </c>
      <c r="C53" s="1289" t="s">
        <v>423</v>
      </c>
      <c r="D53" s="1289" t="s">
        <v>423</v>
      </c>
      <c r="E53" s="1906" t="s">
        <v>1226</v>
      </c>
      <c r="F53" s="1906"/>
      <c r="G53" s="85" t="s">
        <v>43</v>
      </c>
      <c r="H53" s="1237" t="s">
        <v>84</v>
      </c>
      <c r="I53" s="1237" t="s">
        <v>45</v>
      </c>
      <c r="J53" s="1290" t="s">
        <v>201</v>
      </c>
      <c r="K53" s="84" t="s">
        <v>1227</v>
      </c>
      <c r="L53" s="84" t="s">
        <v>1228</v>
      </c>
      <c r="M53" s="84" t="s">
        <v>1229</v>
      </c>
      <c r="N53" s="84"/>
      <c r="O53" s="1237"/>
      <c r="P53" s="1238"/>
      <c r="Q53" s="1238"/>
      <c r="R53" s="1238"/>
      <c r="S53" s="1237"/>
      <c r="T53" s="86" t="s">
        <v>68</v>
      </c>
      <c r="U53" s="1237" t="s">
        <v>50</v>
      </c>
      <c r="V53" s="1124" t="s">
        <v>202</v>
      </c>
      <c r="W53" s="1237"/>
      <c r="X53" s="1294"/>
      <c r="Y53" s="1237"/>
      <c r="Z53" s="1237"/>
      <c r="AA53" s="1289"/>
      <c r="AB53" s="1237">
        <v>14040801</v>
      </c>
      <c r="AC53" s="1237"/>
      <c r="AD53" s="864"/>
      <c r="AE53" s="864"/>
      <c r="AF53" s="864"/>
      <c r="AG53" s="864"/>
    </row>
    <row r="54" spans="1:33" s="862" customFormat="1" ht="18">
      <c r="A54" s="175">
        <v>53</v>
      </c>
      <c r="B54" s="1237" t="s">
        <v>475</v>
      </c>
      <c r="C54" s="1289" t="s">
        <v>423</v>
      </c>
      <c r="D54" s="1289" t="s">
        <v>423</v>
      </c>
      <c r="E54" s="1906" t="s">
        <v>12102</v>
      </c>
      <c r="F54" s="1906"/>
      <c r="G54" s="85" t="s">
        <v>43</v>
      </c>
      <c r="H54" s="1237" t="s">
        <v>84</v>
      </c>
      <c r="I54" s="1237" t="s">
        <v>45</v>
      </c>
      <c r="J54" s="1290" t="s">
        <v>201</v>
      </c>
      <c r="K54" s="84" t="s">
        <v>12103</v>
      </c>
      <c r="L54" s="84" t="s">
        <v>12104</v>
      </c>
      <c r="M54" s="84" t="s">
        <v>12105</v>
      </c>
      <c r="N54" s="85" t="s">
        <v>43</v>
      </c>
      <c r="O54" s="85" t="s">
        <v>12106</v>
      </c>
      <c r="P54" s="85" t="s">
        <v>43</v>
      </c>
      <c r="Q54" s="1237"/>
      <c r="R54" s="1237"/>
      <c r="S54" s="1237"/>
      <c r="T54" s="1237"/>
      <c r="U54" s="1237"/>
      <c r="V54" s="1237"/>
      <c r="W54" s="1237"/>
      <c r="X54" s="1237"/>
      <c r="Y54" s="1237"/>
      <c r="Z54" s="1237"/>
      <c r="AA54" s="1237"/>
      <c r="AB54" s="1237">
        <v>14040401</v>
      </c>
      <c r="AC54" s="1237"/>
      <c r="AD54" s="864"/>
      <c r="AE54" s="864"/>
      <c r="AF54" s="864"/>
      <c r="AG54" s="864"/>
    </row>
    <row r="55" spans="1:33" s="862" customFormat="1" ht="18">
      <c r="A55" s="175">
        <v>54</v>
      </c>
      <c r="B55" s="1237" t="s">
        <v>425</v>
      </c>
      <c r="C55" s="1289" t="s">
        <v>423</v>
      </c>
      <c r="D55" s="1289" t="s">
        <v>423</v>
      </c>
      <c r="E55" s="1906" t="s">
        <v>1230</v>
      </c>
      <c r="F55" s="1906"/>
      <c r="G55" s="85" t="s">
        <v>43</v>
      </c>
      <c r="H55" s="1237" t="s">
        <v>84</v>
      </c>
      <c r="I55" s="1237" t="s">
        <v>45</v>
      </c>
      <c r="J55" s="1290" t="s">
        <v>201</v>
      </c>
      <c r="K55" s="84" t="s">
        <v>1231</v>
      </c>
      <c r="L55" s="84" t="s">
        <v>1232</v>
      </c>
      <c r="M55" s="84" t="s">
        <v>1233</v>
      </c>
      <c r="N55" s="84"/>
      <c r="O55" s="1237"/>
      <c r="P55" s="1238"/>
      <c r="Q55" s="1238"/>
      <c r="R55" s="1238"/>
      <c r="S55" s="1237"/>
      <c r="T55" s="86" t="s">
        <v>68</v>
      </c>
      <c r="U55" s="1237" t="s">
        <v>50</v>
      </c>
      <c r="V55" s="1124" t="s">
        <v>202</v>
      </c>
      <c r="W55" s="1237"/>
      <c r="X55" s="1294"/>
      <c r="Y55" s="1237"/>
      <c r="Z55" s="1237"/>
      <c r="AA55" s="1289"/>
      <c r="AB55" s="1237"/>
      <c r="AC55" s="1237"/>
      <c r="AD55" s="864"/>
      <c r="AE55" s="864"/>
      <c r="AF55" s="864"/>
      <c r="AG55" s="864"/>
    </row>
    <row r="56" spans="1:33" s="862" customFormat="1" ht="18">
      <c r="A56" s="175">
        <v>55</v>
      </c>
      <c r="B56" s="1237" t="s">
        <v>468</v>
      </c>
      <c r="C56" s="1289" t="s">
        <v>423</v>
      </c>
      <c r="D56" s="1289" t="s">
        <v>423</v>
      </c>
      <c r="E56" s="1906" t="s">
        <v>1268</v>
      </c>
      <c r="F56" s="1906"/>
      <c r="G56" s="85">
        <v>95019826135</v>
      </c>
      <c r="H56" s="1237" t="s">
        <v>335</v>
      </c>
      <c r="I56" s="1237" t="s">
        <v>168</v>
      </c>
      <c r="J56" s="1124" t="s">
        <v>205</v>
      </c>
      <c r="K56" s="84" t="s">
        <v>1269</v>
      </c>
      <c r="L56" s="84" t="s">
        <v>1270</v>
      </c>
      <c r="M56" s="84" t="s">
        <v>1271</v>
      </c>
      <c r="N56" s="84"/>
      <c r="O56" s="1237"/>
      <c r="P56" s="1238"/>
      <c r="Q56" s="1238"/>
      <c r="R56" s="1238"/>
      <c r="S56" s="1237"/>
      <c r="T56" s="86" t="s">
        <v>68</v>
      </c>
      <c r="U56" s="1237" t="s">
        <v>170</v>
      </c>
      <c r="V56" s="1124" t="s">
        <v>202</v>
      </c>
      <c r="W56" s="1237"/>
      <c r="X56" s="219">
        <v>4480000</v>
      </c>
      <c r="Y56" s="1237"/>
      <c r="Z56" s="1237"/>
      <c r="AA56" s="1289"/>
      <c r="AB56" s="1289" t="s">
        <v>12076</v>
      </c>
      <c r="AC56" s="1237"/>
      <c r="AD56" s="864"/>
      <c r="AE56" s="864"/>
      <c r="AF56" s="864"/>
      <c r="AG56" s="864"/>
    </row>
    <row r="57" spans="1:33" s="862" customFormat="1" ht="18">
      <c r="A57" s="175">
        <v>56</v>
      </c>
      <c r="B57" s="1237" t="s">
        <v>468</v>
      </c>
      <c r="C57" s="1289" t="s">
        <v>423</v>
      </c>
      <c r="D57" s="1289" t="s">
        <v>423</v>
      </c>
      <c r="E57" s="1906" t="s">
        <v>1280</v>
      </c>
      <c r="F57" s="1906"/>
      <c r="G57" s="85">
        <v>95019896694</v>
      </c>
      <c r="H57" s="1237" t="s">
        <v>335</v>
      </c>
      <c r="I57" s="1237" t="s">
        <v>168</v>
      </c>
      <c r="J57" s="1124" t="s">
        <v>205</v>
      </c>
      <c r="K57" s="84" t="s">
        <v>1281</v>
      </c>
      <c r="L57" s="84" t="s">
        <v>1282</v>
      </c>
      <c r="M57" s="84" t="s">
        <v>1283</v>
      </c>
      <c r="N57" s="84"/>
      <c r="O57" s="1237"/>
      <c r="P57" s="1238"/>
      <c r="Q57" s="1238"/>
      <c r="R57" s="1238"/>
      <c r="S57" s="1237"/>
      <c r="T57" s="86" t="s">
        <v>68</v>
      </c>
      <c r="U57" s="1237" t="s">
        <v>170</v>
      </c>
      <c r="V57" s="1124" t="s">
        <v>202</v>
      </c>
      <c r="W57" s="1237"/>
      <c r="X57" s="219">
        <v>4480000</v>
      </c>
      <c r="Y57" s="1237"/>
      <c r="Z57" s="1237"/>
      <c r="AA57" s="1289"/>
      <c r="AB57" s="1237" t="s">
        <v>12111</v>
      </c>
      <c r="AC57" s="1237"/>
      <c r="AD57" s="864"/>
      <c r="AE57" s="864"/>
      <c r="AF57" s="864"/>
      <c r="AG57" s="864"/>
    </row>
    <row r="58" spans="1:33" s="862" customFormat="1" ht="19.5">
      <c r="A58" s="175">
        <v>57</v>
      </c>
      <c r="B58" s="1237" t="s">
        <v>480</v>
      </c>
      <c r="C58" s="1289" t="s">
        <v>423</v>
      </c>
      <c r="D58" s="1289" t="s">
        <v>423</v>
      </c>
      <c r="E58" s="1906" t="s">
        <v>1290</v>
      </c>
      <c r="F58" s="1906"/>
      <c r="G58" s="85">
        <v>95019768030</v>
      </c>
      <c r="H58" s="1237" t="s">
        <v>335</v>
      </c>
      <c r="I58" s="1237" t="s">
        <v>168</v>
      </c>
      <c r="J58" s="1124" t="s">
        <v>205</v>
      </c>
      <c r="K58" s="84" t="s">
        <v>1291</v>
      </c>
      <c r="L58" s="84" t="s">
        <v>1292</v>
      </c>
      <c r="M58" s="84" t="s">
        <v>1293</v>
      </c>
      <c r="N58" s="1295"/>
      <c r="O58" s="1237"/>
      <c r="P58" s="1238"/>
      <c r="Q58" s="1238"/>
      <c r="R58" s="1238"/>
      <c r="S58" s="1237"/>
      <c r="T58" s="86" t="s">
        <v>68</v>
      </c>
      <c r="U58" s="1237" t="s">
        <v>170</v>
      </c>
      <c r="V58" s="1124" t="s">
        <v>202</v>
      </c>
      <c r="W58" s="1237"/>
      <c r="X58" s="219">
        <v>4480000</v>
      </c>
      <c r="Y58" s="1237"/>
      <c r="Z58" s="1237"/>
      <c r="AA58" s="1289"/>
      <c r="AB58" s="1289" t="s">
        <v>12076</v>
      </c>
      <c r="AC58" s="1237"/>
      <c r="AD58" s="864"/>
      <c r="AE58" s="864"/>
      <c r="AF58" s="864"/>
      <c r="AG58" s="864"/>
    </row>
    <row r="59" spans="1:33" s="862" customFormat="1" ht="18">
      <c r="A59" s="175">
        <v>58</v>
      </c>
      <c r="B59" s="1237" t="s">
        <v>468</v>
      </c>
      <c r="C59" s="1289" t="s">
        <v>423</v>
      </c>
      <c r="D59" s="1289" t="s">
        <v>423</v>
      </c>
      <c r="E59" s="1906" t="s">
        <v>1298</v>
      </c>
      <c r="F59" s="1906"/>
      <c r="G59" s="85">
        <v>95019818799</v>
      </c>
      <c r="H59" s="1237" t="s">
        <v>335</v>
      </c>
      <c r="I59" s="1237" t="s">
        <v>168</v>
      </c>
      <c r="J59" s="1124" t="s">
        <v>205</v>
      </c>
      <c r="K59" s="84" t="s">
        <v>1299</v>
      </c>
      <c r="L59" s="84" t="s">
        <v>1300</v>
      </c>
      <c r="M59" s="84" t="s">
        <v>1301</v>
      </c>
      <c r="N59" s="84"/>
      <c r="O59" s="1237"/>
      <c r="P59" s="1238"/>
      <c r="Q59" s="1238"/>
      <c r="R59" s="1238"/>
      <c r="S59" s="1237"/>
      <c r="T59" s="86" t="s">
        <v>68</v>
      </c>
      <c r="U59" s="1237" t="s">
        <v>170</v>
      </c>
      <c r="V59" s="1124" t="s">
        <v>202</v>
      </c>
      <c r="W59" s="1237"/>
      <c r="X59" s="219">
        <v>4480000</v>
      </c>
      <c r="Y59" s="1237"/>
      <c r="Z59" s="1237"/>
      <c r="AA59" s="1289"/>
      <c r="AB59" s="1289" t="s">
        <v>12076</v>
      </c>
      <c r="AC59" s="1237"/>
      <c r="AD59" s="864"/>
      <c r="AE59" s="864"/>
      <c r="AF59" s="864"/>
      <c r="AG59" s="864"/>
    </row>
    <row r="60" spans="1:33" s="862" customFormat="1" ht="18">
      <c r="A60" s="175">
        <v>59</v>
      </c>
      <c r="B60" s="1237" t="s">
        <v>468</v>
      </c>
      <c r="C60" s="1289" t="s">
        <v>423</v>
      </c>
      <c r="D60" s="1289" t="s">
        <v>423</v>
      </c>
      <c r="E60" s="1906" t="s">
        <v>1306</v>
      </c>
      <c r="F60" s="1906"/>
      <c r="G60" s="85" t="s">
        <v>1307</v>
      </c>
      <c r="H60" s="1237" t="s">
        <v>335</v>
      </c>
      <c r="I60" s="1237" t="s">
        <v>168</v>
      </c>
      <c r="J60" s="1124" t="s">
        <v>205</v>
      </c>
      <c r="K60" s="84" t="s">
        <v>1308</v>
      </c>
      <c r="L60" s="84" t="s">
        <v>1309</v>
      </c>
      <c r="M60" s="84" t="s">
        <v>1310</v>
      </c>
      <c r="N60" s="84"/>
      <c r="O60" s="1237"/>
      <c r="P60" s="1238"/>
      <c r="Q60" s="1238"/>
      <c r="R60" s="1238"/>
      <c r="S60" s="1237"/>
      <c r="T60" s="86" t="s">
        <v>68</v>
      </c>
      <c r="U60" s="1237" t="s">
        <v>170</v>
      </c>
      <c r="V60" s="1124" t="s">
        <v>202</v>
      </c>
      <c r="W60" s="1237"/>
      <c r="X60" s="219">
        <v>4480000</v>
      </c>
      <c r="Y60" s="1237"/>
      <c r="Z60" s="1237"/>
      <c r="AA60" s="1289"/>
      <c r="AB60" s="1289" t="s">
        <v>12076</v>
      </c>
      <c r="AC60" s="1237"/>
      <c r="AD60" s="864"/>
      <c r="AE60" s="864"/>
      <c r="AF60" s="864"/>
      <c r="AG60" s="864"/>
    </row>
    <row r="61" spans="1:33" s="862" customFormat="1" ht="18">
      <c r="A61" s="175">
        <v>60</v>
      </c>
      <c r="B61" s="1237" t="s">
        <v>480</v>
      </c>
      <c r="C61" s="1289" t="s">
        <v>423</v>
      </c>
      <c r="D61" s="1289" t="s">
        <v>423</v>
      </c>
      <c r="E61" s="1906" t="s">
        <v>1240</v>
      </c>
      <c r="F61" s="1906"/>
      <c r="G61" s="85">
        <v>95019795874</v>
      </c>
      <c r="H61" s="1237" t="s">
        <v>335</v>
      </c>
      <c r="I61" s="1237" t="s">
        <v>168</v>
      </c>
      <c r="J61" s="1124" t="s">
        <v>205</v>
      </c>
      <c r="K61" s="84" t="s">
        <v>1241</v>
      </c>
      <c r="L61" s="84" t="s">
        <v>1242</v>
      </c>
      <c r="M61" s="84" t="s">
        <v>1243</v>
      </c>
      <c r="N61" s="84"/>
      <c r="O61" s="1237"/>
      <c r="P61" s="1238"/>
      <c r="Q61" s="1238"/>
      <c r="R61" s="1238"/>
      <c r="S61" s="1237"/>
      <c r="T61" s="86" t="s">
        <v>68</v>
      </c>
      <c r="U61" s="1237" t="s">
        <v>170</v>
      </c>
      <c r="V61" s="1124" t="s">
        <v>202</v>
      </c>
      <c r="W61" s="1237"/>
      <c r="X61" s="219">
        <v>4480000</v>
      </c>
      <c r="Y61" s="1237"/>
      <c r="Z61" s="1237"/>
      <c r="AA61" s="1289"/>
      <c r="AB61" s="1237" t="s">
        <v>12111</v>
      </c>
      <c r="AC61" s="1237"/>
      <c r="AD61" s="864"/>
      <c r="AE61" s="864"/>
      <c r="AF61" s="864"/>
      <c r="AG61" s="864"/>
    </row>
    <row r="62" spans="1:33" s="862" customFormat="1" ht="18">
      <c r="A62" s="175">
        <v>61</v>
      </c>
      <c r="B62" s="1237" t="s">
        <v>468</v>
      </c>
      <c r="C62" s="1289" t="s">
        <v>423</v>
      </c>
      <c r="D62" s="1289" t="s">
        <v>423</v>
      </c>
      <c r="E62" s="1906" t="s">
        <v>1268</v>
      </c>
      <c r="F62" s="1906"/>
      <c r="G62" s="85">
        <v>95019826135</v>
      </c>
      <c r="H62" s="1237" t="s">
        <v>335</v>
      </c>
      <c r="I62" s="1237" t="s">
        <v>168</v>
      </c>
      <c r="J62" s="1124" t="s">
        <v>205</v>
      </c>
      <c r="K62" s="84" t="s">
        <v>1269</v>
      </c>
      <c r="L62" s="84" t="s">
        <v>1270</v>
      </c>
      <c r="M62" s="84" t="s">
        <v>1271</v>
      </c>
      <c r="N62" s="84"/>
      <c r="O62" s="1237"/>
      <c r="P62" s="1238"/>
      <c r="Q62" s="1238"/>
      <c r="R62" s="1238"/>
      <c r="S62" s="1237"/>
      <c r="T62" s="86" t="s">
        <v>68</v>
      </c>
      <c r="U62" s="1237" t="s">
        <v>170</v>
      </c>
      <c r="V62" s="1124" t="s">
        <v>202</v>
      </c>
      <c r="W62" s="1237"/>
      <c r="X62" s="219">
        <v>4480000</v>
      </c>
      <c r="Y62" s="1237"/>
      <c r="Z62" s="1237"/>
      <c r="AA62" s="1289"/>
      <c r="AB62" s="1237" t="s">
        <v>12111</v>
      </c>
      <c r="AC62" s="1237"/>
      <c r="AD62" s="864"/>
      <c r="AE62" s="864"/>
      <c r="AF62" s="864"/>
      <c r="AG62" s="864"/>
    </row>
    <row r="63" spans="1:33" s="862" customFormat="1" ht="19.5">
      <c r="A63" s="175">
        <v>62</v>
      </c>
      <c r="B63" s="1237" t="s">
        <v>480</v>
      </c>
      <c r="C63" s="1289" t="s">
        <v>423</v>
      </c>
      <c r="D63" s="1289" t="s">
        <v>423</v>
      </c>
      <c r="E63" s="1906" t="s">
        <v>1290</v>
      </c>
      <c r="F63" s="1906"/>
      <c r="G63" s="85">
        <v>95019768030</v>
      </c>
      <c r="H63" s="1237" t="s">
        <v>335</v>
      </c>
      <c r="I63" s="1237" t="s">
        <v>168</v>
      </c>
      <c r="J63" s="1124" t="s">
        <v>205</v>
      </c>
      <c r="K63" s="84" t="s">
        <v>1291</v>
      </c>
      <c r="L63" s="84" t="s">
        <v>1292</v>
      </c>
      <c r="M63" s="84" t="s">
        <v>1293</v>
      </c>
      <c r="N63" s="1295"/>
      <c r="O63" s="1237"/>
      <c r="P63" s="1238"/>
      <c r="Q63" s="1238"/>
      <c r="R63" s="1238"/>
      <c r="S63" s="1237"/>
      <c r="T63" s="86" t="s">
        <v>68</v>
      </c>
      <c r="U63" s="1237" t="s">
        <v>170</v>
      </c>
      <c r="V63" s="1124" t="s">
        <v>202</v>
      </c>
      <c r="W63" s="1237"/>
      <c r="X63" s="219">
        <v>4480000</v>
      </c>
      <c r="Y63" s="1237"/>
      <c r="Z63" s="1237"/>
      <c r="AA63" s="1289"/>
      <c r="AB63" s="1237" t="s">
        <v>12111</v>
      </c>
      <c r="AC63" s="1237"/>
      <c r="AD63" s="864"/>
      <c r="AE63" s="864"/>
      <c r="AF63" s="864"/>
      <c r="AG63" s="864"/>
    </row>
    <row r="64" spans="1:33" s="862" customFormat="1" ht="18">
      <c r="A64" s="175">
        <v>63</v>
      </c>
      <c r="B64" s="1237" t="s">
        <v>468</v>
      </c>
      <c r="C64" s="1289" t="s">
        <v>423</v>
      </c>
      <c r="D64" s="1289" t="s">
        <v>423</v>
      </c>
      <c r="E64" s="1906" t="s">
        <v>1298</v>
      </c>
      <c r="F64" s="1906"/>
      <c r="G64" s="85">
        <v>95019818799</v>
      </c>
      <c r="H64" s="1237" t="s">
        <v>335</v>
      </c>
      <c r="I64" s="1237" t="s">
        <v>168</v>
      </c>
      <c r="J64" s="1124" t="s">
        <v>205</v>
      </c>
      <c r="K64" s="84" t="s">
        <v>1299</v>
      </c>
      <c r="L64" s="84" t="s">
        <v>1300</v>
      </c>
      <c r="M64" s="84" t="s">
        <v>1301</v>
      </c>
      <c r="N64" s="84"/>
      <c r="O64" s="1237"/>
      <c r="P64" s="1238"/>
      <c r="Q64" s="1238"/>
      <c r="R64" s="1238"/>
      <c r="S64" s="1237"/>
      <c r="T64" s="86" t="s">
        <v>68</v>
      </c>
      <c r="U64" s="1237" t="s">
        <v>170</v>
      </c>
      <c r="V64" s="1124" t="s">
        <v>202</v>
      </c>
      <c r="W64" s="1237"/>
      <c r="X64" s="219">
        <v>4480000</v>
      </c>
      <c r="Y64" s="1237"/>
      <c r="Z64" s="1237"/>
      <c r="AA64" s="1289"/>
      <c r="AB64" s="1237" t="s">
        <v>12111</v>
      </c>
      <c r="AC64" s="1237"/>
      <c r="AD64" s="864"/>
      <c r="AE64" s="864"/>
      <c r="AF64" s="864"/>
      <c r="AG64" s="864"/>
    </row>
    <row r="65" spans="1:33" s="862" customFormat="1" ht="18">
      <c r="A65" s="175">
        <v>64</v>
      </c>
      <c r="B65" s="1237" t="s">
        <v>468</v>
      </c>
      <c r="C65" s="1289" t="s">
        <v>423</v>
      </c>
      <c r="D65" s="1289" t="s">
        <v>423</v>
      </c>
      <c r="E65" s="1906" t="s">
        <v>1306</v>
      </c>
      <c r="F65" s="1906"/>
      <c r="G65" s="85" t="s">
        <v>1307</v>
      </c>
      <c r="H65" s="1237" t="s">
        <v>335</v>
      </c>
      <c r="I65" s="1237" t="s">
        <v>168</v>
      </c>
      <c r="J65" s="1124" t="s">
        <v>205</v>
      </c>
      <c r="K65" s="84" t="s">
        <v>1308</v>
      </c>
      <c r="L65" s="84" t="s">
        <v>1309</v>
      </c>
      <c r="M65" s="84" t="s">
        <v>1310</v>
      </c>
      <c r="N65" s="84"/>
      <c r="O65" s="1237"/>
      <c r="P65" s="1238"/>
      <c r="Q65" s="1238"/>
      <c r="R65" s="1238"/>
      <c r="S65" s="1237"/>
      <c r="T65" s="86" t="s">
        <v>68</v>
      </c>
      <c r="U65" s="1237" t="s">
        <v>170</v>
      </c>
      <c r="V65" s="1124" t="s">
        <v>202</v>
      </c>
      <c r="W65" s="1237"/>
      <c r="X65" s="219">
        <v>4480000</v>
      </c>
      <c r="Y65" s="1237"/>
      <c r="Z65" s="1237"/>
      <c r="AA65" s="1289"/>
      <c r="AB65" s="1237" t="s">
        <v>12111</v>
      </c>
      <c r="AC65" s="1237"/>
      <c r="AD65" s="864"/>
      <c r="AE65" s="864"/>
      <c r="AF65" s="864"/>
      <c r="AG65" s="864"/>
    </row>
    <row r="66" spans="1:33" s="862" customFormat="1" ht="18">
      <c r="A66" s="175">
        <v>65</v>
      </c>
      <c r="B66" s="1237" t="s">
        <v>441</v>
      </c>
      <c r="C66" s="1289" t="s">
        <v>423</v>
      </c>
      <c r="D66" s="1289" t="s">
        <v>423</v>
      </c>
      <c r="E66" s="1906" t="s">
        <v>1311</v>
      </c>
      <c r="F66" s="1906"/>
      <c r="G66" s="85">
        <v>95019885490</v>
      </c>
      <c r="H66" s="1237" t="s">
        <v>335</v>
      </c>
      <c r="I66" s="1237" t="s">
        <v>168</v>
      </c>
      <c r="J66" s="1124" t="s">
        <v>205</v>
      </c>
      <c r="K66" s="84" t="s">
        <v>1312</v>
      </c>
      <c r="L66" s="84" t="s">
        <v>1313</v>
      </c>
      <c r="M66" s="84" t="s">
        <v>1314</v>
      </c>
      <c r="N66" s="84"/>
      <c r="O66" s="1237"/>
      <c r="P66" s="1238"/>
      <c r="Q66" s="1238"/>
      <c r="R66" s="1238"/>
      <c r="S66" s="1237"/>
      <c r="T66" s="86" t="s">
        <v>68</v>
      </c>
      <c r="U66" s="1237" t="s">
        <v>170</v>
      </c>
      <c r="V66" s="1124" t="s">
        <v>202</v>
      </c>
      <c r="W66" s="1237"/>
      <c r="X66" s="219">
        <v>4480000</v>
      </c>
      <c r="Y66" s="1237"/>
      <c r="Z66" s="1237"/>
      <c r="AA66" s="1289"/>
      <c r="AB66" s="1237" t="s">
        <v>12111</v>
      </c>
      <c r="AC66" s="1237" t="s">
        <v>12031</v>
      </c>
      <c r="AD66" s="864"/>
      <c r="AE66" s="864"/>
      <c r="AF66" s="864"/>
      <c r="AG66" s="864"/>
    </row>
    <row r="67" spans="1:33" s="862" customFormat="1" ht="18">
      <c r="A67" s="175">
        <v>66</v>
      </c>
      <c r="B67" s="1237" t="s">
        <v>441</v>
      </c>
      <c r="C67" s="1289" t="s">
        <v>423</v>
      </c>
      <c r="D67" s="1289" t="s">
        <v>423</v>
      </c>
      <c r="E67" s="1906" t="s">
        <v>1338</v>
      </c>
      <c r="F67" s="1906"/>
      <c r="G67" s="85">
        <v>95019885713</v>
      </c>
      <c r="H67" s="1237" t="s">
        <v>335</v>
      </c>
      <c r="I67" s="1237" t="s">
        <v>168</v>
      </c>
      <c r="J67" s="1124" t="s">
        <v>205</v>
      </c>
      <c r="K67" s="84" t="s">
        <v>1339</v>
      </c>
      <c r="L67" s="84" t="s">
        <v>1340</v>
      </c>
      <c r="M67" s="84" t="s">
        <v>1341</v>
      </c>
      <c r="N67" s="84"/>
      <c r="O67" s="1237"/>
      <c r="P67" s="1238"/>
      <c r="Q67" s="1238"/>
      <c r="R67" s="1238"/>
      <c r="S67" s="1237"/>
      <c r="T67" s="86" t="s">
        <v>68</v>
      </c>
      <c r="U67" s="1237" t="s">
        <v>170</v>
      </c>
      <c r="V67" s="1124" t="s">
        <v>202</v>
      </c>
      <c r="W67" s="1237"/>
      <c r="X67" s="219">
        <v>4480000</v>
      </c>
      <c r="Y67" s="1237"/>
      <c r="Z67" s="1237"/>
      <c r="AA67" s="1289"/>
      <c r="AB67" s="1237" t="s">
        <v>12111</v>
      </c>
      <c r="AC67" s="1237" t="s">
        <v>12031</v>
      </c>
      <c r="AD67" s="864"/>
      <c r="AE67" s="864"/>
      <c r="AF67" s="864"/>
      <c r="AG67" s="864"/>
    </row>
    <row r="68" spans="1:33" s="862" customFormat="1" ht="18">
      <c r="A68" s="175">
        <v>67</v>
      </c>
      <c r="B68" s="1237" t="s">
        <v>475</v>
      </c>
      <c r="C68" s="1289" t="s">
        <v>423</v>
      </c>
      <c r="D68" s="1289" t="s">
        <v>423</v>
      </c>
      <c r="E68" s="1906" t="s">
        <v>9817</v>
      </c>
      <c r="F68" s="1906"/>
      <c r="G68" s="85"/>
      <c r="H68" s="1237" t="s">
        <v>335</v>
      </c>
      <c r="I68" s="1237" t="s">
        <v>168</v>
      </c>
      <c r="J68" s="1124" t="s">
        <v>205</v>
      </c>
      <c r="K68" s="84" t="s">
        <v>1412</v>
      </c>
      <c r="L68" s="84" t="s">
        <v>12130</v>
      </c>
      <c r="M68" s="84" t="s">
        <v>12131</v>
      </c>
      <c r="N68" s="84"/>
      <c r="O68" s="1237"/>
      <c r="P68" s="1238"/>
      <c r="Q68" s="1238"/>
      <c r="R68" s="1238"/>
      <c r="S68" s="1237"/>
      <c r="T68" s="86" t="s">
        <v>68</v>
      </c>
      <c r="U68" s="1237" t="s">
        <v>170</v>
      </c>
      <c r="V68" s="1124" t="s">
        <v>202</v>
      </c>
      <c r="W68" s="1237"/>
      <c r="X68" s="219">
        <v>4480000</v>
      </c>
      <c r="Y68" s="1237"/>
      <c r="Z68" s="1237"/>
      <c r="AA68" s="1289"/>
      <c r="AB68" s="1237" t="s">
        <v>12111</v>
      </c>
      <c r="AC68" s="1237" t="s">
        <v>12132</v>
      </c>
      <c r="AD68" s="864"/>
      <c r="AE68" s="864"/>
      <c r="AF68" s="864"/>
      <c r="AG68" s="864"/>
    </row>
    <row r="69" spans="1:33" s="862" customFormat="1" ht="19.5">
      <c r="A69" s="175">
        <v>68</v>
      </c>
      <c r="B69" s="1237" t="s">
        <v>425</v>
      </c>
      <c r="C69" s="1289" t="s">
        <v>423</v>
      </c>
      <c r="D69" s="1289" t="s">
        <v>423</v>
      </c>
      <c r="E69" s="1906" t="s">
        <v>1415</v>
      </c>
      <c r="F69" s="1906"/>
      <c r="G69" s="85"/>
      <c r="H69" s="1237" t="s">
        <v>335</v>
      </c>
      <c r="I69" s="1236" t="s">
        <v>45</v>
      </c>
      <c r="J69" s="1290" t="s">
        <v>205</v>
      </c>
      <c r="K69" s="84" t="s">
        <v>1416</v>
      </c>
      <c r="L69" s="84" t="s">
        <v>12133</v>
      </c>
      <c r="M69" s="84" t="s">
        <v>12134</v>
      </c>
      <c r="N69" s="84"/>
      <c r="O69" s="1237"/>
      <c r="P69" s="1238"/>
      <c r="Q69" s="1238"/>
      <c r="R69" s="1238"/>
      <c r="S69" s="1237"/>
      <c r="T69" s="86" t="s">
        <v>68</v>
      </c>
      <c r="U69" s="1237" t="s">
        <v>50</v>
      </c>
      <c r="V69" s="1124" t="s">
        <v>202</v>
      </c>
      <c r="W69" s="1237" t="s">
        <v>43</v>
      </c>
      <c r="X69" s="219">
        <v>4480000</v>
      </c>
      <c r="Y69" s="1237"/>
      <c r="Z69" s="1237"/>
      <c r="AA69" s="1289"/>
      <c r="AB69" s="1237" t="s">
        <v>12111</v>
      </c>
      <c r="AC69" s="1237" t="s">
        <v>12132</v>
      </c>
      <c r="AD69" s="864"/>
      <c r="AE69" s="864"/>
      <c r="AF69" s="864"/>
      <c r="AG69" s="864"/>
    </row>
    <row r="70" spans="1:33" s="862" customFormat="1" ht="15" customHeight="1">
      <c r="A70" s="175">
        <v>69</v>
      </c>
      <c r="B70" s="1237" t="s">
        <v>425</v>
      </c>
      <c r="C70" s="1289" t="s">
        <v>423</v>
      </c>
      <c r="D70" s="1289" t="s">
        <v>423</v>
      </c>
      <c r="E70" s="1906" t="s">
        <v>1425</v>
      </c>
      <c r="F70" s="1906"/>
      <c r="G70" s="85" t="s">
        <v>1426</v>
      </c>
      <c r="H70" s="1237" t="s">
        <v>335</v>
      </c>
      <c r="I70" s="1237" t="s">
        <v>168</v>
      </c>
      <c r="J70" s="1124" t="s">
        <v>205</v>
      </c>
      <c r="K70" s="84" t="s">
        <v>1427</v>
      </c>
      <c r="L70" s="1295" t="s">
        <v>1428</v>
      </c>
      <c r="M70" s="84" t="s">
        <v>1429</v>
      </c>
      <c r="N70" s="84"/>
      <c r="O70" s="1237"/>
      <c r="P70" s="1238"/>
      <c r="Q70" s="1238"/>
      <c r="R70" s="1238"/>
      <c r="S70" s="1237"/>
      <c r="T70" s="86" t="s">
        <v>68</v>
      </c>
      <c r="U70" s="1237" t="s">
        <v>170</v>
      </c>
      <c r="V70" s="1289"/>
      <c r="W70" s="1237" t="s">
        <v>43</v>
      </c>
      <c r="X70" s="219">
        <v>4480000</v>
      </c>
      <c r="Y70" s="1237"/>
      <c r="Z70" s="1237"/>
      <c r="AA70" s="1289"/>
      <c r="AB70" s="1237" t="s">
        <v>12111</v>
      </c>
      <c r="AC70" s="1237" t="s">
        <v>12132</v>
      </c>
      <c r="AD70" s="864"/>
      <c r="AE70" s="864"/>
      <c r="AF70" s="864"/>
      <c r="AG70" s="864"/>
    </row>
    <row r="71" spans="1:33" s="862" customFormat="1" ht="19.5">
      <c r="A71" s="175">
        <v>70</v>
      </c>
      <c r="B71" s="1237" t="s">
        <v>480</v>
      </c>
      <c r="C71" s="1289" t="s">
        <v>423</v>
      </c>
      <c r="D71" s="1289" t="s">
        <v>423</v>
      </c>
      <c r="E71" s="1906" t="s">
        <v>1475</v>
      </c>
      <c r="F71" s="1906"/>
      <c r="G71" s="1237" t="s">
        <v>43</v>
      </c>
      <c r="H71" s="1237" t="s">
        <v>84</v>
      </c>
      <c r="I71" s="1236" t="s">
        <v>45</v>
      </c>
      <c r="J71" s="1290" t="s">
        <v>201</v>
      </c>
      <c r="K71" s="84" t="s">
        <v>1476</v>
      </c>
      <c r="L71" s="84" t="s">
        <v>1477</v>
      </c>
      <c r="M71" s="84" t="s">
        <v>1478</v>
      </c>
      <c r="N71" s="84"/>
      <c r="O71" s="1237"/>
      <c r="P71" s="1238"/>
      <c r="Q71" s="1238"/>
      <c r="R71" s="1238"/>
      <c r="S71" s="1237"/>
      <c r="T71" s="86" t="s">
        <v>68</v>
      </c>
      <c r="U71" s="1237" t="s">
        <v>50</v>
      </c>
      <c r="V71" s="1124" t="s">
        <v>202</v>
      </c>
      <c r="W71" s="1237" t="s">
        <v>43</v>
      </c>
      <c r="X71" s="1237" t="s">
        <v>43</v>
      </c>
      <c r="Y71" s="1237"/>
      <c r="Z71" s="1237"/>
      <c r="AA71" s="1289"/>
      <c r="AB71" s="1289" t="s">
        <v>12076</v>
      </c>
      <c r="AC71" s="1237"/>
      <c r="AD71" s="864"/>
      <c r="AE71" s="864"/>
      <c r="AF71" s="864"/>
      <c r="AG71" s="864"/>
    </row>
    <row r="72" spans="1:33" s="862" customFormat="1" ht="18">
      <c r="A72" s="175">
        <v>71</v>
      </c>
      <c r="B72" s="1237" t="s">
        <v>425</v>
      </c>
      <c r="C72" s="1289" t="s">
        <v>423</v>
      </c>
      <c r="D72" s="1289" t="s">
        <v>423</v>
      </c>
      <c r="E72" s="1906" t="s">
        <v>13422</v>
      </c>
      <c r="F72" s="1906"/>
      <c r="G72" s="85">
        <v>10594899950</v>
      </c>
      <c r="H72" s="1237"/>
      <c r="I72" s="1237"/>
      <c r="J72" s="1124"/>
      <c r="K72" s="84"/>
      <c r="L72" s="84"/>
      <c r="M72" s="84"/>
      <c r="N72" s="84"/>
      <c r="O72" s="1237"/>
      <c r="P72" s="1238"/>
      <c r="Q72" s="1238"/>
      <c r="R72" s="1238"/>
      <c r="S72" s="1237"/>
      <c r="T72" s="86"/>
      <c r="U72" s="1237"/>
      <c r="V72" s="1124"/>
      <c r="W72" s="1237"/>
      <c r="X72" s="219"/>
      <c r="Y72" s="1237"/>
      <c r="Z72" s="1237"/>
      <c r="AA72" s="1289"/>
      <c r="AB72" s="1237"/>
      <c r="AC72" s="1237"/>
      <c r="AD72" s="864"/>
      <c r="AE72" s="864"/>
      <c r="AF72" s="864"/>
      <c r="AG72" s="864"/>
    </row>
    <row r="73" spans="1:33" s="862" customFormat="1" ht="19.5">
      <c r="A73" s="175">
        <v>72</v>
      </c>
      <c r="B73" s="1907" t="s">
        <v>2592</v>
      </c>
      <c r="C73" s="1907" t="s">
        <v>2592</v>
      </c>
      <c r="D73" s="84" t="s">
        <v>138</v>
      </c>
      <c r="E73" s="1906" t="s">
        <v>227</v>
      </c>
      <c r="F73" s="1906"/>
      <c r="G73" s="85" t="s">
        <v>43</v>
      </c>
      <c r="H73" s="1237" t="s">
        <v>44</v>
      </c>
      <c r="I73" s="1237" t="s">
        <v>45</v>
      </c>
      <c r="J73" s="1237" t="s">
        <v>231</v>
      </c>
      <c r="K73" s="84" t="s">
        <v>228</v>
      </c>
      <c r="L73" s="84" t="s">
        <v>229</v>
      </c>
      <c r="M73" s="84" t="s">
        <v>230</v>
      </c>
      <c r="N73" s="85" t="s">
        <v>43</v>
      </c>
      <c r="O73" s="85" t="s">
        <v>43</v>
      </c>
      <c r="P73" s="85" t="s">
        <v>43</v>
      </c>
      <c r="Q73" s="85" t="s">
        <v>43</v>
      </c>
      <c r="R73" s="85" t="s">
        <v>43</v>
      </c>
      <c r="S73" s="85" t="s">
        <v>43</v>
      </c>
      <c r="T73" s="86" t="s">
        <v>68</v>
      </c>
      <c r="U73" s="1237" t="s">
        <v>50</v>
      </c>
      <c r="V73" s="1124" t="s">
        <v>202</v>
      </c>
      <c r="W73" s="85" t="s">
        <v>43</v>
      </c>
      <c r="X73" s="1302" t="s">
        <v>9141</v>
      </c>
      <c r="Y73" s="1236" t="s">
        <v>14164</v>
      </c>
      <c r="Z73" s="1237"/>
      <c r="AA73" s="1237"/>
      <c r="AB73" s="1237"/>
      <c r="AC73" s="1237"/>
      <c r="AD73" s="864"/>
      <c r="AE73" s="864"/>
      <c r="AF73" s="864"/>
      <c r="AG73" s="864"/>
    </row>
    <row r="74" spans="1:33" s="83" customFormat="1" ht="18">
      <c r="A74" s="175">
        <v>73</v>
      </c>
      <c r="B74" s="1907"/>
      <c r="C74" s="1907"/>
      <c r="D74" s="84" t="s">
        <v>2609</v>
      </c>
      <c r="E74" s="1906" t="s">
        <v>2664</v>
      </c>
      <c r="F74" s="1906"/>
      <c r="G74" s="85" t="s">
        <v>43</v>
      </c>
      <c r="H74" s="1237" t="s">
        <v>51</v>
      </c>
      <c r="I74" s="1237" t="s">
        <v>45</v>
      </c>
      <c r="J74" s="84" t="s">
        <v>201</v>
      </c>
      <c r="K74" s="84" t="s">
        <v>2665</v>
      </c>
      <c r="L74" s="84" t="s">
        <v>2666</v>
      </c>
      <c r="M74" s="84" t="s">
        <v>2667</v>
      </c>
      <c r="N74" s="85" t="s">
        <v>43</v>
      </c>
      <c r="O74" s="85" t="s">
        <v>43</v>
      </c>
      <c r="P74" s="85" t="s">
        <v>43</v>
      </c>
      <c r="Q74" s="85" t="s">
        <v>43</v>
      </c>
      <c r="R74" s="85" t="s">
        <v>43</v>
      </c>
      <c r="S74" s="85" t="s">
        <v>43</v>
      </c>
      <c r="T74" s="86" t="s">
        <v>68</v>
      </c>
      <c r="U74" s="1237" t="s">
        <v>56</v>
      </c>
      <c r="V74" s="1124" t="s">
        <v>202</v>
      </c>
      <c r="W74" s="85" t="s">
        <v>43</v>
      </c>
      <c r="X74" s="85" t="s">
        <v>43</v>
      </c>
      <c r="Y74" s="219" t="s">
        <v>14166</v>
      </c>
      <c r="Z74" s="1237"/>
      <c r="AA74" s="1289"/>
      <c r="AB74" s="1237"/>
      <c r="AC74" s="1237"/>
      <c r="AD74" s="1237"/>
      <c r="AE74" s="1237"/>
      <c r="AF74" s="1237"/>
      <c r="AG74" s="1237"/>
    </row>
    <row r="75" spans="1:33" s="83" customFormat="1" ht="18">
      <c r="A75" s="175">
        <v>74</v>
      </c>
      <c r="B75" s="1907"/>
      <c r="C75" s="1907"/>
      <c r="D75" s="84" t="s">
        <v>2609</v>
      </c>
      <c r="E75" s="1906" t="s">
        <v>2669</v>
      </c>
      <c r="F75" s="1906"/>
      <c r="G75" s="85" t="s">
        <v>43</v>
      </c>
      <c r="H75" s="1237" t="s">
        <v>51</v>
      </c>
      <c r="I75" s="1237" t="s">
        <v>45</v>
      </c>
      <c r="J75" s="84" t="s">
        <v>201</v>
      </c>
      <c r="K75" s="84" t="s">
        <v>2670</v>
      </c>
      <c r="L75" s="84" t="s">
        <v>2671</v>
      </c>
      <c r="M75" s="84" t="s">
        <v>2672</v>
      </c>
      <c r="N75" s="85" t="s">
        <v>43</v>
      </c>
      <c r="O75" s="85" t="s">
        <v>43</v>
      </c>
      <c r="P75" s="85" t="s">
        <v>43</v>
      </c>
      <c r="Q75" s="85" t="s">
        <v>43</v>
      </c>
      <c r="R75" s="85" t="s">
        <v>43</v>
      </c>
      <c r="S75" s="85" t="s">
        <v>43</v>
      </c>
      <c r="T75" s="86" t="s">
        <v>68</v>
      </c>
      <c r="U75" s="1237" t="s">
        <v>56</v>
      </c>
      <c r="V75" s="1124" t="s">
        <v>202</v>
      </c>
      <c r="W75" s="85" t="s">
        <v>43</v>
      </c>
      <c r="X75" s="85" t="s">
        <v>43</v>
      </c>
      <c r="Y75" s="219" t="s">
        <v>14166</v>
      </c>
      <c r="Z75" s="1237"/>
      <c r="AA75" s="1289"/>
      <c r="AB75" s="1237"/>
      <c r="AC75" s="1237"/>
      <c r="AD75" s="1237"/>
      <c r="AE75" s="1237"/>
      <c r="AF75" s="1237"/>
      <c r="AG75" s="1237"/>
    </row>
    <row r="76" spans="1:33" s="83" customFormat="1" ht="18">
      <c r="A76" s="175">
        <v>75</v>
      </c>
      <c r="B76" s="1907"/>
      <c r="C76" s="1907"/>
      <c r="D76" s="84" t="s">
        <v>2614</v>
      </c>
      <c r="E76" s="1906" t="s">
        <v>2687</v>
      </c>
      <c r="F76" s="1906"/>
      <c r="G76" s="85" t="s">
        <v>43</v>
      </c>
      <c r="H76" s="1237" t="s">
        <v>51</v>
      </c>
      <c r="I76" s="1237" t="s">
        <v>45</v>
      </c>
      <c r="J76" s="84" t="s">
        <v>201</v>
      </c>
      <c r="K76" s="84" t="s">
        <v>2688</v>
      </c>
      <c r="L76" s="84" t="s">
        <v>2689</v>
      </c>
      <c r="M76" s="84" t="s">
        <v>2690</v>
      </c>
      <c r="N76" s="85" t="s">
        <v>43</v>
      </c>
      <c r="O76" s="85" t="s">
        <v>43</v>
      </c>
      <c r="P76" s="85" t="s">
        <v>43</v>
      </c>
      <c r="Q76" s="85" t="s">
        <v>43</v>
      </c>
      <c r="R76" s="85" t="s">
        <v>43</v>
      </c>
      <c r="S76" s="85" t="s">
        <v>43</v>
      </c>
      <c r="T76" s="86" t="s">
        <v>68</v>
      </c>
      <c r="U76" s="1237" t="s">
        <v>56</v>
      </c>
      <c r="V76" s="1124" t="s">
        <v>202</v>
      </c>
      <c r="W76" s="85" t="s">
        <v>43</v>
      </c>
      <c r="X76" s="85" t="s">
        <v>43</v>
      </c>
      <c r="Y76" s="219" t="s">
        <v>14166</v>
      </c>
      <c r="Z76" s="1237"/>
      <c r="AA76" s="1289"/>
      <c r="AB76" s="1237"/>
      <c r="AC76" s="1237"/>
      <c r="AD76" s="1237"/>
      <c r="AE76" s="1237"/>
      <c r="AF76" s="1237"/>
      <c r="AG76" s="1237"/>
    </row>
    <row r="77" spans="1:33" s="88" customFormat="1" ht="18">
      <c r="A77" s="175">
        <v>76</v>
      </c>
      <c r="B77" s="1907"/>
      <c r="C77" s="1907"/>
      <c r="D77" s="1237" t="s">
        <v>2609</v>
      </c>
      <c r="E77" s="1668" t="s">
        <v>2691</v>
      </c>
      <c r="F77" s="1668"/>
      <c r="G77" s="85" t="s">
        <v>43</v>
      </c>
      <c r="H77" s="1237" t="s">
        <v>259</v>
      </c>
      <c r="I77" s="1237" t="s">
        <v>168</v>
      </c>
      <c r="J77" s="84" t="s">
        <v>201</v>
      </c>
      <c r="K77" s="84" t="s">
        <v>2692</v>
      </c>
      <c r="L77" s="1237" t="s">
        <v>2693</v>
      </c>
      <c r="M77" s="84" t="s">
        <v>2694</v>
      </c>
      <c r="N77" s="85" t="s">
        <v>43</v>
      </c>
      <c r="O77" s="85" t="s">
        <v>43</v>
      </c>
      <c r="P77" s="85" t="s">
        <v>43</v>
      </c>
      <c r="Q77" s="85" t="s">
        <v>43</v>
      </c>
      <c r="R77" s="85" t="s">
        <v>43</v>
      </c>
      <c r="S77" s="85" t="s">
        <v>43</v>
      </c>
      <c r="T77" s="86" t="s">
        <v>117</v>
      </c>
      <c r="U77" s="1237" t="s">
        <v>1504</v>
      </c>
      <c r="V77" s="1124" t="s">
        <v>202</v>
      </c>
      <c r="W77" s="85" t="s">
        <v>43</v>
      </c>
      <c r="X77" s="85" t="s">
        <v>43</v>
      </c>
      <c r="Y77" s="219" t="s">
        <v>14169</v>
      </c>
      <c r="Z77" s="1289"/>
      <c r="AA77" s="1289"/>
      <c r="AB77" s="1289"/>
      <c r="AC77" s="1289"/>
      <c r="AD77" s="1289"/>
      <c r="AE77" s="1289"/>
      <c r="AF77" s="1289"/>
      <c r="AG77" s="1289"/>
    </row>
    <row r="78" spans="1:33" s="83" customFormat="1" ht="18">
      <c r="A78" s="175">
        <v>77</v>
      </c>
      <c r="B78" s="1668" t="s">
        <v>3742</v>
      </c>
      <c r="C78" s="1668" t="s">
        <v>3742</v>
      </c>
      <c r="D78" s="1237" t="s">
        <v>4780</v>
      </c>
      <c r="E78" s="1668" t="s">
        <v>4798</v>
      </c>
      <c r="F78" s="1668"/>
      <c r="G78" s="85" t="s">
        <v>43</v>
      </c>
      <c r="H78" s="1237" t="s">
        <v>84</v>
      </c>
      <c r="I78" s="1237" t="s">
        <v>45</v>
      </c>
      <c r="J78" s="1124" t="s">
        <v>201</v>
      </c>
      <c r="K78" s="84" t="s">
        <v>4799</v>
      </c>
      <c r="L78" s="1237" t="s">
        <v>4800</v>
      </c>
      <c r="M78" s="84" t="s">
        <v>4801</v>
      </c>
      <c r="N78" s="85" t="s">
        <v>43</v>
      </c>
      <c r="O78" s="85" t="s">
        <v>43</v>
      </c>
      <c r="P78" s="85" t="s">
        <v>43</v>
      </c>
      <c r="Q78" s="85" t="s">
        <v>43</v>
      </c>
      <c r="R78" s="85" t="s">
        <v>43</v>
      </c>
      <c r="S78" s="85" t="s">
        <v>43</v>
      </c>
      <c r="T78" s="1237" t="s">
        <v>68</v>
      </c>
      <c r="U78" s="1237" t="s">
        <v>50</v>
      </c>
      <c r="V78" s="1124" t="s">
        <v>202</v>
      </c>
      <c r="W78" s="85" t="s">
        <v>43</v>
      </c>
      <c r="X78" s="230"/>
      <c r="Y78" s="219" t="s">
        <v>14169</v>
      </c>
      <c r="Z78" s="1237"/>
      <c r="AA78" s="1237"/>
      <c r="AB78" s="1237"/>
      <c r="AC78" s="1237"/>
      <c r="AD78" s="1237"/>
      <c r="AE78" s="1237"/>
      <c r="AF78" s="1237"/>
      <c r="AG78" s="1237"/>
    </row>
    <row r="79" spans="1:33" s="83" customFormat="1" ht="18">
      <c r="A79" s="175">
        <v>78</v>
      </c>
      <c r="B79" s="1668"/>
      <c r="C79" s="1668"/>
      <c r="D79" s="1237" t="s">
        <v>4780</v>
      </c>
      <c r="E79" s="1668" t="s">
        <v>4802</v>
      </c>
      <c r="F79" s="1668"/>
      <c r="G79" s="1237"/>
      <c r="H79" s="1237" t="s">
        <v>1659</v>
      </c>
      <c r="I79" s="1237" t="s">
        <v>168</v>
      </c>
      <c r="J79" s="1124" t="s">
        <v>201</v>
      </c>
      <c r="K79" s="84" t="s">
        <v>4803</v>
      </c>
      <c r="L79" s="1237" t="s">
        <v>4804</v>
      </c>
      <c r="M79" s="84" t="s">
        <v>4805</v>
      </c>
      <c r="N79" s="85" t="s">
        <v>43</v>
      </c>
      <c r="O79" s="85" t="s">
        <v>43</v>
      </c>
      <c r="P79" s="85" t="s">
        <v>43</v>
      </c>
      <c r="Q79" s="85" t="s">
        <v>43</v>
      </c>
      <c r="R79" s="85" t="s">
        <v>43</v>
      </c>
      <c r="S79" s="85" t="s">
        <v>43</v>
      </c>
      <c r="T79" s="1237" t="s">
        <v>68</v>
      </c>
      <c r="U79" s="1237" t="s">
        <v>1504</v>
      </c>
      <c r="V79" s="1124" t="s">
        <v>202</v>
      </c>
      <c r="W79" s="85" t="s">
        <v>43</v>
      </c>
      <c r="X79" s="230" t="s">
        <v>9329</v>
      </c>
      <c r="Y79" s="219" t="s">
        <v>14169</v>
      </c>
      <c r="Z79" s="1237"/>
      <c r="AA79" s="1237"/>
      <c r="AB79" s="1237"/>
      <c r="AC79" s="1237"/>
      <c r="AD79" s="1237"/>
      <c r="AE79" s="1237"/>
      <c r="AF79" s="1237"/>
      <c r="AG79" s="1237"/>
    </row>
    <row r="80" spans="1:33" s="83" customFormat="1" ht="18">
      <c r="A80" s="175">
        <v>79</v>
      </c>
      <c r="B80" s="1668"/>
      <c r="C80" s="1668"/>
      <c r="D80" s="1289"/>
      <c r="E80" s="1906" t="s">
        <v>4806</v>
      </c>
      <c r="F80" s="1906"/>
      <c r="G80" s="85">
        <v>651371</v>
      </c>
      <c r="H80" s="1237" t="s">
        <v>1659</v>
      </c>
      <c r="I80" s="1237" t="s">
        <v>168</v>
      </c>
      <c r="J80" s="1124" t="s">
        <v>205</v>
      </c>
      <c r="K80" s="84" t="s">
        <v>4807</v>
      </c>
      <c r="L80" s="84" t="s">
        <v>4808</v>
      </c>
      <c r="M80" s="84" t="s">
        <v>4809</v>
      </c>
      <c r="N80" s="85" t="s">
        <v>43</v>
      </c>
      <c r="O80" s="85" t="s">
        <v>43</v>
      </c>
      <c r="P80" s="85" t="s">
        <v>43</v>
      </c>
      <c r="Q80" s="85" t="s">
        <v>43</v>
      </c>
      <c r="R80" s="85" t="s">
        <v>43</v>
      </c>
      <c r="S80" s="85" t="s">
        <v>43</v>
      </c>
      <c r="T80" s="1237" t="s">
        <v>68</v>
      </c>
      <c r="U80" s="1237" t="s">
        <v>1504</v>
      </c>
      <c r="V80" s="1124" t="s">
        <v>202</v>
      </c>
      <c r="W80" s="85" t="s">
        <v>43</v>
      </c>
      <c r="X80" s="219">
        <v>4000000</v>
      </c>
      <c r="Y80" s="219" t="s">
        <v>14169</v>
      </c>
      <c r="Z80" s="1237"/>
      <c r="AA80" s="1237"/>
      <c r="AB80" s="1237"/>
      <c r="AC80" s="1237"/>
      <c r="AD80" s="1237"/>
      <c r="AE80" s="1237"/>
      <c r="AF80" s="1237"/>
      <c r="AG80" s="1237"/>
    </row>
    <row r="81" spans="1:33" s="83" customFormat="1" ht="19.5">
      <c r="A81" s="175">
        <v>80</v>
      </c>
      <c r="B81" s="1289"/>
      <c r="C81" s="1289"/>
      <c r="D81" s="1289"/>
      <c r="E81" s="1906" t="s">
        <v>3159</v>
      </c>
      <c r="F81" s="1906"/>
      <c r="G81" s="85">
        <v>656329</v>
      </c>
      <c r="H81" s="1237" t="s">
        <v>1659</v>
      </c>
      <c r="I81" s="1237" t="s">
        <v>60</v>
      </c>
      <c r="J81" s="1124" t="s">
        <v>201</v>
      </c>
      <c r="K81" s="84" t="s">
        <v>3160</v>
      </c>
      <c r="L81" s="1295" t="s">
        <v>3157</v>
      </c>
      <c r="M81" s="84" t="s">
        <v>3161</v>
      </c>
      <c r="N81" s="85" t="s">
        <v>43</v>
      </c>
      <c r="O81" s="85" t="s">
        <v>43</v>
      </c>
      <c r="P81" s="85" t="s">
        <v>43</v>
      </c>
      <c r="Q81" s="1238" t="s">
        <v>3162</v>
      </c>
      <c r="R81" s="1238" t="s">
        <v>3158</v>
      </c>
      <c r="S81" s="85" t="s">
        <v>43</v>
      </c>
      <c r="T81" s="1237" t="s">
        <v>166</v>
      </c>
      <c r="U81" s="1237" t="s">
        <v>167</v>
      </c>
      <c r="V81" s="1124" t="s">
        <v>202</v>
      </c>
      <c r="W81" s="85" t="s">
        <v>43</v>
      </c>
      <c r="X81" s="230" t="s">
        <v>9332</v>
      </c>
      <c r="Y81" s="219" t="s">
        <v>14169</v>
      </c>
      <c r="Z81" s="1237"/>
      <c r="AA81" s="1237"/>
      <c r="AB81" s="1237"/>
      <c r="AC81" s="1237"/>
      <c r="AD81" s="1237"/>
      <c r="AE81" s="1237"/>
      <c r="AF81" s="1237"/>
      <c r="AG81" s="1237"/>
    </row>
    <row r="82" spans="1:33" s="83" customFormat="1" ht="18">
      <c r="A82" s="175">
        <v>81</v>
      </c>
      <c r="B82" s="84" t="s">
        <v>334</v>
      </c>
      <c r="C82" s="84" t="s">
        <v>334</v>
      </c>
      <c r="D82" s="84" t="s">
        <v>334</v>
      </c>
      <c r="E82" s="1906" t="s">
        <v>2730</v>
      </c>
      <c r="F82" s="1906"/>
      <c r="G82" s="1237">
        <v>656992</v>
      </c>
      <c r="H82" s="1237" t="s">
        <v>1659</v>
      </c>
      <c r="I82" s="1237" t="s">
        <v>168</v>
      </c>
      <c r="J82" s="1237">
        <v>512</v>
      </c>
      <c r="K82" s="84" t="s">
        <v>2731</v>
      </c>
      <c r="L82" s="84" t="s">
        <v>2732</v>
      </c>
      <c r="M82" s="84" t="s">
        <v>2733</v>
      </c>
      <c r="N82" s="85" t="s">
        <v>43</v>
      </c>
      <c r="O82" s="85" t="s">
        <v>43</v>
      </c>
      <c r="P82" s="85" t="s">
        <v>43</v>
      </c>
      <c r="Q82" s="85" t="s">
        <v>43</v>
      </c>
      <c r="R82" s="85" t="s">
        <v>43</v>
      </c>
      <c r="S82" s="85" t="s">
        <v>43</v>
      </c>
      <c r="T82" s="86" t="s">
        <v>117</v>
      </c>
      <c r="U82" s="1237" t="s">
        <v>1504</v>
      </c>
      <c r="V82" s="1124" t="s">
        <v>202</v>
      </c>
      <c r="W82" s="85" t="s">
        <v>43</v>
      </c>
      <c r="X82" s="230" t="s">
        <v>14168</v>
      </c>
      <c r="Y82" s="219" t="s">
        <v>14169</v>
      </c>
      <c r="Z82" s="1237"/>
      <c r="AA82" s="1237"/>
      <c r="AB82" s="1237"/>
      <c r="AC82" s="1237"/>
      <c r="AD82" s="1237"/>
      <c r="AE82" s="1237"/>
      <c r="AF82" s="1237"/>
      <c r="AG82" s="1237"/>
    </row>
    <row r="83" spans="1:33" s="83" customFormat="1" ht="18">
      <c r="A83" s="175">
        <v>82</v>
      </c>
      <c r="B83" s="1289" t="s">
        <v>1507</v>
      </c>
      <c r="C83" s="1289" t="s">
        <v>1507</v>
      </c>
      <c r="D83" s="84" t="s">
        <v>1513</v>
      </c>
      <c r="E83" s="1906" t="s">
        <v>1531</v>
      </c>
      <c r="F83" s="1906"/>
      <c r="G83" s="85"/>
      <c r="H83" s="1237" t="s">
        <v>84</v>
      </c>
      <c r="I83" s="1237" t="s">
        <v>45</v>
      </c>
      <c r="J83" s="1124" t="s">
        <v>201</v>
      </c>
      <c r="K83" s="84" t="s">
        <v>1532</v>
      </c>
      <c r="L83" s="84" t="s">
        <v>11439</v>
      </c>
      <c r="M83" s="84" t="s">
        <v>1533</v>
      </c>
      <c r="N83" s="85" t="s">
        <v>43</v>
      </c>
      <c r="O83" s="85" t="s">
        <v>43</v>
      </c>
      <c r="P83" s="85" t="s">
        <v>43</v>
      </c>
      <c r="Q83" s="1238" t="s">
        <v>1534</v>
      </c>
      <c r="R83" s="1238" t="s">
        <v>1535</v>
      </c>
      <c r="S83" s="85" t="s">
        <v>43</v>
      </c>
      <c r="T83" s="1237" t="s">
        <v>166</v>
      </c>
      <c r="U83" s="1237" t="s">
        <v>167</v>
      </c>
      <c r="V83" s="1124" t="s">
        <v>202</v>
      </c>
      <c r="W83" s="85" t="s">
        <v>43</v>
      </c>
      <c r="X83" s="219">
        <v>12800000</v>
      </c>
      <c r="Y83" s="1237" t="s">
        <v>14171</v>
      </c>
      <c r="Z83" s="1237"/>
      <c r="AA83" s="1237"/>
      <c r="AB83" s="1237"/>
      <c r="AC83" s="1237"/>
      <c r="AD83" s="1237"/>
      <c r="AE83" s="1237"/>
      <c r="AF83" s="1237"/>
      <c r="AG83" s="1237"/>
    </row>
    <row r="84" spans="1:33" s="83" customFormat="1" ht="19.5">
      <c r="A84" s="175">
        <v>83</v>
      </c>
      <c r="B84" s="1668" t="s">
        <v>2476</v>
      </c>
      <c r="C84" s="1668" t="s">
        <v>2476</v>
      </c>
      <c r="D84" s="84"/>
      <c r="E84" s="1906" t="s">
        <v>2533</v>
      </c>
      <c r="F84" s="1906"/>
      <c r="G84" s="85" t="s">
        <v>43</v>
      </c>
      <c r="H84" s="1237" t="s">
        <v>84</v>
      </c>
      <c r="I84" s="1237" t="s">
        <v>45</v>
      </c>
      <c r="J84" s="1124" t="s">
        <v>201</v>
      </c>
      <c r="K84" s="84" t="s">
        <v>2534</v>
      </c>
      <c r="L84" s="84" t="s">
        <v>2535</v>
      </c>
      <c r="M84" s="84" t="s">
        <v>2536</v>
      </c>
      <c r="N84" s="85" t="s">
        <v>43</v>
      </c>
      <c r="O84" s="85" t="s">
        <v>43</v>
      </c>
      <c r="P84" s="85" t="s">
        <v>43</v>
      </c>
      <c r="Q84" s="85" t="s">
        <v>43</v>
      </c>
      <c r="R84" s="85" t="s">
        <v>43</v>
      </c>
      <c r="S84" s="85" t="s">
        <v>43</v>
      </c>
      <c r="T84" s="86" t="s">
        <v>68</v>
      </c>
      <c r="U84" s="1237" t="s">
        <v>50</v>
      </c>
      <c r="V84" s="1124" t="s">
        <v>202</v>
      </c>
      <c r="W84" s="85" t="s">
        <v>43</v>
      </c>
      <c r="X84" s="85" t="s">
        <v>43</v>
      </c>
      <c r="Y84" s="1236" t="s">
        <v>14173</v>
      </c>
      <c r="Z84" s="1237"/>
      <c r="AA84" s="1237"/>
      <c r="AB84" s="1237"/>
      <c r="AC84" s="1237"/>
      <c r="AD84" s="1237"/>
      <c r="AE84" s="1237"/>
      <c r="AF84" s="1237"/>
      <c r="AG84" s="1237"/>
    </row>
    <row r="85" spans="1:33" s="83" customFormat="1" ht="19.5">
      <c r="A85" s="175">
        <v>84</v>
      </c>
      <c r="B85" s="1668"/>
      <c r="C85" s="1668"/>
      <c r="D85" s="1237" t="s">
        <v>2476</v>
      </c>
      <c r="E85" s="1906" t="s">
        <v>2537</v>
      </c>
      <c r="F85" s="1906"/>
      <c r="G85" s="85" t="s">
        <v>43</v>
      </c>
      <c r="H85" s="1237" t="s">
        <v>2093</v>
      </c>
      <c r="I85" s="1237" t="s">
        <v>45</v>
      </c>
      <c r="J85" s="1124" t="s">
        <v>201</v>
      </c>
      <c r="K85" s="84" t="s">
        <v>2538</v>
      </c>
      <c r="L85" s="84" t="s">
        <v>2539</v>
      </c>
      <c r="M85" s="84" t="s">
        <v>2540</v>
      </c>
      <c r="N85" s="85" t="s">
        <v>43</v>
      </c>
      <c r="O85" s="85" t="s">
        <v>43</v>
      </c>
      <c r="P85" s="85" t="s">
        <v>43</v>
      </c>
      <c r="Q85" s="85" t="s">
        <v>43</v>
      </c>
      <c r="R85" s="85" t="s">
        <v>43</v>
      </c>
      <c r="S85" s="85" t="s">
        <v>43</v>
      </c>
      <c r="T85" s="86" t="s">
        <v>68</v>
      </c>
      <c r="U85" s="1237" t="s">
        <v>50</v>
      </c>
      <c r="V85" s="1124" t="s">
        <v>202</v>
      </c>
      <c r="W85" s="85" t="s">
        <v>43</v>
      </c>
      <c r="X85" s="85" t="s">
        <v>43</v>
      </c>
      <c r="Y85" s="1236" t="s">
        <v>14172</v>
      </c>
      <c r="Z85" s="1237"/>
      <c r="AA85" s="1237"/>
      <c r="AB85" s="1237"/>
      <c r="AC85" s="1237"/>
      <c r="AD85" s="1237"/>
      <c r="AE85" s="1237"/>
      <c r="AF85" s="1237"/>
      <c r="AG85" s="1237"/>
    </row>
    <row r="86" spans="1:33" s="83" customFormat="1" ht="18">
      <c r="A86" s="175">
        <v>85</v>
      </c>
      <c r="B86" s="1668"/>
      <c r="C86" s="1668"/>
      <c r="D86" s="1237" t="s">
        <v>2501</v>
      </c>
      <c r="E86" s="1668" t="s">
        <v>2541</v>
      </c>
      <c r="F86" s="1668"/>
      <c r="G86" s="1237">
        <v>650303</v>
      </c>
      <c r="H86" s="1237" t="s">
        <v>1659</v>
      </c>
      <c r="I86" s="1237" t="s">
        <v>108</v>
      </c>
      <c r="J86" s="1124" t="s">
        <v>205</v>
      </c>
      <c r="K86" s="1238" t="s">
        <v>2542</v>
      </c>
      <c r="L86" s="84" t="s">
        <v>2543</v>
      </c>
      <c r="M86" s="84" t="s">
        <v>2544</v>
      </c>
      <c r="N86" s="85" t="s">
        <v>43</v>
      </c>
      <c r="O86" s="1237" t="s">
        <v>438</v>
      </c>
      <c r="P86" s="85" t="s">
        <v>43</v>
      </c>
      <c r="Q86" s="85" t="s">
        <v>43</v>
      </c>
      <c r="R86" s="85" t="s">
        <v>43</v>
      </c>
      <c r="S86" s="85" t="s">
        <v>43</v>
      </c>
      <c r="T86" s="1237" t="s">
        <v>315</v>
      </c>
      <c r="U86" s="1237" t="s">
        <v>299</v>
      </c>
      <c r="V86" s="1124" t="s">
        <v>202</v>
      </c>
      <c r="W86" s="85" t="s">
        <v>43</v>
      </c>
      <c r="X86" s="219">
        <v>6000000</v>
      </c>
      <c r="Y86" s="219" t="s">
        <v>14169</v>
      </c>
      <c r="Z86" s="1237"/>
      <c r="AA86" s="1237"/>
      <c r="AB86" s="1237"/>
      <c r="AC86" s="1237"/>
      <c r="AD86" s="1237"/>
      <c r="AE86" s="1237"/>
      <c r="AF86" s="1237"/>
      <c r="AG86" s="1237"/>
    </row>
    <row r="87" spans="1:33" s="83" customFormat="1" ht="19.5">
      <c r="A87" s="175">
        <v>86</v>
      </c>
      <c r="B87" s="1668"/>
      <c r="C87" s="1668"/>
      <c r="D87" s="1289"/>
      <c r="E87" s="1668" t="s">
        <v>2545</v>
      </c>
      <c r="F87" s="1668"/>
      <c r="G87" s="85" t="s">
        <v>43</v>
      </c>
      <c r="H87" s="1237" t="s">
        <v>84</v>
      </c>
      <c r="I87" s="1237" t="s">
        <v>45</v>
      </c>
      <c r="J87" s="1124" t="s">
        <v>201</v>
      </c>
      <c r="K87" s="1238" t="s">
        <v>2546</v>
      </c>
      <c r="L87" s="84" t="s">
        <v>2547</v>
      </c>
      <c r="M87" s="84" t="s">
        <v>2548</v>
      </c>
      <c r="N87" s="85" t="s">
        <v>43</v>
      </c>
      <c r="O87" s="85" t="s">
        <v>43</v>
      </c>
      <c r="P87" s="85" t="s">
        <v>43</v>
      </c>
      <c r="Q87" s="85" t="s">
        <v>43</v>
      </c>
      <c r="R87" s="85" t="s">
        <v>43</v>
      </c>
      <c r="S87" s="85" t="s">
        <v>43</v>
      </c>
      <c r="T87" s="86" t="s">
        <v>68</v>
      </c>
      <c r="U87" s="1237" t="s">
        <v>50</v>
      </c>
      <c r="V87" s="1124" t="s">
        <v>202</v>
      </c>
      <c r="W87" s="85" t="s">
        <v>43</v>
      </c>
      <c r="X87" s="85" t="s">
        <v>43</v>
      </c>
      <c r="Y87" s="1236" t="s">
        <v>12094</v>
      </c>
      <c r="Z87" s="1237"/>
      <c r="AA87" s="1237"/>
      <c r="AB87" s="1237"/>
      <c r="AC87" s="1237"/>
      <c r="AD87" s="1237"/>
      <c r="AE87" s="1237"/>
      <c r="AF87" s="1237"/>
      <c r="AG87" s="1237"/>
    </row>
    <row r="88" spans="1:33" s="83" customFormat="1" ht="19.5">
      <c r="A88" s="175">
        <v>87</v>
      </c>
      <c r="B88" s="1668"/>
      <c r="C88" s="1668"/>
      <c r="D88" s="1289"/>
      <c r="E88" s="1668" t="s">
        <v>2550</v>
      </c>
      <c r="F88" s="1668"/>
      <c r="G88" s="85" t="s">
        <v>43</v>
      </c>
      <c r="H88" s="1237" t="s">
        <v>84</v>
      </c>
      <c r="I88" s="1237" t="s">
        <v>45</v>
      </c>
      <c r="J88" s="1124" t="s">
        <v>201</v>
      </c>
      <c r="K88" s="1237" t="s">
        <v>2551</v>
      </c>
      <c r="L88" s="1237" t="s">
        <v>2552</v>
      </c>
      <c r="M88" s="1237" t="s">
        <v>2553</v>
      </c>
      <c r="N88" s="85" t="s">
        <v>43</v>
      </c>
      <c r="O88" s="85" t="s">
        <v>43</v>
      </c>
      <c r="P88" s="85" t="s">
        <v>43</v>
      </c>
      <c r="Q88" s="85" t="s">
        <v>43</v>
      </c>
      <c r="R88" s="85" t="s">
        <v>43</v>
      </c>
      <c r="S88" s="85" t="s">
        <v>43</v>
      </c>
      <c r="T88" s="86" t="s">
        <v>68</v>
      </c>
      <c r="U88" s="1237" t="s">
        <v>50</v>
      </c>
      <c r="V88" s="1124" t="s">
        <v>202</v>
      </c>
      <c r="W88" s="85" t="s">
        <v>43</v>
      </c>
      <c r="X88" s="85" t="s">
        <v>43</v>
      </c>
      <c r="Y88" s="1236" t="s">
        <v>14172</v>
      </c>
      <c r="Z88" s="1237"/>
      <c r="AA88" s="1237"/>
      <c r="AB88" s="1237"/>
      <c r="AC88" s="1237"/>
      <c r="AD88" s="1237"/>
      <c r="AE88" s="1237"/>
      <c r="AF88" s="1237"/>
      <c r="AG88" s="1237"/>
    </row>
    <row r="89" spans="1:33" s="83" customFormat="1" ht="15.75" customHeight="1">
      <c r="A89" s="175">
        <v>88</v>
      </c>
      <c r="B89" s="1289" t="s">
        <v>3164</v>
      </c>
      <c r="C89" s="1289" t="s">
        <v>3164</v>
      </c>
      <c r="D89" s="1289" t="s">
        <v>3164</v>
      </c>
      <c r="E89" s="1289">
        <v>412</v>
      </c>
      <c r="F89" s="1289"/>
      <c r="G89" s="85" t="s">
        <v>43</v>
      </c>
      <c r="H89" s="1237" t="s">
        <v>44</v>
      </c>
      <c r="I89" s="1237" t="s">
        <v>45</v>
      </c>
      <c r="J89" s="1124" t="s">
        <v>201</v>
      </c>
      <c r="K89" s="1289"/>
      <c r="L89" s="1289"/>
      <c r="M89" s="84" t="s">
        <v>3175</v>
      </c>
      <c r="N89" s="84" t="s">
        <v>3176</v>
      </c>
      <c r="O89" s="85" t="s">
        <v>43</v>
      </c>
      <c r="P89" s="1289"/>
      <c r="Q89" s="85" t="s">
        <v>43</v>
      </c>
      <c r="R89" s="1238" t="s">
        <v>119</v>
      </c>
      <c r="S89" s="85" t="s">
        <v>43</v>
      </c>
      <c r="T89" s="85" t="s">
        <v>43</v>
      </c>
      <c r="U89" s="85" t="s">
        <v>43</v>
      </c>
      <c r="V89" s="85" t="s">
        <v>43</v>
      </c>
      <c r="W89" s="1238" t="s">
        <v>3177</v>
      </c>
      <c r="X89" s="1237" t="s">
        <v>50</v>
      </c>
      <c r="Y89" s="1289" t="s">
        <v>14175</v>
      </c>
      <c r="Z89" s="1289"/>
      <c r="AA89" s="303">
        <v>0</v>
      </c>
      <c r="AB89" s="1237"/>
      <c r="AC89" s="1237"/>
      <c r="AD89" s="1237"/>
      <c r="AE89" s="1237"/>
      <c r="AF89" s="1237"/>
      <c r="AG89" s="1237"/>
    </row>
    <row r="90" spans="1:33" s="862" customFormat="1" ht="15.75" customHeight="1">
      <c r="A90" s="175">
        <v>89</v>
      </c>
      <c r="B90" s="1289" t="s">
        <v>234</v>
      </c>
      <c r="C90" s="1289" t="s">
        <v>234</v>
      </c>
      <c r="D90" s="1289" t="s">
        <v>234</v>
      </c>
      <c r="E90" s="84" t="s">
        <v>234</v>
      </c>
      <c r="F90" s="1289">
        <v>404</v>
      </c>
      <c r="G90" s="85" t="s">
        <v>43</v>
      </c>
      <c r="H90" s="1237" t="s">
        <v>51</v>
      </c>
      <c r="I90" s="1237" t="s">
        <v>45</v>
      </c>
      <c r="J90" s="1124" t="s">
        <v>11886</v>
      </c>
      <c r="K90" s="1289"/>
      <c r="L90" s="1289"/>
      <c r="M90" s="84" t="s">
        <v>252</v>
      </c>
      <c r="N90" s="1237" t="s">
        <v>253</v>
      </c>
      <c r="O90" s="85" t="s">
        <v>43</v>
      </c>
      <c r="P90" s="1289"/>
      <c r="Q90" s="85" t="s">
        <v>43</v>
      </c>
      <c r="R90" s="1238" t="s">
        <v>54</v>
      </c>
      <c r="S90" s="85" t="s">
        <v>43</v>
      </c>
      <c r="T90" s="85" t="s">
        <v>43</v>
      </c>
      <c r="U90" s="85" t="s">
        <v>43</v>
      </c>
      <c r="V90" s="85" t="s">
        <v>43</v>
      </c>
      <c r="W90" s="1238" t="s">
        <v>103</v>
      </c>
      <c r="X90" s="1237" t="s">
        <v>56</v>
      </c>
      <c r="Y90" s="1289" t="s">
        <v>14175</v>
      </c>
      <c r="Z90" s="1289"/>
      <c r="AA90" s="303">
        <v>0</v>
      </c>
      <c r="AB90" s="1237"/>
      <c r="AC90" s="1237"/>
      <c r="AD90" s="864"/>
      <c r="AE90" s="864"/>
      <c r="AF90" s="864"/>
      <c r="AG90" s="864"/>
    </row>
    <row r="91" spans="1:33" s="83" customFormat="1" ht="15.75" customHeight="1">
      <c r="A91" s="175">
        <v>90</v>
      </c>
      <c r="B91" s="1289" t="s">
        <v>1609</v>
      </c>
      <c r="C91" s="1289" t="s">
        <v>1609</v>
      </c>
      <c r="D91" s="1289" t="s">
        <v>1609</v>
      </c>
      <c r="E91" s="1289">
        <v>368</v>
      </c>
      <c r="F91" s="1289"/>
      <c r="G91" s="85" t="s">
        <v>43</v>
      </c>
      <c r="H91" s="1237" t="s">
        <v>44</v>
      </c>
      <c r="I91" s="1237" t="s">
        <v>45</v>
      </c>
      <c r="J91" s="1124" t="s">
        <v>201</v>
      </c>
      <c r="K91" s="1289"/>
      <c r="L91" s="1289"/>
      <c r="M91" s="1237" t="s">
        <v>2406</v>
      </c>
      <c r="N91" s="1237" t="s">
        <v>2407</v>
      </c>
      <c r="O91" s="85" t="s">
        <v>43</v>
      </c>
      <c r="P91" s="1289"/>
      <c r="Q91" s="85" t="s">
        <v>43</v>
      </c>
      <c r="R91" s="1238" t="s">
        <v>48</v>
      </c>
      <c r="S91" s="85" t="s">
        <v>43</v>
      </c>
      <c r="T91" s="85" t="s">
        <v>43</v>
      </c>
      <c r="U91" s="85" t="s">
        <v>43</v>
      </c>
      <c r="V91" s="1238" t="s">
        <v>2740</v>
      </c>
      <c r="W91" s="1237" t="s">
        <v>50</v>
      </c>
      <c r="X91" s="1289"/>
      <c r="Y91" s="1289" t="s">
        <v>14175</v>
      </c>
      <c r="Z91" s="219">
        <v>0</v>
      </c>
      <c r="AA91" s="1237"/>
      <c r="AB91" s="1237"/>
      <c r="AC91" s="1237"/>
      <c r="AD91" s="1237"/>
      <c r="AE91" s="1237"/>
      <c r="AF91" s="1237"/>
      <c r="AG91" s="1237"/>
    </row>
    <row r="92" spans="1:33" s="83" customFormat="1" ht="15.75" customHeight="1">
      <c r="A92" s="175">
        <v>91</v>
      </c>
      <c r="B92" s="1289" t="s">
        <v>1609</v>
      </c>
      <c r="C92" s="1289" t="s">
        <v>1609</v>
      </c>
      <c r="D92" s="1289" t="s">
        <v>1609</v>
      </c>
      <c r="E92" s="1289">
        <v>430</v>
      </c>
      <c r="F92" s="1289"/>
      <c r="G92" s="85" t="s">
        <v>43</v>
      </c>
      <c r="H92" s="1237" t="s">
        <v>44</v>
      </c>
      <c r="I92" s="1237" t="s">
        <v>45</v>
      </c>
      <c r="J92" s="1124" t="s">
        <v>201</v>
      </c>
      <c r="K92" s="1289"/>
      <c r="L92" s="1289"/>
      <c r="M92" s="84" t="s">
        <v>2410</v>
      </c>
      <c r="N92" s="84" t="s">
        <v>2741</v>
      </c>
      <c r="O92" s="85" t="s">
        <v>43</v>
      </c>
      <c r="P92" s="1289"/>
      <c r="Q92" s="85" t="s">
        <v>43</v>
      </c>
      <c r="R92" s="1238" t="s">
        <v>68</v>
      </c>
      <c r="S92" s="85" t="s">
        <v>43</v>
      </c>
      <c r="T92" s="85" t="s">
        <v>43</v>
      </c>
      <c r="U92" s="85" t="s">
        <v>43</v>
      </c>
      <c r="V92" s="1238" t="s">
        <v>2742</v>
      </c>
      <c r="W92" s="1237" t="s">
        <v>50</v>
      </c>
      <c r="X92" s="1289"/>
      <c r="Y92" s="1289" t="s">
        <v>14175</v>
      </c>
      <c r="Z92" s="219">
        <v>0</v>
      </c>
      <c r="AA92" s="1237"/>
      <c r="AB92" s="1237"/>
      <c r="AC92" s="1237"/>
      <c r="AD92" s="1237"/>
      <c r="AE92" s="1237"/>
      <c r="AF92" s="1237"/>
      <c r="AG92" s="1237"/>
    </row>
    <row r="93" spans="1:33" s="83" customFormat="1" ht="15.75" customHeight="1">
      <c r="A93" s="175">
        <v>92</v>
      </c>
      <c r="B93" s="1289" t="s">
        <v>1609</v>
      </c>
      <c r="C93" s="1289" t="s">
        <v>1609</v>
      </c>
      <c r="D93" s="1289" t="s">
        <v>1609</v>
      </c>
      <c r="E93" s="1289">
        <v>432</v>
      </c>
      <c r="F93" s="1289"/>
      <c r="G93" s="85" t="s">
        <v>43</v>
      </c>
      <c r="H93" s="1237" t="s">
        <v>44</v>
      </c>
      <c r="I93" s="1237" t="s">
        <v>45</v>
      </c>
      <c r="J93" s="1124" t="s">
        <v>199</v>
      </c>
      <c r="K93" s="1289"/>
      <c r="L93" s="1289"/>
      <c r="M93" s="84" t="s">
        <v>2743</v>
      </c>
      <c r="N93" s="84" t="s">
        <v>2754</v>
      </c>
      <c r="O93" s="85" t="s">
        <v>43</v>
      </c>
      <c r="P93" s="1289"/>
      <c r="Q93" s="85" t="s">
        <v>43</v>
      </c>
      <c r="R93" s="1238" t="s">
        <v>48</v>
      </c>
      <c r="S93" s="85" t="s">
        <v>43</v>
      </c>
      <c r="T93" s="85" t="s">
        <v>43</v>
      </c>
      <c r="U93" s="85"/>
      <c r="V93" s="1238" t="s">
        <v>2742</v>
      </c>
      <c r="W93" s="1237" t="s">
        <v>50</v>
      </c>
      <c r="X93" s="1289"/>
      <c r="Y93" s="1289" t="s">
        <v>14175</v>
      </c>
      <c r="Z93" s="219">
        <v>0</v>
      </c>
      <c r="AA93" s="1237"/>
      <c r="AB93" s="1237"/>
      <c r="AC93" s="1237"/>
      <c r="AD93" s="1237"/>
      <c r="AE93" s="1237"/>
      <c r="AF93" s="1237"/>
      <c r="AG93" s="1237"/>
    </row>
    <row r="94" spans="1:33" s="862" customFormat="1" ht="15.75" customHeight="1">
      <c r="A94" s="175">
        <v>93</v>
      </c>
      <c r="B94" s="1289" t="s">
        <v>423</v>
      </c>
      <c r="C94" s="1289" t="s">
        <v>332</v>
      </c>
      <c r="D94" s="1289" t="s">
        <v>332</v>
      </c>
      <c r="E94" s="1289">
        <v>546</v>
      </c>
      <c r="F94" s="1289"/>
      <c r="G94" s="85" t="s">
        <v>43</v>
      </c>
      <c r="H94" s="1237" t="s">
        <v>44</v>
      </c>
      <c r="I94" s="1237" t="s">
        <v>45</v>
      </c>
      <c r="J94" s="1124" t="s">
        <v>201</v>
      </c>
      <c r="K94" s="1289"/>
      <c r="L94" s="1289"/>
      <c r="M94" s="84" t="s">
        <v>372</v>
      </c>
      <c r="N94" s="84" t="s">
        <v>371</v>
      </c>
      <c r="O94" s="85" t="s">
        <v>43</v>
      </c>
      <c r="P94" s="1289"/>
      <c r="Q94" s="85" t="s">
        <v>43</v>
      </c>
      <c r="R94" s="1238" t="s">
        <v>48</v>
      </c>
      <c r="S94" s="85" t="s">
        <v>43</v>
      </c>
      <c r="T94" s="85" t="s">
        <v>43</v>
      </c>
      <c r="U94" s="85" t="s">
        <v>43</v>
      </c>
      <c r="V94" s="85" t="s">
        <v>43</v>
      </c>
      <c r="W94" s="1238" t="s">
        <v>49</v>
      </c>
      <c r="X94" s="1237" t="s">
        <v>50</v>
      </c>
      <c r="Y94" s="1289" t="s">
        <v>14175</v>
      </c>
      <c r="Z94" s="1289"/>
      <c r="AA94" s="219">
        <v>0</v>
      </c>
      <c r="AB94" s="1237"/>
      <c r="AC94" s="1237"/>
      <c r="AD94" s="864"/>
      <c r="AE94" s="864"/>
      <c r="AF94" s="864"/>
      <c r="AG94" s="864"/>
    </row>
    <row r="95" spans="1:33" s="83" customFormat="1" ht="15.75" customHeight="1">
      <c r="A95" s="175">
        <v>94</v>
      </c>
      <c r="B95" s="1289" t="s">
        <v>1592</v>
      </c>
      <c r="C95" s="1289" t="s">
        <v>1594</v>
      </c>
      <c r="D95" s="1289" t="s">
        <v>1632</v>
      </c>
      <c r="E95" s="1289">
        <v>343</v>
      </c>
      <c r="F95" s="1289"/>
      <c r="G95" s="85" t="s">
        <v>43</v>
      </c>
      <c r="H95" s="1237" t="s">
        <v>84</v>
      </c>
      <c r="I95" s="1237" t="s">
        <v>45</v>
      </c>
      <c r="J95" s="1124" t="s">
        <v>201</v>
      </c>
      <c r="K95" s="1289"/>
      <c r="L95" s="1289"/>
      <c r="M95" s="1237" t="s">
        <v>1638</v>
      </c>
      <c r="N95" s="1237" t="s">
        <v>1639</v>
      </c>
      <c r="O95" s="85" t="s">
        <v>43</v>
      </c>
      <c r="P95" s="1289"/>
      <c r="Q95" s="85" t="s">
        <v>43</v>
      </c>
      <c r="R95" s="1238" t="s">
        <v>142</v>
      </c>
      <c r="S95" s="85" t="s">
        <v>43</v>
      </c>
      <c r="T95" s="85" t="s">
        <v>43</v>
      </c>
      <c r="U95" s="85" t="s">
        <v>43</v>
      </c>
      <c r="V95" s="85" t="s">
        <v>43</v>
      </c>
      <c r="W95" s="1238" t="s">
        <v>1640</v>
      </c>
      <c r="X95" s="1237" t="s">
        <v>50</v>
      </c>
      <c r="Y95" s="1289" t="s">
        <v>14175</v>
      </c>
      <c r="Z95" s="1289"/>
      <c r="AA95" s="219">
        <v>0</v>
      </c>
      <c r="AB95" s="1237"/>
      <c r="AC95" s="1237"/>
      <c r="AD95" s="1237"/>
      <c r="AE95" s="1237"/>
      <c r="AF95" s="1237"/>
      <c r="AG95" s="1237"/>
    </row>
    <row r="96" spans="1:33" s="83" customFormat="1" ht="15.75" customHeight="1">
      <c r="A96" s="175">
        <v>95</v>
      </c>
      <c r="B96" s="1289" t="s">
        <v>1595</v>
      </c>
      <c r="C96" s="1289" t="s">
        <v>1598</v>
      </c>
      <c r="D96" s="1289"/>
      <c r="E96" s="1289">
        <v>392</v>
      </c>
      <c r="F96" s="1289"/>
      <c r="G96" s="85" t="s">
        <v>43</v>
      </c>
      <c r="H96" s="1237" t="s">
        <v>44</v>
      </c>
      <c r="I96" s="1237" t="s">
        <v>45</v>
      </c>
      <c r="J96" s="1290" t="s">
        <v>201</v>
      </c>
      <c r="K96" s="1289"/>
      <c r="L96" s="1289"/>
      <c r="M96" s="84" t="s">
        <v>1973</v>
      </c>
      <c r="N96" s="84" t="s">
        <v>11971</v>
      </c>
      <c r="O96" s="85" t="s">
        <v>43</v>
      </c>
      <c r="P96" s="1289"/>
      <c r="Q96" s="85" t="s">
        <v>43</v>
      </c>
      <c r="R96" s="1238" t="s">
        <v>119</v>
      </c>
      <c r="S96" s="85" t="s">
        <v>43</v>
      </c>
      <c r="T96" s="85" t="s">
        <v>43</v>
      </c>
      <c r="U96" s="85" t="s">
        <v>43</v>
      </c>
      <c r="V96" s="85" t="s">
        <v>43</v>
      </c>
      <c r="W96" s="1238" t="s">
        <v>49</v>
      </c>
      <c r="X96" s="1237" t="s">
        <v>50</v>
      </c>
      <c r="Y96" s="1289" t="s">
        <v>14175</v>
      </c>
      <c r="Z96" s="1289"/>
      <c r="AA96" s="219">
        <v>0</v>
      </c>
      <c r="AB96" s="1237"/>
      <c r="AC96" s="1237"/>
      <c r="AD96" s="1237"/>
      <c r="AE96" s="1237"/>
      <c r="AF96" s="1237"/>
      <c r="AG96" s="1237"/>
    </row>
    <row r="97" spans="1:33" s="328" customFormat="1" ht="24" customHeight="1">
      <c r="A97" s="175">
        <v>96</v>
      </c>
      <c r="B97" s="1075" t="s">
        <v>1595</v>
      </c>
      <c r="C97" s="1075" t="s">
        <v>11406</v>
      </c>
      <c r="D97" s="1075">
        <v>232</v>
      </c>
      <c r="E97" s="1075" t="s">
        <v>9065</v>
      </c>
      <c r="F97" s="1075" t="s">
        <v>9065</v>
      </c>
      <c r="G97" s="1075" t="s">
        <v>9805</v>
      </c>
      <c r="H97" s="1075"/>
      <c r="I97" s="1075"/>
      <c r="J97" s="1075" t="s">
        <v>5129</v>
      </c>
      <c r="K97" s="1077" t="s">
        <v>9806</v>
      </c>
      <c r="L97" s="1078">
        <v>0</v>
      </c>
      <c r="M97" s="1078"/>
      <c r="N97" s="1078" t="s">
        <v>14176</v>
      </c>
      <c r="O97" s="1078"/>
      <c r="P97" s="1076"/>
      <c r="Q97" s="1076"/>
      <c r="R97" s="1076"/>
      <c r="S97" s="1076"/>
      <c r="T97" s="175"/>
      <c r="U97" s="1076"/>
      <c r="V97" s="1076"/>
      <c r="W97" s="1076"/>
      <c r="X97" s="1076"/>
      <c r="Y97" s="1076"/>
      <c r="Z97" s="1076"/>
      <c r="AA97" s="1076"/>
      <c r="AB97" s="1076"/>
      <c r="AC97" s="1076"/>
      <c r="AD97" s="1304"/>
      <c r="AE97" s="1304"/>
      <c r="AF97" s="1304"/>
      <c r="AG97" s="1304"/>
    </row>
    <row r="98" spans="1:33" s="328" customFormat="1" ht="24" customHeight="1">
      <c r="A98" s="175">
        <v>97</v>
      </c>
      <c r="B98" s="1075"/>
      <c r="C98" s="1075" t="s">
        <v>11803</v>
      </c>
      <c r="D98" s="1075">
        <v>217</v>
      </c>
      <c r="E98" s="1075" t="s">
        <v>9065</v>
      </c>
      <c r="F98" s="1075" t="s">
        <v>9065</v>
      </c>
      <c r="G98" s="1075" t="s">
        <v>11804</v>
      </c>
      <c r="H98" s="1075"/>
      <c r="I98" s="1075"/>
      <c r="J98" s="1075" t="s">
        <v>5129</v>
      </c>
      <c r="K98" s="1077" t="s">
        <v>1744</v>
      </c>
      <c r="L98" s="1078">
        <v>0</v>
      </c>
      <c r="M98" s="1078"/>
      <c r="N98" s="1078" t="s">
        <v>14176</v>
      </c>
      <c r="O98" s="1078"/>
      <c r="P98" s="1076"/>
      <c r="Q98" s="1076"/>
      <c r="R98" s="1076"/>
      <c r="S98" s="1076"/>
      <c r="T98" s="175"/>
      <c r="U98" s="1076"/>
      <c r="V98" s="1076"/>
      <c r="W98" s="1076"/>
      <c r="X98" s="1076"/>
      <c r="Y98" s="1076"/>
      <c r="Z98" s="1076"/>
      <c r="AA98" s="1076"/>
      <c r="AB98" s="1076"/>
      <c r="AC98" s="1076"/>
      <c r="AD98" s="1304"/>
      <c r="AE98" s="1304"/>
      <c r="AF98" s="1304"/>
      <c r="AG98" s="1304"/>
    </row>
    <row r="99" spans="1:33" s="83" customFormat="1" ht="15.75" customHeight="1">
      <c r="A99" s="175">
        <v>98</v>
      </c>
      <c r="B99" s="1237" t="s">
        <v>267</v>
      </c>
      <c r="C99" s="1237" t="s">
        <v>267</v>
      </c>
      <c r="D99" s="1237" t="s">
        <v>267</v>
      </c>
      <c r="E99" s="1237" t="s">
        <v>294</v>
      </c>
      <c r="F99" s="1289">
        <v>353</v>
      </c>
      <c r="G99" s="1238"/>
      <c r="H99" s="1237" t="s">
        <v>44</v>
      </c>
      <c r="I99" s="1237" t="s">
        <v>45</v>
      </c>
      <c r="J99" s="1124" t="s">
        <v>201</v>
      </c>
      <c r="K99" s="1289"/>
      <c r="L99" s="1289"/>
      <c r="M99" s="1237" t="s">
        <v>11479</v>
      </c>
      <c r="N99" s="1237" t="s">
        <v>11480</v>
      </c>
      <c r="O99" s="85" t="s">
        <v>43</v>
      </c>
      <c r="P99" s="1289"/>
      <c r="Q99" s="85"/>
      <c r="R99" s="1238"/>
      <c r="S99" s="1238"/>
      <c r="T99" s="85"/>
      <c r="U99" s="85"/>
      <c r="V99" s="85"/>
      <c r="W99" s="85"/>
      <c r="X99" s="1237"/>
      <c r="Y99" s="1289" t="s">
        <v>14175</v>
      </c>
      <c r="Z99" s="1289"/>
      <c r="AA99" s="219"/>
      <c r="AB99" s="1237"/>
      <c r="AC99" s="1237"/>
      <c r="AD99" s="1237"/>
      <c r="AE99" s="1237"/>
      <c r="AF99" s="1237"/>
      <c r="AG99" s="1237"/>
    </row>
    <row r="100" spans="1:33" s="83" customFormat="1" ht="15.75" customHeight="1">
      <c r="A100" s="175">
        <v>99</v>
      </c>
      <c r="B100" s="1289" t="s">
        <v>3212</v>
      </c>
      <c r="C100" s="1289" t="s">
        <v>3212</v>
      </c>
      <c r="D100" s="1289" t="s">
        <v>3213</v>
      </c>
      <c r="E100" s="1289">
        <v>342</v>
      </c>
      <c r="F100" s="1289"/>
      <c r="G100" s="85" t="s">
        <v>43</v>
      </c>
      <c r="H100" s="1237" t="s">
        <v>44</v>
      </c>
      <c r="I100" s="1237" t="s">
        <v>45</v>
      </c>
      <c r="J100" s="1124" t="s">
        <v>201</v>
      </c>
      <c r="K100" s="1289"/>
      <c r="L100" s="1289"/>
      <c r="M100" s="84" t="s">
        <v>3315</v>
      </c>
      <c r="N100" s="1237" t="s">
        <v>3314</v>
      </c>
      <c r="O100" s="85" t="s">
        <v>43</v>
      </c>
      <c r="P100" s="1289"/>
      <c r="Q100" s="1823" t="s">
        <v>48</v>
      </c>
      <c r="R100" s="1823"/>
      <c r="S100" s="1823"/>
      <c r="T100" s="85" t="s">
        <v>43</v>
      </c>
      <c r="U100" s="85" t="s">
        <v>43</v>
      </c>
      <c r="V100" s="85" t="s">
        <v>43</v>
      </c>
      <c r="W100" s="1238" t="s">
        <v>3138</v>
      </c>
      <c r="X100" s="1237" t="s">
        <v>50</v>
      </c>
      <c r="Y100" s="1289" t="s">
        <v>14175</v>
      </c>
      <c r="Z100" s="1289"/>
      <c r="AA100" s="293">
        <v>0</v>
      </c>
      <c r="AB100" s="1237"/>
      <c r="AC100" s="1237"/>
      <c r="AD100" s="1237"/>
      <c r="AE100" s="1237"/>
      <c r="AF100" s="1237"/>
      <c r="AG100" s="1237"/>
    </row>
    <row r="101" spans="1:33" s="83" customFormat="1" ht="15.75" customHeight="1">
      <c r="A101" s="175">
        <v>100</v>
      </c>
      <c r="B101" s="1289" t="s">
        <v>3212</v>
      </c>
      <c r="C101" s="1289" t="s">
        <v>3212</v>
      </c>
      <c r="D101" s="1289" t="s">
        <v>3213</v>
      </c>
      <c r="E101" s="1289">
        <v>428</v>
      </c>
      <c r="F101" s="1289"/>
      <c r="G101" s="85" t="s">
        <v>43</v>
      </c>
      <c r="H101" s="1237" t="s">
        <v>44</v>
      </c>
      <c r="I101" s="1237" t="s">
        <v>45</v>
      </c>
      <c r="J101" s="1124" t="s">
        <v>201</v>
      </c>
      <c r="K101" s="1289"/>
      <c r="L101" s="1289"/>
      <c r="M101" s="84" t="s">
        <v>3323</v>
      </c>
      <c r="N101" s="84" t="s">
        <v>3322</v>
      </c>
      <c r="O101" s="85" t="s">
        <v>43</v>
      </c>
      <c r="P101" s="1289"/>
      <c r="Q101" s="1823" t="s">
        <v>48</v>
      </c>
      <c r="R101" s="1823"/>
      <c r="S101" s="1823"/>
      <c r="T101" s="85" t="s">
        <v>43</v>
      </c>
      <c r="U101" s="85" t="s">
        <v>43</v>
      </c>
      <c r="V101" s="85" t="s">
        <v>43</v>
      </c>
      <c r="W101" s="1238" t="s">
        <v>1822</v>
      </c>
      <c r="X101" s="1237" t="s">
        <v>50</v>
      </c>
      <c r="Y101" s="1289"/>
      <c r="Z101" s="1289"/>
      <c r="AA101" s="293">
        <v>0</v>
      </c>
      <c r="AB101" s="1237"/>
      <c r="AC101" s="1237"/>
      <c r="AD101" s="1237"/>
      <c r="AE101" s="1237"/>
      <c r="AF101" s="1237"/>
      <c r="AG101" s="1237"/>
    </row>
    <row r="102" spans="1:33" s="83" customFormat="1" ht="19.5">
      <c r="A102" s="175">
        <v>101</v>
      </c>
      <c r="B102" s="1289" t="s">
        <v>3705</v>
      </c>
      <c r="C102" s="1289"/>
      <c r="D102" s="84" t="s">
        <v>4886</v>
      </c>
      <c r="E102" s="1906" t="s">
        <v>4984</v>
      </c>
      <c r="F102" s="1906"/>
      <c r="G102" s="85" t="s">
        <v>9287</v>
      </c>
      <c r="H102" s="1237" t="s">
        <v>335</v>
      </c>
      <c r="I102" s="1237" t="s">
        <v>168</v>
      </c>
      <c r="J102" s="1124" t="s">
        <v>205</v>
      </c>
      <c r="K102" s="84" t="s">
        <v>4985</v>
      </c>
      <c r="L102" s="84" t="s">
        <v>4986</v>
      </c>
      <c r="M102" s="84" t="s">
        <v>4987</v>
      </c>
      <c r="N102" s="85" t="s">
        <v>43</v>
      </c>
      <c r="O102" s="85" t="s">
        <v>43</v>
      </c>
      <c r="P102" s="85" t="s">
        <v>43</v>
      </c>
      <c r="Q102" s="85" t="s">
        <v>43</v>
      </c>
      <c r="R102" s="85" t="s">
        <v>43</v>
      </c>
      <c r="S102" s="85" t="s">
        <v>43</v>
      </c>
      <c r="T102" s="86" t="s">
        <v>68</v>
      </c>
      <c r="U102" s="1237" t="s">
        <v>1504</v>
      </c>
      <c r="V102" s="1124" t="s">
        <v>202</v>
      </c>
      <c r="W102" s="85" t="s">
        <v>43</v>
      </c>
      <c r="X102" s="219">
        <v>4480000</v>
      </c>
      <c r="Y102" s="1236" t="s">
        <v>14172</v>
      </c>
      <c r="Z102" s="1237"/>
      <c r="AA102" s="1289"/>
      <c r="AB102" s="1237"/>
      <c r="AC102" s="1237"/>
      <c r="AD102" s="1237"/>
      <c r="AE102" s="1237"/>
      <c r="AF102" s="1237"/>
      <c r="AG102" s="1237"/>
    </row>
    <row r="103" spans="1:33" s="83" customFormat="1" ht="15.75" customHeight="1">
      <c r="A103" s="175">
        <v>102</v>
      </c>
      <c r="B103" s="1289" t="s">
        <v>423</v>
      </c>
      <c r="C103" s="1289" t="s">
        <v>423</v>
      </c>
      <c r="D103" s="1289" t="s">
        <v>423</v>
      </c>
      <c r="E103" s="1289" t="s">
        <v>14178</v>
      </c>
      <c r="F103" s="1289"/>
      <c r="G103" s="85" t="s">
        <v>43</v>
      </c>
      <c r="H103" s="1237" t="s">
        <v>44</v>
      </c>
      <c r="I103" s="1237" t="s">
        <v>45</v>
      </c>
      <c r="J103" s="1290" t="s">
        <v>201</v>
      </c>
      <c r="K103" s="1289"/>
      <c r="L103" s="1289"/>
      <c r="M103" s="84" t="s">
        <v>659</v>
      </c>
      <c r="N103" s="84" t="s">
        <v>660</v>
      </c>
      <c r="O103" s="85" t="s">
        <v>43</v>
      </c>
      <c r="P103" s="1289"/>
      <c r="Q103" s="85" t="s">
        <v>43</v>
      </c>
      <c r="R103" s="1238" t="s">
        <v>48</v>
      </c>
      <c r="S103" s="85" t="s">
        <v>43</v>
      </c>
      <c r="T103" s="85" t="s">
        <v>43</v>
      </c>
      <c r="U103" s="85" t="s">
        <v>43</v>
      </c>
      <c r="V103" s="85" t="s">
        <v>43</v>
      </c>
      <c r="W103" s="1238" t="s">
        <v>661</v>
      </c>
      <c r="X103" s="1237" t="s">
        <v>50</v>
      </c>
      <c r="Y103" s="1289" t="s">
        <v>14175</v>
      </c>
      <c r="Z103" s="1289"/>
      <c r="AA103" s="219">
        <v>0</v>
      </c>
      <c r="AB103" s="1237"/>
      <c r="AC103" s="1237"/>
      <c r="AD103" s="1237"/>
      <c r="AE103" s="1237"/>
      <c r="AF103" s="1237"/>
      <c r="AG103" s="1237"/>
    </row>
    <row r="104" spans="1:33" s="102" customFormat="1" ht="19.5">
      <c r="A104" s="175">
        <v>103</v>
      </c>
      <c r="B104" s="1289" t="s">
        <v>3018</v>
      </c>
      <c r="C104" s="1289" t="s">
        <v>3018</v>
      </c>
      <c r="D104" s="1289" t="s">
        <v>3018</v>
      </c>
      <c r="E104" s="1906" t="s">
        <v>3095</v>
      </c>
      <c r="F104" s="1906"/>
      <c r="G104" s="85" t="s">
        <v>43</v>
      </c>
      <c r="H104" s="1237" t="s">
        <v>84</v>
      </c>
      <c r="I104" s="1237" t="s">
        <v>45</v>
      </c>
      <c r="J104" s="1237">
        <v>128</v>
      </c>
      <c r="K104" s="84" t="s">
        <v>3096</v>
      </c>
      <c r="L104" s="1295" t="s">
        <v>3097</v>
      </c>
      <c r="M104" s="84" t="s">
        <v>3098</v>
      </c>
      <c r="N104" s="85" t="s">
        <v>43</v>
      </c>
      <c r="O104" s="85" t="s">
        <v>43</v>
      </c>
      <c r="P104" s="85" t="s">
        <v>43</v>
      </c>
      <c r="Q104" s="85" t="s">
        <v>43</v>
      </c>
      <c r="R104" s="85" t="s">
        <v>43</v>
      </c>
      <c r="S104" s="85" t="s">
        <v>43</v>
      </c>
      <c r="T104" s="85" t="s">
        <v>43</v>
      </c>
      <c r="U104" s="85" t="s">
        <v>43</v>
      </c>
      <c r="V104" s="85" t="s">
        <v>43</v>
      </c>
      <c r="W104" s="85" t="s">
        <v>43</v>
      </c>
      <c r="X104" s="85" t="s">
        <v>43</v>
      </c>
      <c r="Y104" s="1236" t="s">
        <v>14172</v>
      </c>
      <c r="Z104" s="1237"/>
      <c r="AA104" s="1289"/>
      <c r="AB104" s="1237"/>
      <c r="AC104" s="1237"/>
      <c r="AD104" s="1237"/>
      <c r="AE104" s="1237"/>
      <c r="AF104" s="1237"/>
      <c r="AG104" s="1237"/>
    </row>
    <row r="105" spans="1:33" s="102" customFormat="1" ht="19.5">
      <c r="A105" s="175">
        <v>104</v>
      </c>
      <c r="B105" s="1289" t="s">
        <v>3018</v>
      </c>
      <c r="C105" s="1289" t="s">
        <v>3018</v>
      </c>
      <c r="D105" s="84" t="s">
        <v>3077</v>
      </c>
      <c r="E105" s="1906" t="s">
        <v>14184</v>
      </c>
      <c r="F105" s="1906"/>
      <c r="G105" s="85" t="s">
        <v>9263</v>
      </c>
      <c r="H105" s="1237" t="s">
        <v>1659</v>
      </c>
      <c r="I105" s="1237" t="s">
        <v>108</v>
      </c>
      <c r="J105" s="1237">
        <v>512</v>
      </c>
      <c r="K105" s="84" t="s">
        <v>3106</v>
      </c>
      <c r="L105" s="84" t="s">
        <v>3107</v>
      </c>
      <c r="M105" s="84" t="s">
        <v>3108</v>
      </c>
      <c r="N105" s="85" t="s">
        <v>43</v>
      </c>
      <c r="O105" s="1237" t="s">
        <v>438</v>
      </c>
      <c r="P105" s="85" t="s">
        <v>43</v>
      </c>
      <c r="Q105" s="85" t="s">
        <v>43</v>
      </c>
      <c r="R105" s="85" t="s">
        <v>43</v>
      </c>
      <c r="S105" s="85" t="s">
        <v>43</v>
      </c>
      <c r="T105" s="1237" t="s">
        <v>2274</v>
      </c>
      <c r="U105" s="1237" t="s">
        <v>299</v>
      </c>
      <c r="V105" s="1124" t="s">
        <v>202</v>
      </c>
      <c r="W105" s="85" t="s">
        <v>43</v>
      </c>
      <c r="X105" s="219">
        <v>6400000</v>
      </c>
      <c r="Y105" s="1236" t="s">
        <v>14172</v>
      </c>
      <c r="Z105" s="1237"/>
      <c r="AA105" s="1289"/>
      <c r="AB105" s="1237"/>
      <c r="AC105" s="1237"/>
      <c r="AD105" s="1237"/>
      <c r="AE105" s="1237"/>
      <c r="AF105" s="1237"/>
      <c r="AG105" s="1237"/>
    </row>
    <row r="106" spans="1:33" s="102" customFormat="1" ht="19.5">
      <c r="A106" s="175">
        <v>105</v>
      </c>
      <c r="B106" s="1289" t="s">
        <v>3018</v>
      </c>
      <c r="C106" s="1289" t="s">
        <v>3018</v>
      </c>
      <c r="D106" s="84" t="s">
        <v>3077</v>
      </c>
      <c r="E106" s="1906" t="s">
        <v>14185</v>
      </c>
      <c r="F106" s="1906"/>
      <c r="G106" s="85" t="s">
        <v>9264</v>
      </c>
      <c r="H106" s="1237" t="s">
        <v>1659</v>
      </c>
      <c r="I106" s="1237" t="s">
        <v>108</v>
      </c>
      <c r="J106" s="1237">
        <v>512</v>
      </c>
      <c r="K106" s="84" t="s">
        <v>3110</v>
      </c>
      <c r="L106" s="84" t="s">
        <v>3111</v>
      </c>
      <c r="M106" s="84" t="s">
        <v>3112</v>
      </c>
      <c r="N106" s="85" t="s">
        <v>43</v>
      </c>
      <c r="O106" s="1237" t="s">
        <v>438</v>
      </c>
      <c r="P106" s="85" t="s">
        <v>43</v>
      </c>
      <c r="Q106" s="85" t="s">
        <v>43</v>
      </c>
      <c r="R106" s="85" t="s">
        <v>43</v>
      </c>
      <c r="S106" s="85" t="s">
        <v>43</v>
      </c>
      <c r="T106" s="1237" t="s">
        <v>2274</v>
      </c>
      <c r="U106" s="1237" t="s">
        <v>299</v>
      </c>
      <c r="V106" s="1124" t="s">
        <v>202</v>
      </c>
      <c r="W106" s="85" t="s">
        <v>43</v>
      </c>
      <c r="X106" s="219">
        <v>6400000</v>
      </c>
      <c r="Y106" s="1236" t="s">
        <v>14172</v>
      </c>
      <c r="Z106" s="1237"/>
      <c r="AA106" s="1289"/>
      <c r="AB106" s="1237"/>
      <c r="AC106" s="1237"/>
      <c r="AD106" s="1237"/>
      <c r="AE106" s="1237"/>
      <c r="AF106" s="1237"/>
      <c r="AG106" s="1237"/>
    </row>
    <row r="107" spans="1:33" s="102" customFormat="1" ht="19.5">
      <c r="A107" s="175">
        <v>106</v>
      </c>
      <c r="B107" s="1289" t="s">
        <v>3018</v>
      </c>
      <c r="C107" s="1289" t="s">
        <v>3018</v>
      </c>
      <c r="D107" s="84" t="s">
        <v>3059</v>
      </c>
      <c r="E107" s="1906" t="s">
        <v>3114</v>
      </c>
      <c r="F107" s="1906"/>
      <c r="G107" s="85" t="s">
        <v>43</v>
      </c>
      <c r="H107" s="1237" t="s">
        <v>84</v>
      </c>
      <c r="I107" s="1237" t="s">
        <v>45</v>
      </c>
      <c r="J107" s="1237">
        <v>128</v>
      </c>
      <c r="K107" s="84" t="s">
        <v>3115</v>
      </c>
      <c r="L107" s="84" t="s">
        <v>3116</v>
      </c>
      <c r="M107" s="84" t="s">
        <v>3117</v>
      </c>
      <c r="N107" s="85" t="s">
        <v>43</v>
      </c>
      <c r="O107" s="85" t="s">
        <v>43</v>
      </c>
      <c r="P107" s="85" t="s">
        <v>43</v>
      </c>
      <c r="Q107" s="85" t="s">
        <v>43</v>
      </c>
      <c r="R107" s="85" t="s">
        <v>43</v>
      </c>
      <c r="S107" s="85" t="s">
        <v>43</v>
      </c>
      <c r="T107" s="1237" t="s">
        <v>68</v>
      </c>
      <c r="U107" s="1237" t="s">
        <v>50</v>
      </c>
      <c r="V107" s="1124" t="s">
        <v>202</v>
      </c>
      <c r="W107" s="85" t="s">
        <v>43</v>
      </c>
      <c r="X107" s="85" t="s">
        <v>43</v>
      </c>
      <c r="Y107" s="1236" t="s">
        <v>14172</v>
      </c>
      <c r="Z107" s="1237"/>
      <c r="AA107" s="1289"/>
      <c r="AB107" s="1237"/>
      <c r="AC107" s="1237"/>
      <c r="AD107" s="1237"/>
      <c r="AE107" s="1237"/>
      <c r="AF107" s="1237"/>
      <c r="AG107" s="1237"/>
    </row>
    <row r="108" spans="1:33" s="102" customFormat="1" ht="18">
      <c r="A108" s="175">
        <v>107</v>
      </c>
      <c r="B108" s="1289" t="s">
        <v>3018</v>
      </c>
      <c r="C108" s="1289" t="s">
        <v>3018</v>
      </c>
      <c r="D108" s="1289"/>
      <c r="E108" s="1906" t="s">
        <v>3118</v>
      </c>
      <c r="F108" s="1906"/>
      <c r="G108" s="85" t="s">
        <v>43</v>
      </c>
      <c r="H108" s="1237"/>
      <c r="I108" s="1237"/>
      <c r="J108" s="1237"/>
      <c r="K108" s="84"/>
      <c r="L108" s="84"/>
      <c r="M108" s="84"/>
      <c r="N108" s="85"/>
      <c r="O108" s="85"/>
      <c r="P108" s="85"/>
      <c r="Q108" s="85"/>
      <c r="R108" s="85"/>
      <c r="S108" s="85"/>
      <c r="T108" s="1237"/>
      <c r="U108" s="1237"/>
      <c r="V108" s="1124"/>
      <c r="W108" s="85" t="s">
        <v>43</v>
      </c>
      <c r="X108" s="85" t="s">
        <v>43</v>
      </c>
      <c r="Y108" s="1237" t="s">
        <v>14186</v>
      </c>
      <c r="Z108" s="1237"/>
      <c r="AA108" s="1289"/>
      <c r="AB108" s="1237"/>
      <c r="AC108" s="1237"/>
      <c r="AD108" s="1237"/>
      <c r="AE108" s="1237"/>
      <c r="AF108" s="1237"/>
      <c r="AG108" s="1237"/>
    </row>
    <row r="109" spans="1:33" ht="18">
      <c r="A109" s="175">
        <v>108</v>
      </c>
      <c r="B109" s="1289"/>
      <c r="C109" s="1075" t="s">
        <v>10021</v>
      </c>
      <c r="D109" s="84" t="s">
        <v>1598</v>
      </c>
      <c r="E109" s="1289" t="s">
        <v>14187</v>
      </c>
      <c r="F109" s="1289" t="s">
        <v>14188</v>
      </c>
      <c r="G109" s="85" t="s">
        <v>7594</v>
      </c>
      <c r="H109" s="1289"/>
      <c r="I109" s="1289"/>
      <c r="J109" s="1289"/>
      <c r="K109" s="1289"/>
      <c r="L109" s="1289"/>
      <c r="M109" s="1289"/>
      <c r="N109" s="1289"/>
      <c r="O109" s="1289"/>
      <c r="P109" s="1289"/>
      <c r="Q109" s="1289"/>
      <c r="R109" s="1289"/>
      <c r="S109" s="1289"/>
      <c r="T109" s="1289"/>
      <c r="U109" s="1289"/>
      <c r="V109" s="1289"/>
      <c r="W109" s="1289"/>
      <c r="X109" s="1289"/>
      <c r="Y109" s="1289"/>
      <c r="Z109" s="1289"/>
      <c r="AA109" s="1289"/>
      <c r="AB109" s="1289"/>
      <c r="AC109" s="1289"/>
      <c r="AD109" s="1289"/>
      <c r="AE109" s="1289"/>
      <c r="AF109" s="1289"/>
      <c r="AG109" s="1289"/>
    </row>
    <row r="110" spans="1:33" s="83" customFormat="1" ht="18">
      <c r="A110" s="175">
        <v>109</v>
      </c>
      <c r="B110" s="1289"/>
      <c r="C110" s="1289"/>
      <c r="D110" s="84" t="s">
        <v>4886</v>
      </c>
      <c r="E110" s="1906" t="s">
        <v>14179</v>
      </c>
      <c r="F110" s="1906"/>
      <c r="G110" s="85" t="s">
        <v>9287</v>
      </c>
      <c r="H110" s="1237" t="s">
        <v>335</v>
      </c>
      <c r="I110" s="1237" t="s">
        <v>168</v>
      </c>
      <c r="J110" s="1124" t="s">
        <v>205</v>
      </c>
      <c r="K110" s="84" t="s">
        <v>14845</v>
      </c>
      <c r="L110" s="84" t="s">
        <v>4986</v>
      </c>
      <c r="M110" s="84" t="s">
        <v>4987</v>
      </c>
      <c r="N110" s="85" t="s">
        <v>43</v>
      </c>
      <c r="O110" s="85" t="s">
        <v>43</v>
      </c>
      <c r="P110" s="85" t="s">
        <v>43</v>
      </c>
      <c r="Q110" s="85" t="s">
        <v>43</v>
      </c>
      <c r="R110" s="85" t="s">
        <v>43</v>
      </c>
      <c r="S110" s="85" t="s">
        <v>43</v>
      </c>
      <c r="T110" s="86" t="s">
        <v>68</v>
      </c>
      <c r="U110" s="1237" t="s">
        <v>1504</v>
      </c>
      <c r="V110" s="1124" t="s">
        <v>202</v>
      </c>
      <c r="W110" s="85" t="s">
        <v>43</v>
      </c>
      <c r="X110" s="219">
        <v>4480000</v>
      </c>
      <c r="Y110" s="1237"/>
      <c r="Z110" s="1237"/>
      <c r="AA110" s="1289"/>
      <c r="AB110" s="1237"/>
      <c r="AC110" s="1237"/>
      <c r="AD110" s="1237"/>
      <c r="AE110" s="1237"/>
      <c r="AF110" s="1237"/>
      <c r="AG110" s="1237"/>
    </row>
    <row r="111" spans="1:33" s="83" customFormat="1" ht="18">
      <c r="A111" s="175">
        <v>110</v>
      </c>
      <c r="B111" s="1289"/>
      <c r="C111" s="1289"/>
      <c r="D111" s="84" t="s">
        <v>4913</v>
      </c>
      <c r="E111" s="1906" t="s">
        <v>14180</v>
      </c>
      <c r="F111" s="1906"/>
      <c r="G111" s="85" t="s">
        <v>9288</v>
      </c>
      <c r="H111" s="1237" t="s">
        <v>335</v>
      </c>
      <c r="I111" s="1237" t="s">
        <v>168</v>
      </c>
      <c r="J111" s="1124" t="s">
        <v>205</v>
      </c>
      <c r="K111" s="84" t="s">
        <v>4989</v>
      </c>
      <c r="L111" s="84" t="s">
        <v>4990</v>
      </c>
      <c r="M111" s="84" t="s">
        <v>4991</v>
      </c>
      <c r="N111" s="85" t="s">
        <v>43</v>
      </c>
      <c r="O111" s="85" t="s">
        <v>43</v>
      </c>
      <c r="P111" s="85" t="s">
        <v>43</v>
      </c>
      <c r="Q111" s="85" t="s">
        <v>43</v>
      </c>
      <c r="R111" s="85" t="s">
        <v>43</v>
      </c>
      <c r="S111" s="85" t="s">
        <v>43</v>
      </c>
      <c r="T111" s="86" t="s">
        <v>68</v>
      </c>
      <c r="U111" s="1237" t="s">
        <v>1504</v>
      </c>
      <c r="V111" s="1124" t="s">
        <v>202</v>
      </c>
      <c r="W111" s="85" t="s">
        <v>43</v>
      </c>
      <c r="X111" s="219">
        <v>6400000</v>
      </c>
      <c r="Y111" s="1237"/>
      <c r="Z111" s="1237"/>
      <c r="AA111" s="1289"/>
      <c r="AB111" s="1237"/>
      <c r="AC111" s="1237"/>
      <c r="AD111" s="1237"/>
      <c r="AE111" s="1237"/>
      <c r="AF111" s="1237"/>
      <c r="AG111" s="1237"/>
    </row>
    <row r="112" spans="1:33" ht="18">
      <c r="A112" s="175">
        <v>111</v>
      </c>
      <c r="B112" s="1289">
        <v>325</v>
      </c>
      <c r="C112" s="1668" t="s">
        <v>3328</v>
      </c>
      <c r="D112" s="1668" t="s">
        <v>3376</v>
      </c>
      <c r="E112" s="85" t="s">
        <v>14245</v>
      </c>
      <c r="F112" s="1237" t="s">
        <v>3367</v>
      </c>
      <c r="G112" s="1237" t="s">
        <v>60</v>
      </c>
      <c r="H112" s="1124" t="s">
        <v>199</v>
      </c>
      <c r="I112" s="1668" t="s">
        <v>14197</v>
      </c>
      <c r="J112" s="1668" t="s">
        <v>3377</v>
      </c>
      <c r="K112" s="1237" t="s">
        <v>3378</v>
      </c>
      <c r="L112" s="1237" t="s">
        <v>3379</v>
      </c>
      <c r="M112" s="85" t="s">
        <v>43</v>
      </c>
      <c r="N112" s="1909" t="s">
        <v>3401</v>
      </c>
      <c r="O112" s="85" t="s">
        <v>43</v>
      </c>
      <c r="P112" s="1238" t="s">
        <v>166</v>
      </c>
      <c r="Q112" s="85" t="s">
        <v>43</v>
      </c>
      <c r="R112" s="85" t="s">
        <v>43</v>
      </c>
      <c r="S112" s="85" t="s">
        <v>43</v>
      </c>
      <c r="T112" s="85" t="s">
        <v>43</v>
      </c>
      <c r="U112" s="85" t="s">
        <v>43</v>
      </c>
      <c r="V112" s="1237" t="s">
        <v>167</v>
      </c>
      <c r="W112" s="1668" t="s">
        <v>202</v>
      </c>
      <c r="X112" s="1668" t="s">
        <v>65</v>
      </c>
      <c r="Y112" s="219">
        <v>12000000</v>
      </c>
      <c r="Z112" s="1289"/>
      <c r="AA112" s="1289"/>
      <c r="AB112" s="1289"/>
      <c r="AC112" s="1289"/>
      <c r="AD112" s="1289"/>
      <c r="AE112" s="1289"/>
      <c r="AF112" s="1289"/>
      <c r="AG112" s="1289"/>
    </row>
    <row r="113" spans="1:33" ht="18">
      <c r="A113" s="175">
        <v>112</v>
      </c>
      <c r="B113" s="1289">
        <v>325</v>
      </c>
      <c r="C113" s="1668"/>
      <c r="D113" s="1668"/>
      <c r="E113" s="85">
        <v>608424</v>
      </c>
      <c r="F113" s="1284" t="s">
        <v>195</v>
      </c>
      <c r="G113" s="1237" t="s">
        <v>108</v>
      </c>
      <c r="H113" s="1124" t="s">
        <v>199</v>
      </c>
      <c r="I113" s="1668"/>
      <c r="J113" s="1668"/>
      <c r="K113" s="1237" t="s">
        <v>3380</v>
      </c>
      <c r="L113" s="1237" t="s">
        <v>3429</v>
      </c>
      <c r="M113" s="85" t="s">
        <v>43</v>
      </c>
      <c r="N113" s="1909"/>
      <c r="O113" s="85" t="s">
        <v>43</v>
      </c>
      <c r="P113" s="1238" t="s">
        <v>2269</v>
      </c>
      <c r="Q113" s="1238" t="s">
        <v>298</v>
      </c>
      <c r="R113" s="85" t="s">
        <v>43</v>
      </c>
      <c r="S113" s="85" t="s">
        <v>43</v>
      </c>
      <c r="T113" s="85" t="s">
        <v>43</v>
      </c>
      <c r="U113" s="1238" t="s">
        <v>1510</v>
      </c>
      <c r="V113" s="1237" t="s">
        <v>170</v>
      </c>
      <c r="W113" s="1668"/>
      <c r="X113" s="1668"/>
      <c r="Y113" s="219">
        <v>20800000</v>
      </c>
      <c r="Z113" s="1289"/>
      <c r="AA113" s="1289"/>
      <c r="AB113" s="1289"/>
      <c r="AC113" s="1289"/>
      <c r="AD113" s="1289"/>
      <c r="AE113" s="1289"/>
      <c r="AF113" s="1289"/>
      <c r="AG113" s="1289"/>
    </row>
    <row r="114" spans="1:33" s="83" customFormat="1" ht="15.75" customHeight="1">
      <c r="A114" s="175">
        <v>113</v>
      </c>
      <c r="B114" s="1289"/>
      <c r="C114" s="1289"/>
      <c r="D114" s="1289">
        <v>275</v>
      </c>
      <c r="E114" s="1289" t="s">
        <v>14320</v>
      </c>
      <c r="F114" s="1289"/>
      <c r="G114" s="85" t="s">
        <v>9169</v>
      </c>
      <c r="H114" s="1237" t="s">
        <v>7763</v>
      </c>
      <c r="I114" s="1289"/>
      <c r="J114" s="245" t="s">
        <v>205</v>
      </c>
      <c r="K114" s="1289"/>
      <c r="L114" s="1289"/>
      <c r="M114" s="1289"/>
      <c r="N114" s="1237" t="s">
        <v>2281</v>
      </c>
      <c r="O114" s="85" t="s">
        <v>43</v>
      </c>
      <c r="P114" s="1289"/>
      <c r="Q114" s="85" t="s">
        <v>43</v>
      </c>
      <c r="R114" s="1289"/>
      <c r="S114" s="85" t="s">
        <v>43</v>
      </c>
      <c r="T114" s="1289"/>
      <c r="U114" s="1289"/>
      <c r="V114" s="1289"/>
      <c r="W114" s="1238"/>
      <c r="X114" s="1289"/>
      <c r="Y114" s="1289"/>
      <c r="Z114" s="1289"/>
      <c r="AA114" s="219">
        <v>12800000</v>
      </c>
      <c r="AB114" s="1237"/>
      <c r="AC114" s="1237"/>
      <c r="AD114" s="1237"/>
      <c r="AE114" s="1237"/>
      <c r="AF114" s="1237"/>
      <c r="AG114" s="1237"/>
    </row>
    <row r="115" spans="1:33" s="83" customFormat="1" ht="15.75" customHeight="1">
      <c r="A115" s="175">
        <v>114</v>
      </c>
      <c r="B115" s="1289"/>
      <c r="C115" s="1289"/>
      <c r="D115" s="1289">
        <v>279</v>
      </c>
      <c r="E115" s="1289"/>
      <c r="F115" s="1289"/>
      <c r="G115" s="85" t="s">
        <v>3226</v>
      </c>
      <c r="H115" s="1237" t="s">
        <v>2968</v>
      </c>
      <c r="I115" s="1289"/>
      <c r="J115" s="1124" t="s">
        <v>204</v>
      </c>
      <c r="K115" s="1289"/>
      <c r="L115" s="1289"/>
      <c r="M115" s="1237" t="s">
        <v>3227</v>
      </c>
      <c r="N115" s="1237" t="s">
        <v>3228</v>
      </c>
      <c r="O115" s="85" t="s">
        <v>43</v>
      </c>
      <c r="P115" s="1289"/>
      <c r="Q115" s="1238"/>
      <c r="R115" s="1238" t="s">
        <v>3229</v>
      </c>
      <c r="S115" s="1238"/>
      <c r="T115" s="1289"/>
      <c r="U115" s="1289"/>
      <c r="V115" s="1289"/>
      <c r="W115" s="1238" t="s">
        <v>3230</v>
      </c>
      <c r="X115" s="1289"/>
      <c r="Y115" s="1289" t="s">
        <v>14410</v>
      </c>
      <c r="Z115" s="1289"/>
      <c r="AA115" s="293">
        <v>15680000</v>
      </c>
      <c r="AB115" s="1237"/>
      <c r="AC115" s="1237"/>
      <c r="AD115" s="1237"/>
      <c r="AE115" s="1237"/>
      <c r="AF115" s="1237"/>
      <c r="AG115" s="1237"/>
    </row>
    <row r="116" spans="1:33" s="83" customFormat="1" ht="15.75" customHeight="1">
      <c r="A116" s="175">
        <v>115</v>
      </c>
      <c r="B116" s="1289"/>
      <c r="C116" s="1289"/>
      <c r="D116" s="1289"/>
      <c r="E116" s="1289"/>
      <c r="F116" s="1289"/>
      <c r="G116" s="1238" t="s">
        <v>11841</v>
      </c>
      <c r="H116" s="1284" t="s">
        <v>2933</v>
      </c>
      <c r="I116" s="1289"/>
      <c r="J116" s="1124" t="s">
        <v>11842</v>
      </c>
      <c r="K116" s="1289"/>
      <c r="L116" s="1289"/>
      <c r="M116" s="1237" t="s">
        <v>2708</v>
      </c>
      <c r="N116" s="1237" t="s">
        <v>2709</v>
      </c>
      <c r="O116" s="85" t="s">
        <v>43</v>
      </c>
      <c r="P116" s="1289"/>
      <c r="Q116" s="85" t="s">
        <v>43</v>
      </c>
      <c r="R116" s="1238" t="s">
        <v>1839</v>
      </c>
      <c r="S116" s="1289"/>
      <c r="T116" s="85" t="s">
        <v>43</v>
      </c>
      <c r="U116" s="85" t="s">
        <v>43</v>
      </c>
      <c r="V116" s="85" t="s">
        <v>43</v>
      </c>
      <c r="W116" s="85" t="s">
        <v>43</v>
      </c>
      <c r="X116" s="1237" t="s">
        <v>299</v>
      </c>
      <c r="Y116" s="1289"/>
      <c r="Z116" s="1289"/>
      <c r="AA116" s="219">
        <v>0</v>
      </c>
      <c r="AB116" s="1237" t="s">
        <v>14891</v>
      </c>
      <c r="AC116" s="1237"/>
      <c r="AD116" s="1237"/>
      <c r="AE116" s="1237"/>
      <c r="AF116" s="1237"/>
      <c r="AG116" s="1237"/>
    </row>
    <row r="117" spans="1:33" s="102" customFormat="1" ht="15.75" customHeight="1">
      <c r="A117" s="1907">
        <v>116</v>
      </c>
      <c r="B117" s="1620">
        <v>361</v>
      </c>
      <c r="C117" s="1289"/>
      <c r="D117" s="1668" t="s">
        <v>3146</v>
      </c>
      <c r="E117" s="1668" t="s">
        <v>3146</v>
      </c>
      <c r="F117" s="1289"/>
      <c r="G117" s="1238" t="s">
        <v>3147</v>
      </c>
      <c r="H117" s="1237" t="s">
        <v>1514</v>
      </c>
      <c r="I117" s="218" t="s">
        <v>7763</v>
      </c>
      <c r="J117" s="1124" t="s">
        <v>199</v>
      </c>
      <c r="K117" s="1668" t="s">
        <v>14196</v>
      </c>
      <c r="L117" s="1668" t="s">
        <v>3148</v>
      </c>
      <c r="M117" s="1237" t="s">
        <v>221</v>
      </c>
      <c r="N117" s="1237" t="s">
        <v>3149</v>
      </c>
      <c r="O117" s="85" t="s">
        <v>43</v>
      </c>
      <c r="P117" s="1909" t="s">
        <v>3154</v>
      </c>
      <c r="Q117" s="1238" t="s">
        <v>2496</v>
      </c>
      <c r="R117" s="1238" t="s">
        <v>166</v>
      </c>
      <c r="S117" s="85" t="s">
        <v>43</v>
      </c>
      <c r="T117" s="85" t="s">
        <v>43</v>
      </c>
      <c r="U117" s="85" t="s">
        <v>43</v>
      </c>
      <c r="V117" s="85" t="s">
        <v>43</v>
      </c>
      <c r="W117" s="85" t="s">
        <v>43</v>
      </c>
      <c r="X117" s="1237" t="s">
        <v>167</v>
      </c>
      <c r="Y117" s="1668" t="s">
        <v>202</v>
      </c>
      <c r="Z117" s="1668" t="s">
        <v>65</v>
      </c>
      <c r="AA117" s="230">
        <v>25600000</v>
      </c>
      <c r="AB117" s="1237" t="s">
        <v>14941</v>
      </c>
      <c r="AC117" s="1237"/>
      <c r="AD117" s="1237"/>
      <c r="AE117" s="1237"/>
      <c r="AF117" s="1237"/>
      <c r="AG117" s="1237"/>
    </row>
    <row r="118" spans="1:33" s="102" customFormat="1" ht="15.75" customHeight="1">
      <c r="A118" s="1907"/>
      <c r="B118" s="1620"/>
      <c r="C118" s="1289"/>
      <c r="D118" s="1668"/>
      <c r="E118" s="1668"/>
      <c r="F118" s="1289"/>
      <c r="G118" s="85">
        <v>9702120051</v>
      </c>
      <c r="H118" s="1284" t="s">
        <v>195</v>
      </c>
      <c r="I118" s="1237" t="s">
        <v>108</v>
      </c>
      <c r="J118" s="1124" t="s">
        <v>199</v>
      </c>
      <c r="K118" s="1668"/>
      <c r="L118" s="1668"/>
      <c r="M118" s="1237" t="s">
        <v>3150</v>
      </c>
      <c r="N118" s="84" t="s">
        <v>11416</v>
      </c>
      <c r="O118" s="85" t="s">
        <v>43</v>
      </c>
      <c r="P118" s="1909"/>
      <c r="Q118" s="85" t="s">
        <v>43</v>
      </c>
      <c r="R118" s="1238" t="s">
        <v>297</v>
      </c>
      <c r="S118" s="85" t="s">
        <v>43</v>
      </c>
      <c r="T118" s="85" t="s">
        <v>43</v>
      </c>
      <c r="U118" s="85" t="s">
        <v>43</v>
      </c>
      <c r="V118" s="85" t="s">
        <v>43</v>
      </c>
      <c r="W118" s="85" t="s">
        <v>43</v>
      </c>
      <c r="X118" s="1237" t="s">
        <v>299</v>
      </c>
      <c r="Y118" s="1668"/>
      <c r="Z118" s="1668"/>
      <c r="AA118" s="219">
        <v>20800000</v>
      </c>
      <c r="AB118" s="1237"/>
      <c r="AC118" s="1237"/>
      <c r="AD118" s="1237"/>
      <c r="AE118" s="1237"/>
      <c r="AF118" s="1237"/>
      <c r="AG118" s="1237"/>
    </row>
    <row r="119" spans="1:33" s="83" customFormat="1" ht="16.5" customHeight="1">
      <c r="A119" s="1907">
        <v>117</v>
      </c>
      <c r="B119" s="1620" t="s">
        <v>14300</v>
      </c>
      <c r="C119" s="1289"/>
      <c r="D119" s="1668" t="s">
        <v>1610</v>
      </c>
      <c r="E119" s="1668" t="s">
        <v>2374</v>
      </c>
      <c r="F119" s="1289"/>
      <c r="G119" s="85">
        <v>540393</v>
      </c>
      <c r="H119" s="1237" t="s">
        <v>1659</v>
      </c>
      <c r="I119" s="1237" t="s">
        <v>108</v>
      </c>
      <c r="J119" s="1124" t="s">
        <v>205</v>
      </c>
      <c r="K119" s="1668" t="s">
        <v>14301</v>
      </c>
      <c r="L119" s="1668" t="s">
        <v>14302</v>
      </c>
      <c r="M119" s="84" t="s">
        <v>2375</v>
      </c>
      <c r="N119" s="84" t="s">
        <v>2376</v>
      </c>
      <c r="O119" s="85" t="s">
        <v>43</v>
      </c>
      <c r="P119" s="1909" t="s">
        <v>2791</v>
      </c>
      <c r="Q119" s="85" t="s">
        <v>43</v>
      </c>
      <c r="R119" s="1238" t="s">
        <v>297</v>
      </c>
      <c r="S119" s="1238" t="s">
        <v>438</v>
      </c>
      <c r="T119" s="85" t="s">
        <v>43</v>
      </c>
      <c r="U119" s="85" t="s">
        <v>43</v>
      </c>
      <c r="V119" s="85" t="s">
        <v>43</v>
      </c>
      <c r="W119" s="1237" t="s">
        <v>299</v>
      </c>
      <c r="X119" s="1668" t="s">
        <v>202</v>
      </c>
      <c r="Y119" s="1668" t="s">
        <v>65</v>
      </c>
      <c r="Z119" s="219">
        <v>6000000</v>
      </c>
      <c r="AA119" s="1237"/>
      <c r="AB119" s="1237" t="s">
        <v>15013</v>
      </c>
      <c r="AC119" s="1237"/>
      <c r="AD119" s="1237"/>
      <c r="AE119" s="1237"/>
      <c r="AF119" s="1237"/>
      <c r="AG119" s="1237"/>
    </row>
    <row r="120" spans="1:33" s="83" customFormat="1" ht="15.75" customHeight="1">
      <c r="A120" s="1907"/>
      <c r="B120" s="1620"/>
      <c r="C120" s="1289"/>
      <c r="D120" s="1668"/>
      <c r="E120" s="1668"/>
      <c r="F120" s="1289"/>
      <c r="G120" s="85">
        <v>589680</v>
      </c>
      <c r="H120" s="1284" t="s">
        <v>195</v>
      </c>
      <c r="I120" s="1237" t="s">
        <v>168</v>
      </c>
      <c r="J120" s="1124" t="s">
        <v>199</v>
      </c>
      <c r="K120" s="1668"/>
      <c r="L120" s="1668"/>
      <c r="M120" s="84" t="s">
        <v>2377</v>
      </c>
      <c r="N120" s="1237" t="s">
        <v>2739</v>
      </c>
      <c r="O120" s="85" t="s">
        <v>43</v>
      </c>
      <c r="P120" s="1909"/>
      <c r="Q120" s="85" t="s">
        <v>43</v>
      </c>
      <c r="R120" s="1238" t="s">
        <v>68</v>
      </c>
      <c r="S120" s="85" t="s">
        <v>43</v>
      </c>
      <c r="T120" s="85" t="s">
        <v>43</v>
      </c>
      <c r="U120" s="85" t="s">
        <v>43</v>
      </c>
      <c r="V120" s="85" t="s">
        <v>43</v>
      </c>
      <c r="W120" s="1237" t="s">
        <v>170</v>
      </c>
      <c r="X120" s="1668"/>
      <c r="Y120" s="1668"/>
      <c r="Z120" s="219">
        <v>20800000</v>
      </c>
      <c r="AA120" s="1237"/>
      <c r="AB120" s="1237"/>
      <c r="AC120" s="1237"/>
      <c r="AD120" s="1237"/>
      <c r="AE120" s="1237"/>
      <c r="AF120" s="1237"/>
      <c r="AG120" s="1237"/>
    </row>
    <row r="121" spans="1:33" s="83" customFormat="1" ht="15.75" customHeight="1">
      <c r="A121" s="1907">
        <v>118</v>
      </c>
      <c r="B121" s="1908">
        <v>579</v>
      </c>
      <c r="C121" s="1289"/>
      <c r="D121" s="1289"/>
      <c r="E121" s="1911" t="s">
        <v>1012</v>
      </c>
      <c r="F121" s="1668" t="s">
        <v>480</v>
      </c>
      <c r="G121" s="85" t="s">
        <v>958</v>
      </c>
      <c r="H121" s="1237" t="s">
        <v>335</v>
      </c>
      <c r="I121" s="1668" t="s">
        <v>29</v>
      </c>
      <c r="J121" s="1124" t="s">
        <v>968</v>
      </c>
      <c r="K121" s="84" t="s">
        <v>1081</v>
      </c>
      <c r="L121" s="84" t="s">
        <v>959</v>
      </c>
      <c r="M121" s="84" t="s">
        <v>960</v>
      </c>
      <c r="N121" s="84" t="s">
        <v>961</v>
      </c>
      <c r="O121" s="85" t="s">
        <v>43</v>
      </c>
      <c r="P121" s="1909" t="s">
        <v>3465</v>
      </c>
      <c r="Q121" s="85" t="s">
        <v>43</v>
      </c>
      <c r="R121" s="1238" t="s">
        <v>417</v>
      </c>
      <c r="S121" s="85" t="s">
        <v>43</v>
      </c>
      <c r="T121" s="1912" t="s">
        <v>958</v>
      </c>
      <c r="U121" s="1912" t="s">
        <v>43</v>
      </c>
      <c r="V121" s="1912" t="s">
        <v>43</v>
      </c>
      <c r="W121" s="85" t="s">
        <v>43</v>
      </c>
      <c r="X121" s="1237" t="s">
        <v>450</v>
      </c>
      <c r="Y121" s="1668" t="s">
        <v>962</v>
      </c>
      <c r="Z121" s="1668" t="s">
        <v>963</v>
      </c>
      <c r="AA121" s="219">
        <v>25200000</v>
      </c>
      <c r="AB121" s="1668" t="s">
        <v>15213</v>
      </c>
      <c r="AC121" s="1237"/>
      <c r="AD121" s="1237"/>
      <c r="AE121" s="1237"/>
      <c r="AF121" s="1237"/>
      <c r="AG121" s="1237"/>
    </row>
    <row r="122" spans="1:33" s="83" customFormat="1" ht="15.75" customHeight="1">
      <c r="A122" s="1907"/>
      <c r="B122" s="1908"/>
      <c r="C122" s="1289"/>
      <c r="D122" s="1289"/>
      <c r="E122" s="1911"/>
      <c r="F122" s="1668"/>
      <c r="G122" s="85" t="s">
        <v>964</v>
      </c>
      <c r="H122" s="1284" t="s">
        <v>195</v>
      </c>
      <c r="I122" s="1668"/>
      <c r="J122" s="1124" t="s">
        <v>968</v>
      </c>
      <c r="K122" s="1239" t="s">
        <v>965</v>
      </c>
      <c r="L122" s="1296" t="s">
        <v>11797</v>
      </c>
      <c r="M122" s="84" t="s">
        <v>966</v>
      </c>
      <c r="N122" s="84" t="s">
        <v>1080</v>
      </c>
      <c r="O122" s="85" t="s">
        <v>43</v>
      </c>
      <c r="P122" s="1909"/>
      <c r="Q122" s="85" t="s">
        <v>43</v>
      </c>
      <c r="R122" s="1238" t="s">
        <v>967</v>
      </c>
      <c r="S122" s="85" t="s">
        <v>43</v>
      </c>
      <c r="T122" s="1912"/>
      <c r="U122" s="1912"/>
      <c r="V122" s="1912"/>
      <c r="W122" s="85" t="s">
        <v>43</v>
      </c>
      <c r="X122" s="1237" t="s">
        <v>450</v>
      </c>
      <c r="Y122" s="1668"/>
      <c r="Z122" s="1668"/>
      <c r="AA122" s="219">
        <v>58500000</v>
      </c>
      <c r="AB122" s="1668"/>
      <c r="AC122" s="1237"/>
      <c r="AD122" s="1237"/>
      <c r="AE122" s="1237"/>
      <c r="AF122" s="1237"/>
      <c r="AG122" s="1237"/>
    </row>
    <row r="123" spans="1:33" s="83" customFormat="1" ht="15.75" customHeight="1">
      <c r="A123" s="1907"/>
      <c r="B123" s="1908"/>
      <c r="C123" s="1289"/>
      <c r="D123" s="1289"/>
      <c r="E123" s="1911"/>
      <c r="F123" s="1668"/>
      <c r="G123" s="85" t="s">
        <v>43</v>
      </c>
      <c r="H123" s="1237" t="s">
        <v>44</v>
      </c>
      <c r="I123" s="1237" t="s">
        <v>45</v>
      </c>
      <c r="J123" s="1290" t="s">
        <v>201</v>
      </c>
      <c r="K123" s="1239"/>
      <c r="L123" s="1296"/>
      <c r="M123" s="84" t="s">
        <v>3464</v>
      </c>
      <c r="N123" s="84" t="s">
        <v>3462</v>
      </c>
      <c r="O123" s="85" t="s">
        <v>43</v>
      </c>
      <c r="P123" s="1909"/>
      <c r="Q123" s="85" t="s">
        <v>43</v>
      </c>
      <c r="R123" s="1238" t="s">
        <v>3463</v>
      </c>
      <c r="S123" s="85" t="s">
        <v>43</v>
      </c>
      <c r="T123" s="85" t="s">
        <v>43</v>
      </c>
      <c r="U123" s="85" t="s">
        <v>43</v>
      </c>
      <c r="V123" s="85" t="s">
        <v>43</v>
      </c>
      <c r="W123" s="85" t="s">
        <v>43</v>
      </c>
      <c r="X123" s="1237" t="s">
        <v>50</v>
      </c>
      <c r="Y123" s="1668"/>
      <c r="Z123" s="1668"/>
      <c r="AA123" s="219">
        <v>0</v>
      </c>
      <c r="AB123" s="1668"/>
      <c r="AC123" s="1237"/>
      <c r="AD123" s="1237"/>
      <c r="AE123" s="1237"/>
      <c r="AF123" s="1237"/>
      <c r="AG123" s="1237"/>
    </row>
    <row r="124" spans="1:33" s="83" customFormat="1" ht="18">
      <c r="A124" s="175">
        <v>119</v>
      </c>
      <c r="B124" s="1237" t="s">
        <v>1592</v>
      </c>
      <c r="C124" s="1237" t="s">
        <v>2554</v>
      </c>
      <c r="D124" s="84" t="s">
        <v>2555</v>
      </c>
      <c r="E124" s="1906" t="s">
        <v>12071</v>
      </c>
      <c r="F124" s="1906"/>
      <c r="G124" s="85" t="s">
        <v>9191</v>
      </c>
      <c r="H124" s="1237" t="s">
        <v>1659</v>
      </c>
      <c r="I124" s="1237" t="s">
        <v>108</v>
      </c>
      <c r="J124" s="1237" t="s">
        <v>205</v>
      </c>
      <c r="K124" s="84" t="s">
        <v>2583</v>
      </c>
      <c r="L124" s="84" t="s">
        <v>2584</v>
      </c>
      <c r="M124" s="84" t="s">
        <v>2585</v>
      </c>
      <c r="N124" s="85" t="s">
        <v>43</v>
      </c>
      <c r="O124" s="1237" t="s">
        <v>438</v>
      </c>
      <c r="P124" s="85" t="s">
        <v>43</v>
      </c>
      <c r="Q124" s="85" t="s">
        <v>43</v>
      </c>
      <c r="R124" s="85" t="s">
        <v>43</v>
      </c>
      <c r="S124" s="85" t="s">
        <v>43</v>
      </c>
      <c r="T124" s="1237" t="s">
        <v>2274</v>
      </c>
      <c r="U124" s="1237" t="s">
        <v>299</v>
      </c>
      <c r="V124" s="1124" t="s">
        <v>202</v>
      </c>
      <c r="W124" s="85" t="s">
        <v>43</v>
      </c>
      <c r="X124" s="293">
        <v>4000000</v>
      </c>
      <c r="Y124" s="1237"/>
      <c r="Z124" s="1237"/>
      <c r="AA124" s="1289" t="s">
        <v>15227</v>
      </c>
      <c r="AB124" s="1237">
        <v>14050317</v>
      </c>
      <c r="AC124" s="1237"/>
      <c r="AD124" s="1237"/>
      <c r="AE124" s="1237"/>
      <c r="AF124" s="1237"/>
      <c r="AG124" s="1237"/>
    </row>
    <row r="125" spans="1:33" s="83" customFormat="1" ht="15.75" customHeight="1">
      <c r="A125" s="1299">
        <v>120</v>
      </c>
      <c r="B125" s="1289"/>
      <c r="C125" s="1289"/>
      <c r="D125" s="1289"/>
      <c r="E125" s="1237" t="s">
        <v>377</v>
      </c>
      <c r="F125" s="1289"/>
      <c r="G125" s="1238" t="s">
        <v>390</v>
      </c>
      <c r="H125" s="218" t="s">
        <v>7763</v>
      </c>
      <c r="I125" s="1237" t="s">
        <v>60</v>
      </c>
      <c r="J125" s="1124" t="s">
        <v>204</v>
      </c>
      <c r="K125" s="1289"/>
      <c r="L125" s="1289"/>
      <c r="M125" s="1289"/>
      <c r="N125" s="1289"/>
      <c r="O125" s="85" t="s">
        <v>43</v>
      </c>
      <c r="P125" s="1289"/>
      <c r="Q125" s="1238"/>
      <c r="R125" s="1238"/>
      <c r="S125" s="85" t="s">
        <v>43</v>
      </c>
      <c r="T125" s="85" t="s">
        <v>43</v>
      </c>
      <c r="U125" s="85" t="s">
        <v>43</v>
      </c>
      <c r="V125" s="85" t="s">
        <v>43</v>
      </c>
      <c r="W125" s="85" t="s">
        <v>43</v>
      </c>
      <c r="X125" s="1237"/>
      <c r="Y125" s="1289"/>
      <c r="Z125" s="1289"/>
      <c r="AA125" s="219">
        <v>53760000</v>
      </c>
      <c r="AB125" s="1237">
        <v>14050317</v>
      </c>
      <c r="AC125" s="1237"/>
      <c r="AD125" s="1237"/>
      <c r="AE125" s="1237"/>
      <c r="AF125" s="1237"/>
      <c r="AG125" s="1237"/>
    </row>
    <row r="126" spans="1:33" s="102" customFormat="1" ht="18">
      <c r="A126" s="175">
        <v>121</v>
      </c>
      <c r="B126" s="1237"/>
      <c r="C126" s="1289"/>
      <c r="D126" s="1289"/>
      <c r="E126" s="84" t="s">
        <v>3366</v>
      </c>
      <c r="F126" s="1303" t="s">
        <v>3452</v>
      </c>
      <c r="G126" s="1303"/>
      <c r="H126" s="85" t="s">
        <v>9206</v>
      </c>
      <c r="I126" s="1237" t="s">
        <v>1659</v>
      </c>
      <c r="J126" s="1237" t="s">
        <v>168</v>
      </c>
      <c r="K126" s="1237">
        <v>512</v>
      </c>
      <c r="L126" s="84" t="s">
        <v>3453</v>
      </c>
      <c r="M126" s="84" t="s">
        <v>3454</v>
      </c>
      <c r="N126" s="84" t="s">
        <v>3455</v>
      </c>
      <c r="O126" s="85" t="s">
        <v>43</v>
      </c>
      <c r="P126" s="85" t="s">
        <v>43</v>
      </c>
      <c r="Q126" s="85" t="s">
        <v>43</v>
      </c>
      <c r="R126" s="85" t="s">
        <v>43</v>
      </c>
      <c r="S126" s="85" t="s">
        <v>43</v>
      </c>
      <c r="T126" s="85" t="s">
        <v>43</v>
      </c>
      <c r="U126" s="1237" t="s">
        <v>68</v>
      </c>
      <c r="V126" s="1237" t="s">
        <v>1504</v>
      </c>
      <c r="W126" s="1124" t="s">
        <v>202</v>
      </c>
      <c r="X126" s="85" t="s">
        <v>43</v>
      </c>
      <c r="Y126" s="293">
        <v>4000000</v>
      </c>
      <c r="Z126" s="1237" t="s">
        <v>12077</v>
      </c>
      <c r="AA126" s="1237"/>
      <c r="AB126" s="1289"/>
      <c r="AC126" s="1289"/>
      <c r="AD126" s="1237"/>
      <c r="AE126" s="1237"/>
      <c r="AF126" s="1237"/>
      <c r="AG126" s="1237"/>
    </row>
    <row r="127" spans="1:33" s="102" customFormat="1" ht="18">
      <c r="A127" s="1299">
        <v>122</v>
      </c>
      <c r="B127" s="1237"/>
      <c r="C127" s="1289"/>
      <c r="D127" s="1289"/>
      <c r="E127" s="1289"/>
      <c r="F127" s="1906" t="s">
        <v>3443</v>
      </c>
      <c r="G127" s="1906"/>
      <c r="H127" s="85" t="s">
        <v>9205</v>
      </c>
      <c r="I127" s="1237" t="s">
        <v>1659</v>
      </c>
      <c r="J127" s="1237" t="s">
        <v>168</v>
      </c>
      <c r="K127" s="1237">
        <v>512</v>
      </c>
      <c r="L127" s="84" t="s">
        <v>3444</v>
      </c>
      <c r="M127" s="84" t="s">
        <v>3445</v>
      </c>
      <c r="N127" s="84" t="s">
        <v>3446</v>
      </c>
      <c r="O127" s="85" t="s">
        <v>43</v>
      </c>
      <c r="P127" s="85" t="s">
        <v>43</v>
      </c>
      <c r="Q127" s="85" t="s">
        <v>43</v>
      </c>
      <c r="R127" s="85" t="s">
        <v>43</v>
      </c>
      <c r="S127" s="85" t="s">
        <v>43</v>
      </c>
      <c r="T127" s="85" t="s">
        <v>43</v>
      </c>
      <c r="U127" s="1237" t="s">
        <v>68</v>
      </c>
      <c r="V127" s="1237" t="s">
        <v>1504</v>
      </c>
      <c r="W127" s="1124" t="s">
        <v>202</v>
      </c>
      <c r="X127" s="85" t="s">
        <v>43</v>
      </c>
      <c r="Y127" s="293">
        <v>4000000</v>
      </c>
      <c r="Z127" s="1289"/>
      <c r="AA127" s="1237"/>
      <c r="AB127" s="1289"/>
      <c r="AC127" s="1289"/>
      <c r="AD127" s="1237"/>
      <c r="AE127" s="1237"/>
      <c r="AF127" s="1237"/>
      <c r="AG127" s="1237"/>
    </row>
    <row r="128" spans="1:33" s="12" customFormat="1" ht="15.75" customHeight="1">
      <c r="A128" s="175">
        <v>123</v>
      </c>
      <c r="B128" s="1289"/>
      <c r="C128" s="1289"/>
      <c r="D128" s="1289"/>
      <c r="E128" s="1289" t="s">
        <v>15536</v>
      </c>
      <c r="F128" s="1289"/>
      <c r="G128" s="1289"/>
      <c r="H128" s="85" t="s">
        <v>3349</v>
      </c>
      <c r="I128" s="1237" t="s">
        <v>249</v>
      </c>
      <c r="J128" s="1237" t="s">
        <v>60</v>
      </c>
      <c r="K128" s="1124" t="s">
        <v>204</v>
      </c>
      <c r="L128" s="1289"/>
      <c r="M128" s="1289"/>
      <c r="N128" s="1237" t="s">
        <v>3350</v>
      </c>
      <c r="O128" s="1239" t="s">
        <v>3407</v>
      </c>
      <c r="P128" s="85" t="s">
        <v>43</v>
      </c>
      <c r="Q128" s="1289"/>
      <c r="R128" s="1238" t="s">
        <v>149</v>
      </c>
      <c r="S128" s="85" t="s">
        <v>3411</v>
      </c>
      <c r="T128" s="85" t="s">
        <v>43</v>
      </c>
      <c r="U128" s="85" t="s">
        <v>43</v>
      </c>
      <c r="V128" s="85" t="s">
        <v>43</v>
      </c>
      <c r="W128" s="85" t="s">
        <v>43</v>
      </c>
      <c r="X128" s="85" t="s">
        <v>43</v>
      </c>
      <c r="Y128" s="1289"/>
      <c r="Z128" s="1289"/>
      <c r="AA128" s="1289"/>
      <c r="AB128" s="219">
        <v>0</v>
      </c>
      <c r="AC128" s="1237" t="s">
        <v>15537</v>
      </c>
      <c r="AD128" s="864"/>
      <c r="AE128" s="864"/>
      <c r="AF128" s="864"/>
      <c r="AG128" s="864">
        <f ca="1">AG127:AI128</f>
        <v>0</v>
      </c>
    </row>
    <row r="129" spans="1:33" s="59" customFormat="1" ht="18" customHeight="1">
      <c r="A129" s="1299">
        <v>124</v>
      </c>
      <c r="B129" s="1289" t="s">
        <v>423</v>
      </c>
      <c r="C129" s="1289" t="s">
        <v>423</v>
      </c>
      <c r="D129" s="1289" t="s">
        <v>423</v>
      </c>
      <c r="E129" s="1289" t="s">
        <v>15545</v>
      </c>
      <c r="F129" s="1289"/>
      <c r="G129" s="85" t="s">
        <v>12081</v>
      </c>
      <c r="H129" s="1237" t="s">
        <v>335</v>
      </c>
      <c r="I129" s="1237" t="s">
        <v>168</v>
      </c>
      <c r="J129" s="1124" t="s">
        <v>205</v>
      </c>
      <c r="K129" s="1289"/>
      <c r="L129" s="84" t="s">
        <v>1082</v>
      </c>
      <c r="M129" s="84" t="s">
        <v>1083</v>
      </c>
      <c r="N129" s="85" t="s">
        <v>43</v>
      </c>
      <c r="O129" s="85" t="s">
        <v>43</v>
      </c>
      <c r="P129" s="85" t="s">
        <v>43</v>
      </c>
      <c r="Q129" s="85" t="s">
        <v>43</v>
      </c>
      <c r="R129" s="85" t="s">
        <v>43</v>
      </c>
      <c r="S129" s="85" t="s">
        <v>43</v>
      </c>
      <c r="T129" s="1237" t="s">
        <v>68</v>
      </c>
      <c r="U129" s="1237" t="s">
        <v>170</v>
      </c>
      <c r="V129" s="1289"/>
      <c r="W129" s="1289"/>
      <c r="X129" s="219">
        <v>4480000</v>
      </c>
      <c r="Y129" s="1237"/>
      <c r="Z129" s="1237"/>
      <c r="AA129" s="175"/>
      <c r="AB129" s="1237"/>
      <c r="AC129" s="1237" t="s">
        <v>15537</v>
      </c>
      <c r="AD129" s="864"/>
      <c r="AE129" s="864"/>
      <c r="AF129" s="864"/>
      <c r="AG129" s="864"/>
    </row>
    <row r="130" spans="1:33" s="102" customFormat="1" ht="18">
      <c r="A130" s="175">
        <v>125</v>
      </c>
      <c r="B130" s="1289"/>
      <c r="C130" s="1289" t="s">
        <v>3467</v>
      </c>
      <c r="D130" s="1289" t="s">
        <v>3514</v>
      </c>
      <c r="E130" s="1906" t="s">
        <v>3542</v>
      </c>
      <c r="F130" s="1906"/>
      <c r="G130" s="1237">
        <v>9702082301</v>
      </c>
      <c r="H130" s="1237" t="s">
        <v>335</v>
      </c>
      <c r="I130" s="1237" t="s">
        <v>168</v>
      </c>
      <c r="J130" s="1124" t="s">
        <v>7738</v>
      </c>
      <c r="K130" s="1237" t="s">
        <v>3543</v>
      </c>
      <c r="L130" s="84" t="s">
        <v>3544</v>
      </c>
      <c r="M130" s="84" t="s">
        <v>3545</v>
      </c>
      <c r="N130" s="85" t="s">
        <v>43</v>
      </c>
      <c r="O130" s="85" t="s">
        <v>43</v>
      </c>
      <c r="P130" s="85" t="s">
        <v>43</v>
      </c>
      <c r="Q130" s="85" t="s">
        <v>43</v>
      </c>
      <c r="R130" s="85" t="s">
        <v>43</v>
      </c>
      <c r="S130" s="85" t="s">
        <v>43</v>
      </c>
      <c r="T130" s="1237" t="s">
        <v>68</v>
      </c>
      <c r="U130" s="1237" t="s">
        <v>1504</v>
      </c>
      <c r="V130" s="1124" t="s">
        <v>202</v>
      </c>
      <c r="W130" s="1237" t="s">
        <v>1084</v>
      </c>
      <c r="X130" s="230">
        <v>6000000</v>
      </c>
      <c r="Y130" s="1237"/>
      <c r="Z130" s="1289"/>
      <c r="AA130" s="1289"/>
      <c r="AB130" s="1237"/>
      <c r="AC130" s="1237" t="s">
        <v>15549</v>
      </c>
      <c r="AD130" s="1237"/>
      <c r="AE130" s="1237"/>
      <c r="AF130" s="1237"/>
      <c r="AG130" s="1237"/>
    </row>
    <row r="131" spans="1:33" s="27" customFormat="1" ht="18">
      <c r="A131" s="1299">
        <v>126</v>
      </c>
      <c r="B131" s="1289"/>
      <c r="C131" s="1289"/>
      <c r="D131" s="1289"/>
      <c r="E131" s="1906" t="s">
        <v>12049</v>
      </c>
      <c r="F131" s="1906"/>
      <c r="G131" s="85" t="s">
        <v>9177</v>
      </c>
      <c r="H131" s="1237" t="s">
        <v>1659</v>
      </c>
      <c r="I131" s="1237" t="s">
        <v>168</v>
      </c>
      <c r="J131" s="1237">
        <v>512</v>
      </c>
      <c r="K131" s="84" t="s">
        <v>2306</v>
      </c>
      <c r="L131" s="84" t="s">
        <v>2307</v>
      </c>
      <c r="M131" s="84" t="s">
        <v>2308</v>
      </c>
      <c r="N131" s="1285" t="s">
        <v>43</v>
      </c>
      <c r="O131" s="1285" t="s">
        <v>43</v>
      </c>
      <c r="P131" s="1285" t="s">
        <v>43</v>
      </c>
      <c r="Q131" s="1285" t="s">
        <v>43</v>
      </c>
      <c r="R131" s="1285" t="s">
        <v>43</v>
      </c>
      <c r="S131" s="1285" t="s">
        <v>43</v>
      </c>
      <c r="T131" s="86" t="s">
        <v>68</v>
      </c>
      <c r="U131" s="1237" t="s">
        <v>1504</v>
      </c>
      <c r="V131" s="1124" t="s">
        <v>202</v>
      </c>
      <c r="W131" s="1285" t="s">
        <v>43</v>
      </c>
      <c r="X131" s="230">
        <v>4000000</v>
      </c>
      <c r="Y131" s="1237"/>
      <c r="Z131" s="1237"/>
      <c r="AA131" s="1237"/>
      <c r="AB131" s="1237"/>
      <c r="AC131" s="1237" t="s">
        <v>15537</v>
      </c>
      <c r="AD131" s="1237"/>
      <c r="AE131" s="1237"/>
      <c r="AF131" s="1237"/>
      <c r="AG131" s="1237"/>
    </row>
    <row r="132" spans="1:33" s="12" customFormat="1" ht="15.75" customHeight="1">
      <c r="A132" s="175">
        <v>127</v>
      </c>
      <c r="B132" s="1289"/>
      <c r="C132" s="1289"/>
      <c r="D132" s="863" t="s">
        <v>138</v>
      </c>
      <c r="E132" s="1910" t="s">
        <v>15632</v>
      </c>
      <c r="F132" s="1910"/>
      <c r="G132" s="1285" t="s">
        <v>9244</v>
      </c>
      <c r="H132" s="864" t="s">
        <v>59</v>
      </c>
      <c r="I132" s="864" t="s">
        <v>60</v>
      </c>
      <c r="J132" s="864">
        <v>512</v>
      </c>
      <c r="K132" s="863" t="s">
        <v>220</v>
      </c>
      <c r="L132" s="863" t="s">
        <v>14876</v>
      </c>
      <c r="M132" s="863" t="s">
        <v>14875</v>
      </c>
      <c r="N132" s="1285" t="s">
        <v>43</v>
      </c>
      <c r="O132" s="1285" t="s">
        <v>43</v>
      </c>
      <c r="P132" s="1285" t="s">
        <v>43</v>
      </c>
      <c r="Q132" s="1286" t="s">
        <v>222</v>
      </c>
      <c r="R132" s="1286" t="s">
        <v>158</v>
      </c>
      <c r="S132" s="1285" t="s">
        <v>43</v>
      </c>
      <c r="T132" s="864" t="s">
        <v>166</v>
      </c>
      <c r="U132" s="1287" t="s">
        <v>167</v>
      </c>
      <c r="V132" s="1288" t="s">
        <v>202</v>
      </c>
      <c r="W132" s="1285" t="s">
        <v>43</v>
      </c>
      <c r="X132" s="1302" t="s">
        <v>9245</v>
      </c>
      <c r="Y132" s="864"/>
      <c r="Z132" s="864"/>
      <c r="AA132" s="864"/>
      <c r="AB132" s="864"/>
      <c r="AC132" s="1237" t="s">
        <v>16126</v>
      </c>
      <c r="AD132" s="864"/>
      <c r="AE132" s="864"/>
      <c r="AF132" s="864"/>
      <c r="AG132" s="864"/>
    </row>
    <row r="133" spans="1:33" s="83" customFormat="1" ht="19.5" customHeight="1">
      <c r="A133" s="1299">
        <v>128</v>
      </c>
      <c r="B133" s="1289"/>
      <c r="C133" s="1289"/>
      <c r="D133" s="84" t="s">
        <v>2609</v>
      </c>
      <c r="E133" s="1906" t="s">
        <v>2655</v>
      </c>
      <c r="F133" s="1906"/>
      <c r="G133" s="87">
        <v>650606</v>
      </c>
      <c r="H133" s="1237" t="s">
        <v>107</v>
      </c>
      <c r="I133" s="1237" t="s">
        <v>108</v>
      </c>
      <c r="J133" s="84" t="s">
        <v>205</v>
      </c>
      <c r="K133" s="84" t="s">
        <v>2656</v>
      </c>
      <c r="L133" s="84" t="s">
        <v>2657</v>
      </c>
      <c r="M133" s="84" t="s">
        <v>2658</v>
      </c>
      <c r="N133" s="1285" t="s">
        <v>43</v>
      </c>
      <c r="O133" s="1285" t="s">
        <v>43</v>
      </c>
      <c r="P133" s="1285" t="s">
        <v>43</v>
      </c>
      <c r="Q133" s="1285" t="s">
        <v>43</v>
      </c>
      <c r="R133" s="1285" t="s">
        <v>43</v>
      </c>
      <c r="S133" s="1285" t="s">
        <v>43</v>
      </c>
      <c r="T133" s="86" t="s">
        <v>68</v>
      </c>
      <c r="U133" s="1237" t="s">
        <v>2595</v>
      </c>
      <c r="V133" s="1124" t="s">
        <v>202</v>
      </c>
      <c r="W133" s="1285" t="s">
        <v>43</v>
      </c>
      <c r="X133" s="1285" t="s">
        <v>43</v>
      </c>
      <c r="Y133" s="219">
        <v>10400000</v>
      </c>
      <c r="Z133" s="1237"/>
      <c r="AA133" s="1289"/>
      <c r="AB133" s="1237"/>
      <c r="AC133" s="1237" t="s">
        <v>16128</v>
      </c>
      <c r="AD133" s="1237"/>
      <c r="AE133" s="1237"/>
      <c r="AF133" s="1237"/>
      <c r="AG133" s="1237"/>
    </row>
    <row r="134" spans="1:33" s="12" customFormat="1" ht="18">
      <c r="A134" s="175">
        <v>129</v>
      </c>
      <c r="B134" s="864" t="s">
        <v>475</v>
      </c>
      <c r="C134" s="1289"/>
      <c r="D134" s="1289"/>
      <c r="E134" s="1910" t="s">
        <v>15556</v>
      </c>
      <c r="F134" s="1910"/>
      <c r="G134" s="1285" t="s">
        <v>1222</v>
      </c>
      <c r="H134" s="864" t="s">
        <v>335</v>
      </c>
      <c r="I134" s="864" t="s">
        <v>168</v>
      </c>
      <c r="J134" s="1124" t="s">
        <v>205</v>
      </c>
      <c r="K134" s="863" t="s">
        <v>1223</v>
      </c>
      <c r="L134" s="863" t="s">
        <v>1224</v>
      </c>
      <c r="M134" s="863" t="s">
        <v>1225</v>
      </c>
      <c r="N134" s="632"/>
      <c r="O134" s="864"/>
      <c r="P134" s="1286"/>
      <c r="Q134" s="1286"/>
      <c r="R134" s="1286"/>
      <c r="S134" s="864"/>
      <c r="T134" s="864" t="s">
        <v>68</v>
      </c>
      <c r="U134" s="864" t="s">
        <v>170</v>
      </c>
      <c r="V134" s="1288" t="s">
        <v>202</v>
      </c>
      <c r="W134" s="864"/>
      <c r="X134" s="219">
        <v>8960000</v>
      </c>
      <c r="Y134" s="864"/>
      <c r="Z134" s="864"/>
      <c r="AA134" s="175"/>
      <c r="AB134" s="864"/>
      <c r="AC134" s="864"/>
      <c r="AD134" s="864"/>
      <c r="AE134" s="864"/>
      <c r="AF134" s="864"/>
      <c r="AG134" s="864"/>
    </row>
    <row r="135" spans="1:33" customFormat="1" ht="18">
      <c r="A135" s="1299">
        <v>130</v>
      </c>
      <c r="B135" s="154" t="s">
        <v>4485</v>
      </c>
      <c r="C135" s="694" t="s">
        <v>4367</v>
      </c>
      <c r="D135" s="154" t="s">
        <v>4421</v>
      </c>
      <c r="E135" s="1284" t="s">
        <v>4417</v>
      </c>
      <c r="F135" s="154" t="s">
        <v>4457</v>
      </c>
      <c r="G135" s="154" t="s">
        <v>4368</v>
      </c>
      <c r="H135" s="154" t="s">
        <v>4369</v>
      </c>
      <c r="I135" s="1285" t="s">
        <v>43</v>
      </c>
      <c r="J135" s="1285" t="s">
        <v>43</v>
      </c>
      <c r="K135" s="154" t="s">
        <v>4481</v>
      </c>
      <c r="L135" s="1285" t="s">
        <v>43</v>
      </c>
      <c r="M135" s="1285" t="s">
        <v>43</v>
      </c>
      <c r="N135" s="1285" t="s">
        <v>43</v>
      </c>
      <c r="O135" s="1285" t="s">
        <v>43</v>
      </c>
      <c r="P135" s="1285" t="s">
        <v>4482</v>
      </c>
      <c r="Q135" s="1285" t="s">
        <v>43</v>
      </c>
      <c r="R135" s="1289"/>
      <c r="S135" s="1289"/>
      <c r="T135" s="1289"/>
      <c r="U135" s="1289"/>
      <c r="V135" s="1289"/>
      <c r="W135" s="1289"/>
      <c r="X135" s="1289"/>
      <c r="Y135" s="1289"/>
      <c r="Z135" s="1289"/>
      <c r="AA135" s="1289"/>
      <c r="AB135" s="1289"/>
      <c r="AC135" s="1237" t="s">
        <v>16522</v>
      </c>
      <c r="AD135" s="1289"/>
      <c r="AE135" s="1289"/>
      <c r="AF135" s="1289"/>
      <c r="AG135" s="1289"/>
    </row>
  </sheetData>
  <mergeCells count="131">
    <mergeCell ref="E134:F134"/>
    <mergeCell ref="E130:F130"/>
    <mergeCell ref="Y121:Y123"/>
    <mergeCell ref="Z121:Z123"/>
    <mergeCell ref="AB121:AB123"/>
    <mergeCell ref="E124:F124"/>
    <mergeCell ref="A121:A123"/>
    <mergeCell ref="B121:B123"/>
    <mergeCell ref="E121:E123"/>
    <mergeCell ref="F121:F123"/>
    <mergeCell ref="I121:I122"/>
    <mergeCell ref="P121:P123"/>
    <mergeCell ref="T121:T122"/>
    <mergeCell ref="U121:U122"/>
    <mergeCell ref="V121:V122"/>
    <mergeCell ref="F127:G127"/>
    <mergeCell ref="E131:F131"/>
    <mergeCell ref="E132:F132"/>
    <mergeCell ref="E133:F133"/>
    <mergeCell ref="A119:A120"/>
    <mergeCell ref="B119:B120"/>
    <mergeCell ref="D119:D120"/>
    <mergeCell ref="E119:E120"/>
    <mergeCell ref="K119:K120"/>
    <mergeCell ref="L119:L120"/>
    <mergeCell ref="P119:P120"/>
    <mergeCell ref="X119:X120"/>
    <mergeCell ref="Y119:Y120"/>
    <mergeCell ref="A117:A118"/>
    <mergeCell ref="B117:B118"/>
    <mergeCell ref="D117:D118"/>
    <mergeCell ref="E117:E118"/>
    <mergeCell ref="K117:K118"/>
    <mergeCell ref="L117:L118"/>
    <mergeCell ref="P117:P118"/>
    <mergeCell ref="Y117:Y118"/>
    <mergeCell ref="Z117:Z118"/>
    <mergeCell ref="W112:W113"/>
    <mergeCell ref="X112:X113"/>
    <mergeCell ref="C112:C113"/>
    <mergeCell ref="D112:D113"/>
    <mergeCell ref="E104:F104"/>
    <mergeCell ref="E105:F105"/>
    <mergeCell ref="E106:F106"/>
    <mergeCell ref="E107:F107"/>
    <mergeCell ref="E108:F108"/>
    <mergeCell ref="E110:F110"/>
    <mergeCell ref="E111:F111"/>
    <mergeCell ref="I112:I113"/>
    <mergeCell ref="J112:J113"/>
    <mergeCell ref="N112:N113"/>
    <mergeCell ref="E71:F71"/>
    <mergeCell ref="E55:F55"/>
    <mergeCell ref="E36:F36"/>
    <mergeCell ref="E37:F37"/>
    <mergeCell ref="E39:F39"/>
    <mergeCell ref="E46:F46"/>
    <mergeCell ref="E47:F47"/>
    <mergeCell ref="E48:F48"/>
    <mergeCell ref="E83:F83"/>
    <mergeCell ref="E56:F56"/>
    <mergeCell ref="E57:F57"/>
    <mergeCell ref="E58:F58"/>
    <mergeCell ref="E59:F59"/>
    <mergeCell ref="E70:F70"/>
    <mergeCell ref="E65:F65"/>
    <mergeCell ref="E66:F66"/>
    <mergeCell ref="E67:F67"/>
    <mergeCell ref="E60:F60"/>
    <mergeCell ref="E41:F41"/>
    <mergeCell ref="E42:F42"/>
    <mergeCell ref="E43:F43"/>
    <mergeCell ref="E44:F44"/>
    <mergeCell ref="E72:F72"/>
    <mergeCell ref="E45:F45"/>
    <mergeCell ref="E61:F61"/>
    <mergeCell ref="E69:F69"/>
    <mergeCell ref="E62:F62"/>
    <mergeCell ref="E63:F63"/>
    <mergeCell ref="E64:F64"/>
    <mergeCell ref="E68:F68"/>
    <mergeCell ref="E49:F49"/>
    <mergeCell ref="E50:F50"/>
    <mergeCell ref="E51:F51"/>
    <mergeCell ref="E52:F52"/>
    <mergeCell ref="E53:F53"/>
    <mergeCell ref="E54:F54"/>
    <mergeCell ref="E30:F30"/>
    <mergeCell ref="D25:D29"/>
    <mergeCell ref="E29:F29"/>
    <mergeCell ref="E27:F27"/>
    <mergeCell ref="E28:F28"/>
    <mergeCell ref="E31:F31"/>
    <mergeCell ref="F35:G35"/>
    <mergeCell ref="C5:C29"/>
    <mergeCell ref="D5:D21"/>
    <mergeCell ref="C32:C35"/>
    <mergeCell ref="D32:D35"/>
    <mergeCell ref="X16:X17"/>
    <mergeCell ref="E19:F19"/>
    <mergeCell ref="E20:F20"/>
    <mergeCell ref="E26:F26"/>
    <mergeCell ref="E24:F24"/>
    <mergeCell ref="E25:F25"/>
    <mergeCell ref="E21:F21"/>
    <mergeCell ref="E22:F22"/>
    <mergeCell ref="E23:F23"/>
    <mergeCell ref="B78:B80"/>
    <mergeCell ref="C78:C80"/>
    <mergeCell ref="E87:F87"/>
    <mergeCell ref="E74:F74"/>
    <mergeCell ref="E75:F75"/>
    <mergeCell ref="C73:C77"/>
    <mergeCell ref="B73:B77"/>
    <mergeCell ref="E80:F80"/>
    <mergeCell ref="E81:F81"/>
    <mergeCell ref="E82:F82"/>
    <mergeCell ref="E76:F76"/>
    <mergeCell ref="E77:F77"/>
    <mergeCell ref="E78:F78"/>
    <mergeCell ref="E79:F79"/>
    <mergeCell ref="E73:F73"/>
    <mergeCell ref="E88:F88"/>
    <mergeCell ref="B84:B88"/>
    <mergeCell ref="C84:C88"/>
    <mergeCell ref="Q100:S100"/>
    <mergeCell ref="Q101:S101"/>
    <mergeCell ref="E102:F102"/>
    <mergeCell ref="E84:F84"/>
    <mergeCell ref="E85:F85"/>
    <mergeCell ref="E86:F86"/>
  </mergeCells>
  <conditionalFormatting sqref="M1">
    <cfRule type="duplicateValues" dxfId="671" priority="690"/>
  </conditionalFormatting>
  <conditionalFormatting sqref="M1">
    <cfRule type="duplicateValues" dxfId="670" priority="691"/>
  </conditionalFormatting>
  <conditionalFormatting sqref="N1">
    <cfRule type="duplicateValues" dxfId="669" priority="689"/>
  </conditionalFormatting>
  <conditionalFormatting sqref="M13">
    <cfRule type="duplicateValues" dxfId="668" priority="687"/>
  </conditionalFormatting>
  <conditionalFormatting sqref="M13">
    <cfRule type="duplicateValues" dxfId="667" priority="688"/>
  </conditionalFormatting>
  <conditionalFormatting sqref="N13">
    <cfRule type="duplicateValues" dxfId="666" priority="686"/>
  </conditionalFormatting>
  <conditionalFormatting sqref="M14">
    <cfRule type="duplicateValues" dxfId="665" priority="685"/>
  </conditionalFormatting>
  <conditionalFormatting sqref="N14">
    <cfRule type="duplicateValues" dxfId="664" priority="684"/>
  </conditionalFormatting>
  <conditionalFormatting sqref="M16">
    <cfRule type="duplicateValues" dxfId="663" priority="682"/>
  </conditionalFormatting>
  <conditionalFormatting sqref="M16">
    <cfRule type="duplicateValues" dxfId="662" priority="683"/>
  </conditionalFormatting>
  <conditionalFormatting sqref="M17">
    <cfRule type="duplicateValues" dxfId="661" priority="681"/>
  </conditionalFormatting>
  <conditionalFormatting sqref="E19">
    <cfRule type="duplicateValues" dxfId="660" priority="678"/>
  </conditionalFormatting>
  <conditionalFormatting sqref="K19">
    <cfRule type="duplicateValues" dxfId="659" priority="680"/>
  </conditionalFormatting>
  <conditionalFormatting sqref="K19">
    <cfRule type="duplicateValues" dxfId="658" priority="679"/>
  </conditionalFormatting>
  <conditionalFormatting sqref="L19">
    <cfRule type="duplicateValues" dxfId="657" priority="673"/>
  </conditionalFormatting>
  <conditionalFormatting sqref="M19">
    <cfRule type="duplicateValues" dxfId="656" priority="674"/>
    <cfRule type="duplicateValues" dxfId="655" priority="675"/>
    <cfRule type="duplicateValues" dxfId="654" priority="676"/>
    <cfRule type="duplicateValues" dxfId="653" priority="677"/>
  </conditionalFormatting>
  <conditionalFormatting sqref="E20">
    <cfRule type="duplicateValues" dxfId="652" priority="667"/>
  </conditionalFormatting>
  <conditionalFormatting sqref="K20">
    <cfRule type="duplicateValues" dxfId="651" priority="666"/>
  </conditionalFormatting>
  <conditionalFormatting sqref="L20">
    <cfRule type="duplicateValues" dxfId="650" priority="668"/>
  </conditionalFormatting>
  <conditionalFormatting sqref="M20">
    <cfRule type="duplicateValues" dxfId="649" priority="669"/>
    <cfRule type="duplicateValues" dxfId="648" priority="670"/>
    <cfRule type="duplicateValues" dxfId="647" priority="671"/>
    <cfRule type="duplicateValues" dxfId="646" priority="672"/>
  </conditionalFormatting>
  <conditionalFormatting sqref="E21">
    <cfRule type="duplicateValues" dxfId="645" priority="659"/>
  </conditionalFormatting>
  <conditionalFormatting sqref="K21">
    <cfRule type="duplicateValues" dxfId="644" priority="660"/>
  </conditionalFormatting>
  <conditionalFormatting sqref="K21">
    <cfRule type="duplicateValues" dxfId="643" priority="658"/>
  </conditionalFormatting>
  <conditionalFormatting sqref="L21">
    <cfRule type="duplicateValues" dxfId="642" priority="665"/>
  </conditionalFormatting>
  <conditionalFormatting sqref="M21">
    <cfRule type="duplicateValues" dxfId="641" priority="661"/>
    <cfRule type="duplicateValues" dxfId="640" priority="662"/>
    <cfRule type="duplicateValues" dxfId="639" priority="663"/>
    <cfRule type="duplicateValues" dxfId="638" priority="664"/>
  </conditionalFormatting>
  <conditionalFormatting sqref="E22">
    <cfRule type="duplicateValues" dxfId="637" priority="651"/>
  </conditionalFormatting>
  <conditionalFormatting sqref="K22">
    <cfRule type="duplicateValues" dxfId="636" priority="657"/>
  </conditionalFormatting>
  <conditionalFormatting sqref="K22">
    <cfRule type="duplicateValues" dxfId="635" priority="652"/>
  </conditionalFormatting>
  <conditionalFormatting sqref="L22">
    <cfRule type="duplicateValues" dxfId="634" priority="650"/>
  </conditionalFormatting>
  <conditionalFormatting sqref="M22">
    <cfRule type="duplicateValues" dxfId="633" priority="653"/>
    <cfRule type="duplicateValues" dxfId="632" priority="654"/>
    <cfRule type="duplicateValues" dxfId="631" priority="655"/>
    <cfRule type="duplicateValues" dxfId="630" priority="656"/>
  </conditionalFormatting>
  <conditionalFormatting sqref="E23">
    <cfRule type="duplicateValues" dxfId="629" priority="644"/>
  </conditionalFormatting>
  <conditionalFormatting sqref="K23">
    <cfRule type="duplicateValues" dxfId="628" priority="643"/>
  </conditionalFormatting>
  <conditionalFormatting sqref="L23">
    <cfRule type="duplicateValues" dxfId="627" priority="645"/>
  </conditionalFormatting>
  <conditionalFormatting sqref="M23">
    <cfRule type="duplicateValues" dxfId="626" priority="646"/>
    <cfRule type="duplicateValues" dxfId="625" priority="647"/>
    <cfRule type="duplicateValues" dxfId="624" priority="648"/>
    <cfRule type="duplicateValues" dxfId="623" priority="649"/>
  </conditionalFormatting>
  <conditionalFormatting sqref="E24">
    <cfRule type="duplicateValues" dxfId="622" priority="638"/>
  </conditionalFormatting>
  <conditionalFormatting sqref="K24">
    <cfRule type="duplicateValues" dxfId="621" priority="637"/>
  </conditionalFormatting>
  <conditionalFormatting sqref="L24">
    <cfRule type="duplicateValues" dxfId="620" priority="636"/>
  </conditionalFormatting>
  <conditionalFormatting sqref="M24">
    <cfRule type="duplicateValues" dxfId="619" priority="639"/>
    <cfRule type="duplicateValues" dxfId="618" priority="640"/>
    <cfRule type="duplicateValues" dxfId="617" priority="641"/>
    <cfRule type="duplicateValues" dxfId="616" priority="642"/>
  </conditionalFormatting>
  <conditionalFormatting sqref="E25">
    <cfRule type="duplicateValues" dxfId="615" priority="633"/>
  </conditionalFormatting>
  <conditionalFormatting sqref="K25">
    <cfRule type="duplicateValues" dxfId="614" priority="635"/>
  </conditionalFormatting>
  <conditionalFormatting sqref="K25">
    <cfRule type="duplicateValues" dxfId="613" priority="634"/>
  </conditionalFormatting>
  <conditionalFormatting sqref="L25:M25">
    <cfRule type="duplicateValues" dxfId="612" priority="632"/>
  </conditionalFormatting>
  <conditionalFormatting sqref="E26">
    <cfRule type="duplicateValues" dxfId="611" priority="626"/>
  </conditionalFormatting>
  <conditionalFormatting sqref="K26">
    <cfRule type="duplicateValues" dxfId="610" priority="625"/>
  </conditionalFormatting>
  <conditionalFormatting sqref="L26">
    <cfRule type="duplicateValues" dxfId="609" priority="627"/>
  </conditionalFormatting>
  <conditionalFormatting sqref="M26">
    <cfRule type="duplicateValues" dxfId="608" priority="628"/>
    <cfRule type="duplicateValues" dxfId="607" priority="629"/>
    <cfRule type="duplicateValues" dxfId="606" priority="630"/>
    <cfRule type="duplicateValues" dxfId="605" priority="631"/>
  </conditionalFormatting>
  <conditionalFormatting sqref="N26">
    <cfRule type="duplicateValues" dxfId="604" priority="621"/>
    <cfRule type="duplicateValues" dxfId="603" priority="622"/>
    <cfRule type="duplicateValues" dxfId="602" priority="623"/>
    <cfRule type="duplicateValues" dxfId="601" priority="624"/>
  </conditionalFormatting>
  <conditionalFormatting sqref="E27">
    <cfRule type="duplicateValues" dxfId="600" priority="614"/>
  </conditionalFormatting>
  <conditionalFormatting sqref="K27">
    <cfRule type="duplicateValues" dxfId="599" priority="613"/>
  </conditionalFormatting>
  <conditionalFormatting sqref="K27">
    <cfRule type="duplicateValues" dxfId="598" priority="620"/>
  </conditionalFormatting>
  <conditionalFormatting sqref="L27">
    <cfRule type="duplicateValues" dxfId="597" priority="615"/>
  </conditionalFormatting>
  <conditionalFormatting sqref="M27">
    <cfRule type="duplicateValues" dxfId="596" priority="616"/>
    <cfRule type="duplicateValues" dxfId="595" priority="617"/>
    <cfRule type="duplicateValues" dxfId="594" priority="618"/>
    <cfRule type="duplicateValues" dxfId="593" priority="619"/>
  </conditionalFormatting>
  <conditionalFormatting sqref="N27">
    <cfRule type="duplicateValues" dxfId="592" priority="612"/>
  </conditionalFormatting>
  <conditionalFormatting sqref="E28">
    <cfRule type="duplicateValues" dxfId="591" priority="604"/>
  </conditionalFormatting>
  <conditionalFormatting sqref="K28">
    <cfRule type="duplicateValues" dxfId="590" priority="605"/>
  </conditionalFormatting>
  <conditionalFormatting sqref="K28">
    <cfRule type="duplicateValues" dxfId="589" priority="611"/>
  </conditionalFormatting>
  <conditionalFormatting sqref="L28">
    <cfRule type="duplicateValues" dxfId="588" priority="606"/>
  </conditionalFormatting>
  <conditionalFormatting sqref="M28">
    <cfRule type="duplicateValues" dxfId="587" priority="607"/>
    <cfRule type="duplicateValues" dxfId="586" priority="608"/>
    <cfRule type="duplicateValues" dxfId="585" priority="609"/>
    <cfRule type="duplicateValues" dxfId="584" priority="610"/>
  </conditionalFormatting>
  <conditionalFormatting sqref="N28">
    <cfRule type="duplicateValues" dxfId="583" priority="600"/>
    <cfRule type="duplicateValues" dxfId="582" priority="601"/>
    <cfRule type="duplicateValues" dxfId="581" priority="602"/>
    <cfRule type="duplicateValues" dxfId="580" priority="603"/>
  </conditionalFormatting>
  <conditionalFormatting sqref="E29">
    <cfRule type="duplicateValues" dxfId="579" priority="597"/>
  </conditionalFormatting>
  <conditionalFormatting sqref="K29">
    <cfRule type="duplicateValues" dxfId="578" priority="599"/>
  </conditionalFormatting>
  <conditionalFormatting sqref="K29">
    <cfRule type="duplicateValues" dxfId="577" priority="598"/>
  </conditionalFormatting>
  <conditionalFormatting sqref="L29">
    <cfRule type="duplicateValues" dxfId="576" priority="596"/>
  </conditionalFormatting>
  <conditionalFormatting sqref="M29">
    <cfRule type="duplicateValues" dxfId="575" priority="595"/>
  </conditionalFormatting>
  <conditionalFormatting sqref="N29">
    <cfRule type="duplicateValues" dxfId="574" priority="591"/>
    <cfRule type="duplicateValues" dxfId="573" priority="592"/>
    <cfRule type="duplicateValues" dxfId="572" priority="593"/>
    <cfRule type="duplicateValues" dxfId="571" priority="594"/>
  </conditionalFormatting>
  <conditionalFormatting sqref="M15">
    <cfRule type="duplicateValues" dxfId="570" priority="587"/>
  </conditionalFormatting>
  <conditionalFormatting sqref="N15">
    <cfRule type="duplicateValues" dxfId="569" priority="586"/>
  </conditionalFormatting>
  <conditionalFormatting sqref="M15">
    <cfRule type="duplicateValues" dxfId="568" priority="588"/>
  </conditionalFormatting>
  <conditionalFormatting sqref="E30">
    <cfRule type="duplicateValues" dxfId="567" priority="578"/>
  </conditionalFormatting>
  <conditionalFormatting sqref="K30">
    <cfRule type="duplicateValues" dxfId="566" priority="585"/>
  </conditionalFormatting>
  <conditionalFormatting sqref="K30">
    <cfRule type="duplicateValues" dxfId="565" priority="579"/>
  </conditionalFormatting>
  <conditionalFormatting sqref="L30">
    <cfRule type="duplicateValues" dxfId="564" priority="580"/>
  </conditionalFormatting>
  <conditionalFormatting sqref="M30">
    <cfRule type="duplicateValues" dxfId="563" priority="581"/>
    <cfRule type="duplicateValues" dxfId="562" priority="582"/>
    <cfRule type="duplicateValues" dxfId="561" priority="583"/>
    <cfRule type="duplicateValues" dxfId="560" priority="584"/>
  </conditionalFormatting>
  <conditionalFormatting sqref="E31">
    <cfRule type="duplicateValues" dxfId="559" priority="575"/>
  </conditionalFormatting>
  <conditionalFormatting sqref="K31">
    <cfRule type="duplicateValues" dxfId="558" priority="576"/>
  </conditionalFormatting>
  <conditionalFormatting sqref="L31">
    <cfRule type="duplicateValues" dxfId="557" priority="574"/>
  </conditionalFormatting>
  <conditionalFormatting sqref="M31">
    <cfRule type="duplicateValues" dxfId="556" priority="570"/>
    <cfRule type="duplicateValues" dxfId="555" priority="571"/>
    <cfRule type="duplicateValues" dxfId="554" priority="572"/>
    <cfRule type="duplicateValues" dxfId="553" priority="573"/>
  </conditionalFormatting>
  <conditionalFormatting sqref="N33">
    <cfRule type="duplicateValues" dxfId="552" priority="567"/>
    <cfRule type="duplicateValues" dxfId="551" priority="569"/>
  </conditionalFormatting>
  <conditionalFormatting sqref="O33">
    <cfRule type="duplicateValues" dxfId="550" priority="568"/>
  </conditionalFormatting>
  <conditionalFormatting sqref="N34">
    <cfRule type="duplicateValues" dxfId="549" priority="564"/>
    <cfRule type="duplicateValues" dxfId="548" priority="566"/>
  </conditionalFormatting>
  <conditionalFormatting sqref="O34">
    <cfRule type="duplicateValues" dxfId="547" priority="565"/>
  </conditionalFormatting>
  <conditionalFormatting sqref="F35">
    <cfRule type="duplicateValues" dxfId="546" priority="563"/>
  </conditionalFormatting>
  <conditionalFormatting sqref="L35">
    <cfRule type="duplicateValues" dxfId="545" priority="556"/>
    <cfRule type="duplicateValues" dxfId="544" priority="562"/>
  </conditionalFormatting>
  <conditionalFormatting sqref="M35">
    <cfRule type="duplicateValues" dxfId="543" priority="561"/>
  </conditionalFormatting>
  <conditionalFormatting sqref="N35">
    <cfRule type="duplicateValues" dxfId="542" priority="557"/>
    <cfRule type="duplicateValues" dxfId="541" priority="558"/>
    <cfRule type="duplicateValues" dxfId="540" priority="559"/>
    <cfRule type="duplicateValues" dxfId="539" priority="560"/>
  </conditionalFormatting>
  <conditionalFormatting sqref="E36">
    <cfRule type="duplicateValues" dxfId="538" priority="548"/>
  </conditionalFormatting>
  <conditionalFormatting sqref="K36">
    <cfRule type="duplicateValues" dxfId="537" priority="555"/>
  </conditionalFormatting>
  <conditionalFormatting sqref="M36">
    <cfRule type="duplicateValues" dxfId="536" priority="551"/>
    <cfRule type="duplicateValues" dxfId="535" priority="552"/>
    <cfRule type="duplicateValues" dxfId="534" priority="553"/>
    <cfRule type="duplicateValues" dxfId="533" priority="554"/>
  </conditionalFormatting>
  <conditionalFormatting sqref="L36">
    <cfRule type="duplicateValues" dxfId="532" priority="550"/>
  </conditionalFormatting>
  <conditionalFormatting sqref="E37">
    <cfRule type="duplicateValues" dxfId="531" priority="540"/>
  </conditionalFormatting>
  <conditionalFormatting sqref="K37">
    <cfRule type="duplicateValues" dxfId="530" priority="547"/>
  </conditionalFormatting>
  <conditionalFormatting sqref="L37">
    <cfRule type="duplicateValues" dxfId="529" priority="543"/>
    <cfRule type="duplicateValues" dxfId="528" priority="544"/>
    <cfRule type="duplicateValues" dxfId="527" priority="545"/>
    <cfRule type="duplicateValues" dxfId="526" priority="546"/>
  </conditionalFormatting>
  <conditionalFormatting sqref="M37">
    <cfRule type="duplicateValues" dxfId="525" priority="542"/>
  </conditionalFormatting>
  <conditionalFormatting sqref="E39">
    <cfRule type="duplicateValues" dxfId="524" priority="526"/>
  </conditionalFormatting>
  <conditionalFormatting sqref="K39">
    <cfRule type="duplicateValues" dxfId="523" priority="525"/>
  </conditionalFormatting>
  <conditionalFormatting sqref="L39">
    <cfRule type="duplicateValues" dxfId="522" priority="528"/>
    <cfRule type="duplicateValues" dxfId="521" priority="529"/>
    <cfRule type="duplicateValues" dxfId="520" priority="530"/>
    <cfRule type="duplicateValues" dxfId="519" priority="531"/>
  </conditionalFormatting>
  <conditionalFormatting sqref="M39">
    <cfRule type="duplicateValues" dxfId="518" priority="527"/>
  </conditionalFormatting>
  <conditionalFormatting sqref="I38">
    <cfRule type="duplicateValues" dxfId="517" priority="524"/>
  </conditionalFormatting>
  <conditionalFormatting sqref="E40">
    <cfRule type="duplicateValues" dxfId="516" priority="517"/>
  </conditionalFormatting>
  <conditionalFormatting sqref="K40">
    <cfRule type="duplicateValues" dxfId="515" priority="523"/>
  </conditionalFormatting>
  <conditionalFormatting sqref="L40">
    <cfRule type="duplicateValues" dxfId="514" priority="518"/>
  </conditionalFormatting>
  <conditionalFormatting sqref="M40">
    <cfRule type="duplicateValues" dxfId="513" priority="519"/>
    <cfRule type="duplicateValues" dxfId="512" priority="520"/>
    <cfRule type="duplicateValues" dxfId="511" priority="521"/>
    <cfRule type="duplicateValues" dxfId="510" priority="522"/>
  </conditionalFormatting>
  <conditionalFormatting sqref="E41">
    <cfRule type="duplicateValues" dxfId="509" priority="509"/>
  </conditionalFormatting>
  <conditionalFormatting sqref="K41">
    <cfRule type="duplicateValues" dxfId="508" priority="516"/>
  </conditionalFormatting>
  <conditionalFormatting sqref="M41">
    <cfRule type="duplicateValues" dxfId="507" priority="512"/>
    <cfRule type="duplicateValues" dxfId="506" priority="513"/>
    <cfRule type="duplicateValues" dxfId="505" priority="514"/>
    <cfRule type="duplicateValues" dxfId="504" priority="515"/>
  </conditionalFormatting>
  <conditionalFormatting sqref="L41">
    <cfRule type="duplicateValues" dxfId="503" priority="511"/>
  </conditionalFormatting>
  <conditionalFormatting sqref="E42">
    <cfRule type="duplicateValues" dxfId="502" priority="501"/>
  </conditionalFormatting>
  <conditionalFormatting sqref="K42">
    <cfRule type="duplicateValues" dxfId="501" priority="508"/>
  </conditionalFormatting>
  <conditionalFormatting sqref="M42">
    <cfRule type="duplicateValues" dxfId="500" priority="504"/>
    <cfRule type="duplicateValues" dxfId="499" priority="505"/>
    <cfRule type="duplicateValues" dxfId="498" priority="506"/>
    <cfRule type="duplicateValues" dxfId="497" priority="507"/>
  </conditionalFormatting>
  <conditionalFormatting sqref="L42">
    <cfRule type="duplicateValues" dxfId="496" priority="503"/>
  </conditionalFormatting>
  <conditionalFormatting sqref="E43">
    <cfRule type="duplicateValues" dxfId="495" priority="493"/>
  </conditionalFormatting>
  <conditionalFormatting sqref="K43">
    <cfRule type="duplicateValues" dxfId="494" priority="500"/>
  </conditionalFormatting>
  <conditionalFormatting sqref="M43">
    <cfRule type="duplicateValues" dxfId="493" priority="496"/>
    <cfRule type="duplicateValues" dxfId="492" priority="497"/>
    <cfRule type="duplicateValues" dxfId="491" priority="498"/>
    <cfRule type="duplicateValues" dxfId="490" priority="499"/>
  </conditionalFormatting>
  <conditionalFormatting sqref="L43">
    <cfRule type="duplicateValues" dxfId="489" priority="495"/>
  </conditionalFormatting>
  <conditionalFormatting sqref="E44">
    <cfRule type="duplicateValues" dxfId="488" priority="487"/>
  </conditionalFormatting>
  <conditionalFormatting sqref="K44">
    <cfRule type="duplicateValues" dxfId="487" priority="486"/>
  </conditionalFormatting>
  <conditionalFormatting sqref="L44">
    <cfRule type="duplicateValues" dxfId="486" priority="488"/>
  </conditionalFormatting>
  <conditionalFormatting sqref="M44">
    <cfRule type="duplicateValues" dxfId="485" priority="489"/>
    <cfRule type="duplicateValues" dxfId="484" priority="490"/>
    <cfRule type="duplicateValues" dxfId="483" priority="491"/>
    <cfRule type="duplicateValues" dxfId="482" priority="492"/>
  </conditionalFormatting>
  <conditionalFormatting sqref="E45">
    <cfRule type="duplicateValues" dxfId="481" priority="480"/>
  </conditionalFormatting>
  <conditionalFormatting sqref="K45">
    <cfRule type="duplicateValues" dxfId="480" priority="485"/>
  </conditionalFormatting>
  <conditionalFormatting sqref="L45">
    <cfRule type="duplicateValues" dxfId="479" priority="481"/>
    <cfRule type="duplicateValues" dxfId="478" priority="482"/>
    <cfRule type="duplicateValues" dxfId="477" priority="483"/>
    <cfRule type="duplicateValues" dxfId="476" priority="484"/>
  </conditionalFormatting>
  <conditionalFormatting sqref="M45">
    <cfRule type="duplicateValues" dxfId="475" priority="479"/>
  </conditionalFormatting>
  <conditionalFormatting sqref="E46">
    <cfRule type="duplicateValues" dxfId="474" priority="465"/>
  </conditionalFormatting>
  <conditionalFormatting sqref="E47">
    <cfRule type="duplicateValues" dxfId="473" priority="471"/>
  </conditionalFormatting>
  <conditionalFormatting sqref="K46">
    <cfRule type="duplicateValues" dxfId="472" priority="464"/>
  </conditionalFormatting>
  <conditionalFormatting sqref="K47">
    <cfRule type="duplicateValues" dxfId="471" priority="478"/>
  </conditionalFormatting>
  <conditionalFormatting sqref="L46">
    <cfRule type="duplicateValues" dxfId="470" priority="466"/>
  </conditionalFormatting>
  <conditionalFormatting sqref="M47">
    <cfRule type="duplicateValues" dxfId="469" priority="474"/>
    <cfRule type="duplicateValues" dxfId="468" priority="475"/>
    <cfRule type="duplicateValues" dxfId="467" priority="476"/>
    <cfRule type="duplicateValues" dxfId="466" priority="477"/>
  </conditionalFormatting>
  <conditionalFormatting sqref="M46">
    <cfRule type="duplicateValues" dxfId="465" priority="467"/>
    <cfRule type="duplicateValues" dxfId="464" priority="468"/>
    <cfRule type="duplicateValues" dxfId="463" priority="469"/>
    <cfRule type="duplicateValues" dxfId="462" priority="470"/>
  </conditionalFormatting>
  <conditionalFormatting sqref="L47">
    <cfRule type="duplicateValues" dxfId="461" priority="473"/>
  </conditionalFormatting>
  <conditionalFormatting sqref="E48">
    <cfRule type="duplicateValues" dxfId="460" priority="457"/>
  </conditionalFormatting>
  <conditionalFormatting sqref="K48">
    <cfRule type="duplicateValues" dxfId="459" priority="463"/>
  </conditionalFormatting>
  <conditionalFormatting sqref="L48">
    <cfRule type="duplicateValues" dxfId="458" priority="458"/>
  </conditionalFormatting>
  <conditionalFormatting sqref="M48:N48">
    <cfRule type="duplicateValues" dxfId="457" priority="459"/>
    <cfRule type="duplicateValues" dxfId="456" priority="460"/>
    <cfRule type="duplicateValues" dxfId="455" priority="461"/>
    <cfRule type="duplicateValues" dxfId="454" priority="462"/>
  </conditionalFormatting>
  <conditionalFormatting sqref="E49">
    <cfRule type="duplicateValues" dxfId="453" priority="445"/>
  </conditionalFormatting>
  <conditionalFormatting sqref="K49">
    <cfRule type="duplicateValues" dxfId="452" priority="444"/>
  </conditionalFormatting>
  <conditionalFormatting sqref="L49">
    <cfRule type="duplicateValues" dxfId="451" priority="446"/>
  </conditionalFormatting>
  <conditionalFormatting sqref="L49">
    <cfRule type="duplicateValues" dxfId="450" priority="452"/>
    <cfRule type="duplicateValues" dxfId="449" priority="453"/>
    <cfRule type="duplicateValues" dxfId="448" priority="454"/>
    <cfRule type="duplicateValues" dxfId="447" priority="455"/>
  </conditionalFormatting>
  <conditionalFormatting sqref="M49:N49">
    <cfRule type="duplicateValues" dxfId="446" priority="447"/>
    <cfRule type="duplicateValues" dxfId="445" priority="448"/>
    <cfRule type="duplicateValues" dxfId="444" priority="449"/>
    <cfRule type="duplicateValues" dxfId="443" priority="450"/>
  </conditionalFormatting>
  <conditionalFormatting sqref="M49">
    <cfRule type="duplicateValues" dxfId="442" priority="443"/>
  </conditionalFormatting>
  <conditionalFormatting sqref="N49">
    <cfRule type="duplicateValues" dxfId="441" priority="439"/>
    <cfRule type="duplicateValues" dxfId="440" priority="440"/>
    <cfRule type="duplicateValues" dxfId="439" priority="441"/>
    <cfRule type="duplicateValues" dxfId="438" priority="442"/>
  </conditionalFormatting>
  <conditionalFormatting sqref="E50">
    <cfRule type="duplicateValues" dxfId="437" priority="432"/>
  </conditionalFormatting>
  <conditionalFormatting sqref="K50">
    <cfRule type="duplicateValues" dxfId="436" priority="431"/>
  </conditionalFormatting>
  <conditionalFormatting sqref="M50:N50">
    <cfRule type="duplicateValues" dxfId="435" priority="434"/>
    <cfRule type="duplicateValues" dxfId="434" priority="435"/>
    <cfRule type="duplicateValues" dxfId="433" priority="436"/>
    <cfRule type="duplicateValues" dxfId="432" priority="437"/>
  </conditionalFormatting>
  <conditionalFormatting sqref="L50">
    <cfRule type="duplicateValues" dxfId="431" priority="433"/>
  </conditionalFormatting>
  <conditionalFormatting sqref="E51">
    <cfRule type="duplicateValues" dxfId="430" priority="424"/>
  </conditionalFormatting>
  <conditionalFormatting sqref="K51">
    <cfRule type="duplicateValues" dxfId="429" priority="430"/>
  </conditionalFormatting>
  <conditionalFormatting sqref="L51">
    <cfRule type="duplicateValues" dxfId="428" priority="425"/>
  </conditionalFormatting>
  <conditionalFormatting sqref="M51:N51">
    <cfRule type="duplicateValues" dxfId="427" priority="426"/>
    <cfRule type="duplicateValues" dxfId="426" priority="427"/>
    <cfRule type="duplicateValues" dxfId="425" priority="428"/>
    <cfRule type="duplicateValues" dxfId="424" priority="429"/>
  </conditionalFormatting>
  <conditionalFormatting sqref="K52">
    <cfRule type="duplicateValues" dxfId="423" priority="420"/>
  </conditionalFormatting>
  <conditionalFormatting sqref="E52">
    <cfRule type="duplicateValues" dxfId="422" priority="421"/>
  </conditionalFormatting>
  <conditionalFormatting sqref="L52:M52">
    <cfRule type="duplicateValues" dxfId="421" priority="423"/>
  </conditionalFormatting>
  <conditionalFormatting sqref="E53">
    <cfRule type="duplicateValues" dxfId="420" priority="412"/>
  </conditionalFormatting>
  <conditionalFormatting sqref="K53">
    <cfRule type="duplicateValues" dxfId="419" priority="419"/>
  </conditionalFormatting>
  <conditionalFormatting sqref="M53:N53">
    <cfRule type="duplicateValues" dxfId="418" priority="415"/>
    <cfRule type="duplicateValues" dxfId="417" priority="416"/>
    <cfRule type="duplicateValues" dxfId="416" priority="417"/>
    <cfRule type="duplicateValues" dxfId="415" priority="418"/>
  </conditionalFormatting>
  <conditionalFormatting sqref="L53">
    <cfRule type="duplicateValues" dxfId="414" priority="414"/>
  </conditionalFormatting>
  <conditionalFormatting sqref="K54">
    <cfRule type="duplicateValues" dxfId="413" priority="408"/>
  </conditionalFormatting>
  <conditionalFormatting sqref="E54">
    <cfRule type="duplicateValues" dxfId="412" priority="409"/>
  </conditionalFormatting>
  <conditionalFormatting sqref="L54:M54">
    <cfRule type="duplicateValues" dxfId="411" priority="411"/>
  </conditionalFormatting>
  <conditionalFormatting sqref="E55">
    <cfRule type="duplicateValues" dxfId="410" priority="402"/>
  </conditionalFormatting>
  <conditionalFormatting sqref="K55">
    <cfRule type="duplicateValues" dxfId="409" priority="401"/>
  </conditionalFormatting>
  <conditionalFormatting sqref="L55">
    <cfRule type="duplicateValues" dxfId="408" priority="403"/>
  </conditionalFormatting>
  <conditionalFormatting sqref="M55:N55">
    <cfRule type="duplicateValues" dxfId="407" priority="404"/>
    <cfRule type="duplicateValues" dxfId="406" priority="405"/>
    <cfRule type="duplicateValues" dxfId="405" priority="406"/>
    <cfRule type="duplicateValues" dxfId="404" priority="407"/>
  </conditionalFormatting>
  <conditionalFormatting sqref="E56">
    <cfRule type="duplicateValues" dxfId="403" priority="394"/>
  </conditionalFormatting>
  <conditionalFormatting sqref="K56">
    <cfRule type="duplicateValues" dxfId="402" priority="400"/>
  </conditionalFormatting>
  <conditionalFormatting sqref="L56">
    <cfRule type="duplicateValues" dxfId="401" priority="395"/>
  </conditionalFormatting>
  <conditionalFormatting sqref="M56:N56">
    <cfRule type="duplicateValues" dxfId="400" priority="396"/>
    <cfRule type="duplicateValues" dxfId="399" priority="397"/>
    <cfRule type="duplicateValues" dxfId="398" priority="398"/>
    <cfRule type="duplicateValues" dxfId="397" priority="399"/>
  </conditionalFormatting>
  <conditionalFormatting sqref="E57">
    <cfRule type="duplicateValues" dxfId="396" priority="393"/>
  </conditionalFormatting>
  <conditionalFormatting sqref="K57">
    <cfRule type="duplicateValues" dxfId="395" priority="392"/>
  </conditionalFormatting>
  <conditionalFormatting sqref="L57">
    <cfRule type="duplicateValues" dxfId="394" priority="387"/>
  </conditionalFormatting>
  <conditionalFormatting sqref="M57:N57">
    <cfRule type="duplicateValues" dxfId="393" priority="388"/>
    <cfRule type="duplicateValues" dxfId="392" priority="389"/>
    <cfRule type="duplicateValues" dxfId="391" priority="390"/>
    <cfRule type="duplicateValues" dxfId="390" priority="391"/>
  </conditionalFormatting>
  <conditionalFormatting sqref="E58">
    <cfRule type="duplicateValues" dxfId="389" priority="381"/>
  </conditionalFormatting>
  <conditionalFormatting sqref="K58">
    <cfRule type="duplicateValues" dxfId="388" priority="380"/>
  </conditionalFormatting>
  <conditionalFormatting sqref="L58">
    <cfRule type="duplicateValues" dxfId="387" priority="382"/>
  </conditionalFormatting>
  <conditionalFormatting sqref="M58:N58">
    <cfRule type="duplicateValues" dxfId="386" priority="383"/>
    <cfRule type="duplicateValues" dxfId="385" priority="384"/>
    <cfRule type="duplicateValues" dxfId="384" priority="385"/>
    <cfRule type="duplicateValues" dxfId="383" priority="386"/>
  </conditionalFormatting>
  <conditionalFormatting sqref="E59">
    <cfRule type="duplicateValues" dxfId="382" priority="372"/>
    <cfRule type="duplicateValues" dxfId="381" priority="374"/>
  </conditionalFormatting>
  <conditionalFormatting sqref="K59">
    <cfRule type="duplicateValues" dxfId="380" priority="371"/>
    <cfRule type="duplicateValues" dxfId="379" priority="373"/>
  </conditionalFormatting>
  <conditionalFormatting sqref="K59">
    <cfRule type="duplicateValues" dxfId="378" priority="379"/>
  </conditionalFormatting>
  <conditionalFormatting sqref="L59">
    <cfRule type="duplicateValues" dxfId="377" priority="370"/>
  </conditionalFormatting>
  <conditionalFormatting sqref="M59:N59">
    <cfRule type="duplicateValues" dxfId="376" priority="369"/>
    <cfRule type="duplicateValues" dxfId="375" priority="375"/>
    <cfRule type="duplicateValues" dxfId="374" priority="376"/>
    <cfRule type="duplicateValues" dxfId="373" priority="377"/>
    <cfRule type="duplicateValues" dxfId="372" priority="378"/>
  </conditionalFormatting>
  <conditionalFormatting sqref="E60">
    <cfRule type="duplicateValues" dxfId="371" priority="361"/>
  </conditionalFormatting>
  <conditionalFormatting sqref="K60">
    <cfRule type="duplicateValues" dxfId="370" priority="368"/>
  </conditionalFormatting>
  <conditionalFormatting sqref="L60">
    <cfRule type="duplicateValues" dxfId="369" priority="364"/>
    <cfRule type="duplicateValues" dxfId="368" priority="365"/>
    <cfRule type="duplicateValues" dxfId="367" priority="366"/>
    <cfRule type="duplicateValues" dxfId="366" priority="367"/>
  </conditionalFormatting>
  <conditionalFormatting sqref="M60:N60">
    <cfRule type="duplicateValues" dxfId="365" priority="363"/>
  </conditionalFormatting>
  <conditionalFormatting sqref="E61">
    <cfRule type="duplicateValues" dxfId="364" priority="355"/>
  </conditionalFormatting>
  <conditionalFormatting sqref="K61">
    <cfRule type="duplicateValues" dxfId="363" priority="354"/>
  </conditionalFormatting>
  <conditionalFormatting sqref="L61">
    <cfRule type="duplicateValues" dxfId="362" priority="356"/>
  </conditionalFormatting>
  <conditionalFormatting sqref="M61">
    <cfRule type="duplicateValues" dxfId="361" priority="357"/>
    <cfRule type="duplicateValues" dxfId="360" priority="358"/>
    <cfRule type="duplicateValues" dxfId="359" priority="359"/>
    <cfRule type="duplicateValues" dxfId="358" priority="360"/>
  </conditionalFormatting>
  <conditionalFormatting sqref="N61">
    <cfRule type="duplicateValues" dxfId="357" priority="350"/>
    <cfRule type="duplicateValues" dxfId="356" priority="351"/>
    <cfRule type="duplicateValues" dxfId="355" priority="352"/>
    <cfRule type="duplicateValues" dxfId="354" priority="353"/>
  </conditionalFormatting>
  <conditionalFormatting sqref="E62">
    <cfRule type="duplicateValues" dxfId="353" priority="343"/>
  </conditionalFormatting>
  <conditionalFormatting sqref="K62">
    <cfRule type="duplicateValues" dxfId="352" priority="349"/>
  </conditionalFormatting>
  <conditionalFormatting sqref="L62">
    <cfRule type="duplicateValues" dxfId="351" priority="344"/>
  </conditionalFormatting>
  <conditionalFormatting sqref="M62:N62">
    <cfRule type="duplicateValues" dxfId="350" priority="345"/>
    <cfRule type="duplicateValues" dxfId="349" priority="346"/>
    <cfRule type="duplicateValues" dxfId="348" priority="347"/>
    <cfRule type="duplicateValues" dxfId="347" priority="348"/>
  </conditionalFormatting>
  <conditionalFormatting sqref="E63">
    <cfRule type="duplicateValues" dxfId="346" priority="337"/>
  </conditionalFormatting>
  <conditionalFormatting sqref="K63">
    <cfRule type="duplicateValues" dxfId="345" priority="336"/>
  </conditionalFormatting>
  <conditionalFormatting sqref="L63">
    <cfRule type="duplicateValues" dxfId="344" priority="338"/>
  </conditionalFormatting>
  <conditionalFormatting sqref="M63:N63">
    <cfRule type="duplicateValues" dxfId="343" priority="339"/>
    <cfRule type="duplicateValues" dxfId="342" priority="340"/>
    <cfRule type="duplicateValues" dxfId="341" priority="341"/>
    <cfRule type="duplicateValues" dxfId="340" priority="342"/>
  </conditionalFormatting>
  <conditionalFormatting sqref="E64">
    <cfRule type="duplicateValues" dxfId="339" priority="328"/>
    <cfRule type="duplicateValues" dxfId="338" priority="330"/>
  </conditionalFormatting>
  <conditionalFormatting sqref="K64">
    <cfRule type="duplicateValues" dxfId="337" priority="327"/>
    <cfRule type="duplicateValues" dxfId="336" priority="329"/>
  </conditionalFormatting>
  <conditionalFormatting sqref="K64">
    <cfRule type="duplicateValues" dxfId="335" priority="335"/>
  </conditionalFormatting>
  <conditionalFormatting sqref="L64">
    <cfRule type="duplicateValues" dxfId="334" priority="326"/>
  </conditionalFormatting>
  <conditionalFormatting sqref="M64:N64">
    <cfRule type="duplicateValues" dxfId="333" priority="325"/>
    <cfRule type="duplicateValues" dxfId="332" priority="331"/>
    <cfRule type="duplicateValues" dxfId="331" priority="332"/>
    <cfRule type="duplicateValues" dxfId="330" priority="333"/>
    <cfRule type="duplicateValues" dxfId="329" priority="334"/>
  </conditionalFormatting>
  <conditionalFormatting sqref="E65">
    <cfRule type="duplicateValues" dxfId="328" priority="317"/>
  </conditionalFormatting>
  <conditionalFormatting sqref="K65">
    <cfRule type="duplicateValues" dxfId="327" priority="324"/>
  </conditionalFormatting>
  <conditionalFormatting sqref="L65">
    <cfRule type="duplicateValues" dxfId="326" priority="320"/>
    <cfRule type="duplicateValues" dxfId="325" priority="321"/>
    <cfRule type="duplicateValues" dxfId="324" priority="322"/>
    <cfRule type="duplicateValues" dxfId="323" priority="323"/>
  </conditionalFormatting>
  <conditionalFormatting sqref="M65:N65">
    <cfRule type="duplicateValues" dxfId="322" priority="319"/>
  </conditionalFormatting>
  <conditionalFormatting sqref="E66">
    <cfRule type="duplicateValues" dxfId="321" priority="310"/>
  </conditionalFormatting>
  <conditionalFormatting sqref="K66">
    <cfRule type="duplicateValues" dxfId="320" priority="316"/>
  </conditionalFormatting>
  <conditionalFormatting sqref="L66">
    <cfRule type="duplicateValues" dxfId="319" priority="312"/>
    <cfRule type="duplicateValues" dxfId="318" priority="313"/>
    <cfRule type="duplicateValues" dxfId="317" priority="314"/>
    <cfRule type="duplicateValues" dxfId="316" priority="315"/>
  </conditionalFormatting>
  <conditionalFormatting sqref="M66:N66">
    <cfRule type="duplicateValues" dxfId="315" priority="311"/>
  </conditionalFormatting>
  <conditionalFormatting sqref="E67">
    <cfRule type="duplicateValues" dxfId="314" priority="302"/>
  </conditionalFormatting>
  <conditionalFormatting sqref="K67">
    <cfRule type="duplicateValues" dxfId="313" priority="309"/>
  </conditionalFormatting>
  <conditionalFormatting sqref="L67">
    <cfRule type="duplicateValues" dxfId="312" priority="305"/>
    <cfRule type="duplicateValues" dxfId="311" priority="306"/>
    <cfRule type="duplicateValues" dxfId="310" priority="307"/>
    <cfRule type="duplicateValues" dxfId="309" priority="308"/>
  </conditionalFormatting>
  <conditionalFormatting sqref="M67:N67">
    <cfRule type="duplicateValues" dxfId="308" priority="304"/>
  </conditionalFormatting>
  <conditionalFormatting sqref="E68">
    <cfRule type="duplicateValues" dxfId="307" priority="287"/>
  </conditionalFormatting>
  <conditionalFormatting sqref="K68">
    <cfRule type="duplicateValues" dxfId="306" priority="293"/>
  </conditionalFormatting>
  <conditionalFormatting sqref="L68">
    <cfRule type="duplicateValues" dxfId="305" priority="289"/>
    <cfRule type="duplicateValues" dxfId="304" priority="290"/>
    <cfRule type="duplicateValues" dxfId="303" priority="291"/>
    <cfRule type="duplicateValues" dxfId="302" priority="292"/>
  </conditionalFormatting>
  <conditionalFormatting sqref="M68:N68">
    <cfRule type="duplicateValues" dxfId="301" priority="288"/>
  </conditionalFormatting>
  <conditionalFormatting sqref="E69">
    <cfRule type="duplicateValues" dxfId="300" priority="281"/>
  </conditionalFormatting>
  <conditionalFormatting sqref="K69">
    <cfRule type="duplicateValues" dxfId="299" priority="280"/>
  </conditionalFormatting>
  <conditionalFormatting sqref="L69">
    <cfRule type="duplicateValues" dxfId="298" priority="282"/>
  </conditionalFormatting>
  <conditionalFormatting sqref="M69:N69">
    <cfRule type="duplicateValues" dxfId="297" priority="283"/>
    <cfRule type="duplicateValues" dxfId="296" priority="284"/>
    <cfRule type="duplicateValues" dxfId="295" priority="285"/>
    <cfRule type="duplicateValues" dxfId="294" priority="286"/>
  </conditionalFormatting>
  <conditionalFormatting sqref="E70">
    <cfRule type="duplicateValues" dxfId="293" priority="274"/>
  </conditionalFormatting>
  <conditionalFormatting sqref="K70">
    <cfRule type="duplicateValues" dxfId="292" priority="273"/>
  </conditionalFormatting>
  <conditionalFormatting sqref="L70">
    <cfRule type="duplicateValues" dxfId="291" priority="275"/>
  </conditionalFormatting>
  <conditionalFormatting sqref="M70">
    <cfRule type="duplicateValues" dxfId="290" priority="276"/>
    <cfRule type="duplicateValues" dxfId="289" priority="277"/>
    <cfRule type="duplicateValues" dxfId="288" priority="278"/>
    <cfRule type="duplicateValues" dxfId="287" priority="279"/>
  </conditionalFormatting>
  <conditionalFormatting sqref="N70">
    <cfRule type="duplicateValues" dxfId="286" priority="269"/>
    <cfRule type="duplicateValues" dxfId="285" priority="270"/>
    <cfRule type="duplicateValues" dxfId="284" priority="271"/>
    <cfRule type="duplicateValues" dxfId="283" priority="272"/>
  </conditionalFormatting>
  <conditionalFormatting sqref="E71">
    <cfRule type="duplicateValues" dxfId="282" priority="263"/>
  </conditionalFormatting>
  <conditionalFormatting sqref="K71">
    <cfRule type="duplicateValues" dxfId="281" priority="262"/>
  </conditionalFormatting>
  <conditionalFormatting sqref="L71">
    <cfRule type="duplicateValues" dxfId="280" priority="264"/>
  </conditionalFormatting>
  <conditionalFormatting sqref="M71:N71">
    <cfRule type="duplicateValues" dxfId="279" priority="265"/>
    <cfRule type="duplicateValues" dxfId="278" priority="266"/>
    <cfRule type="duplicateValues" dxfId="277" priority="267"/>
    <cfRule type="duplicateValues" dxfId="276" priority="268"/>
  </conditionalFormatting>
  <conditionalFormatting sqref="E73">
    <cfRule type="duplicateValues" dxfId="275" priority="240"/>
  </conditionalFormatting>
  <conditionalFormatting sqref="L73:M73">
    <cfRule type="duplicateValues" dxfId="274" priority="241"/>
  </conditionalFormatting>
  <conditionalFormatting sqref="K73">
    <cfRule type="duplicateValues" dxfId="273" priority="242"/>
    <cfRule type="duplicateValues" dxfId="272" priority="243"/>
  </conditionalFormatting>
  <conditionalFormatting sqref="E74">
    <cfRule type="duplicateValues" dxfId="271" priority="239"/>
  </conditionalFormatting>
  <conditionalFormatting sqref="K74">
    <cfRule type="duplicateValues" dxfId="270" priority="238"/>
  </conditionalFormatting>
  <conditionalFormatting sqref="L74:M74">
    <cfRule type="duplicateValues" dxfId="269" priority="237"/>
  </conditionalFormatting>
  <conditionalFormatting sqref="E75">
    <cfRule type="duplicateValues" dxfId="268" priority="236"/>
  </conditionalFormatting>
  <conditionalFormatting sqref="K75">
    <cfRule type="duplicateValues" dxfId="267" priority="230"/>
  </conditionalFormatting>
  <conditionalFormatting sqref="L75">
    <cfRule type="duplicateValues" dxfId="266" priority="235"/>
  </conditionalFormatting>
  <conditionalFormatting sqref="M75">
    <cfRule type="duplicateValues" dxfId="265" priority="231"/>
    <cfRule type="duplicateValues" dxfId="264" priority="232"/>
    <cfRule type="duplicateValues" dxfId="263" priority="233"/>
    <cfRule type="duplicateValues" dxfId="262" priority="234"/>
  </conditionalFormatting>
  <conditionalFormatting sqref="E76">
    <cfRule type="duplicateValues" dxfId="261" priority="229"/>
  </conditionalFormatting>
  <conditionalFormatting sqref="K76">
    <cfRule type="duplicateValues" dxfId="260" priority="228"/>
  </conditionalFormatting>
  <conditionalFormatting sqref="L76:M76">
    <cfRule type="duplicateValues" dxfId="259" priority="227"/>
  </conditionalFormatting>
  <conditionalFormatting sqref="E77">
    <cfRule type="duplicateValues" dxfId="258" priority="223"/>
  </conditionalFormatting>
  <conditionalFormatting sqref="K77">
    <cfRule type="duplicateValues" dxfId="257" priority="224"/>
  </conditionalFormatting>
  <conditionalFormatting sqref="L77">
    <cfRule type="duplicateValues" dxfId="256" priority="225"/>
  </conditionalFormatting>
  <conditionalFormatting sqref="M77">
    <cfRule type="duplicateValues" dxfId="255" priority="219"/>
    <cfRule type="duplicateValues" dxfId="254" priority="220"/>
    <cfRule type="duplicateValues" dxfId="253" priority="221"/>
    <cfRule type="duplicateValues" dxfId="252" priority="222"/>
    <cfRule type="duplicateValues" dxfId="251" priority="226"/>
  </conditionalFormatting>
  <conditionalFormatting sqref="E78">
    <cfRule type="duplicateValues" dxfId="250" priority="217"/>
  </conditionalFormatting>
  <conditionalFormatting sqref="K78">
    <cfRule type="duplicateValues" dxfId="249" priority="218"/>
  </conditionalFormatting>
  <conditionalFormatting sqref="L78">
    <cfRule type="duplicateValues" dxfId="248" priority="216"/>
  </conditionalFormatting>
  <conditionalFormatting sqref="M78">
    <cfRule type="duplicateValues" dxfId="247" priority="212"/>
    <cfRule type="duplicateValues" dxfId="246" priority="213"/>
    <cfRule type="duplicateValues" dxfId="245" priority="214"/>
    <cfRule type="duplicateValues" dxfId="244" priority="215"/>
  </conditionalFormatting>
  <conditionalFormatting sqref="E79">
    <cfRule type="duplicateValues" dxfId="243" priority="204"/>
  </conditionalFormatting>
  <conditionalFormatting sqref="K79">
    <cfRule type="duplicateValues" dxfId="242" priority="205"/>
    <cfRule type="duplicateValues" dxfId="241" priority="211"/>
  </conditionalFormatting>
  <conditionalFormatting sqref="L79">
    <cfRule type="duplicateValues" dxfId="240" priority="206"/>
  </conditionalFormatting>
  <conditionalFormatting sqref="M79">
    <cfRule type="duplicateValues" dxfId="239" priority="207"/>
    <cfRule type="duplicateValues" dxfId="238" priority="208"/>
    <cfRule type="duplicateValues" dxfId="237" priority="209"/>
    <cfRule type="duplicateValues" dxfId="236" priority="210"/>
  </conditionalFormatting>
  <conditionalFormatting sqref="E80">
    <cfRule type="duplicateValues" dxfId="235" priority="202"/>
  </conditionalFormatting>
  <conditionalFormatting sqref="K80">
    <cfRule type="duplicateValues" dxfId="234" priority="203"/>
  </conditionalFormatting>
  <conditionalFormatting sqref="L80">
    <cfRule type="duplicateValues" dxfId="233" priority="201"/>
  </conditionalFormatting>
  <conditionalFormatting sqref="M80">
    <cfRule type="duplicateValues" dxfId="232" priority="197"/>
    <cfRule type="duplicateValues" dxfId="231" priority="198"/>
    <cfRule type="duplicateValues" dxfId="230" priority="199"/>
    <cfRule type="duplicateValues" dxfId="229" priority="200"/>
  </conditionalFormatting>
  <conditionalFormatting sqref="K81">
    <cfRule type="duplicateValues" dxfId="228" priority="196"/>
  </conditionalFormatting>
  <conditionalFormatting sqref="E82">
    <cfRule type="duplicateValues" dxfId="227" priority="195"/>
  </conditionalFormatting>
  <conditionalFormatting sqref="K82">
    <cfRule type="duplicateValues" dxfId="226" priority="194"/>
  </conditionalFormatting>
  <conditionalFormatting sqref="L82:M82">
    <cfRule type="duplicateValues" dxfId="225" priority="193"/>
  </conditionalFormatting>
  <conditionalFormatting sqref="E83">
    <cfRule type="duplicateValues" dxfId="224" priority="190"/>
  </conditionalFormatting>
  <conditionalFormatting sqref="K83">
    <cfRule type="duplicateValues" dxfId="223" priority="191"/>
  </conditionalFormatting>
  <conditionalFormatting sqref="K83">
    <cfRule type="duplicateValues" dxfId="222" priority="192"/>
  </conditionalFormatting>
  <conditionalFormatting sqref="M83">
    <cfRule type="duplicateValues" dxfId="221" priority="186"/>
    <cfRule type="duplicateValues" dxfId="220" priority="187"/>
    <cfRule type="duplicateValues" dxfId="219" priority="188"/>
    <cfRule type="duplicateValues" dxfId="218" priority="189"/>
  </conditionalFormatting>
  <conditionalFormatting sqref="E84">
    <cfRule type="duplicateValues" dxfId="217" priority="184"/>
  </conditionalFormatting>
  <conditionalFormatting sqref="K84">
    <cfRule type="duplicateValues" dxfId="216" priority="185"/>
  </conditionalFormatting>
  <conditionalFormatting sqref="K84">
    <cfRule type="duplicateValues" dxfId="215" priority="183"/>
  </conditionalFormatting>
  <conditionalFormatting sqref="L84:M84">
    <cfRule type="duplicateValues" dxfId="214" priority="182"/>
  </conditionalFormatting>
  <conditionalFormatting sqref="E85">
    <cfRule type="duplicateValues" dxfId="213" priority="181"/>
  </conditionalFormatting>
  <conditionalFormatting sqref="K85">
    <cfRule type="duplicateValues" dxfId="212" priority="180"/>
  </conditionalFormatting>
  <conditionalFormatting sqref="L85:M85">
    <cfRule type="duplicateValues" dxfId="211" priority="179"/>
  </conditionalFormatting>
  <conditionalFormatting sqref="E86">
    <cfRule type="duplicateValues" dxfId="210" priority="171"/>
  </conditionalFormatting>
  <conditionalFormatting sqref="K86">
    <cfRule type="duplicateValues" dxfId="209" priority="172"/>
  </conditionalFormatting>
  <conditionalFormatting sqref="K86">
    <cfRule type="duplicateValues" dxfId="208" priority="178"/>
  </conditionalFormatting>
  <conditionalFormatting sqref="L86">
    <cfRule type="duplicateValues" dxfId="207" priority="173"/>
  </conditionalFormatting>
  <conditionalFormatting sqref="M86">
    <cfRule type="duplicateValues" dxfId="206" priority="174"/>
    <cfRule type="duplicateValues" dxfId="205" priority="175"/>
    <cfRule type="duplicateValues" dxfId="204" priority="176"/>
    <cfRule type="duplicateValues" dxfId="203" priority="177"/>
  </conditionalFormatting>
  <conditionalFormatting sqref="E87">
    <cfRule type="duplicateValues" dxfId="202" priority="169"/>
  </conditionalFormatting>
  <conditionalFormatting sqref="K87">
    <cfRule type="duplicateValues" dxfId="201" priority="170"/>
  </conditionalFormatting>
  <conditionalFormatting sqref="K87">
    <cfRule type="duplicateValues" dxfId="200" priority="168"/>
  </conditionalFormatting>
  <conditionalFormatting sqref="L87:M87">
    <cfRule type="duplicateValues" dxfId="199" priority="167"/>
  </conditionalFormatting>
  <conditionalFormatting sqref="E88">
    <cfRule type="duplicateValues" dxfId="198" priority="165"/>
  </conditionalFormatting>
  <conditionalFormatting sqref="K88">
    <cfRule type="duplicateValues" dxfId="197" priority="166"/>
  </conditionalFormatting>
  <conditionalFormatting sqref="K88">
    <cfRule type="duplicateValues" dxfId="196" priority="164"/>
  </conditionalFormatting>
  <conditionalFormatting sqref="L88:M88">
    <cfRule type="duplicateValues" dxfId="195" priority="163"/>
  </conditionalFormatting>
  <conditionalFormatting sqref="M89">
    <cfRule type="duplicateValues" dxfId="194" priority="157"/>
    <cfRule type="duplicateValues" dxfId="193" priority="159"/>
  </conditionalFormatting>
  <conditionalFormatting sqref="N89">
    <cfRule type="duplicateValues" dxfId="192" priority="158"/>
  </conditionalFormatting>
  <conditionalFormatting sqref="M90">
    <cfRule type="duplicateValues" dxfId="191" priority="154"/>
    <cfRule type="duplicateValues" dxfId="190" priority="156"/>
  </conditionalFormatting>
  <conditionalFormatting sqref="N90">
    <cfRule type="duplicateValues" dxfId="189" priority="155"/>
  </conditionalFormatting>
  <conditionalFormatting sqref="M91">
    <cfRule type="duplicateValues" dxfId="188" priority="152"/>
  </conditionalFormatting>
  <conditionalFormatting sqref="N91">
    <cfRule type="duplicateValues" dxfId="187" priority="153"/>
  </conditionalFormatting>
  <conditionalFormatting sqref="M92">
    <cfRule type="duplicateValues" dxfId="186" priority="150"/>
  </conditionalFormatting>
  <conditionalFormatting sqref="N92">
    <cfRule type="duplicateValues" dxfId="185" priority="151"/>
  </conditionalFormatting>
  <conditionalFormatting sqref="M93">
    <cfRule type="duplicateValues" dxfId="184" priority="148"/>
  </conditionalFormatting>
  <conditionalFormatting sqref="N93">
    <cfRule type="duplicateValues" dxfId="183" priority="149"/>
  </conditionalFormatting>
  <conditionalFormatting sqref="M94">
    <cfRule type="duplicateValues" dxfId="182" priority="145"/>
    <cfRule type="duplicateValues" dxfId="181" priority="147"/>
  </conditionalFormatting>
  <conditionalFormatting sqref="N94">
    <cfRule type="duplicateValues" dxfId="180" priority="146"/>
  </conditionalFormatting>
  <conditionalFormatting sqref="M95">
    <cfRule type="duplicateValues" dxfId="179" priority="142"/>
    <cfRule type="duplicateValues" dxfId="178" priority="144"/>
  </conditionalFormatting>
  <conditionalFormatting sqref="N95">
    <cfRule type="duplicateValues" dxfId="177" priority="143"/>
  </conditionalFormatting>
  <conditionalFormatting sqref="N96">
    <cfRule type="duplicateValues" dxfId="176" priority="141"/>
  </conditionalFormatting>
  <conditionalFormatting sqref="M99">
    <cfRule type="duplicateValues" dxfId="175" priority="138"/>
  </conditionalFormatting>
  <conditionalFormatting sqref="M99">
    <cfRule type="duplicateValues" dxfId="174" priority="140"/>
  </conditionalFormatting>
  <conditionalFormatting sqref="N99">
    <cfRule type="duplicateValues" dxfId="173" priority="139"/>
  </conditionalFormatting>
  <conditionalFormatting sqref="M100">
    <cfRule type="duplicateValues" dxfId="172" priority="137"/>
  </conditionalFormatting>
  <conditionalFormatting sqref="N100">
    <cfRule type="duplicateValues" dxfId="171" priority="136"/>
  </conditionalFormatting>
  <conditionalFormatting sqref="M101">
    <cfRule type="duplicateValues" dxfId="170" priority="134"/>
  </conditionalFormatting>
  <conditionalFormatting sqref="N101">
    <cfRule type="duplicateValues" dxfId="169" priority="135"/>
  </conditionalFormatting>
  <conditionalFormatting sqref="E102">
    <cfRule type="duplicateValues" dxfId="168" priority="132"/>
  </conditionalFormatting>
  <conditionalFormatting sqref="K102">
    <cfRule type="duplicateValues" dxfId="167" priority="133"/>
  </conditionalFormatting>
  <conditionalFormatting sqref="L102">
    <cfRule type="duplicateValues" dxfId="166" priority="131"/>
  </conditionalFormatting>
  <conditionalFormatting sqref="M102">
    <cfRule type="duplicateValues" dxfId="165" priority="127"/>
    <cfRule type="duplicateValues" dxfId="164" priority="128"/>
    <cfRule type="duplicateValues" dxfId="163" priority="129"/>
    <cfRule type="duplicateValues" dxfId="162" priority="130"/>
  </conditionalFormatting>
  <conditionalFormatting sqref="E104">
    <cfRule type="duplicateValues" dxfId="161" priority="126"/>
  </conditionalFormatting>
  <conditionalFormatting sqref="K104">
    <cfRule type="duplicateValues" dxfId="160" priority="119"/>
    <cfRule type="duplicateValues" dxfId="159" priority="125"/>
  </conditionalFormatting>
  <conditionalFormatting sqref="L104">
    <cfRule type="duplicateValues" dxfId="158" priority="124"/>
  </conditionalFormatting>
  <conditionalFormatting sqref="M104">
    <cfRule type="duplicateValues" dxfId="157" priority="120"/>
    <cfRule type="duplicateValues" dxfId="156" priority="121"/>
    <cfRule type="duplicateValues" dxfId="155" priority="122"/>
    <cfRule type="duplicateValues" dxfId="154" priority="123"/>
  </conditionalFormatting>
  <conditionalFormatting sqref="E105">
    <cfRule type="duplicateValues" dxfId="153" priority="118"/>
  </conditionalFormatting>
  <conditionalFormatting sqref="K105">
    <cfRule type="duplicateValues" dxfId="152" priority="117"/>
  </conditionalFormatting>
  <conditionalFormatting sqref="L105:M105">
    <cfRule type="duplicateValues" dxfId="151" priority="116"/>
  </conditionalFormatting>
  <conditionalFormatting sqref="E106">
    <cfRule type="duplicateValues" dxfId="150" priority="115"/>
  </conditionalFormatting>
  <conditionalFormatting sqref="K106">
    <cfRule type="duplicateValues" dxfId="149" priority="114"/>
  </conditionalFormatting>
  <conditionalFormatting sqref="L106:M106">
    <cfRule type="duplicateValues" dxfId="148" priority="113"/>
  </conditionalFormatting>
  <conditionalFormatting sqref="E107">
    <cfRule type="duplicateValues" dxfId="147" priority="112"/>
  </conditionalFormatting>
  <conditionalFormatting sqref="K107">
    <cfRule type="duplicateValues" dxfId="146" priority="105"/>
    <cfRule type="duplicateValues" dxfId="145" priority="111"/>
  </conditionalFormatting>
  <conditionalFormatting sqref="L107">
    <cfRule type="duplicateValues" dxfId="144" priority="110"/>
  </conditionalFormatting>
  <conditionalFormatting sqref="M107">
    <cfRule type="duplicateValues" dxfId="143" priority="106"/>
    <cfRule type="duplicateValues" dxfId="142" priority="107"/>
    <cfRule type="duplicateValues" dxfId="141" priority="108"/>
    <cfRule type="duplicateValues" dxfId="140" priority="109"/>
  </conditionalFormatting>
  <conditionalFormatting sqref="E108">
    <cfRule type="duplicateValues" dxfId="139" priority="104"/>
  </conditionalFormatting>
  <conditionalFormatting sqref="K108">
    <cfRule type="duplicateValues" dxfId="138" priority="97"/>
    <cfRule type="duplicateValues" dxfId="137" priority="103"/>
  </conditionalFormatting>
  <conditionalFormatting sqref="L108">
    <cfRule type="duplicateValues" dxfId="136" priority="102"/>
  </conditionalFormatting>
  <conditionalFormatting sqref="M108">
    <cfRule type="duplicateValues" dxfId="135" priority="98"/>
    <cfRule type="duplicateValues" dxfId="134" priority="99"/>
    <cfRule type="duplicateValues" dxfId="133" priority="100"/>
    <cfRule type="duplicateValues" dxfId="132" priority="101"/>
  </conditionalFormatting>
  <conditionalFormatting sqref="K112">
    <cfRule type="duplicateValues" dxfId="131" priority="94"/>
  </conditionalFormatting>
  <conditionalFormatting sqref="K113">
    <cfRule type="duplicateValues" dxfId="130" priority="96"/>
  </conditionalFormatting>
  <conditionalFormatting sqref="L112">
    <cfRule type="duplicateValues" dxfId="129" priority="95"/>
  </conditionalFormatting>
  <conditionalFormatting sqref="L113">
    <cfRule type="duplicateValues" dxfId="128" priority="93"/>
  </conditionalFormatting>
  <conditionalFormatting sqref="N114">
    <cfRule type="duplicateValues" dxfId="127" priority="92"/>
  </conditionalFormatting>
  <conditionalFormatting sqref="M115">
    <cfRule type="duplicateValues" dxfId="126" priority="90"/>
  </conditionalFormatting>
  <conditionalFormatting sqref="N115">
    <cfRule type="duplicateValues" dxfId="125" priority="91"/>
  </conditionalFormatting>
  <conditionalFormatting sqref="E111">
    <cfRule type="duplicateValues" dxfId="124" priority="82"/>
  </conditionalFormatting>
  <conditionalFormatting sqref="K111">
    <cfRule type="duplicateValues" dxfId="123" priority="76"/>
  </conditionalFormatting>
  <conditionalFormatting sqref="L111">
    <cfRule type="duplicateValues" dxfId="122" priority="81"/>
  </conditionalFormatting>
  <conditionalFormatting sqref="M111">
    <cfRule type="duplicateValues" dxfId="121" priority="77"/>
    <cfRule type="duplicateValues" dxfId="120" priority="78"/>
    <cfRule type="duplicateValues" dxfId="119" priority="79"/>
    <cfRule type="duplicateValues" dxfId="118" priority="80"/>
  </conditionalFormatting>
  <conditionalFormatting sqref="E110">
    <cfRule type="duplicateValues" dxfId="117" priority="83"/>
  </conditionalFormatting>
  <conditionalFormatting sqref="K110">
    <cfRule type="duplicateValues" dxfId="116" priority="84"/>
  </conditionalFormatting>
  <conditionalFormatting sqref="L110">
    <cfRule type="duplicateValues" dxfId="115" priority="85"/>
  </conditionalFormatting>
  <conditionalFormatting sqref="M110">
    <cfRule type="duplicateValues" dxfId="114" priority="86"/>
    <cfRule type="duplicateValues" dxfId="113" priority="87"/>
    <cfRule type="duplicateValues" dxfId="112" priority="88"/>
    <cfRule type="duplicateValues" dxfId="111" priority="89"/>
  </conditionalFormatting>
  <conditionalFormatting sqref="M116">
    <cfRule type="duplicateValues" dxfId="110" priority="73"/>
    <cfRule type="duplicateValues" dxfId="109" priority="75"/>
  </conditionalFormatting>
  <conditionalFormatting sqref="N116">
    <cfRule type="duplicateValues" dxfId="108" priority="74"/>
  </conditionalFormatting>
  <conditionalFormatting sqref="M117">
    <cfRule type="duplicateValues" dxfId="107" priority="71"/>
  </conditionalFormatting>
  <conditionalFormatting sqref="M118">
    <cfRule type="duplicateValues" dxfId="106" priority="72"/>
  </conditionalFormatting>
  <conditionalFormatting sqref="N118">
    <cfRule type="duplicateValues" dxfId="105" priority="70"/>
  </conditionalFormatting>
  <conditionalFormatting sqref="N117">
    <cfRule type="duplicateValues" dxfId="104" priority="69"/>
  </conditionalFormatting>
  <conditionalFormatting sqref="M119">
    <cfRule type="duplicateValues" dxfId="103" priority="66"/>
  </conditionalFormatting>
  <conditionalFormatting sqref="M120">
    <cfRule type="duplicateValues" dxfId="102" priority="68"/>
  </conditionalFormatting>
  <conditionalFormatting sqref="N119">
    <cfRule type="duplicateValues" dxfId="101" priority="67"/>
  </conditionalFormatting>
  <conditionalFormatting sqref="N120">
    <cfRule type="duplicateValues" dxfId="100" priority="65"/>
  </conditionalFormatting>
  <conditionalFormatting sqref="E124">
    <cfRule type="duplicateValues" dxfId="99" priority="63"/>
  </conditionalFormatting>
  <conditionalFormatting sqref="K124">
    <cfRule type="duplicateValues" dxfId="98" priority="62"/>
  </conditionalFormatting>
  <conditionalFormatting sqref="L124:M124">
    <cfRule type="duplicateValues" dxfId="97" priority="61"/>
  </conditionalFormatting>
  <conditionalFormatting sqref="K124">
    <cfRule type="duplicateValues" dxfId="96" priority="64"/>
  </conditionalFormatting>
  <conditionalFormatting sqref="F126">
    <cfRule type="duplicateValues" dxfId="95" priority="60"/>
  </conditionalFormatting>
  <conditionalFormatting sqref="L126">
    <cfRule type="duplicateValues" dxfId="94" priority="53"/>
    <cfRule type="duplicateValues" dxfId="93" priority="59"/>
  </conditionalFormatting>
  <conditionalFormatting sqref="M126">
    <cfRule type="duplicateValues" dxfId="92" priority="58"/>
  </conditionalFormatting>
  <conditionalFormatting sqref="N126">
    <cfRule type="duplicateValues" dxfId="91" priority="54"/>
    <cfRule type="duplicateValues" dxfId="90" priority="55"/>
    <cfRule type="duplicateValues" dxfId="89" priority="56"/>
    <cfRule type="duplicateValues" dxfId="88" priority="57"/>
  </conditionalFormatting>
  <conditionalFormatting sqref="M127">
    <cfRule type="duplicateValues" dxfId="87" priority="49"/>
  </conditionalFormatting>
  <conditionalFormatting sqref="N127">
    <cfRule type="duplicateValues" dxfId="86" priority="45"/>
    <cfRule type="duplicateValues" dxfId="85" priority="46"/>
    <cfRule type="duplicateValues" dxfId="84" priority="47"/>
    <cfRule type="duplicateValues" dxfId="83" priority="48"/>
  </conditionalFormatting>
  <conditionalFormatting sqref="F127">
    <cfRule type="duplicateValues" dxfId="82" priority="50"/>
  </conditionalFormatting>
  <conditionalFormatting sqref="L127">
    <cfRule type="duplicateValues" dxfId="81" priority="51"/>
    <cfRule type="duplicateValues" dxfId="80" priority="52"/>
  </conditionalFormatting>
  <conditionalFormatting sqref="E72">
    <cfRule type="duplicateValues" dxfId="79" priority="4276"/>
    <cfRule type="duplicateValues" dxfId="78" priority="4277"/>
  </conditionalFormatting>
  <conditionalFormatting sqref="K72">
    <cfRule type="duplicateValues" dxfId="77" priority="4278"/>
    <cfRule type="duplicateValues" dxfId="76" priority="4279"/>
  </conditionalFormatting>
  <conditionalFormatting sqref="K72">
    <cfRule type="duplicateValues" dxfId="75" priority="4280"/>
  </conditionalFormatting>
  <conditionalFormatting sqref="L72">
    <cfRule type="duplicateValues" dxfId="74" priority="4281"/>
  </conditionalFormatting>
  <conditionalFormatting sqref="M72:N72">
    <cfRule type="duplicateValues" dxfId="73" priority="4282"/>
    <cfRule type="duplicateValues" dxfId="72" priority="4283"/>
    <cfRule type="duplicateValues" dxfId="71" priority="4284"/>
    <cfRule type="duplicateValues" dxfId="70" priority="4285"/>
    <cfRule type="duplicateValues" dxfId="69" priority="4286"/>
  </conditionalFormatting>
  <conditionalFormatting sqref="N128">
    <cfRule type="duplicateValues" dxfId="68" priority="42"/>
    <cfRule type="duplicateValues" dxfId="67" priority="44"/>
  </conditionalFormatting>
  <conditionalFormatting sqref="O128">
    <cfRule type="duplicateValues" dxfId="66" priority="43"/>
  </conditionalFormatting>
  <conditionalFormatting sqref="E129">
    <cfRule type="duplicateValues" dxfId="65" priority="36"/>
  </conditionalFormatting>
  <conditionalFormatting sqref="K129">
    <cfRule type="duplicateValues" dxfId="64" priority="35"/>
  </conditionalFormatting>
  <conditionalFormatting sqref="L129">
    <cfRule type="duplicateValues" dxfId="63" priority="37"/>
  </conditionalFormatting>
  <conditionalFormatting sqref="M129">
    <cfRule type="duplicateValues" dxfId="62" priority="38"/>
    <cfRule type="duplicateValues" dxfId="61" priority="39"/>
    <cfRule type="duplicateValues" dxfId="60" priority="40"/>
    <cfRule type="duplicateValues" dxfId="59" priority="41"/>
  </conditionalFormatting>
  <conditionalFormatting sqref="E130">
    <cfRule type="duplicateValues" dxfId="58" priority="28"/>
  </conditionalFormatting>
  <conditionalFormatting sqref="K130">
    <cfRule type="duplicateValues" dxfId="57" priority="27"/>
    <cfRule type="duplicateValues" dxfId="56" priority="34"/>
  </conditionalFormatting>
  <conditionalFormatting sqref="L130">
    <cfRule type="duplicateValues" dxfId="55" priority="33"/>
  </conditionalFormatting>
  <conditionalFormatting sqref="M130">
    <cfRule type="duplicateValues" dxfId="54" priority="29"/>
    <cfRule type="duplicateValues" dxfId="53" priority="30"/>
    <cfRule type="duplicateValues" dxfId="52" priority="31"/>
    <cfRule type="duplicateValues" dxfId="51" priority="32"/>
  </conditionalFormatting>
  <conditionalFormatting sqref="E134">
    <cfRule type="duplicateValues" dxfId="50" priority="19"/>
  </conditionalFormatting>
  <conditionalFormatting sqref="K134">
    <cfRule type="duplicateValues" dxfId="49" priority="26"/>
  </conditionalFormatting>
  <conditionalFormatting sqref="K134">
    <cfRule type="duplicateValues" dxfId="48" priority="20"/>
  </conditionalFormatting>
  <conditionalFormatting sqref="M134:N134">
    <cfRule type="duplicateValues" dxfId="47" priority="22"/>
    <cfRule type="duplicateValues" dxfId="46" priority="23"/>
    <cfRule type="duplicateValues" dxfId="45" priority="24"/>
    <cfRule type="duplicateValues" dxfId="44" priority="25"/>
  </conditionalFormatting>
  <conditionalFormatting sqref="L134">
    <cfRule type="duplicateValues" dxfId="43" priority="21"/>
  </conditionalFormatting>
  <conditionalFormatting sqref="E131">
    <cfRule type="duplicateValues" dxfId="42" priority="16"/>
  </conditionalFormatting>
  <conditionalFormatting sqref="K131">
    <cfRule type="duplicateValues" dxfId="41" priority="18"/>
  </conditionalFormatting>
  <conditionalFormatting sqref="K131">
    <cfRule type="duplicateValues" dxfId="40" priority="17"/>
  </conditionalFormatting>
  <conditionalFormatting sqref="L131:M131">
    <cfRule type="duplicateValues" dxfId="39" priority="15"/>
  </conditionalFormatting>
  <conditionalFormatting sqref="E132">
    <cfRule type="duplicateValues" dxfId="38" priority="8"/>
  </conditionalFormatting>
  <conditionalFormatting sqref="M132"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K132">
    <cfRule type="duplicateValues" dxfId="33" priority="13"/>
    <cfRule type="duplicateValues" dxfId="32" priority="14"/>
  </conditionalFormatting>
  <conditionalFormatting sqref="E133">
    <cfRule type="duplicateValues" dxfId="31" priority="7"/>
  </conditionalFormatting>
  <conditionalFormatting sqref="K133">
    <cfRule type="duplicateValues" dxfId="30" priority="1"/>
  </conditionalFormatting>
  <conditionalFormatting sqref="L133">
    <cfRule type="duplicateValues" dxfId="29" priority="6"/>
  </conditionalFormatting>
  <conditionalFormatting sqref="M133">
    <cfRule type="duplicateValues" dxfId="28" priority="2"/>
    <cfRule type="duplicateValues" dxfId="27" priority="3"/>
    <cfRule type="duplicateValues" dxfId="26" priority="4"/>
    <cfRule type="duplicateValues" dxfId="25" priority="5"/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0"/>
  <sheetViews>
    <sheetView topLeftCell="G179" workbookViewId="0">
      <selection activeCell="H199" sqref="H199"/>
    </sheetView>
  </sheetViews>
  <sheetFormatPr defaultRowHeight="12.75"/>
  <cols>
    <col min="1" max="1" width="10.140625" style="581" customWidth="1"/>
    <col min="2" max="2" width="26.140625" style="581" customWidth="1"/>
    <col min="3" max="3" width="16.140625" style="581" customWidth="1"/>
    <col min="4" max="4" width="7.140625" style="581" customWidth="1"/>
    <col min="5" max="5" width="22.140625" style="581" customWidth="1"/>
    <col min="6" max="6" width="7" style="581" customWidth="1"/>
    <col min="7" max="8" width="15.140625" style="581" customWidth="1"/>
    <col min="9" max="9" width="22.140625" style="581" customWidth="1"/>
    <col min="10" max="10" width="28.42578125" style="581" customWidth="1"/>
    <col min="11" max="11" width="23.28515625" style="581" customWidth="1"/>
    <col min="12" max="12" width="33.42578125" style="581" customWidth="1"/>
    <col min="13" max="13" width="11" style="581" customWidth="1"/>
    <col min="14" max="14" width="6.140625" style="581" customWidth="1"/>
    <col min="15" max="15" width="9.140625" style="581" customWidth="1"/>
    <col min="16" max="16" width="12" style="581" customWidth="1"/>
    <col min="17" max="17" width="10.140625" style="581" customWidth="1"/>
    <col min="18" max="18" width="8.140625" style="581" customWidth="1"/>
    <col min="19" max="19" width="7" style="581" customWidth="1"/>
    <col min="20" max="20" width="11" style="581" customWidth="1"/>
    <col min="21" max="21" width="11.140625" style="581" customWidth="1"/>
    <col min="22" max="22" width="12.140625" style="581" customWidth="1"/>
    <col min="23" max="23" width="30.28515625" style="581" customWidth="1"/>
    <col min="24" max="24" width="10.140625" style="581" customWidth="1"/>
    <col min="25" max="25" width="11" style="581" customWidth="1"/>
    <col min="26" max="26" width="14.140625" style="581" customWidth="1"/>
    <col min="27" max="27" width="12.140625" style="581" customWidth="1"/>
    <col min="28" max="28" width="13.140625" style="581" customWidth="1"/>
    <col min="29" max="29" width="15.140625" style="581" customWidth="1"/>
    <col min="30" max="30" width="6.140625" style="581" customWidth="1"/>
    <col min="31" max="31" width="6" style="581" customWidth="1"/>
    <col min="32" max="32" width="15.140625" style="581" customWidth="1"/>
    <col min="33" max="33" width="16.140625" style="581" customWidth="1"/>
    <col min="34" max="34" width="15.140625" style="581" customWidth="1"/>
    <col min="35" max="35" width="14.140625" style="581" customWidth="1"/>
    <col min="36" max="36" width="6.140625" style="581" customWidth="1"/>
    <col min="37" max="37" width="6" style="581" customWidth="1"/>
    <col min="38" max="38" width="40.42578125" style="581" customWidth="1"/>
    <col min="39" max="39" width="14.140625" style="581" customWidth="1"/>
    <col min="40" max="42" width="9.140625" style="581" customWidth="1"/>
    <col min="43" max="43" width="13.140625" style="581" customWidth="1"/>
    <col min="44" max="44" width="17.140625" style="581" customWidth="1"/>
    <col min="45" max="45" width="14.140625" style="581" customWidth="1"/>
    <col min="46" max="46" width="5" style="581" customWidth="1"/>
    <col min="47" max="16384" width="9.140625" style="581"/>
  </cols>
  <sheetData>
    <row r="1" spans="1:46" ht="52.5" customHeight="1">
      <c r="A1" s="1943"/>
      <c r="B1" s="1945" t="s">
        <v>12146</v>
      </c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946"/>
      <c r="Q1" s="1946"/>
      <c r="R1" s="1946"/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6"/>
      <c r="AJ1" s="1946"/>
      <c r="AK1" s="1946"/>
      <c r="AL1" s="1946"/>
      <c r="AM1" s="1946"/>
      <c r="AN1" s="1946"/>
      <c r="AO1" s="1946"/>
      <c r="AP1" s="1946"/>
      <c r="AQ1" s="1946"/>
      <c r="AR1" s="1946"/>
      <c r="AS1" s="1946"/>
      <c r="AT1" s="1945"/>
    </row>
    <row r="2" spans="1:46" ht="17.100000000000001" customHeight="1">
      <c r="A2" s="1944"/>
      <c r="B2" s="1947" t="s">
        <v>12147</v>
      </c>
      <c r="C2" s="1948"/>
      <c r="D2" s="1948"/>
      <c r="E2" s="1948"/>
      <c r="F2" s="1948"/>
      <c r="G2" s="1948"/>
      <c r="H2" s="1948"/>
      <c r="I2" s="1948"/>
      <c r="J2" s="1948"/>
      <c r="K2" s="1948"/>
      <c r="L2" s="1948"/>
      <c r="M2" s="1948"/>
      <c r="N2" s="1948"/>
      <c r="O2" s="1948"/>
      <c r="P2" s="1948"/>
      <c r="Q2" s="1948"/>
      <c r="R2" s="1948"/>
      <c r="S2" s="1948"/>
      <c r="T2" s="1948"/>
      <c r="U2" s="1948"/>
      <c r="V2" s="1948"/>
      <c r="W2" s="1948"/>
      <c r="X2" s="1948"/>
      <c r="Y2" s="1948"/>
      <c r="Z2" s="1948"/>
      <c r="AA2" s="1948"/>
      <c r="AB2" s="1948"/>
      <c r="AC2" s="1948"/>
      <c r="AD2" s="1948"/>
      <c r="AE2" s="1948"/>
      <c r="AF2" s="1948"/>
      <c r="AG2" s="1948"/>
      <c r="AH2" s="1948"/>
      <c r="AI2" s="1948"/>
      <c r="AJ2" s="1948"/>
      <c r="AK2" s="1948"/>
      <c r="AL2" s="1948"/>
      <c r="AM2" s="1948"/>
      <c r="AN2" s="1948"/>
      <c r="AO2" s="1948"/>
      <c r="AP2" s="1948"/>
      <c r="AQ2" s="1948"/>
      <c r="AR2" s="1948"/>
      <c r="AS2" s="1948"/>
      <c r="AT2" s="1947"/>
    </row>
    <row r="3" spans="1:46" ht="29.65" customHeight="1">
      <c r="A3" s="582" t="s">
        <v>12148</v>
      </c>
      <c r="B3" s="583" t="s">
        <v>12149</v>
      </c>
      <c r="C3" s="584" t="s">
        <v>12150</v>
      </c>
      <c r="D3" s="582" t="s">
        <v>12151</v>
      </c>
      <c r="E3" s="585" t="s">
        <v>7759</v>
      </c>
      <c r="F3" s="582" t="s">
        <v>12152</v>
      </c>
      <c r="G3" s="586" t="s">
        <v>12153</v>
      </c>
      <c r="H3" s="587" t="s">
        <v>12154</v>
      </c>
      <c r="I3" s="585" t="s">
        <v>12155</v>
      </c>
      <c r="J3" s="585" t="s">
        <v>12156</v>
      </c>
      <c r="K3" s="588" t="s">
        <v>12157</v>
      </c>
      <c r="L3" s="583" t="s">
        <v>12158</v>
      </c>
      <c r="M3" s="589" t="s">
        <v>12159</v>
      </c>
      <c r="N3" s="582" t="s">
        <v>12160</v>
      </c>
      <c r="O3" s="590" t="s">
        <v>12161</v>
      </c>
      <c r="P3" s="590" t="s">
        <v>12162</v>
      </c>
      <c r="Q3" s="590" t="s">
        <v>12163</v>
      </c>
      <c r="R3" s="590" t="s">
        <v>12164</v>
      </c>
      <c r="S3" s="591" t="s">
        <v>12165</v>
      </c>
      <c r="T3" s="587" t="s">
        <v>12166</v>
      </c>
      <c r="U3" s="590" t="s">
        <v>12167</v>
      </c>
      <c r="V3" s="590" t="s">
        <v>12168</v>
      </c>
      <c r="W3" s="585" t="s">
        <v>12169</v>
      </c>
      <c r="X3" s="586" t="s">
        <v>12170</v>
      </c>
      <c r="Y3" s="590" t="s">
        <v>12171</v>
      </c>
      <c r="Z3" s="590" t="s">
        <v>12172</v>
      </c>
      <c r="AA3" s="590" t="s">
        <v>12173</v>
      </c>
      <c r="AB3" s="590" t="s">
        <v>12174</v>
      </c>
      <c r="AC3" s="586" t="s">
        <v>12175</v>
      </c>
      <c r="AD3" s="590" t="s">
        <v>12176</v>
      </c>
      <c r="AE3" s="592" t="s">
        <v>12177</v>
      </c>
      <c r="AF3" s="586" t="s">
        <v>12178</v>
      </c>
      <c r="AG3" s="585" t="s">
        <v>12179</v>
      </c>
      <c r="AH3" s="585" t="s">
        <v>12180</v>
      </c>
      <c r="AI3" s="584" t="s">
        <v>12181</v>
      </c>
      <c r="AJ3" s="592" t="s">
        <v>12182</v>
      </c>
      <c r="AK3" s="592" t="s">
        <v>12183</v>
      </c>
      <c r="AL3" s="593" t="s">
        <v>12184</v>
      </c>
      <c r="AM3" s="584" t="s">
        <v>12185</v>
      </c>
      <c r="AN3" s="582" t="s">
        <v>12186</v>
      </c>
      <c r="AO3" s="584" t="s">
        <v>12187</v>
      </c>
      <c r="AP3" s="584" t="s">
        <v>12188</v>
      </c>
      <c r="AQ3" s="594" t="s">
        <v>12189</v>
      </c>
      <c r="AR3" s="583" t="s">
        <v>480</v>
      </c>
      <c r="AS3" s="584" t="s">
        <v>2</v>
      </c>
      <c r="AT3" s="594" t="s">
        <v>12190</v>
      </c>
    </row>
    <row r="4" spans="1:46" ht="22.9" customHeight="1">
      <c r="A4" s="595" t="s">
        <v>12191</v>
      </c>
      <c r="B4" s="596" t="s">
        <v>12192</v>
      </c>
      <c r="C4" s="597" t="s">
        <v>12193</v>
      </c>
      <c r="D4" s="598"/>
      <c r="E4" s="599" t="s">
        <v>12194</v>
      </c>
      <c r="F4" s="600" t="s">
        <v>9735</v>
      </c>
      <c r="G4" s="601" t="s">
        <v>12195</v>
      </c>
      <c r="H4" s="601" t="s">
        <v>12195</v>
      </c>
      <c r="I4" s="596" t="s">
        <v>12196</v>
      </c>
      <c r="J4" s="596" t="s">
        <v>335</v>
      </c>
      <c r="K4" s="599" t="s">
        <v>12197</v>
      </c>
      <c r="L4" s="599" t="s">
        <v>12198</v>
      </c>
      <c r="M4" s="602" t="s">
        <v>12199</v>
      </c>
      <c r="N4" s="603" t="s">
        <v>7673</v>
      </c>
      <c r="O4" s="599">
        <v>5120</v>
      </c>
      <c r="P4" s="604">
        <v>0</v>
      </c>
      <c r="Q4" s="604">
        <v>0</v>
      </c>
      <c r="R4" s="605">
        <v>20000</v>
      </c>
      <c r="S4" s="604">
        <v>0</v>
      </c>
      <c r="T4" s="604">
        <v>0</v>
      </c>
      <c r="U4" s="604">
        <v>25200000</v>
      </c>
      <c r="V4" s="605">
        <v>12620000</v>
      </c>
      <c r="W4" s="596"/>
      <c r="X4" s="604">
        <v>0</v>
      </c>
      <c r="Y4" s="604">
        <v>1262000</v>
      </c>
      <c r="Z4" s="604">
        <v>13882000</v>
      </c>
      <c r="AA4" s="604">
        <v>27764460</v>
      </c>
      <c r="AB4" s="604">
        <v>0</v>
      </c>
      <c r="AC4" s="606">
        <v>41646000</v>
      </c>
      <c r="AD4" s="604">
        <v>460</v>
      </c>
      <c r="AE4" s="603">
        <v>2</v>
      </c>
      <c r="AF4" s="607">
        <v>13882460.666666627</v>
      </c>
      <c r="AG4" s="608" t="s">
        <v>12200</v>
      </c>
      <c r="AH4" s="608" t="s">
        <v>12201</v>
      </c>
      <c r="AI4" s="603" t="s">
        <v>12195</v>
      </c>
      <c r="AJ4" s="603" t="s">
        <v>12202</v>
      </c>
      <c r="AK4" s="603" t="s">
        <v>12203</v>
      </c>
      <c r="AL4" s="599" t="s">
        <v>12204</v>
      </c>
      <c r="AM4" s="609" t="s">
        <v>4940</v>
      </c>
      <c r="AN4" s="610" t="s">
        <v>12205</v>
      </c>
      <c r="AO4" s="610" t="s">
        <v>12206</v>
      </c>
      <c r="AP4" s="610" t="s">
        <v>12207</v>
      </c>
      <c r="AQ4" s="609" t="s">
        <v>12208</v>
      </c>
      <c r="AR4" s="599" t="s">
        <v>12209</v>
      </c>
      <c r="AS4" s="603" t="s">
        <v>423</v>
      </c>
      <c r="AT4" s="609" t="s">
        <v>7673</v>
      </c>
    </row>
    <row r="5" spans="1:46" ht="22.15" customHeight="1">
      <c r="A5" s="595" t="s">
        <v>12210</v>
      </c>
      <c r="B5" s="596" t="s">
        <v>12211</v>
      </c>
      <c r="C5" s="597" t="s">
        <v>12212</v>
      </c>
      <c r="D5" s="598"/>
      <c r="E5" s="599" t="s">
        <v>12213</v>
      </c>
      <c r="F5" s="600" t="s">
        <v>9735</v>
      </c>
      <c r="G5" s="601" t="s">
        <v>12079</v>
      </c>
      <c r="H5" s="601" t="s">
        <v>12079</v>
      </c>
      <c r="I5" s="596" t="s">
        <v>12214</v>
      </c>
      <c r="J5" s="596" t="s">
        <v>335</v>
      </c>
      <c r="K5" s="599" t="s">
        <v>12197</v>
      </c>
      <c r="L5" s="599" t="s">
        <v>12198</v>
      </c>
      <c r="M5" s="602" t="s">
        <v>12199</v>
      </c>
      <c r="N5" s="603" t="s">
        <v>7673</v>
      </c>
      <c r="O5" s="599">
        <v>1024</v>
      </c>
      <c r="P5" s="604">
        <v>0</v>
      </c>
      <c r="Q5" s="604">
        <v>0</v>
      </c>
      <c r="R5" s="605">
        <v>20000</v>
      </c>
      <c r="S5" s="604">
        <v>0</v>
      </c>
      <c r="T5" s="604">
        <v>0</v>
      </c>
      <c r="U5" s="604">
        <v>12800000</v>
      </c>
      <c r="V5" s="605">
        <v>6420000</v>
      </c>
      <c r="W5" s="596"/>
      <c r="X5" s="604">
        <v>0</v>
      </c>
      <c r="Y5" s="604">
        <v>642000</v>
      </c>
      <c r="Z5" s="604">
        <v>7062000</v>
      </c>
      <c r="AA5" s="604">
        <v>14124003</v>
      </c>
      <c r="AB5" s="604">
        <v>0</v>
      </c>
      <c r="AC5" s="606">
        <v>21186000</v>
      </c>
      <c r="AD5" s="604">
        <v>3</v>
      </c>
      <c r="AE5" s="603">
        <v>2</v>
      </c>
      <c r="AF5" s="607">
        <v>7062003</v>
      </c>
      <c r="AG5" s="608" t="s">
        <v>12215</v>
      </c>
      <c r="AH5" s="608" t="s">
        <v>12216</v>
      </c>
      <c r="AI5" s="603" t="s">
        <v>12079</v>
      </c>
      <c r="AJ5" s="603" t="s">
        <v>12202</v>
      </c>
      <c r="AK5" s="603" t="s">
        <v>12203</v>
      </c>
      <c r="AL5" s="599" t="s">
        <v>12217</v>
      </c>
      <c r="AM5" s="609" t="s">
        <v>4940</v>
      </c>
      <c r="AN5" s="610" t="s">
        <v>12218</v>
      </c>
      <c r="AO5" s="610" t="s">
        <v>12206</v>
      </c>
      <c r="AP5" s="610" t="s">
        <v>12207</v>
      </c>
      <c r="AQ5" s="609" t="s">
        <v>12219</v>
      </c>
      <c r="AR5" s="599" t="s">
        <v>12220</v>
      </c>
      <c r="AS5" s="603" t="s">
        <v>423</v>
      </c>
      <c r="AT5" s="609" t="s">
        <v>12221</v>
      </c>
    </row>
    <row r="6" spans="1:46" ht="22.9" customHeight="1">
      <c r="A6" s="595" t="s">
        <v>12222</v>
      </c>
      <c r="B6" s="596" t="s">
        <v>12211</v>
      </c>
      <c r="C6" s="597" t="s">
        <v>12212</v>
      </c>
      <c r="D6" s="598"/>
      <c r="E6" s="599" t="s">
        <v>12223</v>
      </c>
      <c r="F6" s="600" t="s">
        <v>9735</v>
      </c>
      <c r="G6" s="601" t="s">
        <v>12224</v>
      </c>
      <c r="H6" s="601" t="s">
        <v>12224</v>
      </c>
      <c r="I6" s="596" t="s">
        <v>12225</v>
      </c>
      <c r="J6" s="596" t="s">
        <v>335</v>
      </c>
      <c r="K6" s="599" t="s">
        <v>12197</v>
      </c>
      <c r="L6" s="599" t="s">
        <v>12198</v>
      </c>
      <c r="M6" s="602" t="s">
        <v>12199</v>
      </c>
      <c r="N6" s="603" t="s">
        <v>7673</v>
      </c>
      <c r="O6" s="599">
        <v>512</v>
      </c>
      <c r="P6" s="604">
        <v>0</v>
      </c>
      <c r="Q6" s="604">
        <v>0</v>
      </c>
      <c r="R6" s="605">
        <v>20000</v>
      </c>
      <c r="S6" s="604">
        <v>0</v>
      </c>
      <c r="T6" s="604">
        <v>0</v>
      </c>
      <c r="U6" s="604">
        <v>4480000</v>
      </c>
      <c r="V6" s="605">
        <v>2260000</v>
      </c>
      <c r="W6" s="596"/>
      <c r="X6" s="604">
        <v>0</v>
      </c>
      <c r="Y6" s="604">
        <v>226000</v>
      </c>
      <c r="Z6" s="604">
        <v>2486000</v>
      </c>
      <c r="AA6" s="604">
        <v>4972057</v>
      </c>
      <c r="AB6" s="604">
        <v>0</v>
      </c>
      <c r="AC6" s="606">
        <v>7458000</v>
      </c>
      <c r="AD6" s="604">
        <v>57</v>
      </c>
      <c r="AE6" s="603">
        <v>2</v>
      </c>
      <c r="AF6" s="607">
        <v>2486057</v>
      </c>
      <c r="AG6" s="608" t="s">
        <v>12226</v>
      </c>
      <c r="AH6" s="608" t="s">
        <v>12227</v>
      </c>
      <c r="AI6" s="603" t="s">
        <v>12224</v>
      </c>
      <c r="AJ6" s="603" t="s">
        <v>12202</v>
      </c>
      <c r="AK6" s="603" t="s">
        <v>12203</v>
      </c>
      <c r="AL6" s="599" t="s">
        <v>12228</v>
      </c>
      <c r="AM6" s="609" t="s">
        <v>12229</v>
      </c>
      <c r="AN6" s="610" t="s">
        <v>12230</v>
      </c>
      <c r="AO6" s="610" t="s">
        <v>12206</v>
      </c>
      <c r="AP6" s="610" t="s">
        <v>12207</v>
      </c>
      <c r="AQ6" s="609" t="s">
        <v>12231</v>
      </c>
      <c r="AR6" s="599" t="s">
        <v>12232</v>
      </c>
      <c r="AS6" s="603" t="s">
        <v>423</v>
      </c>
      <c r="AT6" s="609" t="s">
        <v>12233</v>
      </c>
    </row>
    <row r="7" spans="1:46" ht="17.850000000000001" customHeight="1">
      <c r="A7" s="595" t="s">
        <v>12234</v>
      </c>
      <c r="B7" s="596" t="s">
        <v>12211</v>
      </c>
      <c r="C7" s="597" t="s">
        <v>12212</v>
      </c>
      <c r="D7" s="598"/>
      <c r="E7" s="599" t="s">
        <v>12235</v>
      </c>
      <c r="F7" s="600" t="s">
        <v>9735</v>
      </c>
      <c r="G7" s="601" t="s">
        <v>12236</v>
      </c>
      <c r="H7" s="601" t="s">
        <v>12236</v>
      </c>
      <c r="I7" s="596" t="s">
        <v>12214</v>
      </c>
      <c r="J7" s="596" t="s">
        <v>335</v>
      </c>
      <c r="K7" s="599" t="s">
        <v>12197</v>
      </c>
      <c r="L7" s="599" t="s">
        <v>12198</v>
      </c>
      <c r="M7" s="602" t="s">
        <v>12199</v>
      </c>
      <c r="N7" s="603" t="s">
        <v>7673</v>
      </c>
      <c r="O7" s="599">
        <v>1024</v>
      </c>
      <c r="P7" s="604">
        <v>0</v>
      </c>
      <c r="Q7" s="604">
        <v>0</v>
      </c>
      <c r="R7" s="605">
        <v>20000</v>
      </c>
      <c r="S7" s="604">
        <v>0</v>
      </c>
      <c r="T7" s="604">
        <v>0</v>
      </c>
      <c r="U7" s="604">
        <v>8960000</v>
      </c>
      <c r="V7" s="605">
        <v>4500000</v>
      </c>
      <c r="W7" s="596"/>
      <c r="X7" s="604">
        <v>0</v>
      </c>
      <c r="Y7" s="604">
        <v>450000</v>
      </c>
      <c r="Z7" s="604">
        <v>4950000</v>
      </c>
      <c r="AA7" s="604">
        <v>9900736</v>
      </c>
      <c r="AB7" s="604">
        <v>0</v>
      </c>
      <c r="AC7" s="606">
        <v>14850000</v>
      </c>
      <c r="AD7" s="604">
        <v>736</v>
      </c>
      <c r="AE7" s="603">
        <v>2</v>
      </c>
      <c r="AF7" s="607">
        <v>4950736</v>
      </c>
      <c r="AG7" s="608" t="s">
        <v>12237</v>
      </c>
      <c r="AH7" s="608" t="s">
        <v>12238</v>
      </c>
      <c r="AI7" s="603" t="s">
        <v>12236</v>
      </c>
      <c r="AJ7" s="603" t="s">
        <v>12202</v>
      </c>
      <c r="AK7" s="603" t="s">
        <v>12203</v>
      </c>
      <c r="AL7" s="599"/>
      <c r="AM7" s="609" t="s">
        <v>12229</v>
      </c>
      <c r="AN7" s="610" t="s">
        <v>12239</v>
      </c>
      <c r="AO7" s="610" t="s">
        <v>12206</v>
      </c>
      <c r="AP7" s="610" t="s">
        <v>12207</v>
      </c>
      <c r="AQ7" s="609" t="s">
        <v>12240</v>
      </c>
      <c r="AR7" s="599" t="s">
        <v>12241</v>
      </c>
      <c r="AS7" s="603" t="s">
        <v>423</v>
      </c>
      <c r="AT7" s="609" t="s">
        <v>12242</v>
      </c>
    </row>
    <row r="8" spans="1:46" ht="22.15" customHeight="1">
      <c r="A8" s="595" t="s">
        <v>12243</v>
      </c>
      <c r="B8" s="596" t="s">
        <v>12211</v>
      </c>
      <c r="C8" s="597" t="s">
        <v>12212</v>
      </c>
      <c r="D8" s="598"/>
      <c r="E8" s="599" t="s">
        <v>12244</v>
      </c>
      <c r="F8" s="600" t="s">
        <v>9735</v>
      </c>
      <c r="G8" s="601" t="s">
        <v>12245</v>
      </c>
      <c r="H8" s="601" t="s">
        <v>12245</v>
      </c>
      <c r="I8" s="596" t="s">
        <v>12225</v>
      </c>
      <c r="J8" s="596" t="s">
        <v>335</v>
      </c>
      <c r="K8" s="599" t="s">
        <v>12197</v>
      </c>
      <c r="L8" s="599" t="s">
        <v>12198</v>
      </c>
      <c r="M8" s="602" t="s">
        <v>12199</v>
      </c>
      <c r="N8" s="603" t="s">
        <v>7673</v>
      </c>
      <c r="O8" s="599">
        <v>512</v>
      </c>
      <c r="P8" s="604">
        <v>0</v>
      </c>
      <c r="Q8" s="604">
        <v>0</v>
      </c>
      <c r="R8" s="605">
        <v>20000</v>
      </c>
      <c r="S8" s="604">
        <v>0</v>
      </c>
      <c r="T8" s="604">
        <v>0</v>
      </c>
      <c r="U8" s="604">
        <v>4480000</v>
      </c>
      <c r="V8" s="605">
        <v>2260000</v>
      </c>
      <c r="W8" s="596"/>
      <c r="X8" s="604">
        <v>0</v>
      </c>
      <c r="Y8" s="604">
        <v>226000</v>
      </c>
      <c r="Z8" s="604">
        <v>2486000</v>
      </c>
      <c r="AA8" s="604">
        <v>4972960</v>
      </c>
      <c r="AB8" s="604">
        <v>0</v>
      </c>
      <c r="AC8" s="606">
        <v>7458000</v>
      </c>
      <c r="AD8" s="604">
        <v>960</v>
      </c>
      <c r="AE8" s="603">
        <v>2</v>
      </c>
      <c r="AF8" s="607">
        <v>2486960</v>
      </c>
      <c r="AG8" s="608" t="s">
        <v>12246</v>
      </c>
      <c r="AH8" s="608" t="s">
        <v>12247</v>
      </c>
      <c r="AI8" s="603" t="s">
        <v>12245</v>
      </c>
      <c r="AJ8" s="603" t="s">
        <v>12202</v>
      </c>
      <c r="AK8" s="603" t="s">
        <v>12203</v>
      </c>
      <c r="AL8" s="599" t="s">
        <v>12248</v>
      </c>
      <c r="AM8" s="609" t="s">
        <v>4940</v>
      </c>
      <c r="AN8" s="610" t="s">
        <v>12249</v>
      </c>
      <c r="AO8" s="610" t="s">
        <v>12206</v>
      </c>
      <c r="AP8" s="610" t="s">
        <v>12207</v>
      </c>
      <c r="AQ8" s="609" t="s">
        <v>12250</v>
      </c>
      <c r="AR8" s="599" t="s">
        <v>12251</v>
      </c>
      <c r="AS8" s="603" t="s">
        <v>423</v>
      </c>
      <c r="AT8" s="609" t="s">
        <v>12252</v>
      </c>
    </row>
    <row r="9" spans="1:46" ht="17.850000000000001" customHeight="1">
      <c r="A9" s="595" t="s">
        <v>12253</v>
      </c>
      <c r="B9" s="596" t="s">
        <v>12211</v>
      </c>
      <c r="C9" s="597" t="s">
        <v>12212</v>
      </c>
      <c r="D9" s="598"/>
      <c r="E9" s="599" t="s">
        <v>12254</v>
      </c>
      <c r="F9" s="600" t="s">
        <v>9735</v>
      </c>
      <c r="G9" s="601" t="s">
        <v>565</v>
      </c>
      <c r="H9" s="601" t="s">
        <v>565</v>
      </c>
      <c r="I9" s="596" t="s">
        <v>12255</v>
      </c>
      <c r="J9" s="596" t="s">
        <v>335</v>
      </c>
      <c r="K9" s="599" t="s">
        <v>12197</v>
      </c>
      <c r="L9" s="599" t="s">
        <v>12198</v>
      </c>
      <c r="M9" s="602" t="s">
        <v>12199</v>
      </c>
      <c r="N9" s="603" t="s">
        <v>7673</v>
      </c>
      <c r="O9" s="599">
        <v>2048</v>
      </c>
      <c r="P9" s="604">
        <v>0</v>
      </c>
      <c r="Q9" s="604">
        <v>0</v>
      </c>
      <c r="R9" s="605">
        <v>20000</v>
      </c>
      <c r="S9" s="604">
        <v>0</v>
      </c>
      <c r="T9" s="604">
        <v>0</v>
      </c>
      <c r="U9" s="604">
        <v>15680000</v>
      </c>
      <c r="V9" s="605">
        <v>7860000</v>
      </c>
      <c r="W9" s="596"/>
      <c r="X9" s="604">
        <v>0</v>
      </c>
      <c r="Y9" s="604">
        <v>786000</v>
      </c>
      <c r="Z9" s="604">
        <v>8646000</v>
      </c>
      <c r="AA9" s="604">
        <v>17292638</v>
      </c>
      <c r="AB9" s="604">
        <v>0</v>
      </c>
      <c r="AC9" s="606">
        <v>25938000</v>
      </c>
      <c r="AD9" s="604">
        <v>638</v>
      </c>
      <c r="AE9" s="603">
        <v>2</v>
      </c>
      <c r="AF9" s="607">
        <v>8646638.8800000008</v>
      </c>
      <c r="AG9" s="608" t="s">
        <v>12256</v>
      </c>
      <c r="AH9" s="608" t="s">
        <v>12257</v>
      </c>
      <c r="AI9" s="603" t="s">
        <v>565</v>
      </c>
      <c r="AJ9" s="603" t="s">
        <v>12202</v>
      </c>
      <c r="AK9" s="603" t="s">
        <v>12203</v>
      </c>
      <c r="AL9" s="599" t="s">
        <v>12258</v>
      </c>
      <c r="AM9" s="609" t="s">
        <v>12229</v>
      </c>
      <c r="AN9" s="610" t="s">
        <v>12259</v>
      </c>
      <c r="AO9" s="610" t="s">
        <v>12206</v>
      </c>
      <c r="AP9" s="610" t="s">
        <v>12207</v>
      </c>
      <c r="AQ9" s="609" t="s">
        <v>12260</v>
      </c>
      <c r="AR9" s="599" t="s">
        <v>12261</v>
      </c>
      <c r="AS9" s="603" t="s">
        <v>423</v>
      </c>
      <c r="AT9" s="609" t="s">
        <v>12262</v>
      </c>
    </row>
    <row r="10" spans="1:46" ht="22.9" customHeight="1">
      <c r="A10" s="595" t="s">
        <v>12263</v>
      </c>
      <c r="B10" s="596" t="s">
        <v>12211</v>
      </c>
      <c r="C10" s="597" t="s">
        <v>12212</v>
      </c>
      <c r="D10" s="598"/>
      <c r="E10" s="599" t="s">
        <v>12264</v>
      </c>
      <c r="F10" s="600" t="s">
        <v>9735</v>
      </c>
      <c r="G10" s="601" t="s">
        <v>12265</v>
      </c>
      <c r="H10" s="601" t="s">
        <v>12265</v>
      </c>
      <c r="I10" s="596" t="s">
        <v>12225</v>
      </c>
      <c r="J10" s="596" t="s">
        <v>335</v>
      </c>
      <c r="K10" s="599" t="s">
        <v>12197</v>
      </c>
      <c r="L10" s="599" t="s">
        <v>12198</v>
      </c>
      <c r="M10" s="602" t="s">
        <v>12199</v>
      </c>
      <c r="N10" s="603" t="s">
        <v>7673</v>
      </c>
      <c r="O10" s="599">
        <v>512</v>
      </c>
      <c r="P10" s="604">
        <v>0</v>
      </c>
      <c r="Q10" s="604">
        <v>0</v>
      </c>
      <c r="R10" s="605">
        <v>20000</v>
      </c>
      <c r="S10" s="604">
        <v>0</v>
      </c>
      <c r="T10" s="604">
        <v>0</v>
      </c>
      <c r="U10" s="604">
        <v>4480000</v>
      </c>
      <c r="V10" s="605">
        <v>2260000</v>
      </c>
      <c r="W10" s="596"/>
      <c r="X10" s="604">
        <v>0</v>
      </c>
      <c r="Y10" s="604">
        <v>226000</v>
      </c>
      <c r="Z10" s="604">
        <v>2486000</v>
      </c>
      <c r="AA10" s="604">
        <v>4972835</v>
      </c>
      <c r="AB10" s="604">
        <v>0</v>
      </c>
      <c r="AC10" s="606">
        <v>7458000</v>
      </c>
      <c r="AD10" s="604">
        <v>835</v>
      </c>
      <c r="AE10" s="603">
        <v>2</v>
      </c>
      <c r="AF10" s="607">
        <v>2486835</v>
      </c>
      <c r="AG10" s="608" t="s">
        <v>12266</v>
      </c>
      <c r="AH10" s="608" t="s">
        <v>12267</v>
      </c>
      <c r="AI10" s="603" t="s">
        <v>12265</v>
      </c>
      <c r="AJ10" s="603" t="s">
        <v>12202</v>
      </c>
      <c r="AK10" s="603" t="s">
        <v>12203</v>
      </c>
      <c r="AL10" s="599" t="s">
        <v>12248</v>
      </c>
      <c r="AM10" s="609" t="s">
        <v>4940</v>
      </c>
      <c r="AN10" s="610" t="s">
        <v>8928</v>
      </c>
      <c r="AO10" s="610" t="s">
        <v>12206</v>
      </c>
      <c r="AP10" s="610" t="s">
        <v>12207</v>
      </c>
      <c r="AQ10" s="609" t="s">
        <v>12268</v>
      </c>
      <c r="AR10" s="599" t="s">
        <v>12269</v>
      </c>
      <c r="AS10" s="603" t="s">
        <v>423</v>
      </c>
      <c r="AT10" s="609" t="s">
        <v>12270</v>
      </c>
    </row>
    <row r="11" spans="1:46" ht="22.15" customHeight="1">
      <c r="A11" s="595" t="s">
        <v>12271</v>
      </c>
      <c r="B11" s="596" t="s">
        <v>12211</v>
      </c>
      <c r="C11" s="597" t="s">
        <v>12212</v>
      </c>
      <c r="D11" s="598"/>
      <c r="E11" s="599" t="s">
        <v>12272</v>
      </c>
      <c r="F11" s="600" t="s">
        <v>9735</v>
      </c>
      <c r="G11" s="601" t="s">
        <v>12273</v>
      </c>
      <c r="H11" s="601" t="s">
        <v>12273</v>
      </c>
      <c r="I11" s="596" t="s">
        <v>12225</v>
      </c>
      <c r="J11" s="596" t="s">
        <v>335</v>
      </c>
      <c r="K11" s="599" t="s">
        <v>12197</v>
      </c>
      <c r="L11" s="599" t="s">
        <v>12198</v>
      </c>
      <c r="M11" s="602" t="s">
        <v>12199</v>
      </c>
      <c r="N11" s="603" t="s">
        <v>7673</v>
      </c>
      <c r="O11" s="599">
        <v>512</v>
      </c>
      <c r="P11" s="604">
        <v>0</v>
      </c>
      <c r="Q11" s="604">
        <v>0</v>
      </c>
      <c r="R11" s="605">
        <v>20000</v>
      </c>
      <c r="S11" s="604">
        <v>0</v>
      </c>
      <c r="T11" s="604">
        <v>0</v>
      </c>
      <c r="U11" s="604">
        <v>6400000</v>
      </c>
      <c r="V11" s="605">
        <v>3220000</v>
      </c>
      <c r="W11" s="596"/>
      <c r="X11" s="604">
        <v>0</v>
      </c>
      <c r="Y11" s="604">
        <v>322000</v>
      </c>
      <c r="Z11" s="604">
        <v>3542000</v>
      </c>
      <c r="AA11" s="604">
        <v>7084508</v>
      </c>
      <c r="AB11" s="604">
        <v>0</v>
      </c>
      <c r="AC11" s="606">
        <v>10626000</v>
      </c>
      <c r="AD11" s="604">
        <v>508</v>
      </c>
      <c r="AE11" s="603">
        <v>2</v>
      </c>
      <c r="AF11" s="607">
        <v>3542508</v>
      </c>
      <c r="AG11" s="608" t="s">
        <v>12274</v>
      </c>
      <c r="AH11" s="608" t="s">
        <v>12275</v>
      </c>
      <c r="AI11" s="603" t="s">
        <v>12273</v>
      </c>
      <c r="AJ11" s="603" t="s">
        <v>12202</v>
      </c>
      <c r="AK11" s="603" t="s">
        <v>12203</v>
      </c>
      <c r="AL11" s="599" t="s">
        <v>12276</v>
      </c>
      <c r="AM11" s="609" t="s">
        <v>4940</v>
      </c>
      <c r="AN11" s="610" t="s">
        <v>12277</v>
      </c>
      <c r="AO11" s="610" t="s">
        <v>12206</v>
      </c>
      <c r="AP11" s="610" t="s">
        <v>12207</v>
      </c>
      <c r="AQ11" s="609" t="s">
        <v>12278</v>
      </c>
      <c r="AR11" s="599" t="s">
        <v>12279</v>
      </c>
      <c r="AS11" s="603" t="s">
        <v>423</v>
      </c>
      <c r="AT11" s="609" t="s">
        <v>12280</v>
      </c>
    </row>
    <row r="12" spans="1:46" ht="22.9" customHeight="1">
      <c r="A12" s="595" t="s">
        <v>12281</v>
      </c>
      <c r="B12" s="596" t="s">
        <v>12211</v>
      </c>
      <c r="C12" s="597" t="s">
        <v>12212</v>
      </c>
      <c r="D12" s="598"/>
      <c r="E12" s="599" t="s">
        <v>12282</v>
      </c>
      <c r="F12" s="600" t="s">
        <v>9735</v>
      </c>
      <c r="G12" s="601" t="s">
        <v>12283</v>
      </c>
      <c r="H12" s="601" t="s">
        <v>12283</v>
      </c>
      <c r="I12" s="596" t="s">
        <v>12214</v>
      </c>
      <c r="J12" s="596" t="s">
        <v>335</v>
      </c>
      <c r="K12" s="599" t="s">
        <v>12197</v>
      </c>
      <c r="L12" s="599" t="s">
        <v>12198</v>
      </c>
      <c r="M12" s="602" t="s">
        <v>12199</v>
      </c>
      <c r="N12" s="603" t="s">
        <v>7673</v>
      </c>
      <c r="O12" s="599">
        <v>1024</v>
      </c>
      <c r="P12" s="604">
        <v>0</v>
      </c>
      <c r="Q12" s="604">
        <v>0</v>
      </c>
      <c r="R12" s="605">
        <v>20000</v>
      </c>
      <c r="S12" s="604">
        <v>0</v>
      </c>
      <c r="T12" s="604">
        <v>0</v>
      </c>
      <c r="U12" s="604">
        <v>12800000</v>
      </c>
      <c r="V12" s="605">
        <v>6420000</v>
      </c>
      <c r="W12" s="596"/>
      <c r="X12" s="604">
        <v>0</v>
      </c>
      <c r="Y12" s="604">
        <v>642000</v>
      </c>
      <c r="Z12" s="604">
        <v>7062000</v>
      </c>
      <c r="AA12" s="604">
        <v>14124877</v>
      </c>
      <c r="AB12" s="604">
        <v>0</v>
      </c>
      <c r="AC12" s="606">
        <v>21186000</v>
      </c>
      <c r="AD12" s="604">
        <v>877</v>
      </c>
      <c r="AE12" s="603">
        <v>2</v>
      </c>
      <c r="AF12" s="607">
        <v>7062877.3333333284</v>
      </c>
      <c r="AG12" s="608" t="s">
        <v>12284</v>
      </c>
      <c r="AH12" s="608" t="s">
        <v>12285</v>
      </c>
      <c r="AI12" s="603" t="s">
        <v>12283</v>
      </c>
      <c r="AJ12" s="603" t="s">
        <v>12202</v>
      </c>
      <c r="AK12" s="603" t="s">
        <v>12203</v>
      </c>
      <c r="AL12" s="599" t="s">
        <v>12276</v>
      </c>
      <c r="AM12" s="609" t="s">
        <v>4940</v>
      </c>
      <c r="AN12" s="610" t="s">
        <v>12286</v>
      </c>
      <c r="AO12" s="610" t="s">
        <v>12206</v>
      </c>
      <c r="AP12" s="610" t="s">
        <v>12207</v>
      </c>
      <c r="AQ12" s="609" t="s">
        <v>12287</v>
      </c>
      <c r="AR12" s="599" t="s">
        <v>12288</v>
      </c>
      <c r="AS12" s="603" t="s">
        <v>423</v>
      </c>
      <c r="AT12" s="609" t="s">
        <v>12289</v>
      </c>
    </row>
    <row r="13" spans="1:46" ht="22.9" customHeight="1">
      <c r="A13" s="595" t="s">
        <v>12290</v>
      </c>
      <c r="B13" s="596" t="s">
        <v>12211</v>
      </c>
      <c r="C13" s="597" t="s">
        <v>12212</v>
      </c>
      <c r="D13" s="598"/>
      <c r="E13" s="599" t="s">
        <v>12291</v>
      </c>
      <c r="F13" s="600" t="s">
        <v>9735</v>
      </c>
      <c r="G13" s="601" t="s">
        <v>12292</v>
      </c>
      <c r="H13" s="601" t="s">
        <v>12292</v>
      </c>
      <c r="I13" s="596" t="s">
        <v>12225</v>
      </c>
      <c r="J13" s="596" t="s">
        <v>335</v>
      </c>
      <c r="K13" s="599" t="s">
        <v>12197</v>
      </c>
      <c r="L13" s="599" t="s">
        <v>12198</v>
      </c>
      <c r="M13" s="602" t="s">
        <v>12199</v>
      </c>
      <c r="N13" s="603" t="s">
        <v>7673</v>
      </c>
      <c r="O13" s="599">
        <v>512</v>
      </c>
      <c r="P13" s="604">
        <v>0</v>
      </c>
      <c r="Q13" s="604">
        <v>0</v>
      </c>
      <c r="R13" s="605">
        <v>20000</v>
      </c>
      <c r="S13" s="604">
        <v>0</v>
      </c>
      <c r="T13" s="604">
        <v>0</v>
      </c>
      <c r="U13" s="604">
        <v>4480000</v>
      </c>
      <c r="V13" s="605">
        <v>2260000</v>
      </c>
      <c r="W13" s="596"/>
      <c r="X13" s="604">
        <v>0</v>
      </c>
      <c r="Y13" s="604">
        <v>226000</v>
      </c>
      <c r="Z13" s="604">
        <v>2486000</v>
      </c>
      <c r="AA13" s="604">
        <v>4972733</v>
      </c>
      <c r="AB13" s="604">
        <v>0</v>
      </c>
      <c r="AC13" s="606">
        <v>7458000</v>
      </c>
      <c r="AD13" s="604">
        <v>733</v>
      </c>
      <c r="AE13" s="603">
        <v>2</v>
      </c>
      <c r="AF13" s="607">
        <v>2486733</v>
      </c>
      <c r="AG13" s="608" t="s">
        <v>12293</v>
      </c>
      <c r="AH13" s="608" t="s">
        <v>12294</v>
      </c>
      <c r="AI13" s="603" t="s">
        <v>12292</v>
      </c>
      <c r="AJ13" s="603" t="s">
        <v>12202</v>
      </c>
      <c r="AK13" s="603" t="s">
        <v>12203</v>
      </c>
      <c r="AL13" s="599" t="s">
        <v>12248</v>
      </c>
      <c r="AM13" s="609" t="s">
        <v>4940</v>
      </c>
      <c r="AN13" s="610" t="s">
        <v>12295</v>
      </c>
      <c r="AO13" s="610" t="s">
        <v>12206</v>
      </c>
      <c r="AP13" s="610" t="s">
        <v>12207</v>
      </c>
      <c r="AQ13" s="609" t="s">
        <v>12296</v>
      </c>
      <c r="AR13" s="599" t="s">
        <v>12297</v>
      </c>
      <c r="AS13" s="603" t="s">
        <v>423</v>
      </c>
      <c r="AT13" s="609" t="s">
        <v>12298</v>
      </c>
    </row>
    <row r="14" spans="1:46" ht="22.15" customHeight="1">
      <c r="A14" s="595" t="s">
        <v>12299</v>
      </c>
      <c r="B14" s="596" t="s">
        <v>12211</v>
      </c>
      <c r="C14" s="597" t="s">
        <v>12212</v>
      </c>
      <c r="D14" s="598"/>
      <c r="E14" s="599" t="s">
        <v>12300</v>
      </c>
      <c r="F14" s="600" t="s">
        <v>9735</v>
      </c>
      <c r="G14" s="601" t="s">
        <v>12301</v>
      </c>
      <c r="H14" s="601" t="s">
        <v>12301</v>
      </c>
      <c r="I14" s="596" t="s">
        <v>12225</v>
      </c>
      <c r="J14" s="596" t="s">
        <v>335</v>
      </c>
      <c r="K14" s="599" t="s">
        <v>12197</v>
      </c>
      <c r="L14" s="599" t="s">
        <v>12198</v>
      </c>
      <c r="M14" s="602" t="s">
        <v>12199</v>
      </c>
      <c r="N14" s="603" t="s">
        <v>7673</v>
      </c>
      <c r="O14" s="599">
        <v>512</v>
      </c>
      <c r="P14" s="604">
        <v>0</v>
      </c>
      <c r="Q14" s="604">
        <v>0</v>
      </c>
      <c r="R14" s="605">
        <v>20000</v>
      </c>
      <c r="S14" s="604">
        <v>0</v>
      </c>
      <c r="T14" s="604">
        <v>0</v>
      </c>
      <c r="U14" s="604">
        <v>4480000</v>
      </c>
      <c r="V14" s="605">
        <v>2260000</v>
      </c>
      <c r="W14" s="596"/>
      <c r="X14" s="604">
        <v>0</v>
      </c>
      <c r="Y14" s="604">
        <v>226000</v>
      </c>
      <c r="Z14" s="604">
        <v>2486000</v>
      </c>
      <c r="AA14" s="604">
        <v>4972260</v>
      </c>
      <c r="AB14" s="604">
        <v>0</v>
      </c>
      <c r="AC14" s="606">
        <v>7458000</v>
      </c>
      <c r="AD14" s="604">
        <v>260</v>
      </c>
      <c r="AE14" s="603">
        <v>2</v>
      </c>
      <c r="AF14" s="607">
        <v>2486260</v>
      </c>
      <c r="AG14" s="608" t="s">
        <v>12302</v>
      </c>
      <c r="AH14" s="608" t="s">
        <v>12303</v>
      </c>
      <c r="AI14" s="603" t="s">
        <v>12301</v>
      </c>
      <c r="AJ14" s="603" t="s">
        <v>12202</v>
      </c>
      <c r="AK14" s="603" t="s">
        <v>12203</v>
      </c>
      <c r="AL14" s="599" t="s">
        <v>12248</v>
      </c>
      <c r="AM14" s="609" t="s">
        <v>4940</v>
      </c>
      <c r="AN14" s="610" t="s">
        <v>12304</v>
      </c>
      <c r="AO14" s="610" t="s">
        <v>12206</v>
      </c>
      <c r="AP14" s="610" t="s">
        <v>12207</v>
      </c>
      <c r="AQ14" s="609" t="s">
        <v>12305</v>
      </c>
      <c r="AR14" s="599" t="s">
        <v>12306</v>
      </c>
      <c r="AS14" s="603" t="s">
        <v>423</v>
      </c>
      <c r="AT14" s="609" t="s">
        <v>12203</v>
      </c>
    </row>
    <row r="15" spans="1:46" ht="17.850000000000001" customHeight="1">
      <c r="A15" s="595" t="s">
        <v>12307</v>
      </c>
      <c r="B15" s="596" t="s">
        <v>12211</v>
      </c>
      <c r="C15" s="597" t="s">
        <v>12212</v>
      </c>
      <c r="D15" s="598"/>
      <c r="E15" s="599" t="s">
        <v>12308</v>
      </c>
      <c r="F15" s="600" t="s">
        <v>9735</v>
      </c>
      <c r="G15" s="601" t="s">
        <v>12309</v>
      </c>
      <c r="H15" s="601" t="s">
        <v>12309</v>
      </c>
      <c r="I15" s="596" t="s">
        <v>12225</v>
      </c>
      <c r="J15" s="596" t="s">
        <v>335</v>
      </c>
      <c r="K15" s="599" t="s">
        <v>12197</v>
      </c>
      <c r="L15" s="599" t="s">
        <v>12198</v>
      </c>
      <c r="M15" s="602" t="s">
        <v>12199</v>
      </c>
      <c r="N15" s="603" t="s">
        <v>7673</v>
      </c>
      <c r="O15" s="599">
        <v>512</v>
      </c>
      <c r="P15" s="604">
        <v>0</v>
      </c>
      <c r="Q15" s="604">
        <v>0</v>
      </c>
      <c r="R15" s="605">
        <v>20000</v>
      </c>
      <c r="S15" s="604">
        <v>0</v>
      </c>
      <c r="T15" s="604">
        <v>0</v>
      </c>
      <c r="U15" s="604">
        <v>4480000</v>
      </c>
      <c r="V15" s="605">
        <v>2260000</v>
      </c>
      <c r="W15" s="596"/>
      <c r="X15" s="604">
        <v>0</v>
      </c>
      <c r="Y15" s="604">
        <v>226000</v>
      </c>
      <c r="Z15" s="604">
        <v>2486000</v>
      </c>
      <c r="AA15" s="604">
        <v>4972860</v>
      </c>
      <c r="AB15" s="604">
        <v>0</v>
      </c>
      <c r="AC15" s="606">
        <v>7458000</v>
      </c>
      <c r="AD15" s="604">
        <v>860</v>
      </c>
      <c r="AE15" s="603">
        <v>2</v>
      </c>
      <c r="AF15" s="607">
        <v>2486860</v>
      </c>
      <c r="AG15" s="608" t="s">
        <v>12310</v>
      </c>
      <c r="AH15" s="608" t="s">
        <v>12311</v>
      </c>
      <c r="AI15" s="603" t="s">
        <v>12309</v>
      </c>
      <c r="AJ15" s="603" t="s">
        <v>12202</v>
      </c>
      <c r="AK15" s="603" t="s">
        <v>12203</v>
      </c>
      <c r="AL15" s="599" t="s">
        <v>12248</v>
      </c>
      <c r="AM15" s="609" t="s">
        <v>4940</v>
      </c>
      <c r="AN15" s="610" t="s">
        <v>12312</v>
      </c>
      <c r="AO15" s="610" t="s">
        <v>12206</v>
      </c>
      <c r="AP15" s="610" t="s">
        <v>12207</v>
      </c>
      <c r="AQ15" s="609" t="s">
        <v>12313</v>
      </c>
      <c r="AR15" s="599" t="s">
        <v>12314</v>
      </c>
      <c r="AS15" s="603" t="s">
        <v>423</v>
      </c>
      <c r="AT15" s="609" t="s">
        <v>12315</v>
      </c>
    </row>
    <row r="16" spans="1:46" ht="17.850000000000001" customHeight="1">
      <c r="A16" s="595" t="s">
        <v>12316</v>
      </c>
      <c r="B16" s="596" t="s">
        <v>12211</v>
      </c>
      <c r="C16" s="597" t="s">
        <v>12212</v>
      </c>
      <c r="D16" s="598"/>
      <c r="E16" s="599" t="s">
        <v>12317</v>
      </c>
      <c r="F16" s="600" t="s">
        <v>9735</v>
      </c>
      <c r="G16" s="601" t="s">
        <v>12318</v>
      </c>
      <c r="H16" s="601" t="s">
        <v>12318</v>
      </c>
      <c r="I16" s="596" t="s">
        <v>12225</v>
      </c>
      <c r="J16" s="596" t="s">
        <v>335</v>
      </c>
      <c r="K16" s="599" t="s">
        <v>12197</v>
      </c>
      <c r="L16" s="599" t="s">
        <v>12198</v>
      </c>
      <c r="M16" s="602" t="s">
        <v>12199</v>
      </c>
      <c r="N16" s="603" t="s">
        <v>7673</v>
      </c>
      <c r="O16" s="599">
        <v>512</v>
      </c>
      <c r="P16" s="604">
        <v>0</v>
      </c>
      <c r="Q16" s="604">
        <v>0</v>
      </c>
      <c r="R16" s="605">
        <v>20000</v>
      </c>
      <c r="S16" s="604">
        <v>0</v>
      </c>
      <c r="T16" s="604">
        <v>0</v>
      </c>
      <c r="U16" s="604">
        <v>4480000</v>
      </c>
      <c r="V16" s="605">
        <v>2260000</v>
      </c>
      <c r="W16" s="596"/>
      <c r="X16" s="604">
        <v>0</v>
      </c>
      <c r="Y16" s="604">
        <v>226000</v>
      </c>
      <c r="Z16" s="604">
        <v>2486000</v>
      </c>
      <c r="AA16" s="604">
        <v>4972232</v>
      </c>
      <c r="AB16" s="604">
        <v>0</v>
      </c>
      <c r="AC16" s="606">
        <v>7458000</v>
      </c>
      <c r="AD16" s="604">
        <v>232</v>
      </c>
      <c r="AE16" s="603">
        <v>2</v>
      </c>
      <c r="AF16" s="607">
        <v>2486232</v>
      </c>
      <c r="AG16" s="608" t="s">
        <v>12319</v>
      </c>
      <c r="AH16" s="608" t="s">
        <v>12320</v>
      </c>
      <c r="AI16" s="603" t="s">
        <v>12318</v>
      </c>
      <c r="AJ16" s="603" t="s">
        <v>12202</v>
      </c>
      <c r="AK16" s="603" t="s">
        <v>12203</v>
      </c>
      <c r="AL16" s="599" t="s">
        <v>12276</v>
      </c>
      <c r="AM16" s="609" t="s">
        <v>4940</v>
      </c>
      <c r="AN16" s="610" t="s">
        <v>12321</v>
      </c>
      <c r="AO16" s="610" t="s">
        <v>12206</v>
      </c>
      <c r="AP16" s="610" t="s">
        <v>12207</v>
      </c>
      <c r="AQ16" s="609" t="s">
        <v>12322</v>
      </c>
      <c r="AR16" s="599" t="s">
        <v>12323</v>
      </c>
      <c r="AS16" s="603" t="s">
        <v>423</v>
      </c>
      <c r="AT16" s="609" t="s">
        <v>12324</v>
      </c>
    </row>
    <row r="17" spans="1:46" ht="17.100000000000001" customHeight="1">
      <c r="A17" s="595" t="s">
        <v>12325</v>
      </c>
      <c r="B17" s="596" t="s">
        <v>12211</v>
      </c>
      <c r="C17" s="597" t="s">
        <v>12212</v>
      </c>
      <c r="D17" s="598"/>
      <c r="E17" s="599" t="s">
        <v>12326</v>
      </c>
      <c r="F17" s="600" t="s">
        <v>9735</v>
      </c>
      <c r="G17" s="601" t="s">
        <v>12327</v>
      </c>
      <c r="H17" s="601" t="s">
        <v>12327</v>
      </c>
      <c r="I17" s="596" t="s">
        <v>12225</v>
      </c>
      <c r="J17" s="596" t="s">
        <v>335</v>
      </c>
      <c r="K17" s="599" t="s">
        <v>12197</v>
      </c>
      <c r="L17" s="599" t="s">
        <v>12198</v>
      </c>
      <c r="M17" s="602" t="s">
        <v>12199</v>
      </c>
      <c r="N17" s="603" t="s">
        <v>7673</v>
      </c>
      <c r="O17" s="599">
        <v>512</v>
      </c>
      <c r="P17" s="604">
        <v>0</v>
      </c>
      <c r="Q17" s="604">
        <v>0</v>
      </c>
      <c r="R17" s="605">
        <v>20000</v>
      </c>
      <c r="S17" s="604">
        <v>0</v>
      </c>
      <c r="T17" s="604">
        <v>0</v>
      </c>
      <c r="U17" s="604">
        <v>4480000</v>
      </c>
      <c r="V17" s="605">
        <v>2260000</v>
      </c>
      <c r="W17" s="596"/>
      <c r="X17" s="604">
        <v>0</v>
      </c>
      <c r="Y17" s="604">
        <v>226000</v>
      </c>
      <c r="Z17" s="604">
        <v>2486000</v>
      </c>
      <c r="AA17" s="604">
        <v>4972214</v>
      </c>
      <c r="AB17" s="604">
        <v>0</v>
      </c>
      <c r="AC17" s="606">
        <v>7458000</v>
      </c>
      <c r="AD17" s="604">
        <v>214</v>
      </c>
      <c r="AE17" s="603">
        <v>2</v>
      </c>
      <c r="AF17" s="607">
        <v>2486214</v>
      </c>
      <c r="AG17" s="608" t="s">
        <v>12328</v>
      </c>
      <c r="AH17" s="608" t="s">
        <v>12329</v>
      </c>
      <c r="AI17" s="603" t="s">
        <v>12327</v>
      </c>
      <c r="AJ17" s="603" t="s">
        <v>12202</v>
      </c>
      <c r="AK17" s="603" t="s">
        <v>12203</v>
      </c>
      <c r="AL17" s="599" t="s">
        <v>12248</v>
      </c>
      <c r="AM17" s="609" t="s">
        <v>4940</v>
      </c>
      <c r="AN17" s="610" t="s">
        <v>12330</v>
      </c>
      <c r="AO17" s="610" t="s">
        <v>12206</v>
      </c>
      <c r="AP17" s="610" t="s">
        <v>12207</v>
      </c>
      <c r="AQ17" s="609" t="s">
        <v>12331</v>
      </c>
      <c r="AR17" s="599" t="s">
        <v>12332</v>
      </c>
      <c r="AS17" s="603" t="s">
        <v>423</v>
      </c>
      <c r="AT17" s="609" t="s">
        <v>12333</v>
      </c>
    </row>
    <row r="18" spans="1:46" ht="17.850000000000001" customHeight="1">
      <c r="A18" s="595" t="s">
        <v>12334</v>
      </c>
      <c r="B18" s="596" t="s">
        <v>12211</v>
      </c>
      <c r="C18" s="597" t="s">
        <v>12212</v>
      </c>
      <c r="D18" s="598"/>
      <c r="E18" s="599" t="s">
        <v>12335</v>
      </c>
      <c r="F18" s="600" t="s">
        <v>9735</v>
      </c>
      <c r="G18" s="601" t="s">
        <v>693</v>
      </c>
      <c r="H18" s="601" t="s">
        <v>693</v>
      </c>
      <c r="I18" s="596" t="s">
        <v>12225</v>
      </c>
      <c r="J18" s="596" t="s">
        <v>335</v>
      </c>
      <c r="K18" s="599" t="s">
        <v>12197</v>
      </c>
      <c r="L18" s="599" t="s">
        <v>12198</v>
      </c>
      <c r="M18" s="602" t="s">
        <v>12199</v>
      </c>
      <c r="N18" s="603" t="s">
        <v>7673</v>
      </c>
      <c r="O18" s="599">
        <v>512</v>
      </c>
      <c r="P18" s="604">
        <v>0</v>
      </c>
      <c r="Q18" s="604">
        <v>0</v>
      </c>
      <c r="R18" s="605">
        <v>20000</v>
      </c>
      <c r="S18" s="604">
        <v>0</v>
      </c>
      <c r="T18" s="604">
        <v>0</v>
      </c>
      <c r="U18" s="604">
        <v>4480000</v>
      </c>
      <c r="V18" s="605">
        <v>2260000</v>
      </c>
      <c r="W18" s="596"/>
      <c r="X18" s="604">
        <v>0</v>
      </c>
      <c r="Y18" s="604">
        <v>226000</v>
      </c>
      <c r="Z18" s="604">
        <v>2486000</v>
      </c>
      <c r="AA18" s="604">
        <v>4972463</v>
      </c>
      <c r="AB18" s="604">
        <v>0</v>
      </c>
      <c r="AC18" s="606">
        <v>7458000</v>
      </c>
      <c r="AD18" s="604">
        <v>463</v>
      </c>
      <c r="AE18" s="603">
        <v>2</v>
      </c>
      <c r="AF18" s="607">
        <v>2486463</v>
      </c>
      <c r="AG18" s="608" t="s">
        <v>12336</v>
      </c>
      <c r="AH18" s="608" t="s">
        <v>12303</v>
      </c>
      <c r="AI18" s="603" t="s">
        <v>693</v>
      </c>
      <c r="AJ18" s="603" t="s">
        <v>12202</v>
      </c>
      <c r="AK18" s="603" t="s">
        <v>12203</v>
      </c>
      <c r="AL18" s="599" t="s">
        <v>12276</v>
      </c>
      <c r="AM18" s="609" t="s">
        <v>4940</v>
      </c>
      <c r="AN18" s="610" t="s">
        <v>8874</v>
      </c>
      <c r="AO18" s="610" t="s">
        <v>12206</v>
      </c>
      <c r="AP18" s="610" t="s">
        <v>12207</v>
      </c>
      <c r="AQ18" s="609" t="s">
        <v>12337</v>
      </c>
      <c r="AR18" s="599" t="s">
        <v>12338</v>
      </c>
      <c r="AS18" s="603" t="s">
        <v>423</v>
      </c>
      <c r="AT18" s="609" t="s">
        <v>12339</v>
      </c>
    </row>
    <row r="19" spans="1:46" ht="22.9" customHeight="1">
      <c r="A19" s="595" t="s">
        <v>12340</v>
      </c>
      <c r="B19" s="596" t="s">
        <v>12211</v>
      </c>
      <c r="C19" s="597" t="s">
        <v>12212</v>
      </c>
      <c r="D19" s="598"/>
      <c r="E19" s="599" t="s">
        <v>12341</v>
      </c>
      <c r="F19" s="600" t="s">
        <v>9735</v>
      </c>
      <c r="G19" s="601" t="s">
        <v>12342</v>
      </c>
      <c r="H19" s="601" t="s">
        <v>12342</v>
      </c>
      <c r="I19" s="596" t="s">
        <v>12214</v>
      </c>
      <c r="J19" s="596" t="s">
        <v>335</v>
      </c>
      <c r="K19" s="599" t="s">
        <v>12197</v>
      </c>
      <c r="L19" s="599" t="s">
        <v>12198</v>
      </c>
      <c r="M19" s="602" t="s">
        <v>12199</v>
      </c>
      <c r="N19" s="603" t="s">
        <v>7673</v>
      </c>
      <c r="O19" s="599">
        <v>1024</v>
      </c>
      <c r="P19" s="604">
        <v>0</v>
      </c>
      <c r="Q19" s="604">
        <v>0</v>
      </c>
      <c r="R19" s="605">
        <v>20000</v>
      </c>
      <c r="S19" s="604">
        <v>0</v>
      </c>
      <c r="T19" s="604">
        <v>0</v>
      </c>
      <c r="U19" s="604">
        <v>12800000</v>
      </c>
      <c r="V19" s="605">
        <v>6420000</v>
      </c>
      <c r="W19" s="596"/>
      <c r="X19" s="604">
        <v>0</v>
      </c>
      <c r="Y19" s="604">
        <v>642000</v>
      </c>
      <c r="Z19" s="604">
        <v>7062000</v>
      </c>
      <c r="AA19" s="604">
        <v>14124537</v>
      </c>
      <c r="AB19" s="604">
        <v>0</v>
      </c>
      <c r="AC19" s="606">
        <v>21186000</v>
      </c>
      <c r="AD19" s="604">
        <v>537</v>
      </c>
      <c r="AE19" s="603">
        <v>2</v>
      </c>
      <c r="AF19" s="607">
        <v>7062537</v>
      </c>
      <c r="AG19" s="608" t="s">
        <v>12343</v>
      </c>
      <c r="AH19" s="608" t="s">
        <v>12344</v>
      </c>
      <c r="AI19" s="603" t="s">
        <v>12342</v>
      </c>
      <c r="AJ19" s="603" t="s">
        <v>12202</v>
      </c>
      <c r="AK19" s="603" t="s">
        <v>12203</v>
      </c>
      <c r="AL19" s="599" t="s">
        <v>12248</v>
      </c>
      <c r="AM19" s="609" t="s">
        <v>4940</v>
      </c>
      <c r="AN19" s="610" t="s">
        <v>8414</v>
      </c>
      <c r="AO19" s="610" t="s">
        <v>12206</v>
      </c>
      <c r="AP19" s="610" t="s">
        <v>12207</v>
      </c>
      <c r="AQ19" s="609" t="s">
        <v>12345</v>
      </c>
      <c r="AR19" s="599" t="s">
        <v>12346</v>
      </c>
      <c r="AS19" s="603" t="s">
        <v>423</v>
      </c>
      <c r="AT19" s="609" t="s">
        <v>12347</v>
      </c>
    </row>
    <row r="20" spans="1:46" ht="17.100000000000001" customHeight="1">
      <c r="A20" s="595" t="s">
        <v>12348</v>
      </c>
      <c r="B20" s="596" t="s">
        <v>12211</v>
      </c>
      <c r="C20" s="597" t="s">
        <v>12212</v>
      </c>
      <c r="D20" s="598"/>
      <c r="E20" s="599" t="s">
        <v>12349</v>
      </c>
      <c r="F20" s="600" t="s">
        <v>9735</v>
      </c>
      <c r="G20" s="601" t="s">
        <v>12350</v>
      </c>
      <c r="H20" s="601" t="s">
        <v>12350</v>
      </c>
      <c r="I20" s="596" t="s">
        <v>12225</v>
      </c>
      <c r="J20" s="596" t="s">
        <v>335</v>
      </c>
      <c r="K20" s="599" t="s">
        <v>12197</v>
      </c>
      <c r="L20" s="599" t="s">
        <v>12198</v>
      </c>
      <c r="M20" s="602" t="s">
        <v>12199</v>
      </c>
      <c r="N20" s="603" t="s">
        <v>7673</v>
      </c>
      <c r="O20" s="599">
        <v>512</v>
      </c>
      <c r="P20" s="604">
        <v>0</v>
      </c>
      <c r="Q20" s="604">
        <v>0</v>
      </c>
      <c r="R20" s="605">
        <v>20000</v>
      </c>
      <c r="S20" s="604">
        <v>0</v>
      </c>
      <c r="T20" s="604">
        <v>0</v>
      </c>
      <c r="U20" s="604">
        <v>4480000</v>
      </c>
      <c r="V20" s="605">
        <v>2260000</v>
      </c>
      <c r="W20" s="596"/>
      <c r="X20" s="604">
        <v>0</v>
      </c>
      <c r="Y20" s="604">
        <v>226000</v>
      </c>
      <c r="Z20" s="604">
        <v>2486000</v>
      </c>
      <c r="AA20" s="604">
        <v>4972029</v>
      </c>
      <c r="AB20" s="604">
        <v>0</v>
      </c>
      <c r="AC20" s="606">
        <v>7458000</v>
      </c>
      <c r="AD20" s="604">
        <v>29</v>
      </c>
      <c r="AE20" s="603">
        <v>2</v>
      </c>
      <c r="AF20" s="607">
        <v>2486029</v>
      </c>
      <c r="AG20" s="608" t="s">
        <v>12351</v>
      </c>
      <c r="AH20" s="608" t="s">
        <v>12303</v>
      </c>
      <c r="AI20" s="603" t="s">
        <v>12350</v>
      </c>
      <c r="AJ20" s="603" t="s">
        <v>12202</v>
      </c>
      <c r="AK20" s="603" t="s">
        <v>12203</v>
      </c>
      <c r="AL20" s="599" t="s">
        <v>12352</v>
      </c>
      <c r="AM20" s="609" t="s">
        <v>4940</v>
      </c>
      <c r="AN20" s="610" t="s">
        <v>8494</v>
      </c>
      <c r="AO20" s="610" t="s">
        <v>12206</v>
      </c>
      <c r="AP20" s="610" t="s">
        <v>12207</v>
      </c>
      <c r="AQ20" s="609" t="s">
        <v>12353</v>
      </c>
      <c r="AR20" s="599" t="s">
        <v>12354</v>
      </c>
      <c r="AS20" s="603" t="s">
        <v>423</v>
      </c>
      <c r="AT20" s="609" t="s">
        <v>12355</v>
      </c>
    </row>
    <row r="21" spans="1:46" ht="17.850000000000001" customHeight="1">
      <c r="A21" s="595" t="s">
        <v>12356</v>
      </c>
      <c r="B21" s="596" t="s">
        <v>12211</v>
      </c>
      <c r="C21" s="597" t="s">
        <v>12212</v>
      </c>
      <c r="D21" s="598"/>
      <c r="E21" s="599" t="s">
        <v>12357</v>
      </c>
      <c r="F21" s="600" t="s">
        <v>9735</v>
      </c>
      <c r="G21" s="601" t="s">
        <v>12358</v>
      </c>
      <c r="H21" s="601" t="s">
        <v>12358</v>
      </c>
      <c r="I21" s="596" t="s">
        <v>12225</v>
      </c>
      <c r="J21" s="596" t="s">
        <v>335</v>
      </c>
      <c r="K21" s="599" t="s">
        <v>12197</v>
      </c>
      <c r="L21" s="599" t="s">
        <v>12198</v>
      </c>
      <c r="M21" s="602" t="s">
        <v>12199</v>
      </c>
      <c r="N21" s="603" t="s">
        <v>7673</v>
      </c>
      <c r="O21" s="599">
        <v>512</v>
      </c>
      <c r="P21" s="604">
        <v>0</v>
      </c>
      <c r="Q21" s="604">
        <v>0</v>
      </c>
      <c r="R21" s="605">
        <v>20000</v>
      </c>
      <c r="S21" s="604">
        <v>0</v>
      </c>
      <c r="T21" s="604">
        <v>0</v>
      </c>
      <c r="U21" s="604">
        <v>4480000</v>
      </c>
      <c r="V21" s="605">
        <v>2260000</v>
      </c>
      <c r="W21" s="596"/>
      <c r="X21" s="604">
        <v>0</v>
      </c>
      <c r="Y21" s="604">
        <v>226000</v>
      </c>
      <c r="Z21" s="604">
        <v>2486000</v>
      </c>
      <c r="AA21" s="604">
        <v>4972384</v>
      </c>
      <c r="AB21" s="604">
        <v>0</v>
      </c>
      <c r="AC21" s="606">
        <v>7458000</v>
      </c>
      <c r="AD21" s="604">
        <v>384</v>
      </c>
      <c r="AE21" s="603">
        <v>2</v>
      </c>
      <c r="AF21" s="607">
        <v>2486384</v>
      </c>
      <c r="AG21" s="608" t="s">
        <v>12359</v>
      </c>
      <c r="AH21" s="608" t="s">
        <v>12360</v>
      </c>
      <c r="AI21" s="603" t="s">
        <v>12358</v>
      </c>
      <c r="AJ21" s="603" t="s">
        <v>12202</v>
      </c>
      <c r="AK21" s="603" t="s">
        <v>12203</v>
      </c>
      <c r="AL21" s="599" t="s">
        <v>12276</v>
      </c>
      <c r="AM21" s="609" t="s">
        <v>4940</v>
      </c>
      <c r="AN21" s="610" t="s">
        <v>12361</v>
      </c>
      <c r="AO21" s="610" t="s">
        <v>12206</v>
      </c>
      <c r="AP21" s="610" t="s">
        <v>12207</v>
      </c>
      <c r="AQ21" s="609" t="s">
        <v>12362</v>
      </c>
      <c r="AR21" s="599" t="s">
        <v>12363</v>
      </c>
      <c r="AS21" s="603" t="s">
        <v>423</v>
      </c>
      <c r="AT21" s="609" t="s">
        <v>12364</v>
      </c>
    </row>
    <row r="22" spans="1:46" ht="17.850000000000001" customHeight="1">
      <c r="A22" s="595" t="s">
        <v>12365</v>
      </c>
      <c r="B22" s="596" t="s">
        <v>12211</v>
      </c>
      <c r="C22" s="597" t="s">
        <v>12212</v>
      </c>
      <c r="D22" s="598"/>
      <c r="E22" s="599" t="s">
        <v>12366</v>
      </c>
      <c r="F22" s="600" t="s">
        <v>9735</v>
      </c>
      <c r="G22" s="601" t="s">
        <v>12367</v>
      </c>
      <c r="H22" s="601" t="s">
        <v>12367</v>
      </c>
      <c r="I22" s="596" t="s">
        <v>12255</v>
      </c>
      <c r="J22" s="596" t="s">
        <v>335</v>
      </c>
      <c r="K22" s="599" t="s">
        <v>12197</v>
      </c>
      <c r="L22" s="599" t="s">
        <v>12198</v>
      </c>
      <c r="M22" s="602" t="s">
        <v>12199</v>
      </c>
      <c r="N22" s="603" t="s">
        <v>7673</v>
      </c>
      <c r="O22" s="599">
        <v>2048</v>
      </c>
      <c r="P22" s="604">
        <v>0</v>
      </c>
      <c r="Q22" s="604">
        <v>0</v>
      </c>
      <c r="R22" s="605">
        <v>20000</v>
      </c>
      <c r="S22" s="604">
        <v>0</v>
      </c>
      <c r="T22" s="604">
        <v>0</v>
      </c>
      <c r="U22" s="604">
        <v>15680000</v>
      </c>
      <c r="V22" s="605">
        <v>7860000</v>
      </c>
      <c r="W22" s="596"/>
      <c r="X22" s="604">
        <v>0</v>
      </c>
      <c r="Y22" s="604">
        <v>786000</v>
      </c>
      <c r="Z22" s="604">
        <v>8646000</v>
      </c>
      <c r="AA22" s="604">
        <v>17292499</v>
      </c>
      <c r="AB22" s="604">
        <v>0</v>
      </c>
      <c r="AC22" s="606">
        <v>25938000</v>
      </c>
      <c r="AD22" s="604">
        <v>499</v>
      </c>
      <c r="AE22" s="603">
        <v>2</v>
      </c>
      <c r="AF22" s="607">
        <v>8646499</v>
      </c>
      <c r="AG22" s="608" t="s">
        <v>12368</v>
      </c>
      <c r="AH22" s="608" t="s">
        <v>12369</v>
      </c>
      <c r="AI22" s="603" t="s">
        <v>12367</v>
      </c>
      <c r="AJ22" s="603" t="s">
        <v>12202</v>
      </c>
      <c r="AK22" s="603" t="s">
        <v>12203</v>
      </c>
      <c r="AL22" s="599" t="s">
        <v>12276</v>
      </c>
      <c r="AM22" s="609" t="s">
        <v>4940</v>
      </c>
      <c r="AN22" s="610" t="s">
        <v>8828</v>
      </c>
      <c r="AO22" s="610" t="s">
        <v>12206</v>
      </c>
      <c r="AP22" s="610" t="s">
        <v>12207</v>
      </c>
      <c r="AQ22" s="609" t="s">
        <v>12370</v>
      </c>
      <c r="AR22" s="599" t="s">
        <v>12371</v>
      </c>
      <c r="AS22" s="603" t="s">
        <v>423</v>
      </c>
      <c r="AT22" s="609" t="s">
        <v>12372</v>
      </c>
    </row>
    <row r="23" spans="1:46" ht="17.100000000000001" customHeight="1">
      <c r="A23" s="595" t="s">
        <v>12373</v>
      </c>
      <c r="B23" s="596" t="s">
        <v>12211</v>
      </c>
      <c r="C23" s="597" t="s">
        <v>12212</v>
      </c>
      <c r="D23" s="598"/>
      <c r="E23" s="599" t="s">
        <v>12374</v>
      </c>
      <c r="F23" s="600" t="s">
        <v>9735</v>
      </c>
      <c r="G23" s="601" t="s">
        <v>12375</v>
      </c>
      <c r="H23" s="601" t="s">
        <v>12375</v>
      </c>
      <c r="I23" s="596" t="s">
        <v>12214</v>
      </c>
      <c r="J23" s="596" t="s">
        <v>335</v>
      </c>
      <c r="K23" s="599" t="s">
        <v>12197</v>
      </c>
      <c r="L23" s="599" t="s">
        <v>12198</v>
      </c>
      <c r="M23" s="602" t="s">
        <v>12199</v>
      </c>
      <c r="N23" s="603" t="s">
        <v>7673</v>
      </c>
      <c r="O23" s="599">
        <v>1024</v>
      </c>
      <c r="P23" s="604">
        <v>0</v>
      </c>
      <c r="Q23" s="604">
        <v>0</v>
      </c>
      <c r="R23" s="605">
        <v>20000</v>
      </c>
      <c r="S23" s="604">
        <v>0</v>
      </c>
      <c r="T23" s="604">
        <v>0</v>
      </c>
      <c r="U23" s="604">
        <v>8960000</v>
      </c>
      <c r="V23" s="605">
        <v>4500000</v>
      </c>
      <c r="W23" s="596"/>
      <c r="X23" s="604">
        <v>0</v>
      </c>
      <c r="Y23" s="604">
        <v>450000</v>
      </c>
      <c r="Z23" s="604">
        <v>4950000</v>
      </c>
      <c r="AA23" s="604">
        <v>9900751</v>
      </c>
      <c r="AB23" s="604">
        <v>0</v>
      </c>
      <c r="AC23" s="606">
        <v>14850000</v>
      </c>
      <c r="AD23" s="604">
        <v>751</v>
      </c>
      <c r="AE23" s="603">
        <v>2</v>
      </c>
      <c r="AF23" s="607">
        <v>4950751</v>
      </c>
      <c r="AG23" s="608" t="s">
        <v>12376</v>
      </c>
      <c r="AH23" s="608" t="s">
        <v>12377</v>
      </c>
      <c r="AI23" s="603" t="s">
        <v>12375</v>
      </c>
      <c r="AJ23" s="603" t="s">
        <v>12202</v>
      </c>
      <c r="AK23" s="603" t="s">
        <v>12203</v>
      </c>
      <c r="AL23" s="599" t="s">
        <v>12378</v>
      </c>
      <c r="AM23" s="609" t="s">
        <v>4940</v>
      </c>
      <c r="AN23" s="610" t="s">
        <v>12379</v>
      </c>
      <c r="AO23" s="610" t="s">
        <v>12206</v>
      </c>
      <c r="AP23" s="610" t="s">
        <v>12207</v>
      </c>
      <c r="AQ23" s="609" t="s">
        <v>12362</v>
      </c>
      <c r="AR23" s="599" t="s">
        <v>12363</v>
      </c>
      <c r="AS23" s="603" t="s">
        <v>423</v>
      </c>
      <c r="AT23" s="609" t="s">
        <v>12380</v>
      </c>
    </row>
    <row r="24" spans="1:46" ht="17.850000000000001" customHeight="1">
      <c r="A24" s="595" t="s">
        <v>12381</v>
      </c>
      <c r="B24" s="596" t="s">
        <v>12211</v>
      </c>
      <c r="C24" s="597" t="s">
        <v>12212</v>
      </c>
      <c r="D24" s="598"/>
      <c r="E24" s="599" t="s">
        <v>12382</v>
      </c>
      <c r="F24" s="600" t="s">
        <v>9735</v>
      </c>
      <c r="G24" s="601" t="s">
        <v>12383</v>
      </c>
      <c r="H24" s="601" t="s">
        <v>12383</v>
      </c>
      <c r="I24" s="596" t="s">
        <v>12214</v>
      </c>
      <c r="J24" s="596" t="s">
        <v>335</v>
      </c>
      <c r="K24" s="599" t="s">
        <v>12197</v>
      </c>
      <c r="L24" s="599" t="s">
        <v>12198</v>
      </c>
      <c r="M24" s="602" t="s">
        <v>12199</v>
      </c>
      <c r="N24" s="603" t="s">
        <v>7673</v>
      </c>
      <c r="O24" s="599">
        <v>1024</v>
      </c>
      <c r="P24" s="604">
        <v>0</v>
      </c>
      <c r="Q24" s="604">
        <v>0</v>
      </c>
      <c r="R24" s="605">
        <v>20000</v>
      </c>
      <c r="S24" s="604">
        <v>0</v>
      </c>
      <c r="T24" s="604">
        <v>0</v>
      </c>
      <c r="U24" s="604">
        <v>8960000</v>
      </c>
      <c r="V24" s="605">
        <v>4500000</v>
      </c>
      <c r="W24" s="596"/>
      <c r="X24" s="604">
        <v>0</v>
      </c>
      <c r="Y24" s="604">
        <v>450000</v>
      </c>
      <c r="Z24" s="604">
        <v>4950000</v>
      </c>
      <c r="AA24" s="604">
        <v>9900182</v>
      </c>
      <c r="AB24" s="604">
        <v>0</v>
      </c>
      <c r="AC24" s="606">
        <v>14850000</v>
      </c>
      <c r="AD24" s="604">
        <v>182</v>
      </c>
      <c r="AE24" s="603">
        <v>2</v>
      </c>
      <c r="AF24" s="607">
        <v>4950182</v>
      </c>
      <c r="AG24" s="608" t="s">
        <v>12384</v>
      </c>
      <c r="AH24" s="608" t="s">
        <v>12385</v>
      </c>
      <c r="AI24" s="603" t="s">
        <v>12383</v>
      </c>
      <c r="AJ24" s="603" t="s">
        <v>12202</v>
      </c>
      <c r="AK24" s="603" t="s">
        <v>12203</v>
      </c>
      <c r="AL24" s="599" t="s">
        <v>12386</v>
      </c>
      <c r="AM24" s="609" t="s">
        <v>12387</v>
      </c>
      <c r="AN24" s="610" t="s">
        <v>12388</v>
      </c>
      <c r="AO24" s="610" t="s">
        <v>12206</v>
      </c>
      <c r="AP24" s="610" t="s">
        <v>12207</v>
      </c>
      <c r="AQ24" s="609" t="s">
        <v>12362</v>
      </c>
      <c r="AR24" s="599" t="s">
        <v>12363</v>
      </c>
      <c r="AS24" s="603" t="s">
        <v>423</v>
      </c>
      <c r="AT24" s="609" t="s">
        <v>12389</v>
      </c>
    </row>
    <row r="25" spans="1:46" ht="22.15" customHeight="1">
      <c r="A25" s="595" t="s">
        <v>12390</v>
      </c>
      <c r="B25" s="596" t="s">
        <v>12211</v>
      </c>
      <c r="C25" s="597" t="s">
        <v>12212</v>
      </c>
      <c r="D25" s="598"/>
      <c r="E25" s="599" t="s">
        <v>451</v>
      </c>
      <c r="F25" s="600" t="s">
        <v>9735</v>
      </c>
      <c r="G25" s="601" t="s">
        <v>12391</v>
      </c>
      <c r="H25" s="601" t="s">
        <v>12391</v>
      </c>
      <c r="I25" s="596" t="s">
        <v>12225</v>
      </c>
      <c r="J25" s="596" t="s">
        <v>335</v>
      </c>
      <c r="K25" s="599" t="s">
        <v>12197</v>
      </c>
      <c r="L25" s="599" t="s">
        <v>12198</v>
      </c>
      <c r="M25" s="602" t="s">
        <v>12199</v>
      </c>
      <c r="N25" s="603" t="s">
        <v>7673</v>
      </c>
      <c r="O25" s="599">
        <v>512</v>
      </c>
      <c r="P25" s="604">
        <v>0</v>
      </c>
      <c r="Q25" s="604">
        <v>0</v>
      </c>
      <c r="R25" s="605">
        <v>20000</v>
      </c>
      <c r="S25" s="604">
        <v>0</v>
      </c>
      <c r="T25" s="604">
        <v>0</v>
      </c>
      <c r="U25" s="604">
        <v>6400000</v>
      </c>
      <c r="V25" s="605">
        <v>3220000</v>
      </c>
      <c r="W25" s="596"/>
      <c r="X25" s="604">
        <v>0</v>
      </c>
      <c r="Y25" s="604">
        <v>322000</v>
      </c>
      <c r="Z25" s="604">
        <v>3542000</v>
      </c>
      <c r="AA25" s="604">
        <v>7084294</v>
      </c>
      <c r="AB25" s="604">
        <v>0</v>
      </c>
      <c r="AC25" s="606">
        <v>10626000</v>
      </c>
      <c r="AD25" s="604">
        <v>294</v>
      </c>
      <c r="AE25" s="603">
        <v>2</v>
      </c>
      <c r="AF25" s="607">
        <v>3542294</v>
      </c>
      <c r="AG25" s="608" t="s">
        <v>12392</v>
      </c>
      <c r="AH25" s="608" t="s">
        <v>12275</v>
      </c>
      <c r="AI25" s="603" t="s">
        <v>12391</v>
      </c>
      <c r="AJ25" s="603" t="s">
        <v>12202</v>
      </c>
      <c r="AK25" s="603" t="s">
        <v>12203</v>
      </c>
      <c r="AL25" s="599" t="s">
        <v>12276</v>
      </c>
      <c r="AM25" s="609" t="s">
        <v>4940</v>
      </c>
      <c r="AN25" s="610" t="s">
        <v>12393</v>
      </c>
      <c r="AO25" s="610" t="s">
        <v>12206</v>
      </c>
      <c r="AP25" s="610" t="s">
        <v>12207</v>
      </c>
      <c r="AQ25" s="609" t="s">
        <v>12394</v>
      </c>
      <c r="AR25" s="599" t="s">
        <v>12395</v>
      </c>
      <c r="AS25" s="603" t="s">
        <v>423</v>
      </c>
      <c r="AT25" s="609" t="s">
        <v>12396</v>
      </c>
    </row>
    <row r="26" spans="1:46" ht="17.850000000000001" customHeight="1">
      <c r="A26" s="595" t="s">
        <v>12397</v>
      </c>
      <c r="B26" s="596" t="s">
        <v>12211</v>
      </c>
      <c r="C26" s="597" t="s">
        <v>12212</v>
      </c>
      <c r="D26" s="598"/>
      <c r="E26" s="599" t="s">
        <v>12398</v>
      </c>
      <c r="F26" s="600" t="s">
        <v>9735</v>
      </c>
      <c r="G26" s="601" t="s">
        <v>12399</v>
      </c>
      <c r="H26" s="601" t="s">
        <v>12399</v>
      </c>
      <c r="I26" s="596" t="s">
        <v>12225</v>
      </c>
      <c r="J26" s="596" t="s">
        <v>335</v>
      </c>
      <c r="K26" s="599" t="s">
        <v>12197</v>
      </c>
      <c r="L26" s="599" t="s">
        <v>12198</v>
      </c>
      <c r="M26" s="602" t="s">
        <v>12199</v>
      </c>
      <c r="N26" s="603" t="s">
        <v>7673</v>
      </c>
      <c r="O26" s="599">
        <v>512</v>
      </c>
      <c r="P26" s="604">
        <v>0</v>
      </c>
      <c r="Q26" s="604">
        <v>0</v>
      </c>
      <c r="R26" s="605">
        <v>20000</v>
      </c>
      <c r="S26" s="604">
        <v>0</v>
      </c>
      <c r="T26" s="604">
        <v>0</v>
      </c>
      <c r="U26" s="604">
        <v>4480000</v>
      </c>
      <c r="V26" s="605">
        <v>2260000</v>
      </c>
      <c r="W26" s="596"/>
      <c r="X26" s="604">
        <v>0</v>
      </c>
      <c r="Y26" s="604">
        <v>226000</v>
      </c>
      <c r="Z26" s="604">
        <v>2486000</v>
      </c>
      <c r="AA26" s="604">
        <v>4972282</v>
      </c>
      <c r="AB26" s="604">
        <v>0</v>
      </c>
      <c r="AC26" s="606">
        <v>7458000</v>
      </c>
      <c r="AD26" s="604">
        <v>282</v>
      </c>
      <c r="AE26" s="603">
        <v>2</v>
      </c>
      <c r="AF26" s="607">
        <v>2486282</v>
      </c>
      <c r="AG26" s="608" t="s">
        <v>12400</v>
      </c>
      <c r="AH26" s="608" t="s">
        <v>12329</v>
      </c>
      <c r="AI26" s="603" t="s">
        <v>12399</v>
      </c>
      <c r="AJ26" s="603" t="s">
        <v>12202</v>
      </c>
      <c r="AK26" s="603" t="s">
        <v>12203</v>
      </c>
      <c r="AL26" s="599" t="s">
        <v>12401</v>
      </c>
      <c r="AM26" s="609" t="s">
        <v>4940</v>
      </c>
      <c r="AN26" s="610" t="s">
        <v>12402</v>
      </c>
      <c r="AO26" s="610" t="s">
        <v>12206</v>
      </c>
      <c r="AP26" s="610" t="s">
        <v>12207</v>
      </c>
      <c r="AQ26" s="609" t="s">
        <v>12403</v>
      </c>
      <c r="AR26" s="599" t="s">
        <v>12404</v>
      </c>
      <c r="AS26" s="603" t="s">
        <v>423</v>
      </c>
      <c r="AT26" s="609" t="s">
        <v>12405</v>
      </c>
    </row>
    <row r="27" spans="1:46" ht="22.9" customHeight="1">
      <c r="A27" s="595" t="s">
        <v>12406</v>
      </c>
      <c r="B27" s="596" t="s">
        <v>12211</v>
      </c>
      <c r="C27" s="597" t="s">
        <v>12212</v>
      </c>
      <c r="D27" s="598"/>
      <c r="E27" s="599" t="s">
        <v>12407</v>
      </c>
      <c r="F27" s="600" t="s">
        <v>9735</v>
      </c>
      <c r="G27" s="601" t="s">
        <v>12408</v>
      </c>
      <c r="H27" s="601" t="s">
        <v>12408</v>
      </c>
      <c r="I27" s="596" t="s">
        <v>12214</v>
      </c>
      <c r="J27" s="596" t="s">
        <v>335</v>
      </c>
      <c r="K27" s="599" t="s">
        <v>12197</v>
      </c>
      <c r="L27" s="599" t="s">
        <v>12198</v>
      </c>
      <c r="M27" s="602" t="s">
        <v>12199</v>
      </c>
      <c r="N27" s="603" t="s">
        <v>7673</v>
      </c>
      <c r="O27" s="599">
        <v>1024</v>
      </c>
      <c r="P27" s="604">
        <v>0</v>
      </c>
      <c r="Q27" s="604">
        <v>0</v>
      </c>
      <c r="R27" s="605">
        <v>20000</v>
      </c>
      <c r="S27" s="604">
        <v>0</v>
      </c>
      <c r="T27" s="604">
        <v>0</v>
      </c>
      <c r="U27" s="604">
        <v>8960000</v>
      </c>
      <c r="V27" s="605">
        <v>4500000</v>
      </c>
      <c r="W27" s="596"/>
      <c r="X27" s="604">
        <v>0</v>
      </c>
      <c r="Y27" s="604">
        <v>450000</v>
      </c>
      <c r="Z27" s="604">
        <v>4950000</v>
      </c>
      <c r="AA27" s="604">
        <v>9900680</v>
      </c>
      <c r="AB27" s="604">
        <v>0</v>
      </c>
      <c r="AC27" s="606">
        <v>14850000</v>
      </c>
      <c r="AD27" s="604">
        <v>680</v>
      </c>
      <c r="AE27" s="603">
        <v>2</v>
      </c>
      <c r="AF27" s="607">
        <v>4950680.3333333433</v>
      </c>
      <c r="AG27" s="608" t="s">
        <v>12409</v>
      </c>
      <c r="AH27" s="608" t="s">
        <v>12410</v>
      </c>
      <c r="AI27" s="603" t="s">
        <v>12408</v>
      </c>
      <c r="AJ27" s="603" t="s">
        <v>12202</v>
      </c>
      <c r="AK27" s="603" t="s">
        <v>12203</v>
      </c>
      <c r="AL27" s="599" t="s">
        <v>12411</v>
      </c>
      <c r="AM27" s="609" t="s">
        <v>4940</v>
      </c>
      <c r="AN27" s="610" t="s">
        <v>12412</v>
      </c>
      <c r="AO27" s="610" t="s">
        <v>12206</v>
      </c>
      <c r="AP27" s="610" t="s">
        <v>12207</v>
      </c>
      <c r="AQ27" s="609" t="s">
        <v>12413</v>
      </c>
      <c r="AR27" s="599" t="s">
        <v>12414</v>
      </c>
      <c r="AS27" s="603" t="s">
        <v>423</v>
      </c>
      <c r="AT27" s="609" t="s">
        <v>12415</v>
      </c>
    </row>
    <row r="28" spans="1:46" ht="22.9" customHeight="1">
      <c r="A28" s="595" t="s">
        <v>12416</v>
      </c>
      <c r="B28" s="596" t="s">
        <v>12211</v>
      </c>
      <c r="C28" s="597" t="s">
        <v>12212</v>
      </c>
      <c r="D28" s="598"/>
      <c r="E28" s="599" t="s">
        <v>12417</v>
      </c>
      <c r="F28" s="600" t="s">
        <v>9735</v>
      </c>
      <c r="G28" s="601" t="s">
        <v>12418</v>
      </c>
      <c r="H28" s="601" t="s">
        <v>12418</v>
      </c>
      <c r="I28" s="596" t="s">
        <v>12225</v>
      </c>
      <c r="J28" s="596" t="s">
        <v>335</v>
      </c>
      <c r="K28" s="599" t="s">
        <v>12197</v>
      </c>
      <c r="L28" s="599" t="s">
        <v>12198</v>
      </c>
      <c r="M28" s="602" t="s">
        <v>12199</v>
      </c>
      <c r="N28" s="603" t="s">
        <v>7673</v>
      </c>
      <c r="O28" s="599">
        <v>512</v>
      </c>
      <c r="P28" s="604">
        <v>0</v>
      </c>
      <c r="Q28" s="604">
        <v>0</v>
      </c>
      <c r="R28" s="605">
        <v>20000</v>
      </c>
      <c r="S28" s="604">
        <v>0</v>
      </c>
      <c r="T28" s="604">
        <v>0</v>
      </c>
      <c r="U28" s="604">
        <v>4480000</v>
      </c>
      <c r="V28" s="605">
        <v>2260000</v>
      </c>
      <c r="W28" s="596"/>
      <c r="X28" s="604">
        <v>0</v>
      </c>
      <c r="Y28" s="604">
        <v>226000</v>
      </c>
      <c r="Z28" s="604">
        <v>2486000</v>
      </c>
      <c r="AA28" s="604">
        <v>4972157</v>
      </c>
      <c r="AB28" s="604">
        <v>0</v>
      </c>
      <c r="AC28" s="606">
        <v>7458000</v>
      </c>
      <c r="AD28" s="604">
        <v>157</v>
      </c>
      <c r="AE28" s="603">
        <v>2</v>
      </c>
      <c r="AF28" s="607">
        <v>2486157</v>
      </c>
      <c r="AG28" s="608" t="s">
        <v>12419</v>
      </c>
      <c r="AH28" s="608" t="s">
        <v>12303</v>
      </c>
      <c r="AI28" s="603" t="s">
        <v>12418</v>
      </c>
      <c r="AJ28" s="603" t="s">
        <v>12202</v>
      </c>
      <c r="AK28" s="603" t="s">
        <v>12203</v>
      </c>
      <c r="AL28" s="599" t="s">
        <v>12420</v>
      </c>
      <c r="AM28" s="609" t="s">
        <v>4940</v>
      </c>
      <c r="AN28" s="610" t="s">
        <v>12421</v>
      </c>
      <c r="AO28" s="610" t="s">
        <v>12206</v>
      </c>
      <c r="AP28" s="610" t="s">
        <v>12207</v>
      </c>
      <c r="AQ28" s="609" t="s">
        <v>12422</v>
      </c>
      <c r="AR28" s="599" t="s">
        <v>12423</v>
      </c>
      <c r="AS28" s="603" t="s">
        <v>423</v>
      </c>
      <c r="AT28" s="609" t="s">
        <v>12424</v>
      </c>
    </row>
    <row r="29" spans="1:46" ht="22.15" customHeight="1">
      <c r="A29" s="595" t="s">
        <v>12425</v>
      </c>
      <c r="B29" s="596" t="s">
        <v>12211</v>
      </c>
      <c r="C29" s="597" t="s">
        <v>12212</v>
      </c>
      <c r="D29" s="598"/>
      <c r="E29" s="599"/>
      <c r="F29" s="600" t="s">
        <v>9735</v>
      </c>
      <c r="G29" s="601" t="s">
        <v>11064</v>
      </c>
      <c r="H29" s="601" t="s">
        <v>11064</v>
      </c>
      <c r="I29" s="596" t="s">
        <v>12214</v>
      </c>
      <c r="J29" s="596" t="s">
        <v>107</v>
      </c>
      <c r="K29" s="599" t="s">
        <v>12426</v>
      </c>
      <c r="L29" s="599" t="s">
        <v>12198</v>
      </c>
      <c r="M29" s="602" t="s">
        <v>12199</v>
      </c>
      <c r="N29" s="603" t="s">
        <v>7673</v>
      </c>
      <c r="O29" s="599">
        <v>1024</v>
      </c>
      <c r="P29" s="604">
        <v>0</v>
      </c>
      <c r="Q29" s="604">
        <v>0</v>
      </c>
      <c r="R29" s="605">
        <v>20000</v>
      </c>
      <c r="S29" s="604">
        <v>0</v>
      </c>
      <c r="T29" s="604">
        <v>0</v>
      </c>
      <c r="U29" s="604">
        <v>20800000</v>
      </c>
      <c r="V29" s="605">
        <v>10420000</v>
      </c>
      <c r="W29" s="596"/>
      <c r="X29" s="604">
        <v>0</v>
      </c>
      <c r="Y29" s="604">
        <v>1042000</v>
      </c>
      <c r="Z29" s="604">
        <v>11462000</v>
      </c>
      <c r="AA29" s="604">
        <v>22924957</v>
      </c>
      <c r="AB29" s="604">
        <v>0</v>
      </c>
      <c r="AC29" s="606">
        <v>34386000</v>
      </c>
      <c r="AD29" s="604">
        <v>957</v>
      </c>
      <c r="AE29" s="603">
        <v>2</v>
      </c>
      <c r="AF29" s="607">
        <v>11462957</v>
      </c>
      <c r="AG29" s="608" t="s">
        <v>12427</v>
      </c>
      <c r="AH29" s="608" t="s">
        <v>12428</v>
      </c>
      <c r="AI29" s="603" t="s">
        <v>11064</v>
      </c>
      <c r="AJ29" s="603" t="s">
        <v>12202</v>
      </c>
      <c r="AK29" s="603" t="s">
        <v>12203</v>
      </c>
      <c r="AL29" s="599" t="s">
        <v>12429</v>
      </c>
      <c r="AM29" s="609" t="s">
        <v>4940</v>
      </c>
      <c r="AN29" s="610" t="s">
        <v>12430</v>
      </c>
      <c r="AO29" s="610" t="s">
        <v>12206</v>
      </c>
      <c r="AP29" s="610" t="s">
        <v>12207</v>
      </c>
      <c r="AQ29" s="609" t="s">
        <v>12219</v>
      </c>
      <c r="AR29" s="599" t="s">
        <v>12220</v>
      </c>
      <c r="AS29" s="603" t="s">
        <v>423</v>
      </c>
      <c r="AT29" s="609" t="s">
        <v>12431</v>
      </c>
    </row>
    <row r="30" spans="1:46" ht="22.9" customHeight="1">
      <c r="A30" s="595" t="s">
        <v>12432</v>
      </c>
      <c r="B30" s="596" t="s">
        <v>12211</v>
      </c>
      <c r="C30" s="597" t="s">
        <v>12212</v>
      </c>
      <c r="D30" s="598"/>
      <c r="E30" s="599" t="s">
        <v>12433</v>
      </c>
      <c r="F30" s="600" t="s">
        <v>9735</v>
      </c>
      <c r="G30" s="601" t="s">
        <v>805</v>
      </c>
      <c r="H30" s="601" t="s">
        <v>805</v>
      </c>
      <c r="I30" s="596" t="s">
        <v>12214</v>
      </c>
      <c r="J30" s="596" t="s">
        <v>335</v>
      </c>
      <c r="K30" s="599" t="s">
        <v>12197</v>
      </c>
      <c r="L30" s="599" t="s">
        <v>12198</v>
      </c>
      <c r="M30" s="602" t="s">
        <v>12199</v>
      </c>
      <c r="N30" s="603" t="s">
        <v>7673</v>
      </c>
      <c r="O30" s="599">
        <v>1024</v>
      </c>
      <c r="P30" s="604">
        <v>0</v>
      </c>
      <c r="Q30" s="604">
        <v>0</v>
      </c>
      <c r="R30" s="605">
        <v>20000</v>
      </c>
      <c r="S30" s="604">
        <v>0</v>
      </c>
      <c r="T30" s="604">
        <v>0</v>
      </c>
      <c r="U30" s="604">
        <v>8960000</v>
      </c>
      <c r="V30" s="605">
        <v>4500000</v>
      </c>
      <c r="W30" s="596"/>
      <c r="X30" s="604">
        <v>0</v>
      </c>
      <c r="Y30" s="604">
        <v>450000</v>
      </c>
      <c r="Z30" s="604">
        <v>4950000</v>
      </c>
      <c r="AA30" s="604">
        <v>9900957</v>
      </c>
      <c r="AB30" s="604">
        <v>0</v>
      </c>
      <c r="AC30" s="606">
        <v>14850000</v>
      </c>
      <c r="AD30" s="604">
        <v>957</v>
      </c>
      <c r="AE30" s="603">
        <v>2</v>
      </c>
      <c r="AF30" s="607">
        <v>4950957</v>
      </c>
      <c r="AG30" s="608" t="s">
        <v>12434</v>
      </c>
      <c r="AH30" s="608" t="s">
        <v>12435</v>
      </c>
      <c r="AI30" s="603" t="s">
        <v>805</v>
      </c>
      <c r="AJ30" s="603" t="s">
        <v>12202</v>
      </c>
      <c r="AK30" s="603" t="s">
        <v>12203</v>
      </c>
      <c r="AL30" s="599" t="s">
        <v>12436</v>
      </c>
      <c r="AM30" s="609" t="s">
        <v>12437</v>
      </c>
      <c r="AN30" s="610" t="s">
        <v>12205</v>
      </c>
      <c r="AO30" s="610" t="s">
        <v>12206</v>
      </c>
      <c r="AP30" s="610" t="s">
        <v>12207</v>
      </c>
      <c r="AQ30" s="609" t="s">
        <v>12438</v>
      </c>
      <c r="AR30" s="599" t="s">
        <v>12439</v>
      </c>
      <c r="AS30" s="603" t="s">
        <v>423</v>
      </c>
      <c r="AT30" s="609" t="s">
        <v>2090</v>
      </c>
    </row>
    <row r="31" spans="1:46" ht="22.9" customHeight="1">
      <c r="A31" s="595" t="s">
        <v>12440</v>
      </c>
      <c r="B31" s="596" t="s">
        <v>12211</v>
      </c>
      <c r="C31" s="597" t="s">
        <v>12212</v>
      </c>
      <c r="D31" s="598"/>
      <c r="E31" s="599" t="s">
        <v>12441</v>
      </c>
      <c r="F31" s="600" t="s">
        <v>9735</v>
      </c>
      <c r="G31" s="601" t="s">
        <v>12143</v>
      </c>
      <c r="H31" s="601" t="s">
        <v>12143</v>
      </c>
      <c r="I31" s="596" t="s">
        <v>12214</v>
      </c>
      <c r="J31" s="596" t="s">
        <v>335</v>
      </c>
      <c r="K31" s="599" t="s">
        <v>12197</v>
      </c>
      <c r="L31" s="599" t="s">
        <v>12198</v>
      </c>
      <c r="M31" s="602" t="s">
        <v>12199</v>
      </c>
      <c r="N31" s="603" t="s">
        <v>7673</v>
      </c>
      <c r="O31" s="599">
        <v>1024</v>
      </c>
      <c r="P31" s="604">
        <v>0</v>
      </c>
      <c r="Q31" s="604">
        <v>0</v>
      </c>
      <c r="R31" s="605">
        <v>20000</v>
      </c>
      <c r="S31" s="604">
        <v>0</v>
      </c>
      <c r="T31" s="604">
        <v>0</v>
      </c>
      <c r="U31" s="604">
        <v>8960000</v>
      </c>
      <c r="V31" s="605">
        <v>4500000</v>
      </c>
      <c r="W31" s="596"/>
      <c r="X31" s="604">
        <v>0</v>
      </c>
      <c r="Y31" s="604">
        <v>450000</v>
      </c>
      <c r="Z31" s="604">
        <v>4950000</v>
      </c>
      <c r="AA31" s="604">
        <v>9900110</v>
      </c>
      <c r="AB31" s="604">
        <v>0</v>
      </c>
      <c r="AC31" s="606">
        <v>14850000</v>
      </c>
      <c r="AD31" s="604">
        <v>110</v>
      </c>
      <c r="AE31" s="603">
        <v>2</v>
      </c>
      <c r="AF31" s="607">
        <v>4950110</v>
      </c>
      <c r="AG31" s="608" t="s">
        <v>12442</v>
      </c>
      <c r="AH31" s="608" t="s">
        <v>12410</v>
      </c>
      <c r="AI31" s="603" t="s">
        <v>12143</v>
      </c>
      <c r="AJ31" s="603" t="s">
        <v>12202</v>
      </c>
      <c r="AK31" s="603" t="s">
        <v>12203</v>
      </c>
      <c r="AL31" s="599" t="s">
        <v>12443</v>
      </c>
      <c r="AM31" s="609" t="s">
        <v>12444</v>
      </c>
      <c r="AN31" s="610" t="s">
        <v>12445</v>
      </c>
      <c r="AO31" s="610" t="s">
        <v>12206</v>
      </c>
      <c r="AP31" s="610" t="s">
        <v>12207</v>
      </c>
      <c r="AQ31" s="609" t="s">
        <v>12353</v>
      </c>
      <c r="AR31" s="599" t="s">
        <v>12354</v>
      </c>
      <c r="AS31" s="603" t="s">
        <v>423</v>
      </c>
      <c r="AT31" s="609" t="s">
        <v>12446</v>
      </c>
    </row>
    <row r="32" spans="1:46" ht="17.100000000000001" customHeight="1">
      <c r="A32" s="595" t="s">
        <v>12447</v>
      </c>
      <c r="B32" s="596" t="s">
        <v>12211</v>
      </c>
      <c r="C32" s="597" t="s">
        <v>12212</v>
      </c>
      <c r="D32" s="598"/>
      <c r="E32" s="599"/>
      <c r="F32" s="600" t="s">
        <v>9735</v>
      </c>
      <c r="G32" s="601" t="s">
        <v>12448</v>
      </c>
      <c r="H32" s="601" t="s">
        <v>12448</v>
      </c>
      <c r="I32" s="596" t="s">
        <v>12214</v>
      </c>
      <c r="J32" s="596" t="s">
        <v>107</v>
      </c>
      <c r="K32" s="599" t="s">
        <v>12426</v>
      </c>
      <c r="L32" s="599" t="s">
        <v>12198</v>
      </c>
      <c r="M32" s="602" t="s">
        <v>12199</v>
      </c>
      <c r="N32" s="603" t="s">
        <v>7673</v>
      </c>
      <c r="O32" s="599">
        <v>1024</v>
      </c>
      <c r="P32" s="604">
        <v>0</v>
      </c>
      <c r="Q32" s="604">
        <v>0</v>
      </c>
      <c r="R32" s="605">
        <v>20000</v>
      </c>
      <c r="S32" s="604">
        <v>0</v>
      </c>
      <c r="T32" s="604">
        <v>0</v>
      </c>
      <c r="U32" s="604">
        <v>20800000</v>
      </c>
      <c r="V32" s="605">
        <v>10420000</v>
      </c>
      <c r="W32" s="596"/>
      <c r="X32" s="604">
        <v>0</v>
      </c>
      <c r="Y32" s="604">
        <v>1042000</v>
      </c>
      <c r="Z32" s="604">
        <v>11462000</v>
      </c>
      <c r="AA32" s="604">
        <v>22924463</v>
      </c>
      <c r="AB32" s="604">
        <v>0</v>
      </c>
      <c r="AC32" s="606">
        <v>34386000</v>
      </c>
      <c r="AD32" s="604">
        <v>463</v>
      </c>
      <c r="AE32" s="603">
        <v>2</v>
      </c>
      <c r="AF32" s="607">
        <v>11462463</v>
      </c>
      <c r="AG32" s="608" t="s">
        <v>12449</v>
      </c>
      <c r="AH32" s="608" t="s">
        <v>12450</v>
      </c>
      <c r="AI32" s="603" t="s">
        <v>12448</v>
      </c>
      <c r="AJ32" s="603" t="s">
        <v>12202</v>
      </c>
      <c r="AK32" s="603" t="s">
        <v>12203</v>
      </c>
      <c r="AL32" s="599" t="s">
        <v>12451</v>
      </c>
      <c r="AM32" s="609" t="s">
        <v>12452</v>
      </c>
      <c r="AN32" s="610" t="s">
        <v>12453</v>
      </c>
      <c r="AO32" s="610" t="s">
        <v>12206</v>
      </c>
      <c r="AP32" s="610" t="s">
        <v>12207</v>
      </c>
      <c r="AQ32" s="609" t="s">
        <v>12454</v>
      </c>
      <c r="AR32" s="599" t="s">
        <v>12455</v>
      </c>
      <c r="AS32" s="603" t="s">
        <v>423</v>
      </c>
      <c r="AT32" s="609" t="s">
        <v>12456</v>
      </c>
    </row>
    <row r="33" spans="1:46" ht="22.9" customHeight="1">
      <c r="A33" s="595" t="s">
        <v>12457</v>
      </c>
      <c r="B33" s="596" t="s">
        <v>12211</v>
      </c>
      <c r="C33" s="597" t="s">
        <v>12212</v>
      </c>
      <c r="D33" s="598"/>
      <c r="E33" s="599"/>
      <c r="F33" s="600" t="s">
        <v>9735</v>
      </c>
      <c r="G33" s="601" t="s">
        <v>609</v>
      </c>
      <c r="H33" s="601" t="s">
        <v>609</v>
      </c>
      <c r="I33" s="596" t="s">
        <v>12214</v>
      </c>
      <c r="J33" s="596" t="s">
        <v>107</v>
      </c>
      <c r="K33" s="599" t="s">
        <v>12426</v>
      </c>
      <c r="L33" s="599" t="s">
        <v>12198</v>
      </c>
      <c r="M33" s="602" t="s">
        <v>12199</v>
      </c>
      <c r="N33" s="603" t="s">
        <v>7673</v>
      </c>
      <c r="O33" s="599">
        <v>1024</v>
      </c>
      <c r="P33" s="604">
        <v>0</v>
      </c>
      <c r="Q33" s="604">
        <v>0</v>
      </c>
      <c r="R33" s="605">
        <v>20000</v>
      </c>
      <c r="S33" s="604">
        <v>0</v>
      </c>
      <c r="T33" s="604">
        <v>0</v>
      </c>
      <c r="U33" s="604">
        <v>20800000</v>
      </c>
      <c r="V33" s="605">
        <v>10420000</v>
      </c>
      <c r="W33" s="596"/>
      <c r="X33" s="604">
        <v>0</v>
      </c>
      <c r="Y33" s="604">
        <v>1042000</v>
      </c>
      <c r="Z33" s="604">
        <v>11462000</v>
      </c>
      <c r="AA33" s="604">
        <v>22924524</v>
      </c>
      <c r="AB33" s="604">
        <v>0</v>
      </c>
      <c r="AC33" s="606">
        <v>34386000</v>
      </c>
      <c r="AD33" s="604">
        <v>524</v>
      </c>
      <c r="AE33" s="603">
        <v>2</v>
      </c>
      <c r="AF33" s="607">
        <v>11462524</v>
      </c>
      <c r="AG33" s="608" t="s">
        <v>12458</v>
      </c>
      <c r="AH33" s="608" t="s">
        <v>12459</v>
      </c>
      <c r="AI33" s="603" t="s">
        <v>609</v>
      </c>
      <c r="AJ33" s="603" t="s">
        <v>12202</v>
      </c>
      <c r="AK33" s="603" t="s">
        <v>12203</v>
      </c>
      <c r="AL33" s="599" t="s">
        <v>12460</v>
      </c>
      <c r="AM33" s="609" t="s">
        <v>12452</v>
      </c>
      <c r="AN33" s="610" t="s">
        <v>12461</v>
      </c>
      <c r="AO33" s="610" t="s">
        <v>12206</v>
      </c>
      <c r="AP33" s="610" t="s">
        <v>12207</v>
      </c>
      <c r="AQ33" s="609" t="s">
        <v>12278</v>
      </c>
      <c r="AR33" s="599" t="s">
        <v>12279</v>
      </c>
      <c r="AS33" s="603" t="s">
        <v>423</v>
      </c>
      <c r="AT33" s="609" t="s">
        <v>12462</v>
      </c>
    </row>
    <row r="34" spans="1:46" ht="22.9" customHeight="1">
      <c r="A34" s="595" t="s">
        <v>12463</v>
      </c>
      <c r="B34" s="596" t="s">
        <v>12211</v>
      </c>
      <c r="C34" s="597" t="s">
        <v>12212</v>
      </c>
      <c r="D34" s="598"/>
      <c r="E34" s="599"/>
      <c r="F34" s="600" t="s">
        <v>9735</v>
      </c>
      <c r="G34" s="601" t="s">
        <v>12464</v>
      </c>
      <c r="H34" s="601" t="s">
        <v>12464</v>
      </c>
      <c r="I34" s="596" t="s">
        <v>12214</v>
      </c>
      <c r="J34" s="596" t="s">
        <v>107</v>
      </c>
      <c r="K34" s="599" t="s">
        <v>12426</v>
      </c>
      <c r="L34" s="599" t="s">
        <v>12198</v>
      </c>
      <c r="M34" s="602" t="s">
        <v>12199</v>
      </c>
      <c r="N34" s="603" t="s">
        <v>7673</v>
      </c>
      <c r="O34" s="599">
        <v>1024</v>
      </c>
      <c r="P34" s="604">
        <v>0</v>
      </c>
      <c r="Q34" s="604">
        <v>0</v>
      </c>
      <c r="R34" s="605">
        <v>20000</v>
      </c>
      <c r="S34" s="604">
        <v>0</v>
      </c>
      <c r="T34" s="604">
        <v>0</v>
      </c>
      <c r="U34" s="604">
        <v>20800000</v>
      </c>
      <c r="V34" s="605">
        <v>10420000</v>
      </c>
      <c r="W34" s="596"/>
      <c r="X34" s="604">
        <v>0</v>
      </c>
      <c r="Y34" s="604">
        <v>1042000</v>
      </c>
      <c r="Z34" s="604">
        <v>11462000</v>
      </c>
      <c r="AA34" s="604">
        <v>22924650</v>
      </c>
      <c r="AB34" s="604">
        <v>0</v>
      </c>
      <c r="AC34" s="606">
        <v>34386000</v>
      </c>
      <c r="AD34" s="604">
        <v>650</v>
      </c>
      <c r="AE34" s="603">
        <v>2</v>
      </c>
      <c r="AF34" s="607">
        <v>11462650</v>
      </c>
      <c r="AG34" s="608" t="s">
        <v>12465</v>
      </c>
      <c r="AH34" s="608" t="s">
        <v>12466</v>
      </c>
      <c r="AI34" s="603" t="s">
        <v>12464</v>
      </c>
      <c r="AJ34" s="603" t="s">
        <v>12202</v>
      </c>
      <c r="AK34" s="603" t="s">
        <v>12203</v>
      </c>
      <c r="AL34" s="599" t="s">
        <v>12467</v>
      </c>
      <c r="AM34" s="609" t="s">
        <v>12452</v>
      </c>
      <c r="AN34" s="610" t="s">
        <v>12468</v>
      </c>
      <c r="AO34" s="610" t="s">
        <v>12206</v>
      </c>
      <c r="AP34" s="610" t="s">
        <v>12207</v>
      </c>
      <c r="AQ34" s="609" t="s">
        <v>12469</v>
      </c>
      <c r="AR34" s="599" t="s">
        <v>12470</v>
      </c>
      <c r="AS34" s="603" t="s">
        <v>423</v>
      </c>
      <c r="AT34" s="609" t="s">
        <v>12471</v>
      </c>
    </row>
    <row r="35" spans="1:46" ht="22.15" customHeight="1">
      <c r="A35" s="595" t="s">
        <v>12472</v>
      </c>
      <c r="B35" s="596" t="s">
        <v>12211</v>
      </c>
      <c r="C35" s="597" t="s">
        <v>12212</v>
      </c>
      <c r="D35" s="598"/>
      <c r="E35" s="599"/>
      <c r="F35" s="600" t="s">
        <v>9735</v>
      </c>
      <c r="G35" s="601" t="s">
        <v>12473</v>
      </c>
      <c r="H35" s="601" t="s">
        <v>12473</v>
      </c>
      <c r="I35" s="596" t="s">
        <v>12214</v>
      </c>
      <c r="J35" s="596" t="s">
        <v>107</v>
      </c>
      <c r="K35" s="599" t="s">
        <v>12426</v>
      </c>
      <c r="L35" s="599" t="s">
        <v>12198</v>
      </c>
      <c r="M35" s="602" t="s">
        <v>12199</v>
      </c>
      <c r="N35" s="603" t="s">
        <v>7673</v>
      </c>
      <c r="O35" s="599">
        <v>1024</v>
      </c>
      <c r="P35" s="604">
        <v>0</v>
      </c>
      <c r="Q35" s="604">
        <v>0</v>
      </c>
      <c r="R35" s="605">
        <v>20000</v>
      </c>
      <c r="S35" s="604">
        <v>0</v>
      </c>
      <c r="T35" s="604">
        <v>0</v>
      </c>
      <c r="U35" s="604">
        <v>20800000</v>
      </c>
      <c r="V35" s="605">
        <v>10420000</v>
      </c>
      <c r="W35" s="596"/>
      <c r="X35" s="604">
        <v>0</v>
      </c>
      <c r="Y35" s="604">
        <v>1042000</v>
      </c>
      <c r="Z35" s="604">
        <v>11462000</v>
      </c>
      <c r="AA35" s="604">
        <v>22924624</v>
      </c>
      <c r="AB35" s="604">
        <v>0</v>
      </c>
      <c r="AC35" s="606">
        <v>34386000</v>
      </c>
      <c r="AD35" s="604">
        <v>624</v>
      </c>
      <c r="AE35" s="603">
        <v>2</v>
      </c>
      <c r="AF35" s="607">
        <v>11462624</v>
      </c>
      <c r="AG35" s="608" t="s">
        <v>12474</v>
      </c>
      <c r="AH35" s="608" t="s">
        <v>12475</v>
      </c>
      <c r="AI35" s="603" t="s">
        <v>12473</v>
      </c>
      <c r="AJ35" s="603" t="s">
        <v>12202</v>
      </c>
      <c r="AK35" s="603" t="s">
        <v>12203</v>
      </c>
      <c r="AL35" s="599" t="s">
        <v>12476</v>
      </c>
      <c r="AM35" s="609" t="s">
        <v>12452</v>
      </c>
      <c r="AN35" s="610" t="s">
        <v>12477</v>
      </c>
      <c r="AO35" s="610" t="s">
        <v>12206</v>
      </c>
      <c r="AP35" s="610" t="s">
        <v>12207</v>
      </c>
      <c r="AQ35" s="609" t="s">
        <v>12478</v>
      </c>
      <c r="AR35" s="599" t="s">
        <v>12479</v>
      </c>
      <c r="AS35" s="603" t="s">
        <v>423</v>
      </c>
      <c r="AT35" s="609" t="s">
        <v>12480</v>
      </c>
    </row>
    <row r="36" spans="1:46" ht="17.850000000000001" customHeight="1">
      <c r="A36" s="595" t="s">
        <v>12481</v>
      </c>
      <c r="B36" s="596" t="s">
        <v>12211</v>
      </c>
      <c r="C36" s="597" t="s">
        <v>12212</v>
      </c>
      <c r="D36" s="598"/>
      <c r="E36" s="599"/>
      <c r="F36" s="600" t="s">
        <v>9735</v>
      </c>
      <c r="G36" s="601" t="s">
        <v>815</v>
      </c>
      <c r="H36" s="601" t="s">
        <v>815</v>
      </c>
      <c r="I36" s="596" t="s">
        <v>12214</v>
      </c>
      <c r="J36" s="596" t="s">
        <v>107</v>
      </c>
      <c r="K36" s="599" t="s">
        <v>12426</v>
      </c>
      <c r="L36" s="599" t="s">
        <v>12198</v>
      </c>
      <c r="M36" s="602" t="s">
        <v>12199</v>
      </c>
      <c r="N36" s="603" t="s">
        <v>7673</v>
      </c>
      <c r="O36" s="599">
        <v>1024</v>
      </c>
      <c r="P36" s="604">
        <v>0</v>
      </c>
      <c r="Q36" s="604">
        <v>0</v>
      </c>
      <c r="R36" s="605">
        <v>20000</v>
      </c>
      <c r="S36" s="604">
        <v>0</v>
      </c>
      <c r="T36" s="604">
        <v>0</v>
      </c>
      <c r="U36" s="604">
        <v>20800000</v>
      </c>
      <c r="V36" s="605">
        <v>10420000</v>
      </c>
      <c r="W36" s="596"/>
      <c r="X36" s="604">
        <v>0</v>
      </c>
      <c r="Y36" s="604">
        <v>1042000</v>
      </c>
      <c r="Z36" s="604">
        <v>11462000</v>
      </c>
      <c r="AA36" s="604">
        <v>22924866</v>
      </c>
      <c r="AB36" s="604">
        <v>0</v>
      </c>
      <c r="AC36" s="606">
        <v>34386000</v>
      </c>
      <c r="AD36" s="604">
        <v>866</v>
      </c>
      <c r="AE36" s="603">
        <v>2</v>
      </c>
      <c r="AF36" s="607">
        <v>11462866</v>
      </c>
      <c r="AG36" s="608" t="s">
        <v>12482</v>
      </c>
      <c r="AH36" s="608" t="s">
        <v>12483</v>
      </c>
      <c r="AI36" s="603" t="s">
        <v>815</v>
      </c>
      <c r="AJ36" s="603" t="s">
        <v>12202</v>
      </c>
      <c r="AK36" s="603" t="s">
        <v>12203</v>
      </c>
      <c r="AL36" s="599" t="s">
        <v>12484</v>
      </c>
      <c r="AM36" s="609" t="s">
        <v>4940</v>
      </c>
      <c r="AN36" s="610" t="s">
        <v>8427</v>
      </c>
      <c r="AO36" s="610" t="s">
        <v>12206</v>
      </c>
      <c r="AP36" s="610" t="s">
        <v>12207</v>
      </c>
      <c r="AQ36" s="609" t="s">
        <v>12422</v>
      </c>
      <c r="AR36" s="599" t="s">
        <v>12423</v>
      </c>
      <c r="AS36" s="603" t="s">
        <v>423</v>
      </c>
      <c r="AT36" s="609" t="s">
        <v>12485</v>
      </c>
    </row>
    <row r="37" spans="1:46" ht="17.850000000000001" customHeight="1">
      <c r="A37" s="595" t="s">
        <v>12486</v>
      </c>
      <c r="B37" s="596" t="s">
        <v>12211</v>
      </c>
      <c r="C37" s="597" t="s">
        <v>12212</v>
      </c>
      <c r="D37" s="598"/>
      <c r="E37" s="599"/>
      <c r="F37" s="600" t="s">
        <v>9735</v>
      </c>
      <c r="G37" s="601" t="s">
        <v>12487</v>
      </c>
      <c r="H37" s="601" t="s">
        <v>12487</v>
      </c>
      <c r="I37" s="596" t="s">
        <v>12214</v>
      </c>
      <c r="J37" s="596" t="s">
        <v>107</v>
      </c>
      <c r="K37" s="599" t="s">
        <v>12426</v>
      </c>
      <c r="L37" s="599" t="s">
        <v>12198</v>
      </c>
      <c r="M37" s="602" t="s">
        <v>12199</v>
      </c>
      <c r="N37" s="603" t="s">
        <v>7673</v>
      </c>
      <c r="O37" s="599">
        <v>1024</v>
      </c>
      <c r="P37" s="604">
        <v>0</v>
      </c>
      <c r="Q37" s="604">
        <v>0</v>
      </c>
      <c r="R37" s="605">
        <v>20000</v>
      </c>
      <c r="S37" s="604">
        <v>0</v>
      </c>
      <c r="T37" s="604">
        <v>0</v>
      </c>
      <c r="U37" s="604">
        <v>20800000</v>
      </c>
      <c r="V37" s="605">
        <v>10420000</v>
      </c>
      <c r="W37" s="596"/>
      <c r="X37" s="604">
        <v>0</v>
      </c>
      <c r="Y37" s="604">
        <v>1042000</v>
      </c>
      <c r="Z37" s="604">
        <v>11462000</v>
      </c>
      <c r="AA37" s="604">
        <v>22924089</v>
      </c>
      <c r="AB37" s="604">
        <v>0</v>
      </c>
      <c r="AC37" s="606">
        <v>34386000</v>
      </c>
      <c r="AD37" s="604">
        <v>89</v>
      </c>
      <c r="AE37" s="603">
        <v>2</v>
      </c>
      <c r="AF37" s="607">
        <v>11462089</v>
      </c>
      <c r="AG37" s="608" t="s">
        <v>12488</v>
      </c>
      <c r="AH37" s="608" t="s">
        <v>12489</v>
      </c>
      <c r="AI37" s="603" t="s">
        <v>12487</v>
      </c>
      <c r="AJ37" s="603" t="s">
        <v>12202</v>
      </c>
      <c r="AK37" s="603" t="s">
        <v>12203</v>
      </c>
      <c r="AL37" s="599" t="s">
        <v>12490</v>
      </c>
      <c r="AM37" s="609" t="s">
        <v>12491</v>
      </c>
      <c r="AN37" s="610" t="s">
        <v>12492</v>
      </c>
      <c r="AO37" s="610" t="s">
        <v>12206</v>
      </c>
      <c r="AP37" s="610" t="s">
        <v>12207</v>
      </c>
      <c r="AQ37" s="609" t="s">
        <v>12322</v>
      </c>
      <c r="AR37" s="599" t="s">
        <v>12323</v>
      </c>
      <c r="AS37" s="603" t="s">
        <v>423</v>
      </c>
      <c r="AT37" s="609" t="s">
        <v>12493</v>
      </c>
    </row>
    <row r="38" spans="1:46" ht="22.15" customHeight="1">
      <c r="A38" s="595" t="s">
        <v>12494</v>
      </c>
      <c r="B38" s="596" t="s">
        <v>12211</v>
      </c>
      <c r="C38" s="597" t="s">
        <v>12212</v>
      </c>
      <c r="D38" s="598"/>
      <c r="E38" s="599" t="s">
        <v>12495</v>
      </c>
      <c r="F38" s="600" t="s">
        <v>9735</v>
      </c>
      <c r="G38" s="601" t="s">
        <v>12496</v>
      </c>
      <c r="H38" s="601" t="s">
        <v>12496</v>
      </c>
      <c r="I38" s="596" t="s">
        <v>12225</v>
      </c>
      <c r="J38" s="596" t="s">
        <v>335</v>
      </c>
      <c r="K38" s="599" t="s">
        <v>12197</v>
      </c>
      <c r="L38" s="599" t="s">
        <v>12198</v>
      </c>
      <c r="M38" s="602" t="s">
        <v>12199</v>
      </c>
      <c r="N38" s="603" t="s">
        <v>7673</v>
      </c>
      <c r="O38" s="599">
        <v>512</v>
      </c>
      <c r="P38" s="604">
        <v>0</v>
      </c>
      <c r="Q38" s="604">
        <v>0</v>
      </c>
      <c r="R38" s="605">
        <v>20000</v>
      </c>
      <c r="S38" s="604">
        <v>0</v>
      </c>
      <c r="T38" s="604">
        <v>0</v>
      </c>
      <c r="U38" s="604">
        <v>4480000</v>
      </c>
      <c r="V38" s="605">
        <v>2260000</v>
      </c>
      <c r="W38" s="596"/>
      <c r="X38" s="604">
        <v>0</v>
      </c>
      <c r="Y38" s="604">
        <v>226000</v>
      </c>
      <c r="Z38" s="604">
        <v>2486000</v>
      </c>
      <c r="AA38" s="604">
        <v>4972894</v>
      </c>
      <c r="AB38" s="604">
        <v>0</v>
      </c>
      <c r="AC38" s="606">
        <v>7458000</v>
      </c>
      <c r="AD38" s="604">
        <v>894</v>
      </c>
      <c r="AE38" s="603">
        <v>2</v>
      </c>
      <c r="AF38" s="607">
        <v>2486894</v>
      </c>
      <c r="AG38" s="608" t="s">
        <v>12497</v>
      </c>
      <c r="AH38" s="608" t="s">
        <v>12320</v>
      </c>
      <c r="AI38" s="603" t="s">
        <v>12496</v>
      </c>
      <c r="AJ38" s="603" t="s">
        <v>12202</v>
      </c>
      <c r="AK38" s="603" t="s">
        <v>12203</v>
      </c>
      <c r="AL38" s="599" t="s">
        <v>12498</v>
      </c>
      <c r="AM38" s="609" t="s">
        <v>12229</v>
      </c>
      <c r="AN38" s="610" t="s">
        <v>12477</v>
      </c>
      <c r="AO38" s="610" t="s">
        <v>12206</v>
      </c>
      <c r="AP38" s="610" t="s">
        <v>12207</v>
      </c>
      <c r="AQ38" s="609" t="s">
        <v>12478</v>
      </c>
      <c r="AR38" s="599" t="s">
        <v>12479</v>
      </c>
      <c r="AS38" s="603" t="s">
        <v>423</v>
      </c>
      <c r="AT38" s="609" t="s">
        <v>12499</v>
      </c>
    </row>
    <row r="39" spans="1:46" ht="22.9" customHeight="1">
      <c r="A39" s="595" t="s">
        <v>12500</v>
      </c>
      <c r="B39" s="596" t="s">
        <v>12211</v>
      </c>
      <c r="C39" s="597" t="s">
        <v>12212</v>
      </c>
      <c r="D39" s="598"/>
      <c r="E39" s="599" t="s">
        <v>12501</v>
      </c>
      <c r="F39" s="600" t="s">
        <v>9735</v>
      </c>
      <c r="G39" s="601" t="s">
        <v>811</v>
      </c>
      <c r="H39" s="601" t="s">
        <v>811</v>
      </c>
      <c r="I39" s="596" t="s">
        <v>12225</v>
      </c>
      <c r="J39" s="596" t="s">
        <v>335</v>
      </c>
      <c r="K39" s="599" t="s">
        <v>12197</v>
      </c>
      <c r="L39" s="599" t="s">
        <v>12198</v>
      </c>
      <c r="M39" s="602" t="s">
        <v>12199</v>
      </c>
      <c r="N39" s="603" t="s">
        <v>7673</v>
      </c>
      <c r="O39" s="599">
        <v>512</v>
      </c>
      <c r="P39" s="604">
        <v>0</v>
      </c>
      <c r="Q39" s="604">
        <v>0</v>
      </c>
      <c r="R39" s="605">
        <v>20000</v>
      </c>
      <c r="S39" s="604">
        <v>0</v>
      </c>
      <c r="T39" s="604">
        <v>0</v>
      </c>
      <c r="U39" s="604">
        <v>4480000</v>
      </c>
      <c r="V39" s="605">
        <v>2260000</v>
      </c>
      <c r="W39" s="596"/>
      <c r="X39" s="604">
        <v>0</v>
      </c>
      <c r="Y39" s="604">
        <v>226000</v>
      </c>
      <c r="Z39" s="604">
        <v>2486000</v>
      </c>
      <c r="AA39" s="604">
        <v>4972947</v>
      </c>
      <c r="AB39" s="604">
        <v>0</v>
      </c>
      <c r="AC39" s="606">
        <v>7458000</v>
      </c>
      <c r="AD39" s="604">
        <v>947</v>
      </c>
      <c r="AE39" s="603">
        <v>2</v>
      </c>
      <c r="AF39" s="607">
        <v>2486947</v>
      </c>
      <c r="AG39" s="608" t="s">
        <v>12502</v>
      </c>
      <c r="AH39" s="608" t="s">
        <v>12267</v>
      </c>
      <c r="AI39" s="603" t="s">
        <v>811</v>
      </c>
      <c r="AJ39" s="603" t="s">
        <v>12202</v>
      </c>
      <c r="AK39" s="603" t="s">
        <v>12203</v>
      </c>
      <c r="AL39" s="599" t="s">
        <v>12503</v>
      </c>
      <c r="AM39" s="609" t="s">
        <v>12504</v>
      </c>
      <c r="AN39" s="610" t="s">
        <v>12505</v>
      </c>
      <c r="AO39" s="610" t="s">
        <v>12206</v>
      </c>
      <c r="AP39" s="610" t="s">
        <v>12207</v>
      </c>
      <c r="AQ39" s="609" t="s">
        <v>12422</v>
      </c>
      <c r="AR39" s="599" t="s">
        <v>12423</v>
      </c>
      <c r="AS39" s="603" t="s">
        <v>423</v>
      </c>
      <c r="AT39" s="609" t="s">
        <v>12506</v>
      </c>
    </row>
    <row r="40" spans="1:46" ht="22.9" customHeight="1">
      <c r="A40" s="595" t="s">
        <v>12507</v>
      </c>
      <c r="B40" s="596" t="s">
        <v>12211</v>
      </c>
      <c r="C40" s="597" t="s">
        <v>12212</v>
      </c>
      <c r="D40" s="598"/>
      <c r="E40" s="599" t="s">
        <v>12508</v>
      </c>
      <c r="F40" s="600" t="s">
        <v>9735</v>
      </c>
      <c r="G40" s="601" t="s">
        <v>12509</v>
      </c>
      <c r="H40" s="601" t="s">
        <v>12509</v>
      </c>
      <c r="I40" s="596" t="s">
        <v>12214</v>
      </c>
      <c r="J40" s="596" t="s">
        <v>335</v>
      </c>
      <c r="K40" s="599" t="s">
        <v>12197</v>
      </c>
      <c r="L40" s="599" t="s">
        <v>12198</v>
      </c>
      <c r="M40" s="602" t="s">
        <v>12199</v>
      </c>
      <c r="N40" s="603" t="s">
        <v>7673</v>
      </c>
      <c r="O40" s="599">
        <v>1024</v>
      </c>
      <c r="P40" s="604">
        <v>0</v>
      </c>
      <c r="Q40" s="604">
        <v>0</v>
      </c>
      <c r="R40" s="605">
        <v>20000</v>
      </c>
      <c r="S40" s="604">
        <v>0</v>
      </c>
      <c r="T40" s="604">
        <v>0</v>
      </c>
      <c r="U40" s="604">
        <v>8960000</v>
      </c>
      <c r="V40" s="605">
        <v>4500000</v>
      </c>
      <c r="W40" s="596"/>
      <c r="X40" s="604">
        <v>0</v>
      </c>
      <c r="Y40" s="604">
        <v>450000</v>
      </c>
      <c r="Z40" s="604">
        <v>4950000</v>
      </c>
      <c r="AA40" s="604">
        <v>9900944</v>
      </c>
      <c r="AB40" s="604">
        <v>0</v>
      </c>
      <c r="AC40" s="606">
        <v>14850000</v>
      </c>
      <c r="AD40" s="604">
        <v>944</v>
      </c>
      <c r="AE40" s="603">
        <v>2</v>
      </c>
      <c r="AF40" s="607">
        <v>4950944.0299999714</v>
      </c>
      <c r="AG40" s="608" t="s">
        <v>12510</v>
      </c>
      <c r="AH40" s="608" t="s">
        <v>12511</v>
      </c>
      <c r="AI40" s="603" t="s">
        <v>12509</v>
      </c>
      <c r="AJ40" s="603" t="s">
        <v>12202</v>
      </c>
      <c r="AK40" s="603" t="s">
        <v>12203</v>
      </c>
      <c r="AL40" s="599" t="s">
        <v>12512</v>
      </c>
      <c r="AM40" s="609" t="s">
        <v>12504</v>
      </c>
      <c r="AN40" s="610" t="s">
        <v>12513</v>
      </c>
      <c r="AO40" s="610" t="s">
        <v>12206</v>
      </c>
      <c r="AP40" s="610" t="s">
        <v>12207</v>
      </c>
      <c r="AQ40" s="609" t="s">
        <v>12514</v>
      </c>
      <c r="AR40" s="599" t="s">
        <v>12515</v>
      </c>
      <c r="AS40" s="603" t="s">
        <v>423</v>
      </c>
      <c r="AT40" s="609" t="s">
        <v>12516</v>
      </c>
    </row>
    <row r="41" spans="1:46" ht="22.15" customHeight="1">
      <c r="A41" s="595" t="s">
        <v>12517</v>
      </c>
      <c r="B41" s="596" t="s">
        <v>12211</v>
      </c>
      <c r="C41" s="597" t="s">
        <v>12212</v>
      </c>
      <c r="D41" s="598"/>
      <c r="E41" s="599"/>
      <c r="F41" s="600" t="s">
        <v>9735</v>
      </c>
      <c r="G41" s="601" t="s">
        <v>12518</v>
      </c>
      <c r="H41" s="601" t="s">
        <v>12518</v>
      </c>
      <c r="I41" s="596" t="s">
        <v>12214</v>
      </c>
      <c r="J41" s="596" t="s">
        <v>107</v>
      </c>
      <c r="K41" s="599" t="s">
        <v>12426</v>
      </c>
      <c r="L41" s="599" t="s">
        <v>12198</v>
      </c>
      <c r="M41" s="602" t="s">
        <v>12199</v>
      </c>
      <c r="N41" s="603" t="s">
        <v>7673</v>
      </c>
      <c r="O41" s="599">
        <v>1024</v>
      </c>
      <c r="P41" s="604">
        <v>0</v>
      </c>
      <c r="Q41" s="604">
        <v>0</v>
      </c>
      <c r="R41" s="605">
        <v>20000</v>
      </c>
      <c r="S41" s="604">
        <v>0</v>
      </c>
      <c r="T41" s="604">
        <v>0</v>
      </c>
      <c r="U41" s="604">
        <v>20800000</v>
      </c>
      <c r="V41" s="605">
        <v>10420000</v>
      </c>
      <c r="W41" s="596"/>
      <c r="X41" s="604">
        <v>0</v>
      </c>
      <c r="Y41" s="604">
        <v>1042000</v>
      </c>
      <c r="Z41" s="604">
        <v>11462000</v>
      </c>
      <c r="AA41" s="604">
        <v>22924783</v>
      </c>
      <c r="AB41" s="604">
        <v>0</v>
      </c>
      <c r="AC41" s="606">
        <v>34386000</v>
      </c>
      <c r="AD41" s="604">
        <v>783</v>
      </c>
      <c r="AE41" s="603">
        <v>2</v>
      </c>
      <c r="AF41" s="607">
        <v>11462783</v>
      </c>
      <c r="AG41" s="608" t="s">
        <v>12519</v>
      </c>
      <c r="AH41" s="608" t="s">
        <v>12475</v>
      </c>
      <c r="AI41" s="603" t="s">
        <v>12518</v>
      </c>
      <c r="AJ41" s="603" t="s">
        <v>12202</v>
      </c>
      <c r="AK41" s="603" t="s">
        <v>12203</v>
      </c>
      <c r="AL41" s="599" t="s">
        <v>12512</v>
      </c>
      <c r="AM41" s="609" t="s">
        <v>12452</v>
      </c>
      <c r="AN41" s="610" t="s">
        <v>12520</v>
      </c>
      <c r="AO41" s="610" t="s">
        <v>12206</v>
      </c>
      <c r="AP41" s="610" t="s">
        <v>12207</v>
      </c>
      <c r="AQ41" s="609" t="s">
        <v>12240</v>
      </c>
      <c r="AR41" s="599" t="s">
        <v>12241</v>
      </c>
      <c r="AS41" s="603" t="s">
        <v>423</v>
      </c>
      <c r="AT41" s="609" t="s">
        <v>12521</v>
      </c>
    </row>
    <row r="42" spans="1:46" ht="22.9" customHeight="1">
      <c r="A42" s="595" t="s">
        <v>12522</v>
      </c>
      <c r="B42" s="596" t="s">
        <v>12211</v>
      </c>
      <c r="C42" s="597" t="s">
        <v>12212</v>
      </c>
      <c r="D42" s="598"/>
      <c r="E42" s="599"/>
      <c r="F42" s="600" t="s">
        <v>9735</v>
      </c>
      <c r="G42" s="601" t="s">
        <v>11468</v>
      </c>
      <c r="H42" s="601" t="s">
        <v>11468</v>
      </c>
      <c r="I42" s="596" t="s">
        <v>12214</v>
      </c>
      <c r="J42" s="596" t="s">
        <v>107</v>
      </c>
      <c r="K42" s="599" t="s">
        <v>12426</v>
      </c>
      <c r="L42" s="599" t="s">
        <v>12198</v>
      </c>
      <c r="M42" s="602" t="s">
        <v>12199</v>
      </c>
      <c r="N42" s="603" t="s">
        <v>7673</v>
      </c>
      <c r="O42" s="599">
        <v>1024</v>
      </c>
      <c r="P42" s="604">
        <v>0</v>
      </c>
      <c r="Q42" s="604">
        <v>0</v>
      </c>
      <c r="R42" s="605">
        <v>20000</v>
      </c>
      <c r="S42" s="604">
        <v>0</v>
      </c>
      <c r="T42" s="604">
        <v>0</v>
      </c>
      <c r="U42" s="604">
        <v>20800000</v>
      </c>
      <c r="V42" s="605">
        <v>10420000</v>
      </c>
      <c r="W42" s="596"/>
      <c r="X42" s="604">
        <v>0</v>
      </c>
      <c r="Y42" s="604">
        <v>1042000</v>
      </c>
      <c r="Z42" s="604">
        <v>11462000</v>
      </c>
      <c r="AA42" s="604">
        <v>22924914</v>
      </c>
      <c r="AB42" s="604">
        <v>0</v>
      </c>
      <c r="AC42" s="606">
        <v>34386000</v>
      </c>
      <c r="AD42" s="604">
        <v>914</v>
      </c>
      <c r="AE42" s="603">
        <v>2</v>
      </c>
      <c r="AF42" s="607">
        <v>11462914</v>
      </c>
      <c r="AG42" s="608" t="s">
        <v>12523</v>
      </c>
      <c r="AH42" s="608" t="s">
        <v>12524</v>
      </c>
      <c r="AI42" s="603" t="s">
        <v>11468</v>
      </c>
      <c r="AJ42" s="603" t="s">
        <v>12202</v>
      </c>
      <c r="AK42" s="603" t="s">
        <v>12203</v>
      </c>
      <c r="AL42" s="599" t="s">
        <v>12525</v>
      </c>
      <c r="AM42" s="609" t="s">
        <v>4940</v>
      </c>
      <c r="AN42" s="610" t="s">
        <v>12526</v>
      </c>
      <c r="AO42" s="610" t="s">
        <v>12206</v>
      </c>
      <c r="AP42" s="610" t="s">
        <v>12207</v>
      </c>
      <c r="AQ42" s="609" t="s">
        <v>12527</v>
      </c>
      <c r="AR42" s="599" t="s">
        <v>12528</v>
      </c>
      <c r="AS42" s="603" t="s">
        <v>423</v>
      </c>
      <c r="AT42" s="609" t="s">
        <v>12529</v>
      </c>
    </row>
    <row r="43" spans="1:46" ht="17.850000000000001" customHeight="1">
      <c r="A43" s="595" t="s">
        <v>12530</v>
      </c>
      <c r="B43" s="596" t="s">
        <v>12211</v>
      </c>
      <c r="C43" s="597" t="s">
        <v>12212</v>
      </c>
      <c r="D43" s="598"/>
      <c r="E43" s="599"/>
      <c r="F43" s="600" t="s">
        <v>9735</v>
      </c>
      <c r="G43" s="601" t="s">
        <v>770</v>
      </c>
      <c r="H43" s="601" t="s">
        <v>770</v>
      </c>
      <c r="I43" s="596" t="s">
        <v>12214</v>
      </c>
      <c r="J43" s="596" t="s">
        <v>107</v>
      </c>
      <c r="K43" s="599" t="s">
        <v>12426</v>
      </c>
      <c r="L43" s="599" t="s">
        <v>12198</v>
      </c>
      <c r="M43" s="602" t="s">
        <v>12199</v>
      </c>
      <c r="N43" s="603" t="s">
        <v>7673</v>
      </c>
      <c r="O43" s="599">
        <v>1024</v>
      </c>
      <c r="P43" s="604">
        <v>0</v>
      </c>
      <c r="Q43" s="604">
        <v>0</v>
      </c>
      <c r="R43" s="605">
        <v>20000</v>
      </c>
      <c r="S43" s="604">
        <v>0</v>
      </c>
      <c r="T43" s="604">
        <v>0</v>
      </c>
      <c r="U43" s="604">
        <v>20800000</v>
      </c>
      <c r="V43" s="605">
        <v>10420000</v>
      </c>
      <c r="W43" s="596"/>
      <c r="X43" s="604">
        <v>0</v>
      </c>
      <c r="Y43" s="604">
        <v>1042000</v>
      </c>
      <c r="Z43" s="604">
        <v>11462000</v>
      </c>
      <c r="AA43" s="604">
        <v>22924528</v>
      </c>
      <c r="AB43" s="604">
        <v>0</v>
      </c>
      <c r="AC43" s="606">
        <v>34386000</v>
      </c>
      <c r="AD43" s="604">
        <v>528</v>
      </c>
      <c r="AE43" s="603">
        <v>2</v>
      </c>
      <c r="AF43" s="607">
        <v>11462528</v>
      </c>
      <c r="AG43" s="608" t="s">
        <v>12531</v>
      </c>
      <c r="AH43" s="608" t="s">
        <v>12450</v>
      </c>
      <c r="AI43" s="603" t="s">
        <v>770</v>
      </c>
      <c r="AJ43" s="603" t="s">
        <v>12202</v>
      </c>
      <c r="AK43" s="603" t="s">
        <v>12203</v>
      </c>
      <c r="AL43" s="599" t="s">
        <v>12532</v>
      </c>
      <c r="AM43" s="609" t="s">
        <v>12452</v>
      </c>
      <c r="AN43" s="610" t="s">
        <v>8888</v>
      </c>
      <c r="AO43" s="610" t="s">
        <v>12206</v>
      </c>
      <c r="AP43" s="610" t="s">
        <v>12207</v>
      </c>
      <c r="AQ43" s="609" t="s">
        <v>12533</v>
      </c>
      <c r="AR43" s="599" t="s">
        <v>12534</v>
      </c>
      <c r="AS43" s="603" t="s">
        <v>423</v>
      </c>
      <c r="AT43" s="609" t="s">
        <v>12535</v>
      </c>
    </row>
    <row r="44" spans="1:46" ht="22.9" customHeight="1">
      <c r="A44" s="595" t="s">
        <v>12536</v>
      </c>
      <c r="B44" s="596" t="s">
        <v>12211</v>
      </c>
      <c r="C44" s="597" t="s">
        <v>12212</v>
      </c>
      <c r="D44" s="598"/>
      <c r="E44" s="599" t="s">
        <v>12537</v>
      </c>
      <c r="F44" s="600" t="s">
        <v>9735</v>
      </c>
      <c r="G44" s="601" t="s">
        <v>12538</v>
      </c>
      <c r="H44" s="601" t="s">
        <v>12538</v>
      </c>
      <c r="I44" s="596" t="s">
        <v>12214</v>
      </c>
      <c r="J44" s="596" t="s">
        <v>335</v>
      </c>
      <c r="K44" s="599" t="s">
        <v>12197</v>
      </c>
      <c r="L44" s="599" t="s">
        <v>12198</v>
      </c>
      <c r="M44" s="602" t="s">
        <v>12199</v>
      </c>
      <c r="N44" s="603" t="s">
        <v>7673</v>
      </c>
      <c r="O44" s="599">
        <v>1024</v>
      </c>
      <c r="P44" s="604">
        <v>0</v>
      </c>
      <c r="Q44" s="604">
        <v>0</v>
      </c>
      <c r="R44" s="605">
        <v>0</v>
      </c>
      <c r="S44" s="604">
        <v>0</v>
      </c>
      <c r="T44" s="604">
        <v>0</v>
      </c>
      <c r="U44" s="604">
        <v>8960000</v>
      </c>
      <c r="V44" s="605">
        <v>4480000</v>
      </c>
      <c r="W44" s="596"/>
      <c r="X44" s="604">
        <v>0</v>
      </c>
      <c r="Y44" s="604">
        <v>448000</v>
      </c>
      <c r="Z44" s="604">
        <v>4928000</v>
      </c>
      <c r="AA44" s="604">
        <v>9856865</v>
      </c>
      <c r="AB44" s="604">
        <v>0</v>
      </c>
      <c r="AC44" s="606">
        <v>14784000</v>
      </c>
      <c r="AD44" s="604">
        <v>865</v>
      </c>
      <c r="AE44" s="603">
        <v>2</v>
      </c>
      <c r="AF44" s="607">
        <v>4928865.3333333321</v>
      </c>
      <c r="AG44" s="608" t="s">
        <v>12539</v>
      </c>
      <c r="AH44" s="608" t="s">
        <v>12540</v>
      </c>
      <c r="AI44" s="603" t="s">
        <v>12538</v>
      </c>
      <c r="AJ44" s="603" t="s">
        <v>12202</v>
      </c>
      <c r="AK44" s="603" t="s">
        <v>12203</v>
      </c>
      <c r="AL44" s="599" t="s">
        <v>12541</v>
      </c>
      <c r="AM44" s="609" t="s">
        <v>4940</v>
      </c>
      <c r="AN44" s="610" t="s">
        <v>8341</v>
      </c>
      <c r="AO44" s="610" t="s">
        <v>12206</v>
      </c>
      <c r="AP44" s="610" t="s">
        <v>12207</v>
      </c>
      <c r="AQ44" s="609" t="s">
        <v>12542</v>
      </c>
      <c r="AR44" s="599" t="s">
        <v>12543</v>
      </c>
      <c r="AS44" s="603" t="s">
        <v>423</v>
      </c>
      <c r="AT44" s="609" t="s">
        <v>12544</v>
      </c>
    </row>
    <row r="45" spans="1:46" ht="22.15" customHeight="1">
      <c r="A45" s="595" t="s">
        <v>12545</v>
      </c>
      <c r="B45" s="596" t="s">
        <v>12211</v>
      </c>
      <c r="C45" s="597" t="s">
        <v>12212</v>
      </c>
      <c r="D45" s="598"/>
      <c r="E45" s="599" t="s">
        <v>12546</v>
      </c>
      <c r="F45" s="600" t="s">
        <v>9735</v>
      </c>
      <c r="G45" s="601" t="s">
        <v>12547</v>
      </c>
      <c r="H45" s="601" t="s">
        <v>12547</v>
      </c>
      <c r="I45" s="596" t="s">
        <v>12225</v>
      </c>
      <c r="J45" s="596" t="s">
        <v>335</v>
      </c>
      <c r="K45" s="599" t="s">
        <v>12197</v>
      </c>
      <c r="L45" s="599" t="s">
        <v>12198</v>
      </c>
      <c r="M45" s="602" t="s">
        <v>12199</v>
      </c>
      <c r="N45" s="603" t="s">
        <v>7673</v>
      </c>
      <c r="O45" s="599">
        <v>512</v>
      </c>
      <c r="P45" s="604">
        <v>0</v>
      </c>
      <c r="Q45" s="604">
        <v>0</v>
      </c>
      <c r="R45" s="605">
        <v>20000</v>
      </c>
      <c r="S45" s="604">
        <v>0</v>
      </c>
      <c r="T45" s="604">
        <v>0</v>
      </c>
      <c r="U45" s="604">
        <v>4480000</v>
      </c>
      <c r="V45" s="605">
        <v>2260000</v>
      </c>
      <c r="W45" s="596"/>
      <c r="X45" s="604">
        <v>0</v>
      </c>
      <c r="Y45" s="604">
        <v>226000</v>
      </c>
      <c r="Z45" s="604">
        <v>2486000</v>
      </c>
      <c r="AA45" s="604">
        <v>4972057</v>
      </c>
      <c r="AB45" s="604">
        <v>0</v>
      </c>
      <c r="AC45" s="606">
        <v>7458000</v>
      </c>
      <c r="AD45" s="604">
        <v>57</v>
      </c>
      <c r="AE45" s="603">
        <v>2</v>
      </c>
      <c r="AF45" s="607">
        <v>2486057</v>
      </c>
      <c r="AG45" s="608" t="s">
        <v>12548</v>
      </c>
      <c r="AH45" s="608" t="s">
        <v>12294</v>
      </c>
      <c r="AI45" s="603" t="s">
        <v>12547</v>
      </c>
      <c r="AJ45" s="603" t="s">
        <v>12202</v>
      </c>
      <c r="AK45" s="603" t="s">
        <v>12203</v>
      </c>
      <c r="AL45" s="599" t="s">
        <v>12549</v>
      </c>
      <c r="AM45" s="609" t="s">
        <v>4940</v>
      </c>
      <c r="AN45" s="610" t="s">
        <v>8341</v>
      </c>
      <c r="AO45" s="610" t="s">
        <v>12206</v>
      </c>
      <c r="AP45" s="610" t="s">
        <v>12207</v>
      </c>
      <c r="AQ45" s="609" t="s">
        <v>12454</v>
      </c>
      <c r="AR45" s="599" t="s">
        <v>12455</v>
      </c>
      <c r="AS45" s="603" t="s">
        <v>423</v>
      </c>
      <c r="AT45" s="609" t="s">
        <v>12550</v>
      </c>
    </row>
    <row r="46" spans="1:46" ht="22.9" customHeight="1">
      <c r="A46" s="595" t="s">
        <v>12551</v>
      </c>
      <c r="B46" s="596" t="s">
        <v>12211</v>
      </c>
      <c r="C46" s="597" t="s">
        <v>12212</v>
      </c>
      <c r="D46" s="598"/>
      <c r="E46" s="599" t="s">
        <v>12552</v>
      </c>
      <c r="F46" s="600" t="s">
        <v>9735</v>
      </c>
      <c r="G46" s="601" t="s">
        <v>12553</v>
      </c>
      <c r="H46" s="601" t="s">
        <v>12553</v>
      </c>
      <c r="I46" s="596" t="s">
        <v>12225</v>
      </c>
      <c r="J46" s="596" t="s">
        <v>335</v>
      </c>
      <c r="K46" s="599" t="s">
        <v>12197</v>
      </c>
      <c r="L46" s="599" t="s">
        <v>12198</v>
      </c>
      <c r="M46" s="602" t="s">
        <v>12199</v>
      </c>
      <c r="N46" s="603" t="s">
        <v>7673</v>
      </c>
      <c r="O46" s="599">
        <v>512</v>
      </c>
      <c r="P46" s="604">
        <v>0</v>
      </c>
      <c r="Q46" s="604">
        <v>0</v>
      </c>
      <c r="R46" s="605">
        <v>20000</v>
      </c>
      <c r="S46" s="604">
        <v>0</v>
      </c>
      <c r="T46" s="604">
        <v>0</v>
      </c>
      <c r="U46" s="604">
        <v>4480000</v>
      </c>
      <c r="V46" s="605">
        <v>2260000</v>
      </c>
      <c r="W46" s="596"/>
      <c r="X46" s="604">
        <v>0</v>
      </c>
      <c r="Y46" s="604">
        <v>226000</v>
      </c>
      <c r="Z46" s="604">
        <v>2486000</v>
      </c>
      <c r="AA46" s="604">
        <v>4972382</v>
      </c>
      <c r="AB46" s="604">
        <v>0</v>
      </c>
      <c r="AC46" s="606">
        <v>7458000</v>
      </c>
      <c r="AD46" s="604">
        <v>382</v>
      </c>
      <c r="AE46" s="603">
        <v>2</v>
      </c>
      <c r="AF46" s="607">
        <v>2486382</v>
      </c>
      <c r="AG46" s="608" t="s">
        <v>12554</v>
      </c>
      <c r="AH46" s="608" t="s">
        <v>12320</v>
      </c>
      <c r="AI46" s="603" t="s">
        <v>12553</v>
      </c>
      <c r="AJ46" s="603" t="s">
        <v>12202</v>
      </c>
      <c r="AK46" s="603" t="s">
        <v>12203</v>
      </c>
      <c r="AL46" s="599" t="s">
        <v>12555</v>
      </c>
      <c r="AM46" s="609" t="s">
        <v>4940</v>
      </c>
      <c r="AN46" s="610" t="s">
        <v>12556</v>
      </c>
      <c r="AO46" s="610" t="s">
        <v>12206</v>
      </c>
      <c r="AP46" s="610" t="s">
        <v>12207</v>
      </c>
      <c r="AQ46" s="609" t="s">
        <v>12557</v>
      </c>
      <c r="AR46" s="599" t="s">
        <v>12558</v>
      </c>
      <c r="AS46" s="603" t="s">
        <v>423</v>
      </c>
      <c r="AT46" s="609" t="s">
        <v>12559</v>
      </c>
    </row>
    <row r="47" spans="1:46" ht="17.850000000000001" customHeight="1">
      <c r="A47" s="595" t="s">
        <v>12560</v>
      </c>
      <c r="B47" s="596" t="s">
        <v>12211</v>
      </c>
      <c r="C47" s="597" t="s">
        <v>12212</v>
      </c>
      <c r="D47" s="598"/>
      <c r="E47" s="599" t="s">
        <v>12561</v>
      </c>
      <c r="F47" s="600" t="s">
        <v>9735</v>
      </c>
      <c r="G47" s="601" t="s">
        <v>12562</v>
      </c>
      <c r="H47" s="601" t="s">
        <v>12562</v>
      </c>
      <c r="I47" s="596" t="s">
        <v>12225</v>
      </c>
      <c r="J47" s="596" t="s">
        <v>335</v>
      </c>
      <c r="K47" s="599" t="s">
        <v>12197</v>
      </c>
      <c r="L47" s="599" t="s">
        <v>12198</v>
      </c>
      <c r="M47" s="602" t="s">
        <v>12199</v>
      </c>
      <c r="N47" s="603" t="s">
        <v>7673</v>
      </c>
      <c r="O47" s="599">
        <v>512</v>
      </c>
      <c r="P47" s="604">
        <v>0</v>
      </c>
      <c r="Q47" s="604">
        <v>0</v>
      </c>
      <c r="R47" s="605">
        <v>20000</v>
      </c>
      <c r="S47" s="604">
        <v>0</v>
      </c>
      <c r="T47" s="604">
        <v>0</v>
      </c>
      <c r="U47" s="604">
        <v>4480000</v>
      </c>
      <c r="V47" s="605">
        <v>2260000</v>
      </c>
      <c r="W47" s="596"/>
      <c r="X47" s="604">
        <v>0</v>
      </c>
      <c r="Y47" s="604">
        <v>226000</v>
      </c>
      <c r="Z47" s="604">
        <v>2486000</v>
      </c>
      <c r="AA47" s="604">
        <v>4972282</v>
      </c>
      <c r="AB47" s="604">
        <v>0</v>
      </c>
      <c r="AC47" s="606">
        <v>7458000</v>
      </c>
      <c r="AD47" s="604">
        <v>282</v>
      </c>
      <c r="AE47" s="603">
        <v>2</v>
      </c>
      <c r="AF47" s="607">
        <v>2486282</v>
      </c>
      <c r="AG47" s="608" t="s">
        <v>12563</v>
      </c>
      <c r="AH47" s="608" t="s">
        <v>12360</v>
      </c>
      <c r="AI47" s="603" t="s">
        <v>12562</v>
      </c>
      <c r="AJ47" s="603" t="s">
        <v>12202</v>
      </c>
      <c r="AK47" s="603" t="s">
        <v>12203</v>
      </c>
      <c r="AL47" s="599" t="s">
        <v>12564</v>
      </c>
      <c r="AM47" s="609" t="s">
        <v>4940</v>
      </c>
      <c r="AN47" s="610" t="s">
        <v>12565</v>
      </c>
      <c r="AO47" s="610" t="s">
        <v>12206</v>
      </c>
      <c r="AP47" s="610" t="s">
        <v>12207</v>
      </c>
      <c r="AQ47" s="609" t="s">
        <v>12566</v>
      </c>
      <c r="AR47" s="599" t="s">
        <v>12567</v>
      </c>
      <c r="AS47" s="603" t="s">
        <v>423</v>
      </c>
      <c r="AT47" s="609" t="s">
        <v>12568</v>
      </c>
    </row>
    <row r="48" spans="1:46" ht="22.15" customHeight="1">
      <c r="A48" s="595" t="s">
        <v>12569</v>
      </c>
      <c r="B48" s="596" t="s">
        <v>12211</v>
      </c>
      <c r="C48" s="597" t="s">
        <v>12212</v>
      </c>
      <c r="D48" s="598"/>
      <c r="E48" s="599"/>
      <c r="F48" s="600" t="s">
        <v>9735</v>
      </c>
      <c r="G48" s="601" t="s">
        <v>878</v>
      </c>
      <c r="H48" s="601" t="s">
        <v>878</v>
      </c>
      <c r="I48" s="596" t="s">
        <v>12255</v>
      </c>
      <c r="J48" s="596" t="s">
        <v>107</v>
      </c>
      <c r="K48" s="599" t="s">
        <v>12426</v>
      </c>
      <c r="L48" s="599" t="s">
        <v>12198</v>
      </c>
      <c r="M48" s="602" t="s">
        <v>12199</v>
      </c>
      <c r="N48" s="603" t="s">
        <v>7673</v>
      </c>
      <c r="O48" s="599">
        <v>2048</v>
      </c>
      <c r="P48" s="604">
        <v>0</v>
      </c>
      <c r="Q48" s="604">
        <v>0</v>
      </c>
      <c r="R48" s="605">
        <v>20000</v>
      </c>
      <c r="S48" s="604">
        <v>0</v>
      </c>
      <c r="T48" s="604">
        <v>0</v>
      </c>
      <c r="U48" s="604">
        <v>36400000</v>
      </c>
      <c r="V48" s="605">
        <v>18220000</v>
      </c>
      <c r="W48" s="596"/>
      <c r="X48" s="604">
        <v>0</v>
      </c>
      <c r="Y48" s="604">
        <v>1822000</v>
      </c>
      <c r="Z48" s="604">
        <v>20042000</v>
      </c>
      <c r="AA48" s="604">
        <v>40084307</v>
      </c>
      <c r="AB48" s="604">
        <v>0</v>
      </c>
      <c r="AC48" s="606">
        <v>60126000</v>
      </c>
      <c r="AD48" s="604">
        <v>307</v>
      </c>
      <c r="AE48" s="603">
        <v>2</v>
      </c>
      <c r="AF48" s="607">
        <v>20042307</v>
      </c>
      <c r="AG48" s="608" t="s">
        <v>12570</v>
      </c>
      <c r="AH48" s="608" t="s">
        <v>12571</v>
      </c>
      <c r="AI48" s="603" t="s">
        <v>878</v>
      </c>
      <c r="AJ48" s="603" t="s">
        <v>12202</v>
      </c>
      <c r="AK48" s="603" t="s">
        <v>12203</v>
      </c>
      <c r="AL48" s="599" t="s">
        <v>12572</v>
      </c>
      <c r="AM48" s="609" t="s">
        <v>12573</v>
      </c>
      <c r="AN48" s="610" t="s">
        <v>12565</v>
      </c>
      <c r="AO48" s="610" t="s">
        <v>12206</v>
      </c>
      <c r="AP48" s="610" t="s">
        <v>12207</v>
      </c>
      <c r="AQ48" s="609" t="s">
        <v>12557</v>
      </c>
      <c r="AR48" s="599" t="s">
        <v>12558</v>
      </c>
      <c r="AS48" s="603" t="s">
        <v>423</v>
      </c>
      <c r="AT48" s="609" t="s">
        <v>12574</v>
      </c>
    </row>
    <row r="49" spans="1:46" ht="22.9" customHeight="1">
      <c r="A49" s="595" t="s">
        <v>12575</v>
      </c>
      <c r="B49" s="596" t="s">
        <v>12211</v>
      </c>
      <c r="C49" s="597" t="s">
        <v>12212</v>
      </c>
      <c r="D49" s="598"/>
      <c r="E49" s="599"/>
      <c r="F49" s="600" t="s">
        <v>9735</v>
      </c>
      <c r="G49" s="601" t="s">
        <v>12576</v>
      </c>
      <c r="H49" s="601" t="s">
        <v>12576</v>
      </c>
      <c r="I49" s="596" t="s">
        <v>12214</v>
      </c>
      <c r="J49" s="596" t="s">
        <v>107</v>
      </c>
      <c r="K49" s="599" t="s">
        <v>12426</v>
      </c>
      <c r="L49" s="599" t="s">
        <v>12198</v>
      </c>
      <c r="M49" s="602" t="s">
        <v>12199</v>
      </c>
      <c r="N49" s="603" t="s">
        <v>7673</v>
      </c>
      <c r="O49" s="599">
        <v>1024</v>
      </c>
      <c r="P49" s="604">
        <v>0</v>
      </c>
      <c r="Q49" s="604">
        <v>0</v>
      </c>
      <c r="R49" s="605">
        <v>20000</v>
      </c>
      <c r="S49" s="604">
        <v>0</v>
      </c>
      <c r="T49" s="604">
        <v>0</v>
      </c>
      <c r="U49" s="604">
        <v>20800000</v>
      </c>
      <c r="V49" s="605">
        <v>10420000</v>
      </c>
      <c r="W49" s="596"/>
      <c r="X49" s="604">
        <v>0</v>
      </c>
      <c r="Y49" s="604">
        <v>1042000</v>
      </c>
      <c r="Z49" s="604">
        <v>11462000</v>
      </c>
      <c r="AA49" s="604">
        <v>22924628</v>
      </c>
      <c r="AB49" s="604">
        <v>0</v>
      </c>
      <c r="AC49" s="606">
        <v>34386000</v>
      </c>
      <c r="AD49" s="604">
        <v>628</v>
      </c>
      <c r="AE49" s="603">
        <v>2</v>
      </c>
      <c r="AF49" s="607">
        <v>11462628</v>
      </c>
      <c r="AG49" s="608" t="s">
        <v>12577</v>
      </c>
      <c r="AH49" s="608" t="s">
        <v>12524</v>
      </c>
      <c r="AI49" s="603" t="s">
        <v>12576</v>
      </c>
      <c r="AJ49" s="603" t="s">
        <v>12202</v>
      </c>
      <c r="AK49" s="603" t="s">
        <v>12203</v>
      </c>
      <c r="AL49" s="599" t="s">
        <v>12555</v>
      </c>
      <c r="AM49" s="609" t="s">
        <v>12444</v>
      </c>
      <c r="AN49" s="610" t="s">
        <v>12578</v>
      </c>
      <c r="AO49" s="610" t="s">
        <v>12206</v>
      </c>
      <c r="AP49" s="610" t="s">
        <v>12207</v>
      </c>
      <c r="AQ49" s="609" t="s">
        <v>12542</v>
      </c>
      <c r="AR49" s="599" t="s">
        <v>12543</v>
      </c>
      <c r="AS49" s="603" t="s">
        <v>423</v>
      </c>
      <c r="AT49" s="609" t="s">
        <v>12579</v>
      </c>
    </row>
    <row r="50" spans="1:46" ht="17.850000000000001" customHeight="1">
      <c r="A50" s="595" t="s">
        <v>12580</v>
      </c>
      <c r="B50" s="596" t="s">
        <v>12211</v>
      </c>
      <c r="C50" s="597" t="s">
        <v>12212</v>
      </c>
      <c r="D50" s="598"/>
      <c r="E50" s="599"/>
      <c r="F50" s="600" t="s">
        <v>9735</v>
      </c>
      <c r="G50" s="601" t="s">
        <v>733</v>
      </c>
      <c r="H50" s="601" t="s">
        <v>733</v>
      </c>
      <c r="I50" s="596" t="s">
        <v>12214</v>
      </c>
      <c r="J50" s="596" t="s">
        <v>107</v>
      </c>
      <c r="K50" s="599" t="s">
        <v>12426</v>
      </c>
      <c r="L50" s="599" t="s">
        <v>12198</v>
      </c>
      <c r="M50" s="602" t="s">
        <v>12199</v>
      </c>
      <c r="N50" s="603" t="s">
        <v>7673</v>
      </c>
      <c r="O50" s="599">
        <v>1024</v>
      </c>
      <c r="P50" s="604">
        <v>0</v>
      </c>
      <c r="Q50" s="604">
        <v>0</v>
      </c>
      <c r="R50" s="605">
        <v>20000</v>
      </c>
      <c r="S50" s="604">
        <v>0</v>
      </c>
      <c r="T50" s="604">
        <v>0</v>
      </c>
      <c r="U50" s="604">
        <v>20800000</v>
      </c>
      <c r="V50" s="605">
        <v>10420000</v>
      </c>
      <c r="W50" s="596"/>
      <c r="X50" s="604">
        <v>0</v>
      </c>
      <c r="Y50" s="604">
        <v>1042000</v>
      </c>
      <c r="Z50" s="604">
        <v>11462000</v>
      </c>
      <c r="AA50" s="604">
        <v>22924690</v>
      </c>
      <c r="AB50" s="604">
        <v>0</v>
      </c>
      <c r="AC50" s="606">
        <v>34386000</v>
      </c>
      <c r="AD50" s="604">
        <v>690</v>
      </c>
      <c r="AE50" s="603">
        <v>2</v>
      </c>
      <c r="AF50" s="607">
        <v>11462690</v>
      </c>
      <c r="AG50" s="608" t="s">
        <v>12581</v>
      </c>
      <c r="AH50" s="608" t="s">
        <v>12524</v>
      </c>
      <c r="AI50" s="603" t="s">
        <v>733</v>
      </c>
      <c r="AJ50" s="603" t="s">
        <v>12202</v>
      </c>
      <c r="AK50" s="603" t="s">
        <v>12203</v>
      </c>
      <c r="AL50" s="599" t="s">
        <v>12582</v>
      </c>
      <c r="AM50" s="609" t="s">
        <v>12444</v>
      </c>
      <c r="AN50" s="610" t="s">
        <v>8376</v>
      </c>
      <c r="AO50" s="610" t="s">
        <v>12206</v>
      </c>
      <c r="AP50" s="610" t="s">
        <v>12207</v>
      </c>
      <c r="AQ50" s="609" t="s">
        <v>12362</v>
      </c>
      <c r="AR50" s="599" t="s">
        <v>12363</v>
      </c>
      <c r="AS50" s="603" t="s">
        <v>423</v>
      </c>
      <c r="AT50" s="609" t="s">
        <v>12583</v>
      </c>
    </row>
    <row r="51" spans="1:46" ht="17.100000000000001" customHeight="1">
      <c r="A51" s="595" t="s">
        <v>12584</v>
      </c>
      <c r="B51" s="596" t="s">
        <v>12211</v>
      </c>
      <c r="C51" s="597" t="s">
        <v>12212</v>
      </c>
      <c r="D51" s="598"/>
      <c r="E51" s="599"/>
      <c r="F51" s="600" t="s">
        <v>9735</v>
      </c>
      <c r="G51" s="601" t="s">
        <v>12585</v>
      </c>
      <c r="H51" s="601" t="s">
        <v>12585</v>
      </c>
      <c r="I51" s="596" t="s">
        <v>12214</v>
      </c>
      <c r="J51" s="596" t="s">
        <v>107</v>
      </c>
      <c r="K51" s="599" t="s">
        <v>12426</v>
      </c>
      <c r="L51" s="599" t="s">
        <v>12198</v>
      </c>
      <c r="M51" s="602" t="s">
        <v>12199</v>
      </c>
      <c r="N51" s="603" t="s">
        <v>7673</v>
      </c>
      <c r="O51" s="599">
        <v>1024</v>
      </c>
      <c r="P51" s="604">
        <v>0</v>
      </c>
      <c r="Q51" s="604">
        <v>0</v>
      </c>
      <c r="R51" s="605">
        <v>20000</v>
      </c>
      <c r="S51" s="604">
        <v>0</v>
      </c>
      <c r="T51" s="604">
        <v>0</v>
      </c>
      <c r="U51" s="604">
        <v>20800000</v>
      </c>
      <c r="V51" s="605">
        <v>10420000</v>
      </c>
      <c r="W51" s="596"/>
      <c r="X51" s="604">
        <v>0</v>
      </c>
      <c r="Y51" s="604">
        <v>1042000</v>
      </c>
      <c r="Z51" s="604">
        <v>11462000</v>
      </c>
      <c r="AA51" s="604">
        <v>22924100</v>
      </c>
      <c r="AB51" s="604">
        <v>0</v>
      </c>
      <c r="AC51" s="606">
        <v>34386000</v>
      </c>
      <c r="AD51" s="604">
        <v>100</v>
      </c>
      <c r="AE51" s="603">
        <v>2</v>
      </c>
      <c r="AF51" s="607">
        <v>11462100</v>
      </c>
      <c r="AG51" s="608" t="s">
        <v>12586</v>
      </c>
      <c r="AH51" s="608" t="s">
        <v>12524</v>
      </c>
      <c r="AI51" s="603" t="s">
        <v>12585</v>
      </c>
      <c r="AJ51" s="603" t="s">
        <v>12202</v>
      </c>
      <c r="AK51" s="603" t="s">
        <v>12203</v>
      </c>
      <c r="AL51" s="599" t="s">
        <v>12587</v>
      </c>
      <c r="AM51" s="609" t="s">
        <v>12444</v>
      </c>
      <c r="AN51" s="610" t="s">
        <v>12588</v>
      </c>
      <c r="AO51" s="610" t="s">
        <v>12206</v>
      </c>
      <c r="AP51" s="610" t="s">
        <v>12207</v>
      </c>
      <c r="AQ51" s="609" t="s">
        <v>12589</v>
      </c>
      <c r="AR51" s="599" t="s">
        <v>12590</v>
      </c>
      <c r="AS51" s="603" t="s">
        <v>423</v>
      </c>
      <c r="AT51" s="609" t="s">
        <v>12591</v>
      </c>
    </row>
    <row r="52" spans="1:46" ht="22.9" customHeight="1">
      <c r="A52" s="595" t="s">
        <v>12592</v>
      </c>
      <c r="B52" s="596" t="s">
        <v>12211</v>
      </c>
      <c r="C52" s="597" t="s">
        <v>12212</v>
      </c>
      <c r="D52" s="598"/>
      <c r="E52" s="599"/>
      <c r="F52" s="600" t="s">
        <v>9735</v>
      </c>
      <c r="G52" s="601" t="s">
        <v>12593</v>
      </c>
      <c r="H52" s="601" t="s">
        <v>12593</v>
      </c>
      <c r="I52" s="596" t="s">
        <v>12225</v>
      </c>
      <c r="J52" s="596" t="s">
        <v>107</v>
      </c>
      <c r="K52" s="599" t="s">
        <v>12426</v>
      </c>
      <c r="L52" s="599" t="s">
        <v>12198</v>
      </c>
      <c r="M52" s="602" t="s">
        <v>12199</v>
      </c>
      <c r="N52" s="603" t="s">
        <v>7673</v>
      </c>
      <c r="O52" s="599">
        <v>512</v>
      </c>
      <c r="P52" s="604">
        <v>0</v>
      </c>
      <c r="Q52" s="604">
        <v>0</v>
      </c>
      <c r="R52" s="605">
        <v>20000</v>
      </c>
      <c r="S52" s="604">
        <v>0</v>
      </c>
      <c r="T52" s="604">
        <v>0</v>
      </c>
      <c r="U52" s="604">
        <v>10400000</v>
      </c>
      <c r="V52" s="605">
        <v>5220000</v>
      </c>
      <c r="W52" s="596"/>
      <c r="X52" s="604">
        <v>0</v>
      </c>
      <c r="Y52" s="604">
        <v>522000</v>
      </c>
      <c r="Z52" s="604">
        <v>5742000</v>
      </c>
      <c r="AA52" s="604">
        <v>11484374</v>
      </c>
      <c r="AB52" s="604">
        <v>0</v>
      </c>
      <c r="AC52" s="606">
        <v>17226000</v>
      </c>
      <c r="AD52" s="604">
        <v>374</v>
      </c>
      <c r="AE52" s="603">
        <v>2</v>
      </c>
      <c r="AF52" s="607">
        <v>5742374</v>
      </c>
      <c r="AG52" s="608" t="s">
        <v>12594</v>
      </c>
      <c r="AH52" s="608" t="s">
        <v>12595</v>
      </c>
      <c r="AI52" s="603" t="s">
        <v>12593</v>
      </c>
      <c r="AJ52" s="603" t="s">
        <v>12202</v>
      </c>
      <c r="AK52" s="603" t="s">
        <v>12203</v>
      </c>
      <c r="AL52" s="599" t="s">
        <v>12596</v>
      </c>
      <c r="AM52" s="609" t="s">
        <v>12444</v>
      </c>
      <c r="AN52" s="610" t="s">
        <v>12597</v>
      </c>
      <c r="AO52" s="610" t="s">
        <v>12206</v>
      </c>
      <c r="AP52" s="610" t="s">
        <v>12207</v>
      </c>
      <c r="AQ52" s="609" t="s">
        <v>12422</v>
      </c>
      <c r="AR52" s="599" t="s">
        <v>12423</v>
      </c>
      <c r="AS52" s="603" t="s">
        <v>423</v>
      </c>
      <c r="AT52" s="609" t="s">
        <v>12598</v>
      </c>
    </row>
    <row r="53" spans="1:46" ht="22.9" customHeight="1">
      <c r="A53" s="595" t="s">
        <v>12599</v>
      </c>
      <c r="B53" s="596" t="s">
        <v>12211</v>
      </c>
      <c r="C53" s="597" t="s">
        <v>12212</v>
      </c>
      <c r="D53" s="598"/>
      <c r="E53" s="599" t="s">
        <v>12600</v>
      </c>
      <c r="F53" s="600" t="s">
        <v>9735</v>
      </c>
      <c r="G53" s="601" t="s">
        <v>12601</v>
      </c>
      <c r="H53" s="601" t="s">
        <v>12601</v>
      </c>
      <c r="I53" s="596" t="s">
        <v>12225</v>
      </c>
      <c r="J53" s="596" t="s">
        <v>335</v>
      </c>
      <c r="K53" s="599" t="s">
        <v>12197</v>
      </c>
      <c r="L53" s="599" t="s">
        <v>12198</v>
      </c>
      <c r="M53" s="602" t="s">
        <v>12199</v>
      </c>
      <c r="N53" s="603" t="s">
        <v>7673</v>
      </c>
      <c r="O53" s="599">
        <v>512</v>
      </c>
      <c r="P53" s="604">
        <v>0</v>
      </c>
      <c r="Q53" s="604">
        <v>0</v>
      </c>
      <c r="R53" s="605">
        <v>20000</v>
      </c>
      <c r="S53" s="604">
        <v>0</v>
      </c>
      <c r="T53" s="604">
        <v>0</v>
      </c>
      <c r="U53" s="604">
        <v>4480000</v>
      </c>
      <c r="V53" s="605">
        <v>2260000</v>
      </c>
      <c r="W53" s="596"/>
      <c r="X53" s="604">
        <v>0</v>
      </c>
      <c r="Y53" s="604">
        <v>226000</v>
      </c>
      <c r="Z53" s="604">
        <v>2486000</v>
      </c>
      <c r="AA53" s="604">
        <v>4972731</v>
      </c>
      <c r="AB53" s="604">
        <v>0</v>
      </c>
      <c r="AC53" s="606">
        <v>7458000</v>
      </c>
      <c r="AD53" s="604">
        <v>731</v>
      </c>
      <c r="AE53" s="603">
        <v>2</v>
      </c>
      <c r="AF53" s="607">
        <v>2486731</v>
      </c>
      <c r="AG53" s="608" t="s">
        <v>12602</v>
      </c>
      <c r="AH53" s="608" t="s">
        <v>12303</v>
      </c>
      <c r="AI53" s="603" t="s">
        <v>12601</v>
      </c>
      <c r="AJ53" s="603" t="s">
        <v>12202</v>
      </c>
      <c r="AK53" s="603" t="s">
        <v>12203</v>
      </c>
      <c r="AL53" s="599" t="s">
        <v>12603</v>
      </c>
      <c r="AM53" s="609" t="s">
        <v>4940</v>
      </c>
      <c r="AN53" s="610" t="s">
        <v>9005</v>
      </c>
      <c r="AO53" s="610" t="s">
        <v>12206</v>
      </c>
      <c r="AP53" s="610" t="s">
        <v>12207</v>
      </c>
      <c r="AQ53" s="609" t="s">
        <v>12604</v>
      </c>
      <c r="AR53" s="599" t="s">
        <v>12605</v>
      </c>
      <c r="AS53" s="603" t="s">
        <v>423</v>
      </c>
      <c r="AT53" s="609" t="s">
        <v>12606</v>
      </c>
    </row>
    <row r="54" spans="1:46" ht="22.15" customHeight="1">
      <c r="A54" s="595" t="s">
        <v>12607</v>
      </c>
      <c r="B54" s="596" t="s">
        <v>12211</v>
      </c>
      <c r="C54" s="597" t="s">
        <v>12212</v>
      </c>
      <c r="D54" s="598"/>
      <c r="E54" s="599"/>
      <c r="F54" s="600" t="s">
        <v>9735</v>
      </c>
      <c r="G54" s="601" t="s">
        <v>12608</v>
      </c>
      <c r="H54" s="601" t="s">
        <v>12608</v>
      </c>
      <c r="I54" s="596" t="s">
        <v>12255</v>
      </c>
      <c r="J54" s="596" t="s">
        <v>107</v>
      </c>
      <c r="K54" s="599" t="s">
        <v>12426</v>
      </c>
      <c r="L54" s="599" t="s">
        <v>12198</v>
      </c>
      <c r="M54" s="602" t="s">
        <v>12199</v>
      </c>
      <c r="N54" s="603" t="s">
        <v>7673</v>
      </c>
      <c r="O54" s="599">
        <v>2048</v>
      </c>
      <c r="P54" s="604">
        <v>0</v>
      </c>
      <c r="Q54" s="604">
        <v>0</v>
      </c>
      <c r="R54" s="605">
        <v>20000</v>
      </c>
      <c r="S54" s="604">
        <v>0</v>
      </c>
      <c r="T54" s="604">
        <v>0</v>
      </c>
      <c r="U54" s="604">
        <v>36400000</v>
      </c>
      <c r="V54" s="605">
        <v>18220000</v>
      </c>
      <c r="W54" s="596"/>
      <c r="X54" s="604">
        <v>0</v>
      </c>
      <c r="Y54" s="604">
        <v>1822000</v>
      </c>
      <c r="Z54" s="604">
        <v>20042000</v>
      </c>
      <c r="AA54" s="604">
        <v>40084839</v>
      </c>
      <c r="AB54" s="604">
        <v>0</v>
      </c>
      <c r="AC54" s="606">
        <v>60126000</v>
      </c>
      <c r="AD54" s="604">
        <v>839</v>
      </c>
      <c r="AE54" s="603">
        <v>2</v>
      </c>
      <c r="AF54" s="607">
        <v>20042839</v>
      </c>
      <c r="AG54" s="608" t="s">
        <v>12609</v>
      </c>
      <c r="AH54" s="608" t="s">
        <v>12610</v>
      </c>
      <c r="AI54" s="603" t="s">
        <v>12608</v>
      </c>
      <c r="AJ54" s="603" t="s">
        <v>12202</v>
      </c>
      <c r="AK54" s="603" t="s">
        <v>12203</v>
      </c>
      <c r="AL54" s="599" t="s">
        <v>12611</v>
      </c>
      <c r="AM54" s="609" t="s">
        <v>12444</v>
      </c>
      <c r="AN54" s="610" t="s">
        <v>8976</v>
      </c>
      <c r="AO54" s="610" t="s">
        <v>12206</v>
      </c>
      <c r="AP54" s="610" t="s">
        <v>12207</v>
      </c>
      <c r="AQ54" s="609" t="s">
        <v>12612</v>
      </c>
      <c r="AR54" s="599" t="s">
        <v>12613</v>
      </c>
      <c r="AS54" s="603" t="s">
        <v>423</v>
      </c>
      <c r="AT54" s="609" t="s">
        <v>12614</v>
      </c>
    </row>
    <row r="55" spans="1:46" ht="17.850000000000001" customHeight="1">
      <c r="A55" s="595" t="s">
        <v>12615</v>
      </c>
      <c r="B55" s="596" t="s">
        <v>12211</v>
      </c>
      <c r="C55" s="597" t="s">
        <v>12212</v>
      </c>
      <c r="D55" s="598"/>
      <c r="E55" s="599"/>
      <c r="F55" s="600" t="s">
        <v>9735</v>
      </c>
      <c r="G55" s="601" t="s">
        <v>12616</v>
      </c>
      <c r="H55" s="601" t="s">
        <v>12616</v>
      </c>
      <c r="I55" s="596" t="s">
        <v>12214</v>
      </c>
      <c r="J55" s="596" t="s">
        <v>107</v>
      </c>
      <c r="K55" s="599" t="s">
        <v>12426</v>
      </c>
      <c r="L55" s="599" t="s">
        <v>12198</v>
      </c>
      <c r="M55" s="602" t="s">
        <v>12199</v>
      </c>
      <c r="N55" s="603" t="s">
        <v>7673</v>
      </c>
      <c r="O55" s="599">
        <v>1024</v>
      </c>
      <c r="P55" s="604">
        <v>0</v>
      </c>
      <c r="Q55" s="604">
        <v>0</v>
      </c>
      <c r="R55" s="605">
        <v>20000</v>
      </c>
      <c r="S55" s="604">
        <v>0</v>
      </c>
      <c r="T55" s="604">
        <v>0</v>
      </c>
      <c r="U55" s="604">
        <v>20800000</v>
      </c>
      <c r="V55" s="605">
        <v>10420000</v>
      </c>
      <c r="W55" s="596"/>
      <c r="X55" s="604">
        <v>0</v>
      </c>
      <c r="Y55" s="604">
        <v>1042000</v>
      </c>
      <c r="Z55" s="604">
        <v>11462000</v>
      </c>
      <c r="AA55" s="604">
        <v>22924994</v>
      </c>
      <c r="AB55" s="604">
        <v>0</v>
      </c>
      <c r="AC55" s="606">
        <v>34386000</v>
      </c>
      <c r="AD55" s="604">
        <v>994</v>
      </c>
      <c r="AE55" s="603">
        <v>2</v>
      </c>
      <c r="AF55" s="607">
        <v>11462994</v>
      </c>
      <c r="AG55" s="608" t="s">
        <v>12617</v>
      </c>
      <c r="AH55" s="608" t="s">
        <v>12618</v>
      </c>
      <c r="AI55" s="603" t="s">
        <v>12616</v>
      </c>
      <c r="AJ55" s="603" t="s">
        <v>12202</v>
      </c>
      <c r="AK55" s="603" t="s">
        <v>12203</v>
      </c>
      <c r="AL55" s="599" t="s">
        <v>12619</v>
      </c>
      <c r="AM55" s="609" t="s">
        <v>12444</v>
      </c>
      <c r="AN55" s="610" t="s">
        <v>8964</v>
      </c>
      <c r="AO55" s="610" t="s">
        <v>12206</v>
      </c>
      <c r="AP55" s="610" t="s">
        <v>12207</v>
      </c>
      <c r="AQ55" s="609" t="s">
        <v>12313</v>
      </c>
      <c r="AR55" s="599" t="s">
        <v>12314</v>
      </c>
      <c r="AS55" s="603" t="s">
        <v>423</v>
      </c>
      <c r="AT55" s="609" t="s">
        <v>12620</v>
      </c>
    </row>
    <row r="56" spans="1:46" ht="22.9" customHeight="1">
      <c r="A56" s="595" t="s">
        <v>12621</v>
      </c>
      <c r="B56" s="596" t="s">
        <v>12211</v>
      </c>
      <c r="C56" s="597" t="s">
        <v>12212</v>
      </c>
      <c r="D56" s="598"/>
      <c r="E56" s="599"/>
      <c r="F56" s="600" t="s">
        <v>9735</v>
      </c>
      <c r="G56" s="601" t="s">
        <v>12622</v>
      </c>
      <c r="H56" s="601" t="s">
        <v>12622</v>
      </c>
      <c r="I56" s="596" t="s">
        <v>12214</v>
      </c>
      <c r="J56" s="596" t="s">
        <v>107</v>
      </c>
      <c r="K56" s="599" t="s">
        <v>12426</v>
      </c>
      <c r="L56" s="599" t="s">
        <v>12198</v>
      </c>
      <c r="M56" s="602" t="s">
        <v>12199</v>
      </c>
      <c r="N56" s="603" t="s">
        <v>7673</v>
      </c>
      <c r="O56" s="599">
        <v>1024</v>
      </c>
      <c r="P56" s="604">
        <v>0</v>
      </c>
      <c r="Q56" s="604">
        <v>0</v>
      </c>
      <c r="R56" s="605">
        <v>20000</v>
      </c>
      <c r="S56" s="604">
        <v>0</v>
      </c>
      <c r="T56" s="604">
        <v>0</v>
      </c>
      <c r="U56" s="604">
        <v>20800000</v>
      </c>
      <c r="V56" s="605">
        <v>10420000</v>
      </c>
      <c r="W56" s="596"/>
      <c r="X56" s="604">
        <v>0</v>
      </c>
      <c r="Y56" s="604">
        <v>1042000</v>
      </c>
      <c r="Z56" s="604">
        <v>11462000</v>
      </c>
      <c r="AA56" s="604">
        <v>22924824</v>
      </c>
      <c r="AB56" s="604">
        <v>0</v>
      </c>
      <c r="AC56" s="606">
        <v>34386000</v>
      </c>
      <c r="AD56" s="604">
        <v>824</v>
      </c>
      <c r="AE56" s="603">
        <v>2</v>
      </c>
      <c r="AF56" s="607">
        <v>11462824</v>
      </c>
      <c r="AG56" s="608" t="s">
        <v>12623</v>
      </c>
      <c r="AH56" s="608" t="s">
        <v>12450</v>
      </c>
      <c r="AI56" s="603" t="s">
        <v>12622</v>
      </c>
      <c r="AJ56" s="603" t="s">
        <v>12202</v>
      </c>
      <c r="AK56" s="603" t="s">
        <v>12203</v>
      </c>
      <c r="AL56" s="599" t="s">
        <v>12624</v>
      </c>
      <c r="AM56" s="609" t="s">
        <v>12444</v>
      </c>
      <c r="AN56" s="610" t="s">
        <v>8974</v>
      </c>
      <c r="AO56" s="610" t="s">
        <v>12206</v>
      </c>
      <c r="AP56" s="610" t="s">
        <v>12207</v>
      </c>
      <c r="AQ56" s="609" t="s">
        <v>12612</v>
      </c>
      <c r="AR56" s="599" t="s">
        <v>12613</v>
      </c>
      <c r="AS56" s="603" t="s">
        <v>423</v>
      </c>
      <c r="AT56" s="609" t="s">
        <v>12625</v>
      </c>
    </row>
    <row r="57" spans="1:46" ht="17.100000000000001" customHeight="1">
      <c r="A57" s="595" t="s">
        <v>12626</v>
      </c>
      <c r="B57" s="596" t="s">
        <v>12211</v>
      </c>
      <c r="C57" s="597" t="s">
        <v>12212</v>
      </c>
      <c r="D57" s="598"/>
      <c r="E57" s="599"/>
      <c r="F57" s="600" t="s">
        <v>9735</v>
      </c>
      <c r="G57" s="601" t="s">
        <v>12627</v>
      </c>
      <c r="H57" s="601" t="s">
        <v>12627</v>
      </c>
      <c r="I57" s="596" t="s">
        <v>12214</v>
      </c>
      <c r="J57" s="596" t="s">
        <v>107</v>
      </c>
      <c r="K57" s="599" t="s">
        <v>12426</v>
      </c>
      <c r="L57" s="599" t="s">
        <v>12198</v>
      </c>
      <c r="M57" s="602" t="s">
        <v>12199</v>
      </c>
      <c r="N57" s="603" t="s">
        <v>7673</v>
      </c>
      <c r="O57" s="599">
        <v>1024</v>
      </c>
      <c r="P57" s="604">
        <v>0</v>
      </c>
      <c r="Q57" s="604">
        <v>0</v>
      </c>
      <c r="R57" s="605">
        <v>20000</v>
      </c>
      <c r="S57" s="604">
        <v>0</v>
      </c>
      <c r="T57" s="604">
        <v>0</v>
      </c>
      <c r="U57" s="604">
        <v>20800000</v>
      </c>
      <c r="V57" s="605">
        <v>10420000</v>
      </c>
      <c r="W57" s="596"/>
      <c r="X57" s="604">
        <v>0</v>
      </c>
      <c r="Y57" s="604">
        <v>1042000</v>
      </c>
      <c r="Z57" s="604">
        <v>11462000</v>
      </c>
      <c r="AA57" s="604">
        <v>22924180</v>
      </c>
      <c r="AB57" s="604">
        <v>0</v>
      </c>
      <c r="AC57" s="606">
        <v>34386000</v>
      </c>
      <c r="AD57" s="604">
        <v>180</v>
      </c>
      <c r="AE57" s="603">
        <v>2</v>
      </c>
      <c r="AF57" s="607">
        <v>11462180</v>
      </c>
      <c r="AG57" s="608" t="s">
        <v>12628</v>
      </c>
      <c r="AH57" s="608" t="s">
        <v>12450</v>
      </c>
      <c r="AI57" s="603" t="s">
        <v>12627</v>
      </c>
      <c r="AJ57" s="603" t="s">
        <v>12202</v>
      </c>
      <c r="AK57" s="603" t="s">
        <v>12203</v>
      </c>
      <c r="AL57" s="599" t="s">
        <v>12629</v>
      </c>
      <c r="AM57" s="609" t="s">
        <v>12444</v>
      </c>
      <c r="AN57" s="610" t="s">
        <v>8974</v>
      </c>
      <c r="AO57" s="610" t="s">
        <v>12206</v>
      </c>
      <c r="AP57" s="610" t="s">
        <v>12207</v>
      </c>
      <c r="AQ57" s="609" t="s">
        <v>12630</v>
      </c>
      <c r="AR57" s="599" t="s">
        <v>12631</v>
      </c>
      <c r="AS57" s="603" t="s">
        <v>423</v>
      </c>
      <c r="AT57" s="609" t="s">
        <v>12632</v>
      </c>
    </row>
    <row r="58" spans="1:46" ht="17.850000000000001" customHeight="1">
      <c r="A58" s="595" t="s">
        <v>12633</v>
      </c>
      <c r="B58" s="596" t="s">
        <v>12211</v>
      </c>
      <c r="C58" s="597" t="s">
        <v>12212</v>
      </c>
      <c r="D58" s="598"/>
      <c r="E58" s="599"/>
      <c r="F58" s="600" t="s">
        <v>9735</v>
      </c>
      <c r="G58" s="601" t="s">
        <v>12634</v>
      </c>
      <c r="H58" s="601" t="s">
        <v>12634</v>
      </c>
      <c r="I58" s="596" t="s">
        <v>12214</v>
      </c>
      <c r="J58" s="596" t="s">
        <v>107</v>
      </c>
      <c r="K58" s="599" t="s">
        <v>12426</v>
      </c>
      <c r="L58" s="599" t="s">
        <v>12198</v>
      </c>
      <c r="M58" s="602" t="s">
        <v>12199</v>
      </c>
      <c r="N58" s="603" t="s">
        <v>7673</v>
      </c>
      <c r="O58" s="599">
        <v>1024</v>
      </c>
      <c r="P58" s="604">
        <v>0</v>
      </c>
      <c r="Q58" s="604">
        <v>0</v>
      </c>
      <c r="R58" s="605">
        <v>20000</v>
      </c>
      <c r="S58" s="604">
        <v>0</v>
      </c>
      <c r="T58" s="604">
        <v>0</v>
      </c>
      <c r="U58" s="604">
        <v>20800000</v>
      </c>
      <c r="V58" s="605">
        <v>10420000</v>
      </c>
      <c r="W58" s="596"/>
      <c r="X58" s="604">
        <v>0</v>
      </c>
      <c r="Y58" s="604">
        <v>1042000</v>
      </c>
      <c r="Z58" s="604">
        <v>11462000</v>
      </c>
      <c r="AA58" s="604">
        <v>22924708</v>
      </c>
      <c r="AB58" s="604">
        <v>0</v>
      </c>
      <c r="AC58" s="606">
        <v>34386000</v>
      </c>
      <c r="AD58" s="604">
        <v>708</v>
      </c>
      <c r="AE58" s="603">
        <v>2</v>
      </c>
      <c r="AF58" s="607">
        <v>11462708</v>
      </c>
      <c r="AG58" s="608" t="s">
        <v>12635</v>
      </c>
      <c r="AH58" s="608" t="s">
        <v>12428</v>
      </c>
      <c r="AI58" s="603" t="s">
        <v>12634</v>
      </c>
      <c r="AJ58" s="603" t="s">
        <v>12202</v>
      </c>
      <c r="AK58" s="603" t="s">
        <v>12203</v>
      </c>
      <c r="AL58" s="599" t="s">
        <v>12636</v>
      </c>
      <c r="AM58" s="609" t="s">
        <v>12444</v>
      </c>
      <c r="AN58" s="610" t="s">
        <v>12588</v>
      </c>
      <c r="AO58" s="610" t="s">
        <v>12206</v>
      </c>
      <c r="AP58" s="610" t="s">
        <v>12207</v>
      </c>
      <c r="AQ58" s="609" t="s">
        <v>12331</v>
      </c>
      <c r="AR58" s="599" t="s">
        <v>12332</v>
      </c>
      <c r="AS58" s="603" t="s">
        <v>423</v>
      </c>
      <c r="AT58" s="609" t="s">
        <v>12637</v>
      </c>
    </row>
    <row r="59" spans="1:46" ht="22.9" customHeight="1">
      <c r="A59" s="595" t="s">
        <v>12638</v>
      </c>
      <c r="B59" s="596" t="s">
        <v>12211</v>
      </c>
      <c r="C59" s="597" t="s">
        <v>12212</v>
      </c>
      <c r="D59" s="598"/>
      <c r="E59" s="599" t="s">
        <v>12639</v>
      </c>
      <c r="F59" s="600" t="s">
        <v>9735</v>
      </c>
      <c r="G59" s="601" t="s">
        <v>12640</v>
      </c>
      <c r="H59" s="601" t="s">
        <v>12640</v>
      </c>
      <c r="I59" s="596" t="s">
        <v>12214</v>
      </c>
      <c r="J59" s="596" t="s">
        <v>335</v>
      </c>
      <c r="K59" s="599" t="s">
        <v>12197</v>
      </c>
      <c r="L59" s="599" t="s">
        <v>12198</v>
      </c>
      <c r="M59" s="602" t="s">
        <v>12199</v>
      </c>
      <c r="N59" s="603" t="s">
        <v>7673</v>
      </c>
      <c r="O59" s="599">
        <v>1024</v>
      </c>
      <c r="P59" s="604">
        <v>0</v>
      </c>
      <c r="Q59" s="604">
        <v>0</v>
      </c>
      <c r="R59" s="605">
        <v>0</v>
      </c>
      <c r="S59" s="604">
        <v>0</v>
      </c>
      <c r="T59" s="604">
        <v>0</v>
      </c>
      <c r="U59" s="604">
        <v>8960000</v>
      </c>
      <c r="V59" s="605">
        <v>4480000</v>
      </c>
      <c r="W59" s="596"/>
      <c r="X59" s="604">
        <v>0</v>
      </c>
      <c r="Y59" s="604">
        <v>448000</v>
      </c>
      <c r="Z59" s="604">
        <v>4928000</v>
      </c>
      <c r="AA59" s="604">
        <v>9856547</v>
      </c>
      <c r="AB59" s="604">
        <v>0</v>
      </c>
      <c r="AC59" s="606">
        <v>14784000</v>
      </c>
      <c r="AD59" s="604">
        <v>547</v>
      </c>
      <c r="AE59" s="603">
        <v>2</v>
      </c>
      <c r="AF59" s="607">
        <v>4928547</v>
      </c>
      <c r="AG59" s="608" t="s">
        <v>12641</v>
      </c>
      <c r="AH59" s="608" t="s">
        <v>12642</v>
      </c>
      <c r="AI59" s="603" t="s">
        <v>12640</v>
      </c>
      <c r="AJ59" s="603" t="s">
        <v>12202</v>
      </c>
      <c r="AK59" s="603" t="s">
        <v>12203</v>
      </c>
      <c r="AL59" s="599" t="s">
        <v>12643</v>
      </c>
      <c r="AM59" s="609" t="s">
        <v>4940</v>
      </c>
      <c r="AN59" s="610" t="s">
        <v>12644</v>
      </c>
      <c r="AO59" s="610" t="s">
        <v>12206</v>
      </c>
      <c r="AP59" s="610" t="s">
        <v>12207</v>
      </c>
      <c r="AQ59" s="609" t="s">
        <v>12612</v>
      </c>
      <c r="AR59" s="599" t="s">
        <v>12613</v>
      </c>
      <c r="AS59" s="603" t="s">
        <v>423</v>
      </c>
      <c r="AT59" s="609" t="s">
        <v>12645</v>
      </c>
    </row>
    <row r="60" spans="1:46" ht="22.15" customHeight="1">
      <c r="A60" s="595" t="s">
        <v>12646</v>
      </c>
      <c r="B60" s="596" t="s">
        <v>12211</v>
      </c>
      <c r="C60" s="597" t="s">
        <v>12212</v>
      </c>
      <c r="D60" s="598"/>
      <c r="E60" s="599"/>
      <c r="F60" s="600" t="s">
        <v>9735</v>
      </c>
      <c r="G60" s="601" t="s">
        <v>12647</v>
      </c>
      <c r="H60" s="601" t="s">
        <v>12648</v>
      </c>
      <c r="I60" s="596" t="s">
        <v>12649</v>
      </c>
      <c r="J60" s="596" t="s">
        <v>335</v>
      </c>
      <c r="K60" s="599" t="s">
        <v>12197</v>
      </c>
      <c r="L60" s="599" t="s">
        <v>12198</v>
      </c>
      <c r="M60" s="602" t="s">
        <v>12199</v>
      </c>
      <c r="N60" s="603" t="s">
        <v>7673</v>
      </c>
      <c r="O60" s="599">
        <v>10240</v>
      </c>
      <c r="P60" s="604">
        <v>0</v>
      </c>
      <c r="Q60" s="604">
        <v>0</v>
      </c>
      <c r="R60" s="605">
        <v>20000</v>
      </c>
      <c r="S60" s="604">
        <v>0</v>
      </c>
      <c r="T60" s="604">
        <v>0</v>
      </c>
      <c r="U60" s="604">
        <v>35466666.666666664</v>
      </c>
      <c r="V60" s="605">
        <v>17753333.333333332</v>
      </c>
      <c r="W60" s="596"/>
      <c r="X60" s="604">
        <v>0</v>
      </c>
      <c r="Y60" s="604">
        <v>1775333.333333333</v>
      </c>
      <c r="Z60" s="604">
        <v>19528666.666666664</v>
      </c>
      <c r="AA60" s="604">
        <v>39057484</v>
      </c>
      <c r="AB60" s="604">
        <v>0</v>
      </c>
      <c r="AC60" s="606">
        <v>58586000</v>
      </c>
      <c r="AD60" s="604">
        <v>150</v>
      </c>
      <c r="AE60" s="603">
        <v>2</v>
      </c>
      <c r="AF60" s="607">
        <v>-19528848.353333712</v>
      </c>
      <c r="AG60" s="608" t="s">
        <v>12650</v>
      </c>
      <c r="AH60" s="608" t="s">
        <v>12651</v>
      </c>
      <c r="AI60" s="603" t="s">
        <v>12648</v>
      </c>
      <c r="AJ60" s="603" t="s">
        <v>12202</v>
      </c>
      <c r="AK60" s="603" t="s">
        <v>12203</v>
      </c>
      <c r="AL60" s="599" t="s">
        <v>12652</v>
      </c>
      <c r="AM60" s="609" t="s">
        <v>12444</v>
      </c>
      <c r="AN60" s="610" t="s">
        <v>12653</v>
      </c>
      <c r="AO60" s="610" t="s">
        <v>12206</v>
      </c>
      <c r="AP60" s="610" t="s">
        <v>12207</v>
      </c>
      <c r="AQ60" s="609" t="s">
        <v>12654</v>
      </c>
      <c r="AR60" s="599" t="s">
        <v>12655</v>
      </c>
      <c r="AS60" s="603" t="s">
        <v>423</v>
      </c>
      <c r="AT60" s="609" t="s">
        <v>12656</v>
      </c>
    </row>
    <row r="61" spans="1:46" ht="22.9" customHeight="1">
      <c r="A61" s="595" t="s">
        <v>12657</v>
      </c>
      <c r="B61" s="596" t="s">
        <v>12211</v>
      </c>
      <c r="C61" s="597" t="s">
        <v>12212</v>
      </c>
      <c r="D61" s="598"/>
      <c r="E61" s="599"/>
      <c r="F61" s="600" t="s">
        <v>9735</v>
      </c>
      <c r="G61" s="601" t="s">
        <v>12658</v>
      </c>
      <c r="H61" s="601" t="s">
        <v>12659</v>
      </c>
      <c r="I61" s="596" t="s">
        <v>12660</v>
      </c>
      <c r="J61" s="596" t="s">
        <v>335</v>
      </c>
      <c r="K61" s="599" t="s">
        <v>12197</v>
      </c>
      <c r="L61" s="599" t="s">
        <v>12198</v>
      </c>
      <c r="M61" s="602" t="s">
        <v>12199</v>
      </c>
      <c r="N61" s="603" t="s">
        <v>7673</v>
      </c>
      <c r="O61" s="599">
        <v>128</v>
      </c>
      <c r="P61" s="604">
        <v>0</v>
      </c>
      <c r="Q61" s="604">
        <v>0</v>
      </c>
      <c r="R61" s="605">
        <v>20000</v>
      </c>
      <c r="S61" s="604">
        <v>0</v>
      </c>
      <c r="T61" s="604">
        <v>0</v>
      </c>
      <c r="U61" s="604">
        <v>1120000</v>
      </c>
      <c r="V61" s="605">
        <v>580000</v>
      </c>
      <c r="W61" s="596"/>
      <c r="X61" s="604">
        <v>0</v>
      </c>
      <c r="Y61" s="604">
        <v>58000</v>
      </c>
      <c r="Z61" s="604">
        <v>638000</v>
      </c>
      <c r="AA61" s="604">
        <v>1276043</v>
      </c>
      <c r="AB61" s="604">
        <v>0</v>
      </c>
      <c r="AC61" s="606">
        <v>1914000</v>
      </c>
      <c r="AD61" s="604">
        <v>43</v>
      </c>
      <c r="AE61" s="603">
        <v>2</v>
      </c>
      <c r="AF61" s="607">
        <v>638043</v>
      </c>
      <c r="AG61" s="608" t="s">
        <v>12661</v>
      </c>
      <c r="AH61" s="608" t="s">
        <v>12662</v>
      </c>
      <c r="AI61" s="603" t="s">
        <v>12659</v>
      </c>
      <c r="AJ61" s="603" t="s">
        <v>12202</v>
      </c>
      <c r="AK61" s="603" t="s">
        <v>12203</v>
      </c>
      <c r="AL61" s="599" t="s">
        <v>12652</v>
      </c>
      <c r="AM61" s="609" t="s">
        <v>12444</v>
      </c>
      <c r="AN61" s="610" t="s">
        <v>12663</v>
      </c>
      <c r="AO61" s="610" t="s">
        <v>12206</v>
      </c>
      <c r="AP61" s="610" t="s">
        <v>12207</v>
      </c>
      <c r="AQ61" s="609" t="s">
        <v>12664</v>
      </c>
      <c r="AR61" s="599" t="s">
        <v>12665</v>
      </c>
      <c r="AS61" s="603" t="s">
        <v>423</v>
      </c>
      <c r="AT61" s="609" t="s">
        <v>12666</v>
      </c>
    </row>
    <row r="62" spans="1:46" ht="22.9" customHeight="1">
      <c r="A62" s="595" t="s">
        <v>12667</v>
      </c>
      <c r="B62" s="596" t="s">
        <v>12668</v>
      </c>
      <c r="C62" s="597" t="s">
        <v>12669</v>
      </c>
      <c r="D62" s="598"/>
      <c r="E62" s="599" t="s">
        <v>12670</v>
      </c>
      <c r="F62" s="600" t="s">
        <v>9735</v>
      </c>
      <c r="G62" s="601" t="s">
        <v>12671</v>
      </c>
      <c r="H62" s="601" t="s">
        <v>12672</v>
      </c>
      <c r="I62" s="596" t="s">
        <v>12255</v>
      </c>
      <c r="J62" s="596" t="s">
        <v>335</v>
      </c>
      <c r="K62" s="599" t="s">
        <v>12197</v>
      </c>
      <c r="L62" s="599" t="s">
        <v>12198</v>
      </c>
      <c r="M62" s="602" t="s">
        <v>12199</v>
      </c>
      <c r="N62" s="603" t="s">
        <v>7673</v>
      </c>
      <c r="O62" s="599">
        <v>2048</v>
      </c>
      <c r="P62" s="604">
        <v>0</v>
      </c>
      <c r="Q62" s="604">
        <v>0</v>
      </c>
      <c r="R62" s="605">
        <v>20000</v>
      </c>
      <c r="S62" s="604">
        <v>0</v>
      </c>
      <c r="T62" s="604">
        <v>0</v>
      </c>
      <c r="U62" s="604">
        <v>15680000</v>
      </c>
      <c r="V62" s="605">
        <v>7860000</v>
      </c>
      <c r="W62" s="596"/>
      <c r="X62" s="604">
        <v>0</v>
      </c>
      <c r="Y62" s="604">
        <v>786000</v>
      </c>
      <c r="Z62" s="604">
        <v>8646000</v>
      </c>
      <c r="AA62" s="604">
        <v>17292726</v>
      </c>
      <c r="AB62" s="604">
        <v>0</v>
      </c>
      <c r="AC62" s="606">
        <v>25938000</v>
      </c>
      <c r="AD62" s="604">
        <v>726</v>
      </c>
      <c r="AE62" s="603">
        <v>2</v>
      </c>
      <c r="AF62" s="607">
        <v>8646726.3333333358</v>
      </c>
      <c r="AG62" s="608" t="s">
        <v>12673</v>
      </c>
      <c r="AH62" s="608" t="s">
        <v>12674</v>
      </c>
      <c r="AI62" s="603" t="s">
        <v>12672</v>
      </c>
      <c r="AJ62" s="603" t="s">
        <v>12202</v>
      </c>
      <c r="AK62" s="603" t="s">
        <v>12203</v>
      </c>
      <c r="AL62" s="599" t="s">
        <v>12675</v>
      </c>
      <c r="AM62" s="609" t="s">
        <v>12676</v>
      </c>
      <c r="AN62" s="610" t="s">
        <v>12677</v>
      </c>
      <c r="AO62" s="610" t="s">
        <v>12206</v>
      </c>
      <c r="AP62" s="610" t="s">
        <v>12207</v>
      </c>
      <c r="AQ62" s="609" t="s">
        <v>12208</v>
      </c>
      <c r="AR62" s="599" t="s">
        <v>12209</v>
      </c>
      <c r="AS62" s="603" t="s">
        <v>423</v>
      </c>
      <c r="AT62" s="609" t="s">
        <v>12678</v>
      </c>
    </row>
    <row r="63" spans="1:46" ht="25.15" customHeight="1">
      <c r="A63" s="595" t="s">
        <v>12679</v>
      </c>
      <c r="B63" s="596" t="s">
        <v>12680</v>
      </c>
      <c r="C63" s="597" t="s">
        <v>4940</v>
      </c>
      <c r="D63" s="598"/>
      <c r="E63" s="599"/>
      <c r="F63" s="600" t="s">
        <v>9735</v>
      </c>
      <c r="G63" s="601" t="s">
        <v>12681</v>
      </c>
      <c r="H63" s="601" t="s">
        <v>12681</v>
      </c>
      <c r="I63" s="596" t="s">
        <v>12214</v>
      </c>
      <c r="J63" s="596" t="s">
        <v>335</v>
      </c>
      <c r="K63" s="599" t="s">
        <v>12197</v>
      </c>
      <c r="L63" s="599" t="s">
        <v>12198</v>
      </c>
      <c r="M63" s="602" t="s">
        <v>12199</v>
      </c>
      <c r="N63" s="603" t="s">
        <v>7673</v>
      </c>
      <c r="O63" s="599">
        <v>1024</v>
      </c>
      <c r="P63" s="604">
        <v>0</v>
      </c>
      <c r="Q63" s="604">
        <v>0</v>
      </c>
      <c r="R63" s="605">
        <v>20000</v>
      </c>
      <c r="S63" s="604">
        <v>0</v>
      </c>
      <c r="T63" s="604">
        <v>0</v>
      </c>
      <c r="U63" s="604">
        <v>8960000</v>
      </c>
      <c r="V63" s="605">
        <v>4500000</v>
      </c>
      <c r="W63" s="596"/>
      <c r="X63" s="604">
        <v>0</v>
      </c>
      <c r="Y63" s="604">
        <v>450000</v>
      </c>
      <c r="Z63" s="604">
        <v>4950000</v>
      </c>
      <c r="AA63" s="604">
        <v>9900397</v>
      </c>
      <c r="AB63" s="604">
        <v>0</v>
      </c>
      <c r="AC63" s="606">
        <v>14850000</v>
      </c>
      <c r="AD63" s="604">
        <v>397</v>
      </c>
      <c r="AE63" s="603">
        <v>2</v>
      </c>
      <c r="AF63" s="607">
        <v>4950397</v>
      </c>
      <c r="AG63" s="608" t="s">
        <v>12682</v>
      </c>
      <c r="AH63" s="608" t="s">
        <v>12238</v>
      </c>
      <c r="AI63" s="603" t="s">
        <v>12681</v>
      </c>
      <c r="AJ63" s="603" t="s">
        <v>12202</v>
      </c>
      <c r="AK63" s="603" t="s">
        <v>12203</v>
      </c>
      <c r="AL63" s="599" t="s">
        <v>12228</v>
      </c>
      <c r="AM63" s="609" t="s">
        <v>12229</v>
      </c>
      <c r="AN63" s="610" t="s">
        <v>12683</v>
      </c>
      <c r="AO63" s="610" t="s">
        <v>12206</v>
      </c>
      <c r="AP63" s="610" t="s">
        <v>12207</v>
      </c>
      <c r="AQ63" s="609" t="s">
        <v>12589</v>
      </c>
      <c r="AR63" s="599" t="s">
        <v>12590</v>
      </c>
      <c r="AS63" s="603" t="s">
        <v>423</v>
      </c>
      <c r="AT63" s="609" t="s">
        <v>12684</v>
      </c>
    </row>
    <row r="64" spans="1:46" ht="17.850000000000001" customHeight="1">
      <c r="A64" s="595" t="s">
        <v>12685</v>
      </c>
      <c r="B64" s="596" t="s">
        <v>12686</v>
      </c>
      <c r="C64" s="597" t="s">
        <v>4940</v>
      </c>
      <c r="D64" s="598"/>
      <c r="E64" s="599"/>
      <c r="F64" s="600" t="s">
        <v>9735</v>
      </c>
      <c r="G64" s="601" t="s">
        <v>12687</v>
      </c>
      <c r="H64" s="601" t="s">
        <v>12687</v>
      </c>
      <c r="I64" s="596" t="s">
        <v>12255</v>
      </c>
      <c r="J64" s="596" t="s">
        <v>335</v>
      </c>
      <c r="K64" s="599" t="s">
        <v>12197</v>
      </c>
      <c r="L64" s="599" t="s">
        <v>12198</v>
      </c>
      <c r="M64" s="602" t="s">
        <v>12199</v>
      </c>
      <c r="N64" s="603" t="s">
        <v>7673</v>
      </c>
      <c r="O64" s="599">
        <v>2048</v>
      </c>
      <c r="P64" s="604">
        <v>0</v>
      </c>
      <c r="Q64" s="604">
        <v>0</v>
      </c>
      <c r="R64" s="605">
        <v>20000</v>
      </c>
      <c r="S64" s="604">
        <v>0</v>
      </c>
      <c r="T64" s="604">
        <v>0</v>
      </c>
      <c r="U64" s="604">
        <v>15680000</v>
      </c>
      <c r="V64" s="605">
        <v>7860000</v>
      </c>
      <c r="W64" s="596"/>
      <c r="X64" s="604">
        <v>0</v>
      </c>
      <c r="Y64" s="604">
        <v>786000</v>
      </c>
      <c r="Z64" s="604">
        <v>8646000</v>
      </c>
      <c r="AA64" s="604">
        <v>17292242</v>
      </c>
      <c r="AB64" s="604">
        <v>0</v>
      </c>
      <c r="AC64" s="606">
        <v>25938000</v>
      </c>
      <c r="AD64" s="604">
        <v>242</v>
      </c>
      <c r="AE64" s="603">
        <v>2</v>
      </c>
      <c r="AF64" s="607">
        <v>8646242</v>
      </c>
      <c r="AG64" s="608" t="s">
        <v>12688</v>
      </c>
      <c r="AH64" s="608" t="s">
        <v>12674</v>
      </c>
      <c r="AI64" s="603" t="s">
        <v>12687</v>
      </c>
      <c r="AJ64" s="603" t="s">
        <v>12202</v>
      </c>
      <c r="AK64" s="603" t="s">
        <v>12203</v>
      </c>
      <c r="AL64" s="599" t="s">
        <v>12228</v>
      </c>
      <c r="AM64" s="609" t="s">
        <v>12229</v>
      </c>
      <c r="AN64" s="610" t="s">
        <v>7877</v>
      </c>
      <c r="AO64" s="610" t="s">
        <v>12206</v>
      </c>
      <c r="AP64" s="610" t="s">
        <v>12207</v>
      </c>
      <c r="AQ64" s="609" t="s">
        <v>12689</v>
      </c>
      <c r="AR64" s="599" t="s">
        <v>12690</v>
      </c>
      <c r="AS64" s="603" t="s">
        <v>423</v>
      </c>
      <c r="AT64" s="609" t="s">
        <v>12691</v>
      </c>
    </row>
    <row r="65" spans="1:46" ht="17.100000000000001" customHeight="1">
      <c r="A65" s="595" t="s">
        <v>12692</v>
      </c>
      <c r="B65" s="596" t="s">
        <v>12693</v>
      </c>
      <c r="C65" s="597" t="s">
        <v>4940</v>
      </c>
      <c r="D65" s="598"/>
      <c r="E65" s="599"/>
      <c r="F65" s="600" t="s">
        <v>9735</v>
      </c>
      <c r="G65" s="601" t="s">
        <v>12694</v>
      </c>
      <c r="H65" s="601" t="s">
        <v>12694</v>
      </c>
      <c r="I65" s="596" t="s">
        <v>12225</v>
      </c>
      <c r="J65" s="596" t="s">
        <v>335</v>
      </c>
      <c r="K65" s="599" t="s">
        <v>12197</v>
      </c>
      <c r="L65" s="599" t="s">
        <v>12198</v>
      </c>
      <c r="M65" s="602" t="s">
        <v>12199</v>
      </c>
      <c r="N65" s="603" t="s">
        <v>7673</v>
      </c>
      <c r="O65" s="599">
        <v>512</v>
      </c>
      <c r="P65" s="604">
        <v>0</v>
      </c>
      <c r="Q65" s="604">
        <v>0</v>
      </c>
      <c r="R65" s="605">
        <v>20000</v>
      </c>
      <c r="S65" s="604">
        <v>0</v>
      </c>
      <c r="T65" s="604">
        <v>0</v>
      </c>
      <c r="U65" s="604">
        <v>4480000</v>
      </c>
      <c r="V65" s="605">
        <v>2260000</v>
      </c>
      <c r="W65" s="596"/>
      <c r="X65" s="604">
        <v>0</v>
      </c>
      <c r="Y65" s="604">
        <v>226000</v>
      </c>
      <c r="Z65" s="604">
        <v>2486000</v>
      </c>
      <c r="AA65" s="604">
        <v>4972446</v>
      </c>
      <c r="AB65" s="604">
        <v>0</v>
      </c>
      <c r="AC65" s="606">
        <v>7458000</v>
      </c>
      <c r="AD65" s="604">
        <v>446</v>
      </c>
      <c r="AE65" s="603">
        <v>2</v>
      </c>
      <c r="AF65" s="607">
        <v>2486446</v>
      </c>
      <c r="AG65" s="608" t="s">
        <v>12695</v>
      </c>
      <c r="AH65" s="608" t="s">
        <v>12303</v>
      </c>
      <c r="AI65" s="603" t="s">
        <v>12694</v>
      </c>
      <c r="AJ65" s="603" t="s">
        <v>12202</v>
      </c>
      <c r="AK65" s="603" t="s">
        <v>12203</v>
      </c>
      <c r="AL65" s="599" t="s">
        <v>12696</v>
      </c>
      <c r="AM65" s="609" t="s">
        <v>12229</v>
      </c>
      <c r="AN65" s="610" t="s">
        <v>12697</v>
      </c>
      <c r="AO65" s="610" t="s">
        <v>12206</v>
      </c>
      <c r="AP65" s="610" t="s">
        <v>12207</v>
      </c>
      <c r="AQ65" s="609" t="s">
        <v>12362</v>
      </c>
      <c r="AR65" s="599" t="s">
        <v>12363</v>
      </c>
      <c r="AS65" s="603" t="s">
        <v>423</v>
      </c>
      <c r="AT65" s="609" t="s">
        <v>12698</v>
      </c>
    </row>
    <row r="66" spans="1:46" ht="22.9" customHeight="1">
      <c r="A66" s="595" t="s">
        <v>12699</v>
      </c>
      <c r="B66" s="596" t="s">
        <v>12700</v>
      </c>
      <c r="C66" s="597" t="s">
        <v>4940</v>
      </c>
      <c r="D66" s="598"/>
      <c r="E66" s="599"/>
      <c r="F66" s="600" t="s">
        <v>9735</v>
      </c>
      <c r="G66" s="601" t="s">
        <v>12701</v>
      </c>
      <c r="H66" s="601" t="s">
        <v>12701</v>
      </c>
      <c r="I66" s="596" t="s">
        <v>12225</v>
      </c>
      <c r="J66" s="596" t="s">
        <v>335</v>
      </c>
      <c r="K66" s="599" t="s">
        <v>12197</v>
      </c>
      <c r="L66" s="599" t="s">
        <v>12198</v>
      </c>
      <c r="M66" s="602" t="s">
        <v>12199</v>
      </c>
      <c r="N66" s="603" t="s">
        <v>7673</v>
      </c>
      <c r="O66" s="599">
        <v>512</v>
      </c>
      <c r="P66" s="604">
        <v>0</v>
      </c>
      <c r="Q66" s="604">
        <v>0</v>
      </c>
      <c r="R66" s="605">
        <v>20000</v>
      </c>
      <c r="S66" s="604">
        <v>0</v>
      </c>
      <c r="T66" s="604">
        <v>0</v>
      </c>
      <c r="U66" s="604">
        <v>4480000</v>
      </c>
      <c r="V66" s="605">
        <v>2260000</v>
      </c>
      <c r="W66" s="596"/>
      <c r="X66" s="604">
        <v>0</v>
      </c>
      <c r="Y66" s="604">
        <v>226000</v>
      </c>
      <c r="Z66" s="604">
        <v>2486000</v>
      </c>
      <c r="AA66" s="604">
        <v>4972982</v>
      </c>
      <c r="AB66" s="604">
        <v>0</v>
      </c>
      <c r="AC66" s="606">
        <v>7458000</v>
      </c>
      <c r="AD66" s="604">
        <v>982</v>
      </c>
      <c r="AE66" s="603">
        <v>2</v>
      </c>
      <c r="AF66" s="607">
        <v>2486982</v>
      </c>
      <c r="AG66" s="608" t="s">
        <v>12702</v>
      </c>
      <c r="AH66" s="608" t="s">
        <v>12294</v>
      </c>
      <c r="AI66" s="603" t="s">
        <v>12701</v>
      </c>
      <c r="AJ66" s="603" t="s">
        <v>12202</v>
      </c>
      <c r="AK66" s="603" t="s">
        <v>12203</v>
      </c>
      <c r="AL66" s="599" t="s">
        <v>12703</v>
      </c>
      <c r="AM66" s="609" t="s">
        <v>12229</v>
      </c>
      <c r="AN66" s="610" t="s">
        <v>12477</v>
      </c>
      <c r="AO66" s="610" t="s">
        <v>12206</v>
      </c>
      <c r="AP66" s="610" t="s">
        <v>12207</v>
      </c>
      <c r="AQ66" s="609" t="s">
        <v>12704</v>
      </c>
      <c r="AR66" s="599" t="s">
        <v>12705</v>
      </c>
      <c r="AS66" s="603" t="s">
        <v>423</v>
      </c>
      <c r="AT66" s="609" t="s">
        <v>12706</v>
      </c>
    </row>
    <row r="67" spans="1:46" ht="25.15" customHeight="1">
      <c r="A67" s="595" t="s">
        <v>12707</v>
      </c>
      <c r="B67" s="596" t="s">
        <v>12708</v>
      </c>
      <c r="C67" s="597" t="s">
        <v>4940</v>
      </c>
      <c r="D67" s="598"/>
      <c r="E67" s="599"/>
      <c r="F67" s="600" t="s">
        <v>9735</v>
      </c>
      <c r="G67" s="601" t="s">
        <v>12709</v>
      </c>
      <c r="H67" s="601" t="s">
        <v>12709</v>
      </c>
      <c r="I67" s="596" t="s">
        <v>12225</v>
      </c>
      <c r="J67" s="596" t="s">
        <v>335</v>
      </c>
      <c r="K67" s="599" t="s">
        <v>12197</v>
      </c>
      <c r="L67" s="599" t="s">
        <v>12198</v>
      </c>
      <c r="M67" s="602" t="s">
        <v>12199</v>
      </c>
      <c r="N67" s="603" t="s">
        <v>7673</v>
      </c>
      <c r="O67" s="599">
        <v>512</v>
      </c>
      <c r="P67" s="604">
        <v>0</v>
      </c>
      <c r="Q67" s="604">
        <v>0</v>
      </c>
      <c r="R67" s="605">
        <v>20000</v>
      </c>
      <c r="S67" s="604">
        <v>0</v>
      </c>
      <c r="T67" s="604">
        <v>0</v>
      </c>
      <c r="U67" s="604">
        <v>4480000</v>
      </c>
      <c r="V67" s="605">
        <v>2260000</v>
      </c>
      <c r="W67" s="596"/>
      <c r="X67" s="604">
        <v>0</v>
      </c>
      <c r="Y67" s="604">
        <v>226000</v>
      </c>
      <c r="Z67" s="604">
        <v>2486000</v>
      </c>
      <c r="AA67" s="604">
        <v>4972182</v>
      </c>
      <c r="AB67" s="604">
        <v>0</v>
      </c>
      <c r="AC67" s="606">
        <v>7458000</v>
      </c>
      <c r="AD67" s="604">
        <v>182</v>
      </c>
      <c r="AE67" s="603">
        <v>2</v>
      </c>
      <c r="AF67" s="607">
        <v>2486182</v>
      </c>
      <c r="AG67" s="608" t="s">
        <v>12710</v>
      </c>
      <c r="AH67" s="608" t="s">
        <v>12294</v>
      </c>
      <c r="AI67" s="603" t="s">
        <v>12709</v>
      </c>
      <c r="AJ67" s="603" t="s">
        <v>12202</v>
      </c>
      <c r="AK67" s="603" t="s">
        <v>12203</v>
      </c>
      <c r="AL67" s="599" t="s">
        <v>12248</v>
      </c>
      <c r="AM67" s="609" t="s">
        <v>4940</v>
      </c>
      <c r="AN67" s="610" t="s">
        <v>7832</v>
      </c>
      <c r="AO67" s="610" t="s">
        <v>12206</v>
      </c>
      <c r="AP67" s="610" t="s">
        <v>12207</v>
      </c>
      <c r="AQ67" s="609" t="s">
        <v>12711</v>
      </c>
      <c r="AR67" s="599" t="s">
        <v>12712</v>
      </c>
      <c r="AS67" s="603" t="s">
        <v>423</v>
      </c>
      <c r="AT67" s="609" t="s">
        <v>12713</v>
      </c>
    </row>
    <row r="68" spans="1:46" ht="17.850000000000001" customHeight="1">
      <c r="A68" s="595" t="s">
        <v>12714</v>
      </c>
      <c r="B68" s="596" t="s">
        <v>12715</v>
      </c>
      <c r="C68" s="597" t="s">
        <v>4940</v>
      </c>
      <c r="D68" s="598"/>
      <c r="E68" s="599"/>
      <c r="F68" s="600" t="s">
        <v>9735</v>
      </c>
      <c r="G68" s="601" t="s">
        <v>636</v>
      </c>
      <c r="H68" s="601" t="s">
        <v>636</v>
      </c>
      <c r="I68" s="596" t="s">
        <v>12214</v>
      </c>
      <c r="J68" s="596" t="s">
        <v>335</v>
      </c>
      <c r="K68" s="599" t="s">
        <v>12197</v>
      </c>
      <c r="L68" s="599" t="s">
        <v>12198</v>
      </c>
      <c r="M68" s="602" t="s">
        <v>12199</v>
      </c>
      <c r="N68" s="603" t="s">
        <v>7673</v>
      </c>
      <c r="O68" s="599">
        <v>1024</v>
      </c>
      <c r="P68" s="604">
        <v>0</v>
      </c>
      <c r="Q68" s="604">
        <v>0</v>
      </c>
      <c r="R68" s="605">
        <v>20000</v>
      </c>
      <c r="S68" s="604">
        <v>0</v>
      </c>
      <c r="T68" s="604">
        <v>0</v>
      </c>
      <c r="U68" s="604">
        <v>8960000</v>
      </c>
      <c r="V68" s="605">
        <v>4500000</v>
      </c>
      <c r="W68" s="596"/>
      <c r="X68" s="604">
        <v>0</v>
      </c>
      <c r="Y68" s="604">
        <v>450000</v>
      </c>
      <c r="Z68" s="604">
        <v>4950000</v>
      </c>
      <c r="AA68" s="604">
        <v>9900856</v>
      </c>
      <c r="AB68" s="604">
        <v>0</v>
      </c>
      <c r="AC68" s="606">
        <v>14850000</v>
      </c>
      <c r="AD68" s="604">
        <v>856</v>
      </c>
      <c r="AE68" s="603">
        <v>2</v>
      </c>
      <c r="AF68" s="607">
        <v>4950856</v>
      </c>
      <c r="AG68" s="608" t="s">
        <v>12716</v>
      </c>
      <c r="AH68" s="608" t="s">
        <v>12410</v>
      </c>
      <c r="AI68" s="603" t="s">
        <v>636</v>
      </c>
      <c r="AJ68" s="603" t="s">
        <v>12202</v>
      </c>
      <c r="AK68" s="603" t="s">
        <v>12203</v>
      </c>
      <c r="AL68" s="599" t="s">
        <v>12248</v>
      </c>
      <c r="AM68" s="609" t="s">
        <v>4940</v>
      </c>
      <c r="AN68" s="610" t="s">
        <v>12717</v>
      </c>
      <c r="AO68" s="610" t="s">
        <v>12206</v>
      </c>
      <c r="AP68" s="610" t="s">
        <v>12207</v>
      </c>
      <c r="AQ68" s="609" t="s">
        <v>12654</v>
      </c>
      <c r="AR68" s="599" t="s">
        <v>12655</v>
      </c>
      <c r="AS68" s="603" t="s">
        <v>423</v>
      </c>
      <c r="AT68" s="609" t="s">
        <v>12718</v>
      </c>
    </row>
    <row r="69" spans="1:46" ht="17.100000000000001" customHeight="1">
      <c r="A69" s="595" t="s">
        <v>12719</v>
      </c>
      <c r="B69" s="596" t="s">
        <v>12720</v>
      </c>
      <c r="C69" s="597" t="s">
        <v>4940</v>
      </c>
      <c r="D69" s="598"/>
      <c r="E69" s="599"/>
      <c r="F69" s="600" t="s">
        <v>9735</v>
      </c>
      <c r="G69" s="601" t="s">
        <v>12721</v>
      </c>
      <c r="H69" s="601" t="s">
        <v>12721</v>
      </c>
      <c r="I69" s="596" t="s">
        <v>12214</v>
      </c>
      <c r="J69" s="596" t="s">
        <v>335</v>
      </c>
      <c r="K69" s="599" t="s">
        <v>12197</v>
      </c>
      <c r="L69" s="599" t="s">
        <v>12198</v>
      </c>
      <c r="M69" s="602" t="s">
        <v>12199</v>
      </c>
      <c r="N69" s="603" t="s">
        <v>7673</v>
      </c>
      <c r="O69" s="599">
        <v>1024</v>
      </c>
      <c r="P69" s="604">
        <v>0</v>
      </c>
      <c r="Q69" s="604">
        <v>0</v>
      </c>
      <c r="R69" s="605">
        <v>20000</v>
      </c>
      <c r="S69" s="604">
        <v>0</v>
      </c>
      <c r="T69" s="604">
        <v>0</v>
      </c>
      <c r="U69" s="604">
        <v>8960000</v>
      </c>
      <c r="V69" s="605">
        <v>4500000</v>
      </c>
      <c r="W69" s="596"/>
      <c r="X69" s="604">
        <v>0</v>
      </c>
      <c r="Y69" s="604">
        <v>450000</v>
      </c>
      <c r="Z69" s="604">
        <v>4950000</v>
      </c>
      <c r="AA69" s="604">
        <v>9900643</v>
      </c>
      <c r="AB69" s="604">
        <v>0</v>
      </c>
      <c r="AC69" s="606">
        <v>14850000</v>
      </c>
      <c r="AD69" s="604">
        <v>643</v>
      </c>
      <c r="AE69" s="603">
        <v>2</v>
      </c>
      <c r="AF69" s="607">
        <v>4950643</v>
      </c>
      <c r="AG69" s="608" t="s">
        <v>12722</v>
      </c>
      <c r="AH69" s="608" t="s">
        <v>12377</v>
      </c>
      <c r="AI69" s="603" t="s">
        <v>12721</v>
      </c>
      <c r="AJ69" s="603" t="s">
        <v>12202</v>
      </c>
      <c r="AK69" s="603" t="s">
        <v>12203</v>
      </c>
      <c r="AL69" s="599" t="s">
        <v>12386</v>
      </c>
      <c r="AM69" s="609" t="s">
        <v>12387</v>
      </c>
      <c r="AN69" s="610" t="s">
        <v>12723</v>
      </c>
      <c r="AO69" s="610" t="s">
        <v>12206</v>
      </c>
      <c r="AP69" s="610" t="s">
        <v>12207</v>
      </c>
      <c r="AQ69" s="609" t="s">
        <v>12370</v>
      </c>
      <c r="AR69" s="599" t="s">
        <v>12371</v>
      </c>
      <c r="AS69" s="603" t="s">
        <v>423</v>
      </c>
      <c r="AT69" s="609" t="s">
        <v>12724</v>
      </c>
    </row>
    <row r="70" spans="1:46" ht="22.9" customHeight="1">
      <c r="A70" s="595" t="s">
        <v>12725</v>
      </c>
      <c r="B70" s="596" t="s">
        <v>12726</v>
      </c>
      <c r="C70" s="597" t="s">
        <v>12212</v>
      </c>
      <c r="D70" s="598"/>
      <c r="E70" s="599"/>
      <c r="F70" s="600" t="s">
        <v>9735</v>
      </c>
      <c r="G70" s="601" t="s">
        <v>12727</v>
      </c>
      <c r="H70" s="601" t="s">
        <v>12727</v>
      </c>
      <c r="I70" s="596" t="s">
        <v>12214</v>
      </c>
      <c r="J70" s="596" t="s">
        <v>107</v>
      </c>
      <c r="K70" s="599" t="s">
        <v>12426</v>
      </c>
      <c r="L70" s="599" t="s">
        <v>12198</v>
      </c>
      <c r="M70" s="602" t="s">
        <v>12199</v>
      </c>
      <c r="N70" s="603" t="s">
        <v>7673</v>
      </c>
      <c r="O70" s="599">
        <v>1024</v>
      </c>
      <c r="P70" s="604">
        <v>0</v>
      </c>
      <c r="Q70" s="604">
        <v>0</v>
      </c>
      <c r="R70" s="605">
        <v>20000</v>
      </c>
      <c r="S70" s="604">
        <v>0</v>
      </c>
      <c r="T70" s="604">
        <v>0</v>
      </c>
      <c r="U70" s="604">
        <v>20800000</v>
      </c>
      <c r="V70" s="605">
        <v>10420000</v>
      </c>
      <c r="W70" s="596"/>
      <c r="X70" s="604">
        <v>0</v>
      </c>
      <c r="Y70" s="604">
        <v>1042000</v>
      </c>
      <c r="Z70" s="604">
        <v>11462000</v>
      </c>
      <c r="AA70" s="604">
        <v>22924504</v>
      </c>
      <c r="AB70" s="604">
        <v>0</v>
      </c>
      <c r="AC70" s="606">
        <v>34386000</v>
      </c>
      <c r="AD70" s="604">
        <v>504</v>
      </c>
      <c r="AE70" s="603">
        <v>2</v>
      </c>
      <c r="AF70" s="607">
        <v>11462504</v>
      </c>
      <c r="AG70" s="608" t="s">
        <v>12728</v>
      </c>
      <c r="AH70" s="608" t="s">
        <v>12483</v>
      </c>
      <c r="AI70" s="603" t="s">
        <v>12727</v>
      </c>
      <c r="AJ70" s="603" t="s">
        <v>12202</v>
      </c>
      <c r="AK70" s="603" t="s">
        <v>12203</v>
      </c>
      <c r="AL70" s="599" t="s">
        <v>12729</v>
      </c>
      <c r="AM70" s="609" t="s">
        <v>12444</v>
      </c>
      <c r="AN70" s="610" t="s">
        <v>12730</v>
      </c>
      <c r="AO70" s="610" t="s">
        <v>12206</v>
      </c>
      <c r="AP70" s="610" t="s">
        <v>12207</v>
      </c>
      <c r="AQ70" s="609" t="s">
        <v>12589</v>
      </c>
      <c r="AR70" s="599" t="s">
        <v>12590</v>
      </c>
      <c r="AS70" s="603" t="s">
        <v>423</v>
      </c>
      <c r="AT70" s="609" t="s">
        <v>12731</v>
      </c>
    </row>
    <row r="71" spans="1:46" ht="22.9" customHeight="1">
      <c r="A71" s="595" t="s">
        <v>12732</v>
      </c>
      <c r="B71" s="596" t="s">
        <v>12733</v>
      </c>
      <c r="C71" s="597" t="s">
        <v>12212</v>
      </c>
      <c r="D71" s="598"/>
      <c r="E71" s="599"/>
      <c r="F71" s="600" t="s">
        <v>9735</v>
      </c>
      <c r="G71" s="601" t="s">
        <v>12734</v>
      </c>
      <c r="H71" s="601" t="s">
        <v>12734</v>
      </c>
      <c r="I71" s="596" t="s">
        <v>12214</v>
      </c>
      <c r="J71" s="596" t="s">
        <v>107</v>
      </c>
      <c r="K71" s="599" t="s">
        <v>12426</v>
      </c>
      <c r="L71" s="599" t="s">
        <v>12198</v>
      </c>
      <c r="M71" s="602" t="s">
        <v>12199</v>
      </c>
      <c r="N71" s="603" t="s">
        <v>7673</v>
      </c>
      <c r="O71" s="599">
        <v>1024</v>
      </c>
      <c r="P71" s="604">
        <v>0</v>
      </c>
      <c r="Q71" s="604">
        <v>0</v>
      </c>
      <c r="R71" s="605">
        <v>20000</v>
      </c>
      <c r="S71" s="604">
        <v>0</v>
      </c>
      <c r="T71" s="604">
        <v>0</v>
      </c>
      <c r="U71" s="604">
        <v>20800000</v>
      </c>
      <c r="V71" s="605">
        <v>10420000</v>
      </c>
      <c r="W71" s="596"/>
      <c r="X71" s="604">
        <v>0</v>
      </c>
      <c r="Y71" s="604">
        <v>1042000</v>
      </c>
      <c r="Z71" s="604">
        <v>11462000</v>
      </c>
      <c r="AA71" s="604">
        <v>22924674</v>
      </c>
      <c r="AB71" s="604">
        <v>0</v>
      </c>
      <c r="AC71" s="606">
        <v>34386000</v>
      </c>
      <c r="AD71" s="604">
        <v>674</v>
      </c>
      <c r="AE71" s="603">
        <v>2</v>
      </c>
      <c r="AF71" s="607">
        <v>11462674</v>
      </c>
      <c r="AG71" s="608" t="s">
        <v>12735</v>
      </c>
      <c r="AH71" s="608" t="s">
        <v>12489</v>
      </c>
      <c r="AI71" s="603" t="s">
        <v>12734</v>
      </c>
      <c r="AJ71" s="603" t="s">
        <v>12202</v>
      </c>
      <c r="AK71" s="603" t="s">
        <v>12203</v>
      </c>
      <c r="AL71" s="599" t="s">
        <v>12736</v>
      </c>
      <c r="AM71" s="609" t="s">
        <v>12452</v>
      </c>
      <c r="AN71" s="610" t="s">
        <v>12737</v>
      </c>
      <c r="AO71" s="610" t="s">
        <v>12206</v>
      </c>
      <c r="AP71" s="610" t="s">
        <v>12207</v>
      </c>
      <c r="AQ71" s="609" t="s">
        <v>12362</v>
      </c>
      <c r="AR71" s="599" t="s">
        <v>12363</v>
      </c>
      <c r="AS71" s="603" t="s">
        <v>423</v>
      </c>
      <c r="AT71" s="609" t="s">
        <v>12738</v>
      </c>
    </row>
    <row r="72" spans="1:46" ht="17.850000000000001" customHeight="1">
      <c r="A72" s="595" t="s">
        <v>12739</v>
      </c>
      <c r="B72" s="596" t="s">
        <v>12740</v>
      </c>
      <c r="C72" s="597" t="s">
        <v>12212</v>
      </c>
      <c r="D72" s="598"/>
      <c r="E72" s="599"/>
      <c r="F72" s="600" t="s">
        <v>9735</v>
      </c>
      <c r="G72" s="601" t="s">
        <v>12741</v>
      </c>
      <c r="H72" s="601" t="s">
        <v>12741</v>
      </c>
      <c r="I72" s="596" t="s">
        <v>12214</v>
      </c>
      <c r="J72" s="596" t="s">
        <v>107</v>
      </c>
      <c r="K72" s="599" t="s">
        <v>12426</v>
      </c>
      <c r="L72" s="599" t="s">
        <v>12198</v>
      </c>
      <c r="M72" s="602" t="s">
        <v>12199</v>
      </c>
      <c r="N72" s="603" t="s">
        <v>7673</v>
      </c>
      <c r="O72" s="599">
        <v>1024</v>
      </c>
      <c r="P72" s="604">
        <v>0</v>
      </c>
      <c r="Q72" s="604">
        <v>0</v>
      </c>
      <c r="R72" s="605">
        <v>20000</v>
      </c>
      <c r="S72" s="604">
        <v>0</v>
      </c>
      <c r="T72" s="604">
        <v>0</v>
      </c>
      <c r="U72" s="604">
        <v>20800000</v>
      </c>
      <c r="V72" s="605">
        <v>10420000</v>
      </c>
      <c r="W72" s="596"/>
      <c r="X72" s="604">
        <v>0</v>
      </c>
      <c r="Y72" s="604">
        <v>1042000</v>
      </c>
      <c r="Z72" s="604">
        <v>11462000</v>
      </c>
      <c r="AA72" s="604">
        <v>22924120</v>
      </c>
      <c r="AB72" s="604">
        <v>0</v>
      </c>
      <c r="AC72" s="606">
        <v>34386000</v>
      </c>
      <c r="AD72" s="604">
        <v>120</v>
      </c>
      <c r="AE72" s="603">
        <v>2</v>
      </c>
      <c r="AF72" s="607">
        <v>11462120</v>
      </c>
      <c r="AG72" s="608" t="s">
        <v>12742</v>
      </c>
      <c r="AH72" s="608" t="s">
        <v>12524</v>
      </c>
      <c r="AI72" s="603" t="s">
        <v>12741</v>
      </c>
      <c r="AJ72" s="603" t="s">
        <v>12202</v>
      </c>
      <c r="AK72" s="603" t="s">
        <v>12203</v>
      </c>
      <c r="AL72" s="599" t="s">
        <v>12743</v>
      </c>
      <c r="AM72" s="609" t="s">
        <v>12452</v>
      </c>
      <c r="AN72" s="610" t="s">
        <v>12744</v>
      </c>
      <c r="AO72" s="610" t="s">
        <v>12206</v>
      </c>
      <c r="AP72" s="610" t="s">
        <v>12207</v>
      </c>
      <c r="AQ72" s="609" t="s">
        <v>12711</v>
      </c>
      <c r="AR72" s="599" t="s">
        <v>12712</v>
      </c>
      <c r="AS72" s="603" t="s">
        <v>423</v>
      </c>
      <c r="AT72" s="609" t="s">
        <v>12745</v>
      </c>
    </row>
    <row r="73" spans="1:46" ht="25.15" customHeight="1">
      <c r="A73" s="595" t="s">
        <v>12746</v>
      </c>
      <c r="B73" s="596" t="s">
        <v>12747</v>
      </c>
      <c r="C73" s="597" t="s">
        <v>12212</v>
      </c>
      <c r="D73" s="598"/>
      <c r="E73" s="599"/>
      <c r="F73" s="600" t="s">
        <v>9735</v>
      </c>
      <c r="G73" s="601" t="s">
        <v>12748</v>
      </c>
      <c r="H73" s="601" t="s">
        <v>12748</v>
      </c>
      <c r="I73" s="596" t="s">
        <v>12214</v>
      </c>
      <c r="J73" s="596" t="s">
        <v>107</v>
      </c>
      <c r="K73" s="599" t="s">
        <v>12426</v>
      </c>
      <c r="L73" s="599" t="s">
        <v>12198</v>
      </c>
      <c r="M73" s="602" t="s">
        <v>12199</v>
      </c>
      <c r="N73" s="603" t="s">
        <v>7673</v>
      </c>
      <c r="O73" s="599">
        <v>1024</v>
      </c>
      <c r="P73" s="604">
        <v>0</v>
      </c>
      <c r="Q73" s="604">
        <v>0</v>
      </c>
      <c r="R73" s="605">
        <v>20000</v>
      </c>
      <c r="S73" s="604">
        <v>0</v>
      </c>
      <c r="T73" s="604">
        <v>0</v>
      </c>
      <c r="U73" s="604">
        <v>20800000</v>
      </c>
      <c r="V73" s="605">
        <v>10420000</v>
      </c>
      <c r="W73" s="596"/>
      <c r="X73" s="604">
        <v>0</v>
      </c>
      <c r="Y73" s="604">
        <v>1042000</v>
      </c>
      <c r="Z73" s="604">
        <v>11462000</v>
      </c>
      <c r="AA73" s="604">
        <v>22924092</v>
      </c>
      <c r="AB73" s="604">
        <v>0</v>
      </c>
      <c r="AC73" s="606">
        <v>34386000</v>
      </c>
      <c r="AD73" s="604">
        <v>92</v>
      </c>
      <c r="AE73" s="603">
        <v>2</v>
      </c>
      <c r="AF73" s="607">
        <v>11462092</v>
      </c>
      <c r="AG73" s="608" t="s">
        <v>12749</v>
      </c>
      <c r="AH73" s="608" t="s">
        <v>12483</v>
      </c>
      <c r="AI73" s="603" t="s">
        <v>12748</v>
      </c>
      <c r="AJ73" s="603" t="s">
        <v>12202</v>
      </c>
      <c r="AK73" s="603" t="s">
        <v>12203</v>
      </c>
      <c r="AL73" s="599" t="s">
        <v>12750</v>
      </c>
      <c r="AM73" s="609" t="s">
        <v>12444</v>
      </c>
      <c r="AN73" s="610" t="s">
        <v>12751</v>
      </c>
      <c r="AO73" s="610" t="s">
        <v>12206</v>
      </c>
      <c r="AP73" s="610" t="s">
        <v>12207</v>
      </c>
      <c r="AQ73" s="609" t="s">
        <v>12478</v>
      </c>
      <c r="AR73" s="599" t="s">
        <v>12479</v>
      </c>
      <c r="AS73" s="603" t="s">
        <v>423</v>
      </c>
      <c r="AT73" s="609" t="s">
        <v>12752</v>
      </c>
    </row>
    <row r="74" spans="1:46" ht="25.15" customHeight="1">
      <c r="A74" s="595" t="s">
        <v>12753</v>
      </c>
      <c r="B74" s="596" t="s">
        <v>12754</v>
      </c>
      <c r="C74" s="597" t="s">
        <v>12212</v>
      </c>
      <c r="D74" s="598"/>
      <c r="E74" s="599"/>
      <c r="F74" s="600" t="s">
        <v>9735</v>
      </c>
      <c r="G74" s="601" t="s">
        <v>12755</v>
      </c>
      <c r="H74" s="601" t="s">
        <v>12755</v>
      </c>
      <c r="I74" s="596" t="s">
        <v>12214</v>
      </c>
      <c r="J74" s="596" t="s">
        <v>107</v>
      </c>
      <c r="K74" s="599" t="s">
        <v>12426</v>
      </c>
      <c r="L74" s="599" t="s">
        <v>12198</v>
      </c>
      <c r="M74" s="602" t="s">
        <v>12199</v>
      </c>
      <c r="N74" s="603" t="s">
        <v>7673</v>
      </c>
      <c r="O74" s="599">
        <v>1024</v>
      </c>
      <c r="P74" s="604">
        <v>0</v>
      </c>
      <c r="Q74" s="604">
        <v>0</v>
      </c>
      <c r="R74" s="605">
        <v>20000</v>
      </c>
      <c r="S74" s="604">
        <v>0</v>
      </c>
      <c r="T74" s="604">
        <v>0</v>
      </c>
      <c r="U74" s="604">
        <v>20800000</v>
      </c>
      <c r="V74" s="605">
        <v>10420000</v>
      </c>
      <c r="W74" s="596"/>
      <c r="X74" s="604">
        <v>0</v>
      </c>
      <c r="Y74" s="604">
        <v>1042000</v>
      </c>
      <c r="Z74" s="604">
        <v>11462000</v>
      </c>
      <c r="AA74" s="604">
        <v>22924808</v>
      </c>
      <c r="AB74" s="604">
        <v>0</v>
      </c>
      <c r="AC74" s="606">
        <v>34386000</v>
      </c>
      <c r="AD74" s="604">
        <v>808</v>
      </c>
      <c r="AE74" s="603">
        <v>2</v>
      </c>
      <c r="AF74" s="607">
        <v>11462808</v>
      </c>
      <c r="AG74" s="608" t="s">
        <v>12756</v>
      </c>
      <c r="AH74" s="608" t="s">
        <v>12524</v>
      </c>
      <c r="AI74" s="603" t="s">
        <v>12755</v>
      </c>
      <c r="AJ74" s="603" t="s">
        <v>12202</v>
      </c>
      <c r="AK74" s="603" t="s">
        <v>12203</v>
      </c>
      <c r="AL74" s="599" t="s">
        <v>12757</v>
      </c>
      <c r="AM74" s="609" t="s">
        <v>12444</v>
      </c>
      <c r="AN74" s="610" t="s">
        <v>8333</v>
      </c>
      <c r="AO74" s="610" t="s">
        <v>12206</v>
      </c>
      <c r="AP74" s="610" t="s">
        <v>12207</v>
      </c>
      <c r="AQ74" s="609" t="s">
        <v>12689</v>
      </c>
      <c r="AR74" s="599" t="s">
        <v>12690</v>
      </c>
      <c r="AS74" s="603" t="s">
        <v>423</v>
      </c>
      <c r="AT74" s="609" t="s">
        <v>12758</v>
      </c>
    </row>
    <row r="75" spans="1:46" ht="25.15" customHeight="1">
      <c r="A75" s="595" t="s">
        <v>12759</v>
      </c>
      <c r="B75" s="596" t="s">
        <v>12760</v>
      </c>
      <c r="C75" s="597" t="s">
        <v>12212</v>
      </c>
      <c r="D75" s="598"/>
      <c r="E75" s="599"/>
      <c r="F75" s="600" t="s">
        <v>9735</v>
      </c>
      <c r="G75" s="601" t="s">
        <v>855</v>
      </c>
      <c r="H75" s="601" t="s">
        <v>855</v>
      </c>
      <c r="I75" s="596" t="s">
        <v>12214</v>
      </c>
      <c r="J75" s="596" t="s">
        <v>107</v>
      </c>
      <c r="K75" s="599" t="s">
        <v>12426</v>
      </c>
      <c r="L75" s="599" t="s">
        <v>12198</v>
      </c>
      <c r="M75" s="602" t="s">
        <v>12199</v>
      </c>
      <c r="N75" s="603" t="s">
        <v>7673</v>
      </c>
      <c r="O75" s="599">
        <v>1024</v>
      </c>
      <c r="P75" s="604">
        <v>0</v>
      </c>
      <c r="Q75" s="604">
        <v>0</v>
      </c>
      <c r="R75" s="605">
        <v>20000</v>
      </c>
      <c r="S75" s="604">
        <v>0</v>
      </c>
      <c r="T75" s="604">
        <v>0</v>
      </c>
      <c r="U75" s="604">
        <v>20800000</v>
      </c>
      <c r="V75" s="605">
        <v>10420000</v>
      </c>
      <c r="W75" s="596"/>
      <c r="X75" s="604">
        <v>0</v>
      </c>
      <c r="Y75" s="604">
        <v>1042000</v>
      </c>
      <c r="Z75" s="604">
        <v>11462000</v>
      </c>
      <c r="AA75" s="604">
        <v>22924490</v>
      </c>
      <c r="AB75" s="604">
        <v>0</v>
      </c>
      <c r="AC75" s="606">
        <v>34386000</v>
      </c>
      <c r="AD75" s="604">
        <v>490</v>
      </c>
      <c r="AE75" s="603">
        <v>2</v>
      </c>
      <c r="AF75" s="607">
        <v>11462490</v>
      </c>
      <c r="AG75" s="608" t="s">
        <v>12761</v>
      </c>
      <c r="AH75" s="608" t="s">
        <v>12450</v>
      </c>
      <c r="AI75" s="603" t="s">
        <v>855</v>
      </c>
      <c r="AJ75" s="603" t="s">
        <v>12202</v>
      </c>
      <c r="AK75" s="603" t="s">
        <v>12203</v>
      </c>
      <c r="AL75" s="599" t="s">
        <v>12762</v>
      </c>
      <c r="AM75" s="609" t="s">
        <v>12452</v>
      </c>
      <c r="AN75" s="610" t="s">
        <v>8341</v>
      </c>
      <c r="AO75" s="610" t="s">
        <v>12206</v>
      </c>
      <c r="AP75" s="610" t="s">
        <v>12207</v>
      </c>
      <c r="AQ75" s="609" t="s">
        <v>12763</v>
      </c>
      <c r="AR75" s="599" t="s">
        <v>12764</v>
      </c>
      <c r="AS75" s="603" t="s">
        <v>423</v>
      </c>
      <c r="AT75" s="609" t="s">
        <v>12765</v>
      </c>
    </row>
    <row r="76" spans="1:46" ht="25.9" customHeight="1">
      <c r="A76" s="595" t="s">
        <v>12766</v>
      </c>
      <c r="B76" s="596" t="s">
        <v>12767</v>
      </c>
      <c r="C76" s="597" t="s">
        <v>12212</v>
      </c>
      <c r="D76" s="598"/>
      <c r="E76" s="599"/>
      <c r="F76" s="600" t="s">
        <v>9735</v>
      </c>
      <c r="G76" s="601" t="s">
        <v>12768</v>
      </c>
      <c r="H76" s="601" t="s">
        <v>12768</v>
      </c>
      <c r="I76" s="596" t="s">
        <v>12214</v>
      </c>
      <c r="J76" s="596" t="s">
        <v>107</v>
      </c>
      <c r="K76" s="599" t="s">
        <v>12426</v>
      </c>
      <c r="L76" s="599" t="s">
        <v>12198</v>
      </c>
      <c r="M76" s="602" t="s">
        <v>12199</v>
      </c>
      <c r="N76" s="603" t="s">
        <v>7673</v>
      </c>
      <c r="O76" s="599">
        <v>1024</v>
      </c>
      <c r="P76" s="604">
        <v>0</v>
      </c>
      <c r="Q76" s="604">
        <v>0</v>
      </c>
      <c r="R76" s="605">
        <v>20000</v>
      </c>
      <c r="S76" s="604">
        <v>0</v>
      </c>
      <c r="T76" s="604">
        <v>0</v>
      </c>
      <c r="U76" s="604">
        <v>20800000</v>
      </c>
      <c r="V76" s="605">
        <v>10420000</v>
      </c>
      <c r="W76" s="596"/>
      <c r="X76" s="604">
        <v>0</v>
      </c>
      <c r="Y76" s="604">
        <v>1042000</v>
      </c>
      <c r="Z76" s="604">
        <v>11462000</v>
      </c>
      <c r="AA76" s="604">
        <v>22924372</v>
      </c>
      <c r="AB76" s="604">
        <v>0</v>
      </c>
      <c r="AC76" s="606">
        <v>34386000</v>
      </c>
      <c r="AD76" s="604">
        <v>372</v>
      </c>
      <c r="AE76" s="603">
        <v>2</v>
      </c>
      <c r="AF76" s="607">
        <v>11462372</v>
      </c>
      <c r="AG76" s="608" t="s">
        <v>12769</v>
      </c>
      <c r="AH76" s="608" t="s">
        <v>12450</v>
      </c>
      <c r="AI76" s="603" t="s">
        <v>12768</v>
      </c>
      <c r="AJ76" s="603" t="s">
        <v>12202</v>
      </c>
      <c r="AK76" s="603" t="s">
        <v>12203</v>
      </c>
      <c r="AL76" s="599" t="s">
        <v>12770</v>
      </c>
      <c r="AM76" s="609" t="s">
        <v>12444</v>
      </c>
      <c r="AN76" s="610" t="s">
        <v>12771</v>
      </c>
      <c r="AO76" s="610" t="s">
        <v>12206</v>
      </c>
      <c r="AP76" s="610" t="s">
        <v>12207</v>
      </c>
      <c r="AQ76" s="609" t="s">
        <v>12370</v>
      </c>
      <c r="AR76" s="599" t="s">
        <v>12371</v>
      </c>
      <c r="AS76" s="603" t="s">
        <v>423</v>
      </c>
      <c r="AT76" s="609" t="s">
        <v>12772</v>
      </c>
    </row>
    <row r="77" spans="1:46" ht="22.15" customHeight="1">
      <c r="A77" s="595" t="s">
        <v>12773</v>
      </c>
      <c r="B77" s="596" t="s">
        <v>12774</v>
      </c>
      <c r="C77" s="597" t="s">
        <v>12212</v>
      </c>
      <c r="D77" s="598"/>
      <c r="E77" s="599"/>
      <c r="F77" s="600" t="s">
        <v>9735</v>
      </c>
      <c r="G77" s="601" t="s">
        <v>12775</v>
      </c>
      <c r="H77" s="601" t="s">
        <v>12775</v>
      </c>
      <c r="I77" s="596" t="s">
        <v>12214</v>
      </c>
      <c r="J77" s="596" t="s">
        <v>107</v>
      </c>
      <c r="K77" s="599" t="s">
        <v>12426</v>
      </c>
      <c r="L77" s="599" t="s">
        <v>12198</v>
      </c>
      <c r="M77" s="602" t="s">
        <v>12199</v>
      </c>
      <c r="N77" s="603" t="s">
        <v>7673</v>
      </c>
      <c r="O77" s="599">
        <v>1024</v>
      </c>
      <c r="P77" s="604">
        <v>0</v>
      </c>
      <c r="Q77" s="604">
        <v>0</v>
      </c>
      <c r="R77" s="605">
        <v>20000</v>
      </c>
      <c r="S77" s="604">
        <v>0</v>
      </c>
      <c r="T77" s="604">
        <v>0</v>
      </c>
      <c r="U77" s="604">
        <v>20800000</v>
      </c>
      <c r="V77" s="605">
        <v>10420000</v>
      </c>
      <c r="W77" s="596"/>
      <c r="X77" s="604">
        <v>0</v>
      </c>
      <c r="Y77" s="604">
        <v>1042000</v>
      </c>
      <c r="Z77" s="604">
        <v>11462000</v>
      </c>
      <c r="AA77" s="604">
        <v>22924267</v>
      </c>
      <c r="AB77" s="604">
        <v>0</v>
      </c>
      <c r="AC77" s="606">
        <v>34386000</v>
      </c>
      <c r="AD77" s="604">
        <v>267</v>
      </c>
      <c r="AE77" s="603">
        <v>2</v>
      </c>
      <c r="AF77" s="607">
        <v>11462267</v>
      </c>
      <c r="AG77" s="608" t="s">
        <v>12776</v>
      </c>
      <c r="AH77" s="608" t="s">
        <v>12618</v>
      </c>
      <c r="AI77" s="603" t="s">
        <v>12775</v>
      </c>
      <c r="AJ77" s="603" t="s">
        <v>12202</v>
      </c>
      <c r="AK77" s="603" t="s">
        <v>12203</v>
      </c>
      <c r="AL77" s="599" t="s">
        <v>12555</v>
      </c>
      <c r="AM77" s="609" t="s">
        <v>4940</v>
      </c>
      <c r="AN77" s="610" t="s">
        <v>12777</v>
      </c>
      <c r="AO77" s="610" t="s">
        <v>12206</v>
      </c>
      <c r="AP77" s="610" t="s">
        <v>12207</v>
      </c>
      <c r="AQ77" s="609" t="s">
        <v>12654</v>
      </c>
      <c r="AR77" s="599" t="s">
        <v>12655</v>
      </c>
      <c r="AS77" s="603" t="s">
        <v>423</v>
      </c>
      <c r="AT77" s="609" t="s">
        <v>12778</v>
      </c>
    </row>
    <row r="78" spans="1:46" ht="22.9" customHeight="1">
      <c r="A78" s="595" t="s">
        <v>12779</v>
      </c>
      <c r="B78" s="596" t="s">
        <v>12780</v>
      </c>
      <c r="C78" s="597" t="s">
        <v>12781</v>
      </c>
      <c r="D78" s="598"/>
      <c r="E78" s="599"/>
      <c r="F78" s="600" t="s">
        <v>9735</v>
      </c>
      <c r="G78" s="601" t="s">
        <v>12782</v>
      </c>
      <c r="H78" s="601" t="s">
        <v>12783</v>
      </c>
      <c r="I78" s="596" t="s">
        <v>12214</v>
      </c>
      <c r="J78" s="596" t="s">
        <v>335</v>
      </c>
      <c r="K78" s="599" t="s">
        <v>12197</v>
      </c>
      <c r="L78" s="599" t="s">
        <v>12198</v>
      </c>
      <c r="M78" s="602" t="s">
        <v>12199</v>
      </c>
      <c r="N78" s="603" t="s">
        <v>7673</v>
      </c>
      <c r="O78" s="599">
        <v>1024</v>
      </c>
      <c r="P78" s="604">
        <v>0</v>
      </c>
      <c r="Q78" s="604">
        <v>0</v>
      </c>
      <c r="R78" s="605">
        <v>20000</v>
      </c>
      <c r="S78" s="604">
        <v>0</v>
      </c>
      <c r="T78" s="604">
        <v>0</v>
      </c>
      <c r="U78" s="604">
        <v>8960000</v>
      </c>
      <c r="V78" s="605">
        <v>4500000</v>
      </c>
      <c r="W78" s="596"/>
      <c r="X78" s="604">
        <v>0</v>
      </c>
      <c r="Y78" s="604">
        <v>450000</v>
      </c>
      <c r="Z78" s="604">
        <v>4950000</v>
      </c>
      <c r="AA78" s="604">
        <v>9900530</v>
      </c>
      <c r="AB78" s="604">
        <v>0</v>
      </c>
      <c r="AC78" s="606">
        <v>14850000</v>
      </c>
      <c r="AD78" s="604">
        <v>530</v>
      </c>
      <c r="AE78" s="603">
        <v>2</v>
      </c>
      <c r="AF78" s="607">
        <v>4950530</v>
      </c>
      <c r="AG78" s="608" t="s">
        <v>12784</v>
      </c>
      <c r="AH78" s="608" t="s">
        <v>12385</v>
      </c>
      <c r="AI78" s="603" t="s">
        <v>12783</v>
      </c>
      <c r="AJ78" s="603" t="s">
        <v>12202</v>
      </c>
      <c r="AK78" s="603" t="s">
        <v>12203</v>
      </c>
      <c r="AL78" s="599" t="s">
        <v>12785</v>
      </c>
      <c r="AM78" s="609" t="s">
        <v>12786</v>
      </c>
      <c r="AN78" s="610" t="s">
        <v>12787</v>
      </c>
      <c r="AO78" s="610" t="s">
        <v>12206</v>
      </c>
      <c r="AP78" s="610" t="s">
        <v>12207</v>
      </c>
      <c r="AQ78" s="609" t="s">
        <v>12208</v>
      </c>
      <c r="AR78" s="599" t="s">
        <v>12209</v>
      </c>
      <c r="AS78" s="603" t="s">
        <v>423</v>
      </c>
      <c r="AT78" s="609" t="s">
        <v>12788</v>
      </c>
    </row>
    <row r="79" spans="1:46" ht="25.15" customHeight="1">
      <c r="A79" s="595" t="s">
        <v>12789</v>
      </c>
      <c r="B79" s="596" t="s">
        <v>12790</v>
      </c>
      <c r="C79" s="597" t="s">
        <v>12791</v>
      </c>
      <c r="D79" s="598"/>
      <c r="E79" s="599"/>
      <c r="F79" s="600" t="s">
        <v>9735</v>
      </c>
      <c r="G79" s="601" t="s">
        <v>12792</v>
      </c>
      <c r="H79" s="601" t="s">
        <v>12793</v>
      </c>
      <c r="I79" s="596" t="s">
        <v>12255</v>
      </c>
      <c r="J79" s="596" t="s">
        <v>335</v>
      </c>
      <c r="K79" s="599" t="s">
        <v>12197</v>
      </c>
      <c r="L79" s="599" t="s">
        <v>12198</v>
      </c>
      <c r="M79" s="602" t="s">
        <v>12199</v>
      </c>
      <c r="N79" s="603" t="s">
        <v>7673</v>
      </c>
      <c r="O79" s="599">
        <v>2048</v>
      </c>
      <c r="P79" s="604">
        <v>0</v>
      </c>
      <c r="Q79" s="604">
        <v>0</v>
      </c>
      <c r="R79" s="605">
        <v>20000</v>
      </c>
      <c r="S79" s="604">
        <v>0</v>
      </c>
      <c r="T79" s="604">
        <v>0</v>
      </c>
      <c r="U79" s="604">
        <v>15680000</v>
      </c>
      <c r="V79" s="605">
        <v>7860000</v>
      </c>
      <c r="W79" s="596"/>
      <c r="X79" s="604">
        <v>0</v>
      </c>
      <c r="Y79" s="604">
        <v>786000</v>
      </c>
      <c r="Z79" s="604">
        <v>8646000</v>
      </c>
      <c r="AA79" s="604">
        <v>951</v>
      </c>
      <c r="AB79" s="604">
        <v>0</v>
      </c>
      <c r="AC79" s="606">
        <v>8646000</v>
      </c>
      <c r="AD79" s="604">
        <v>951</v>
      </c>
      <c r="AE79" s="603">
        <v>1</v>
      </c>
      <c r="AF79" s="607">
        <v>8646951</v>
      </c>
      <c r="AG79" s="608" t="s">
        <v>12794</v>
      </c>
      <c r="AH79" s="608" t="s">
        <v>12795</v>
      </c>
      <c r="AI79" s="603" t="s">
        <v>12793</v>
      </c>
      <c r="AJ79" s="603" t="s">
        <v>12202</v>
      </c>
      <c r="AK79" s="603" t="s">
        <v>12203</v>
      </c>
      <c r="AL79" s="599" t="s">
        <v>12796</v>
      </c>
      <c r="AM79" s="609" t="s">
        <v>4940</v>
      </c>
      <c r="AN79" s="610" t="s">
        <v>12797</v>
      </c>
      <c r="AO79" s="610" t="s">
        <v>12206</v>
      </c>
      <c r="AP79" s="610" t="s">
        <v>12207</v>
      </c>
      <c r="AQ79" s="609" t="s">
        <v>12612</v>
      </c>
      <c r="AR79" s="599" t="s">
        <v>12613</v>
      </c>
      <c r="AS79" s="603" t="s">
        <v>423</v>
      </c>
      <c r="AT79" s="609" t="s">
        <v>12798</v>
      </c>
    </row>
    <row r="80" spans="1:46" ht="17.850000000000001" customHeight="1">
      <c r="A80" s="595" t="s">
        <v>12799</v>
      </c>
      <c r="B80" s="596" t="s">
        <v>12800</v>
      </c>
      <c r="C80" s="597" t="s">
        <v>12801</v>
      </c>
      <c r="D80" s="598"/>
      <c r="E80" s="599" t="s">
        <v>8553</v>
      </c>
      <c r="F80" s="600" t="s">
        <v>9735</v>
      </c>
      <c r="G80" s="601" t="s">
        <v>12802</v>
      </c>
      <c r="H80" s="601" t="s">
        <v>12803</v>
      </c>
      <c r="I80" s="596" t="s">
        <v>12255</v>
      </c>
      <c r="J80" s="596" t="s">
        <v>335</v>
      </c>
      <c r="K80" s="599" t="s">
        <v>12197</v>
      </c>
      <c r="L80" s="599" t="s">
        <v>12198</v>
      </c>
      <c r="M80" s="602" t="s">
        <v>12199</v>
      </c>
      <c r="N80" s="603" t="s">
        <v>7673</v>
      </c>
      <c r="O80" s="599">
        <v>2048</v>
      </c>
      <c r="P80" s="604">
        <v>0</v>
      </c>
      <c r="Q80" s="604">
        <v>0</v>
      </c>
      <c r="R80" s="605">
        <v>0</v>
      </c>
      <c r="S80" s="604">
        <v>0</v>
      </c>
      <c r="T80" s="604">
        <v>0</v>
      </c>
      <c r="U80" s="604">
        <v>15680000</v>
      </c>
      <c r="V80" s="605">
        <v>7840000</v>
      </c>
      <c r="W80" s="596"/>
      <c r="X80" s="604">
        <v>0</v>
      </c>
      <c r="Y80" s="604">
        <v>784000</v>
      </c>
      <c r="Z80" s="604">
        <v>8624000</v>
      </c>
      <c r="AA80" s="604">
        <v>987</v>
      </c>
      <c r="AB80" s="604">
        <v>0</v>
      </c>
      <c r="AC80" s="606">
        <v>8624000</v>
      </c>
      <c r="AD80" s="604">
        <v>987</v>
      </c>
      <c r="AE80" s="603">
        <v>1</v>
      </c>
      <c r="AF80" s="607">
        <v>8624987</v>
      </c>
      <c r="AG80" s="608" t="s">
        <v>12804</v>
      </c>
      <c r="AH80" s="608" t="s">
        <v>12805</v>
      </c>
      <c r="AI80" s="603" t="s">
        <v>12803</v>
      </c>
      <c r="AJ80" s="603" t="s">
        <v>12202</v>
      </c>
      <c r="AK80" s="603" t="s">
        <v>12203</v>
      </c>
      <c r="AL80" s="599" t="s">
        <v>12806</v>
      </c>
      <c r="AM80" s="609" t="s">
        <v>12807</v>
      </c>
      <c r="AN80" s="610" t="s">
        <v>12808</v>
      </c>
      <c r="AO80" s="610" t="s">
        <v>12206</v>
      </c>
      <c r="AP80" s="610" t="s">
        <v>12207</v>
      </c>
      <c r="AQ80" s="609" t="s">
        <v>12654</v>
      </c>
      <c r="AR80" s="599" t="s">
        <v>12655</v>
      </c>
      <c r="AS80" s="603" t="s">
        <v>423</v>
      </c>
      <c r="AT80" s="609" t="s">
        <v>12809</v>
      </c>
    </row>
    <row r="81" spans="1:46" ht="25.15" customHeight="1">
      <c r="A81" s="595" t="s">
        <v>12810</v>
      </c>
      <c r="B81" s="596" t="s">
        <v>12811</v>
      </c>
      <c r="C81" s="597" t="s">
        <v>12812</v>
      </c>
      <c r="D81" s="598"/>
      <c r="E81" s="599"/>
      <c r="F81" s="600" t="s">
        <v>9735</v>
      </c>
      <c r="G81" s="601" t="s">
        <v>12813</v>
      </c>
      <c r="H81" s="601" t="s">
        <v>4391</v>
      </c>
      <c r="I81" s="596" t="s">
        <v>12814</v>
      </c>
      <c r="J81" s="596" t="s">
        <v>335</v>
      </c>
      <c r="K81" s="599" t="s">
        <v>12197</v>
      </c>
      <c r="L81" s="599" t="s">
        <v>12198</v>
      </c>
      <c r="M81" s="602" t="s">
        <v>12199</v>
      </c>
      <c r="N81" s="603" t="s">
        <v>7673</v>
      </c>
      <c r="O81" s="599">
        <v>4096</v>
      </c>
      <c r="P81" s="604">
        <v>0</v>
      </c>
      <c r="Q81" s="604">
        <v>0</v>
      </c>
      <c r="R81" s="605">
        <v>20000</v>
      </c>
      <c r="S81" s="604">
        <v>0</v>
      </c>
      <c r="T81" s="604">
        <v>0</v>
      </c>
      <c r="U81" s="604">
        <v>22400000</v>
      </c>
      <c r="V81" s="605">
        <v>11220000</v>
      </c>
      <c r="W81" s="596"/>
      <c r="X81" s="604">
        <v>0</v>
      </c>
      <c r="Y81" s="604">
        <v>1122000</v>
      </c>
      <c r="Z81" s="604">
        <v>12342000</v>
      </c>
      <c r="AA81" s="604">
        <v>24684158</v>
      </c>
      <c r="AB81" s="604">
        <v>0</v>
      </c>
      <c r="AC81" s="606">
        <v>37026000</v>
      </c>
      <c r="AD81" s="604">
        <v>158</v>
      </c>
      <c r="AE81" s="603">
        <v>2</v>
      </c>
      <c r="AF81" s="607">
        <v>12342158</v>
      </c>
      <c r="AG81" s="608" t="s">
        <v>12815</v>
      </c>
      <c r="AH81" s="608" t="s">
        <v>12816</v>
      </c>
      <c r="AI81" s="603" t="s">
        <v>4391</v>
      </c>
      <c r="AJ81" s="603" t="s">
        <v>12202</v>
      </c>
      <c r="AK81" s="603" t="s">
        <v>12203</v>
      </c>
      <c r="AL81" s="599" t="s">
        <v>12817</v>
      </c>
      <c r="AM81" s="609" t="s">
        <v>12818</v>
      </c>
      <c r="AN81" s="610" t="s">
        <v>12819</v>
      </c>
      <c r="AO81" s="610" t="s">
        <v>12206</v>
      </c>
      <c r="AP81" s="610" t="s">
        <v>12207</v>
      </c>
      <c r="AQ81" s="609" t="s">
        <v>12612</v>
      </c>
      <c r="AR81" s="599" t="s">
        <v>12613</v>
      </c>
      <c r="AS81" s="603" t="s">
        <v>423</v>
      </c>
      <c r="AT81" s="609" t="s">
        <v>12820</v>
      </c>
    </row>
    <row r="82" spans="1:46" ht="22.9" customHeight="1">
      <c r="A82" s="595" t="s">
        <v>12821</v>
      </c>
      <c r="B82" s="596" t="s">
        <v>12822</v>
      </c>
      <c r="C82" s="597" t="s">
        <v>12823</v>
      </c>
      <c r="D82" s="598"/>
      <c r="E82" s="599" t="s">
        <v>12824</v>
      </c>
      <c r="F82" s="600" t="s">
        <v>9735</v>
      </c>
      <c r="G82" s="601" t="s">
        <v>12825</v>
      </c>
      <c r="H82" s="601" t="s">
        <v>12826</v>
      </c>
      <c r="I82" s="596" t="s">
        <v>12214</v>
      </c>
      <c r="J82" s="596" t="s">
        <v>335</v>
      </c>
      <c r="K82" s="599" t="s">
        <v>12197</v>
      </c>
      <c r="L82" s="599" t="s">
        <v>12198</v>
      </c>
      <c r="M82" s="602" t="s">
        <v>12199</v>
      </c>
      <c r="N82" s="603" t="s">
        <v>7673</v>
      </c>
      <c r="O82" s="599">
        <v>1024</v>
      </c>
      <c r="P82" s="604">
        <v>0</v>
      </c>
      <c r="Q82" s="604">
        <v>0</v>
      </c>
      <c r="R82" s="605">
        <v>0</v>
      </c>
      <c r="S82" s="604">
        <v>0</v>
      </c>
      <c r="T82" s="604">
        <v>0</v>
      </c>
      <c r="U82" s="604">
        <v>8960000</v>
      </c>
      <c r="V82" s="605">
        <v>4480000</v>
      </c>
      <c r="W82" s="596"/>
      <c r="X82" s="604">
        <v>0</v>
      </c>
      <c r="Y82" s="604">
        <v>448000</v>
      </c>
      <c r="Z82" s="604">
        <v>4928000</v>
      </c>
      <c r="AA82" s="604">
        <v>9856697</v>
      </c>
      <c r="AB82" s="604">
        <v>0</v>
      </c>
      <c r="AC82" s="606">
        <v>14784000</v>
      </c>
      <c r="AD82" s="604">
        <v>697</v>
      </c>
      <c r="AE82" s="603">
        <v>2</v>
      </c>
      <c r="AF82" s="607">
        <v>4928697</v>
      </c>
      <c r="AG82" s="608" t="s">
        <v>12827</v>
      </c>
      <c r="AH82" s="608" t="s">
        <v>12828</v>
      </c>
      <c r="AI82" s="603" t="s">
        <v>12826</v>
      </c>
      <c r="AJ82" s="603" t="s">
        <v>12202</v>
      </c>
      <c r="AK82" s="603" t="s">
        <v>12203</v>
      </c>
      <c r="AL82" s="599" t="s">
        <v>12829</v>
      </c>
      <c r="AM82" s="609" t="s">
        <v>12830</v>
      </c>
      <c r="AN82" s="610" t="s">
        <v>8597</v>
      </c>
      <c r="AO82" s="610" t="s">
        <v>12206</v>
      </c>
      <c r="AP82" s="610" t="s">
        <v>12207</v>
      </c>
      <c r="AQ82" s="609" t="s">
        <v>12208</v>
      </c>
      <c r="AR82" s="599" t="s">
        <v>12209</v>
      </c>
      <c r="AS82" s="603" t="s">
        <v>423</v>
      </c>
      <c r="AT82" s="609" t="s">
        <v>12831</v>
      </c>
    </row>
    <row r="83" spans="1:46" ht="25.15" customHeight="1">
      <c r="A83" s="595" t="s">
        <v>12832</v>
      </c>
      <c r="B83" s="596" t="s">
        <v>12833</v>
      </c>
      <c r="C83" s="597" t="s">
        <v>4940</v>
      </c>
      <c r="D83" s="598"/>
      <c r="E83" s="599"/>
      <c r="F83" s="600" t="s">
        <v>9735</v>
      </c>
      <c r="G83" s="601" t="s">
        <v>849</v>
      </c>
      <c r="H83" s="601" t="s">
        <v>849</v>
      </c>
      <c r="I83" s="596" t="s">
        <v>12225</v>
      </c>
      <c r="J83" s="596" t="s">
        <v>335</v>
      </c>
      <c r="K83" s="599" t="s">
        <v>12197</v>
      </c>
      <c r="L83" s="599" t="s">
        <v>12198</v>
      </c>
      <c r="M83" s="602" t="s">
        <v>12199</v>
      </c>
      <c r="N83" s="603" t="s">
        <v>7673</v>
      </c>
      <c r="O83" s="599">
        <v>512</v>
      </c>
      <c r="P83" s="604">
        <v>0</v>
      </c>
      <c r="Q83" s="604">
        <v>0</v>
      </c>
      <c r="R83" s="605">
        <v>20000</v>
      </c>
      <c r="S83" s="604">
        <v>0</v>
      </c>
      <c r="T83" s="604">
        <v>0</v>
      </c>
      <c r="U83" s="604">
        <v>4480000</v>
      </c>
      <c r="V83" s="605">
        <v>2260000</v>
      </c>
      <c r="W83" s="596"/>
      <c r="X83" s="604">
        <v>0</v>
      </c>
      <c r="Y83" s="604">
        <v>226000</v>
      </c>
      <c r="Z83" s="604">
        <v>2486000</v>
      </c>
      <c r="AA83" s="604">
        <v>4972107</v>
      </c>
      <c r="AB83" s="604">
        <v>0</v>
      </c>
      <c r="AC83" s="606">
        <v>7458000</v>
      </c>
      <c r="AD83" s="604">
        <v>107</v>
      </c>
      <c r="AE83" s="603">
        <v>2</v>
      </c>
      <c r="AF83" s="607">
        <v>2486107</v>
      </c>
      <c r="AG83" s="608" t="s">
        <v>12834</v>
      </c>
      <c r="AH83" s="608" t="s">
        <v>12311</v>
      </c>
      <c r="AI83" s="603" t="s">
        <v>849</v>
      </c>
      <c r="AJ83" s="603" t="s">
        <v>12202</v>
      </c>
      <c r="AK83" s="603" t="s">
        <v>12203</v>
      </c>
      <c r="AL83" s="599" t="s">
        <v>12835</v>
      </c>
      <c r="AM83" s="609" t="s">
        <v>4940</v>
      </c>
      <c r="AN83" s="610" t="s">
        <v>8341</v>
      </c>
      <c r="AO83" s="610" t="s">
        <v>12206</v>
      </c>
      <c r="AP83" s="610" t="s">
        <v>12207</v>
      </c>
      <c r="AQ83" s="609" t="s">
        <v>12763</v>
      </c>
      <c r="AR83" s="599" t="s">
        <v>12764</v>
      </c>
      <c r="AS83" s="603" t="s">
        <v>423</v>
      </c>
      <c r="AT83" s="609" t="s">
        <v>12836</v>
      </c>
    </row>
    <row r="84" spans="1:46" ht="22.9" customHeight="1">
      <c r="A84" s="595" t="s">
        <v>12837</v>
      </c>
      <c r="B84" s="596" t="s">
        <v>12838</v>
      </c>
      <c r="C84" s="597" t="s">
        <v>12839</v>
      </c>
      <c r="D84" s="598"/>
      <c r="E84" s="599" t="s">
        <v>12840</v>
      </c>
      <c r="F84" s="600" t="s">
        <v>9735</v>
      </c>
      <c r="G84" s="601" t="s">
        <v>12841</v>
      </c>
      <c r="H84" s="601" t="s">
        <v>4386</v>
      </c>
      <c r="I84" s="596" t="s">
        <v>12225</v>
      </c>
      <c r="J84" s="596" t="s">
        <v>335</v>
      </c>
      <c r="K84" s="599" t="s">
        <v>12197</v>
      </c>
      <c r="L84" s="599" t="s">
        <v>12198</v>
      </c>
      <c r="M84" s="602" t="s">
        <v>12199</v>
      </c>
      <c r="N84" s="603" t="s">
        <v>7673</v>
      </c>
      <c r="O84" s="599">
        <v>512</v>
      </c>
      <c r="P84" s="604">
        <v>0</v>
      </c>
      <c r="Q84" s="604">
        <v>0</v>
      </c>
      <c r="R84" s="605">
        <v>0</v>
      </c>
      <c r="S84" s="604">
        <v>0</v>
      </c>
      <c r="T84" s="604">
        <v>0</v>
      </c>
      <c r="U84" s="604">
        <v>4480000</v>
      </c>
      <c r="V84" s="605">
        <v>2240000</v>
      </c>
      <c r="W84" s="596"/>
      <c r="X84" s="604">
        <v>0</v>
      </c>
      <c r="Y84" s="604">
        <v>224000</v>
      </c>
      <c r="Z84" s="604">
        <v>2464000</v>
      </c>
      <c r="AA84" s="604">
        <v>413</v>
      </c>
      <c r="AB84" s="604">
        <v>0</v>
      </c>
      <c r="AC84" s="606">
        <v>2464000</v>
      </c>
      <c r="AD84" s="604">
        <v>413</v>
      </c>
      <c r="AE84" s="603">
        <v>1</v>
      </c>
      <c r="AF84" s="607">
        <v>-2463587</v>
      </c>
      <c r="AG84" s="608" t="s">
        <v>12842</v>
      </c>
      <c r="AH84" s="608" t="s">
        <v>12843</v>
      </c>
      <c r="AI84" s="603" t="s">
        <v>4386</v>
      </c>
      <c r="AJ84" s="603" t="s">
        <v>12202</v>
      </c>
      <c r="AK84" s="603" t="s">
        <v>12203</v>
      </c>
      <c r="AL84" s="599" t="s">
        <v>12844</v>
      </c>
      <c r="AM84" s="609" t="s">
        <v>12845</v>
      </c>
      <c r="AN84" s="610" t="s">
        <v>12846</v>
      </c>
      <c r="AO84" s="610" t="s">
        <v>12206</v>
      </c>
      <c r="AP84" s="610" t="s">
        <v>12207</v>
      </c>
      <c r="AQ84" s="609" t="s">
        <v>12208</v>
      </c>
      <c r="AR84" s="599" t="s">
        <v>12209</v>
      </c>
      <c r="AS84" s="603" t="s">
        <v>423</v>
      </c>
      <c r="AT84" s="609" t="s">
        <v>12847</v>
      </c>
    </row>
    <row r="85" spans="1:46" ht="22.15" customHeight="1">
      <c r="A85" s="595" t="s">
        <v>12848</v>
      </c>
      <c r="B85" s="596" t="s">
        <v>12849</v>
      </c>
      <c r="C85" s="597" t="s">
        <v>4940</v>
      </c>
      <c r="D85" s="598"/>
      <c r="E85" s="599"/>
      <c r="F85" s="600" t="s">
        <v>9735</v>
      </c>
      <c r="G85" s="601" t="s">
        <v>12850</v>
      </c>
      <c r="H85" s="601" t="s">
        <v>12851</v>
      </c>
      <c r="I85" s="596" t="s">
        <v>12852</v>
      </c>
      <c r="J85" s="596" t="s">
        <v>12853</v>
      </c>
      <c r="K85" s="599" t="s">
        <v>12854</v>
      </c>
      <c r="L85" s="599" t="s">
        <v>12855</v>
      </c>
      <c r="M85" s="602" t="s">
        <v>12199</v>
      </c>
      <c r="N85" s="603" t="s">
        <v>7673</v>
      </c>
      <c r="O85" s="599">
        <v>84500</v>
      </c>
      <c r="P85" s="604">
        <v>0</v>
      </c>
      <c r="Q85" s="604">
        <v>0</v>
      </c>
      <c r="R85" s="605">
        <v>0</v>
      </c>
      <c r="S85" s="604">
        <v>5</v>
      </c>
      <c r="T85" s="604">
        <v>2125000</v>
      </c>
      <c r="U85" s="604">
        <v>180000960.58238637</v>
      </c>
      <c r="V85" s="605">
        <v>92125480.291193187</v>
      </c>
      <c r="W85" s="596"/>
      <c r="X85" s="604">
        <v>88919519.708806813</v>
      </c>
      <c r="Y85" s="604">
        <v>9212548.0291193184</v>
      </c>
      <c r="Z85" s="604">
        <v>101338028.3203125</v>
      </c>
      <c r="AA85" s="604">
        <v>202676091</v>
      </c>
      <c r="AB85" s="604">
        <v>0</v>
      </c>
      <c r="AC85" s="606">
        <v>304014000</v>
      </c>
      <c r="AD85" s="604">
        <v>119</v>
      </c>
      <c r="AE85" s="603">
        <v>2</v>
      </c>
      <c r="AF85" s="607">
        <v>101338119.881037</v>
      </c>
      <c r="AG85" s="608" t="s">
        <v>12856</v>
      </c>
      <c r="AH85" s="608" t="s">
        <v>12857</v>
      </c>
      <c r="AI85" s="603" t="s">
        <v>12851</v>
      </c>
      <c r="AJ85" s="603" t="s">
        <v>12202</v>
      </c>
      <c r="AK85" s="603" t="s">
        <v>12203</v>
      </c>
      <c r="AL85" s="599" t="s">
        <v>12858</v>
      </c>
      <c r="AM85" s="609" t="s">
        <v>12444</v>
      </c>
      <c r="AN85" s="610" t="s">
        <v>8528</v>
      </c>
      <c r="AO85" s="610" t="s">
        <v>12206</v>
      </c>
      <c r="AP85" s="610" t="s">
        <v>12207</v>
      </c>
      <c r="AQ85" s="609" t="s">
        <v>12859</v>
      </c>
      <c r="AR85" s="599" t="s">
        <v>12860</v>
      </c>
      <c r="AS85" s="603" t="s">
        <v>423</v>
      </c>
      <c r="AT85" s="609" t="s">
        <v>12861</v>
      </c>
    </row>
    <row r="86" spans="1:46" ht="22.9" customHeight="1">
      <c r="A86" s="1937" t="s">
        <v>12862</v>
      </c>
      <c r="B86" s="1933" t="s">
        <v>8553</v>
      </c>
      <c r="C86" s="1939" t="s">
        <v>12212</v>
      </c>
      <c r="D86" s="1941"/>
      <c r="E86" s="1917"/>
      <c r="F86" s="1929" t="s">
        <v>9735</v>
      </c>
      <c r="G86" s="1931" t="s">
        <v>12863</v>
      </c>
      <c r="H86" s="1931" t="s">
        <v>12864</v>
      </c>
      <c r="I86" s="596" t="s">
        <v>12865</v>
      </c>
      <c r="J86" s="1933" t="s">
        <v>12853</v>
      </c>
      <c r="K86" s="1917" t="s">
        <v>12854</v>
      </c>
      <c r="L86" s="1917" t="s">
        <v>12855</v>
      </c>
      <c r="M86" s="1935" t="s">
        <v>12199</v>
      </c>
      <c r="N86" s="603" t="s">
        <v>7673</v>
      </c>
      <c r="O86" s="599">
        <v>409600</v>
      </c>
      <c r="P86" s="604">
        <v>0</v>
      </c>
      <c r="Q86" s="604">
        <v>0</v>
      </c>
      <c r="R86" s="605">
        <v>0</v>
      </c>
      <c r="S86" s="604">
        <v>0</v>
      </c>
      <c r="T86" s="604">
        <v>0</v>
      </c>
      <c r="U86" s="604">
        <v>715680000</v>
      </c>
      <c r="V86" s="605">
        <v>286272000</v>
      </c>
      <c r="W86" s="596"/>
      <c r="X86" s="604">
        <v>0</v>
      </c>
      <c r="Y86" s="604">
        <v>28627200</v>
      </c>
      <c r="Z86" s="604">
        <v>314899200</v>
      </c>
      <c r="AA86" s="1925">
        <v>787248181</v>
      </c>
      <c r="AB86" s="1925">
        <v>0</v>
      </c>
      <c r="AC86" s="1927">
        <v>1141509000</v>
      </c>
      <c r="AD86" s="1925">
        <v>781</v>
      </c>
      <c r="AE86" s="1921">
        <v>2</v>
      </c>
      <c r="AF86" s="1923">
        <v>354261781</v>
      </c>
      <c r="AG86" s="1919" t="s">
        <v>12866</v>
      </c>
      <c r="AH86" s="1919" t="s">
        <v>12867</v>
      </c>
      <c r="AI86" s="1921" t="s">
        <v>12864</v>
      </c>
      <c r="AJ86" s="1921" t="s">
        <v>12202</v>
      </c>
      <c r="AK86" s="1921" t="s">
        <v>12203</v>
      </c>
      <c r="AL86" s="1917" t="s">
        <v>12729</v>
      </c>
      <c r="AM86" s="1915" t="s">
        <v>12444</v>
      </c>
      <c r="AN86" s="1913" t="s">
        <v>12868</v>
      </c>
      <c r="AO86" s="610" t="s">
        <v>12206</v>
      </c>
      <c r="AP86" s="610" t="s">
        <v>12869</v>
      </c>
      <c r="AQ86" s="1915" t="s">
        <v>12208</v>
      </c>
      <c r="AR86" s="1917" t="s">
        <v>12209</v>
      </c>
      <c r="AS86" s="603" t="s">
        <v>423</v>
      </c>
      <c r="AT86" s="609" t="s">
        <v>12870</v>
      </c>
    </row>
    <row r="87" spans="1:46" ht="22.9" customHeight="1">
      <c r="A87" s="1938"/>
      <c r="B87" s="1934"/>
      <c r="C87" s="1940"/>
      <c r="D87" s="1942"/>
      <c r="E87" s="1918"/>
      <c r="F87" s="1930"/>
      <c r="G87" s="1932"/>
      <c r="H87" s="1932"/>
      <c r="I87" s="596" t="s">
        <v>12871</v>
      </c>
      <c r="J87" s="1934"/>
      <c r="K87" s="1918"/>
      <c r="L87" s="1918"/>
      <c r="M87" s="1936"/>
      <c r="N87" s="603" t="s">
        <v>7673</v>
      </c>
      <c r="O87" s="599">
        <v>204800</v>
      </c>
      <c r="P87" s="604">
        <v>0</v>
      </c>
      <c r="Q87" s="604">
        <v>0</v>
      </c>
      <c r="R87" s="605">
        <v>0</v>
      </c>
      <c r="S87" s="604">
        <v>0</v>
      </c>
      <c r="T87" s="604">
        <v>0</v>
      </c>
      <c r="U87" s="604">
        <v>357840000</v>
      </c>
      <c r="V87" s="605">
        <v>35784000</v>
      </c>
      <c r="W87" s="596"/>
      <c r="X87" s="604">
        <v>0</v>
      </c>
      <c r="Y87" s="604">
        <v>3578400</v>
      </c>
      <c r="Z87" s="604">
        <v>39362400</v>
      </c>
      <c r="AA87" s="1926"/>
      <c r="AB87" s="1926"/>
      <c r="AC87" s="1928"/>
      <c r="AD87" s="1926"/>
      <c r="AE87" s="1922"/>
      <c r="AF87" s="1924"/>
      <c r="AG87" s="1920"/>
      <c r="AH87" s="1920"/>
      <c r="AI87" s="1922"/>
      <c r="AJ87" s="1922"/>
      <c r="AK87" s="1922"/>
      <c r="AL87" s="1918"/>
      <c r="AM87" s="1916"/>
      <c r="AN87" s="1914"/>
      <c r="AO87" s="610" t="s">
        <v>12869</v>
      </c>
      <c r="AP87" s="610" t="s">
        <v>12207</v>
      </c>
      <c r="AQ87" s="1916"/>
      <c r="AR87" s="1918"/>
      <c r="AS87" s="603" t="s">
        <v>423</v>
      </c>
      <c r="AT87" s="609" t="s">
        <v>12872</v>
      </c>
    </row>
    <row r="88" spans="1:46" ht="22.9" customHeight="1">
      <c r="A88" s="1937" t="s">
        <v>12873</v>
      </c>
      <c r="B88" s="1933" t="s">
        <v>8553</v>
      </c>
      <c r="C88" s="1939" t="s">
        <v>12212</v>
      </c>
      <c r="D88" s="1941"/>
      <c r="E88" s="1917"/>
      <c r="F88" s="1929" t="s">
        <v>9735</v>
      </c>
      <c r="G88" s="1931" t="s">
        <v>12874</v>
      </c>
      <c r="H88" s="1931" t="s">
        <v>12141</v>
      </c>
      <c r="I88" s="596" t="s">
        <v>12649</v>
      </c>
      <c r="J88" s="1933" t="s">
        <v>107</v>
      </c>
      <c r="K88" s="1917" t="s">
        <v>12426</v>
      </c>
      <c r="L88" s="1917" t="s">
        <v>12198</v>
      </c>
      <c r="M88" s="1935" t="s">
        <v>12199</v>
      </c>
      <c r="N88" s="603" t="s">
        <v>7673</v>
      </c>
      <c r="O88" s="599">
        <v>10240</v>
      </c>
      <c r="P88" s="604">
        <v>0</v>
      </c>
      <c r="Q88" s="604">
        <v>0</v>
      </c>
      <c r="R88" s="605">
        <v>0</v>
      </c>
      <c r="S88" s="604">
        <v>0</v>
      </c>
      <c r="T88" s="604">
        <v>0</v>
      </c>
      <c r="U88" s="604">
        <v>50666666.666666664</v>
      </c>
      <c r="V88" s="605">
        <v>50666666.666666664</v>
      </c>
      <c r="W88" s="596"/>
      <c r="X88" s="604">
        <v>0</v>
      </c>
      <c r="Y88" s="604">
        <v>5066666.666666666</v>
      </c>
      <c r="Z88" s="604">
        <v>55733333.333333328</v>
      </c>
      <c r="AA88" s="1925">
        <v>171167307</v>
      </c>
      <c r="AB88" s="1925">
        <v>0</v>
      </c>
      <c r="AC88" s="1927">
        <v>141317000</v>
      </c>
      <c r="AD88" s="1925">
        <v>307</v>
      </c>
      <c r="AE88" s="1921">
        <v>0</v>
      </c>
      <c r="AF88" s="1923">
        <v>-29849692.223636597</v>
      </c>
      <c r="AG88" s="1919" t="s">
        <v>12875</v>
      </c>
      <c r="AH88" s="1919" t="s">
        <v>12876</v>
      </c>
      <c r="AI88" s="1921" t="s">
        <v>12141</v>
      </c>
      <c r="AJ88" s="1921" t="s">
        <v>12202</v>
      </c>
      <c r="AK88" s="1921" t="s">
        <v>12203</v>
      </c>
      <c r="AL88" s="1917" t="s">
        <v>12729</v>
      </c>
      <c r="AM88" s="1915" t="s">
        <v>12444</v>
      </c>
      <c r="AN88" s="1913" t="s">
        <v>12877</v>
      </c>
      <c r="AO88" s="610" t="s">
        <v>12878</v>
      </c>
      <c r="AP88" s="610" t="s">
        <v>12207</v>
      </c>
      <c r="AQ88" s="1915" t="s">
        <v>12654</v>
      </c>
      <c r="AR88" s="1917" t="s">
        <v>12655</v>
      </c>
      <c r="AS88" s="603" t="s">
        <v>423</v>
      </c>
      <c r="AT88" s="609" t="s">
        <v>12879</v>
      </c>
    </row>
    <row r="89" spans="1:46" ht="22.15" customHeight="1">
      <c r="A89" s="1938"/>
      <c r="B89" s="1934"/>
      <c r="C89" s="1940"/>
      <c r="D89" s="1942"/>
      <c r="E89" s="1918"/>
      <c r="F89" s="1930"/>
      <c r="G89" s="1932"/>
      <c r="H89" s="1932"/>
      <c r="I89" s="596" t="s">
        <v>12880</v>
      </c>
      <c r="J89" s="1934"/>
      <c r="K89" s="1918"/>
      <c r="L89" s="1918"/>
      <c r="M89" s="1936"/>
      <c r="N89" s="603" t="s">
        <v>7673</v>
      </c>
      <c r="O89" s="599">
        <v>51200</v>
      </c>
      <c r="P89" s="604">
        <v>0</v>
      </c>
      <c r="Q89" s="604">
        <v>0</v>
      </c>
      <c r="R89" s="605">
        <v>0</v>
      </c>
      <c r="S89" s="604">
        <v>0</v>
      </c>
      <c r="T89" s="604">
        <v>0</v>
      </c>
      <c r="U89" s="604">
        <v>155606060.60606059</v>
      </c>
      <c r="V89" s="611">
        <v>-77803030.303030297</v>
      </c>
      <c r="W89" s="596"/>
      <c r="X89" s="604">
        <v>0</v>
      </c>
      <c r="Y89" s="612">
        <v>-7780303.0303030303</v>
      </c>
      <c r="Z89" s="612">
        <v>-85583333.333333328</v>
      </c>
      <c r="AA89" s="1926"/>
      <c r="AB89" s="1926"/>
      <c r="AC89" s="1928"/>
      <c r="AD89" s="1926"/>
      <c r="AE89" s="1922"/>
      <c r="AF89" s="1924"/>
      <c r="AG89" s="1920"/>
      <c r="AH89" s="1920"/>
      <c r="AI89" s="1922"/>
      <c r="AJ89" s="1922"/>
      <c r="AK89" s="1922"/>
      <c r="AL89" s="1918"/>
      <c r="AM89" s="1916"/>
      <c r="AN89" s="1914"/>
      <c r="AO89" s="610" t="s">
        <v>12206</v>
      </c>
      <c r="AP89" s="610" t="s">
        <v>12878</v>
      </c>
      <c r="AQ89" s="1916"/>
      <c r="AR89" s="1918"/>
      <c r="AS89" s="603" t="s">
        <v>423</v>
      </c>
      <c r="AT89" s="609" t="s">
        <v>12881</v>
      </c>
    </row>
    <row r="90" spans="1:46" ht="22.9" customHeight="1">
      <c r="A90" s="595" t="s">
        <v>12882</v>
      </c>
      <c r="B90" s="596" t="s">
        <v>8553</v>
      </c>
      <c r="C90" s="597" t="s">
        <v>12212</v>
      </c>
      <c r="D90" s="598"/>
      <c r="E90" s="599" t="s">
        <v>12883</v>
      </c>
      <c r="F90" s="600" t="s">
        <v>9735</v>
      </c>
      <c r="G90" s="601" t="s">
        <v>12884</v>
      </c>
      <c r="H90" s="601" t="s">
        <v>12884</v>
      </c>
      <c r="I90" s="596" t="s">
        <v>12255</v>
      </c>
      <c r="J90" s="596" t="s">
        <v>335</v>
      </c>
      <c r="K90" s="599" t="s">
        <v>12197</v>
      </c>
      <c r="L90" s="599" t="s">
        <v>12198</v>
      </c>
      <c r="M90" s="602" t="s">
        <v>12199</v>
      </c>
      <c r="N90" s="603" t="s">
        <v>7673</v>
      </c>
      <c r="O90" s="599">
        <v>2048</v>
      </c>
      <c r="P90" s="604">
        <v>0</v>
      </c>
      <c r="Q90" s="604">
        <v>0</v>
      </c>
      <c r="R90" s="605">
        <v>20000</v>
      </c>
      <c r="S90" s="604">
        <v>0</v>
      </c>
      <c r="T90" s="604">
        <v>0</v>
      </c>
      <c r="U90" s="604">
        <v>15680000</v>
      </c>
      <c r="V90" s="605">
        <v>7860000</v>
      </c>
      <c r="W90" s="596"/>
      <c r="X90" s="604">
        <v>0</v>
      </c>
      <c r="Y90" s="604">
        <v>786000</v>
      </c>
      <c r="Z90" s="604">
        <v>8646000</v>
      </c>
      <c r="AA90" s="604">
        <v>17292868</v>
      </c>
      <c r="AB90" s="604">
        <v>0</v>
      </c>
      <c r="AC90" s="606">
        <v>25938000</v>
      </c>
      <c r="AD90" s="604">
        <v>868</v>
      </c>
      <c r="AE90" s="603">
        <v>2</v>
      </c>
      <c r="AF90" s="607">
        <v>8646868</v>
      </c>
      <c r="AG90" s="608" t="s">
        <v>12885</v>
      </c>
      <c r="AH90" s="608" t="s">
        <v>12369</v>
      </c>
      <c r="AI90" s="603" t="s">
        <v>12884</v>
      </c>
      <c r="AJ90" s="603" t="s">
        <v>12202</v>
      </c>
      <c r="AK90" s="603" t="s">
        <v>12203</v>
      </c>
      <c r="AL90" s="599" t="s">
        <v>12886</v>
      </c>
      <c r="AM90" s="609" t="s">
        <v>12452</v>
      </c>
      <c r="AN90" s="610" t="s">
        <v>12887</v>
      </c>
      <c r="AO90" s="610" t="s">
        <v>12206</v>
      </c>
      <c r="AP90" s="610" t="s">
        <v>12207</v>
      </c>
      <c r="AQ90" s="609" t="s">
        <v>12527</v>
      </c>
      <c r="AR90" s="599" t="s">
        <v>12528</v>
      </c>
      <c r="AS90" s="603" t="s">
        <v>423</v>
      </c>
      <c r="AT90" s="609" t="s">
        <v>12888</v>
      </c>
    </row>
    <row r="91" spans="1:46" ht="17.850000000000001" customHeight="1">
      <c r="A91" s="595" t="s">
        <v>12889</v>
      </c>
      <c r="B91" s="596" t="s">
        <v>8553</v>
      </c>
      <c r="C91" s="597" t="s">
        <v>12212</v>
      </c>
      <c r="D91" s="598"/>
      <c r="E91" s="599" t="s">
        <v>12890</v>
      </c>
      <c r="F91" s="600" t="s">
        <v>9735</v>
      </c>
      <c r="G91" s="601" t="s">
        <v>12891</v>
      </c>
      <c r="H91" s="601" t="s">
        <v>12891</v>
      </c>
      <c r="I91" s="596" t="s">
        <v>12214</v>
      </c>
      <c r="J91" s="596" t="s">
        <v>335</v>
      </c>
      <c r="K91" s="599" t="s">
        <v>12197</v>
      </c>
      <c r="L91" s="599" t="s">
        <v>12198</v>
      </c>
      <c r="M91" s="602" t="s">
        <v>12199</v>
      </c>
      <c r="N91" s="603" t="s">
        <v>7673</v>
      </c>
      <c r="O91" s="599">
        <v>1024</v>
      </c>
      <c r="P91" s="604">
        <v>0</v>
      </c>
      <c r="Q91" s="604">
        <v>0</v>
      </c>
      <c r="R91" s="605">
        <v>20000</v>
      </c>
      <c r="S91" s="604">
        <v>0</v>
      </c>
      <c r="T91" s="604">
        <v>0</v>
      </c>
      <c r="U91" s="604">
        <v>8960000</v>
      </c>
      <c r="V91" s="605">
        <v>4500000</v>
      </c>
      <c r="W91" s="596"/>
      <c r="X91" s="604">
        <v>0</v>
      </c>
      <c r="Y91" s="604">
        <v>450000</v>
      </c>
      <c r="Z91" s="604">
        <v>4950000</v>
      </c>
      <c r="AA91" s="604">
        <v>9900032</v>
      </c>
      <c r="AB91" s="604">
        <v>0</v>
      </c>
      <c r="AC91" s="606">
        <v>14850000</v>
      </c>
      <c r="AD91" s="604">
        <v>32</v>
      </c>
      <c r="AE91" s="603">
        <v>2</v>
      </c>
      <c r="AF91" s="607">
        <v>4950032</v>
      </c>
      <c r="AG91" s="608" t="s">
        <v>12892</v>
      </c>
      <c r="AH91" s="608" t="s">
        <v>12410</v>
      </c>
      <c r="AI91" s="603" t="s">
        <v>12891</v>
      </c>
      <c r="AJ91" s="603" t="s">
        <v>12202</v>
      </c>
      <c r="AK91" s="603" t="s">
        <v>12203</v>
      </c>
      <c r="AL91" s="599" t="s">
        <v>12228</v>
      </c>
      <c r="AM91" s="609" t="s">
        <v>12229</v>
      </c>
      <c r="AN91" s="610" t="s">
        <v>12230</v>
      </c>
      <c r="AO91" s="610" t="s">
        <v>12206</v>
      </c>
      <c r="AP91" s="610" t="s">
        <v>12207</v>
      </c>
      <c r="AQ91" s="609" t="s">
        <v>12469</v>
      </c>
      <c r="AR91" s="599" t="s">
        <v>12470</v>
      </c>
      <c r="AS91" s="603" t="s">
        <v>423</v>
      </c>
      <c r="AT91" s="609" t="s">
        <v>12893</v>
      </c>
    </row>
    <row r="92" spans="1:46" ht="17.100000000000001" customHeight="1">
      <c r="A92" s="595" t="s">
        <v>12894</v>
      </c>
      <c r="B92" s="596" t="s">
        <v>8553</v>
      </c>
      <c r="C92" s="597" t="s">
        <v>12212</v>
      </c>
      <c r="D92" s="598"/>
      <c r="E92" s="599" t="s">
        <v>12895</v>
      </c>
      <c r="F92" s="600" t="s">
        <v>9735</v>
      </c>
      <c r="G92" s="601" t="s">
        <v>12896</v>
      </c>
      <c r="H92" s="601" t="s">
        <v>12896</v>
      </c>
      <c r="I92" s="596" t="s">
        <v>12225</v>
      </c>
      <c r="J92" s="596" t="s">
        <v>335</v>
      </c>
      <c r="K92" s="599" t="s">
        <v>12197</v>
      </c>
      <c r="L92" s="599" t="s">
        <v>12198</v>
      </c>
      <c r="M92" s="602" t="s">
        <v>12199</v>
      </c>
      <c r="N92" s="603" t="s">
        <v>7673</v>
      </c>
      <c r="O92" s="599">
        <v>512</v>
      </c>
      <c r="P92" s="604">
        <v>0</v>
      </c>
      <c r="Q92" s="604">
        <v>0</v>
      </c>
      <c r="R92" s="605">
        <v>20000</v>
      </c>
      <c r="S92" s="604">
        <v>0</v>
      </c>
      <c r="T92" s="604">
        <v>0</v>
      </c>
      <c r="U92" s="604">
        <v>4480000</v>
      </c>
      <c r="V92" s="605">
        <v>2260000</v>
      </c>
      <c r="W92" s="596"/>
      <c r="X92" s="604">
        <v>0</v>
      </c>
      <c r="Y92" s="604">
        <v>226000</v>
      </c>
      <c r="Z92" s="604">
        <v>2486000</v>
      </c>
      <c r="AA92" s="604">
        <v>4972858</v>
      </c>
      <c r="AB92" s="604">
        <v>0</v>
      </c>
      <c r="AC92" s="606">
        <v>7458000</v>
      </c>
      <c r="AD92" s="604">
        <v>858</v>
      </c>
      <c r="AE92" s="603">
        <v>2</v>
      </c>
      <c r="AF92" s="607">
        <v>2486858</v>
      </c>
      <c r="AG92" s="608" t="s">
        <v>12897</v>
      </c>
      <c r="AH92" s="608" t="s">
        <v>12247</v>
      </c>
      <c r="AI92" s="603" t="s">
        <v>12896</v>
      </c>
      <c r="AJ92" s="603" t="s">
        <v>12202</v>
      </c>
      <c r="AK92" s="603" t="s">
        <v>12203</v>
      </c>
      <c r="AL92" s="599" t="s">
        <v>12228</v>
      </c>
      <c r="AM92" s="609" t="s">
        <v>12229</v>
      </c>
      <c r="AN92" s="610" t="s">
        <v>7877</v>
      </c>
      <c r="AO92" s="610" t="s">
        <v>12206</v>
      </c>
      <c r="AP92" s="610" t="s">
        <v>12207</v>
      </c>
      <c r="AQ92" s="609" t="s">
        <v>12454</v>
      </c>
      <c r="AR92" s="599" t="s">
        <v>12455</v>
      </c>
      <c r="AS92" s="603" t="s">
        <v>423</v>
      </c>
      <c r="AT92" s="609" t="s">
        <v>12898</v>
      </c>
    </row>
    <row r="93" spans="1:46" ht="17.850000000000001" customHeight="1">
      <c r="A93" s="595" t="s">
        <v>12899</v>
      </c>
      <c r="B93" s="596" t="s">
        <v>8553</v>
      </c>
      <c r="C93" s="597" t="s">
        <v>12212</v>
      </c>
      <c r="D93" s="598"/>
      <c r="E93" s="599" t="s">
        <v>12900</v>
      </c>
      <c r="F93" s="600" t="s">
        <v>9735</v>
      </c>
      <c r="G93" s="601" t="s">
        <v>12901</v>
      </c>
      <c r="H93" s="601" t="s">
        <v>12901</v>
      </c>
      <c r="I93" s="596" t="s">
        <v>12214</v>
      </c>
      <c r="J93" s="596" t="s">
        <v>335</v>
      </c>
      <c r="K93" s="599" t="s">
        <v>12197</v>
      </c>
      <c r="L93" s="599" t="s">
        <v>12198</v>
      </c>
      <c r="M93" s="602" t="s">
        <v>12199</v>
      </c>
      <c r="N93" s="603" t="s">
        <v>7673</v>
      </c>
      <c r="O93" s="599">
        <v>1024</v>
      </c>
      <c r="P93" s="604">
        <v>0</v>
      </c>
      <c r="Q93" s="604">
        <v>0</v>
      </c>
      <c r="R93" s="605">
        <v>20000</v>
      </c>
      <c r="S93" s="604">
        <v>0</v>
      </c>
      <c r="T93" s="604">
        <v>0</v>
      </c>
      <c r="U93" s="604">
        <v>8960000</v>
      </c>
      <c r="V93" s="605">
        <v>4500000</v>
      </c>
      <c r="W93" s="596"/>
      <c r="X93" s="604">
        <v>0</v>
      </c>
      <c r="Y93" s="604">
        <v>450000</v>
      </c>
      <c r="Z93" s="604">
        <v>4950000</v>
      </c>
      <c r="AA93" s="604">
        <v>9900916</v>
      </c>
      <c r="AB93" s="604">
        <v>0</v>
      </c>
      <c r="AC93" s="606">
        <v>14850000</v>
      </c>
      <c r="AD93" s="604">
        <v>916</v>
      </c>
      <c r="AE93" s="603">
        <v>2</v>
      </c>
      <c r="AF93" s="607">
        <v>4950916</v>
      </c>
      <c r="AG93" s="608" t="s">
        <v>12902</v>
      </c>
      <c r="AH93" s="608" t="s">
        <v>12903</v>
      </c>
      <c r="AI93" s="603" t="s">
        <v>12901</v>
      </c>
      <c r="AJ93" s="603" t="s">
        <v>12202</v>
      </c>
      <c r="AK93" s="603" t="s">
        <v>12203</v>
      </c>
      <c r="AL93" s="599" t="s">
        <v>12228</v>
      </c>
      <c r="AM93" s="609" t="s">
        <v>12229</v>
      </c>
      <c r="AN93" s="610" t="s">
        <v>12230</v>
      </c>
      <c r="AO93" s="610" t="s">
        <v>12206</v>
      </c>
      <c r="AP93" s="610" t="s">
        <v>12207</v>
      </c>
      <c r="AQ93" s="609" t="s">
        <v>12260</v>
      </c>
      <c r="AR93" s="599" t="s">
        <v>12261</v>
      </c>
      <c r="AS93" s="603" t="s">
        <v>423</v>
      </c>
      <c r="AT93" s="609" t="s">
        <v>12904</v>
      </c>
    </row>
    <row r="94" spans="1:46" ht="17.100000000000001" customHeight="1">
      <c r="A94" s="595" t="s">
        <v>12905</v>
      </c>
      <c r="B94" s="596" t="s">
        <v>8553</v>
      </c>
      <c r="C94" s="597" t="s">
        <v>12212</v>
      </c>
      <c r="D94" s="598"/>
      <c r="E94" s="599" t="s">
        <v>12906</v>
      </c>
      <c r="F94" s="600" t="s">
        <v>9735</v>
      </c>
      <c r="G94" s="601" t="s">
        <v>12907</v>
      </c>
      <c r="H94" s="601" t="s">
        <v>12907</v>
      </c>
      <c r="I94" s="596" t="s">
        <v>12214</v>
      </c>
      <c r="J94" s="596" t="s">
        <v>335</v>
      </c>
      <c r="K94" s="599" t="s">
        <v>12197</v>
      </c>
      <c r="L94" s="599" t="s">
        <v>12198</v>
      </c>
      <c r="M94" s="602" t="s">
        <v>12199</v>
      </c>
      <c r="N94" s="603" t="s">
        <v>7673</v>
      </c>
      <c r="O94" s="599">
        <v>1024</v>
      </c>
      <c r="P94" s="604">
        <v>0</v>
      </c>
      <c r="Q94" s="604">
        <v>0</v>
      </c>
      <c r="R94" s="605">
        <v>20000</v>
      </c>
      <c r="S94" s="604">
        <v>0</v>
      </c>
      <c r="T94" s="604">
        <v>0</v>
      </c>
      <c r="U94" s="604">
        <v>8960000</v>
      </c>
      <c r="V94" s="605">
        <v>4500000</v>
      </c>
      <c r="W94" s="596"/>
      <c r="X94" s="604">
        <v>0</v>
      </c>
      <c r="Y94" s="604">
        <v>450000</v>
      </c>
      <c r="Z94" s="604">
        <v>4950000</v>
      </c>
      <c r="AA94" s="604">
        <v>9900865</v>
      </c>
      <c r="AB94" s="604">
        <v>0</v>
      </c>
      <c r="AC94" s="606">
        <v>14850000</v>
      </c>
      <c r="AD94" s="604">
        <v>865</v>
      </c>
      <c r="AE94" s="603">
        <v>2</v>
      </c>
      <c r="AF94" s="607">
        <v>4950865</v>
      </c>
      <c r="AG94" s="608" t="s">
        <v>12908</v>
      </c>
      <c r="AH94" s="608" t="s">
        <v>12435</v>
      </c>
      <c r="AI94" s="603" t="s">
        <v>12907</v>
      </c>
      <c r="AJ94" s="603" t="s">
        <v>12202</v>
      </c>
      <c r="AK94" s="603" t="s">
        <v>12203</v>
      </c>
      <c r="AL94" s="599" t="s">
        <v>12909</v>
      </c>
      <c r="AM94" s="609" t="s">
        <v>12444</v>
      </c>
      <c r="AN94" s="610" t="s">
        <v>12910</v>
      </c>
      <c r="AO94" s="610" t="s">
        <v>12206</v>
      </c>
      <c r="AP94" s="610" t="s">
        <v>12207</v>
      </c>
      <c r="AQ94" s="609" t="s">
        <v>12514</v>
      </c>
      <c r="AR94" s="599" t="s">
        <v>12515</v>
      </c>
      <c r="AS94" s="603" t="s">
        <v>423</v>
      </c>
      <c r="AT94" s="609" t="s">
        <v>12911</v>
      </c>
    </row>
    <row r="95" spans="1:46" ht="22.9" customHeight="1">
      <c r="A95" s="595" t="s">
        <v>12912</v>
      </c>
      <c r="B95" s="596" t="s">
        <v>8553</v>
      </c>
      <c r="C95" s="597" t="s">
        <v>12212</v>
      </c>
      <c r="D95" s="598"/>
      <c r="E95" s="599" t="s">
        <v>1554</v>
      </c>
      <c r="F95" s="600" t="s">
        <v>9735</v>
      </c>
      <c r="G95" s="601" t="s">
        <v>12913</v>
      </c>
      <c r="H95" s="601" t="s">
        <v>12913</v>
      </c>
      <c r="I95" s="596" t="s">
        <v>12214</v>
      </c>
      <c r="J95" s="596" t="s">
        <v>335</v>
      </c>
      <c r="K95" s="599" t="s">
        <v>12197</v>
      </c>
      <c r="L95" s="599" t="s">
        <v>12198</v>
      </c>
      <c r="M95" s="602" t="s">
        <v>12199</v>
      </c>
      <c r="N95" s="603" t="s">
        <v>7673</v>
      </c>
      <c r="O95" s="599">
        <v>1024</v>
      </c>
      <c r="P95" s="604">
        <v>0</v>
      </c>
      <c r="Q95" s="604">
        <v>0</v>
      </c>
      <c r="R95" s="605">
        <v>20000</v>
      </c>
      <c r="S95" s="604">
        <v>0</v>
      </c>
      <c r="T95" s="604">
        <v>0</v>
      </c>
      <c r="U95" s="604">
        <v>8960000</v>
      </c>
      <c r="V95" s="605">
        <v>4500000</v>
      </c>
      <c r="W95" s="596"/>
      <c r="X95" s="604">
        <v>0</v>
      </c>
      <c r="Y95" s="604">
        <v>450000</v>
      </c>
      <c r="Z95" s="604">
        <v>4950000</v>
      </c>
      <c r="AA95" s="604">
        <v>9900113</v>
      </c>
      <c r="AB95" s="604">
        <v>0</v>
      </c>
      <c r="AC95" s="606">
        <v>14850000</v>
      </c>
      <c r="AD95" s="604">
        <v>113</v>
      </c>
      <c r="AE95" s="603">
        <v>2</v>
      </c>
      <c r="AF95" s="607">
        <v>4950113.879999999</v>
      </c>
      <c r="AG95" s="608" t="s">
        <v>12914</v>
      </c>
      <c r="AH95" s="608" t="s">
        <v>12377</v>
      </c>
      <c r="AI95" s="603" t="s">
        <v>12913</v>
      </c>
      <c r="AJ95" s="603" t="s">
        <v>12202</v>
      </c>
      <c r="AK95" s="603" t="s">
        <v>12203</v>
      </c>
      <c r="AL95" s="599" t="s">
        <v>12915</v>
      </c>
      <c r="AM95" s="609" t="s">
        <v>12229</v>
      </c>
      <c r="AN95" s="610" t="s">
        <v>12916</v>
      </c>
      <c r="AO95" s="610" t="s">
        <v>12206</v>
      </c>
      <c r="AP95" s="610" t="s">
        <v>12207</v>
      </c>
      <c r="AQ95" s="609" t="s">
        <v>12917</v>
      </c>
      <c r="AR95" s="599" t="s">
        <v>12918</v>
      </c>
      <c r="AS95" s="603" t="s">
        <v>423</v>
      </c>
      <c r="AT95" s="609" t="s">
        <v>12919</v>
      </c>
    </row>
    <row r="96" spans="1:46" ht="22.9" customHeight="1">
      <c r="A96" s="595" t="s">
        <v>12920</v>
      </c>
      <c r="B96" s="596" t="s">
        <v>8553</v>
      </c>
      <c r="C96" s="597" t="s">
        <v>12212</v>
      </c>
      <c r="D96" s="598"/>
      <c r="E96" s="599" t="s">
        <v>12921</v>
      </c>
      <c r="F96" s="600" t="s">
        <v>9735</v>
      </c>
      <c r="G96" s="601" t="s">
        <v>12922</v>
      </c>
      <c r="H96" s="601" t="s">
        <v>12922</v>
      </c>
      <c r="I96" s="596" t="s">
        <v>12225</v>
      </c>
      <c r="J96" s="596" t="s">
        <v>335</v>
      </c>
      <c r="K96" s="599" t="s">
        <v>12197</v>
      </c>
      <c r="L96" s="599" t="s">
        <v>12198</v>
      </c>
      <c r="M96" s="602" t="s">
        <v>12199</v>
      </c>
      <c r="N96" s="603" t="s">
        <v>7673</v>
      </c>
      <c r="O96" s="599">
        <v>512</v>
      </c>
      <c r="P96" s="604">
        <v>0</v>
      </c>
      <c r="Q96" s="604">
        <v>0</v>
      </c>
      <c r="R96" s="605">
        <v>20000</v>
      </c>
      <c r="S96" s="604">
        <v>0</v>
      </c>
      <c r="T96" s="604">
        <v>0</v>
      </c>
      <c r="U96" s="604">
        <v>4480000</v>
      </c>
      <c r="V96" s="605">
        <v>2260000</v>
      </c>
      <c r="W96" s="596"/>
      <c r="X96" s="604">
        <v>0</v>
      </c>
      <c r="Y96" s="604">
        <v>226000</v>
      </c>
      <c r="Z96" s="604">
        <v>2486000</v>
      </c>
      <c r="AA96" s="604">
        <v>4972833</v>
      </c>
      <c r="AB96" s="604">
        <v>0</v>
      </c>
      <c r="AC96" s="606">
        <v>7458000</v>
      </c>
      <c r="AD96" s="604">
        <v>833</v>
      </c>
      <c r="AE96" s="603">
        <v>2</v>
      </c>
      <c r="AF96" s="607">
        <v>2486833</v>
      </c>
      <c r="AG96" s="608" t="s">
        <v>12923</v>
      </c>
      <c r="AH96" s="608" t="s">
        <v>12311</v>
      </c>
      <c r="AI96" s="603" t="s">
        <v>12922</v>
      </c>
      <c r="AJ96" s="603" t="s">
        <v>12202</v>
      </c>
      <c r="AK96" s="603" t="s">
        <v>12203</v>
      </c>
      <c r="AL96" s="599" t="s">
        <v>12248</v>
      </c>
      <c r="AM96" s="609" t="s">
        <v>4940</v>
      </c>
      <c r="AN96" s="610" t="s">
        <v>12924</v>
      </c>
      <c r="AO96" s="610" t="s">
        <v>12206</v>
      </c>
      <c r="AP96" s="610" t="s">
        <v>12207</v>
      </c>
      <c r="AQ96" s="609" t="s">
        <v>12925</v>
      </c>
      <c r="AR96" s="599" t="s">
        <v>12926</v>
      </c>
      <c r="AS96" s="603" t="s">
        <v>423</v>
      </c>
      <c r="AT96" s="609" t="s">
        <v>12927</v>
      </c>
    </row>
    <row r="97" spans="1:46" ht="17.850000000000001" customHeight="1">
      <c r="A97" s="595" t="s">
        <v>12928</v>
      </c>
      <c r="B97" s="596" t="s">
        <v>8553</v>
      </c>
      <c r="C97" s="597" t="s">
        <v>12212</v>
      </c>
      <c r="D97" s="598"/>
      <c r="E97" s="599" t="s">
        <v>12929</v>
      </c>
      <c r="F97" s="600" t="s">
        <v>9735</v>
      </c>
      <c r="G97" s="601" t="s">
        <v>12930</v>
      </c>
      <c r="H97" s="601" t="s">
        <v>12930</v>
      </c>
      <c r="I97" s="596" t="s">
        <v>12225</v>
      </c>
      <c r="J97" s="596" t="s">
        <v>335</v>
      </c>
      <c r="K97" s="599" t="s">
        <v>12197</v>
      </c>
      <c r="L97" s="599" t="s">
        <v>12198</v>
      </c>
      <c r="M97" s="602" t="s">
        <v>12199</v>
      </c>
      <c r="N97" s="603" t="s">
        <v>7673</v>
      </c>
      <c r="O97" s="599">
        <v>512</v>
      </c>
      <c r="P97" s="604">
        <v>0</v>
      </c>
      <c r="Q97" s="604">
        <v>0</v>
      </c>
      <c r="R97" s="605">
        <v>20000</v>
      </c>
      <c r="S97" s="604">
        <v>0</v>
      </c>
      <c r="T97" s="604">
        <v>0</v>
      </c>
      <c r="U97" s="604">
        <v>4480000</v>
      </c>
      <c r="V97" s="605">
        <v>2260000</v>
      </c>
      <c r="W97" s="596"/>
      <c r="X97" s="604">
        <v>0</v>
      </c>
      <c r="Y97" s="604">
        <v>226000</v>
      </c>
      <c r="Z97" s="604">
        <v>2486000</v>
      </c>
      <c r="AA97" s="604">
        <v>4972033</v>
      </c>
      <c r="AB97" s="604">
        <v>0</v>
      </c>
      <c r="AC97" s="606">
        <v>7458000</v>
      </c>
      <c r="AD97" s="604">
        <v>33</v>
      </c>
      <c r="AE97" s="603">
        <v>2</v>
      </c>
      <c r="AF97" s="607">
        <v>2486033</v>
      </c>
      <c r="AG97" s="608" t="s">
        <v>12931</v>
      </c>
      <c r="AH97" s="608" t="s">
        <v>12303</v>
      </c>
      <c r="AI97" s="603" t="s">
        <v>12930</v>
      </c>
      <c r="AJ97" s="603" t="s">
        <v>12202</v>
      </c>
      <c r="AK97" s="603" t="s">
        <v>12203</v>
      </c>
      <c r="AL97" s="599" t="s">
        <v>12932</v>
      </c>
      <c r="AM97" s="609" t="s">
        <v>4940</v>
      </c>
      <c r="AN97" s="610" t="s">
        <v>12924</v>
      </c>
      <c r="AO97" s="610" t="s">
        <v>12206</v>
      </c>
      <c r="AP97" s="610" t="s">
        <v>12207</v>
      </c>
      <c r="AQ97" s="609" t="s">
        <v>12933</v>
      </c>
      <c r="AR97" s="599" t="s">
        <v>12934</v>
      </c>
      <c r="AS97" s="603" t="s">
        <v>423</v>
      </c>
      <c r="AT97" s="609" t="s">
        <v>12935</v>
      </c>
    </row>
    <row r="98" spans="1:46" ht="22.15" customHeight="1">
      <c r="A98" s="595" t="s">
        <v>12936</v>
      </c>
      <c r="B98" s="596" t="s">
        <v>8553</v>
      </c>
      <c r="C98" s="597" t="s">
        <v>12212</v>
      </c>
      <c r="D98" s="598"/>
      <c r="E98" s="599" t="s">
        <v>12937</v>
      </c>
      <c r="F98" s="600" t="s">
        <v>9735</v>
      </c>
      <c r="G98" s="601" t="s">
        <v>12938</v>
      </c>
      <c r="H98" s="601" t="s">
        <v>12938</v>
      </c>
      <c r="I98" s="596" t="s">
        <v>12225</v>
      </c>
      <c r="J98" s="596" t="s">
        <v>335</v>
      </c>
      <c r="K98" s="599" t="s">
        <v>12197</v>
      </c>
      <c r="L98" s="599" t="s">
        <v>12198</v>
      </c>
      <c r="M98" s="602" t="s">
        <v>12199</v>
      </c>
      <c r="N98" s="603" t="s">
        <v>7673</v>
      </c>
      <c r="O98" s="599">
        <v>512</v>
      </c>
      <c r="P98" s="604">
        <v>0</v>
      </c>
      <c r="Q98" s="604">
        <v>0</v>
      </c>
      <c r="R98" s="605">
        <v>20000</v>
      </c>
      <c r="S98" s="604">
        <v>0</v>
      </c>
      <c r="T98" s="604">
        <v>0</v>
      </c>
      <c r="U98" s="604">
        <v>4480000</v>
      </c>
      <c r="V98" s="605">
        <v>2260000</v>
      </c>
      <c r="W98" s="596"/>
      <c r="X98" s="604">
        <v>0</v>
      </c>
      <c r="Y98" s="604">
        <v>226000</v>
      </c>
      <c r="Z98" s="604">
        <v>2486000</v>
      </c>
      <c r="AA98" s="604">
        <v>4972272</v>
      </c>
      <c r="AB98" s="604">
        <v>0</v>
      </c>
      <c r="AC98" s="606">
        <v>7458000</v>
      </c>
      <c r="AD98" s="604">
        <v>272</v>
      </c>
      <c r="AE98" s="603">
        <v>2</v>
      </c>
      <c r="AF98" s="607">
        <v>2486272</v>
      </c>
      <c r="AG98" s="608" t="s">
        <v>12939</v>
      </c>
      <c r="AH98" s="608" t="s">
        <v>12303</v>
      </c>
      <c r="AI98" s="603" t="s">
        <v>12938</v>
      </c>
      <c r="AJ98" s="603" t="s">
        <v>12202</v>
      </c>
      <c r="AK98" s="603" t="s">
        <v>12203</v>
      </c>
      <c r="AL98" s="599" t="s">
        <v>12248</v>
      </c>
      <c r="AM98" s="609" t="s">
        <v>4940</v>
      </c>
      <c r="AN98" s="610" t="s">
        <v>12940</v>
      </c>
      <c r="AO98" s="610" t="s">
        <v>12206</v>
      </c>
      <c r="AP98" s="610" t="s">
        <v>12207</v>
      </c>
      <c r="AQ98" s="609" t="s">
        <v>12527</v>
      </c>
      <c r="AR98" s="599" t="s">
        <v>12528</v>
      </c>
      <c r="AS98" s="603" t="s">
        <v>423</v>
      </c>
      <c r="AT98" s="609" t="s">
        <v>12941</v>
      </c>
    </row>
    <row r="99" spans="1:46" ht="22.9" customHeight="1">
      <c r="A99" s="595" t="s">
        <v>12942</v>
      </c>
      <c r="B99" s="596" t="s">
        <v>8553</v>
      </c>
      <c r="C99" s="597" t="s">
        <v>12212</v>
      </c>
      <c r="D99" s="598"/>
      <c r="E99" s="599" t="s">
        <v>12943</v>
      </c>
      <c r="F99" s="600" t="s">
        <v>9735</v>
      </c>
      <c r="G99" s="601" t="s">
        <v>12944</v>
      </c>
      <c r="H99" s="601" t="s">
        <v>12944</v>
      </c>
      <c r="I99" s="596" t="s">
        <v>12214</v>
      </c>
      <c r="J99" s="596" t="s">
        <v>335</v>
      </c>
      <c r="K99" s="599" t="s">
        <v>12197</v>
      </c>
      <c r="L99" s="599" t="s">
        <v>12198</v>
      </c>
      <c r="M99" s="602" t="s">
        <v>12199</v>
      </c>
      <c r="N99" s="603" t="s">
        <v>7673</v>
      </c>
      <c r="O99" s="599">
        <v>1024</v>
      </c>
      <c r="P99" s="604">
        <v>0</v>
      </c>
      <c r="Q99" s="604">
        <v>0</v>
      </c>
      <c r="R99" s="605">
        <v>20000</v>
      </c>
      <c r="S99" s="604">
        <v>0</v>
      </c>
      <c r="T99" s="604">
        <v>0</v>
      </c>
      <c r="U99" s="604">
        <v>12800000</v>
      </c>
      <c r="V99" s="605">
        <v>6420000</v>
      </c>
      <c r="W99" s="596"/>
      <c r="X99" s="604">
        <v>0</v>
      </c>
      <c r="Y99" s="604">
        <v>642000</v>
      </c>
      <c r="Z99" s="604">
        <v>7062000</v>
      </c>
      <c r="AA99" s="604">
        <v>14124947</v>
      </c>
      <c r="AB99" s="604">
        <v>0</v>
      </c>
      <c r="AC99" s="606">
        <v>21186000</v>
      </c>
      <c r="AD99" s="604">
        <v>947</v>
      </c>
      <c r="AE99" s="603">
        <v>2</v>
      </c>
      <c r="AF99" s="607">
        <v>7062947</v>
      </c>
      <c r="AG99" s="608" t="s">
        <v>12945</v>
      </c>
      <c r="AH99" s="608" t="s">
        <v>12216</v>
      </c>
      <c r="AI99" s="603" t="s">
        <v>12944</v>
      </c>
      <c r="AJ99" s="603" t="s">
        <v>12202</v>
      </c>
      <c r="AK99" s="603" t="s">
        <v>12203</v>
      </c>
      <c r="AL99" s="599" t="s">
        <v>12946</v>
      </c>
      <c r="AM99" s="609" t="s">
        <v>4940</v>
      </c>
      <c r="AN99" s="610" t="s">
        <v>12947</v>
      </c>
      <c r="AO99" s="610" t="s">
        <v>12206</v>
      </c>
      <c r="AP99" s="610" t="s">
        <v>12207</v>
      </c>
      <c r="AQ99" s="609" t="s">
        <v>12948</v>
      </c>
      <c r="AR99" s="599" t="s">
        <v>12949</v>
      </c>
      <c r="AS99" s="603" t="s">
        <v>423</v>
      </c>
      <c r="AT99" s="609" t="s">
        <v>12950</v>
      </c>
    </row>
    <row r="100" spans="1:46" ht="22.9" customHeight="1">
      <c r="A100" s="595" t="s">
        <v>12951</v>
      </c>
      <c r="B100" s="596" t="s">
        <v>8553</v>
      </c>
      <c r="C100" s="597" t="s">
        <v>12212</v>
      </c>
      <c r="D100" s="598"/>
      <c r="E100" s="599" t="s">
        <v>12952</v>
      </c>
      <c r="F100" s="600" t="s">
        <v>9735</v>
      </c>
      <c r="G100" s="601" t="s">
        <v>12953</v>
      </c>
      <c r="H100" s="601" t="s">
        <v>12953</v>
      </c>
      <c r="I100" s="596" t="s">
        <v>12214</v>
      </c>
      <c r="J100" s="596" t="s">
        <v>335</v>
      </c>
      <c r="K100" s="599" t="s">
        <v>12197</v>
      </c>
      <c r="L100" s="599" t="s">
        <v>12198</v>
      </c>
      <c r="M100" s="602" t="s">
        <v>12199</v>
      </c>
      <c r="N100" s="603" t="s">
        <v>7673</v>
      </c>
      <c r="O100" s="599">
        <v>1024</v>
      </c>
      <c r="P100" s="604">
        <v>0</v>
      </c>
      <c r="Q100" s="604">
        <v>0</v>
      </c>
      <c r="R100" s="605">
        <v>20000</v>
      </c>
      <c r="S100" s="604">
        <v>0</v>
      </c>
      <c r="T100" s="604">
        <v>0</v>
      </c>
      <c r="U100" s="604">
        <v>8960000</v>
      </c>
      <c r="V100" s="605">
        <v>4500000</v>
      </c>
      <c r="W100" s="596"/>
      <c r="X100" s="604">
        <v>0</v>
      </c>
      <c r="Y100" s="604">
        <v>450000</v>
      </c>
      <c r="Z100" s="604">
        <v>4950000</v>
      </c>
      <c r="AA100" s="604">
        <v>9900368</v>
      </c>
      <c r="AB100" s="604">
        <v>0</v>
      </c>
      <c r="AC100" s="606">
        <v>14850000</v>
      </c>
      <c r="AD100" s="604">
        <v>368</v>
      </c>
      <c r="AE100" s="603">
        <v>2</v>
      </c>
      <c r="AF100" s="607">
        <v>4950368.6666666642</v>
      </c>
      <c r="AG100" s="608" t="s">
        <v>12954</v>
      </c>
      <c r="AH100" s="608" t="s">
        <v>12435</v>
      </c>
      <c r="AI100" s="603" t="s">
        <v>12953</v>
      </c>
      <c r="AJ100" s="603" t="s">
        <v>12202</v>
      </c>
      <c r="AK100" s="603" t="s">
        <v>12203</v>
      </c>
      <c r="AL100" s="599" t="s">
        <v>12955</v>
      </c>
      <c r="AM100" s="609" t="s">
        <v>4940</v>
      </c>
      <c r="AN100" s="610" t="s">
        <v>12956</v>
      </c>
      <c r="AO100" s="610" t="s">
        <v>12206</v>
      </c>
      <c r="AP100" s="610" t="s">
        <v>12207</v>
      </c>
      <c r="AQ100" s="609" t="s">
        <v>12557</v>
      </c>
      <c r="AR100" s="599" t="s">
        <v>12558</v>
      </c>
      <c r="AS100" s="603" t="s">
        <v>423</v>
      </c>
      <c r="AT100" s="609" t="s">
        <v>12957</v>
      </c>
    </row>
    <row r="101" spans="1:46" ht="17.100000000000001" customHeight="1">
      <c r="A101" s="595" t="s">
        <v>12958</v>
      </c>
      <c r="B101" s="596" t="s">
        <v>8553</v>
      </c>
      <c r="C101" s="597" t="s">
        <v>12212</v>
      </c>
      <c r="D101" s="598"/>
      <c r="E101" s="599" t="s">
        <v>12959</v>
      </c>
      <c r="F101" s="600" t="s">
        <v>9735</v>
      </c>
      <c r="G101" s="601" t="s">
        <v>12960</v>
      </c>
      <c r="H101" s="601" t="s">
        <v>12960</v>
      </c>
      <c r="I101" s="596" t="s">
        <v>12255</v>
      </c>
      <c r="J101" s="596" t="s">
        <v>335</v>
      </c>
      <c r="K101" s="599" t="s">
        <v>12197</v>
      </c>
      <c r="L101" s="599" t="s">
        <v>12198</v>
      </c>
      <c r="M101" s="602" t="s">
        <v>12199</v>
      </c>
      <c r="N101" s="603" t="s">
        <v>7673</v>
      </c>
      <c r="O101" s="599">
        <v>2048</v>
      </c>
      <c r="P101" s="604">
        <v>0</v>
      </c>
      <c r="Q101" s="604">
        <v>0</v>
      </c>
      <c r="R101" s="605">
        <v>20000</v>
      </c>
      <c r="S101" s="604">
        <v>0</v>
      </c>
      <c r="T101" s="604">
        <v>0</v>
      </c>
      <c r="U101" s="604">
        <v>15680000</v>
      </c>
      <c r="V101" s="605">
        <v>7860000</v>
      </c>
      <c r="W101" s="596"/>
      <c r="X101" s="604">
        <v>0</v>
      </c>
      <c r="Y101" s="604">
        <v>786000</v>
      </c>
      <c r="Z101" s="604">
        <v>8646000</v>
      </c>
      <c r="AA101" s="604">
        <v>17292233</v>
      </c>
      <c r="AB101" s="604">
        <v>0</v>
      </c>
      <c r="AC101" s="606">
        <v>25938000</v>
      </c>
      <c r="AD101" s="604">
        <v>233</v>
      </c>
      <c r="AE101" s="603">
        <v>2</v>
      </c>
      <c r="AF101" s="607">
        <v>8646233</v>
      </c>
      <c r="AG101" s="608" t="s">
        <v>12961</v>
      </c>
      <c r="AH101" s="608" t="s">
        <v>12257</v>
      </c>
      <c r="AI101" s="603" t="s">
        <v>12960</v>
      </c>
      <c r="AJ101" s="603" t="s">
        <v>12202</v>
      </c>
      <c r="AK101" s="603" t="s">
        <v>12203</v>
      </c>
      <c r="AL101" s="599" t="s">
        <v>12962</v>
      </c>
      <c r="AM101" s="609" t="s">
        <v>4940</v>
      </c>
      <c r="AN101" s="610" t="s">
        <v>8521</v>
      </c>
      <c r="AO101" s="610" t="s">
        <v>12206</v>
      </c>
      <c r="AP101" s="610" t="s">
        <v>12207</v>
      </c>
      <c r="AQ101" s="609" t="s">
        <v>12963</v>
      </c>
      <c r="AR101" s="599" t="s">
        <v>12964</v>
      </c>
      <c r="AS101" s="603" t="s">
        <v>423</v>
      </c>
      <c r="AT101" s="609" t="s">
        <v>12965</v>
      </c>
    </row>
    <row r="102" spans="1:46" ht="17.850000000000001" customHeight="1">
      <c r="A102" s="595" t="s">
        <v>12966</v>
      </c>
      <c r="B102" s="596" t="s">
        <v>8553</v>
      </c>
      <c r="C102" s="597" t="s">
        <v>12212</v>
      </c>
      <c r="D102" s="598"/>
      <c r="E102" s="599" t="s">
        <v>12967</v>
      </c>
      <c r="F102" s="600" t="s">
        <v>9735</v>
      </c>
      <c r="G102" s="601" t="s">
        <v>12968</v>
      </c>
      <c r="H102" s="601" t="s">
        <v>12968</v>
      </c>
      <c r="I102" s="596" t="s">
        <v>12225</v>
      </c>
      <c r="J102" s="596" t="s">
        <v>335</v>
      </c>
      <c r="K102" s="599" t="s">
        <v>12197</v>
      </c>
      <c r="L102" s="599" t="s">
        <v>12198</v>
      </c>
      <c r="M102" s="602" t="s">
        <v>12199</v>
      </c>
      <c r="N102" s="603" t="s">
        <v>7673</v>
      </c>
      <c r="O102" s="599">
        <v>512</v>
      </c>
      <c r="P102" s="604">
        <v>0</v>
      </c>
      <c r="Q102" s="604">
        <v>0</v>
      </c>
      <c r="R102" s="605">
        <v>20000</v>
      </c>
      <c r="S102" s="604">
        <v>0</v>
      </c>
      <c r="T102" s="604">
        <v>0</v>
      </c>
      <c r="U102" s="604">
        <v>4480000</v>
      </c>
      <c r="V102" s="605">
        <v>2260000</v>
      </c>
      <c r="W102" s="596"/>
      <c r="X102" s="604">
        <v>0</v>
      </c>
      <c r="Y102" s="604">
        <v>226000</v>
      </c>
      <c r="Z102" s="604">
        <v>2486000</v>
      </c>
      <c r="AA102" s="604">
        <v>4972507</v>
      </c>
      <c r="AB102" s="604">
        <v>0</v>
      </c>
      <c r="AC102" s="606">
        <v>7458000</v>
      </c>
      <c r="AD102" s="604">
        <v>507</v>
      </c>
      <c r="AE102" s="603">
        <v>2</v>
      </c>
      <c r="AF102" s="607">
        <v>2486507</v>
      </c>
      <c r="AG102" s="608" t="s">
        <v>12969</v>
      </c>
      <c r="AH102" s="608" t="s">
        <v>12227</v>
      </c>
      <c r="AI102" s="603" t="s">
        <v>12968</v>
      </c>
      <c r="AJ102" s="603" t="s">
        <v>12202</v>
      </c>
      <c r="AK102" s="603" t="s">
        <v>12203</v>
      </c>
      <c r="AL102" s="599" t="s">
        <v>12970</v>
      </c>
      <c r="AM102" s="609" t="s">
        <v>4940</v>
      </c>
      <c r="AN102" s="610" t="s">
        <v>12971</v>
      </c>
      <c r="AO102" s="610" t="s">
        <v>12206</v>
      </c>
      <c r="AP102" s="610" t="s">
        <v>12207</v>
      </c>
      <c r="AQ102" s="609" t="s">
        <v>12963</v>
      </c>
      <c r="AR102" s="599" t="s">
        <v>12964</v>
      </c>
      <c r="AS102" s="603" t="s">
        <v>423</v>
      </c>
      <c r="AT102" s="609" t="s">
        <v>12972</v>
      </c>
    </row>
    <row r="103" spans="1:46" ht="22.9" customHeight="1">
      <c r="A103" s="595" t="s">
        <v>12973</v>
      </c>
      <c r="B103" s="596" t="s">
        <v>8553</v>
      </c>
      <c r="C103" s="597" t="s">
        <v>12212</v>
      </c>
      <c r="D103" s="598"/>
      <c r="E103" s="599" t="s">
        <v>12974</v>
      </c>
      <c r="F103" s="600" t="s">
        <v>9735</v>
      </c>
      <c r="G103" s="601" t="s">
        <v>12975</v>
      </c>
      <c r="H103" s="601" t="s">
        <v>12975</v>
      </c>
      <c r="I103" s="596" t="s">
        <v>12225</v>
      </c>
      <c r="J103" s="596" t="s">
        <v>335</v>
      </c>
      <c r="K103" s="599" t="s">
        <v>12197</v>
      </c>
      <c r="L103" s="599" t="s">
        <v>12198</v>
      </c>
      <c r="M103" s="602" t="s">
        <v>12199</v>
      </c>
      <c r="N103" s="603" t="s">
        <v>7673</v>
      </c>
      <c r="O103" s="599">
        <v>512</v>
      </c>
      <c r="P103" s="604">
        <v>0</v>
      </c>
      <c r="Q103" s="604">
        <v>0</v>
      </c>
      <c r="R103" s="605">
        <v>20000</v>
      </c>
      <c r="S103" s="604">
        <v>0</v>
      </c>
      <c r="T103" s="604">
        <v>0</v>
      </c>
      <c r="U103" s="604">
        <v>4480000</v>
      </c>
      <c r="V103" s="605">
        <v>2260000</v>
      </c>
      <c r="W103" s="596"/>
      <c r="X103" s="604">
        <v>0</v>
      </c>
      <c r="Y103" s="604">
        <v>226000</v>
      </c>
      <c r="Z103" s="604">
        <v>2486000</v>
      </c>
      <c r="AA103" s="604">
        <v>4972841</v>
      </c>
      <c r="AB103" s="604">
        <v>0</v>
      </c>
      <c r="AC103" s="606">
        <v>7458000</v>
      </c>
      <c r="AD103" s="604">
        <v>841</v>
      </c>
      <c r="AE103" s="603">
        <v>2</v>
      </c>
      <c r="AF103" s="607">
        <v>2486841</v>
      </c>
      <c r="AG103" s="608" t="s">
        <v>12976</v>
      </c>
      <c r="AH103" s="608" t="s">
        <v>12311</v>
      </c>
      <c r="AI103" s="603" t="s">
        <v>12975</v>
      </c>
      <c r="AJ103" s="603" t="s">
        <v>12202</v>
      </c>
      <c r="AK103" s="603" t="s">
        <v>12203</v>
      </c>
      <c r="AL103" s="599" t="s">
        <v>12248</v>
      </c>
      <c r="AM103" s="609" t="s">
        <v>4940</v>
      </c>
      <c r="AN103" s="610" t="s">
        <v>8492</v>
      </c>
      <c r="AO103" s="610" t="s">
        <v>12206</v>
      </c>
      <c r="AP103" s="610" t="s">
        <v>12207</v>
      </c>
      <c r="AQ103" s="609" t="s">
        <v>12413</v>
      </c>
      <c r="AR103" s="599" t="s">
        <v>12414</v>
      </c>
      <c r="AS103" s="603" t="s">
        <v>423</v>
      </c>
      <c r="AT103" s="609" t="s">
        <v>12977</v>
      </c>
    </row>
    <row r="104" spans="1:46" ht="22.15" customHeight="1">
      <c r="A104" s="595" t="s">
        <v>12978</v>
      </c>
      <c r="B104" s="596" t="s">
        <v>8553</v>
      </c>
      <c r="C104" s="597" t="s">
        <v>12212</v>
      </c>
      <c r="D104" s="598"/>
      <c r="E104" s="599" t="s">
        <v>12979</v>
      </c>
      <c r="F104" s="600" t="s">
        <v>9735</v>
      </c>
      <c r="G104" s="601" t="s">
        <v>12980</v>
      </c>
      <c r="H104" s="601" t="s">
        <v>12980</v>
      </c>
      <c r="I104" s="596" t="s">
        <v>12225</v>
      </c>
      <c r="J104" s="596" t="s">
        <v>335</v>
      </c>
      <c r="K104" s="599" t="s">
        <v>12197</v>
      </c>
      <c r="L104" s="599" t="s">
        <v>12198</v>
      </c>
      <c r="M104" s="602" t="s">
        <v>12199</v>
      </c>
      <c r="N104" s="603" t="s">
        <v>7673</v>
      </c>
      <c r="O104" s="599">
        <v>512</v>
      </c>
      <c r="P104" s="604">
        <v>0</v>
      </c>
      <c r="Q104" s="604">
        <v>0</v>
      </c>
      <c r="R104" s="605">
        <v>20000</v>
      </c>
      <c r="S104" s="604">
        <v>0</v>
      </c>
      <c r="T104" s="604">
        <v>0</v>
      </c>
      <c r="U104" s="604">
        <v>6400000</v>
      </c>
      <c r="V104" s="605">
        <v>3220000</v>
      </c>
      <c r="W104" s="596"/>
      <c r="X104" s="604">
        <v>0</v>
      </c>
      <c r="Y104" s="604">
        <v>322000</v>
      </c>
      <c r="Z104" s="604">
        <v>3542000</v>
      </c>
      <c r="AA104" s="604">
        <v>7084432</v>
      </c>
      <c r="AB104" s="604">
        <v>0</v>
      </c>
      <c r="AC104" s="606">
        <v>10626000</v>
      </c>
      <c r="AD104" s="604">
        <v>432</v>
      </c>
      <c r="AE104" s="603">
        <v>2</v>
      </c>
      <c r="AF104" s="607">
        <v>3542432</v>
      </c>
      <c r="AG104" s="608" t="s">
        <v>12981</v>
      </c>
      <c r="AH104" s="608" t="s">
        <v>12982</v>
      </c>
      <c r="AI104" s="603" t="s">
        <v>12980</v>
      </c>
      <c r="AJ104" s="603" t="s">
        <v>12202</v>
      </c>
      <c r="AK104" s="603" t="s">
        <v>12203</v>
      </c>
      <c r="AL104" s="599" t="s">
        <v>12983</v>
      </c>
      <c r="AM104" s="609" t="s">
        <v>12444</v>
      </c>
      <c r="AN104" s="610" t="s">
        <v>9028</v>
      </c>
      <c r="AO104" s="610" t="s">
        <v>12206</v>
      </c>
      <c r="AP104" s="610" t="s">
        <v>12207</v>
      </c>
      <c r="AQ104" s="609" t="s">
        <v>12422</v>
      </c>
      <c r="AR104" s="599" t="s">
        <v>12423</v>
      </c>
      <c r="AS104" s="603" t="s">
        <v>423</v>
      </c>
      <c r="AT104" s="609" t="s">
        <v>12984</v>
      </c>
    </row>
    <row r="105" spans="1:46" ht="17.850000000000001" customHeight="1">
      <c r="A105" s="595" t="s">
        <v>12985</v>
      </c>
      <c r="B105" s="596" t="s">
        <v>8553</v>
      </c>
      <c r="C105" s="597" t="s">
        <v>12212</v>
      </c>
      <c r="D105" s="598"/>
      <c r="E105" s="599" t="s">
        <v>12986</v>
      </c>
      <c r="F105" s="600" t="s">
        <v>9735</v>
      </c>
      <c r="G105" s="601" t="s">
        <v>12987</v>
      </c>
      <c r="H105" s="601" t="s">
        <v>12987</v>
      </c>
      <c r="I105" s="596" t="s">
        <v>12225</v>
      </c>
      <c r="J105" s="596" t="s">
        <v>335</v>
      </c>
      <c r="K105" s="599" t="s">
        <v>12197</v>
      </c>
      <c r="L105" s="599" t="s">
        <v>12198</v>
      </c>
      <c r="M105" s="602" t="s">
        <v>12199</v>
      </c>
      <c r="N105" s="603" t="s">
        <v>7673</v>
      </c>
      <c r="O105" s="599">
        <v>512</v>
      </c>
      <c r="P105" s="604">
        <v>0</v>
      </c>
      <c r="Q105" s="604">
        <v>0</v>
      </c>
      <c r="R105" s="605">
        <v>20000</v>
      </c>
      <c r="S105" s="604">
        <v>0</v>
      </c>
      <c r="T105" s="604">
        <v>0</v>
      </c>
      <c r="U105" s="604">
        <v>4480000</v>
      </c>
      <c r="V105" s="605">
        <v>2260000</v>
      </c>
      <c r="W105" s="596"/>
      <c r="X105" s="604">
        <v>0</v>
      </c>
      <c r="Y105" s="604">
        <v>226000</v>
      </c>
      <c r="Z105" s="604">
        <v>2486000</v>
      </c>
      <c r="AA105" s="604">
        <v>4972915</v>
      </c>
      <c r="AB105" s="604">
        <v>0</v>
      </c>
      <c r="AC105" s="606">
        <v>7458000</v>
      </c>
      <c r="AD105" s="604">
        <v>915</v>
      </c>
      <c r="AE105" s="603">
        <v>2</v>
      </c>
      <c r="AF105" s="607">
        <v>2486915</v>
      </c>
      <c r="AG105" s="608" t="s">
        <v>12988</v>
      </c>
      <c r="AH105" s="608" t="s">
        <v>12311</v>
      </c>
      <c r="AI105" s="603" t="s">
        <v>12987</v>
      </c>
      <c r="AJ105" s="603" t="s">
        <v>12202</v>
      </c>
      <c r="AK105" s="603" t="s">
        <v>12203</v>
      </c>
      <c r="AL105" s="599" t="s">
        <v>12989</v>
      </c>
      <c r="AM105" s="609" t="s">
        <v>12229</v>
      </c>
      <c r="AN105" s="610" t="s">
        <v>8757</v>
      </c>
      <c r="AO105" s="610" t="s">
        <v>12206</v>
      </c>
      <c r="AP105" s="610" t="s">
        <v>12207</v>
      </c>
      <c r="AQ105" s="609" t="s">
        <v>12362</v>
      </c>
      <c r="AR105" s="599" t="s">
        <v>12363</v>
      </c>
      <c r="AS105" s="603" t="s">
        <v>423</v>
      </c>
      <c r="AT105" s="609" t="s">
        <v>12990</v>
      </c>
    </row>
    <row r="106" spans="1:46" ht="17.850000000000001" customHeight="1">
      <c r="A106" s="595" t="s">
        <v>12991</v>
      </c>
      <c r="B106" s="596" t="s">
        <v>8553</v>
      </c>
      <c r="C106" s="597" t="s">
        <v>12212</v>
      </c>
      <c r="D106" s="598"/>
      <c r="E106" s="599" t="s">
        <v>12992</v>
      </c>
      <c r="F106" s="600" t="s">
        <v>9735</v>
      </c>
      <c r="G106" s="601" t="s">
        <v>12993</v>
      </c>
      <c r="H106" s="601" t="s">
        <v>12993</v>
      </c>
      <c r="I106" s="596" t="s">
        <v>12225</v>
      </c>
      <c r="J106" s="596" t="s">
        <v>335</v>
      </c>
      <c r="K106" s="599" t="s">
        <v>12197</v>
      </c>
      <c r="L106" s="599" t="s">
        <v>12198</v>
      </c>
      <c r="M106" s="602" t="s">
        <v>12199</v>
      </c>
      <c r="N106" s="603" t="s">
        <v>7673</v>
      </c>
      <c r="O106" s="599">
        <v>512</v>
      </c>
      <c r="P106" s="604">
        <v>0</v>
      </c>
      <c r="Q106" s="604">
        <v>0</v>
      </c>
      <c r="R106" s="605">
        <v>20000</v>
      </c>
      <c r="S106" s="604">
        <v>0</v>
      </c>
      <c r="T106" s="604">
        <v>0</v>
      </c>
      <c r="U106" s="604">
        <v>4480000</v>
      </c>
      <c r="V106" s="605">
        <v>2260000</v>
      </c>
      <c r="W106" s="596"/>
      <c r="X106" s="604">
        <v>0</v>
      </c>
      <c r="Y106" s="604">
        <v>226000</v>
      </c>
      <c r="Z106" s="604">
        <v>2486000</v>
      </c>
      <c r="AA106" s="604">
        <v>4972107</v>
      </c>
      <c r="AB106" s="604">
        <v>0</v>
      </c>
      <c r="AC106" s="606">
        <v>7458000</v>
      </c>
      <c r="AD106" s="604">
        <v>107</v>
      </c>
      <c r="AE106" s="603">
        <v>2</v>
      </c>
      <c r="AF106" s="607">
        <v>2486107</v>
      </c>
      <c r="AG106" s="608" t="s">
        <v>12994</v>
      </c>
      <c r="AH106" s="608" t="s">
        <v>12329</v>
      </c>
      <c r="AI106" s="603" t="s">
        <v>12993</v>
      </c>
      <c r="AJ106" s="603" t="s">
        <v>12202</v>
      </c>
      <c r="AK106" s="603" t="s">
        <v>12203</v>
      </c>
      <c r="AL106" s="599" t="s">
        <v>12248</v>
      </c>
      <c r="AM106" s="609" t="s">
        <v>4940</v>
      </c>
      <c r="AN106" s="610" t="s">
        <v>12995</v>
      </c>
      <c r="AO106" s="610" t="s">
        <v>12206</v>
      </c>
      <c r="AP106" s="610" t="s">
        <v>12207</v>
      </c>
      <c r="AQ106" s="609" t="s">
        <v>12612</v>
      </c>
      <c r="AR106" s="599" t="s">
        <v>12613</v>
      </c>
      <c r="AS106" s="603" t="s">
        <v>423</v>
      </c>
      <c r="AT106" s="609" t="s">
        <v>12996</v>
      </c>
    </row>
    <row r="107" spans="1:46" ht="17.100000000000001" customHeight="1">
      <c r="A107" s="595" t="s">
        <v>12997</v>
      </c>
      <c r="B107" s="596" t="s">
        <v>8553</v>
      </c>
      <c r="C107" s="597" t="s">
        <v>12212</v>
      </c>
      <c r="D107" s="598"/>
      <c r="E107" s="599" t="s">
        <v>12998</v>
      </c>
      <c r="F107" s="600" t="s">
        <v>9735</v>
      </c>
      <c r="G107" s="601" t="s">
        <v>12999</v>
      </c>
      <c r="H107" s="601" t="s">
        <v>12999</v>
      </c>
      <c r="I107" s="596" t="s">
        <v>12214</v>
      </c>
      <c r="J107" s="596" t="s">
        <v>335</v>
      </c>
      <c r="K107" s="599" t="s">
        <v>12197</v>
      </c>
      <c r="L107" s="599" t="s">
        <v>12198</v>
      </c>
      <c r="M107" s="602" t="s">
        <v>12199</v>
      </c>
      <c r="N107" s="603" t="s">
        <v>7673</v>
      </c>
      <c r="O107" s="599">
        <v>1024</v>
      </c>
      <c r="P107" s="604">
        <v>0</v>
      </c>
      <c r="Q107" s="604">
        <v>0</v>
      </c>
      <c r="R107" s="605">
        <v>20000</v>
      </c>
      <c r="S107" s="604">
        <v>0</v>
      </c>
      <c r="T107" s="604">
        <v>0</v>
      </c>
      <c r="U107" s="604">
        <v>8960000</v>
      </c>
      <c r="V107" s="605">
        <v>4500000</v>
      </c>
      <c r="W107" s="596"/>
      <c r="X107" s="604">
        <v>0</v>
      </c>
      <c r="Y107" s="604">
        <v>450000</v>
      </c>
      <c r="Z107" s="604">
        <v>4950000</v>
      </c>
      <c r="AA107" s="604">
        <v>9900024</v>
      </c>
      <c r="AB107" s="604">
        <v>0</v>
      </c>
      <c r="AC107" s="606">
        <v>14850000</v>
      </c>
      <c r="AD107" s="604">
        <v>24</v>
      </c>
      <c r="AE107" s="603">
        <v>2</v>
      </c>
      <c r="AF107" s="607">
        <v>4950024.9399999976</v>
      </c>
      <c r="AG107" s="608" t="s">
        <v>13000</v>
      </c>
      <c r="AH107" s="608" t="s">
        <v>12903</v>
      </c>
      <c r="AI107" s="603" t="s">
        <v>12999</v>
      </c>
      <c r="AJ107" s="603" t="s">
        <v>12202</v>
      </c>
      <c r="AK107" s="603" t="s">
        <v>12203</v>
      </c>
      <c r="AL107" s="599" t="s">
        <v>12276</v>
      </c>
      <c r="AM107" s="609" t="s">
        <v>4940</v>
      </c>
      <c r="AN107" s="610" t="s">
        <v>13001</v>
      </c>
      <c r="AO107" s="610" t="s">
        <v>12206</v>
      </c>
      <c r="AP107" s="610" t="s">
        <v>12207</v>
      </c>
      <c r="AQ107" s="609" t="s">
        <v>12240</v>
      </c>
      <c r="AR107" s="599" t="s">
        <v>12241</v>
      </c>
      <c r="AS107" s="603" t="s">
        <v>423</v>
      </c>
      <c r="AT107" s="609" t="s">
        <v>13002</v>
      </c>
    </row>
    <row r="108" spans="1:46" ht="22.9" customHeight="1">
      <c r="A108" s="595" t="s">
        <v>13003</v>
      </c>
      <c r="B108" s="596" t="s">
        <v>8553</v>
      </c>
      <c r="C108" s="597" t="s">
        <v>12212</v>
      </c>
      <c r="D108" s="598"/>
      <c r="E108" s="599" t="s">
        <v>13004</v>
      </c>
      <c r="F108" s="600" t="s">
        <v>9735</v>
      </c>
      <c r="G108" s="601" t="s">
        <v>13005</v>
      </c>
      <c r="H108" s="601" t="s">
        <v>13005</v>
      </c>
      <c r="I108" s="596" t="s">
        <v>12255</v>
      </c>
      <c r="J108" s="596" t="s">
        <v>335</v>
      </c>
      <c r="K108" s="599" t="s">
        <v>12197</v>
      </c>
      <c r="L108" s="599" t="s">
        <v>12198</v>
      </c>
      <c r="M108" s="602" t="s">
        <v>12199</v>
      </c>
      <c r="N108" s="603" t="s">
        <v>7673</v>
      </c>
      <c r="O108" s="599">
        <v>2048</v>
      </c>
      <c r="P108" s="604">
        <v>0</v>
      </c>
      <c r="Q108" s="604">
        <v>0</v>
      </c>
      <c r="R108" s="605">
        <v>20000</v>
      </c>
      <c r="S108" s="604">
        <v>0</v>
      </c>
      <c r="T108" s="604">
        <v>0</v>
      </c>
      <c r="U108" s="604">
        <v>15680000</v>
      </c>
      <c r="V108" s="605">
        <v>7860000</v>
      </c>
      <c r="W108" s="596"/>
      <c r="X108" s="604">
        <v>0</v>
      </c>
      <c r="Y108" s="604">
        <v>786000</v>
      </c>
      <c r="Z108" s="604">
        <v>8646000</v>
      </c>
      <c r="AA108" s="604">
        <v>17292391</v>
      </c>
      <c r="AB108" s="604">
        <v>0</v>
      </c>
      <c r="AC108" s="606">
        <v>25938000</v>
      </c>
      <c r="AD108" s="604">
        <v>391</v>
      </c>
      <c r="AE108" s="603">
        <v>2</v>
      </c>
      <c r="AF108" s="607">
        <v>8646391.9099999964</v>
      </c>
      <c r="AG108" s="608" t="s">
        <v>13006</v>
      </c>
      <c r="AH108" s="608" t="s">
        <v>12369</v>
      </c>
      <c r="AI108" s="603" t="s">
        <v>13005</v>
      </c>
      <c r="AJ108" s="603" t="s">
        <v>12202</v>
      </c>
      <c r="AK108" s="603" t="s">
        <v>12203</v>
      </c>
      <c r="AL108" s="599" t="s">
        <v>13007</v>
      </c>
      <c r="AM108" s="609" t="s">
        <v>4940</v>
      </c>
      <c r="AN108" s="610" t="s">
        <v>7906</v>
      </c>
      <c r="AO108" s="610" t="s">
        <v>12206</v>
      </c>
      <c r="AP108" s="610" t="s">
        <v>12207</v>
      </c>
      <c r="AQ108" s="609" t="s">
        <v>13008</v>
      </c>
      <c r="AR108" s="599" t="s">
        <v>13009</v>
      </c>
      <c r="AS108" s="603" t="s">
        <v>423</v>
      </c>
      <c r="AT108" s="609" t="s">
        <v>13010</v>
      </c>
    </row>
    <row r="109" spans="1:46" ht="17.100000000000001" customHeight="1">
      <c r="A109" s="595" t="s">
        <v>13011</v>
      </c>
      <c r="B109" s="596" t="s">
        <v>8553</v>
      </c>
      <c r="C109" s="597" t="s">
        <v>12212</v>
      </c>
      <c r="D109" s="598"/>
      <c r="E109" s="599" t="s">
        <v>13012</v>
      </c>
      <c r="F109" s="600" t="s">
        <v>9735</v>
      </c>
      <c r="G109" s="601" t="s">
        <v>13013</v>
      </c>
      <c r="H109" s="601" t="s">
        <v>13013</v>
      </c>
      <c r="I109" s="596" t="s">
        <v>12225</v>
      </c>
      <c r="J109" s="596" t="s">
        <v>335</v>
      </c>
      <c r="K109" s="599" t="s">
        <v>12197</v>
      </c>
      <c r="L109" s="599" t="s">
        <v>12198</v>
      </c>
      <c r="M109" s="602" t="s">
        <v>12199</v>
      </c>
      <c r="N109" s="603" t="s">
        <v>7673</v>
      </c>
      <c r="O109" s="599">
        <v>512</v>
      </c>
      <c r="P109" s="604">
        <v>0</v>
      </c>
      <c r="Q109" s="604">
        <v>0</v>
      </c>
      <c r="R109" s="605">
        <v>20000</v>
      </c>
      <c r="S109" s="604">
        <v>0</v>
      </c>
      <c r="T109" s="604">
        <v>0</v>
      </c>
      <c r="U109" s="604">
        <v>4480000</v>
      </c>
      <c r="V109" s="605">
        <v>2260000</v>
      </c>
      <c r="W109" s="596"/>
      <c r="X109" s="604">
        <v>0</v>
      </c>
      <c r="Y109" s="604">
        <v>226000</v>
      </c>
      <c r="Z109" s="604">
        <v>2486000</v>
      </c>
      <c r="AA109" s="604">
        <v>4972556</v>
      </c>
      <c r="AB109" s="604">
        <v>0</v>
      </c>
      <c r="AC109" s="606">
        <v>7458000</v>
      </c>
      <c r="AD109" s="604">
        <v>556</v>
      </c>
      <c r="AE109" s="603">
        <v>2</v>
      </c>
      <c r="AF109" s="607">
        <v>2486556</v>
      </c>
      <c r="AG109" s="608" t="s">
        <v>13014</v>
      </c>
      <c r="AH109" s="608" t="s">
        <v>12320</v>
      </c>
      <c r="AI109" s="603" t="s">
        <v>13013</v>
      </c>
      <c r="AJ109" s="603" t="s">
        <v>12202</v>
      </c>
      <c r="AK109" s="603" t="s">
        <v>12203</v>
      </c>
      <c r="AL109" s="599" t="s">
        <v>12248</v>
      </c>
      <c r="AM109" s="609" t="s">
        <v>4940</v>
      </c>
      <c r="AN109" s="610" t="s">
        <v>13015</v>
      </c>
      <c r="AO109" s="610" t="s">
        <v>12206</v>
      </c>
      <c r="AP109" s="610" t="s">
        <v>12207</v>
      </c>
      <c r="AQ109" s="609" t="s">
        <v>13016</v>
      </c>
      <c r="AR109" s="599" t="s">
        <v>13017</v>
      </c>
      <c r="AS109" s="603" t="s">
        <v>423</v>
      </c>
      <c r="AT109" s="609" t="s">
        <v>13018</v>
      </c>
    </row>
    <row r="110" spans="1:46" ht="33.950000000000003" customHeight="1">
      <c r="A110" s="595" t="s">
        <v>13019</v>
      </c>
      <c r="B110" s="596" t="s">
        <v>8553</v>
      </c>
      <c r="C110" s="597" t="s">
        <v>12212</v>
      </c>
      <c r="D110" s="598"/>
      <c r="E110" s="599" t="s">
        <v>13020</v>
      </c>
      <c r="F110" s="600" t="s">
        <v>9735</v>
      </c>
      <c r="G110" s="601" t="s">
        <v>13021</v>
      </c>
      <c r="H110" s="601" t="s">
        <v>13021</v>
      </c>
      <c r="I110" s="596" t="s">
        <v>12225</v>
      </c>
      <c r="J110" s="596" t="s">
        <v>335</v>
      </c>
      <c r="K110" s="599" t="s">
        <v>12197</v>
      </c>
      <c r="L110" s="599" t="s">
        <v>12198</v>
      </c>
      <c r="M110" s="602" t="s">
        <v>12199</v>
      </c>
      <c r="N110" s="603" t="s">
        <v>7673</v>
      </c>
      <c r="O110" s="599">
        <v>512</v>
      </c>
      <c r="P110" s="604">
        <v>0</v>
      </c>
      <c r="Q110" s="604">
        <v>0</v>
      </c>
      <c r="R110" s="605">
        <v>20000</v>
      </c>
      <c r="S110" s="604">
        <v>0</v>
      </c>
      <c r="T110" s="604">
        <v>0</v>
      </c>
      <c r="U110" s="604">
        <v>6400000</v>
      </c>
      <c r="V110" s="605">
        <v>3220000</v>
      </c>
      <c r="W110" s="596"/>
      <c r="X110" s="604">
        <v>0</v>
      </c>
      <c r="Y110" s="604">
        <v>322000</v>
      </c>
      <c r="Z110" s="604">
        <v>3542000</v>
      </c>
      <c r="AA110" s="604">
        <v>7084242</v>
      </c>
      <c r="AB110" s="604">
        <v>0</v>
      </c>
      <c r="AC110" s="606">
        <v>10626000</v>
      </c>
      <c r="AD110" s="604">
        <v>242</v>
      </c>
      <c r="AE110" s="603">
        <v>2</v>
      </c>
      <c r="AF110" s="607">
        <v>3542242.0900000036</v>
      </c>
      <c r="AG110" s="608" t="s">
        <v>13022</v>
      </c>
      <c r="AH110" s="608" t="s">
        <v>13023</v>
      </c>
      <c r="AI110" s="603" t="s">
        <v>13021</v>
      </c>
      <c r="AJ110" s="603" t="s">
        <v>12202</v>
      </c>
      <c r="AK110" s="603" t="s">
        <v>12203</v>
      </c>
      <c r="AL110" s="599" t="s">
        <v>12248</v>
      </c>
      <c r="AM110" s="609" t="s">
        <v>4940</v>
      </c>
      <c r="AN110" s="610" t="s">
        <v>7870</v>
      </c>
      <c r="AO110" s="610" t="s">
        <v>12206</v>
      </c>
      <c r="AP110" s="610" t="s">
        <v>12207</v>
      </c>
      <c r="AQ110" s="609" t="s">
        <v>13024</v>
      </c>
      <c r="AR110" s="599" t="s">
        <v>13025</v>
      </c>
      <c r="AS110" s="603" t="s">
        <v>423</v>
      </c>
      <c r="AT110" s="609" t="s">
        <v>13026</v>
      </c>
    </row>
    <row r="111" spans="1:46" ht="17.100000000000001" customHeight="1">
      <c r="A111" s="595" t="s">
        <v>13027</v>
      </c>
      <c r="B111" s="596" t="s">
        <v>8553</v>
      </c>
      <c r="C111" s="597" t="s">
        <v>12212</v>
      </c>
      <c r="D111" s="598"/>
      <c r="E111" s="599" t="s">
        <v>13028</v>
      </c>
      <c r="F111" s="600" t="s">
        <v>9735</v>
      </c>
      <c r="G111" s="601" t="s">
        <v>13029</v>
      </c>
      <c r="H111" s="601" t="s">
        <v>13029</v>
      </c>
      <c r="I111" s="596" t="s">
        <v>12225</v>
      </c>
      <c r="J111" s="596" t="s">
        <v>335</v>
      </c>
      <c r="K111" s="599" t="s">
        <v>12197</v>
      </c>
      <c r="L111" s="599" t="s">
        <v>12198</v>
      </c>
      <c r="M111" s="602" t="s">
        <v>12199</v>
      </c>
      <c r="N111" s="603" t="s">
        <v>7673</v>
      </c>
      <c r="O111" s="599">
        <v>512</v>
      </c>
      <c r="P111" s="604">
        <v>0</v>
      </c>
      <c r="Q111" s="604">
        <v>0</v>
      </c>
      <c r="R111" s="605">
        <v>20000</v>
      </c>
      <c r="S111" s="604">
        <v>0</v>
      </c>
      <c r="T111" s="604">
        <v>0</v>
      </c>
      <c r="U111" s="604">
        <v>4480000</v>
      </c>
      <c r="V111" s="605">
        <v>2260000</v>
      </c>
      <c r="W111" s="596"/>
      <c r="X111" s="604">
        <v>0</v>
      </c>
      <c r="Y111" s="604">
        <v>226000</v>
      </c>
      <c r="Z111" s="604">
        <v>2486000</v>
      </c>
      <c r="AA111" s="604">
        <v>4972724</v>
      </c>
      <c r="AB111" s="604">
        <v>0</v>
      </c>
      <c r="AC111" s="606">
        <v>7458000</v>
      </c>
      <c r="AD111" s="604">
        <v>724</v>
      </c>
      <c r="AE111" s="603">
        <v>2</v>
      </c>
      <c r="AF111" s="607">
        <v>2486724</v>
      </c>
      <c r="AG111" s="608" t="s">
        <v>13030</v>
      </c>
      <c r="AH111" s="608" t="s">
        <v>12267</v>
      </c>
      <c r="AI111" s="603" t="s">
        <v>13029</v>
      </c>
      <c r="AJ111" s="603" t="s">
        <v>12202</v>
      </c>
      <c r="AK111" s="603" t="s">
        <v>12203</v>
      </c>
      <c r="AL111" s="599" t="s">
        <v>12276</v>
      </c>
      <c r="AM111" s="609" t="s">
        <v>4940</v>
      </c>
      <c r="AN111" s="610" t="s">
        <v>13031</v>
      </c>
      <c r="AO111" s="610" t="s">
        <v>12206</v>
      </c>
      <c r="AP111" s="610" t="s">
        <v>12207</v>
      </c>
      <c r="AQ111" s="609" t="s">
        <v>12630</v>
      </c>
      <c r="AR111" s="599" t="s">
        <v>12631</v>
      </c>
      <c r="AS111" s="603" t="s">
        <v>423</v>
      </c>
      <c r="AT111" s="609" t="s">
        <v>13032</v>
      </c>
    </row>
    <row r="112" spans="1:46" ht="17.850000000000001" customHeight="1">
      <c r="A112" s="595" t="s">
        <v>13033</v>
      </c>
      <c r="B112" s="596" t="s">
        <v>8553</v>
      </c>
      <c r="C112" s="597" t="s">
        <v>12212</v>
      </c>
      <c r="D112" s="598"/>
      <c r="E112" s="599" t="s">
        <v>13034</v>
      </c>
      <c r="F112" s="600" t="s">
        <v>9735</v>
      </c>
      <c r="G112" s="601" t="s">
        <v>13035</v>
      </c>
      <c r="H112" s="601" t="s">
        <v>13035</v>
      </c>
      <c r="I112" s="596" t="s">
        <v>12225</v>
      </c>
      <c r="J112" s="596" t="s">
        <v>335</v>
      </c>
      <c r="K112" s="599" t="s">
        <v>12197</v>
      </c>
      <c r="L112" s="599" t="s">
        <v>12198</v>
      </c>
      <c r="M112" s="602" t="s">
        <v>12199</v>
      </c>
      <c r="N112" s="603" t="s">
        <v>7673</v>
      </c>
      <c r="O112" s="599">
        <v>512</v>
      </c>
      <c r="P112" s="604">
        <v>0</v>
      </c>
      <c r="Q112" s="604">
        <v>0</v>
      </c>
      <c r="R112" s="605">
        <v>20000</v>
      </c>
      <c r="S112" s="604">
        <v>0</v>
      </c>
      <c r="T112" s="604">
        <v>0</v>
      </c>
      <c r="U112" s="604">
        <v>4480000</v>
      </c>
      <c r="V112" s="605">
        <v>2260000</v>
      </c>
      <c r="W112" s="596"/>
      <c r="X112" s="604">
        <v>0</v>
      </c>
      <c r="Y112" s="604">
        <v>226000</v>
      </c>
      <c r="Z112" s="604">
        <v>2486000</v>
      </c>
      <c r="AA112" s="604">
        <v>4972312</v>
      </c>
      <c r="AB112" s="604">
        <v>0</v>
      </c>
      <c r="AC112" s="606">
        <v>7458000</v>
      </c>
      <c r="AD112" s="604">
        <v>312</v>
      </c>
      <c r="AE112" s="603">
        <v>2</v>
      </c>
      <c r="AF112" s="607">
        <v>2486312</v>
      </c>
      <c r="AG112" s="608" t="s">
        <v>13036</v>
      </c>
      <c r="AH112" s="608" t="s">
        <v>13037</v>
      </c>
      <c r="AI112" s="603" t="s">
        <v>13035</v>
      </c>
      <c r="AJ112" s="603" t="s">
        <v>12202</v>
      </c>
      <c r="AK112" s="603" t="s">
        <v>12203</v>
      </c>
      <c r="AL112" s="599" t="s">
        <v>12386</v>
      </c>
      <c r="AM112" s="609" t="s">
        <v>12387</v>
      </c>
      <c r="AN112" s="610" t="s">
        <v>13038</v>
      </c>
      <c r="AO112" s="610" t="s">
        <v>12206</v>
      </c>
      <c r="AP112" s="610" t="s">
        <v>12207</v>
      </c>
      <c r="AQ112" s="609" t="s">
        <v>12589</v>
      </c>
      <c r="AR112" s="599" t="s">
        <v>12590</v>
      </c>
      <c r="AS112" s="603" t="s">
        <v>423</v>
      </c>
      <c r="AT112" s="609" t="s">
        <v>13039</v>
      </c>
    </row>
    <row r="113" spans="1:46" ht="17.850000000000001" customHeight="1">
      <c r="A113" s="595" t="s">
        <v>13040</v>
      </c>
      <c r="B113" s="596" t="s">
        <v>8553</v>
      </c>
      <c r="C113" s="597" t="s">
        <v>12212</v>
      </c>
      <c r="D113" s="598"/>
      <c r="E113" s="599" t="s">
        <v>13041</v>
      </c>
      <c r="F113" s="600" t="s">
        <v>9735</v>
      </c>
      <c r="G113" s="601" t="s">
        <v>13042</v>
      </c>
      <c r="H113" s="601" t="s">
        <v>13042</v>
      </c>
      <c r="I113" s="596" t="s">
        <v>12225</v>
      </c>
      <c r="J113" s="596" t="s">
        <v>335</v>
      </c>
      <c r="K113" s="599" t="s">
        <v>12197</v>
      </c>
      <c r="L113" s="599" t="s">
        <v>12198</v>
      </c>
      <c r="M113" s="602" t="s">
        <v>12199</v>
      </c>
      <c r="N113" s="603" t="s">
        <v>7673</v>
      </c>
      <c r="O113" s="599">
        <v>512</v>
      </c>
      <c r="P113" s="604">
        <v>0</v>
      </c>
      <c r="Q113" s="604">
        <v>0</v>
      </c>
      <c r="R113" s="605">
        <v>20000</v>
      </c>
      <c r="S113" s="604">
        <v>0</v>
      </c>
      <c r="T113" s="604">
        <v>0</v>
      </c>
      <c r="U113" s="604">
        <v>4480000</v>
      </c>
      <c r="V113" s="605">
        <v>2260000</v>
      </c>
      <c r="W113" s="596"/>
      <c r="X113" s="604">
        <v>0</v>
      </c>
      <c r="Y113" s="604">
        <v>226000</v>
      </c>
      <c r="Z113" s="604">
        <v>2486000</v>
      </c>
      <c r="AA113" s="604">
        <v>4972707</v>
      </c>
      <c r="AB113" s="604">
        <v>0</v>
      </c>
      <c r="AC113" s="606">
        <v>7458000</v>
      </c>
      <c r="AD113" s="604">
        <v>707</v>
      </c>
      <c r="AE113" s="603">
        <v>2</v>
      </c>
      <c r="AF113" s="607">
        <v>2486707</v>
      </c>
      <c r="AG113" s="608" t="s">
        <v>13043</v>
      </c>
      <c r="AH113" s="608" t="s">
        <v>12294</v>
      </c>
      <c r="AI113" s="603" t="s">
        <v>13042</v>
      </c>
      <c r="AJ113" s="603" t="s">
        <v>12202</v>
      </c>
      <c r="AK113" s="603" t="s">
        <v>12203</v>
      </c>
      <c r="AL113" s="599" t="s">
        <v>13044</v>
      </c>
      <c r="AM113" s="609" t="s">
        <v>4940</v>
      </c>
      <c r="AN113" s="610" t="s">
        <v>13045</v>
      </c>
      <c r="AO113" s="610" t="s">
        <v>12206</v>
      </c>
      <c r="AP113" s="610" t="s">
        <v>12207</v>
      </c>
      <c r="AQ113" s="609" t="s">
        <v>12322</v>
      </c>
      <c r="AR113" s="599" t="s">
        <v>12323</v>
      </c>
      <c r="AS113" s="603" t="s">
        <v>423</v>
      </c>
      <c r="AT113" s="609" t="s">
        <v>13046</v>
      </c>
    </row>
    <row r="114" spans="1:46" ht="17.100000000000001" customHeight="1">
      <c r="A114" s="595" t="s">
        <v>13047</v>
      </c>
      <c r="B114" s="596" t="s">
        <v>8553</v>
      </c>
      <c r="C114" s="597" t="s">
        <v>12212</v>
      </c>
      <c r="D114" s="598"/>
      <c r="E114" s="599" t="s">
        <v>13048</v>
      </c>
      <c r="F114" s="600" t="s">
        <v>9735</v>
      </c>
      <c r="G114" s="601" t="s">
        <v>13049</v>
      </c>
      <c r="H114" s="601" t="s">
        <v>13049</v>
      </c>
      <c r="I114" s="596" t="s">
        <v>12214</v>
      </c>
      <c r="J114" s="596" t="s">
        <v>335</v>
      </c>
      <c r="K114" s="599" t="s">
        <v>12197</v>
      </c>
      <c r="L114" s="599" t="s">
        <v>12198</v>
      </c>
      <c r="M114" s="602" t="s">
        <v>12199</v>
      </c>
      <c r="N114" s="603" t="s">
        <v>7673</v>
      </c>
      <c r="O114" s="599">
        <v>1024</v>
      </c>
      <c r="P114" s="604">
        <v>0</v>
      </c>
      <c r="Q114" s="604">
        <v>0</v>
      </c>
      <c r="R114" s="605">
        <v>20000</v>
      </c>
      <c r="S114" s="604">
        <v>0</v>
      </c>
      <c r="T114" s="604">
        <v>0</v>
      </c>
      <c r="U114" s="604">
        <v>8960000</v>
      </c>
      <c r="V114" s="605">
        <v>4500000</v>
      </c>
      <c r="W114" s="596"/>
      <c r="X114" s="604">
        <v>0</v>
      </c>
      <c r="Y114" s="604">
        <v>450000</v>
      </c>
      <c r="Z114" s="604">
        <v>4950000</v>
      </c>
      <c r="AA114" s="604">
        <v>9900513</v>
      </c>
      <c r="AB114" s="604">
        <v>0</v>
      </c>
      <c r="AC114" s="606">
        <v>14850000</v>
      </c>
      <c r="AD114" s="604">
        <v>513</v>
      </c>
      <c r="AE114" s="603">
        <v>2</v>
      </c>
      <c r="AF114" s="607">
        <v>4950513.9399999976</v>
      </c>
      <c r="AG114" s="608" t="s">
        <v>13050</v>
      </c>
      <c r="AH114" s="608" t="s">
        <v>12903</v>
      </c>
      <c r="AI114" s="603" t="s">
        <v>13049</v>
      </c>
      <c r="AJ114" s="603" t="s">
        <v>12202</v>
      </c>
      <c r="AK114" s="603" t="s">
        <v>12203</v>
      </c>
      <c r="AL114" s="599" t="s">
        <v>12276</v>
      </c>
      <c r="AM114" s="609" t="s">
        <v>4940</v>
      </c>
      <c r="AN114" s="610" t="s">
        <v>13051</v>
      </c>
      <c r="AO114" s="610" t="s">
        <v>12206</v>
      </c>
      <c r="AP114" s="610" t="s">
        <v>12207</v>
      </c>
      <c r="AQ114" s="609" t="s">
        <v>12533</v>
      </c>
      <c r="AR114" s="599" t="s">
        <v>12534</v>
      </c>
      <c r="AS114" s="603" t="s">
        <v>423</v>
      </c>
      <c r="AT114" s="609" t="s">
        <v>13052</v>
      </c>
    </row>
    <row r="115" spans="1:46" ht="22.9" customHeight="1">
      <c r="A115" s="595" t="s">
        <v>13053</v>
      </c>
      <c r="B115" s="596" t="s">
        <v>8553</v>
      </c>
      <c r="C115" s="597" t="s">
        <v>12212</v>
      </c>
      <c r="D115" s="598"/>
      <c r="E115" s="599" t="s">
        <v>13054</v>
      </c>
      <c r="F115" s="600" t="s">
        <v>9735</v>
      </c>
      <c r="G115" s="601" t="s">
        <v>13055</v>
      </c>
      <c r="H115" s="601" t="s">
        <v>13055</v>
      </c>
      <c r="I115" s="596" t="s">
        <v>12225</v>
      </c>
      <c r="J115" s="596" t="s">
        <v>335</v>
      </c>
      <c r="K115" s="599" t="s">
        <v>12197</v>
      </c>
      <c r="L115" s="599" t="s">
        <v>12198</v>
      </c>
      <c r="M115" s="602" t="s">
        <v>12199</v>
      </c>
      <c r="N115" s="603" t="s">
        <v>7673</v>
      </c>
      <c r="O115" s="599">
        <v>512</v>
      </c>
      <c r="P115" s="604">
        <v>0</v>
      </c>
      <c r="Q115" s="604">
        <v>0</v>
      </c>
      <c r="R115" s="605">
        <v>20000</v>
      </c>
      <c r="S115" s="604">
        <v>0</v>
      </c>
      <c r="T115" s="604">
        <v>0</v>
      </c>
      <c r="U115" s="604">
        <v>4480000</v>
      </c>
      <c r="V115" s="605">
        <v>2260000</v>
      </c>
      <c r="W115" s="596"/>
      <c r="X115" s="604">
        <v>0</v>
      </c>
      <c r="Y115" s="604">
        <v>226000</v>
      </c>
      <c r="Z115" s="604">
        <v>2486000</v>
      </c>
      <c r="AA115" s="604">
        <v>4972752</v>
      </c>
      <c r="AB115" s="604">
        <v>0</v>
      </c>
      <c r="AC115" s="606">
        <v>7458000</v>
      </c>
      <c r="AD115" s="604">
        <v>752</v>
      </c>
      <c r="AE115" s="603">
        <v>2</v>
      </c>
      <c r="AF115" s="607">
        <v>2486752</v>
      </c>
      <c r="AG115" s="608" t="s">
        <v>13056</v>
      </c>
      <c r="AH115" s="608" t="s">
        <v>12311</v>
      </c>
      <c r="AI115" s="603" t="s">
        <v>13055</v>
      </c>
      <c r="AJ115" s="603" t="s">
        <v>12202</v>
      </c>
      <c r="AK115" s="603" t="s">
        <v>12203</v>
      </c>
      <c r="AL115" s="599" t="s">
        <v>13057</v>
      </c>
      <c r="AM115" s="609" t="s">
        <v>4940</v>
      </c>
      <c r="AN115" s="610" t="s">
        <v>13058</v>
      </c>
      <c r="AO115" s="610" t="s">
        <v>12206</v>
      </c>
      <c r="AP115" s="610" t="s">
        <v>12207</v>
      </c>
      <c r="AQ115" s="609" t="s">
        <v>12604</v>
      </c>
      <c r="AR115" s="599" t="s">
        <v>12605</v>
      </c>
      <c r="AS115" s="603" t="s">
        <v>423</v>
      </c>
      <c r="AT115" s="609" t="s">
        <v>13059</v>
      </c>
    </row>
    <row r="116" spans="1:46" ht="22.9" customHeight="1">
      <c r="A116" s="595" t="s">
        <v>13060</v>
      </c>
      <c r="B116" s="596" t="s">
        <v>8553</v>
      </c>
      <c r="C116" s="597" t="s">
        <v>12212</v>
      </c>
      <c r="D116" s="598"/>
      <c r="E116" s="599" t="s">
        <v>13061</v>
      </c>
      <c r="F116" s="600" t="s">
        <v>9735</v>
      </c>
      <c r="G116" s="601" t="s">
        <v>13062</v>
      </c>
      <c r="H116" s="601" t="s">
        <v>13062</v>
      </c>
      <c r="I116" s="596" t="s">
        <v>12225</v>
      </c>
      <c r="J116" s="596" t="s">
        <v>335</v>
      </c>
      <c r="K116" s="599" t="s">
        <v>12197</v>
      </c>
      <c r="L116" s="599" t="s">
        <v>12198</v>
      </c>
      <c r="M116" s="602" t="s">
        <v>12199</v>
      </c>
      <c r="N116" s="603" t="s">
        <v>7673</v>
      </c>
      <c r="O116" s="599">
        <v>512</v>
      </c>
      <c r="P116" s="604">
        <v>0</v>
      </c>
      <c r="Q116" s="604">
        <v>0</v>
      </c>
      <c r="R116" s="605">
        <v>20000</v>
      </c>
      <c r="S116" s="604">
        <v>0</v>
      </c>
      <c r="T116" s="604">
        <v>0</v>
      </c>
      <c r="U116" s="604">
        <v>4480000</v>
      </c>
      <c r="V116" s="605">
        <v>2260000</v>
      </c>
      <c r="W116" s="596"/>
      <c r="X116" s="604">
        <v>0</v>
      </c>
      <c r="Y116" s="604">
        <v>226000</v>
      </c>
      <c r="Z116" s="604">
        <v>2486000</v>
      </c>
      <c r="AA116" s="604">
        <v>4972057</v>
      </c>
      <c r="AB116" s="604">
        <v>0</v>
      </c>
      <c r="AC116" s="606">
        <v>7458000</v>
      </c>
      <c r="AD116" s="604">
        <v>57</v>
      </c>
      <c r="AE116" s="603">
        <v>2</v>
      </c>
      <c r="AF116" s="607">
        <v>2486057</v>
      </c>
      <c r="AG116" s="608" t="s">
        <v>13063</v>
      </c>
      <c r="AH116" s="608" t="s">
        <v>12329</v>
      </c>
      <c r="AI116" s="603" t="s">
        <v>13062</v>
      </c>
      <c r="AJ116" s="603" t="s">
        <v>12202</v>
      </c>
      <c r="AK116" s="603" t="s">
        <v>12203</v>
      </c>
      <c r="AL116" s="599" t="s">
        <v>12983</v>
      </c>
      <c r="AM116" s="609" t="s">
        <v>12444</v>
      </c>
      <c r="AN116" s="610" t="s">
        <v>13064</v>
      </c>
      <c r="AO116" s="610" t="s">
        <v>12206</v>
      </c>
      <c r="AP116" s="610" t="s">
        <v>12207</v>
      </c>
      <c r="AQ116" s="609" t="s">
        <v>13065</v>
      </c>
      <c r="AR116" s="599" t="s">
        <v>13066</v>
      </c>
      <c r="AS116" s="603" t="s">
        <v>423</v>
      </c>
      <c r="AT116" s="609" t="s">
        <v>13067</v>
      </c>
    </row>
    <row r="117" spans="1:46" ht="22.15" customHeight="1">
      <c r="A117" s="595" t="s">
        <v>13068</v>
      </c>
      <c r="B117" s="596" t="s">
        <v>8553</v>
      </c>
      <c r="C117" s="597" t="s">
        <v>12212</v>
      </c>
      <c r="D117" s="598"/>
      <c r="E117" s="599" t="s">
        <v>13069</v>
      </c>
      <c r="F117" s="600" t="s">
        <v>9735</v>
      </c>
      <c r="G117" s="601" t="s">
        <v>13070</v>
      </c>
      <c r="H117" s="601" t="s">
        <v>13070</v>
      </c>
      <c r="I117" s="596" t="s">
        <v>12225</v>
      </c>
      <c r="J117" s="596" t="s">
        <v>335</v>
      </c>
      <c r="K117" s="599" t="s">
        <v>12197</v>
      </c>
      <c r="L117" s="599" t="s">
        <v>12198</v>
      </c>
      <c r="M117" s="602" t="s">
        <v>12199</v>
      </c>
      <c r="N117" s="603" t="s">
        <v>7673</v>
      </c>
      <c r="O117" s="599">
        <v>512</v>
      </c>
      <c r="P117" s="604">
        <v>0</v>
      </c>
      <c r="Q117" s="604">
        <v>0</v>
      </c>
      <c r="R117" s="605">
        <v>20000</v>
      </c>
      <c r="S117" s="604">
        <v>0</v>
      </c>
      <c r="T117" s="604">
        <v>0</v>
      </c>
      <c r="U117" s="604">
        <v>4480000</v>
      </c>
      <c r="V117" s="605">
        <v>2260000</v>
      </c>
      <c r="W117" s="596"/>
      <c r="X117" s="604">
        <v>0</v>
      </c>
      <c r="Y117" s="604">
        <v>226000</v>
      </c>
      <c r="Z117" s="604">
        <v>2486000</v>
      </c>
      <c r="AA117" s="604">
        <v>4972107</v>
      </c>
      <c r="AB117" s="604">
        <v>0</v>
      </c>
      <c r="AC117" s="606">
        <v>7458000</v>
      </c>
      <c r="AD117" s="604">
        <v>107</v>
      </c>
      <c r="AE117" s="603">
        <v>2</v>
      </c>
      <c r="AF117" s="607">
        <v>2486107</v>
      </c>
      <c r="AG117" s="608" t="s">
        <v>13071</v>
      </c>
      <c r="AH117" s="608" t="s">
        <v>13037</v>
      </c>
      <c r="AI117" s="603" t="s">
        <v>13070</v>
      </c>
      <c r="AJ117" s="603" t="s">
        <v>12202</v>
      </c>
      <c r="AK117" s="603" t="s">
        <v>12203</v>
      </c>
      <c r="AL117" s="599" t="s">
        <v>12983</v>
      </c>
      <c r="AM117" s="609" t="s">
        <v>12444</v>
      </c>
      <c r="AN117" s="610" t="s">
        <v>13072</v>
      </c>
      <c r="AO117" s="610" t="s">
        <v>12206</v>
      </c>
      <c r="AP117" s="610" t="s">
        <v>12207</v>
      </c>
      <c r="AQ117" s="609" t="s">
        <v>12566</v>
      </c>
      <c r="AR117" s="599" t="s">
        <v>12567</v>
      </c>
      <c r="AS117" s="603" t="s">
        <v>423</v>
      </c>
      <c r="AT117" s="609" t="s">
        <v>13073</v>
      </c>
    </row>
    <row r="118" spans="1:46" ht="17.850000000000001" customHeight="1">
      <c r="A118" s="595" t="s">
        <v>13074</v>
      </c>
      <c r="B118" s="596" t="s">
        <v>8553</v>
      </c>
      <c r="C118" s="597" t="s">
        <v>12212</v>
      </c>
      <c r="D118" s="598"/>
      <c r="E118" s="599" t="s">
        <v>13075</v>
      </c>
      <c r="F118" s="600" t="s">
        <v>9735</v>
      </c>
      <c r="G118" s="601" t="s">
        <v>13076</v>
      </c>
      <c r="H118" s="601" t="s">
        <v>13076</v>
      </c>
      <c r="I118" s="596" t="s">
        <v>12225</v>
      </c>
      <c r="J118" s="596" t="s">
        <v>107</v>
      </c>
      <c r="K118" s="599" t="s">
        <v>12426</v>
      </c>
      <c r="L118" s="599" t="s">
        <v>12198</v>
      </c>
      <c r="M118" s="602" t="s">
        <v>12199</v>
      </c>
      <c r="N118" s="603" t="s">
        <v>7673</v>
      </c>
      <c r="O118" s="599">
        <v>512</v>
      </c>
      <c r="P118" s="604">
        <v>0</v>
      </c>
      <c r="Q118" s="604">
        <v>0</v>
      </c>
      <c r="R118" s="605">
        <v>20000</v>
      </c>
      <c r="S118" s="604">
        <v>0</v>
      </c>
      <c r="T118" s="604">
        <v>0</v>
      </c>
      <c r="U118" s="604">
        <v>10400000</v>
      </c>
      <c r="V118" s="605">
        <v>5220000</v>
      </c>
      <c r="W118" s="596"/>
      <c r="X118" s="604">
        <v>0</v>
      </c>
      <c r="Y118" s="604">
        <v>522000</v>
      </c>
      <c r="Z118" s="604">
        <v>5742000</v>
      </c>
      <c r="AA118" s="604">
        <v>11484553</v>
      </c>
      <c r="AB118" s="604">
        <v>0</v>
      </c>
      <c r="AC118" s="606">
        <v>17226000</v>
      </c>
      <c r="AD118" s="604">
        <v>553</v>
      </c>
      <c r="AE118" s="603">
        <v>2</v>
      </c>
      <c r="AF118" s="607">
        <v>5742553</v>
      </c>
      <c r="AG118" s="608" t="s">
        <v>13077</v>
      </c>
      <c r="AH118" s="608" t="s">
        <v>13078</v>
      </c>
      <c r="AI118" s="603" t="s">
        <v>13076</v>
      </c>
      <c r="AJ118" s="603" t="s">
        <v>12202</v>
      </c>
      <c r="AK118" s="603" t="s">
        <v>12203</v>
      </c>
      <c r="AL118" s="599" t="s">
        <v>13079</v>
      </c>
      <c r="AM118" s="609" t="s">
        <v>13080</v>
      </c>
      <c r="AN118" s="610" t="s">
        <v>8833</v>
      </c>
      <c r="AO118" s="610" t="s">
        <v>12206</v>
      </c>
      <c r="AP118" s="610" t="s">
        <v>12207</v>
      </c>
      <c r="AQ118" s="609" t="s">
        <v>12933</v>
      </c>
      <c r="AR118" s="599" t="s">
        <v>12934</v>
      </c>
      <c r="AS118" s="603" t="s">
        <v>423</v>
      </c>
      <c r="AT118" s="609" t="s">
        <v>13081</v>
      </c>
    </row>
    <row r="119" spans="1:46" ht="22.9" customHeight="1">
      <c r="A119" s="595" t="s">
        <v>13082</v>
      </c>
      <c r="B119" s="596" t="s">
        <v>8553</v>
      </c>
      <c r="C119" s="597" t="s">
        <v>12212</v>
      </c>
      <c r="D119" s="598"/>
      <c r="E119" s="599" t="s">
        <v>13083</v>
      </c>
      <c r="F119" s="600" t="s">
        <v>9735</v>
      </c>
      <c r="G119" s="601" t="s">
        <v>13084</v>
      </c>
      <c r="H119" s="601" t="s">
        <v>13084</v>
      </c>
      <c r="I119" s="596" t="s">
        <v>12214</v>
      </c>
      <c r="J119" s="596" t="s">
        <v>107</v>
      </c>
      <c r="K119" s="599" t="s">
        <v>12426</v>
      </c>
      <c r="L119" s="599" t="s">
        <v>12198</v>
      </c>
      <c r="M119" s="602" t="s">
        <v>12199</v>
      </c>
      <c r="N119" s="603" t="s">
        <v>7673</v>
      </c>
      <c r="O119" s="599">
        <v>1024</v>
      </c>
      <c r="P119" s="604">
        <v>0</v>
      </c>
      <c r="Q119" s="604">
        <v>0</v>
      </c>
      <c r="R119" s="605">
        <v>20000</v>
      </c>
      <c r="S119" s="604">
        <v>0</v>
      </c>
      <c r="T119" s="604">
        <v>0</v>
      </c>
      <c r="U119" s="604">
        <v>20800000</v>
      </c>
      <c r="V119" s="605">
        <v>10420000</v>
      </c>
      <c r="W119" s="596"/>
      <c r="X119" s="604">
        <v>0</v>
      </c>
      <c r="Y119" s="604">
        <v>1042000</v>
      </c>
      <c r="Z119" s="604">
        <v>11462000</v>
      </c>
      <c r="AA119" s="604">
        <v>22924415</v>
      </c>
      <c r="AB119" s="604">
        <v>0</v>
      </c>
      <c r="AC119" s="606">
        <v>34386000</v>
      </c>
      <c r="AD119" s="604">
        <v>415</v>
      </c>
      <c r="AE119" s="603">
        <v>2</v>
      </c>
      <c r="AF119" s="607">
        <v>11462415</v>
      </c>
      <c r="AG119" s="608" t="s">
        <v>13085</v>
      </c>
      <c r="AH119" s="608" t="s">
        <v>12489</v>
      </c>
      <c r="AI119" s="603" t="s">
        <v>13084</v>
      </c>
      <c r="AJ119" s="603" t="s">
        <v>12202</v>
      </c>
      <c r="AK119" s="603" t="s">
        <v>12203</v>
      </c>
      <c r="AL119" s="599" t="s">
        <v>13086</v>
      </c>
      <c r="AM119" s="609" t="s">
        <v>13080</v>
      </c>
      <c r="AN119" s="610" t="s">
        <v>13087</v>
      </c>
      <c r="AO119" s="610" t="s">
        <v>12206</v>
      </c>
      <c r="AP119" s="610" t="s">
        <v>12207</v>
      </c>
      <c r="AQ119" s="609" t="s">
        <v>12345</v>
      </c>
      <c r="AR119" s="599" t="s">
        <v>12346</v>
      </c>
      <c r="AS119" s="603" t="s">
        <v>423</v>
      </c>
      <c r="AT119" s="609" t="s">
        <v>13088</v>
      </c>
    </row>
    <row r="120" spans="1:46" ht="22.15" customHeight="1">
      <c r="A120" s="595" t="s">
        <v>13089</v>
      </c>
      <c r="B120" s="596" t="s">
        <v>8553</v>
      </c>
      <c r="C120" s="597" t="s">
        <v>12212</v>
      </c>
      <c r="D120" s="598"/>
      <c r="E120" s="599" t="s">
        <v>13090</v>
      </c>
      <c r="F120" s="600" t="s">
        <v>9735</v>
      </c>
      <c r="G120" s="601" t="s">
        <v>13091</v>
      </c>
      <c r="H120" s="601" t="s">
        <v>13091</v>
      </c>
      <c r="I120" s="596" t="s">
        <v>12214</v>
      </c>
      <c r="J120" s="596" t="s">
        <v>107</v>
      </c>
      <c r="K120" s="599" t="s">
        <v>12426</v>
      </c>
      <c r="L120" s="599" t="s">
        <v>12198</v>
      </c>
      <c r="M120" s="602" t="s">
        <v>12199</v>
      </c>
      <c r="N120" s="603" t="s">
        <v>7673</v>
      </c>
      <c r="O120" s="599">
        <v>1024</v>
      </c>
      <c r="P120" s="604">
        <v>0</v>
      </c>
      <c r="Q120" s="604">
        <v>0</v>
      </c>
      <c r="R120" s="605">
        <v>20000</v>
      </c>
      <c r="S120" s="604">
        <v>0</v>
      </c>
      <c r="T120" s="604">
        <v>0</v>
      </c>
      <c r="U120" s="604">
        <v>20800000</v>
      </c>
      <c r="V120" s="605">
        <v>10420000</v>
      </c>
      <c r="W120" s="596"/>
      <c r="X120" s="604">
        <v>0</v>
      </c>
      <c r="Y120" s="604">
        <v>1042000</v>
      </c>
      <c r="Z120" s="604">
        <v>11462000</v>
      </c>
      <c r="AA120" s="604">
        <v>22924763</v>
      </c>
      <c r="AB120" s="604">
        <v>0</v>
      </c>
      <c r="AC120" s="606">
        <v>34386000</v>
      </c>
      <c r="AD120" s="604">
        <v>763</v>
      </c>
      <c r="AE120" s="603">
        <v>2</v>
      </c>
      <c r="AF120" s="607">
        <v>11462763</v>
      </c>
      <c r="AG120" s="608" t="s">
        <v>13092</v>
      </c>
      <c r="AH120" s="608" t="s">
        <v>12524</v>
      </c>
      <c r="AI120" s="603" t="s">
        <v>13091</v>
      </c>
      <c r="AJ120" s="603" t="s">
        <v>12202</v>
      </c>
      <c r="AK120" s="603" t="s">
        <v>12203</v>
      </c>
      <c r="AL120" s="599" t="s">
        <v>13079</v>
      </c>
      <c r="AM120" s="609" t="s">
        <v>4940</v>
      </c>
      <c r="AN120" s="610" t="s">
        <v>13093</v>
      </c>
      <c r="AO120" s="610" t="s">
        <v>12206</v>
      </c>
      <c r="AP120" s="610" t="s">
        <v>12207</v>
      </c>
      <c r="AQ120" s="609" t="s">
        <v>12394</v>
      </c>
      <c r="AR120" s="599" t="s">
        <v>12395</v>
      </c>
      <c r="AS120" s="603" t="s">
        <v>423</v>
      </c>
      <c r="AT120" s="609" t="s">
        <v>13094</v>
      </c>
    </row>
    <row r="121" spans="1:46" ht="22.9" customHeight="1">
      <c r="A121" s="595" t="s">
        <v>13095</v>
      </c>
      <c r="B121" s="596" t="s">
        <v>8553</v>
      </c>
      <c r="C121" s="597" t="s">
        <v>12212</v>
      </c>
      <c r="D121" s="598"/>
      <c r="E121" s="599"/>
      <c r="F121" s="600" t="s">
        <v>9735</v>
      </c>
      <c r="G121" s="601" t="s">
        <v>13096</v>
      </c>
      <c r="H121" s="601" t="s">
        <v>13096</v>
      </c>
      <c r="I121" s="596" t="s">
        <v>12214</v>
      </c>
      <c r="J121" s="596" t="s">
        <v>107</v>
      </c>
      <c r="K121" s="599" t="s">
        <v>12426</v>
      </c>
      <c r="L121" s="599" t="s">
        <v>12198</v>
      </c>
      <c r="M121" s="602" t="s">
        <v>12199</v>
      </c>
      <c r="N121" s="603" t="s">
        <v>7673</v>
      </c>
      <c r="O121" s="599">
        <v>1024</v>
      </c>
      <c r="P121" s="604">
        <v>0</v>
      </c>
      <c r="Q121" s="604">
        <v>0</v>
      </c>
      <c r="R121" s="605">
        <v>20000</v>
      </c>
      <c r="S121" s="604">
        <v>0</v>
      </c>
      <c r="T121" s="604">
        <v>0</v>
      </c>
      <c r="U121" s="604">
        <v>20800000</v>
      </c>
      <c r="V121" s="605">
        <v>10420000</v>
      </c>
      <c r="W121" s="596"/>
      <c r="X121" s="604">
        <v>0</v>
      </c>
      <c r="Y121" s="604">
        <v>1042000</v>
      </c>
      <c r="Z121" s="604">
        <v>11462000</v>
      </c>
      <c r="AA121" s="604">
        <v>22924587</v>
      </c>
      <c r="AB121" s="604">
        <v>0</v>
      </c>
      <c r="AC121" s="606">
        <v>34386000</v>
      </c>
      <c r="AD121" s="604">
        <v>587</v>
      </c>
      <c r="AE121" s="603">
        <v>2</v>
      </c>
      <c r="AF121" s="607">
        <v>11462587</v>
      </c>
      <c r="AG121" s="608" t="s">
        <v>13097</v>
      </c>
      <c r="AH121" s="608" t="s">
        <v>12450</v>
      </c>
      <c r="AI121" s="603" t="s">
        <v>13096</v>
      </c>
      <c r="AJ121" s="603" t="s">
        <v>12202</v>
      </c>
      <c r="AK121" s="603" t="s">
        <v>12203</v>
      </c>
      <c r="AL121" s="599" t="s">
        <v>13098</v>
      </c>
      <c r="AM121" s="609" t="s">
        <v>4940</v>
      </c>
      <c r="AN121" s="610" t="s">
        <v>13099</v>
      </c>
      <c r="AO121" s="610" t="s">
        <v>12206</v>
      </c>
      <c r="AP121" s="610" t="s">
        <v>12207</v>
      </c>
      <c r="AQ121" s="609" t="s">
        <v>12287</v>
      </c>
      <c r="AR121" s="599" t="s">
        <v>12288</v>
      </c>
      <c r="AS121" s="603" t="s">
        <v>423</v>
      </c>
      <c r="AT121" s="609" t="s">
        <v>13100</v>
      </c>
    </row>
    <row r="122" spans="1:46" ht="22.9" customHeight="1">
      <c r="A122" s="595" t="s">
        <v>13101</v>
      </c>
      <c r="B122" s="596" t="s">
        <v>8553</v>
      </c>
      <c r="C122" s="597" t="s">
        <v>12212</v>
      </c>
      <c r="D122" s="598"/>
      <c r="E122" s="599" t="s">
        <v>13102</v>
      </c>
      <c r="F122" s="600" t="s">
        <v>9735</v>
      </c>
      <c r="G122" s="601" t="s">
        <v>13103</v>
      </c>
      <c r="H122" s="601" t="s">
        <v>13103</v>
      </c>
      <c r="I122" s="596" t="s">
        <v>12214</v>
      </c>
      <c r="J122" s="596" t="s">
        <v>107</v>
      </c>
      <c r="K122" s="599" t="s">
        <v>12426</v>
      </c>
      <c r="L122" s="599" t="s">
        <v>12198</v>
      </c>
      <c r="M122" s="602" t="s">
        <v>12199</v>
      </c>
      <c r="N122" s="603" t="s">
        <v>7673</v>
      </c>
      <c r="O122" s="599">
        <v>1024</v>
      </c>
      <c r="P122" s="604">
        <v>0</v>
      </c>
      <c r="Q122" s="604">
        <v>0</v>
      </c>
      <c r="R122" s="605">
        <v>20000</v>
      </c>
      <c r="S122" s="604">
        <v>0</v>
      </c>
      <c r="T122" s="604">
        <v>0</v>
      </c>
      <c r="U122" s="604">
        <v>20800000</v>
      </c>
      <c r="V122" s="605">
        <v>10420000</v>
      </c>
      <c r="W122" s="596"/>
      <c r="X122" s="604">
        <v>0</v>
      </c>
      <c r="Y122" s="604">
        <v>1042000</v>
      </c>
      <c r="Z122" s="604">
        <v>11462000</v>
      </c>
      <c r="AA122" s="604">
        <v>22924694</v>
      </c>
      <c r="AB122" s="604">
        <v>0</v>
      </c>
      <c r="AC122" s="606">
        <v>34386000</v>
      </c>
      <c r="AD122" s="604">
        <v>694</v>
      </c>
      <c r="AE122" s="603">
        <v>2</v>
      </c>
      <c r="AF122" s="607">
        <v>11462694</v>
      </c>
      <c r="AG122" s="608" t="s">
        <v>13104</v>
      </c>
      <c r="AH122" s="608" t="s">
        <v>12450</v>
      </c>
      <c r="AI122" s="603" t="s">
        <v>13103</v>
      </c>
      <c r="AJ122" s="603" t="s">
        <v>12202</v>
      </c>
      <c r="AK122" s="603" t="s">
        <v>12203</v>
      </c>
      <c r="AL122" s="599" t="s">
        <v>12983</v>
      </c>
      <c r="AM122" s="609" t="s">
        <v>12444</v>
      </c>
      <c r="AN122" s="610" t="s">
        <v>13105</v>
      </c>
      <c r="AO122" s="610" t="s">
        <v>12206</v>
      </c>
      <c r="AP122" s="610" t="s">
        <v>12207</v>
      </c>
      <c r="AQ122" s="609" t="s">
        <v>12422</v>
      </c>
      <c r="AR122" s="599" t="s">
        <v>12423</v>
      </c>
      <c r="AS122" s="603" t="s">
        <v>423</v>
      </c>
      <c r="AT122" s="609" t="s">
        <v>13106</v>
      </c>
    </row>
    <row r="123" spans="1:46" ht="17.100000000000001" customHeight="1">
      <c r="A123" s="595" t="s">
        <v>13107</v>
      </c>
      <c r="B123" s="596" t="s">
        <v>8553</v>
      </c>
      <c r="C123" s="597" t="s">
        <v>12212</v>
      </c>
      <c r="D123" s="598"/>
      <c r="E123" s="599" t="s">
        <v>13108</v>
      </c>
      <c r="F123" s="600" t="s">
        <v>9735</v>
      </c>
      <c r="G123" s="601" t="s">
        <v>13109</v>
      </c>
      <c r="H123" s="601" t="s">
        <v>13109</v>
      </c>
      <c r="I123" s="596" t="s">
        <v>12214</v>
      </c>
      <c r="J123" s="596" t="s">
        <v>107</v>
      </c>
      <c r="K123" s="599" t="s">
        <v>12426</v>
      </c>
      <c r="L123" s="599" t="s">
        <v>12198</v>
      </c>
      <c r="M123" s="602" t="s">
        <v>12199</v>
      </c>
      <c r="N123" s="603" t="s">
        <v>7673</v>
      </c>
      <c r="O123" s="599">
        <v>1024</v>
      </c>
      <c r="P123" s="604">
        <v>0</v>
      </c>
      <c r="Q123" s="604">
        <v>0</v>
      </c>
      <c r="R123" s="605">
        <v>20000</v>
      </c>
      <c r="S123" s="604">
        <v>0</v>
      </c>
      <c r="T123" s="604">
        <v>0</v>
      </c>
      <c r="U123" s="604">
        <v>20800000</v>
      </c>
      <c r="V123" s="605">
        <v>10420000</v>
      </c>
      <c r="W123" s="596"/>
      <c r="X123" s="604">
        <v>0</v>
      </c>
      <c r="Y123" s="604">
        <v>1042000</v>
      </c>
      <c r="Z123" s="604">
        <v>11462000</v>
      </c>
      <c r="AA123" s="604">
        <v>22924026</v>
      </c>
      <c r="AB123" s="604">
        <v>0</v>
      </c>
      <c r="AC123" s="606">
        <v>34386000</v>
      </c>
      <c r="AD123" s="604">
        <v>26</v>
      </c>
      <c r="AE123" s="603">
        <v>2</v>
      </c>
      <c r="AF123" s="607">
        <v>11462026</v>
      </c>
      <c r="AG123" s="608" t="s">
        <v>13110</v>
      </c>
      <c r="AH123" s="608" t="s">
        <v>12489</v>
      </c>
      <c r="AI123" s="603" t="s">
        <v>13109</v>
      </c>
      <c r="AJ123" s="603" t="s">
        <v>12202</v>
      </c>
      <c r="AK123" s="603" t="s">
        <v>12203</v>
      </c>
      <c r="AL123" s="599" t="s">
        <v>13111</v>
      </c>
      <c r="AM123" s="609" t="s">
        <v>12452</v>
      </c>
      <c r="AN123" s="610" t="s">
        <v>13112</v>
      </c>
      <c r="AO123" s="610" t="s">
        <v>12206</v>
      </c>
      <c r="AP123" s="610" t="s">
        <v>12207</v>
      </c>
      <c r="AQ123" s="609" t="s">
        <v>12514</v>
      </c>
      <c r="AR123" s="599" t="s">
        <v>12515</v>
      </c>
      <c r="AS123" s="603" t="s">
        <v>423</v>
      </c>
      <c r="AT123" s="609" t="s">
        <v>13113</v>
      </c>
    </row>
    <row r="124" spans="1:46" ht="22.9" customHeight="1">
      <c r="A124" s="595" t="s">
        <v>13114</v>
      </c>
      <c r="B124" s="596" t="s">
        <v>8553</v>
      </c>
      <c r="C124" s="597" t="s">
        <v>12212</v>
      </c>
      <c r="D124" s="598"/>
      <c r="E124" s="599" t="s">
        <v>13115</v>
      </c>
      <c r="F124" s="600" t="s">
        <v>9735</v>
      </c>
      <c r="G124" s="601" t="s">
        <v>446</v>
      </c>
      <c r="H124" s="601" t="s">
        <v>446</v>
      </c>
      <c r="I124" s="596" t="s">
        <v>12255</v>
      </c>
      <c r="J124" s="596" t="s">
        <v>107</v>
      </c>
      <c r="K124" s="599" t="s">
        <v>12426</v>
      </c>
      <c r="L124" s="599" t="s">
        <v>12198</v>
      </c>
      <c r="M124" s="602" t="s">
        <v>12199</v>
      </c>
      <c r="N124" s="603" t="s">
        <v>7673</v>
      </c>
      <c r="O124" s="599">
        <v>2048</v>
      </c>
      <c r="P124" s="604">
        <v>0</v>
      </c>
      <c r="Q124" s="604">
        <v>0</v>
      </c>
      <c r="R124" s="605">
        <v>20000</v>
      </c>
      <c r="S124" s="604">
        <v>0</v>
      </c>
      <c r="T124" s="604">
        <v>0</v>
      </c>
      <c r="U124" s="604">
        <v>36400000</v>
      </c>
      <c r="V124" s="605">
        <v>18220000</v>
      </c>
      <c r="W124" s="596"/>
      <c r="X124" s="604">
        <v>0</v>
      </c>
      <c r="Y124" s="604">
        <v>1822000</v>
      </c>
      <c r="Z124" s="604">
        <v>20042000</v>
      </c>
      <c r="AA124" s="604">
        <v>40084240</v>
      </c>
      <c r="AB124" s="604">
        <v>0</v>
      </c>
      <c r="AC124" s="606">
        <v>60126000</v>
      </c>
      <c r="AD124" s="604">
        <v>240</v>
      </c>
      <c r="AE124" s="603">
        <v>2</v>
      </c>
      <c r="AF124" s="607">
        <v>20042240.303333335</v>
      </c>
      <c r="AG124" s="608" t="s">
        <v>13116</v>
      </c>
      <c r="AH124" s="608" t="s">
        <v>13117</v>
      </c>
      <c r="AI124" s="603" t="s">
        <v>446</v>
      </c>
      <c r="AJ124" s="603" t="s">
        <v>12202</v>
      </c>
      <c r="AK124" s="603" t="s">
        <v>12203</v>
      </c>
      <c r="AL124" s="599" t="s">
        <v>13118</v>
      </c>
      <c r="AM124" s="609" t="s">
        <v>12452</v>
      </c>
      <c r="AN124" s="610" t="s">
        <v>13119</v>
      </c>
      <c r="AO124" s="610" t="s">
        <v>12206</v>
      </c>
      <c r="AP124" s="610" t="s">
        <v>12207</v>
      </c>
      <c r="AQ124" s="609" t="s">
        <v>12527</v>
      </c>
      <c r="AR124" s="599" t="s">
        <v>12528</v>
      </c>
      <c r="AS124" s="603" t="s">
        <v>423</v>
      </c>
      <c r="AT124" s="609" t="s">
        <v>13120</v>
      </c>
    </row>
    <row r="125" spans="1:46" ht="17.850000000000001" customHeight="1">
      <c r="A125" s="595" t="s">
        <v>13121</v>
      </c>
      <c r="B125" s="596" t="s">
        <v>8553</v>
      </c>
      <c r="C125" s="597" t="s">
        <v>12212</v>
      </c>
      <c r="D125" s="598"/>
      <c r="E125" s="599" t="s">
        <v>13122</v>
      </c>
      <c r="F125" s="600" t="s">
        <v>9735</v>
      </c>
      <c r="G125" s="601" t="s">
        <v>13123</v>
      </c>
      <c r="H125" s="601" t="s">
        <v>13123</v>
      </c>
      <c r="I125" s="596" t="s">
        <v>12214</v>
      </c>
      <c r="J125" s="596" t="s">
        <v>107</v>
      </c>
      <c r="K125" s="599" t="s">
        <v>12426</v>
      </c>
      <c r="L125" s="599" t="s">
        <v>12198</v>
      </c>
      <c r="M125" s="602" t="s">
        <v>12199</v>
      </c>
      <c r="N125" s="603" t="s">
        <v>7673</v>
      </c>
      <c r="O125" s="599">
        <v>1024</v>
      </c>
      <c r="P125" s="604">
        <v>0</v>
      </c>
      <c r="Q125" s="604">
        <v>0</v>
      </c>
      <c r="R125" s="605">
        <v>20000</v>
      </c>
      <c r="S125" s="604">
        <v>0</v>
      </c>
      <c r="T125" s="604">
        <v>0</v>
      </c>
      <c r="U125" s="604">
        <v>20800000</v>
      </c>
      <c r="V125" s="605">
        <v>10420000</v>
      </c>
      <c r="W125" s="596"/>
      <c r="X125" s="604">
        <v>0</v>
      </c>
      <c r="Y125" s="604">
        <v>1042000</v>
      </c>
      <c r="Z125" s="604">
        <v>11462000</v>
      </c>
      <c r="AA125" s="604">
        <v>22924715</v>
      </c>
      <c r="AB125" s="604">
        <v>0</v>
      </c>
      <c r="AC125" s="606">
        <v>34386000</v>
      </c>
      <c r="AD125" s="604">
        <v>715</v>
      </c>
      <c r="AE125" s="603">
        <v>2</v>
      </c>
      <c r="AF125" s="607">
        <v>11462715</v>
      </c>
      <c r="AG125" s="608" t="s">
        <v>13124</v>
      </c>
      <c r="AH125" s="608" t="s">
        <v>12524</v>
      </c>
      <c r="AI125" s="603" t="s">
        <v>13123</v>
      </c>
      <c r="AJ125" s="603" t="s">
        <v>12202</v>
      </c>
      <c r="AK125" s="603" t="s">
        <v>12203</v>
      </c>
      <c r="AL125" s="599" t="s">
        <v>13125</v>
      </c>
      <c r="AM125" s="609" t="s">
        <v>12491</v>
      </c>
      <c r="AN125" s="610" t="s">
        <v>12492</v>
      </c>
      <c r="AO125" s="610" t="s">
        <v>12206</v>
      </c>
      <c r="AP125" s="610" t="s">
        <v>12207</v>
      </c>
      <c r="AQ125" s="609" t="s">
        <v>12514</v>
      </c>
      <c r="AR125" s="599" t="s">
        <v>12515</v>
      </c>
      <c r="AS125" s="603" t="s">
        <v>423</v>
      </c>
      <c r="AT125" s="609" t="s">
        <v>13126</v>
      </c>
    </row>
    <row r="126" spans="1:46" ht="17.100000000000001" customHeight="1">
      <c r="A126" s="595" t="s">
        <v>13127</v>
      </c>
      <c r="B126" s="596" t="s">
        <v>8553</v>
      </c>
      <c r="C126" s="597" t="s">
        <v>12212</v>
      </c>
      <c r="D126" s="598"/>
      <c r="E126" s="599" t="s">
        <v>13128</v>
      </c>
      <c r="F126" s="600" t="s">
        <v>9735</v>
      </c>
      <c r="G126" s="601" t="s">
        <v>13129</v>
      </c>
      <c r="H126" s="601" t="s">
        <v>13129</v>
      </c>
      <c r="I126" s="596" t="s">
        <v>12214</v>
      </c>
      <c r="J126" s="596" t="s">
        <v>107</v>
      </c>
      <c r="K126" s="599" t="s">
        <v>12426</v>
      </c>
      <c r="L126" s="599" t="s">
        <v>12198</v>
      </c>
      <c r="M126" s="602" t="s">
        <v>12199</v>
      </c>
      <c r="N126" s="603" t="s">
        <v>7673</v>
      </c>
      <c r="O126" s="599">
        <v>1024</v>
      </c>
      <c r="P126" s="604">
        <v>0</v>
      </c>
      <c r="Q126" s="604">
        <v>0</v>
      </c>
      <c r="R126" s="605">
        <v>20000</v>
      </c>
      <c r="S126" s="604">
        <v>0</v>
      </c>
      <c r="T126" s="604">
        <v>0</v>
      </c>
      <c r="U126" s="604">
        <v>20800000</v>
      </c>
      <c r="V126" s="605">
        <v>10420000</v>
      </c>
      <c r="W126" s="596"/>
      <c r="X126" s="604">
        <v>0</v>
      </c>
      <c r="Y126" s="604">
        <v>1042000</v>
      </c>
      <c r="Z126" s="604">
        <v>11462000</v>
      </c>
      <c r="AA126" s="604">
        <v>22924844</v>
      </c>
      <c r="AB126" s="604">
        <v>0</v>
      </c>
      <c r="AC126" s="606">
        <v>34386000</v>
      </c>
      <c r="AD126" s="604">
        <v>844</v>
      </c>
      <c r="AE126" s="603">
        <v>2</v>
      </c>
      <c r="AF126" s="607">
        <v>11462844</v>
      </c>
      <c r="AG126" s="608" t="s">
        <v>13130</v>
      </c>
      <c r="AH126" s="608" t="s">
        <v>12524</v>
      </c>
      <c r="AI126" s="603" t="s">
        <v>13129</v>
      </c>
      <c r="AJ126" s="603" t="s">
        <v>12202</v>
      </c>
      <c r="AK126" s="603" t="s">
        <v>12203</v>
      </c>
      <c r="AL126" s="599" t="s">
        <v>13131</v>
      </c>
      <c r="AM126" s="609" t="s">
        <v>4940</v>
      </c>
      <c r="AN126" s="610" t="s">
        <v>13132</v>
      </c>
      <c r="AO126" s="610" t="s">
        <v>12206</v>
      </c>
      <c r="AP126" s="610" t="s">
        <v>12207</v>
      </c>
      <c r="AQ126" s="609" t="s">
        <v>12612</v>
      </c>
      <c r="AR126" s="599" t="s">
        <v>12613</v>
      </c>
      <c r="AS126" s="603" t="s">
        <v>423</v>
      </c>
      <c r="AT126" s="609" t="s">
        <v>13133</v>
      </c>
    </row>
    <row r="127" spans="1:46" ht="22.9" customHeight="1">
      <c r="A127" s="595" t="s">
        <v>13134</v>
      </c>
      <c r="B127" s="596" t="s">
        <v>8553</v>
      </c>
      <c r="C127" s="597" t="s">
        <v>12212</v>
      </c>
      <c r="D127" s="598"/>
      <c r="E127" s="599" t="s">
        <v>13135</v>
      </c>
      <c r="F127" s="600" t="s">
        <v>9735</v>
      </c>
      <c r="G127" s="601" t="s">
        <v>13136</v>
      </c>
      <c r="H127" s="601" t="s">
        <v>13136</v>
      </c>
      <c r="I127" s="596" t="s">
        <v>12214</v>
      </c>
      <c r="J127" s="596" t="s">
        <v>107</v>
      </c>
      <c r="K127" s="599" t="s">
        <v>12426</v>
      </c>
      <c r="L127" s="599" t="s">
        <v>12198</v>
      </c>
      <c r="M127" s="602" t="s">
        <v>12199</v>
      </c>
      <c r="N127" s="603" t="s">
        <v>7673</v>
      </c>
      <c r="O127" s="599">
        <v>1024</v>
      </c>
      <c r="P127" s="604">
        <v>0</v>
      </c>
      <c r="Q127" s="604">
        <v>0</v>
      </c>
      <c r="R127" s="605">
        <v>20000</v>
      </c>
      <c r="S127" s="604">
        <v>0</v>
      </c>
      <c r="T127" s="604">
        <v>0</v>
      </c>
      <c r="U127" s="604">
        <v>20800000</v>
      </c>
      <c r="V127" s="605">
        <v>10420000</v>
      </c>
      <c r="W127" s="596"/>
      <c r="X127" s="604">
        <v>0</v>
      </c>
      <c r="Y127" s="604">
        <v>1042000</v>
      </c>
      <c r="Z127" s="604">
        <v>11462000</v>
      </c>
      <c r="AA127" s="604">
        <v>22924554</v>
      </c>
      <c r="AB127" s="604">
        <v>0</v>
      </c>
      <c r="AC127" s="606">
        <v>34386000</v>
      </c>
      <c r="AD127" s="604">
        <v>554</v>
      </c>
      <c r="AE127" s="603">
        <v>2</v>
      </c>
      <c r="AF127" s="607">
        <v>11462554</v>
      </c>
      <c r="AG127" s="608" t="s">
        <v>13137</v>
      </c>
      <c r="AH127" s="608" t="s">
        <v>12459</v>
      </c>
      <c r="AI127" s="603" t="s">
        <v>13136</v>
      </c>
      <c r="AJ127" s="603" t="s">
        <v>12202</v>
      </c>
      <c r="AK127" s="603" t="s">
        <v>12203</v>
      </c>
      <c r="AL127" s="599" t="s">
        <v>13138</v>
      </c>
      <c r="AM127" s="609" t="s">
        <v>12452</v>
      </c>
      <c r="AN127" s="610" t="s">
        <v>8333</v>
      </c>
      <c r="AO127" s="610" t="s">
        <v>12206</v>
      </c>
      <c r="AP127" s="610" t="s">
        <v>12207</v>
      </c>
      <c r="AQ127" s="609" t="s">
        <v>12231</v>
      </c>
      <c r="AR127" s="599" t="s">
        <v>12232</v>
      </c>
      <c r="AS127" s="603" t="s">
        <v>423</v>
      </c>
      <c r="AT127" s="609" t="s">
        <v>13139</v>
      </c>
    </row>
    <row r="128" spans="1:46" ht="22.9" customHeight="1">
      <c r="A128" s="595" t="s">
        <v>13140</v>
      </c>
      <c r="B128" s="596" t="s">
        <v>8553</v>
      </c>
      <c r="C128" s="597" t="s">
        <v>12212</v>
      </c>
      <c r="D128" s="598"/>
      <c r="E128" s="599" t="s">
        <v>12921</v>
      </c>
      <c r="F128" s="600" t="s">
        <v>9735</v>
      </c>
      <c r="G128" s="601" t="s">
        <v>13141</v>
      </c>
      <c r="H128" s="601" t="s">
        <v>13141</v>
      </c>
      <c r="I128" s="596" t="s">
        <v>12214</v>
      </c>
      <c r="J128" s="596" t="s">
        <v>107</v>
      </c>
      <c r="K128" s="599" t="s">
        <v>12426</v>
      </c>
      <c r="L128" s="599" t="s">
        <v>12198</v>
      </c>
      <c r="M128" s="602" t="s">
        <v>12199</v>
      </c>
      <c r="N128" s="603" t="s">
        <v>7673</v>
      </c>
      <c r="O128" s="599">
        <v>1024</v>
      </c>
      <c r="P128" s="604">
        <v>0</v>
      </c>
      <c r="Q128" s="604">
        <v>0</v>
      </c>
      <c r="R128" s="605">
        <v>20000</v>
      </c>
      <c r="S128" s="604">
        <v>0</v>
      </c>
      <c r="T128" s="604">
        <v>0</v>
      </c>
      <c r="U128" s="604">
        <v>20800000</v>
      </c>
      <c r="V128" s="605">
        <v>10420000</v>
      </c>
      <c r="W128" s="596"/>
      <c r="X128" s="604">
        <v>0</v>
      </c>
      <c r="Y128" s="604">
        <v>1042000</v>
      </c>
      <c r="Z128" s="604">
        <v>11462000</v>
      </c>
      <c r="AA128" s="604">
        <v>22924090</v>
      </c>
      <c r="AB128" s="604">
        <v>0</v>
      </c>
      <c r="AC128" s="606">
        <v>34386000</v>
      </c>
      <c r="AD128" s="604">
        <v>90</v>
      </c>
      <c r="AE128" s="603">
        <v>2</v>
      </c>
      <c r="AF128" s="607">
        <v>11462090</v>
      </c>
      <c r="AG128" s="608" t="s">
        <v>13142</v>
      </c>
      <c r="AH128" s="608" t="s">
        <v>12459</v>
      </c>
      <c r="AI128" s="603" t="s">
        <v>13141</v>
      </c>
      <c r="AJ128" s="603" t="s">
        <v>12202</v>
      </c>
      <c r="AK128" s="603" t="s">
        <v>12203</v>
      </c>
      <c r="AL128" s="599" t="s">
        <v>12512</v>
      </c>
      <c r="AM128" s="609" t="s">
        <v>12452</v>
      </c>
      <c r="AN128" s="610" t="s">
        <v>13143</v>
      </c>
      <c r="AO128" s="610" t="s">
        <v>12206</v>
      </c>
      <c r="AP128" s="610" t="s">
        <v>12207</v>
      </c>
      <c r="AQ128" s="609" t="s">
        <v>12925</v>
      </c>
      <c r="AR128" s="599" t="s">
        <v>12926</v>
      </c>
      <c r="AS128" s="603" t="s">
        <v>423</v>
      </c>
      <c r="AT128" s="609" t="s">
        <v>13144</v>
      </c>
    </row>
    <row r="129" spans="1:46" ht="17.100000000000001" customHeight="1">
      <c r="A129" s="595" t="s">
        <v>13145</v>
      </c>
      <c r="B129" s="596" t="s">
        <v>8553</v>
      </c>
      <c r="C129" s="597" t="s">
        <v>12212</v>
      </c>
      <c r="D129" s="598"/>
      <c r="E129" s="599" t="s">
        <v>13146</v>
      </c>
      <c r="F129" s="600" t="s">
        <v>9735</v>
      </c>
      <c r="G129" s="601" t="s">
        <v>13147</v>
      </c>
      <c r="H129" s="601" t="s">
        <v>13147</v>
      </c>
      <c r="I129" s="596" t="s">
        <v>12214</v>
      </c>
      <c r="J129" s="596" t="s">
        <v>107</v>
      </c>
      <c r="K129" s="599" t="s">
        <v>12426</v>
      </c>
      <c r="L129" s="599" t="s">
        <v>12198</v>
      </c>
      <c r="M129" s="602" t="s">
        <v>12199</v>
      </c>
      <c r="N129" s="603" t="s">
        <v>7673</v>
      </c>
      <c r="O129" s="599">
        <v>1024</v>
      </c>
      <c r="P129" s="604">
        <v>0</v>
      </c>
      <c r="Q129" s="604">
        <v>0</v>
      </c>
      <c r="R129" s="605">
        <v>20000</v>
      </c>
      <c r="S129" s="604">
        <v>0</v>
      </c>
      <c r="T129" s="604">
        <v>0</v>
      </c>
      <c r="U129" s="604">
        <v>20800000</v>
      </c>
      <c r="V129" s="605">
        <v>10420000</v>
      </c>
      <c r="W129" s="596"/>
      <c r="X129" s="604">
        <v>0</v>
      </c>
      <c r="Y129" s="604">
        <v>1042000</v>
      </c>
      <c r="Z129" s="604">
        <v>11462000</v>
      </c>
      <c r="AA129" s="604">
        <v>22924476</v>
      </c>
      <c r="AB129" s="604">
        <v>0</v>
      </c>
      <c r="AC129" s="606">
        <v>34386000</v>
      </c>
      <c r="AD129" s="604">
        <v>476</v>
      </c>
      <c r="AE129" s="603">
        <v>2</v>
      </c>
      <c r="AF129" s="607">
        <v>11462476</v>
      </c>
      <c r="AG129" s="608" t="s">
        <v>13148</v>
      </c>
      <c r="AH129" s="608" t="s">
        <v>13149</v>
      </c>
      <c r="AI129" s="603" t="s">
        <v>13147</v>
      </c>
      <c r="AJ129" s="603" t="s">
        <v>12202</v>
      </c>
      <c r="AK129" s="603" t="s">
        <v>12203</v>
      </c>
      <c r="AL129" s="599" t="s">
        <v>13150</v>
      </c>
      <c r="AM129" s="609" t="s">
        <v>12452</v>
      </c>
      <c r="AN129" s="610" t="s">
        <v>13151</v>
      </c>
      <c r="AO129" s="610" t="s">
        <v>12206</v>
      </c>
      <c r="AP129" s="610" t="s">
        <v>12207</v>
      </c>
      <c r="AQ129" s="609" t="s">
        <v>12917</v>
      </c>
      <c r="AR129" s="599" t="s">
        <v>12918</v>
      </c>
      <c r="AS129" s="603" t="s">
        <v>423</v>
      </c>
      <c r="AT129" s="609" t="s">
        <v>13152</v>
      </c>
    </row>
    <row r="130" spans="1:46" ht="22.9" customHeight="1">
      <c r="A130" s="595" t="s">
        <v>13153</v>
      </c>
      <c r="B130" s="596" t="s">
        <v>8553</v>
      </c>
      <c r="C130" s="597" t="s">
        <v>12212</v>
      </c>
      <c r="D130" s="598"/>
      <c r="E130" s="599" t="s">
        <v>834</v>
      </c>
      <c r="F130" s="600" t="s">
        <v>9735</v>
      </c>
      <c r="G130" s="601" t="s">
        <v>13154</v>
      </c>
      <c r="H130" s="601" t="s">
        <v>13154</v>
      </c>
      <c r="I130" s="596" t="s">
        <v>12214</v>
      </c>
      <c r="J130" s="596" t="s">
        <v>107</v>
      </c>
      <c r="K130" s="599" t="s">
        <v>12426</v>
      </c>
      <c r="L130" s="599" t="s">
        <v>12198</v>
      </c>
      <c r="M130" s="602" t="s">
        <v>12199</v>
      </c>
      <c r="N130" s="603" t="s">
        <v>7673</v>
      </c>
      <c r="O130" s="599">
        <v>1024</v>
      </c>
      <c r="P130" s="604">
        <v>0</v>
      </c>
      <c r="Q130" s="604">
        <v>0</v>
      </c>
      <c r="R130" s="605">
        <v>20000</v>
      </c>
      <c r="S130" s="604">
        <v>0</v>
      </c>
      <c r="T130" s="604">
        <v>0</v>
      </c>
      <c r="U130" s="604">
        <v>20800000</v>
      </c>
      <c r="V130" s="605">
        <v>10420000</v>
      </c>
      <c r="W130" s="596"/>
      <c r="X130" s="604">
        <v>0</v>
      </c>
      <c r="Y130" s="604">
        <v>1042000</v>
      </c>
      <c r="Z130" s="604">
        <v>11462000</v>
      </c>
      <c r="AA130" s="604">
        <v>22924584</v>
      </c>
      <c r="AB130" s="604">
        <v>0</v>
      </c>
      <c r="AC130" s="606">
        <v>34386000</v>
      </c>
      <c r="AD130" s="604">
        <v>584</v>
      </c>
      <c r="AE130" s="603">
        <v>2</v>
      </c>
      <c r="AF130" s="607">
        <v>11462584</v>
      </c>
      <c r="AG130" s="608" t="s">
        <v>13155</v>
      </c>
      <c r="AH130" s="608" t="s">
        <v>12450</v>
      </c>
      <c r="AI130" s="603" t="s">
        <v>13154</v>
      </c>
      <c r="AJ130" s="603" t="s">
        <v>12202</v>
      </c>
      <c r="AK130" s="603" t="s">
        <v>12203</v>
      </c>
      <c r="AL130" s="599" t="s">
        <v>13156</v>
      </c>
      <c r="AM130" s="609" t="s">
        <v>12452</v>
      </c>
      <c r="AN130" s="610" t="s">
        <v>13157</v>
      </c>
      <c r="AO130" s="610" t="s">
        <v>12206</v>
      </c>
      <c r="AP130" s="610" t="s">
        <v>12207</v>
      </c>
      <c r="AQ130" s="609" t="s">
        <v>13158</v>
      </c>
      <c r="AR130" s="599" t="s">
        <v>13159</v>
      </c>
      <c r="AS130" s="603" t="s">
        <v>423</v>
      </c>
      <c r="AT130" s="609" t="s">
        <v>13160</v>
      </c>
    </row>
    <row r="131" spans="1:46" ht="22.9" customHeight="1">
      <c r="A131" s="595" t="s">
        <v>13161</v>
      </c>
      <c r="B131" s="596" t="s">
        <v>8553</v>
      </c>
      <c r="C131" s="597" t="s">
        <v>12212</v>
      </c>
      <c r="D131" s="598"/>
      <c r="E131" s="599" t="s">
        <v>12244</v>
      </c>
      <c r="F131" s="600" t="s">
        <v>9735</v>
      </c>
      <c r="G131" s="601" t="s">
        <v>13162</v>
      </c>
      <c r="H131" s="601" t="s">
        <v>13162</v>
      </c>
      <c r="I131" s="596" t="s">
        <v>12214</v>
      </c>
      <c r="J131" s="596" t="s">
        <v>107</v>
      </c>
      <c r="K131" s="599" t="s">
        <v>12426</v>
      </c>
      <c r="L131" s="599" t="s">
        <v>12198</v>
      </c>
      <c r="M131" s="602" t="s">
        <v>12199</v>
      </c>
      <c r="N131" s="603" t="s">
        <v>7673</v>
      </c>
      <c r="O131" s="599">
        <v>1024</v>
      </c>
      <c r="P131" s="604">
        <v>0</v>
      </c>
      <c r="Q131" s="604">
        <v>0</v>
      </c>
      <c r="R131" s="605">
        <v>20000</v>
      </c>
      <c r="S131" s="604">
        <v>0</v>
      </c>
      <c r="T131" s="604">
        <v>0</v>
      </c>
      <c r="U131" s="604">
        <v>20800000</v>
      </c>
      <c r="V131" s="605">
        <v>10420000</v>
      </c>
      <c r="W131" s="596"/>
      <c r="X131" s="604">
        <v>0</v>
      </c>
      <c r="Y131" s="604">
        <v>1042000</v>
      </c>
      <c r="Z131" s="604">
        <v>11462000</v>
      </c>
      <c r="AA131" s="604">
        <v>22924894</v>
      </c>
      <c r="AB131" s="604">
        <v>0</v>
      </c>
      <c r="AC131" s="606">
        <v>34386000</v>
      </c>
      <c r="AD131" s="604">
        <v>894</v>
      </c>
      <c r="AE131" s="603">
        <v>2</v>
      </c>
      <c r="AF131" s="607">
        <v>11462894</v>
      </c>
      <c r="AG131" s="608" t="s">
        <v>13163</v>
      </c>
      <c r="AH131" s="608" t="s">
        <v>12475</v>
      </c>
      <c r="AI131" s="603" t="s">
        <v>13162</v>
      </c>
      <c r="AJ131" s="603" t="s">
        <v>12202</v>
      </c>
      <c r="AK131" s="603" t="s">
        <v>12203</v>
      </c>
      <c r="AL131" s="599" t="s">
        <v>13164</v>
      </c>
      <c r="AM131" s="609" t="s">
        <v>12452</v>
      </c>
      <c r="AN131" s="610" t="s">
        <v>13165</v>
      </c>
      <c r="AO131" s="610" t="s">
        <v>12206</v>
      </c>
      <c r="AP131" s="610" t="s">
        <v>12207</v>
      </c>
      <c r="AQ131" s="609" t="s">
        <v>12250</v>
      </c>
      <c r="AR131" s="599" t="s">
        <v>12251</v>
      </c>
      <c r="AS131" s="603" t="s">
        <v>423</v>
      </c>
      <c r="AT131" s="609" t="s">
        <v>13166</v>
      </c>
    </row>
    <row r="132" spans="1:46" ht="22.9" customHeight="1">
      <c r="A132" s="595" t="s">
        <v>13167</v>
      </c>
      <c r="B132" s="596" t="s">
        <v>8553</v>
      </c>
      <c r="C132" s="597" t="s">
        <v>12212</v>
      </c>
      <c r="D132" s="598"/>
      <c r="E132" s="599" t="s">
        <v>13168</v>
      </c>
      <c r="F132" s="600" t="s">
        <v>9735</v>
      </c>
      <c r="G132" s="601" t="s">
        <v>13169</v>
      </c>
      <c r="H132" s="601" t="s">
        <v>13169</v>
      </c>
      <c r="I132" s="596" t="s">
        <v>12214</v>
      </c>
      <c r="J132" s="596" t="s">
        <v>107</v>
      </c>
      <c r="K132" s="599" t="s">
        <v>12426</v>
      </c>
      <c r="L132" s="599" t="s">
        <v>12198</v>
      </c>
      <c r="M132" s="602" t="s">
        <v>12199</v>
      </c>
      <c r="N132" s="603" t="s">
        <v>7673</v>
      </c>
      <c r="O132" s="599">
        <v>1024</v>
      </c>
      <c r="P132" s="604">
        <v>0</v>
      </c>
      <c r="Q132" s="604">
        <v>0</v>
      </c>
      <c r="R132" s="605">
        <v>20000</v>
      </c>
      <c r="S132" s="604">
        <v>0</v>
      </c>
      <c r="T132" s="604">
        <v>0</v>
      </c>
      <c r="U132" s="604">
        <v>20800000</v>
      </c>
      <c r="V132" s="605">
        <v>10420000</v>
      </c>
      <c r="W132" s="596"/>
      <c r="X132" s="604">
        <v>0</v>
      </c>
      <c r="Y132" s="604">
        <v>1042000</v>
      </c>
      <c r="Z132" s="604">
        <v>11462000</v>
      </c>
      <c r="AA132" s="604">
        <v>22924059</v>
      </c>
      <c r="AB132" s="604">
        <v>0</v>
      </c>
      <c r="AC132" s="606">
        <v>34386000</v>
      </c>
      <c r="AD132" s="604">
        <v>59</v>
      </c>
      <c r="AE132" s="603">
        <v>2</v>
      </c>
      <c r="AF132" s="607">
        <v>11462059</v>
      </c>
      <c r="AG132" s="608" t="s">
        <v>13170</v>
      </c>
      <c r="AH132" s="608" t="s">
        <v>12618</v>
      </c>
      <c r="AI132" s="603" t="s">
        <v>13169</v>
      </c>
      <c r="AJ132" s="603" t="s">
        <v>12202</v>
      </c>
      <c r="AK132" s="603" t="s">
        <v>12203</v>
      </c>
      <c r="AL132" s="599" t="s">
        <v>12736</v>
      </c>
      <c r="AM132" s="609" t="s">
        <v>12452</v>
      </c>
      <c r="AN132" s="610" t="s">
        <v>12520</v>
      </c>
      <c r="AO132" s="610" t="s">
        <v>12206</v>
      </c>
      <c r="AP132" s="610" t="s">
        <v>12207</v>
      </c>
      <c r="AQ132" s="609" t="s">
        <v>12260</v>
      </c>
      <c r="AR132" s="599" t="s">
        <v>12261</v>
      </c>
      <c r="AS132" s="603" t="s">
        <v>423</v>
      </c>
      <c r="AT132" s="609" t="s">
        <v>13171</v>
      </c>
    </row>
    <row r="133" spans="1:46" ht="22.15" customHeight="1">
      <c r="A133" s="595" t="s">
        <v>13172</v>
      </c>
      <c r="B133" s="596" t="s">
        <v>8553</v>
      </c>
      <c r="C133" s="597" t="s">
        <v>12212</v>
      </c>
      <c r="D133" s="598"/>
      <c r="E133" s="599"/>
      <c r="F133" s="600" t="s">
        <v>9735</v>
      </c>
      <c r="G133" s="601" t="s">
        <v>13173</v>
      </c>
      <c r="H133" s="601" t="s">
        <v>13173</v>
      </c>
      <c r="I133" s="596" t="s">
        <v>12214</v>
      </c>
      <c r="J133" s="596" t="s">
        <v>107</v>
      </c>
      <c r="K133" s="599" t="s">
        <v>12426</v>
      </c>
      <c r="L133" s="599" t="s">
        <v>12198</v>
      </c>
      <c r="M133" s="602" t="s">
        <v>12199</v>
      </c>
      <c r="N133" s="603" t="s">
        <v>7673</v>
      </c>
      <c r="O133" s="599">
        <v>1024</v>
      </c>
      <c r="P133" s="604">
        <v>0</v>
      </c>
      <c r="Q133" s="604">
        <v>0</v>
      </c>
      <c r="R133" s="605">
        <v>20000</v>
      </c>
      <c r="S133" s="604">
        <v>0</v>
      </c>
      <c r="T133" s="604">
        <v>0</v>
      </c>
      <c r="U133" s="604">
        <v>20800000</v>
      </c>
      <c r="V133" s="605">
        <v>10420000</v>
      </c>
      <c r="W133" s="596"/>
      <c r="X133" s="604">
        <v>0</v>
      </c>
      <c r="Y133" s="604">
        <v>1042000</v>
      </c>
      <c r="Z133" s="604">
        <v>11462000</v>
      </c>
      <c r="AA133" s="604">
        <v>22924411</v>
      </c>
      <c r="AB133" s="604">
        <v>0</v>
      </c>
      <c r="AC133" s="606">
        <v>34386000</v>
      </c>
      <c r="AD133" s="604">
        <v>411</v>
      </c>
      <c r="AE133" s="603">
        <v>2</v>
      </c>
      <c r="AF133" s="607">
        <v>11462411</v>
      </c>
      <c r="AG133" s="608" t="s">
        <v>13174</v>
      </c>
      <c r="AH133" s="608" t="s">
        <v>12489</v>
      </c>
      <c r="AI133" s="603" t="s">
        <v>13173</v>
      </c>
      <c r="AJ133" s="603" t="s">
        <v>12202</v>
      </c>
      <c r="AK133" s="603" t="s">
        <v>12203</v>
      </c>
      <c r="AL133" s="599" t="s">
        <v>13175</v>
      </c>
      <c r="AM133" s="609" t="s">
        <v>4940</v>
      </c>
      <c r="AN133" s="610" t="s">
        <v>13176</v>
      </c>
      <c r="AO133" s="610" t="s">
        <v>12206</v>
      </c>
      <c r="AP133" s="610" t="s">
        <v>12207</v>
      </c>
      <c r="AQ133" s="609" t="s">
        <v>12296</v>
      </c>
      <c r="AR133" s="599" t="s">
        <v>12297</v>
      </c>
      <c r="AS133" s="603" t="s">
        <v>423</v>
      </c>
      <c r="AT133" s="609" t="s">
        <v>13177</v>
      </c>
    </row>
    <row r="134" spans="1:46" ht="22.9" customHeight="1">
      <c r="A134" s="595" t="s">
        <v>13178</v>
      </c>
      <c r="B134" s="596" t="s">
        <v>8553</v>
      </c>
      <c r="C134" s="597" t="s">
        <v>12212</v>
      </c>
      <c r="D134" s="598"/>
      <c r="E134" s="599" t="s">
        <v>13179</v>
      </c>
      <c r="F134" s="600" t="s">
        <v>9735</v>
      </c>
      <c r="G134" s="601" t="s">
        <v>13180</v>
      </c>
      <c r="H134" s="601" t="s">
        <v>13180</v>
      </c>
      <c r="I134" s="596" t="s">
        <v>12214</v>
      </c>
      <c r="J134" s="596" t="s">
        <v>107</v>
      </c>
      <c r="K134" s="599" t="s">
        <v>12426</v>
      </c>
      <c r="L134" s="599" t="s">
        <v>12198</v>
      </c>
      <c r="M134" s="602" t="s">
        <v>12199</v>
      </c>
      <c r="N134" s="603" t="s">
        <v>7673</v>
      </c>
      <c r="O134" s="599">
        <v>1024</v>
      </c>
      <c r="P134" s="604">
        <v>0</v>
      </c>
      <c r="Q134" s="604">
        <v>0</v>
      </c>
      <c r="R134" s="605">
        <v>20000</v>
      </c>
      <c r="S134" s="604">
        <v>0</v>
      </c>
      <c r="T134" s="604">
        <v>0</v>
      </c>
      <c r="U134" s="604">
        <v>20800000</v>
      </c>
      <c r="V134" s="605">
        <v>10420000</v>
      </c>
      <c r="W134" s="596"/>
      <c r="X134" s="604">
        <v>0</v>
      </c>
      <c r="Y134" s="604">
        <v>1042000</v>
      </c>
      <c r="Z134" s="604">
        <v>11462000</v>
      </c>
      <c r="AA134" s="604">
        <v>22924825</v>
      </c>
      <c r="AB134" s="604">
        <v>0</v>
      </c>
      <c r="AC134" s="606">
        <v>34386000</v>
      </c>
      <c r="AD134" s="604">
        <v>825</v>
      </c>
      <c r="AE134" s="603">
        <v>2</v>
      </c>
      <c r="AF134" s="607">
        <v>11462825</v>
      </c>
      <c r="AG134" s="608" t="s">
        <v>13181</v>
      </c>
      <c r="AH134" s="608" t="s">
        <v>12618</v>
      </c>
      <c r="AI134" s="603" t="s">
        <v>13180</v>
      </c>
      <c r="AJ134" s="603" t="s">
        <v>12202</v>
      </c>
      <c r="AK134" s="603" t="s">
        <v>12203</v>
      </c>
      <c r="AL134" s="599" t="s">
        <v>12532</v>
      </c>
      <c r="AM134" s="609" t="s">
        <v>12452</v>
      </c>
      <c r="AN134" s="610" t="s">
        <v>13151</v>
      </c>
      <c r="AO134" s="610" t="s">
        <v>12206</v>
      </c>
      <c r="AP134" s="610" t="s">
        <v>12207</v>
      </c>
      <c r="AQ134" s="609" t="s">
        <v>12268</v>
      </c>
      <c r="AR134" s="599" t="s">
        <v>12269</v>
      </c>
      <c r="AS134" s="603" t="s">
        <v>423</v>
      </c>
      <c r="AT134" s="609" t="s">
        <v>13182</v>
      </c>
    </row>
    <row r="135" spans="1:46" ht="22.9" customHeight="1">
      <c r="A135" s="595" t="s">
        <v>13183</v>
      </c>
      <c r="B135" s="596" t="s">
        <v>8553</v>
      </c>
      <c r="C135" s="597" t="s">
        <v>12212</v>
      </c>
      <c r="D135" s="598"/>
      <c r="E135" s="599" t="s">
        <v>13184</v>
      </c>
      <c r="F135" s="600" t="s">
        <v>9735</v>
      </c>
      <c r="G135" s="601" t="s">
        <v>13185</v>
      </c>
      <c r="H135" s="601" t="s">
        <v>13185</v>
      </c>
      <c r="I135" s="596" t="s">
        <v>12214</v>
      </c>
      <c r="J135" s="596" t="s">
        <v>107</v>
      </c>
      <c r="K135" s="599" t="s">
        <v>12426</v>
      </c>
      <c r="L135" s="599" t="s">
        <v>12198</v>
      </c>
      <c r="M135" s="602" t="s">
        <v>12199</v>
      </c>
      <c r="N135" s="603" t="s">
        <v>7673</v>
      </c>
      <c r="O135" s="599">
        <v>1024</v>
      </c>
      <c r="P135" s="604">
        <v>0</v>
      </c>
      <c r="Q135" s="604">
        <v>0</v>
      </c>
      <c r="R135" s="605">
        <v>20000</v>
      </c>
      <c r="S135" s="604">
        <v>0</v>
      </c>
      <c r="T135" s="604">
        <v>0</v>
      </c>
      <c r="U135" s="604">
        <v>20800000</v>
      </c>
      <c r="V135" s="605">
        <v>10420000</v>
      </c>
      <c r="W135" s="596"/>
      <c r="X135" s="604">
        <v>0</v>
      </c>
      <c r="Y135" s="604">
        <v>1042000</v>
      </c>
      <c r="Z135" s="604">
        <v>11462000</v>
      </c>
      <c r="AA135" s="604">
        <v>22924548</v>
      </c>
      <c r="AB135" s="604">
        <v>0</v>
      </c>
      <c r="AC135" s="606">
        <v>34386000</v>
      </c>
      <c r="AD135" s="604">
        <v>548</v>
      </c>
      <c r="AE135" s="603">
        <v>2</v>
      </c>
      <c r="AF135" s="607">
        <v>11462548</v>
      </c>
      <c r="AG135" s="608" t="s">
        <v>13186</v>
      </c>
      <c r="AH135" s="608" t="s">
        <v>13149</v>
      </c>
      <c r="AI135" s="603" t="s">
        <v>13185</v>
      </c>
      <c r="AJ135" s="603" t="s">
        <v>12202</v>
      </c>
      <c r="AK135" s="603" t="s">
        <v>12203</v>
      </c>
      <c r="AL135" s="599" t="s">
        <v>13187</v>
      </c>
      <c r="AM135" s="609" t="s">
        <v>12452</v>
      </c>
      <c r="AN135" s="610" t="s">
        <v>13188</v>
      </c>
      <c r="AO135" s="610" t="s">
        <v>12206</v>
      </c>
      <c r="AP135" s="610" t="s">
        <v>12207</v>
      </c>
      <c r="AQ135" s="609" t="s">
        <v>12305</v>
      </c>
      <c r="AR135" s="599" t="s">
        <v>12306</v>
      </c>
      <c r="AS135" s="603" t="s">
        <v>423</v>
      </c>
      <c r="AT135" s="609" t="s">
        <v>13189</v>
      </c>
    </row>
    <row r="136" spans="1:46" ht="33.4" customHeight="1">
      <c r="A136" s="595" t="s">
        <v>13190</v>
      </c>
      <c r="B136" s="596" t="s">
        <v>8553</v>
      </c>
      <c r="C136" s="597" t="s">
        <v>12212</v>
      </c>
      <c r="D136" s="598"/>
      <c r="E136" s="599" t="s">
        <v>13191</v>
      </c>
      <c r="F136" s="600" t="s">
        <v>9735</v>
      </c>
      <c r="G136" s="601" t="s">
        <v>13192</v>
      </c>
      <c r="H136" s="601" t="s">
        <v>13192</v>
      </c>
      <c r="I136" s="596" t="s">
        <v>12214</v>
      </c>
      <c r="J136" s="596" t="s">
        <v>107</v>
      </c>
      <c r="K136" s="599" t="s">
        <v>12426</v>
      </c>
      <c r="L136" s="599" t="s">
        <v>12198</v>
      </c>
      <c r="M136" s="602" t="s">
        <v>12199</v>
      </c>
      <c r="N136" s="603" t="s">
        <v>7673</v>
      </c>
      <c r="O136" s="599">
        <v>1024</v>
      </c>
      <c r="P136" s="604">
        <v>0</v>
      </c>
      <c r="Q136" s="604">
        <v>0</v>
      </c>
      <c r="R136" s="605">
        <v>20000</v>
      </c>
      <c r="S136" s="604">
        <v>0</v>
      </c>
      <c r="T136" s="604">
        <v>0</v>
      </c>
      <c r="U136" s="604">
        <v>20800000</v>
      </c>
      <c r="V136" s="605">
        <v>10420000</v>
      </c>
      <c r="W136" s="596"/>
      <c r="X136" s="604">
        <v>0</v>
      </c>
      <c r="Y136" s="604">
        <v>1042000</v>
      </c>
      <c r="Z136" s="604">
        <v>11462000</v>
      </c>
      <c r="AA136" s="604">
        <v>22924655</v>
      </c>
      <c r="AB136" s="604">
        <v>0</v>
      </c>
      <c r="AC136" s="606">
        <v>34386000</v>
      </c>
      <c r="AD136" s="604">
        <v>655</v>
      </c>
      <c r="AE136" s="603">
        <v>2</v>
      </c>
      <c r="AF136" s="607">
        <v>11462655</v>
      </c>
      <c r="AG136" s="608" t="s">
        <v>13193</v>
      </c>
      <c r="AH136" s="608" t="s">
        <v>12524</v>
      </c>
      <c r="AI136" s="603" t="s">
        <v>13192</v>
      </c>
      <c r="AJ136" s="603" t="s">
        <v>12202</v>
      </c>
      <c r="AK136" s="603" t="s">
        <v>12203</v>
      </c>
      <c r="AL136" s="599" t="s">
        <v>12512</v>
      </c>
      <c r="AM136" s="609" t="s">
        <v>12452</v>
      </c>
      <c r="AN136" s="610" t="s">
        <v>13143</v>
      </c>
      <c r="AO136" s="610" t="s">
        <v>12206</v>
      </c>
      <c r="AP136" s="610" t="s">
        <v>12207</v>
      </c>
      <c r="AQ136" s="609" t="s">
        <v>13024</v>
      </c>
      <c r="AR136" s="599" t="s">
        <v>13025</v>
      </c>
      <c r="AS136" s="603" t="s">
        <v>423</v>
      </c>
      <c r="AT136" s="609" t="s">
        <v>13194</v>
      </c>
    </row>
    <row r="137" spans="1:46" ht="22.9" customHeight="1">
      <c r="A137" s="595" t="s">
        <v>13195</v>
      </c>
      <c r="B137" s="596" t="s">
        <v>8553</v>
      </c>
      <c r="C137" s="597" t="s">
        <v>12212</v>
      </c>
      <c r="D137" s="598"/>
      <c r="E137" s="599" t="s">
        <v>13196</v>
      </c>
      <c r="F137" s="600" t="s">
        <v>9735</v>
      </c>
      <c r="G137" s="601" t="s">
        <v>13197</v>
      </c>
      <c r="H137" s="601" t="s">
        <v>13197</v>
      </c>
      <c r="I137" s="596" t="s">
        <v>12214</v>
      </c>
      <c r="J137" s="596" t="s">
        <v>107</v>
      </c>
      <c r="K137" s="599" t="s">
        <v>12426</v>
      </c>
      <c r="L137" s="599" t="s">
        <v>12198</v>
      </c>
      <c r="M137" s="602" t="s">
        <v>12199</v>
      </c>
      <c r="N137" s="603" t="s">
        <v>7673</v>
      </c>
      <c r="O137" s="599">
        <v>1024</v>
      </c>
      <c r="P137" s="604">
        <v>0</v>
      </c>
      <c r="Q137" s="604">
        <v>0</v>
      </c>
      <c r="R137" s="605">
        <v>20000</v>
      </c>
      <c r="S137" s="604">
        <v>0</v>
      </c>
      <c r="T137" s="604">
        <v>0</v>
      </c>
      <c r="U137" s="604">
        <v>20800000</v>
      </c>
      <c r="V137" s="605">
        <v>10420000</v>
      </c>
      <c r="W137" s="596"/>
      <c r="X137" s="604">
        <v>0</v>
      </c>
      <c r="Y137" s="604">
        <v>1042000</v>
      </c>
      <c r="Z137" s="604">
        <v>11462000</v>
      </c>
      <c r="AA137" s="604">
        <v>22924239</v>
      </c>
      <c r="AB137" s="604">
        <v>0</v>
      </c>
      <c r="AC137" s="606">
        <v>34386000</v>
      </c>
      <c r="AD137" s="604">
        <v>239</v>
      </c>
      <c r="AE137" s="603">
        <v>2</v>
      </c>
      <c r="AF137" s="607">
        <v>11462239</v>
      </c>
      <c r="AG137" s="608" t="s">
        <v>13198</v>
      </c>
      <c r="AH137" s="608" t="s">
        <v>12475</v>
      </c>
      <c r="AI137" s="603" t="s">
        <v>13197</v>
      </c>
      <c r="AJ137" s="603" t="s">
        <v>12202</v>
      </c>
      <c r="AK137" s="603" t="s">
        <v>12203</v>
      </c>
      <c r="AL137" s="599" t="s">
        <v>12946</v>
      </c>
      <c r="AM137" s="609" t="s">
        <v>12452</v>
      </c>
      <c r="AN137" s="610" t="s">
        <v>12730</v>
      </c>
      <c r="AO137" s="610" t="s">
        <v>12206</v>
      </c>
      <c r="AP137" s="610" t="s">
        <v>12207</v>
      </c>
      <c r="AQ137" s="609" t="s">
        <v>12948</v>
      </c>
      <c r="AR137" s="599" t="s">
        <v>12949</v>
      </c>
      <c r="AS137" s="603" t="s">
        <v>423</v>
      </c>
      <c r="AT137" s="609" t="s">
        <v>13199</v>
      </c>
    </row>
    <row r="138" spans="1:46" ht="22.15" customHeight="1">
      <c r="A138" s="595" t="s">
        <v>13200</v>
      </c>
      <c r="B138" s="596" t="s">
        <v>8553</v>
      </c>
      <c r="C138" s="597" t="s">
        <v>12212</v>
      </c>
      <c r="D138" s="598"/>
      <c r="E138" s="599" t="s">
        <v>7523</v>
      </c>
      <c r="F138" s="600" t="s">
        <v>9735</v>
      </c>
      <c r="G138" s="601" t="s">
        <v>13201</v>
      </c>
      <c r="H138" s="601" t="s">
        <v>13201</v>
      </c>
      <c r="I138" s="596" t="s">
        <v>12214</v>
      </c>
      <c r="J138" s="596" t="s">
        <v>107</v>
      </c>
      <c r="K138" s="599" t="s">
        <v>12426</v>
      </c>
      <c r="L138" s="599" t="s">
        <v>12198</v>
      </c>
      <c r="M138" s="602" t="s">
        <v>12199</v>
      </c>
      <c r="N138" s="603" t="s">
        <v>7673</v>
      </c>
      <c r="O138" s="599">
        <v>1024</v>
      </c>
      <c r="P138" s="604">
        <v>0</v>
      </c>
      <c r="Q138" s="604">
        <v>0</v>
      </c>
      <c r="R138" s="605">
        <v>20000</v>
      </c>
      <c r="S138" s="604">
        <v>0</v>
      </c>
      <c r="T138" s="604">
        <v>0</v>
      </c>
      <c r="U138" s="604">
        <v>20800000</v>
      </c>
      <c r="V138" s="605">
        <v>10420000</v>
      </c>
      <c r="W138" s="596"/>
      <c r="X138" s="604">
        <v>0</v>
      </c>
      <c r="Y138" s="604">
        <v>1042000</v>
      </c>
      <c r="Z138" s="604">
        <v>11462000</v>
      </c>
      <c r="AA138" s="604">
        <v>22924919</v>
      </c>
      <c r="AB138" s="604">
        <v>0</v>
      </c>
      <c r="AC138" s="606">
        <v>34386000</v>
      </c>
      <c r="AD138" s="604">
        <v>919</v>
      </c>
      <c r="AE138" s="603">
        <v>2</v>
      </c>
      <c r="AF138" s="607">
        <v>11462919</v>
      </c>
      <c r="AG138" s="608" t="s">
        <v>13202</v>
      </c>
      <c r="AH138" s="608" t="s">
        <v>13149</v>
      </c>
      <c r="AI138" s="603" t="s">
        <v>13201</v>
      </c>
      <c r="AJ138" s="603" t="s">
        <v>12202</v>
      </c>
      <c r="AK138" s="603" t="s">
        <v>12203</v>
      </c>
      <c r="AL138" s="599" t="s">
        <v>13203</v>
      </c>
      <c r="AM138" s="609" t="s">
        <v>12444</v>
      </c>
      <c r="AN138" s="610" t="s">
        <v>12526</v>
      </c>
      <c r="AO138" s="610" t="s">
        <v>12206</v>
      </c>
      <c r="AP138" s="610" t="s">
        <v>12207</v>
      </c>
      <c r="AQ138" s="609" t="s">
        <v>12353</v>
      </c>
      <c r="AR138" s="599" t="s">
        <v>12354</v>
      </c>
      <c r="AS138" s="603" t="s">
        <v>423</v>
      </c>
      <c r="AT138" s="609" t="s">
        <v>13204</v>
      </c>
    </row>
    <row r="139" spans="1:46" ht="17.850000000000001" customHeight="1">
      <c r="A139" s="595" t="s">
        <v>13205</v>
      </c>
      <c r="B139" s="596" t="s">
        <v>8553</v>
      </c>
      <c r="C139" s="597" t="s">
        <v>12212</v>
      </c>
      <c r="D139" s="598"/>
      <c r="E139" s="599" t="s">
        <v>11465</v>
      </c>
      <c r="F139" s="600" t="s">
        <v>9735</v>
      </c>
      <c r="G139" s="601" t="s">
        <v>645</v>
      </c>
      <c r="H139" s="601" t="s">
        <v>645</v>
      </c>
      <c r="I139" s="596" t="s">
        <v>12255</v>
      </c>
      <c r="J139" s="596" t="s">
        <v>107</v>
      </c>
      <c r="K139" s="599" t="s">
        <v>12426</v>
      </c>
      <c r="L139" s="599" t="s">
        <v>12198</v>
      </c>
      <c r="M139" s="602" t="s">
        <v>12199</v>
      </c>
      <c r="N139" s="603" t="s">
        <v>7673</v>
      </c>
      <c r="O139" s="599">
        <v>2048</v>
      </c>
      <c r="P139" s="604">
        <v>0</v>
      </c>
      <c r="Q139" s="604">
        <v>0</v>
      </c>
      <c r="R139" s="605">
        <v>20000</v>
      </c>
      <c r="S139" s="604">
        <v>0</v>
      </c>
      <c r="T139" s="604">
        <v>0</v>
      </c>
      <c r="U139" s="604">
        <v>36400000</v>
      </c>
      <c r="V139" s="605">
        <v>18220000</v>
      </c>
      <c r="W139" s="596"/>
      <c r="X139" s="604">
        <v>0</v>
      </c>
      <c r="Y139" s="604">
        <v>1822000</v>
      </c>
      <c r="Z139" s="604">
        <v>20042000</v>
      </c>
      <c r="AA139" s="604">
        <v>40084218</v>
      </c>
      <c r="AB139" s="604">
        <v>0</v>
      </c>
      <c r="AC139" s="606">
        <v>60126000</v>
      </c>
      <c r="AD139" s="604">
        <v>218</v>
      </c>
      <c r="AE139" s="603">
        <v>2</v>
      </c>
      <c r="AF139" s="607">
        <v>20042218</v>
      </c>
      <c r="AG139" s="608" t="s">
        <v>13206</v>
      </c>
      <c r="AH139" s="608" t="s">
        <v>13207</v>
      </c>
      <c r="AI139" s="603" t="s">
        <v>645</v>
      </c>
      <c r="AJ139" s="603" t="s">
        <v>12202</v>
      </c>
      <c r="AK139" s="603" t="s">
        <v>12203</v>
      </c>
      <c r="AL139" s="599" t="s">
        <v>13208</v>
      </c>
      <c r="AM139" s="609" t="s">
        <v>12444</v>
      </c>
      <c r="AN139" s="610" t="s">
        <v>13165</v>
      </c>
      <c r="AO139" s="610" t="s">
        <v>12206</v>
      </c>
      <c r="AP139" s="610" t="s">
        <v>12207</v>
      </c>
      <c r="AQ139" s="609" t="s">
        <v>12963</v>
      </c>
      <c r="AR139" s="599" t="s">
        <v>12964</v>
      </c>
      <c r="AS139" s="603" t="s">
        <v>423</v>
      </c>
      <c r="AT139" s="609" t="s">
        <v>13209</v>
      </c>
    </row>
    <row r="140" spans="1:46" ht="22.9" customHeight="1">
      <c r="A140" s="595" t="s">
        <v>13210</v>
      </c>
      <c r="B140" s="596" t="s">
        <v>8553</v>
      </c>
      <c r="C140" s="597" t="s">
        <v>12212</v>
      </c>
      <c r="D140" s="598"/>
      <c r="E140" s="599"/>
      <c r="F140" s="600" t="s">
        <v>9735</v>
      </c>
      <c r="G140" s="601" t="s">
        <v>13211</v>
      </c>
      <c r="H140" s="601" t="s">
        <v>13211</v>
      </c>
      <c r="I140" s="596" t="s">
        <v>12214</v>
      </c>
      <c r="J140" s="596" t="s">
        <v>107</v>
      </c>
      <c r="K140" s="599" t="s">
        <v>12426</v>
      </c>
      <c r="L140" s="599" t="s">
        <v>12198</v>
      </c>
      <c r="M140" s="602" t="s">
        <v>12199</v>
      </c>
      <c r="N140" s="603" t="s">
        <v>7673</v>
      </c>
      <c r="O140" s="599">
        <v>1024</v>
      </c>
      <c r="P140" s="604">
        <v>0</v>
      </c>
      <c r="Q140" s="604">
        <v>0</v>
      </c>
      <c r="R140" s="605">
        <v>20000</v>
      </c>
      <c r="S140" s="604">
        <v>0</v>
      </c>
      <c r="T140" s="604">
        <v>0</v>
      </c>
      <c r="U140" s="604">
        <v>20800000</v>
      </c>
      <c r="V140" s="605">
        <v>10420000</v>
      </c>
      <c r="W140" s="596"/>
      <c r="X140" s="604">
        <v>0</v>
      </c>
      <c r="Y140" s="604">
        <v>1042000</v>
      </c>
      <c r="Z140" s="604">
        <v>11462000</v>
      </c>
      <c r="AA140" s="604">
        <v>22924365</v>
      </c>
      <c r="AB140" s="604">
        <v>0</v>
      </c>
      <c r="AC140" s="606">
        <v>34386000</v>
      </c>
      <c r="AD140" s="604">
        <v>365</v>
      </c>
      <c r="AE140" s="603">
        <v>2</v>
      </c>
      <c r="AF140" s="607">
        <v>11462365</v>
      </c>
      <c r="AG140" s="608" t="s">
        <v>13212</v>
      </c>
      <c r="AH140" s="608" t="s">
        <v>12618</v>
      </c>
      <c r="AI140" s="603" t="s">
        <v>13211</v>
      </c>
      <c r="AJ140" s="603" t="s">
        <v>12202</v>
      </c>
      <c r="AK140" s="603" t="s">
        <v>12203</v>
      </c>
      <c r="AL140" s="599" t="s">
        <v>13164</v>
      </c>
      <c r="AM140" s="609" t="s">
        <v>12452</v>
      </c>
      <c r="AN140" s="610" t="s">
        <v>12730</v>
      </c>
      <c r="AO140" s="610" t="s">
        <v>12206</v>
      </c>
      <c r="AP140" s="610" t="s">
        <v>12207</v>
      </c>
      <c r="AQ140" s="609" t="s">
        <v>12963</v>
      </c>
      <c r="AR140" s="599" t="s">
        <v>12964</v>
      </c>
      <c r="AS140" s="603" t="s">
        <v>423</v>
      </c>
      <c r="AT140" s="609" t="s">
        <v>13213</v>
      </c>
    </row>
    <row r="141" spans="1:46" ht="22.15" customHeight="1">
      <c r="A141" s="595" t="s">
        <v>13214</v>
      </c>
      <c r="B141" s="596" t="s">
        <v>8553</v>
      </c>
      <c r="C141" s="597" t="s">
        <v>12212</v>
      </c>
      <c r="D141" s="598"/>
      <c r="E141" s="599" t="s">
        <v>13215</v>
      </c>
      <c r="F141" s="600" t="s">
        <v>9735</v>
      </c>
      <c r="G141" s="601" t="s">
        <v>13216</v>
      </c>
      <c r="H141" s="601" t="s">
        <v>13216</v>
      </c>
      <c r="I141" s="596" t="s">
        <v>12214</v>
      </c>
      <c r="J141" s="596" t="s">
        <v>107</v>
      </c>
      <c r="K141" s="599" t="s">
        <v>12426</v>
      </c>
      <c r="L141" s="599" t="s">
        <v>12198</v>
      </c>
      <c r="M141" s="602" t="s">
        <v>12199</v>
      </c>
      <c r="N141" s="603" t="s">
        <v>7673</v>
      </c>
      <c r="O141" s="599">
        <v>1024</v>
      </c>
      <c r="P141" s="604">
        <v>0</v>
      </c>
      <c r="Q141" s="604">
        <v>0</v>
      </c>
      <c r="R141" s="605">
        <v>20000</v>
      </c>
      <c r="S141" s="604">
        <v>0</v>
      </c>
      <c r="T141" s="604">
        <v>0</v>
      </c>
      <c r="U141" s="604">
        <v>20800000</v>
      </c>
      <c r="V141" s="605">
        <v>10420000</v>
      </c>
      <c r="W141" s="596"/>
      <c r="X141" s="604">
        <v>0</v>
      </c>
      <c r="Y141" s="604">
        <v>1042000</v>
      </c>
      <c r="Z141" s="604">
        <v>11462000</v>
      </c>
      <c r="AA141" s="604">
        <v>22924286</v>
      </c>
      <c r="AB141" s="604">
        <v>0</v>
      </c>
      <c r="AC141" s="606">
        <v>34386000</v>
      </c>
      <c r="AD141" s="604">
        <v>286</v>
      </c>
      <c r="AE141" s="603">
        <v>2</v>
      </c>
      <c r="AF141" s="607">
        <v>11462286.969999999</v>
      </c>
      <c r="AG141" s="608" t="s">
        <v>13217</v>
      </c>
      <c r="AH141" s="608" t="s">
        <v>12459</v>
      </c>
      <c r="AI141" s="603" t="s">
        <v>13216</v>
      </c>
      <c r="AJ141" s="603" t="s">
        <v>12202</v>
      </c>
      <c r="AK141" s="603" t="s">
        <v>12203</v>
      </c>
      <c r="AL141" s="599" t="s">
        <v>13218</v>
      </c>
      <c r="AM141" s="609" t="s">
        <v>12452</v>
      </c>
      <c r="AN141" s="610" t="s">
        <v>12526</v>
      </c>
      <c r="AO141" s="610" t="s">
        <v>12206</v>
      </c>
      <c r="AP141" s="610" t="s">
        <v>12207</v>
      </c>
      <c r="AQ141" s="609" t="s">
        <v>12413</v>
      </c>
      <c r="AR141" s="599" t="s">
        <v>12414</v>
      </c>
      <c r="AS141" s="603" t="s">
        <v>423</v>
      </c>
      <c r="AT141" s="609" t="s">
        <v>13219</v>
      </c>
    </row>
    <row r="142" spans="1:46" ht="22.9" customHeight="1">
      <c r="A142" s="595" t="s">
        <v>13220</v>
      </c>
      <c r="B142" s="596" t="s">
        <v>8553</v>
      </c>
      <c r="C142" s="597" t="s">
        <v>12212</v>
      </c>
      <c r="D142" s="598"/>
      <c r="E142" s="599" t="s">
        <v>13221</v>
      </c>
      <c r="F142" s="600" t="s">
        <v>9735</v>
      </c>
      <c r="G142" s="601" t="s">
        <v>13222</v>
      </c>
      <c r="H142" s="601" t="s">
        <v>13222</v>
      </c>
      <c r="I142" s="596" t="s">
        <v>12214</v>
      </c>
      <c r="J142" s="596" t="s">
        <v>107</v>
      </c>
      <c r="K142" s="599" t="s">
        <v>12426</v>
      </c>
      <c r="L142" s="599" t="s">
        <v>12198</v>
      </c>
      <c r="M142" s="602" t="s">
        <v>12199</v>
      </c>
      <c r="N142" s="603" t="s">
        <v>7673</v>
      </c>
      <c r="O142" s="599">
        <v>1024</v>
      </c>
      <c r="P142" s="604">
        <v>0</v>
      </c>
      <c r="Q142" s="604">
        <v>0</v>
      </c>
      <c r="R142" s="605">
        <v>20000</v>
      </c>
      <c r="S142" s="604">
        <v>0</v>
      </c>
      <c r="T142" s="604">
        <v>0</v>
      </c>
      <c r="U142" s="604">
        <v>20800000</v>
      </c>
      <c r="V142" s="605">
        <v>10420000</v>
      </c>
      <c r="W142" s="596"/>
      <c r="X142" s="604">
        <v>0</v>
      </c>
      <c r="Y142" s="604">
        <v>1042000</v>
      </c>
      <c r="Z142" s="604">
        <v>11462000</v>
      </c>
      <c r="AA142" s="604">
        <v>22924289</v>
      </c>
      <c r="AB142" s="604">
        <v>0</v>
      </c>
      <c r="AC142" s="606">
        <v>34386000</v>
      </c>
      <c r="AD142" s="604">
        <v>289</v>
      </c>
      <c r="AE142" s="603">
        <v>2</v>
      </c>
      <c r="AF142" s="607">
        <v>11462289</v>
      </c>
      <c r="AG142" s="608" t="s">
        <v>13223</v>
      </c>
      <c r="AH142" s="608" t="s">
        <v>12466</v>
      </c>
      <c r="AI142" s="603" t="s">
        <v>13222</v>
      </c>
      <c r="AJ142" s="603" t="s">
        <v>12202</v>
      </c>
      <c r="AK142" s="603" t="s">
        <v>12203</v>
      </c>
      <c r="AL142" s="599" t="s">
        <v>12736</v>
      </c>
      <c r="AM142" s="609" t="s">
        <v>12452</v>
      </c>
      <c r="AN142" s="610" t="s">
        <v>13224</v>
      </c>
      <c r="AO142" s="610" t="s">
        <v>12206</v>
      </c>
      <c r="AP142" s="610" t="s">
        <v>12207</v>
      </c>
      <c r="AQ142" s="609" t="s">
        <v>12604</v>
      </c>
      <c r="AR142" s="599" t="s">
        <v>12605</v>
      </c>
      <c r="AS142" s="603" t="s">
        <v>423</v>
      </c>
      <c r="AT142" s="609" t="s">
        <v>13225</v>
      </c>
    </row>
    <row r="143" spans="1:46" ht="22.9" customHeight="1">
      <c r="A143" s="595" t="s">
        <v>13226</v>
      </c>
      <c r="B143" s="596" t="s">
        <v>8553</v>
      </c>
      <c r="C143" s="597" t="s">
        <v>12212</v>
      </c>
      <c r="D143" s="598"/>
      <c r="E143" s="599" t="s">
        <v>834</v>
      </c>
      <c r="F143" s="600" t="s">
        <v>9735</v>
      </c>
      <c r="G143" s="601" t="s">
        <v>13227</v>
      </c>
      <c r="H143" s="601" t="s">
        <v>13227</v>
      </c>
      <c r="I143" s="596" t="s">
        <v>12225</v>
      </c>
      <c r="J143" s="596" t="s">
        <v>335</v>
      </c>
      <c r="K143" s="599" t="s">
        <v>12197</v>
      </c>
      <c r="L143" s="599" t="s">
        <v>12198</v>
      </c>
      <c r="M143" s="602" t="s">
        <v>12199</v>
      </c>
      <c r="N143" s="603" t="s">
        <v>7673</v>
      </c>
      <c r="O143" s="599">
        <v>512</v>
      </c>
      <c r="P143" s="604">
        <v>0</v>
      </c>
      <c r="Q143" s="604">
        <v>0</v>
      </c>
      <c r="R143" s="605">
        <v>20000</v>
      </c>
      <c r="S143" s="604">
        <v>0</v>
      </c>
      <c r="T143" s="604">
        <v>0</v>
      </c>
      <c r="U143" s="604">
        <v>4480000</v>
      </c>
      <c r="V143" s="605">
        <v>2260000</v>
      </c>
      <c r="W143" s="596"/>
      <c r="X143" s="604">
        <v>0</v>
      </c>
      <c r="Y143" s="604">
        <v>226000</v>
      </c>
      <c r="Z143" s="604">
        <v>2486000</v>
      </c>
      <c r="AA143" s="604">
        <v>4972232</v>
      </c>
      <c r="AB143" s="604">
        <v>0</v>
      </c>
      <c r="AC143" s="606">
        <v>7458000</v>
      </c>
      <c r="AD143" s="604">
        <v>232</v>
      </c>
      <c r="AE143" s="603">
        <v>2</v>
      </c>
      <c r="AF143" s="607">
        <v>2486232</v>
      </c>
      <c r="AG143" s="608" t="s">
        <v>13228</v>
      </c>
      <c r="AH143" s="608" t="s">
        <v>13037</v>
      </c>
      <c r="AI143" s="603" t="s">
        <v>13227</v>
      </c>
      <c r="AJ143" s="603" t="s">
        <v>12202</v>
      </c>
      <c r="AK143" s="603" t="s">
        <v>12203</v>
      </c>
      <c r="AL143" s="599" t="s">
        <v>13229</v>
      </c>
      <c r="AM143" s="609" t="s">
        <v>4940</v>
      </c>
      <c r="AN143" s="610" t="s">
        <v>13157</v>
      </c>
      <c r="AO143" s="610" t="s">
        <v>12206</v>
      </c>
      <c r="AP143" s="610" t="s">
        <v>12207</v>
      </c>
      <c r="AQ143" s="609" t="s">
        <v>13158</v>
      </c>
      <c r="AR143" s="599" t="s">
        <v>13159</v>
      </c>
      <c r="AS143" s="603" t="s">
        <v>423</v>
      </c>
      <c r="AT143" s="609" t="s">
        <v>13230</v>
      </c>
    </row>
    <row r="144" spans="1:46" ht="17.100000000000001" customHeight="1">
      <c r="A144" s="595" t="s">
        <v>13231</v>
      </c>
      <c r="B144" s="596" t="s">
        <v>8553</v>
      </c>
      <c r="C144" s="597" t="s">
        <v>12212</v>
      </c>
      <c r="D144" s="598"/>
      <c r="E144" s="599" t="s">
        <v>13232</v>
      </c>
      <c r="F144" s="600" t="s">
        <v>9735</v>
      </c>
      <c r="G144" s="601" t="s">
        <v>12144</v>
      </c>
      <c r="H144" s="601" t="s">
        <v>12144</v>
      </c>
      <c r="I144" s="596" t="s">
        <v>12255</v>
      </c>
      <c r="J144" s="596" t="s">
        <v>107</v>
      </c>
      <c r="K144" s="599" t="s">
        <v>12426</v>
      </c>
      <c r="L144" s="599" t="s">
        <v>12198</v>
      </c>
      <c r="M144" s="602" t="s">
        <v>12199</v>
      </c>
      <c r="N144" s="603" t="s">
        <v>7673</v>
      </c>
      <c r="O144" s="599">
        <v>2048</v>
      </c>
      <c r="P144" s="604">
        <v>0</v>
      </c>
      <c r="Q144" s="604">
        <v>0</v>
      </c>
      <c r="R144" s="605">
        <v>20000</v>
      </c>
      <c r="S144" s="604">
        <v>0</v>
      </c>
      <c r="T144" s="604">
        <v>0</v>
      </c>
      <c r="U144" s="604">
        <v>36400000</v>
      </c>
      <c r="V144" s="605">
        <v>18220000</v>
      </c>
      <c r="W144" s="596"/>
      <c r="X144" s="604">
        <v>0</v>
      </c>
      <c r="Y144" s="604">
        <v>1822000</v>
      </c>
      <c r="Z144" s="604">
        <v>20042000</v>
      </c>
      <c r="AA144" s="604">
        <v>40084344</v>
      </c>
      <c r="AB144" s="604">
        <v>0</v>
      </c>
      <c r="AC144" s="606">
        <v>60126000</v>
      </c>
      <c r="AD144" s="604">
        <v>344</v>
      </c>
      <c r="AE144" s="603">
        <v>2</v>
      </c>
      <c r="AF144" s="607">
        <v>20042344</v>
      </c>
      <c r="AG144" s="608" t="s">
        <v>13233</v>
      </c>
      <c r="AH144" s="608" t="s">
        <v>13207</v>
      </c>
      <c r="AI144" s="603" t="s">
        <v>12144</v>
      </c>
      <c r="AJ144" s="603" t="s">
        <v>12202</v>
      </c>
      <c r="AK144" s="603" t="s">
        <v>12203</v>
      </c>
      <c r="AL144" s="599" t="s">
        <v>13234</v>
      </c>
      <c r="AM144" s="609" t="s">
        <v>13235</v>
      </c>
      <c r="AN144" s="610" t="s">
        <v>8341</v>
      </c>
      <c r="AO144" s="610" t="s">
        <v>12206</v>
      </c>
      <c r="AP144" s="610" t="s">
        <v>12207</v>
      </c>
      <c r="AQ144" s="609" t="s">
        <v>13236</v>
      </c>
      <c r="AR144" s="599" t="s">
        <v>13237</v>
      </c>
      <c r="AS144" s="603" t="s">
        <v>423</v>
      </c>
      <c r="AT144" s="609" t="s">
        <v>13238</v>
      </c>
    </row>
    <row r="145" spans="1:46" ht="22.9" customHeight="1">
      <c r="A145" s="595" t="s">
        <v>13239</v>
      </c>
      <c r="B145" s="596" t="s">
        <v>8553</v>
      </c>
      <c r="C145" s="597" t="s">
        <v>12212</v>
      </c>
      <c r="D145" s="598"/>
      <c r="E145" s="599" t="s">
        <v>13240</v>
      </c>
      <c r="F145" s="600" t="s">
        <v>9735</v>
      </c>
      <c r="G145" s="601" t="s">
        <v>887</v>
      </c>
      <c r="H145" s="601" t="s">
        <v>887</v>
      </c>
      <c r="I145" s="596" t="s">
        <v>12214</v>
      </c>
      <c r="J145" s="596" t="s">
        <v>107</v>
      </c>
      <c r="K145" s="599" t="s">
        <v>12426</v>
      </c>
      <c r="L145" s="599" t="s">
        <v>12198</v>
      </c>
      <c r="M145" s="602" t="s">
        <v>12199</v>
      </c>
      <c r="N145" s="603" t="s">
        <v>7673</v>
      </c>
      <c r="O145" s="599">
        <v>1024</v>
      </c>
      <c r="P145" s="604">
        <v>0</v>
      </c>
      <c r="Q145" s="604">
        <v>0</v>
      </c>
      <c r="R145" s="605">
        <v>20000</v>
      </c>
      <c r="S145" s="604">
        <v>0</v>
      </c>
      <c r="T145" s="604">
        <v>0</v>
      </c>
      <c r="U145" s="604">
        <v>20800000</v>
      </c>
      <c r="V145" s="605">
        <v>10420000</v>
      </c>
      <c r="W145" s="596"/>
      <c r="X145" s="604">
        <v>0</v>
      </c>
      <c r="Y145" s="604">
        <v>1042000</v>
      </c>
      <c r="Z145" s="604">
        <v>11462000</v>
      </c>
      <c r="AA145" s="604">
        <v>22924485</v>
      </c>
      <c r="AB145" s="604">
        <v>0</v>
      </c>
      <c r="AC145" s="606">
        <v>34386000</v>
      </c>
      <c r="AD145" s="604">
        <v>485</v>
      </c>
      <c r="AE145" s="603">
        <v>2</v>
      </c>
      <c r="AF145" s="607">
        <v>11462485</v>
      </c>
      <c r="AG145" s="608" t="s">
        <v>13241</v>
      </c>
      <c r="AH145" s="608" t="s">
        <v>12489</v>
      </c>
      <c r="AI145" s="603" t="s">
        <v>887</v>
      </c>
      <c r="AJ145" s="603" t="s">
        <v>12202</v>
      </c>
      <c r="AK145" s="603" t="s">
        <v>12203</v>
      </c>
      <c r="AL145" s="599" t="s">
        <v>12555</v>
      </c>
      <c r="AM145" s="609" t="s">
        <v>12444</v>
      </c>
      <c r="AN145" s="610" t="s">
        <v>13242</v>
      </c>
      <c r="AO145" s="610" t="s">
        <v>12206</v>
      </c>
      <c r="AP145" s="610" t="s">
        <v>12207</v>
      </c>
      <c r="AQ145" s="609" t="s">
        <v>12566</v>
      </c>
      <c r="AR145" s="599" t="s">
        <v>12567</v>
      </c>
      <c r="AS145" s="603" t="s">
        <v>423</v>
      </c>
      <c r="AT145" s="609" t="s">
        <v>13243</v>
      </c>
    </row>
    <row r="146" spans="1:46" ht="22.9" customHeight="1">
      <c r="A146" s="595" t="s">
        <v>13244</v>
      </c>
      <c r="B146" s="596" t="s">
        <v>8553</v>
      </c>
      <c r="C146" s="597" t="s">
        <v>12212</v>
      </c>
      <c r="D146" s="598"/>
      <c r="E146" s="599" t="s">
        <v>13245</v>
      </c>
      <c r="F146" s="600" t="s">
        <v>9735</v>
      </c>
      <c r="G146" s="601" t="s">
        <v>13246</v>
      </c>
      <c r="H146" s="601" t="s">
        <v>13246</v>
      </c>
      <c r="I146" s="596" t="s">
        <v>12214</v>
      </c>
      <c r="J146" s="596" t="s">
        <v>107</v>
      </c>
      <c r="K146" s="599" t="s">
        <v>12426</v>
      </c>
      <c r="L146" s="599" t="s">
        <v>12198</v>
      </c>
      <c r="M146" s="602" t="s">
        <v>12199</v>
      </c>
      <c r="N146" s="603" t="s">
        <v>7673</v>
      </c>
      <c r="O146" s="599">
        <v>1024</v>
      </c>
      <c r="P146" s="604">
        <v>0</v>
      </c>
      <c r="Q146" s="604">
        <v>0</v>
      </c>
      <c r="R146" s="605">
        <v>20000</v>
      </c>
      <c r="S146" s="604">
        <v>0</v>
      </c>
      <c r="T146" s="604">
        <v>0</v>
      </c>
      <c r="U146" s="604">
        <v>20800000</v>
      </c>
      <c r="V146" s="605">
        <v>10420000</v>
      </c>
      <c r="W146" s="596"/>
      <c r="X146" s="604">
        <v>0</v>
      </c>
      <c r="Y146" s="604">
        <v>1042000</v>
      </c>
      <c r="Z146" s="604">
        <v>11462000</v>
      </c>
      <c r="AA146" s="604">
        <v>22924169</v>
      </c>
      <c r="AB146" s="604">
        <v>0</v>
      </c>
      <c r="AC146" s="606">
        <v>34386000</v>
      </c>
      <c r="AD146" s="604">
        <v>169</v>
      </c>
      <c r="AE146" s="603">
        <v>2</v>
      </c>
      <c r="AF146" s="607">
        <v>11462169</v>
      </c>
      <c r="AG146" s="608" t="s">
        <v>13247</v>
      </c>
      <c r="AH146" s="608" t="s">
        <v>12450</v>
      </c>
      <c r="AI146" s="603" t="s">
        <v>13246</v>
      </c>
      <c r="AJ146" s="603" t="s">
        <v>12202</v>
      </c>
      <c r="AK146" s="603" t="s">
        <v>12203</v>
      </c>
      <c r="AL146" s="599" t="s">
        <v>13248</v>
      </c>
      <c r="AM146" s="609" t="s">
        <v>4940</v>
      </c>
      <c r="AN146" s="610" t="s">
        <v>13249</v>
      </c>
      <c r="AO146" s="610" t="s">
        <v>12206</v>
      </c>
      <c r="AP146" s="610" t="s">
        <v>12207</v>
      </c>
      <c r="AQ146" s="609" t="s">
        <v>12557</v>
      </c>
      <c r="AR146" s="599" t="s">
        <v>12558</v>
      </c>
      <c r="AS146" s="603" t="s">
        <v>423</v>
      </c>
      <c r="AT146" s="609" t="s">
        <v>13250</v>
      </c>
    </row>
    <row r="147" spans="1:46" ht="22.9" customHeight="1">
      <c r="A147" s="595" t="s">
        <v>13251</v>
      </c>
      <c r="B147" s="596" t="s">
        <v>8553</v>
      </c>
      <c r="C147" s="597" t="s">
        <v>12212</v>
      </c>
      <c r="D147" s="598"/>
      <c r="E147" s="599" t="s">
        <v>13252</v>
      </c>
      <c r="F147" s="600" t="s">
        <v>9735</v>
      </c>
      <c r="G147" s="601" t="s">
        <v>13253</v>
      </c>
      <c r="H147" s="601" t="s">
        <v>13253</v>
      </c>
      <c r="I147" s="596" t="s">
        <v>12214</v>
      </c>
      <c r="J147" s="596" t="s">
        <v>107</v>
      </c>
      <c r="K147" s="599" t="s">
        <v>12426</v>
      </c>
      <c r="L147" s="599" t="s">
        <v>12198</v>
      </c>
      <c r="M147" s="602" t="s">
        <v>12199</v>
      </c>
      <c r="N147" s="603" t="s">
        <v>7673</v>
      </c>
      <c r="O147" s="599">
        <v>1024</v>
      </c>
      <c r="P147" s="604">
        <v>0</v>
      </c>
      <c r="Q147" s="604">
        <v>0</v>
      </c>
      <c r="R147" s="605">
        <v>20000</v>
      </c>
      <c r="S147" s="604">
        <v>0</v>
      </c>
      <c r="T147" s="604">
        <v>0</v>
      </c>
      <c r="U147" s="604">
        <v>20800000</v>
      </c>
      <c r="V147" s="605">
        <v>10420000</v>
      </c>
      <c r="W147" s="596"/>
      <c r="X147" s="604">
        <v>0</v>
      </c>
      <c r="Y147" s="604">
        <v>1042000</v>
      </c>
      <c r="Z147" s="604">
        <v>11462000</v>
      </c>
      <c r="AA147" s="604">
        <v>22924055</v>
      </c>
      <c r="AB147" s="604">
        <v>0</v>
      </c>
      <c r="AC147" s="606">
        <v>34386000</v>
      </c>
      <c r="AD147" s="604">
        <v>55</v>
      </c>
      <c r="AE147" s="603">
        <v>2</v>
      </c>
      <c r="AF147" s="607">
        <v>11462055</v>
      </c>
      <c r="AG147" s="608" t="s">
        <v>13254</v>
      </c>
      <c r="AH147" s="608" t="s">
        <v>12618</v>
      </c>
      <c r="AI147" s="603" t="s">
        <v>13253</v>
      </c>
      <c r="AJ147" s="603" t="s">
        <v>12202</v>
      </c>
      <c r="AK147" s="603" t="s">
        <v>12203</v>
      </c>
      <c r="AL147" s="599" t="s">
        <v>13255</v>
      </c>
      <c r="AM147" s="609" t="s">
        <v>12444</v>
      </c>
      <c r="AN147" s="610" t="s">
        <v>13256</v>
      </c>
      <c r="AO147" s="610" t="s">
        <v>12206</v>
      </c>
      <c r="AP147" s="610" t="s">
        <v>12207</v>
      </c>
      <c r="AQ147" s="609" t="s">
        <v>12454</v>
      </c>
      <c r="AR147" s="599" t="s">
        <v>12455</v>
      </c>
      <c r="AS147" s="603" t="s">
        <v>423</v>
      </c>
      <c r="AT147" s="609" t="s">
        <v>13257</v>
      </c>
    </row>
    <row r="148" spans="1:46" ht="22.15" customHeight="1">
      <c r="A148" s="595" t="s">
        <v>13258</v>
      </c>
      <c r="B148" s="596" t="s">
        <v>8553</v>
      </c>
      <c r="C148" s="597" t="s">
        <v>12212</v>
      </c>
      <c r="D148" s="598"/>
      <c r="E148" s="599" t="s">
        <v>13259</v>
      </c>
      <c r="F148" s="600" t="s">
        <v>9735</v>
      </c>
      <c r="G148" s="601" t="s">
        <v>873</v>
      </c>
      <c r="H148" s="601" t="s">
        <v>873</v>
      </c>
      <c r="I148" s="596" t="s">
        <v>12255</v>
      </c>
      <c r="J148" s="596" t="s">
        <v>335</v>
      </c>
      <c r="K148" s="599" t="s">
        <v>12197</v>
      </c>
      <c r="L148" s="599" t="s">
        <v>12198</v>
      </c>
      <c r="M148" s="602" t="s">
        <v>12199</v>
      </c>
      <c r="N148" s="603" t="s">
        <v>7673</v>
      </c>
      <c r="O148" s="599">
        <v>2048</v>
      </c>
      <c r="P148" s="604">
        <v>0</v>
      </c>
      <c r="Q148" s="604">
        <v>0</v>
      </c>
      <c r="R148" s="605">
        <v>20000</v>
      </c>
      <c r="S148" s="604">
        <v>0</v>
      </c>
      <c r="T148" s="604">
        <v>0</v>
      </c>
      <c r="U148" s="604">
        <v>15680000</v>
      </c>
      <c r="V148" s="605">
        <v>7860000</v>
      </c>
      <c r="W148" s="596"/>
      <c r="X148" s="604">
        <v>0</v>
      </c>
      <c r="Y148" s="604">
        <v>786000</v>
      </c>
      <c r="Z148" s="604">
        <v>8646000</v>
      </c>
      <c r="AA148" s="604">
        <v>17292836</v>
      </c>
      <c r="AB148" s="604">
        <v>0</v>
      </c>
      <c r="AC148" s="606">
        <v>25938000</v>
      </c>
      <c r="AD148" s="604">
        <v>836</v>
      </c>
      <c r="AE148" s="603">
        <v>2</v>
      </c>
      <c r="AF148" s="607">
        <v>8646836</v>
      </c>
      <c r="AG148" s="608" t="s">
        <v>13260</v>
      </c>
      <c r="AH148" s="608" t="s">
        <v>13261</v>
      </c>
      <c r="AI148" s="603" t="s">
        <v>873</v>
      </c>
      <c r="AJ148" s="603" t="s">
        <v>12202</v>
      </c>
      <c r="AK148" s="603" t="s">
        <v>12203</v>
      </c>
      <c r="AL148" s="599" t="s">
        <v>12555</v>
      </c>
      <c r="AM148" s="609" t="s">
        <v>4940</v>
      </c>
      <c r="AN148" s="610" t="s">
        <v>12565</v>
      </c>
      <c r="AO148" s="610" t="s">
        <v>12206</v>
      </c>
      <c r="AP148" s="610" t="s">
        <v>12207</v>
      </c>
      <c r="AQ148" s="609" t="s">
        <v>12557</v>
      </c>
      <c r="AR148" s="599" t="s">
        <v>12558</v>
      </c>
      <c r="AS148" s="603" t="s">
        <v>423</v>
      </c>
      <c r="AT148" s="609" t="s">
        <v>13262</v>
      </c>
    </row>
    <row r="149" spans="1:46" ht="22.9" customHeight="1">
      <c r="A149" s="595" t="s">
        <v>13263</v>
      </c>
      <c r="B149" s="596" t="s">
        <v>8553</v>
      </c>
      <c r="C149" s="597" t="s">
        <v>12212</v>
      </c>
      <c r="D149" s="598"/>
      <c r="E149" s="599" t="s">
        <v>13240</v>
      </c>
      <c r="F149" s="600" t="s">
        <v>9735</v>
      </c>
      <c r="G149" s="601" t="s">
        <v>13264</v>
      </c>
      <c r="H149" s="601" t="s">
        <v>13264</v>
      </c>
      <c r="I149" s="596" t="s">
        <v>12225</v>
      </c>
      <c r="J149" s="596" t="s">
        <v>335</v>
      </c>
      <c r="K149" s="599" t="s">
        <v>12197</v>
      </c>
      <c r="L149" s="599" t="s">
        <v>12198</v>
      </c>
      <c r="M149" s="602" t="s">
        <v>12199</v>
      </c>
      <c r="N149" s="603" t="s">
        <v>7673</v>
      </c>
      <c r="O149" s="599">
        <v>512</v>
      </c>
      <c r="P149" s="604">
        <v>0</v>
      </c>
      <c r="Q149" s="604">
        <v>0</v>
      </c>
      <c r="R149" s="605">
        <v>20000</v>
      </c>
      <c r="S149" s="604">
        <v>0</v>
      </c>
      <c r="T149" s="604">
        <v>0</v>
      </c>
      <c r="U149" s="604">
        <v>4480000</v>
      </c>
      <c r="V149" s="605">
        <v>2260000</v>
      </c>
      <c r="W149" s="596"/>
      <c r="X149" s="604">
        <v>0</v>
      </c>
      <c r="Y149" s="604">
        <v>226000</v>
      </c>
      <c r="Z149" s="604">
        <v>2486000</v>
      </c>
      <c r="AA149" s="604">
        <v>4972557</v>
      </c>
      <c r="AB149" s="604">
        <v>0</v>
      </c>
      <c r="AC149" s="606">
        <v>7458000</v>
      </c>
      <c r="AD149" s="604">
        <v>557</v>
      </c>
      <c r="AE149" s="603">
        <v>2</v>
      </c>
      <c r="AF149" s="607">
        <v>2486557</v>
      </c>
      <c r="AG149" s="608" t="s">
        <v>13265</v>
      </c>
      <c r="AH149" s="608" t="s">
        <v>13037</v>
      </c>
      <c r="AI149" s="603" t="s">
        <v>13264</v>
      </c>
      <c r="AJ149" s="603" t="s">
        <v>12202</v>
      </c>
      <c r="AK149" s="603" t="s">
        <v>12203</v>
      </c>
      <c r="AL149" s="599" t="s">
        <v>13266</v>
      </c>
      <c r="AM149" s="609" t="s">
        <v>13267</v>
      </c>
      <c r="AN149" s="610" t="s">
        <v>13268</v>
      </c>
      <c r="AO149" s="610" t="s">
        <v>12206</v>
      </c>
      <c r="AP149" s="610" t="s">
        <v>12207</v>
      </c>
      <c r="AQ149" s="609" t="s">
        <v>12542</v>
      </c>
      <c r="AR149" s="599" t="s">
        <v>12543</v>
      </c>
      <c r="AS149" s="603" t="s">
        <v>423</v>
      </c>
      <c r="AT149" s="609" t="s">
        <v>13269</v>
      </c>
    </row>
    <row r="150" spans="1:46" ht="22.9" customHeight="1">
      <c r="A150" s="595" t="s">
        <v>13270</v>
      </c>
      <c r="B150" s="596" t="s">
        <v>8553</v>
      </c>
      <c r="C150" s="597" t="s">
        <v>12212</v>
      </c>
      <c r="D150" s="598"/>
      <c r="E150" s="599"/>
      <c r="F150" s="600" t="s">
        <v>9735</v>
      </c>
      <c r="G150" s="601" t="s">
        <v>13271</v>
      </c>
      <c r="H150" s="601" t="s">
        <v>13271</v>
      </c>
      <c r="I150" s="596" t="s">
        <v>12214</v>
      </c>
      <c r="J150" s="596" t="s">
        <v>107</v>
      </c>
      <c r="K150" s="599" t="s">
        <v>12426</v>
      </c>
      <c r="L150" s="599" t="s">
        <v>12198</v>
      </c>
      <c r="M150" s="602" t="s">
        <v>12199</v>
      </c>
      <c r="N150" s="603" t="s">
        <v>7673</v>
      </c>
      <c r="O150" s="599">
        <v>1024</v>
      </c>
      <c r="P150" s="604">
        <v>0</v>
      </c>
      <c r="Q150" s="604">
        <v>0</v>
      </c>
      <c r="R150" s="605">
        <v>20000</v>
      </c>
      <c r="S150" s="604">
        <v>0</v>
      </c>
      <c r="T150" s="604">
        <v>0</v>
      </c>
      <c r="U150" s="604">
        <v>20800000</v>
      </c>
      <c r="V150" s="605">
        <v>10420000</v>
      </c>
      <c r="W150" s="596"/>
      <c r="X150" s="604">
        <v>0</v>
      </c>
      <c r="Y150" s="604">
        <v>1042000</v>
      </c>
      <c r="Z150" s="604">
        <v>11462000</v>
      </c>
      <c r="AA150" s="604">
        <v>22924575</v>
      </c>
      <c r="AB150" s="604">
        <v>0</v>
      </c>
      <c r="AC150" s="606">
        <v>34386000</v>
      </c>
      <c r="AD150" s="604">
        <v>575</v>
      </c>
      <c r="AE150" s="603">
        <v>2</v>
      </c>
      <c r="AF150" s="607">
        <v>11462575</v>
      </c>
      <c r="AG150" s="608" t="s">
        <v>13272</v>
      </c>
      <c r="AH150" s="608" t="s">
        <v>12466</v>
      </c>
      <c r="AI150" s="603" t="s">
        <v>13271</v>
      </c>
      <c r="AJ150" s="603" t="s">
        <v>12202</v>
      </c>
      <c r="AK150" s="603" t="s">
        <v>12203</v>
      </c>
      <c r="AL150" s="599" t="s">
        <v>12555</v>
      </c>
      <c r="AM150" s="609" t="s">
        <v>12444</v>
      </c>
      <c r="AN150" s="610" t="s">
        <v>12588</v>
      </c>
      <c r="AO150" s="610" t="s">
        <v>12206</v>
      </c>
      <c r="AP150" s="610" t="s">
        <v>12207</v>
      </c>
      <c r="AQ150" s="609" t="s">
        <v>12362</v>
      </c>
      <c r="AR150" s="599" t="s">
        <v>12363</v>
      </c>
      <c r="AS150" s="603" t="s">
        <v>423</v>
      </c>
      <c r="AT150" s="609" t="s">
        <v>13273</v>
      </c>
    </row>
    <row r="151" spans="1:46" ht="22.15" customHeight="1">
      <c r="A151" s="595" t="s">
        <v>13274</v>
      </c>
      <c r="B151" s="596" t="s">
        <v>8553</v>
      </c>
      <c r="C151" s="597" t="s">
        <v>12212</v>
      </c>
      <c r="D151" s="598"/>
      <c r="E151" s="599" t="s">
        <v>13275</v>
      </c>
      <c r="F151" s="600" t="s">
        <v>9735</v>
      </c>
      <c r="G151" s="601" t="s">
        <v>13276</v>
      </c>
      <c r="H151" s="601" t="s">
        <v>13276</v>
      </c>
      <c r="I151" s="596" t="s">
        <v>12214</v>
      </c>
      <c r="J151" s="596" t="s">
        <v>107</v>
      </c>
      <c r="K151" s="599" t="s">
        <v>12426</v>
      </c>
      <c r="L151" s="599" t="s">
        <v>12198</v>
      </c>
      <c r="M151" s="602" t="s">
        <v>12199</v>
      </c>
      <c r="N151" s="603" t="s">
        <v>7673</v>
      </c>
      <c r="O151" s="599">
        <v>1024</v>
      </c>
      <c r="P151" s="604">
        <v>0</v>
      </c>
      <c r="Q151" s="604">
        <v>0</v>
      </c>
      <c r="R151" s="605">
        <v>20000</v>
      </c>
      <c r="S151" s="604">
        <v>0</v>
      </c>
      <c r="T151" s="604">
        <v>0</v>
      </c>
      <c r="U151" s="604">
        <v>20800000</v>
      </c>
      <c r="V151" s="605">
        <v>10420000</v>
      </c>
      <c r="W151" s="596"/>
      <c r="X151" s="604">
        <v>0</v>
      </c>
      <c r="Y151" s="604">
        <v>1042000</v>
      </c>
      <c r="Z151" s="604">
        <v>11462000</v>
      </c>
      <c r="AA151" s="604">
        <v>22924728</v>
      </c>
      <c r="AB151" s="604">
        <v>0</v>
      </c>
      <c r="AC151" s="606">
        <v>34386000</v>
      </c>
      <c r="AD151" s="604">
        <v>728</v>
      </c>
      <c r="AE151" s="603">
        <v>2</v>
      </c>
      <c r="AF151" s="607">
        <v>11462728</v>
      </c>
      <c r="AG151" s="608" t="s">
        <v>13277</v>
      </c>
      <c r="AH151" s="608" t="s">
        <v>12618</v>
      </c>
      <c r="AI151" s="603" t="s">
        <v>13276</v>
      </c>
      <c r="AJ151" s="603" t="s">
        <v>12202</v>
      </c>
      <c r="AK151" s="603" t="s">
        <v>12203</v>
      </c>
      <c r="AL151" s="599" t="s">
        <v>12983</v>
      </c>
      <c r="AM151" s="609" t="s">
        <v>12444</v>
      </c>
      <c r="AN151" s="610" t="s">
        <v>13278</v>
      </c>
      <c r="AO151" s="610" t="s">
        <v>12206</v>
      </c>
      <c r="AP151" s="610" t="s">
        <v>12207</v>
      </c>
      <c r="AQ151" s="609" t="s">
        <v>13065</v>
      </c>
      <c r="AR151" s="599" t="s">
        <v>13066</v>
      </c>
      <c r="AS151" s="603" t="s">
        <v>423</v>
      </c>
      <c r="AT151" s="609" t="s">
        <v>13279</v>
      </c>
    </row>
    <row r="152" spans="1:46" ht="22.9" customHeight="1">
      <c r="A152" s="595" t="s">
        <v>13280</v>
      </c>
      <c r="B152" s="596" t="s">
        <v>8553</v>
      </c>
      <c r="C152" s="597" t="s">
        <v>12212</v>
      </c>
      <c r="D152" s="598"/>
      <c r="E152" s="599" t="s">
        <v>13281</v>
      </c>
      <c r="F152" s="600" t="s">
        <v>9735</v>
      </c>
      <c r="G152" s="601" t="s">
        <v>13282</v>
      </c>
      <c r="H152" s="601" t="s">
        <v>13282</v>
      </c>
      <c r="I152" s="596" t="s">
        <v>12214</v>
      </c>
      <c r="J152" s="596" t="s">
        <v>107</v>
      </c>
      <c r="K152" s="599" t="s">
        <v>12426</v>
      </c>
      <c r="L152" s="599" t="s">
        <v>12198</v>
      </c>
      <c r="M152" s="602" t="s">
        <v>12199</v>
      </c>
      <c r="N152" s="603" t="s">
        <v>7673</v>
      </c>
      <c r="O152" s="599">
        <v>1024</v>
      </c>
      <c r="P152" s="604">
        <v>0</v>
      </c>
      <c r="Q152" s="604">
        <v>0</v>
      </c>
      <c r="R152" s="605">
        <v>20000</v>
      </c>
      <c r="S152" s="604">
        <v>0</v>
      </c>
      <c r="T152" s="604">
        <v>0</v>
      </c>
      <c r="U152" s="604">
        <v>20800000</v>
      </c>
      <c r="V152" s="605">
        <v>10420000</v>
      </c>
      <c r="W152" s="596"/>
      <c r="X152" s="604">
        <v>0</v>
      </c>
      <c r="Y152" s="604">
        <v>1042000</v>
      </c>
      <c r="Z152" s="604">
        <v>11462000</v>
      </c>
      <c r="AA152" s="604">
        <v>22924830</v>
      </c>
      <c r="AB152" s="604">
        <v>0</v>
      </c>
      <c r="AC152" s="606">
        <v>34386000</v>
      </c>
      <c r="AD152" s="604">
        <v>830</v>
      </c>
      <c r="AE152" s="603">
        <v>2</v>
      </c>
      <c r="AF152" s="607">
        <v>11462830</v>
      </c>
      <c r="AG152" s="608" t="s">
        <v>13283</v>
      </c>
      <c r="AH152" s="608" t="s">
        <v>12483</v>
      </c>
      <c r="AI152" s="603" t="s">
        <v>13282</v>
      </c>
      <c r="AJ152" s="603" t="s">
        <v>12202</v>
      </c>
      <c r="AK152" s="603" t="s">
        <v>12203</v>
      </c>
      <c r="AL152" s="599" t="s">
        <v>12611</v>
      </c>
      <c r="AM152" s="609" t="s">
        <v>12444</v>
      </c>
      <c r="AN152" s="610" t="s">
        <v>13284</v>
      </c>
      <c r="AO152" s="610" t="s">
        <v>12206</v>
      </c>
      <c r="AP152" s="610" t="s">
        <v>12207</v>
      </c>
      <c r="AQ152" s="609" t="s">
        <v>12438</v>
      </c>
      <c r="AR152" s="599" t="s">
        <v>12439</v>
      </c>
      <c r="AS152" s="603" t="s">
        <v>423</v>
      </c>
      <c r="AT152" s="609" t="s">
        <v>13285</v>
      </c>
    </row>
    <row r="153" spans="1:46" ht="22.9" customHeight="1">
      <c r="A153" s="595" t="s">
        <v>13286</v>
      </c>
      <c r="B153" s="596" t="s">
        <v>8553</v>
      </c>
      <c r="C153" s="597" t="s">
        <v>12212</v>
      </c>
      <c r="D153" s="598"/>
      <c r="E153" s="599" t="s">
        <v>13287</v>
      </c>
      <c r="F153" s="600" t="s">
        <v>9735</v>
      </c>
      <c r="G153" s="601" t="s">
        <v>13288</v>
      </c>
      <c r="H153" s="601" t="s">
        <v>13288</v>
      </c>
      <c r="I153" s="596" t="s">
        <v>12214</v>
      </c>
      <c r="J153" s="596" t="s">
        <v>107</v>
      </c>
      <c r="K153" s="599" t="s">
        <v>12426</v>
      </c>
      <c r="L153" s="599" t="s">
        <v>12198</v>
      </c>
      <c r="M153" s="602" t="s">
        <v>12199</v>
      </c>
      <c r="N153" s="603" t="s">
        <v>7673</v>
      </c>
      <c r="O153" s="599">
        <v>1024</v>
      </c>
      <c r="P153" s="604">
        <v>0</v>
      </c>
      <c r="Q153" s="604">
        <v>0</v>
      </c>
      <c r="R153" s="605">
        <v>20000</v>
      </c>
      <c r="S153" s="604">
        <v>0</v>
      </c>
      <c r="T153" s="604">
        <v>0</v>
      </c>
      <c r="U153" s="604">
        <v>20800000</v>
      </c>
      <c r="V153" s="605">
        <v>10420000</v>
      </c>
      <c r="W153" s="596"/>
      <c r="X153" s="604">
        <v>0</v>
      </c>
      <c r="Y153" s="604">
        <v>1042000</v>
      </c>
      <c r="Z153" s="604">
        <v>11462000</v>
      </c>
      <c r="AA153" s="604">
        <v>22924594</v>
      </c>
      <c r="AB153" s="604">
        <v>0</v>
      </c>
      <c r="AC153" s="606">
        <v>34386000</v>
      </c>
      <c r="AD153" s="604">
        <v>594</v>
      </c>
      <c r="AE153" s="603">
        <v>2</v>
      </c>
      <c r="AF153" s="607">
        <v>11462594</v>
      </c>
      <c r="AG153" s="608" t="s">
        <v>13289</v>
      </c>
      <c r="AH153" s="608" t="s">
        <v>12450</v>
      </c>
      <c r="AI153" s="603" t="s">
        <v>13288</v>
      </c>
      <c r="AJ153" s="603" t="s">
        <v>12202</v>
      </c>
      <c r="AK153" s="603" t="s">
        <v>12203</v>
      </c>
      <c r="AL153" s="599" t="s">
        <v>12611</v>
      </c>
      <c r="AM153" s="609" t="s">
        <v>12444</v>
      </c>
      <c r="AN153" s="610" t="s">
        <v>8836</v>
      </c>
      <c r="AO153" s="610" t="s">
        <v>12206</v>
      </c>
      <c r="AP153" s="610" t="s">
        <v>12207</v>
      </c>
      <c r="AQ153" s="609" t="s">
        <v>12604</v>
      </c>
      <c r="AR153" s="599" t="s">
        <v>12605</v>
      </c>
      <c r="AS153" s="603" t="s">
        <v>423</v>
      </c>
      <c r="AT153" s="609" t="s">
        <v>13290</v>
      </c>
    </row>
    <row r="154" spans="1:46" ht="22.9" customHeight="1">
      <c r="A154" s="595" t="s">
        <v>13291</v>
      </c>
      <c r="B154" s="596" t="s">
        <v>8553</v>
      </c>
      <c r="C154" s="597" t="s">
        <v>12212</v>
      </c>
      <c r="D154" s="598"/>
      <c r="E154" s="599" t="s">
        <v>13292</v>
      </c>
      <c r="F154" s="600" t="s">
        <v>9735</v>
      </c>
      <c r="G154" s="601" t="s">
        <v>13293</v>
      </c>
      <c r="H154" s="601" t="s">
        <v>13293</v>
      </c>
      <c r="I154" s="596" t="s">
        <v>12214</v>
      </c>
      <c r="J154" s="596" t="s">
        <v>107</v>
      </c>
      <c r="K154" s="599" t="s">
        <v>12426</v>
      </c>
      <c r="L154" s="599" t="s">
        <v>12198</v>
      </c>
      <c r="M154" s="602" t="s">
        <v>12199</v>
      </c>
      <c r="N154" s="603" t="s">
        <v>7673</v>
      </c>
      <c r="O154" s="599">
        <v>1024</v>
      </c>
      <c r="P154" s="604">
        <v>0</v>
      </c>
      <c r="Q154" s="604">
        <v>0</v>
      </c>
      <c r="R154" s="605">
        <v>20000</v>
      </c>
      <c r="S154" s="604">
        <v>0</v>
      </c>
      <c r="T154" s="604">
        <v>0</v>
      </c>
      <c r="U154" s="604">
        <v>20800000</v>
      </c>
      <c r="V154" s="605">
        <v>10420000</v>
      </c>
      <c r="W154" s="596"/>
      <c r="X154" s="604">
        <v>0</v>
      </c>
      <c r="Y154" s="604">
        <v>1042000</v>
      </c>
      <c r="Z154" s="604">
        <v>11462000</v>
      </c>
      <c r="AA154" s="604">
        <v>22924177</v>
      </c>
      <c r="AB154" s="604">
        <v>0</v>
      </c>
      <c r="AC154" s="606">
        <v>34386000</v>
      </c>
      <c r="AD154" s="604">
        <v>177</v>
      </c>
      <c r="AE154" s="603">
        <v>2</v>
      </c>
      <c r="AF154" s="607">
        <v>11462177</v>
      </c>
      <c r="AG154" s="608" t="s">
        <v>13294</v>
      </c>
      <c r="AH154" s="608" t="s">
        <v>12489</v>
      </c>
      <c r="AI154" s="603" t="s">
        <v>13293</v>
      </c>
      <c r="AJ154" s="603" t="s">
        <v>12202</v>
      </c>
      <c r="AK154" s="603" t="s">
        <v>12203</v>
      </c>
      <c r="AL154" s="599" t="s">
        <v>13295</v>
      </c>
      <c r="AM154" s="609" t="s">
        <v>12444</v>
      </c>
      <c r="AN154" s="610" t="s">
        <v>13296</v>
      </c>
      <c r="AO154" s="610" t="s">
        <v>12206</v>
      </c>
      <c r="AP154" s="610" t="s">
        <v>12207</v>
      </c>
      <c r="AQ154" s="609" t="s">
        <v>12557</v>
      </c>
      <c r="AR154" s="599" t="s">
        <v>12558</v>
      </c>
      <c r="AS154" s="603" t="s">
        <v>423</v>
      </c>
      <c r="AT154" s="609" t="s">
        <v>13297</v>
      </c>
    </row>
    <row r="155" spans="1:46" ht="17.100000000000001" customHeight="1">
      <c r="A155" s="595" t="s">
        <v>13298</v>
      </c>
      <c r="B155" s="596" t="s">
        <v>8553</v>
      </c>
      <c r="C155" s="597" t="s">
        <v>12212</v>
      </c>
      <c r="D155" s="598"/>
      <c r="E155" s="599"/>
      <c r="F155" s="600" t="s">
        <v>9735</v>
      </c>
      <c r="G155" s="601" t="s">
        <v>13299</v>
      </c>
      <c r="H155" s="601" t="s">
        <v>13299</v>
      </c>
      <c r="I155" s="596" t="s">
        <v>12214</v>
      </c>
      <c r="J155" s="596" t="s">
        <v>107</v>
      </c>
      <c r="K155" s="599" t="s">
        <v>12426</v>
      </c>
      <c r="L155" s="599" t="s">
        <v>12198</v>
      </c>
      <c r="M155" s="602" t="s">
        <v>12199</v>
      </c>
      <c r="N155" s="603" t="s">
        <v>7673</v>
      </c>
      <c r="O155" s="599">
        <v>1024</v>
      </c>
      <c r="P155" s="604">
        <v>0</v>
      </c>
      <c r="Q155" s="604">
        <v>0</v>
      </c>
      <c r="R155" s="605">
        <v>20000</v>
      </c>
      <c r="S155" s="604">
        <v>0</v>
      </c>
      <c r="T155" s="604">
        <v>0</v>
      </c>
      <c r="U155" s="604">
        <v>20800000</v>
      </c>
      <c r="V155" s="605">
        <v>10420000</v>
      </c>
      <c r="W155" s="596"/>
      <c r="X155" s="604">
        <v>0</v>
      </c>
      <c r="Y155" s="604">
        <v>1042000</v>
      </c>
      <c r="Z155" s="604">
        <v>11462000</v>
      </c>
      <c r="AA155" s="604">
        <v>22924575</v>
      </c>
      <c r="AB155" s="604">
        <v>0</v>
      </c>
      <c r="AC155" s="606">
        <v>34386000</v>
      </c>
      <c r="AD155" s="604">
        <v>575</v>
      </c>
      <c r="AE155" s="603">
        <v>2</v>
      </c>
      <c r="AF155" s="607">
        <v>11462575</v>
      </c>
      <c r="AG155" s="608" t="s">
        <v>13300</v>
      </c>
      <c r="AH155" s="608" t="s">
        <v>12450</v>
      </c>
      <c r="AI155" s="603" t="s">
        <v>13299</v>
      </c>
      <c r="AJ155" s="603" t="s">
        <v>12202</v>
      </c>
      <c r="AK155" s="603" t="s">
        <v>12203</v>
      </c>
      <c r="AL155" s="599" t="s">
        <v>13301</v>
      </c>
      <c r="AM155" s="609" t="s">
        <v>12444</v>
      </c>
      <c r="AN155" s="610" t="s">
        <v>12588</v>
      </c>
      <c r="AO155" s="610" t="s">
        <v>12206</v>
      </c>
      <c r="AP155" s="610" t="s">
        <v>12207</v>
      </c>
      <c r="AQ155" s="609" t="s">
        <v>12362</v>
      </c>
      <c r="AR155" s="599" t="s">
        <v>12363</v>
      </c>
      <c r="AS155" s="603" t="s">
        <v>423</v>
      </c>
      <c r="AT155" s="609" t="s">
        <v>13302</v>
      </c>
    </row>
    <row r="156" spans="1:46" ht="22.9" customHeight="1">
      <c r="A156" s="595" t="s">
        <v>13303</v>
      </c>
      <c r="B156" s="596" t="s">
        <v>8553</v>
      </c>
      <c r="C156" s="597" t="s">
        <v>12212</v>
      </c>
      <c r="D156" s="598"/>
      <c r="E156" s="599" t="s">
        <v>13304</v>
      </c>
      <c r="F156" s="600" t="s">
        <v>9735</v>
      </c>
      <c r="G156" s="601" t="s">
        <v>13305</v>
      </c>
      <c r="H156" s="601" t="s">
        <v>13305</v>
      </c>
      <c r="I156" s="596" t="s">
        <v>12214</v>
      </c>
      <c r="J156" s="596" t="s">
        <v>107</v>
      </c>
      <c r="K156" s="599" t="s">
        <v>12426</v>
      </c>
      <c r="L156" s="599" t="s">
        <v>12198</v>
      </c>
      <c r="M156" s="602" t="s">
        <v>12199</v>
      </c>
      <c r="N156" s="603" t="s">
        <v>7673</v>
      </c>
      <c r="O156" s="599">
        <v>1024</v>
      </c>
      <c r="P156" s="604">
        <v>0</v>
      </c>
      <c r="Q156" s="604">
        <v>0</v>
      </c>
      <c r="R156" s="605">
        <v>20000</v>
      </c>
      <c r="S156" s="604">
        <v>0</v>
      </c>
      <c r="T156" s="604">
        <v>0</v>
      </c>
      <c r="U156" s="604">
        <v>20800000</v>
      </c>
      <c r="V156" s="605">
        <v>10420000</v>
      </c>
      <c r="W156" s="596"/>
      <c r="X156" s="604">
        <v>0</v>
      </c>
      <c r="Y156" s="604">
        <v>1042000</v>
      </c>
      <c r="Z156" s="604">
        <v>11462000</v>
      </c>
      <c r="AA156" s="604">
        <v>22924533</v>
      </c>
      <c r="AB156" s="604">
        <v>0</v>
      </c>
      <c r="AC156" s="606">
        <v>34386000</v>
      </c>
      <c r="AD156" s="604">
        <v>533</v>
      </c>
      <c r="AE156" s="603">
        <v>2</v>
      </c>
      <c r="AF156" s="607">
        <v>11462533</v>
      </c>
      <c r="AG156" s="608" t="s">
        <v>13306</v>
      </c>
      <c r="AH156" s="608" t="s">
        <v>12459</v>
      </c>
      <c r="AI156" s="603" t="s">
        <v>13305</v>
      </c>
      <c r="AJ156" s="603" t="s">
        <v>12202</v>
      </c>
      <c r="AK156" s="603" t="s">
        <v>12203</v>
      </c>
      <c r="AL156" s="599" t="s">
        <v>12611</v>
      </c>
      <c r="AM156" s="609" t="s">
        <v>12444</v>
      </c>
      <c r="AN156" s="610" t="s">
        <v>13307</v>
      </c>
      <c r="AO156" s="610" t="s">
        <v>12206</v>
      </c>
      <c r="AP156" s="610" t="s">
        <v>12207</v>
      </c>
      <c r="AQ156" s="609" t="s">
        <v>13016</v>
      </c>
      <c r="AR156" s="599" t="s">
        <v>13017</v>
      </c>
      <c r="AS156" s="603" t="s">
        <v>423</v>
      </c>
      <c r="AT156" s="609" t="s">
        <v>13308</v>
      </c>
    </row>
    <row r="157" spans="1:46" ht="17.850000000000001" customHeight="1">
      <c r="A157" s="595" t="s">
        <v>13309</v>
      </c>
      <c r="B157" s="596" t="s">
        <v>8553</v>
      </c>
      <c r="C157" s="597" t="s">
        <v>12212</v>
      </c>
      <c r="D157" s="598"/>
      <c r="E157" s="599"/>
      <c r="F157" s="600" t="s">
        <v>9735</v>
      </c>
      <c r="G157" s="601" t="s">
        <v>697</v>
      </c>
      <c r="H157" s="601" t="s">
        <v>697</v>
      </c>
      <c r="I157" s="596" t="s">
        <v>12214</v>
      </c>
      <c r="J157" s="596" t="s">
        <v>107</v>
      </c>
      <c r="K157" s="599" t="s">
        <v>12426</v>
      </c>
      <c r="L157" s="599" t="s">
        <v>12198</v>
      </c>
      <c r="M157" s="602" t="s">
        <v>12199</v>
      </c>
      <c r="N157" s="603" t="s">
        <v>7673</v>
      </c>
      <c r="O157" s="599">
        <v>1024</v>
      </c>
      <c r="P157" s="604">
        <v>0</v>
      </c>
      <c r="Q157" s="604">
        <v>0</v>
      </c>
      <c r="R157" s="605">
        <v>20000</v>
      </c>
      <c r="S157" s="604">
        <v>0</v>
      </c>
      <c r="T157" s="604">
        <v>0</v>
      </c>
      <c r="U157" s="604">
        <v>20800000</v>
      </c>
      <c r="V157" s="605">
        <v>10420000</v>
      </c>
      <c r="W157" s="596"/>
      <c r="X157" s="604">
        <v>0</v>
      </c>
      <c r="Y157" s="604">
        <v>1042000</v>
      </c>
      <c r="Z157" s="604">
        <v>11462000</v>
      </c>
      <c r="AA157" s="604">
        <v>22924328</v>
      </c>
      <c r="AB157" s="604">
        <v>0</v>
      </c>
      <c r="AC157" s="606">
        <v>34386000</v>
      </c>
      <c r="AD157" s="604">
        <v>328</v>
      </c>
      <c r="AE157" s="603">
        <v>2</v>
      </c>
      <c r="AF157" s="607">
        <v>11462328</v>
      </c>
      <c r="AG157" s="608" t="s">
        <v>13310</v>
      </c>
      <c r="AH157" s="608" t="s">
        <v>12466</v>
      </c>
      <c r="AI157" s="603" t="s">
        <v>697</v>
      </c>
      <c r="AJ157" s="603" t="s">
        <v>12202</v>
      </c>
      <c r="AK157" s="603" t="s">
        <v>12203</v>
      </c>
      <c r="AL157" s="599" t="s">
        <v>13311</v>
      </c>
      <c r="AM157" s="609" t="s">
        <v>12444</v>
      </c>
      <c r="AN157" s="610" t="s">
        <v>12771</v>
      </c>
      <c r="AO157" s="610" t="s">
        <v>12206</v>
      </c>
      <c r="AP157" s="610" t="s">
        <v>12207</v>
      </c>
      <c r="AQ157" s="609" t="s">
        <v>12337</v>
      </c>
      <c r="AR157" s="599" t="s">
        <v>12338</v>
      </c>
      <c r="AS157" s="603" t="s">
        <v>423</v>
      </c>
      <c r="AT157" s="609" t="s">
        <v>13312</v>
      </c>
    </row>
    <row r="158" spans="1:46" ht="17.100000000000001" customHeight="1">
      <c r="A158" s="595" t="s">
        <v>13313</v>
      </c>
      <c r="B158" s="596" t="s">
        <v>8553</v>
      </c>
      <c r="C158" s="597" t="s">
        <v>12212</v>
      </c>
      <c r="D158" s="598"/>
      <c r="E158" s="599"/>
      <c r="F158" s="600" t="s">
        <v>9735</v>
      </c>
      <c r="G158" s="601" t="s">
        <v>13314</v>
      </c>
      <c r="H158" s="601" t="s">
        <v>13314</v>
      </c>
      <c r="I158" s="596" t="s">
        <v>12214</v>
      </c>
      <c r="J158" s="596" t="s">
        <v>107</v>
      </c>
      <c r="K158" s="599" t="s">
        <v>12426</v>
      </c>
      <c r="L158" s="599" t="s">
        <v>12198</v>
      </c>
      <c r="M158" s="602" t="s">
        <v>12199</v>
      </c>
      <c r="N158" s="603" t="s">
        <v>7673</v>
      </c>
      <c r="O158" s="599">
        <v>1024</v>
      </c>
      <c r="P158" s="604">
        <v>0</v>
      </c>
      <c r="Q158" s="604">
        <v>0</v>
      </c>
      <c r="R158" s="605">
        <v>20000</v>
      </c>
      <c r="S158" s="604">
        <v>0</v>
      </c>
      <c r="T158" s="604">
        <v>0</v>
      </c>
      <c r="U158" s="604">
        <v>20800000</v>
      </c>
      <c r="V158" s="605">
        <v>10420000</v>
      </c>
      <c r="W158" s="596"/>
      <c r="X158" s="604">
        <v>0</v>
      </c>
      <c r="Y158" s="604">
        <v>1042000</v>
      </c>
      <c r="Z158" s="604">
        <v>11462000</v>
      </c>
      <c r="AA158" s="604">
        <v>22924170</v>
      </c>
      <c r="AB158" s="604">
        <v>0</v>
      </c>
      <c r="AC158" s="606">
        <v>34386000</v>
      </c>
      <c r="AD158" s="604">
        <v>170</v>
      </c>
      <c r="AE158" s="603">
        <v>2</v>
      </c>
      <c r="AF158" s="607">
        <v>11462170</v>
      </c>
      <c r="AG158" s="608" t="s">
        <v>13315</v>
      </c>
      <c r="AH158" s="608" t="s">
        <v>12459</v>
      </c>
      <c r="AI158" s="603" t="s">
        <v>13314</v>
      </c>
      <c r="AJ158" s="603" t="s">
        <v>12202</v>
      </c>
      <c r="AK158" s="603" t="s">
        <v>12203</v>
      </c>
      <c r="AL158" s="599" t="s">
        <v>13316</v>
      </c>
      <c r="AM158" s="609" t="s">
        <v>12444</v>
      </c>
      <c r="AN158" s="610" t="s">
        <v>12588</v>
      </c>
      <c r="AO158" s="610" t="s">
        <v>12206</v>
      </c>
      <c r="AP158" s="610" t="s">
        <v>12207</v>
      </c>
      <c r="AQ158" s="609" t="s">
        <v>12240</v>
      </c>
      <c r="AR158" s="599" t="s">
        <v>12241</v>
      </c>
      <c r="AS158" s="603" t="s">
        <v>423</v>
      </c>
      <c r="AT158" s="609" t="s">
        <v>13317</v>
      </c>
    </row>
    <row r="159" spans="1:46" ht="22.9" customHeight="1">
      <c r="A159" s="595" t="s">
        <v>13318</v>
      </c>
      <c r="B159" s="596" t="s">
        <v>8553</v>
      </c>
      <c r="C159" s="597" t="s">
        <v>12212</v>
      </c>
      <c r="D159" s="598"/>
      <c r="E159" s="599"/>
      <c r="F159" s="600" t="s">
        <v>9735</v>
      </c>
      <c r="G159" s="601" t="s">
        <v>13319</v>
      </c>
      <c r="H159" s="601" t="s">
        <v>13319</v>
      </c>
      <c r="I159" s="596" t="s">
        <v>12214</v>
      </c>
      <c r="J159" s="596" t="s">
        <v>107</v>
      </c>
      <c r="K159" s="599" t="s">
        <v>12426</v>
      </c>
      <c r="L159" s="599" t="s">
        <v>12198</v>
      </c>
      <c r="M159" s="602" t="s">
        <v>12199</v>
      </c>
      <c r="N159" s="603" t="s">
        <v>7673</v>
      </c>
      <c r="O159" s="599">
        <v>1024</v>
      </c>
      <c r="P159" s="604">
        <v>0</v>
      </c>
      <c r="Q159" s="604">
        <v>0</v>
      </c>
      <c r="R159" s="605">
        <v>20000</v>
      </c>
      <c r="S159" s="604">
        <v>0</v>
      </c>
      <c r="T159" s="604">
        <v>0</v>
      </c>
      <c r="U159" s="604">
        <v>20800000</v>
      </c>
      <c r="V159" s="605">
        <v>10420000</v>
      </c>
      <c r="W159" s="596"/>
      <c r="X159" s="604">
        <v>0</v>
      </c>
      <c r="Y159" s="604">
        <v>1042000</v>
      </c>
      <c r="Z159" s="604">
        <v>11462000</v>
      </c>
      <c r="AA159" s="604">
        <v>22924120</v>
      </c>
      <c r="AB159" s="604">
        <v>0</v>
      </c>
      <c r="AC159" s="606">
        <v>34386000</v>
      </c>
      <c r="AD159" s="604">
        <v>120</v>
      </c>
      <c r="AE159" s="603">
        <v>2</v>
      </c>
      <c r="AF159" s="607">
        <v>11462120</v>
      </c>
      <c r="AG159" s="608" t="s">
        <v>13320</v>
      </c>
      <c r="AH159" s="608" t="s">
        <v>12524</v>
      </c>
      <c r="AI159" s="603" t="s">
        <v>13319</v>
      </c>
      <c r="AJ159" s="603" t="s">
        <v>12202</v>
      </c>
      <c r="AK159" s="603" t="s">
        <v>12203</v>
      </c>
      <c r="AL159" s="599" t="s">
        <v>13321</v>
      </c>
      <c r="AM159" s="609" t="s">
        <v>12444</v>
      </c>
      <c r="AN159" s="610" t="s">
        <v>7946</v>
      </c>
      <c r="AO159" s="610" t="s">
        <v>12206</v>
      </c>
      <c r="AP159" s="610" t="s">
        <v>12207</v>
      </c>
      <c r="AQ159" s="609" t="s">
        <v>13008</v>
      </c>
      <c r="AR159" s="599" t="s">
        <v>13009</v>
      </c>
      <c r="AS159" s="603" t="s">
        <v>423</v>
      </c>
      <c r="AT159" s="609" t="s">
        <v>4488</v>
      </c>
    </row>
    <row r="160" spans="1:46" ht="17.100000000000001" customHeight="1">
      <c r="A160" s="595" t="s">
        <v>13322</v>
      </c>
      <c r="B160" s="596" t="s">
        <v>8553</v>
      </c>
      <c r="C160" s="597" t="s">
        <v>12212</v>
      </c>
      <c r="D160" s="598"/>
      <c r="E160" s="599" t="s">
        <v>13323</v>
      </c>
      <c r="F160" s="600" t="s">
        <v>9735</v>
      </c>
      <c r="G160" s="601" t="s">
        <v>13324</v>
      </c>
      <c r="H160" s="601" t="s">
        <v>13324</v>
      </c>
      <c r="I160" s="596" t="s">
        <v>12255</v>
      </c>
      <c r="J160" s="596" t="s">
        <v>107</v>
      </c>
      <c r="K160" s="599" t="s">
        <v>12426</v>
      </c>
      <c r="L160" s="599" t="s">
        <v>12198</v>
      </c>
      <c r="M160" s="602" t="s">
        <v>12199</v>
      </c>
      <c r="N160" s="603" t="s">
        <v>7673</v>
      </c>
      <c r="O160" s="599">
        <v>2048</v>
      </c>
      <c r="P160" s="604">
        <v>0</v>
      </c>
      <c r="Q160" s="604">
        <v>0</v>
      </c>
      <c r="R160" s="605">
        <v>20000</v>
      </c>
      <c r="S160" s="604">
        <v>0</v>
      </c>
      <c r="T160" s="604">
        <v>0</v>
      </c>
      <c r="U160" s="604">
        <v>36400000</v>
      </c>
      <c r="V160" s="605">
        <v>18220000</v>
      </c>
      <c r="W160" s="596"/>
      <c r="X160" s="604">
        <v>0</v>
      </c>
      <c r="Y160" s="604">
        <v>1822000</v>
      </c>
      <c r="Z160" s="604">
        <v>20042000</v>
      </c>
      <c r="AA160" s="604">
        <v>40084657</v>
      </c>
      <c r="AB160" s="604">
        <v>0</v>
      </c>
      <c r="AC160" s="606">
        <v>60126000</v>
      </c>
      <c r="AD160" s="604">
        <v>657</v>
      </c>
      <c r="AE160" s="603">
        <v>2</v>
      </c>
      <c r="AF160" s="607">
        <v>20042657</v>
      </c>
      <c r="AG160" s="608" t="s">
        <v>13325</v>
      </c>
      <c r="AH160" s="608" t="s">
        <v>13326</v>
      </c>
      <c r="AI160" s="603" t="s">
        <v>13324</v>
      </c>
      <c r="AJ160" s="603" t="s">
        <v>12202</v>
      </c>
      <c r="AK160" s="603" t="s">
        <v>12203</v>
      </c>
      <c r="AL160" s="599" t="s">
        <v>13327</v>
      </c>
      <c r="AM160" s="609" t="s">
        <v>13328</v>
      </c>
      <c r="AN160" s="610" t="s">
        <v>12771</v>
      </c>
      <c r="AO160" s="610" t="s">
        <v>12206</v>
      </c>
      <c r="AP160" s="610" t="s">
        <v>12207</v>
      </c>
      <c r="AQ160" s="609" t="s">
        <v>12370</v>
      </c>
      <c r="AR160" s="599" t="s">
        <v>12371</v>
      </c>
      <c r="AS160" s="603" t="s">
        <v>423</v>
      </c>
      <c r="AT160" s="609" t="s">
        <v>13329</v>
      </c>
    </row>
    <row r="161" spans="1:46" ht="22.9" customHeight="1">
      <c r="A161" s="595" t="s">
        <v>13330</v>
      </c>
      <c r="B161" s="596" t="s">
        <v>8553</v>
      </c>
      <c r="C161" s="597" t="s">
        <v>12212</v>
      </c>
      <c r="D161" s="598"/>
      <c r="E161" s="599"/>
      <c r="F161" s="600" t="s">
        <v>9735</v>
      </c>
      <c r="G161" s="601" t="s">
        <v>744</v>
      </c>
      <c r="H161" s="601" t="s">
        <v>744</v>
      </c>
      <c r="I161" s="596" t="s">
        <v>12214</v>
      </c>
      <c r="J161" s="596" t="s">
        <v>107</v>
      </c>
      <c r="K161" s="599" t="s">
        <v>12426</v>
      </c>
      <c r="L161" s="599" t="s">
        <v>12198</v>
      </c>
      <c r="M161" s="602" t="s">
        <v>12199</v>
      </c>
      <c r="N161" s="603" t="s">
        <v>7673</v>
      </c>
      <c r="O161" s="599">
        <v>1024</v>
      </c>
      <c r="P161" s="604">
        <v>0</v>
      </c>
      <c r="Q161" s="604">
        <v>0</v>
      </c>
      <c r="R161" s="605">
        <v>20000</v>
      </c>
      <c r="S161" s="604">
        <v>0</v>
      </c>
      <c r="T161" s="604">
        <v>0</v>
      </c>
      <c r="U161" s="604">
        <v>20800000</v>
      </c>
      <c r="V161" s="605">
        <v>10420000</v>
      </c>
      <c r="W161" s="596"/>
      <c r="X161" s="604">
        <v>0</v>
      </c>
      <c r="Y161" s="604">
        <v>1042000</v>
      </c>
      <c r="Z161" s="604">
        <v>11462000</v>
      </c>
      <c r="AA161" s="604">
        <v>22924499</v>
      </c>
      <c r="AB161" s="604">
        <v>0</v>
      </c>
      <c r="AC161" s="606">
        <v>34386000</v>
      </c>
      <c r="AD161" s="604">
        <v>499</v>
      </c>
      <c r="AE161" s="603">
        <v>2</v>
      </c>
      <c r="AF161" s="607">
        <v>11462499</v>
      </c>
      <c r="AG161" s="608" t="s">
        <v>13331</v>
      </c>
      <c r="AH161" s="608" t="s">
        <v>12483</v>
      </c>
      <c r="AI161" s="603" t="s">
        <v>744</v>
      </c>
      <c r="AJ161" s="603" t="s">
        <v>12202</v>
      </c>
      <c r="AK161" s="603" t="s">
        <v>12203</v>
      </c>
      <c r="AL161" s="599" t="s">
        <v>12750</v>
      </c>
      <c r="AM161" s="609" t="s">
        <v>12444</v>
      </c>
      <c r="AN161" s="610" t="s">
        <v>13332</v>
      </c>
      <c r="AO161" s="610" t="s">
        <v>12206</v>
      </c>
      <c r="AP161" s="610" t="s">
        <v>12207</v>
      </c>
      <c r="AQ161" s="609" t="s">
        <v>12353</v>
      </c>
      <c r="AR161" s="599" t="s">
        <v>12354</v>
      </c>
      <c r="AS161" s="603" t="s">
        <v>423</v>
      </c>
      <c r="AT161" s="609" t="s">
        <v>13333</v>
      </c>
    </row>
    <row r="162" spans="1:46" ht="22.9" customHeight="1">
      <c r="A162" s="595" t="s">
        <v>13334</v>
      </c>
      <c r="B162" s="596" t="s">
        <v>8553</v>
      </c>
      <c r="C162" s="597" t="s">
        <v>12212</v>
      </c>
      <c r="D162" s="598"/>
      <c r="E162" s="599"/>
      <c r="F162" s="600" t="s">
        <v>9735</v>
      </c>
      <c r="G162" s="601" t="s">
        <v>13335</v>
      </c>
      <c r="H162" s="601" t="s">
        <v>13335</v>
      </c>
      <c r="I162" s="596" t="s">
        <v>12214</v>
      </c>
      <c r="J162" s="596" t="s">
        <v>107</v>
      </c>
      <c r="K162" s="599" t="s">
        <v>12426</v>
      </c>
      <c r="L162" s="599" t="s">
        <v>12198</v>
      </c>
      <c r="M162" s="602" t="s">
        <v>12199</v>
      </c>
      <c r="N162" s="603" t="s">
        <v>7673</v>
      </c>
      <c r="O162" s="599">
        <v>1024</v>
      </c>
      <c r="P162" s="604">
        <v>0</v>
      </c>
      <c r="Q162" s="604">
        <v>0</v>
      </c>
      <c r="R162" s="605">
        <v>20000</v>
      </c>
      <c r="S162" s="604">
        <v>0</v>
      </c>
      <c r="T162" s="604">
        <v>0</v>
      </c>
      <c r="U162" s="604">
        <v>20800000</v>
      </c>
      <c r="V162" s="605">
        <v>10420000</v>
      </c>
      <c r="W162" s="596"/>
      <c r="X162" s="604">
        <v>0</v>
      </c>
      <c r="Y162" s="604">
        <v>1042000</v>
      </c>
      <c r="Z162" s="604">
        <v>11462000</v>
      </c>
      <c r="AA162" s="604">
        <v>22924405</v>
      </c>
      <c r="AB162" s="604">
        <v>0</v>
      </c>
      <c r="AC162" s="606">
        <v>34386000</v>
      </c>
      <c r="AD162" s="604">
        <v>405</v>
      </c>
      <c r="AE162" s="603">
        <v>2</v>
      </c>
      <c r="AF162" s="607">
        <v>11462405</v>
      </c>
      <c r="AG162" s="608" t="s">
        <v>13336</v>
      </c>
      <c r="AH162" s="608" t="s">
        <v>12618</v>
      </c>
      <c r="AI162" s="603" t="s">
        <v>13335</v>
      </c>
      <c r="AJ162" s="603" t="s">
        <v>12202</v>
      </c>
      <c r="AK162" s="603" t="s">
        <v>12203</v>
      </c>
      <c r="AL162" s="599" t="s">
        <v>13337</v>
      </c>
      <c r="AM162" s="609" t="s">
        <v>12444</v>
      </c>
      <c r="AN162" s="610" t="s">
        <v>12588</v>
      </c>
      <c r="AO162" s="610" t="s">
        <v>12206</v>
      </c>
      <c r="AP162" s="610" t="s">
        <v>12207</v>
      </c>
      <c r="AQ162" s="609" t="s">
        <v>12362</v>
      </c>
      <c r="AR162" s="599" t="s">
        <v>12363</v>
      </c>
      <c r="AS162" s="603" t="s">
        <v>423</v>
      </c>
      <c r="AT162" s="609" t="s">
        <v>13338</v>
      </c>
    </row>
    <row r="163" spans="1:46" ht="17.850000000000001" customHeight="1">
      <c r="A163" s="595" t="s">
        <v>13339</v>
      </c>
      <c r="B163" s="596" t="s">
        <v>8553</v>
      </c>
      <c r="C163" s="597" t="s">
        <v>12212</v>
      </c>
      <c r="D163" s="598"/>
      <c r="E163" s="599"/>
      <c r="F163" s="600" t="s">
        <v>9735</v>
      </c>
      <c r="G163" s="601" t="s">
        <v>13340</v>
      </c>
      <c r="H163" s="601" t="s">
        <v>13340</v>
      </c>
      <c r="I163" s="596" t="s">
        <v>12214</v>
      </c>
      <c r="J163" s="596" t="s">
        <v>107</v>
      </c>
      <c r="K163" s="599" t="s">
        <v>12426</v>
      </c>
      <c r="L163" s="599" t="s">
        <v>12198</v>
      </c>
      <c r="M163" s="602" t="s">
        <v>12199</v>
      </c>
      <c r="N163" s="603" t="s">
        <v>7673</v>
      </c>
      <c r="O163" s="599">
        <v>1024</v>
      </c>
      <c r="P163" s="604">
        <v>0</v>
      </c>
      <c r="Q163" s="604">
        <v>0</v>
      </c>
      <c r="R163" s="605">
        <v>20000</v>
      </c>
      <c r="S163" s="604">
        <v>0</v>
      </c>
      <c r="T163" s="604">
        <v>0</v>
      </c>
      <c r="U163" s="604">
        <v>20800000</v>
      </c>
      <c r="V163" s="605">
        <v>10420000</v>
      </c>
      <c r="W163" s="596"/>
      <c r="X163" s="604">
        <v>0</v>
      </c>
      <c r="Y163" s="604">
        <v>1042000</v>
      </c>
      <c r="Z163" s="604">
        <v>11462000</v>
      </c>
      <c r="AA163" s="604">
        <v>22924146</v>
      </c>
      <c r="AB163" s="604">
        <v>0</v>
      </c>
      <c r="AC163" s="606">
        <v>34386000</v>
      </c>
      <c r="AD163" s="604">
        <v>146</v>
      </c>
      <c r="AE163" s="603">
        <v>2</v>
      </c>
      <c r="AF163" s="607">
        <v>11462146</v>
      </c>
      <c r="AG163" s="608" t="s">
        <v>13341</v>
      </c>
      <c r="AH163" s="608" t="s">
        <v>12524</v>
      </c>
      <c r="AI163" s="603" t="s">
        <v>13340</v>
      </c>
      <c r="AJ163" s="603" t="s">
        <v>12202</v>
      </c>
      <c r="AK163" s="603" t="s">
        <v>12203</v>
      </c>
      <c r="AL163" s="599" t="s">
        <v>13342</v>
      </c>
      <c r="AM163" s="609" t="s">
        <v>12444</v>
      </c>
      <c r="AN163" s="610" t="s">
        <v>7880</v>
      </c>
      <c r="AO163" s="610" t="s">
        <v>12206</v>
      </c>
      <c r="AP163" s="610" t="s">
        <v>12207</v>
      </c>
      <c r="AQ163" s="609" t="s">
        <v>12403</v>
      </c>
      <c r="AR163" s="599" t="s">
        <v>12404</v>
      </c>
      <c r="AS163" s="603" t="s">
        <v>423</v>
      </c>
      <c r="AT163" s="609" t="s">
        <v>13343</v>
      </c>
    </row>
    <row r="164" spans="1:46" ht="22.15" customHeight="1">
      <c r="A164" s="595" t="s">
        <v>13344</v>
      </c>
      <c r="B164" s="596" t="s">
        <v>8553</v>
      </c>
      <c r="C164" s="597" t="s">
        <v>12212</v>
      </c>
      <c r="D164" s="598"/>
      <c r="E164" s="599" t="s">
        <v>13345</v>
      </c>
      <c r="F164" s="600" t="s">
        <v>9735</v>
      </c>
      <c r="G164" s="601" t="s">
        <v>13346</v>
      </c>
      <c r="H164" s="601" t="s">
        <v>13346</v>
      </c>
      <c r="I164" s="596" t="s">
        <v>12214</v>
      </c>
      <c r="J164" s="596" t="s">
        <v>107</v>
      </c>
      <c r="K164" s="599" t="s">
        <v>12426</v>
      </c>
      <c r="L164" s="599" t="s">
        <v>12198</v>
      </c>
      <c r="M164" s="602" t="s">
        <v>12199</v>
      </c>
      <c r="N164" s="603" t="s">
        <v>7673</v>
      </c>
      <c r="O164" s="599">
        <v>1024</v>
      </c>
      <c r="P164" s="604">
        <v>0</v>
      </c>
      <c r="Q164" s="604">
        <v>0</v>
      </c>
      <c r="R164" s="605">
        <v>20000</v>
      </c>
      <c r="S164" s="604">
        <v>0</v>
      </c>
      <c r="T164" s="604">
        <v>0</v>
      </c>
      <c r="U164" s="604">
        <v>20800000</v>
      </c>
      <c r="V164" s="605">
        <v>10420000</v>
      </c>
      <c r="W164" s="596"/>
      <c r="X164" s="604">
        <v>0</v>
      </c>
      <c r="Y164" s="604">
        <v>1042000</v>
      </c>
      <c r="Z164" s="604">
        <v>11462000</v>
      </c>
      <c r="AA164" s="604">
        <v>22924928</v>
      </c>
      <c r="AB164" s="604">
        <v>0</v>
      </c>
      <c r="AC164" s="606">
        <v>34386000</v>
      </c>
      <c r="AD164" s="604">
        <v>928</v>
      </c>
      <c r="AE164" s="603">
        <v>2</v>
      </c>
      <c r="AF164" s="607">
        <v>11462928</v>
      </c>
      <c r="AG164" s="608" t="s">
        <v>13347</v>
      </c>
      <c r="AH164" s="608" t="s">
        <v>12428</v>
      </c>
      <c r="AI164" s="603" t="s">
        <v>13346</v>
      </c>
      <c r="AJ164" s="603" t="s">
        <v>12202</v>
      </c>
      <c r="AK164" s="603" t="s">
        <v>12203</v>
      </c>
      <c r="AL164" s="599" t="s">
        <v>12729</v>
      </c>
      <c r="AM164" s="609" t="s">
        <v>12444</v>
      </c>
      <c r="AN164" s="610" t="s">
        <v>13348</v>
      </c>
      <c r="AO164" s="610" t="s">
        <v>12206</v>
      </c>
      <c r="AP164" s="610" t="s">
        <v>12207</v>
      </c>
      <c r="AQ164" s="609" t="s">
        <v>12566</v>
      </c>
      <c r="AR164" s="599" t="s">
        <v>12567</v>
      </c>
      <c r="AS164" s="603" t="s">
        <v>423</v>
      </c>
      <c r="AT164" s="609" t="s">
        <v>13349</v>
      </c>
    </row>
    <row r="165" spans="1:46" ht="17.850000000000001" customHeight="1">
      <c r="A165" s="595" t="s">
        <v>13350</v>
      </c>
      <c r="B165" s="596" t="s">
        <v>8553</v>
      </c>
      <c r="C165" s="597" t="s">
        <v>12212</v>
      </c>
      <c r="D165" s="598"/>
      <c r="E165" s="599"/>
      <c r="F165" s="600" t="s">
        <v>9735</v>
      </c>
      <c r="G165" s="601" t="s">
        <v>13351</v>
      </c>
      <c r="H165" s="601" t="s">
        <v>13351</v>
      </c>
      <c r="I165" s="596" t="s">
        <v>12214</v>
      </c>
      <c r="J165" s="596" t="s">
        <v>107</v>
      </c>
      <c r="K165" s="599" t="s">
        <v>12426</v>
      </c>
      <c r="L165" s="599" t="s">
        <v>12198</v>
      </c>
      <c r="M165" s="602" t="s">
        <v>12199</v>
      </c>
      <c r="N165" s="603" t="s">
        <v>7673</v>
      </c>
      <c r="O165" s="599">
        <v>1024</v>
      </c>
      <c r="P165" s="604">
        <v>0</v>
      </c>
      <c r="Q165" s="604">
        <v>0</v>
      </c>
      <c r="R165" s="605">
        <v>20000</v>
      </c>
      <c r="S165" s="604">
        <v>0</v>
      </c>
      <c r="T165" s="604">
        <v>0</v>
      </c>
      <c r="U165" s="604">
        <v>20800000</v>
      </c>
      <c r="V165" s="605">
        <v>10420000</v>
      </c>
      <c r="W165" s="596"/>
      <c r="X165" s="604">
        <v>0</v>
      </c>
      <c r="Y165" s="604">
        <v>1042000</v>
      </c>
      <c r="Z165" s="604">
        <v>11462000</v>
      </c>
      <c r="AA165" s="604">
        <v>22924043</v>
      </c>
      <c r="AB165" s="604">
        <v>0</v>
      </c>
      <c r="AC165" s="606">
        <v>34386000</v>
      </c>
      <c r="AD165" s="604">
        <v>43</v>
      </c>
      <c r="AE165" s="603">
        <v>2</v>
      </c>
      <c r="AF165" s="607">
        <v>11462043</v>
      </c>
      <c r="AG165" s="608" t="s">
        <v>13352</v>
      </c>
      <c r="AH165" s="608" t="s">
        <v>12524</v>
      </c>
      <c r="AI165" s="603" t="s">
        <v>13351</v>
      </c>
      <c r="AJ165" s="603" t="s">
        <v>12202</v>
      </c>
      <c r="AK165" s="603" t="s">
        <v>12203</v>
      </c>
      <c r="AL165" s="599" t="s">
        <v>13353</v>
      </c>
      <c r="AM165" s="609" t="s">
        <v>12452</v>
      </c>
      <c r="AN165" s="610" t="s">
        <v>13354</v>
      </c>
      <c r="AO165" s="610" t="s">
        <v>12206</v>
      </c>
      <c r="AP165" s="610" t="s">
        <v>12207</v>
      </c>
      <c r="AQ165" s="609" t="s">
        <v>12322</v>
      </c>
      <c r="AR165" s="599" t="s">
        <v>12323</v>
      </c>
      <c r="AS165" s="603" t="s">
        <v>423</v>
      </c>
      <c r="AT165" s="609" t="s">
        <v>13355</v>
      </c>
    </row>
    <row r="166" spans="1:46" ht="22.9" customHeight="1">
      <c r="A166" s="595" t="s">
        <v>13356</v>
      </c>
      <c r="B166" s="596" t="s">
        <v>8553</v>
      </c>
      <c r="C166" s="597" t="s">
        <v>12212</v>
      </c>
      <c r="D166" s="598"/>
      <c r="E166" s="599" t="s">
        <v>4340</v>
      </c>
      <c r="F166" s="600" t="s">
        <v>9735</v>
      </c>
      <c r="G166" s="601" t="s">
        <v>13357</v>
      </c>
      <c r="H166" s="601" t="s">
        <v>13357</v>
      </c>
      <c r="I166" s="596" t="s">
        <v>12225</v>
      </c>
      <c r="J166" s="596" t="s">
        <v>335</v>
      </c>
      <c r="K166" s="599" t="s">
        <v>12197</v>
      </c>
      <c r="L166" s="599" t="s">
        <v>12198</v>
      </c>
      <c r="M166" s="602" t="s">
        <v>12199</v>
      </c>
      <c r="N166" s="603" t="s">
        <v>7673</v>
      </c>
      <c r="O166" s="599">
        <v>512</v>
      </c>
      <c r="P166" s="604">
        <v>0</v>
      </c>
      <c r="Q166" s="604">
        <v>0</v>
      </c>
      <c r="R166" s="605">
        <v>20000</v>
      </c>
      <c r="S166" s="604">
        <v>0</v>
      </c>
      <c r="T166" s="604">
        <v>0</v>
      </c>
      <c r="U166" s="604">
        <v>4480000</v>
      </c>
      <c r="V166" s="605">
        <v>2260000</v>
      </c>
      <c r="W166" s="596"/>
      <c r="X166" s="604">
        <v>0</v>
      </c>
      <c r="Y166" s="604">
        <v>226000</v>
      </c>
      <c r="Z166" s="604">
        <v>2486000</v>
      </c>
      <c r="AA166" s="604">
        <v>4972720</v>
      </c>
      <c r="AB166" s="604">
        <v>0</v>
      </c>
      <c r="AC166" s="606">
        <v>7458000</v>
      </c>
      <c r="AD166" s="604">
        <v>720</v>
      </c>
      <c r="AE166" s="603">
        <v>2</v>
      </c>
      <c r="AF166" s="607">
        <v>2486720</v>
      </c>
      <c r="AG166" s="608" t="s">
        <v>13358</v>
      </c>
      <c r="AH166" s="608" t="s">
        <v>12294</v>
      </c>
      <c r="AI166" s="603" t="s">
        <v>13357</v>
      </c>
      <c r="AJ166" s="603" t="s">
        <v>12202</v>
      </c>
      <c r="AK166" s="603" t="s">
        <v>12203</v>
      </c>
      <c r="AL166" s="599" t="s">
        <v>13359</v>
      </c>
      <c r="AM166" s="609" t="s">
        <v>13360</v>
      </c>
      <c r="AN166" s="610" t="s">
        <v>13361</v>
      </c>
      <c r="AO166" s="610" t="s">
        <v>12206</v>
      </c>
      <c r="AP166" s="610" t="s">
        <v>12207</v>
      </c>
      <c r="AQ166" s="609" t="s">
        <v>12208</v>
      </c>
      <c r="AR166" s="599" t="s">
        <v>12209</v>
      </c>
      <c r="AS166" s="603" t="s">
        <v>423</v>
      </c>
      <c r="AT166" s="609" t="s">
        <v>13362</v>
      </c>
    </row>
    <row r="167" spans="1:46" ht="22.15" customHeight="1">
      <c r="A167" s="595" t="s">
        <v>13363</v>
      </c>
      <c r="B167" s="596" t="s">
        <v>8553</v>
      </c>
      <c r="C167" s="597" t="s">
        <v>12212</v>
      </c>
      <c r="D167" s="598"/>
      <c r="E167" s="599" t="s">
        <v>13364</v>
      </c>
      <c r="F167" s="600" t="s">
        <v>9735</v>
      </c>
      <c r="G167" s="601" t="s">
        <v>13365</v>
      </c>
      <c r="H167" s="601" t="s">
        <v>13365</v>
      </c>
      <c r="I167" s="596" t="s">
        <v>12255</v>
      </c>
      <c r="J167" s="596" t="s">
        <v>107</v>
      </c>
      <c r="K167" s="599" t="s">
        <v>12426</v>
      </c>
      <c r="L167" s="599" t="s">
        <v>12198</v>
      </c>
      <c r="M167" s="602" t="s">
        <v>12199</v>
      </c>
      <c r="N167" s="603" t="s">
        <v>7673</v>
      </c>
      <c r="O167" s="599">
        <v>2048</v>
      </c>
      <c r="P167" s="604">
        <v>0</v>
      </c>
      <c r="Q167" s="604">
        <v>0</v>
      </c>
      <c r="R167" s="605">
        <v>20000</v>
      </c>
      <c r="S167" s="604">
        <v>0</v>
      </c>
      <c r="T167" s="604">
        <v>0</v>
      </c>
      <c r="U167" s="604">
        <v>36400000</v>
      </c>
      <c r="V167" s="605">
        <v>18220000</v>
      </c>
      <c r="W167" s="596"/>
      <c r="X167" s="604">
        <v>0</v>
      </c>
      <c r="Y167" s="604">
        <v>1822000</v>
      </c>
      <c r="Z167" s="604">
        <v>20042000</v>
      </c>
      <c r="AA167" s="604">
        <v>40084805</v>
      </c>
      <c r="AB167" s="604">
        <v>0</v>
      </c>
      <c r="AC167" s="606">
        <v>60126000</v>
      </c>
      <c r="AD167" s="604">
        <v>805</v>
      </c>
      <c r="AE167" s="603">
        <v>2</v>
      </c>
      <c r="AF167" s="607">
        <v>20042805.909999967</v>
      </c>
      <c r="AG167" s="608" t="s">
        <v>13366</v>
      </c>
      <c r="AH167" s="608" t="s">
        <v>13207</v>
      </c>
      <c r="AI167" s="603" t="s">
        <v>13365</v>
      </c>
      <c r="AJ167" s="603" t="s">
        <v>12202</v>
      </c>
      <c r="AK167" s="603" t="s">
        <v>12203</v>
      </c>
      <c r="AL167" s="599" t="s">
        <v>12611</v>
      </c>
      <c r="AM167" s="609" t="s">
        <v>12444</v>
      </c>
      <c r="AN167" s="610" t="s">
        <v>13367</v>
      </c>
      <c r="AO167" s="610" t="s">
        <v>12206</v>
      </c>
      <c r="AP167" s="610" t="s">
        <v>12207</v>
      </c>
      <c r="AQ167" s="609" t="s">
        <v>12260</v>
      </c>
      <c r="AR167" s="599" t="s">
        <v>12261</v>
      </c>
      <c r="AS167" s="603" t="s">
        <v>423</v>
      </c>
      <c r="AT167" s="609" t="s">
        <v>13368</v>
      </c>
    </row>
    <row r="168" spans="1:46" ht="22.9" customHeight="1">
      <c r="A168" s="595" t="s">
        <v>13369</v>
      </c>
      <c r="B168" s="596" t="s">
        <v>8553</v>
      </c>
      <c r="C168" s="597" t="s">
        <v>12212</v>
      </c>
      <c r="D168" s="598"/>
      <c r="E168" s="599" t="s">
        <v>13370</v>
      </c>
      <c r="F168" s="600" t="s">
        <v>9735</v>
      </c>
      <c r="G168" s="601" t="s">
        <v>13371</v>
      </c>
      <c r="H168" s="601" t="s">
        <v>13372</v>
      </c>
      <c r="I168" s="596" t="s">
        <v>12225</v>
      </c>
      <c r="J168" s="596" t="s">
        <v>335</v>
      </c>
      <c r="K168" s="599" t="s">
        <v>12197</v>
      </c>
      <c r="L168" s="599" t="s">
        <v>12198</v>
      </c>
      <c r="M168" s="602" t="s">
        <v>12199</v>
      </c>
      <c r="N168" s="603" t="s">
        <v>7673</v>
      </c>
      <c r="O168" s="599">
        <v>512</v>
      </c>
      <c r="P168" s="604">
        <v>0</v>
      </c>
      <c r="Q168" s="604">
        <v>0</v>
      </c>
      <c r="R168" s="605">
        <v>-2666.6666666666665</v>
      </c>
      <c r="S168" s="604">
        <v>0</v>
      </c>
      <c r="T168" s="604">
        <v>0</v>
      </c>
      <c r="U168" s="604">
        <v>4480000</v>
      </c>
      <c r="V168" s="611">
        <v>-301333.33333333337</v>
      </c>
      <c r="W168" s="596"/>
      <c r="X168" s="604">
        <v>0</v>
      </c>
      <c r="Y168" s="612">
        <v>-30133.333333333339</v>
      </c>
      <c r="Z168" s="612">
        <v>-331466.66666666669</v>
      </c>
      <c r="AA168" s="604">
        <v>4972093</v>
      </c>
      <c r="AB168" s="604">
        <v>0</v>
      </c>
      <c r="AC168" s="606">
        <v>4640000</v>
      </c>
      <c r="AD168" s="604">
        <v>627</v>
      </c>
      <c r="AE168" s="603">
        <v>0</v>
      </c>
      <c r="AF168" s="607">
        <v>-331373.66666665673</v>
      </c>
      <c r="AG168" s="608" t="s">
        <v>13373</v>
      </c>
      <c r="AH168" s="608" t="s">
        <v>13374</v>
      </c>
      <c r="AI168" s="603" t="s">
        <v>13372</v>
      </c>
      <c r="AJ168" s="603" t="s">
        <v>12202</v>
      </c>
      <c r="AK168" s="603" t="s">
        <v>12203</v>
      </c>
      <c r="AL168" s="599" t="s">
        <v>12729</v>
      </c>
      <c r="AM168" s="609" t="s">
        <v>12444</v>
      </c>
      <c r="AN168" s="610" t="s">
        <v>13375</v>
      </c>
      <c r="AO168" s="610" t="s">
        <v>12206</v>
      </c>
      <c r="AP168" s="610" t="s">
        <v>13376</v>
      </c>
      <c r="AQ168" s="609" t="s">
        <v>13377</v>
      </c>
      <c r="AR168" s="599" t="s">
        <v>13378</v>
      </c>
      <c r="AS168" s="603" t="s">
        <v>423</v>
      </c>
      <c r="AT168" s="609" t="s">
        <v>13379</v>
      </c>
    </row>
    <row r="169" spans="1:46" ht="22.9" customHeight="1">
      <c r="A169" s="595" t="s">
        <v>13380</v>
      </c>
      <c r="B169" s="596" t="s">
        <v>8553</v>
      </c>
      <c r="C169" s="597" t="s">
        <v>12212</v>
      </c>
      <c r="D169" s="598"/>
      <c r="E169" s="599" t="s">
        <v>13381</v>
      </c>
      <c r="F169" s="600" t="s">
        <v>9735</v>
      </c>
      <c r="G169" s="601" t="s">
        <v>13382</v>
      </c>
      <c r="H169" s="601" t="s">
        <v>13383</v>
      </c>
      <c r="I169" s="596" t="s">
        <v>12225</v>
      </c>
      <c r="J169" s="596" t="s">
        <v>335</v>
      </c>
      <c r="K169" s="599" t="s">
        <v>12197</v>
      </c>
      <c r="L169" s="599" t="s">
        <v>12198</v>
      </c>
      <c r="M169" s="602" t="s">
        <v>12199</v>
      </c>
      <c r="N169" s="603" t="s">
        <v>7673</v>
      </c>
      <c r="O169" s="599">
        <v>512</v>
      </c>
      <c r="P169" s="604">
        <v>0</v>
      </c>
      <c r="Q169" s="604">
        <v>0</v>
      </c>
      <c r="R169" s="605">
        <v>-2666.6666666666665</v>
      </c>
      <c r="S169" s="604">
        <v>0</v>
      </c>
      <c r="T169" s="604">
        <v>0</v>
      </c>
      <c r="U169" s="604">
        <v>4480000</v>
      </c>
      <c r="V169" s="611">
        <v>-301333.33333333337</v>
      </c>
      <c r="W169" s="596"/>
      <c r="X169" s="604">
        <v>0</v>
      </c>
      <c r="Y169" s="612">
        <v>-30133.333333333339</v>
      </c>
      <c r="Z169" s="612">
        <v>-331466.66666666669</v>
      </c>
      <c r="AA169" s="604">
        <v>4972993</v>
      </c>
      <c r="AB169" s="604">
        <v>0</v>
      </c>
      <c r="AC169" s="606">
        <v>4641000</v>
      </c>
      <c r="AD169" s="604">
        <v>527</v>
      </c>
      <c r="AE169" s="603">
        <v>0</v>
      </c>
      <c r="AF169" s="607">
        <v>-330473.66666666418</v>
      </c>
      <c r="AG169" s="608" t="s">
        <v>13384</v>
      </c>
      <c r="AH169" s="608" t="s">
        <v>13385</v>
      </c>
      <c r="AI169" s="603" t="s">
        <v>13383</v>
      </c>
      <c r="AJ169" s="603" t="s">
        <v>12202</v>
      </c>
      <c r="AK169" s="603" t="s">
        <v>12203</v>
      </c>
      <c r="AL169" s="599" t="s">
        <v>12729</v>
      </c>
      <c r="AM169" s="609" t="s">
        <v>12444</v>
      </c>
      <c r="AN169" s="610" t="s">
        <v>13386</v>
      </c>
      <c r="AO169" s="610" t="s">
        <v>12206</v>
      </c>
      <c r="AP169" s="610" t="s">
        <v>13376</v>
      </c>
      <c r="AQ169" s="609" t="s">
        <v>13158</v>
      </c>
      <c r="AR169" s="599" t="s">
        <v>13159</v>
      </c>
      <c r="AS169" s="603" t="s">
        <v>423</v>
      </c>
      <c r="AT169" s="609" t="s">
        <v>13387</v>
      </c>
    </row>
    <row r="170" spans="1:46" ht="22.15" customHeight="1">
      <c r="A170" s="595" t="s">
        <v>13388</v>
      </c>
      <c r="B170" s="596" t="s">
        <v>8553</v>
      </c>
      <c r="C170" s="597" t="s">
        <v>12212</v>
      </c>
      <c r="D170" s="598"/>
      <c r="E170" s="599" t="s">
        <v>13389</v>
      </c>
      <c r="F170" s="600" t="s">
        <v>9735</v>
      </c>
      <c r="G170" s="601" t="s">
        <v>13390</v>
      </c>
      <c r="H170" s="601" t="s">
        <v>13391</v>
      </c>
      <c r="I170" s="596" t="s">
        <v>12225</v>
      </c>
      <c r="J170" s="596" t="s">
        <v>335</v>
      </c>
      <c r="K170" s="599" t="s">
        <v>12197</v>
      </c>
      <c r="L170" s="599" t="s">
        <v>12198</v>
      </c>
      <c r="M170" s="602" t="s">
        <v>12199</v>
      </c>
      <c r="N170" s="603" t="s">
        <v>7673</v>
      </c>
      <c r="O170" s="599">
        <v>512</v>
      </c>
      <c r="P170" s="604">
        <v>0</v>
      </c>
      <c r="Q170" s="604">
        <v>0</v>
      </c>
      <c r="R170" s="605">
        <v>-2666.6666666666665</v>
      </c>
      <c r="S170" s="604">
        <v>0</v>
      </c>
      <c r="T170" s="604">
        <v>0</v>
      </c>
      <c r="U170" s="604">
        <v>4480000</v>
      </c>
      <c r="V170" s="611">
        <v>-301333.33333333337</v>
      </c>
      <c r="W170" s="596"/>
      <c r="X170" s="604">
        <v>0</v>
      </c>
      <c r="Y170" s="612">
        <v>-30133.333333333339</v>
      </c>
      <c r="Z170" s="612">
        <v>-331466.66666666669</v>
      </c>
      <c r="AA170" s="604">
        <v>4972543</v>
      </c>
      <c r="AB170" s="604">
        <v>0</v>
      </c>
      <c r="AC170" s="606">
        <v>4641000</v>
      </c>
      <c r="AD170" s="604">
        <v>77</v>
      </c>
      <c r="AE170" s="603">
        <v>0</v>
      </c>
      <c r="AF170" s="607">
        <v>-330923.66666667163</v>
      </c>
      <c r="AG170" s="608" t="s">
        <v>13392</v>
      </c>
      <c r="AH170" s="608" t="s">
        <v>13393</v>
      </c>
      <c r="AI170" s="603" t="s">
        <v>13391</v>
      </c>
      <c r="AJ170" s="603" t="s">
        <v>12202</v>
      </c>
      <c r="AK170" s="603" t="s">
        <v>12203</v>
      </c>
      <c r="AL170" s="599" t="s">
        <v>12729</v>
      </c>
      <c r="AM170" s="609" t="s">
        <v>12444</v>
      </c>
      <c r="AN170" s="610" t="s">
        <v>8599</v>
      </c>
      <c r="AO170" s="610" t="s">
        <v>12206</v>
      </c>
      <c r="AP170" s="610" t="s">
        <v>13376</v>
      </c>
      <c r="AQ170" s="609" t="s">
        <v>12403</v>
      </c>
      <c r="AR170" s="599" t="s">
        <v>12404</v>
      </c>
      <c r="AS170" s="603" t="s">
        <v>423</v>
      </c>
      <c r="AT170" s="609" t="s">
        <v>13394</v>
      </c>
    </row>
    <row r="171" spans="1:46" ht="22.9" customHeight="1">
      <c r="A171" s="595" t="s">
        <v>13395</v>
      </c>
      <c r="B171" s="596" t="s">
        <v>8553</v>
      </c>
      <c r="C171" s="597" t="s">
        <v>12212</v>
      </c>
      <c r="D171" s="598"/>
      <c r="E171" s="599" t="s">
        <v>13396</v>
      </c>
      <c r="F171" s="600" t="s">
        <v>9735</v>
      </c>
      <c r="G171" s="601" t="s">
        <v>13397</v>
      </c>
      <c r="H171" s="601" t="s">
        <v>1153</v>
      </c>
      <c r="I171" s="596" t="s">
        <v>12225</v>
      </c>
      <c r="J171" s="596" t="s">
        <v>335</v>
      </c>
      <c r="K171" s="599" t="s">
        <v>12197</v>
      </c>
      <c r="L171" s="599" t="s">
        <v>12198</v>
      </c>
      <c r="M171" s="602" t="s">
        <v>12199</v>
      </c>
      <c r="N171" s="603" t="s">
        <v>7673</v>
      </c>
      <c r="O171" s="599">
        <v>512</v>
      </c>
      <c r="P171" s="604">
        <v>0</v>
      </c>
      <c r="Q171" s="604">
        <v>0</v>
      </c>
      <c r="R171" s="605">
        <v>20000</v>
      </c>
      <c r="S171" s="604">
        <v>0</v>
      </c>
      <c r="T171" s="604">
        <v>0</v>
      </c>
      <c r="U171" s="604">
        <v>4480000</v>
      </c>
      <c r="V171" s="605">
        <v>2260000</v>
      </c>
      <c r="W171" s="596"/>
      <c r="X171" s="604">
        <v>0</v>
      </c>
      <c r="Y171" s="604">
        <v>226000</v>
      </c>
      <c r="Z171" s="604">
        <v>2486000</v>
      </c>
      <c r="AA171" s="604">
        <v>4972243</v>
      </c>
      <c r="AB171" s="604">
        <v>0</v>
      </c>
      <c r="AC171" s="606">
        <v>7458000</v>
      </c>
      <c r="AD171" s="604">
        <v>243</v>
      </c>
      <c r="AE171" s="603">
        <v>2</v>
      </c>
      <c r="AF171" s="607">
        <v>2486243</v>
      </c>
      <c r="AG171" s="608" t="s">
        <v>13398</v>
      </c>
      <c r="AH171" s="608" t="s">
        <v>13037</v>
      </c>
      <c r="AI171" s="603" t="s">
        <v>1153</v>
      </c>
      <c r="AJ171" s="603" t="s">
        <v>12202</v>
      </c>
      <c r="AK171" s="603" t="s">
        <v>12203</v>
      </c>
      <c r="AL171" s="599" t="s">
        <v>12729</v>
      </c>
      <c r="AM171" s="609" t="s">
        <v>12444</v>
      </c>
      <c r="AN171" s="610" t="s">
        <v>13399</v>
      </c>
      <c r="AO171" s="610" t="s">
        <v>12206</v>
      </c>
      <c r="AP171" s="610" t="s">
        <v>12207</v>
      </c>
      <c r="AQ171" s="609" t="s">
        <v>12403</v>
      </c>
      <c r="AR171" s="599" t="s">
        <v>12404</v>
      </c>
      <c r="AS171" s="603" t="s">
        <v>423</v>
      </c>
      <c r="AT171" s="609" t="s">
        <v>13400</v>
      </c>
    </row>
    <row r="172" spans="1:46" ht="22.9" customHeight="1">
      <c r="A172" s="595" t="s">
        <v>13401</v>
      </c>
      <c r="B172" s="596" t="s">
        <v>8553</v>
      </c>
      <c r="C172" s="597" t="s">
        <v>12212</v>
      </c>
      <c r="D172" s="598"/>
      <c r="E172" s="599" t="s">
        <v>13402</v>
      </c>
      <c r="F172" s="600" t="s">
        <v>9735</v>
      </c>
      <c r="G172" s="601" t="s">
        <v>13403</v>
      </c>
      <c r="H172" s="601" t="s">
        <v>1128</v>
      </c>
      <c r="I172" s="596" t="s">
        <v>12225</v>
      </c>
      <c r="J172" s="596" t="s">
        <v>335</v>
      </c>
      <c r="K172" s="599" t="s">
        <v>12197</v>
      </c>
      <c r="L172" s="599" t="s">
        <v>12198</v>
      </c>
      <c r="M172" s="602" t="s">
        <v>12199</v>
      </c>
      <c r="N172" s="603" t="s">
        <v>7673</v>
      </c>
      <c r="O172" s="599">
        <v>512</v>
      </c>
      <c r="P172" s="604">
        <v>0</v>
      </c>
      <c r="Q172" s="604">
        <v>0</v>
      </c>
      <c r="R172" s="605">
        <v>20000</v>
      </c>
      <c r="S172" s="604">
        <v>0</v>
      </c>
      <c r="T172" s="604">
        <v>0</v>
      </c>
      <c r="U172" s="604">
        <v>4480000</v>
      </c>
      <c r="V172" s="605">
        <v>2260000</v>
      </c>
      <c r="W172" s="596"/>
      <c r="X172" s="604">
        <v>0</v>
      </c>
      <c r="Y172" s="604">
        <v>226000</v>
      </c>
      <c r="Z172" s="604">
        <v>2486000</v>
      </c>
      <c r="AA172" s="604">
        <v>4972053</v>
      </c>
      <c r="AB172" s="604">
        <v>0</v>
      </c>
      <c r="AC172" s="606">
        <v>7458000</v>
      </c>
      <c r="AD172" s="604">
        <v>53</v>
      </c>
      <c r="AE172" s="603">
        <v>2</v>
      </c>
      <c r="AF172" s="607">
        <v>2486053</v>
      </c>
      <c r="AG172" s="608" t="s">
        <v>13404</v>
      </c>
      <c r="AH172" s="608" t="s">
        <v>12303</v>
      </c>
      <c r="AI172" s="603" t="s">
        <v>1128</v>
      </c>
      <c r="AJ172" s="603" t="s">
        <v>12202</v>
      </c>
      <c r="AK172" s="603" t="s">
        <v>12203</v>
      </c>
      <c r="AL172" s="599" t="s">
        <v>12729</v>
      </c>
      <c r="AM172" s="609" t="s">
        <v>12444</v>
      </c>
      <c r="AN172" s="610" t="s">
        <v>13405</v>
      </c>
      <c r="AO172" s="610" t="s">
        <v>12206</v>
      </c>
      <c r="AP172" s="610" t="s">
        <v>12207</v>
      </c>
      <c r="AQ172" s="609" t="s">
        <v>12689</v>
      </c>
      <c r="AR172" s="599" t="s">
        <v>12690</v>
      </c>
      <c r="AS172" s="603" t="s">
        <v>423</v>
      </c>
      <c r="AT172" s="609" t="s">
        <v>13406</v>
      </c>
    </row>
    <row r="173" spans="1:46" ht="22.9" customHeight="1">
      <c r="A173" s="595" t="s">
        <v>13407</v>
      </c>
      <c r="B173" s="596" t="s">
        <v>8553</v>
      </c>
      <c r="C173" s="597" t="s">
        <v>12212</v>
      </c>
      <c r="D173" s="598"/>
      <c r="E173" s="599" t="s">
        <v>13408</v>
      </c>
      <c r="F173" s="600" t="s">
        <v>9735</v>
      </c>
      <c r="G173" s="601" t="s">
        <v>13409</v>
      </c>
      <c r="H173" s="601" t="s">
        <v>13410</v>
      </c>
      <c r="I173" s="596" t="s">
        <v>12225</v>
      </c>
      <c r="J173" s="596" t="s">
        <v>335</v>
      </c>
      <c r="K173" s="599" t="s">
        <v>12197</v>
      </c>
      <c r="L173" s="599" t="s">
        <v>12198</v>
      </c>
      <c r="M173" s="602" t="s">
        <v>12199</v>
      </c>
      <c r="N173" s="603" t="s">
        <v>7673</v>
      </c>
      <c r="O173" s="599">
        <v>512</v>
      </c>
      <c r="P173" s="604">
        <v>0</v>
      </c>
      <c r="Q173" s="604">
        <v>0</v>
      </c>
      <c r="R173" s="605">
        <v>-1333.3333333333333</v>
      </c>
      <c r="S173" s="604">
        <v>0</v>
      </c>
      <c r="T173" s="604">
        <v>0</v>
      </c>
      <c r="U173" s="604">
        <v>4480000</v>
      </c>
      <c r="V173" s="611">
        <v>-150666.66666666669</v>
      </c>
      <c r="W173" s="596"/>
      <c r="X173" s="604">
        <v>0</v>
      </c>
      <c r="Y173" s="612">
        <v>-15066.66666666667</v>
      </c>
      <c r="Z173" s="612">
        <v>-165733.33333333334</v>
      </c>
      <c r="AA173" s="604">
        <v>4972518</v>
      </c>
      <c r="AB173" s="604">
        <v>0</v>
      </c>
      <c r="AC173" s="606">
        <v>4806000</v>
      </c>
      <c r="AD173" s="604">
        <v>785</v>
      </c>
      <c r="AE173" s="603">
        <v>0</v>
      </c>
      <c r="AF173" s="607">
        <v>-165215.33333332837</v>
      </c>
      <c r="AG173" s="608" t="s">
        <v>13411</v>
      </c>
      <c r="AH173" s="608" t="s">
        <v>13412</v>
      </c>
      <c r="AI173" s="603" t="s">
        <v>13410</v>
      </c>
      <c r="AJ173" s="603" t="s">
        <v>12202</v>
      </c>
      <c r="AK173" s="603" t="s">
        <v>12203</v>
      </c>
      <c r="AL173" s="599" t="s">
        <v>12729</v>
      </c>
      <c r="AM173" s="609" t="s">
        <v>12444</v>
      </c>
      <c r="AN173" s="610" t="s">
        <v>8799</v>
      </c>
      <c r="AO173" s="610" t="s">
        <v>12206</v>
      </c>
      <c r="AP173" s="610" t="s">
        <v>13413</v>
      </c>
      <c r="AQ173" s="609" t="s">
        <v>12566</v>
      </c>
      <c r="AR173" s="599" t="s">
        <v>12567</v>
      </c>
      <c r="AS173" s="603" t="s">
        <v>423</v>
      </c>
      <c r="AT173" s="609" t="s">
        <v>13414</v>
      </c>
    </row>
    <row r="174" spans="1:46" ht="22.15" customHeight="1">
      <c r="A174" s="595" t="s">
        <v>13415</v>
      </c>
      <c r="B174" s="596" t="s">
        <v>8553</v>
      </c>
      <c r="C174" s="597" t="s">
        <v>12212</v>
      </c>
      <c r="D174" s="598"/>
      <c r="E174" s="599" t="s">
        <v>13416</v>
      </c>
      <c r="F174" s="600" t="s">
        <v>9735</v>
      </c>
      <c r="G174" s="601" t="s">
        <v>13417</v>
      </c>
      <c r="H174" s="601" t="s">
        <v>1356</v>
      </c>
      <c r="I174" s="596" t="s">
        <v>12225</v>
      </c>
      <c r="J174" s="596" t="s">
        <v>335</v>
      </c>
      <c r="K174" s="599" t="s">
        <v>12197</v>
      </c>
      <c r="L174" s="599" t="s">
        <v>12198</v>
      </c>
      <c r="M174" s="602" t="s">
        <v>12199</v>
      </c>
      <c r="N174" s="603" t="s">
        <v>7673</v>
      </c>
      <c r="O174" s="599">
        <v>512</v>
      </c>
      <c r="P174" s="604">
        <v>0</v>
      </c>
      <c r="Q174" s="604">
        <v>0</v>
      </c>
      <c r="R174" s="605">
        <v>20000</v>
      </c>
      <c r="S174" s="604">
        <v>0</v>
      </c>
      <c r="T174" s="604">
        <v>0</v>
      </c>
      <c r="U174" s="604">
        <v>4480000</v>
      </c>
      <c r="V174" s="605">
        <v>2260000</v>
      </c>
      <c r="W174" s="596"/>
      <c r="X174" s="604">
        <v>0</v>
      </c>
      <c r="Y174" s="604">
        <v>226000</v>
      </c>
      <c r="Z174" s="604">
        <v>2486000</v>
      </c>
      <c r="AA174" s="604">
        <v>4972593</v>
      </c>
      <c r="AB174" s="604">
        <v>0</v>
      </c>
      <c r="AC174" s="606">
        <v>7458000</v>
      </c>
      <c r="AD174" s="604">
        <v>593</v>
      </c>
      <c r="AE174" s="603">
        <v>2</v>
      </c>
      <c r="AF174" s="607">
        <v>2486593</v>
      </c>
      <c r="AG174" s="608" t="s">
        <v>13418</v>
      </c>
      <c r="AH174" s="608" t="s">
        <v>12227</v>
      </c>
      <c r="AI174" s="603" t="s">
        <v>1356</v>
      </c>
      <c r="AJ174" s="603" t="s">
        <v>12202</v>
      </c>
      <c r="AK174" s="603" t="s">
        <v>12203</v>
      </c>
      <c r="AL174" s="599" t="s">
        <v>12729</v>
      </c>
      <c r="AM174" s="609" t="s">
        <v>12444</v>
      </c>
      <c r="AN174" s="610" t="s">
        <v>13419</v>
      </c>
      <c r="AO174" s="610" t="s">
        <v>12206</v>
      </c>
      <c r="AP174" s="610" t="s">
        <v>12207</v>
      </c>
      <c r="AQ174" s="609" t="s">
        <v>12925</v>
      </c>
      <c r="AR174" s="599" t="s">
        <v>12926</v>
      </c>
      <c r="AS174" s="603" t="s">
        <v>423</v>
      </c>
      <c r="AT174" s="609" t="s">
        <v>13420</v>
      </c>
    </row>
    <row r="175" spans="1:46" ht="22.9" customHeight="1">
      <c r="A175" s="595" t="s">
        <v>13421</v>
      </c>
      <c r="B175" s="596" t="s">
        <v>8553</v>
      </c>
      <c r="C175" s="597" t="s">
        <v>12212</v>
      </c>
      <c r="D175" s="598"/>
      <c r="E175" s="599" t="s">
        <v>13422</v>
      </c>
      <c r="F175" s="600" t="s">
        <v>9735</v>
      </c>
      <c r="G175" s="601" t="s">
        <v>13423</v>
      </c>
      <c r="H175" s="601" t="s">
        <v>1170</v>
      </c>
      <c r="I175" s="596" t="s">
        <v>12225</v>
      </c>
      <c r="J175" s="596" t="s">
        <v>335</v>
      </c>
      <c r="K175" s="599" t="s">
        <v>12197</v>
      </c>
      <c r="L175" s="599" t="s">
        <v>12198</v>
      </c>
      <c r="M175" s="602" t="s">
        <v>12199</v>
      </c>
      <c r="N175" s="603" t="s">
        <v>7673</v>
      </c>
      <c r="O175" s="599">
        <v>512</v>
      </c>
      <c r="P175" s="604">
        <v>0</v>
      </c>
      <c r="Q175" s="604">
        <v>0</v>
      </c>
      <c r="R175" s="605">
        <v>-2666.6666666666665</v>
      </c>
      <c r="S175" s="604">
        <v>0</v>
      </c>
      <c r="T175" s="604">
        <v>0</v>
      </c>
      <c r="U175" s="604">
        <v>4480000</v>
      </c>
      <c r="V175" s="611">
        <v>-301333.33333333337</v>
      </c>
      <c r="W175" s="596"/>
      <c r="X175" s="604">
        <v>0</v>
      </c>
      <c r="Y175" s="612">
        <v>-30133.333333333339</v>
      </c>
      <c r="Z175" s="612">
        <v>-331466.66666666669</v>
      </c>
      <c r="AA175" s="604">
        <v>4972218</v>
      </c>
      <c r="AB175" s="604">
        <v>0</v>
      </c>
      <c r="AC175" s="606">
        <v>4640000</v>
      </c>
      <c r="AD175" s="604">
        <v>752</v>
      </c>
      <c r="AE175" s="603">
        <v>0</v>
      </c>
      <c r="AF175" s="607">
        <v>-331248.66666667163</v>
      </c>
      <c r="AG175" s="608" t="s">
        <v>13424</v>
      </c>
      <c r="AH175" s="608" t="s">
        <v>13374</v>
      </c>
      <c r="AI175" s="603" t="s">
        <v>1170</v>
      </c>
      <c r="AJ175" s="603" t="s">
        <v>12202</v>
      </c>
      <c r="AK175" s="603" t="s">
        <v>12203</v>
      </c>
      <c r="AL175" s="599" t="s">
        <v>12729</v>
      </c>
      <c r="AM175" s="609" t="s">
        <v>12444</v>
      </c>
      <c r="AN175" s="610" t="s">
        <v>13425</v>
      </c>
      <c r="AO175" s="610" t="s">
        <v>12206</v>
      </c>
      <c r="AP175" s="610" t="s">
        <v>13376</v>
      </c>
      <c r="AQ175" s="609" t="s">
        <v>12469</v>
      </c>
      <c r="AR175" s="599" t="s">
        <v>12470</v>
      </c>
      <c r="AS175" s="603" t="s">
        <v>423</v>
      </c>
      <c r="AT175" s="609" t="s">
        <v>13426</v>
      </c>
    </row>
    <row r="176" spans="1:46" ht="22.9" customHeight="1">
      <c r="A176" s="595" t="s">
        <v>13427</v>
      </c>
      <c r="B176" s="596" t="s">
        <v>8553</v>
      </c>
      <c r="C176" s="597" t="s">
        <v>12212</v>
      </c>
      <c r="D176" s="598"/>
      <c r="E176" s="599" t="s">
        <v>13428</v>
      </c>
      <c r="F176" s="600" t="s">
        <v>9735</v>
      </c>
      <c r="G176" s="601" t="s">
        <v>13429</v>
      </c>
      <c r="H176" s="601" t="s">
        <v>13430</v>
      </c>
      <c r="I176" s="596" t="s">
        <v>12660</v>
      </c>
      <c r="J176" s="596" t="s">
        <v>335</v>
      </c>
      <c r="K176" s="599" t="s">
        <v>12197</v>
      </c>
      <c r="L176" s="599" t="s">
        <v>12198</v>
      </c>
      <c r="M176" s="602" t="s">
        <v>12199</v>
      </c>
      <c r="N176" s="603" t="s">
        <v>7673</v>
      </c>
      <c r="O176" s="599">
        <v>128</v>
      </c>
      <c r="P176" s="604">
        <v>0</v>
      </c>
      <c r="Q176" s="604">
        <v>0</v>
      </c>
      <c r="R176" s="605">
        <v>20000</v>
      </c>
      <c r="S176" s="604">
        <v>0</v>
      </c>
      <c r="T176" s="604">
        <v>0</v>
      </c>
      <c r="U176" s="604">
        <v>1120000</v>
      </c>
      <c r="V176" s="605">
        <v>580000</v>
      </c>
      <c r="W176" s="596"/>
      <c r="X176" s="604">
        <v>0</v>
      </c>
      <c r="Y176" s="604">
        <v>58000</v>
      </c>
      <c r="Z176" s="604">
        <v>638000</v>
      </c>
      <c r="AA176" s="604">
        <v>1276068</v>
      </c>
      <c r="AB176" s="604">
        <v>0</v>
      </c>
      <c r="AC176" s="606">
        <v>1914000</v>
      </c>
      <c r="AD176" s="604">
        <v>68</v>
      </c>
      <c r="AE176" s="603">
        <v>2</v>
      </c>
      <c r="AF176" s="607">
        <v>-637932</v>
      </c>
      <c r="AG176" s="608" t="s">
        <v>13431</v>
      </c>
      <c r="AH176" s="608" t="s">
        <v>13432</v>
      </c>
      <c r="AI176" s="603" t="s">
        <v>13430</v>
      </c>
      <c r="AJ176" s="603" t="s">
        <v>12202</v>
      </c>
      <c r="AK176" s="603" t="s">
        <v>12203</v>
      </c>
      <c r="AL176" s="599" t="s">
        <v>12729</v>
      </c>
      <c r="AM176" s="609" t="s">
        <v>12444</v>
      </c>
      <c r="AN176" s="610" t="s">
        <v>13433</v>
      </c>
      <c r="AO176" s="610" t="s">
        <v>12206</v>
      </c>
      <c r="AP176" s="610" t="s">
        <v>12207</v>
      </c>
      <c r="AQ176" s="609" t="s">
        <v>13434</v>
      </c>
      <c r="AR176" s="599" t="s">
        <v>13435</v>
      </c>
      <c r="AS176" s="603" t="s">
        <v>423</v>
      </c>
      <c r="AT176" s="609" t="s">
        <v>13436</v>
      </c>
    </row>
    <row r="177" spans="1:46" ht="22.15" customHeight="1">
      <c r="A177" s="595" t="s">
        <v>13437</v>
      </c>
      <c r="B177" s="596" t="s">
        <v>8553</v>
      </c>
      <c r="C177" s="597" t="s">
        <v>12212</v>
      </c>
      <c r="D177" s="598"/>
      <c r="E177" s="599" t="s">
        <v>13438</v>
      </c>
      <c r="F177" s="600" t="s">
        <v>9735</v>
      </c>
      <c r="G177" s="601" t="s">
        <v>13439</v>
      </c>
      <c r="H177" s="601" t="s">
        <v>13440</v>
      </c>
      <c r="I177" s="596" t="s">
        <v>12225</v>
      </c>
      <c r="J177" s="596" t="s">
        <v>335</v>
      </c>
      <c r="K177" s="599" t="s">
        <v>12197</v>
      </c>
      <c r="L177" s="599" t="s">
        <v>12198</v>
      </c>
      <c r="M177" s="602" t="s">
        <v>12199</v>
      </c>
      <c r="N177" s="603" t="s">
        <v>7673</v>
      </c>
      <c r="O177" s="599">
        <v>512</v>
      </c>
      <c r="P177" s="604">
        <v>0</v>
      </c>
      <c r="Q177" s="604">
        <v>0</v>
      </c>
      <c r="R177" s="605">
        <v>20000</v>
      </c>
      <c r="S177" s="604">
        <v>0</v>
      </c>
      <c r="T177" s="604">
        <v>0</v>
      </c>
      <c r="U177" s="604">
        <v>4480000</v>
      </c>
      <c r="V177" s="605">
        <v>2260000</v>
      </c>
      <c r="W177" s="596"/>
      <c r="X177" s="604">
        <v>0</v>
      </c>
      <c r="Y177" s="604">
        <v>226000</v>
      </c>
      <c r="Z177" s="604">
        <v>2486000</v>
      </c>
      <c r="AA177" s="604">
        <v>4972949</v>
      </c>
      <c r="AB177" s="604">
        <v>0</v>
      </c>
      <c r="AC177" s="606">
        <v>7458000</v>
      </c>
      <c r="AD177" s="604">
        <v>949</v>
      </c>
      <c r="AE177" s="603">
        <v>2</v>
      </c>
      <c r="AF177" s="607">
        <v>2486949</v>
      </c>
      <c r="AG177" s="608" t="s">
        <v>13441</v>
      </c>
      <c r="AH177" s="608" t="s">
        <v>12329</v>
      </c>
      <c r="AI177" s="603" t="s">
        <v>13440</v>
      </c>
      <c r="AJ177" s="603" t="s">
        <v>12202</v>
      </c>
      <c r="AK177" s="603" t="s">
        <v>12203</v>
      </c>
      <c r="AL177" s="599" t="s">
        <v>12729</v>
      </c>
      <c r="AM177" s="609" t="s">
        <v>12444</v>
      </c>
      <c r="AN177" s="610" t="s">
        <v>13442</v>
      </c>
      <c r="AO177" s="610" t="s">
        <v>12206</v>
      </c>
      <c r="AP177" s="610" t="s">
        <v>12207</v>
      </c>
      <c r="AQ177" s="609" t="s">
        <v>12859</v>
      </c>
      <c r="AR177" s="599" t="s">
        <v>12860</v>
      </c>
      <c r="AS177" s="603" t="s">
        <v>423</v>
      </c>
      <c r="AT177" s="609" t="s">
        <v>13443</v>
      </c>
    </row>
    <row r="178" spans="1:46" ht="22.9" customHeight="1">
      <c r="A178" s="595" t="s">
        <v>13444</v>
      </c>
      <c r="B178" s="596" t="s">
        <v>8553</v>
      </c>
      <c r="C178" s="597" t="s">
        <v>12212</v>
      </c>
      <c r="D178" s="598"/>
      <c r="E178" s="599" t="s">
        <v>13445</v>
      </c>
      <c r="F178" s="600" t="s">
        <v>9735</v>
      </c>
      <c r="G178" s="601" t="s">
        <v>13446</v>
      </c>
      <c r="H178" s="601" t="s">
        <v>13447</v>
      </c>
      <c r="I178" s="596" t="s">
        <v>12225</v>
      </c>
      <c r="J178" s="596" t="s">
        <v>335</v>
      </c>
      <c r="K178" s="599" t="s">
        <v>12197</v>
      </c>
      <c r="L178" s="599" t="s">
        <v>12198</v>
      </c>
      <c r="M178" s="602" t="s">
        <v>12199</v>
      </c>
      <c r="N178" s="603" t="s">
        <v>7673</v>
      </c>
      <c r="O178" s="599">
        <v>512</v>
      </c>
      <c r="P178" s="604">
        <v>0</v>
      </c>
      <c r="Q178" s="604">
        <v>0</v>
      </c>
      <c r="R178" s="605">
        <v>20000</v>
      </c>
      <c r="S178" s="604">
        <v>0</v>
      </c>
      <c r="T178" s="604">
        <v>0</v>
      </c>
      <c r="U178" s="604">
        <v>4480000</v>
      </c>
      <c r="V178" s="605">
        <v>2260000</v>
      </c>
      <c r="W178" s="596"/>
      <c r="X178" s="604">
        <v>0</v>
      </c>
      <c r="Y178" s="604">
        <v>226000</v>
      </c>
      <c r="Z178" s="604">
        <v>2486000</v>
      </c>
      <c r="AA178" s="604">
        <v>4972618</v>
      </c>
      <c r="AB178" s="604">
        <v>0</v>
      </c>
      <c r="AC178" s="606">
        <v>7458000</v>
      </c>
      <c r="AD178" s="604">
        <v>618</v>
      </c>
      <c r="AE178" s="603">
        <v>2</v>
      </c>
      <c r="AF178" s="607">
        <v>2486618</v>
      </c>
      <c r="AG178" s="608" t="s">
        <v>13448</v>
      </c>
      <c r="AH178" s="608" t="s">
        <v>12247</v>
      </c>
      <c r="AI178" s="603" t="s">
        <v>13447</v>
      </c>
      <c r="AJ178" s="603" t="s">
        <v>12202</v>
      </c>
      <c r="AK178" s="603" t="s">
        <v>12203</v>
      </c>
      <c r="AL178" s="599" t="s">
        <v>12729</v>
      </c>
      <c r="AM178" s="609" t="s">
        <v>12444</v>
      </c>
      <c r="AN178" s="610" t="s">
        <v>8471</v>
      </c>
      <c r="AO178" s="610" t="s">
        <v>12206</v>
      </c>
      <c r="AP178" s="610" t="s">
        <v>12207</v>
      </c>
      <c r="AQ178" s="609" t="s">
        <v>12370</v>
      </c>
      <c r="AR178" s="599" t="s">
        <v>12371</v>
      </c>
      <c r="AS178" s="603" t="s">
        <v>423</v>
      </c>
      <c r="AT178" s="609" t="s">
        <v>13449</v>
      </c>
    </row>
    <row r="179" spans="1:46" ht="22.9" customHeight="1">
      <c r="A179" s="595" t="s">
        <v>13450</v>
      </c>
      <c r="B179" s="596" t="s">
        <v>8553</v>
      </c>
      <c r="C179" s="597" t="s">
        <v>12212</v>
      </c>
      <c r="D179" s="598"/>
      <c r="E179" s="599" t="s">
        <v>13451</v>
      </c>
      <c r="F179" s="600" t="s">
        <v>9735</v>
      </c>
      <c r="G179" s="601" t="s">
        <v>13452</v>
      </c>
      <c r="H179" s="601" t="s">
        <v>13453</v>
      </c>
      <c r="I179" s="596" t="s">
        <v>12225</v>
      </c>
      <c r="J179" s="596" t="s">
        <v>335</v>
      </c>
      <c r="K179" s="599" t="s">
        <v>12197</v>
      </c>
      <c r="L179" s="599" t="s">
        <v>12198</v>
      </c>
      <c r="M179" s="602" t="s">
        <v>12199</v>
      </c>
      <c r="N179" s="603" t="s">
        <v>7673</v>
      </c>
      <c r="O179" s="599">
        <v>512</v>
      </c>
      <c r="P179" s="604">
        <v>0</v>
      </c>
      <c r="Q179" s="604">
        <v>0</v>
      </c>
      <c r="R179" s="605">
        <v>-4000</v>
      </c>
      <c r="S179" s="604">
        <v>0</v>
      </c>
      <c r="T179" s="604">
        <v>0</v>
      </c>
      <c r="U179" s="604">
        <v>4480000</v>
      </c>
      <c r="V179" s="611">
        <v>-452000</v>
      </c>
      <c r="W179" s="596"/>
      <c r="X179" s="604">
        <v>0</v>
      </c>
      <c r="Y179" s="612">
        <v>-45200</v>
      </c>
      <c r="Z179" s="612">
        <v>-497200</v>
      </c>
      <c r="AA179" s="604">
        <v>4972593</v>
      </c>
      <c r="AB179" s="604">
        <v>0</v>
      </c>
      <c r="AC179" s="606">
        <v>4475000</v>
      </c>
      <c r="AD179" s="604">
        <v>393</v>
      </c>
      <c r="AE179" s="603">
        <v>0</v>
      </c>
      <c r="AF179" s="607">
        <v>-496607</v>
      </c>
      <c r="AG179" s="608" t="s">
        <v>13454</v>
      </c>
      <c r="AH179" s="608" t="s">
        <v>13455</v>
      </c>
      <c r="AI179" s="603" t="s">
        <v>13453</v>
      </c>
      <c r="AJ179" s="603" t="s">
        <v>12202</v>
      </c>
      <c r="AK179" s="603" t="s">
        <v>12203</v>
      </c>
      <c r="AL179" s="599" t="s">
        <v>12729</v>
      </c>
      <c r="AM179" s="609" t="s">
        <v>12444</v>
      </c>
      <c r="AN179" s="610" t="s">
        <v>8743</v>
      </c>
      <c r="AO179" s="610" t="s">
        <v>12206</v>
      </c>
      <c r="AP179" s="610" t="s">
        <v>13456</v>
      </c>
      <c r="AQ179" s="609" t="s">
        <v>13457</v>
      </c>
      <c r="AR179" s="599" t="s">
        <v>13458</v>
      </c>
      <c r="AS179" s="603" t="s">
        <v>423</v>
      </c>
      <c r="AT179" s="609" t="s">
        <v>13459</v>
      </c>
    </row>
    <row r="180" spans="1:46" ht="22.15" customHeight="1">
      <c r="A180" s="595" t="s">
        <v>13460</v>
      </c>
      <c r="B180" s="596" t="s">
        <v>8553</v>
      </c>
      <c r="C180" s="597" t="s">
        <v>12212</v>
      </c>
      <c r="D180" s="598"/>
      <c r="E180" s="599" t="s">
        <v>13461</v>
      </c>
      <c r="F180" s="600" t="s">
        <v>9735</v>
      </c>
      <c r="G180" s="601" t="s">
        <v>13462</v>
      </c>
      <c r="H180" s="601" t="s">
        <v>13463</v>
      </c>
      <c r="I180" s="596" t="s">
        <v>12225</v>
      </c>
      <c r="J180" s="596" t="s">
        <v>335</v>
      </c>
      <c r="K180" s="599" t="s">
        <v>12197</v>
      </c>
      <c r="L180" s="599" t="s">
        <v>12198</v>
      </c>
      <c r="M180" s="602" t="s">
        <v>12199</v>
      </c>
      <c r="N180" s="603" t="s">
        <v>7673</v>
      </c>
      <c r="O180" s="599">
        <v>512</v>
      </c>
      <c r="P180" s="604">
        <v>0</v>
      </c>
      <c r="Q180" s="604">
        <v>0</v>
      </c>
      <c r="R180" s="605">
        <v>20000</v>
      </c>
      <c r="S180" s="604">
        <v>0</v>
      </c>
      <c r="T180" s="604">
        <v>0</v>
      </c>
      <c r="U180" s="604">
        <v>4480000</v>
      </c>
      <c r="V180" s="605">
        <v>2260000</v>
      </c>
      <c r="W180" s="596"/>
      <c r="X180" s="604">
        <v>0</v>
      </c>
      <c r="Y180" s="604">
        <v>226000</v>
      </c>
      <c r="Z180" s="604">
        <v>2486000</v>
      </c>
      <c r="AA180" s="604">
        <v>4972907</v>
      </c>
      <c r="AB180" s="604">
        <v>0</v>
      </c>
      <c r="AC180" s="606">
        <v>7458000</v>
      </c>
      <c r="AD180" s="604">
        <v>907</v>
      </c>
      <c r="AE180" s="603">
        <v>2</v>
      </c>
      <c r="AF180" s="607">
        <v>2486907</v>
      </c>
      <c r="AG180" s="608" t="s">
        <v>13464</v>
      </c>
      <c r="AH180" s="608" t="s">
        <v>12303</v>
      </c>
      <c r="AI180" s="603" t="s">
        <v>13463</v>
      </c>
      <c r="AJ180" s="603" t="s">
        <v>12202</v>
      </c>
      <c r="AK180" s="603" t="s">
        <v>12203</v>
      </c>
      <c r="AL180" s="599" t="s">
        <v>12729</v>
      </c>
      <c r="AM180" s="609" t="s">
        <v>12444</v>
      </c>
      <c r="AN180" s="610" t="s">
        <v>13465</v>
      </c>
      <c r="AO180" s="610" t="s">
        <v>12206</v>
      </c>
      <c r="AP180" s="610" t="s">
        <v>12207</v>
      </c>
      <c r="AQ180" s="609" t="s">
        <v>12612</v>
      </c>
      <c r="AR180" s="599" t="s">
        <v>12613</v>
      </c>
      <c r="AS180" s="603" t="s">
        <v>423</v>
      </c>
      <c r="AT180" s="609" t="s">
        <v>13466</v>
      </c>
    </row>
    <row r="181" spans="1:46" ht="22.9" customHeight="1">
      <c r="A181" s="595" t="s">
        <v>13467</v>
      </c>
      <c r="B181" s="596" t="s">
        <v>8553</v>
      </c>
      <c r="C181" s="597" t="s">
        <v>12212</v>
      </c>
      <c r="D181" s="598"/>
      <c r="E181" s="599" t="s">
        <v>13468</v>
      </c>
      <c r="F181" s="600" t="s">
        <v>9735</v>
      </c>
      <c r="G181" s="601" t="s">
        <v>13469</v>
      </c>
      <c r="H181" s="601" t="s">
        <v>13470</v>
      </c>
      <c r="I181" s="596" t="s">
        <v>12225</v>
      </c>
      <c r="J181" s="596" t="s">
        <v>335</v>
      </c>
      <c r="K181" s="599" t="s">
        <v>12197</v>
      </c>
      <c r="L181" s="599" t="s">
        <v>12198</v>
      </c>
      <c r="M181" s="602" t="s">
        <v>12199</v>
      </c>
      <c r="N181" s="603" t="s">
        <v>7673</v>
      </c>
      <c r="O181" s="599">
        <v>512</v>
      </c>
      <c r="P181" s="604">
        <v>0</v>
      </c>
      <c r="Q181" s="604">
        <v>0</v>
      </c>
      <c r="R181" s="605">
        <v>4000</v>
      </c>
      <c r="S181" s="604">
        <v>0</v>
      </c>
      <c r="T181" s="604">
        <v>0</v>
      </c>
      <c r="U181" s="604">
        <v>6400000</v>
      </c>
      <c r="V181" s="605">
        <v>644000</v>
      </c>
      <c r="W181" s="596"/>
      <c r="X181" s="604">
        <v>0</v>
      </c>
      <c r="Y181" s="604">
        <v>64400</v>
      </c>
      <c r="Z181" s="604">
        <v>708400</v>
      </c>
      <c r="AA181" s="604">
        <v>7084383</v>
      </c>
      <c r="AB181" s="604">
        <v>0</v>
      </c>
      <c r="AC181" s="606">
        <v>7792000</v>
      </c>
      <c r="AD181" s="604">
        <v>783</v>
      </c>
      <c r="AE181" s="603">
        <v>2</v>
      </c>
      <c r="AF181" s="607">
        <v>708783</v>
      </c>
      <c r="AG181" s="608" t="s">
        <v>13471</v>
      </c>
      <c r="AH181" s="608" t="s">
        <v>13472</v>
      </c>
      <c r="AI181" s="603" t="s">
        <v>13470</v>
      </c>
      <c r="AJ181" s="603" t="s">
        <v>12202</v>
      </c>
      <c r="AK181" s="603" t="s">
        <v>12203</v>
      </c>
      <c r="AL181" s="599" t="s">
        <v>12729</v>
      </c>
      <c r="AM181" s="609" t="s">
        <v>12444</v>
      </c>
      <c r="AN181" s="610" t="s">
        <v>13473</v>
      </c>
      <c r="AO181" s="610" t="s">
        <v>12206</v>
      </c>
      <c r="AP181" s="610" t="s">
        <v>13474</v>
      </c>
      <c r="AQ181" s="609" t="s">
        <v>13475</v>
      </c>
      <c r="AR181" s="599" t="s">
        <v>13476</v>
      </c>
      <c r="AS181" s="603" t="s">
        <v>423</v>
      </c>
      <c r="AT181" s="609" t="s">
        <v>13477</v>
      </c>
    </row>
    <row r="182" spans="1:46" ht="22.9" customHeight="1">
      <c r="A182" s="595" t="s">
        <v>13478</v>
      </c>
      <c r="B182" s="596" t="s">
        <v>8553</v>
      </c>
      <c r="C182" s="597" t="s">
        <v>12212</v>
      </c>
      <c r="D182" s="598"/>
      <c r="E182" s="599" t="s">
        <v>13479</v>
      </c>
      <c r="F182" s="600" t="s">
        <v>9735</v>
      </c>
      <c r="G182" s="601" t="s">
        <v>13480</v>
      </c>
      <c r="H182" s="601" t="s">
        <v>1402</v>
      </c>
      <c r="I182" s="596" t="s">
        <v>12225</v>
      </c>
      <c r="J182" s="596" t="s">
        <v>335</v>
      </c>
      <c r="K182" s="599" t="s">
        <v>12197</v>
      </c>
      <c r="L182" s="599" t="s">
        <v>12198</v>
      </c>
      <c r="M182" s="602" t="s">
        <v>12199</v>
      </c>
      <c r="N182" s="603" t="s">
        <v>7673</v>
      </c>
      <c r="O182" s="599">
        <v>512</v>
      </c>
      <c r="P182" s="604">
        <v>0</v>
      </c>
      <c r="Q182" s="604">
        <v>0</v>
      </c>
      <c r="R182" s="605">
        <v>20000</v>
      </c>
      <c r="S182" s="604">
        <v>0</v>
      </c>
      <c r="T182" s="604">
        <v>0</v>
      </c>
      <c r="U182" s="604">
        <v>4480000</v>
      </c>
      <c r="V182" s="605">
        <v>2260000</v>
      </c>
      <c r="W182" s="596"/>
      <c r="X182" s="604">
        <v>0</v>
      </c>
      <c r="Y182" s="604">
        <v>226000</v>
      </c>
      <c r="Z182" s="604">
        <v>2486000</v>
      </c>
      <c r="AA182" s="604">
        <v>4972893</v>
      </c>
      <c r="AB182" s="604">
        <v>0</v>
      </c>
      <c r="AC182" s="606">
        <v>7458000</v>
      </c>
      <c r="AD182" s="604">
        <v>893</v>
      </c>
      <c r="AE182" s="603">
        <v>2</v>
      </c>
      <c r="AF182" s="607">
        <v>2486893</v>
      </c>
      <c r="AG182" s="608" t="s">
        <v>13481</v>
      </c>
      <c r="AH182" s="608" t="s">
        <v>12320</v>
      </c>
      <c r="AI182" s="603" t="s">
        <v>1402</v>
      </c>
      <c r="AJ182" s="603" t="s">
        <v>12202</v>
      </c>
      <c r="AK182" s="603" t="s">
        <v>12203</v>
      </c>
      <c r="AL182" s="599" t="s">
        <v>12729</v>
      </c>
      <c r="AM182" s="609" t="s">
        <v>12444</v>
      </c>
      <c r="AN182" s="610" t="s">
        <v>8086</v>
      </c>
      <c r="AO182" s="610" t="s">
        <v>12206</v>
      </c>
      <c r="AP182" s="610" t="s">
        <v>12207</v>
      </c>
      <c r="AQ182" s="609" t="s">
        <v>13482</v>
      </c>
      <c r="AR182" s="599" t="s">
        <v>13483</v>
      </c>
      <c r="AS182" s="603" t="s">
        <v>423</v>
      </c>
      <c r="AT182" s="609" t="s">
        <v>13484</v>
      </c>
    </row>
    <row r="183" spans="1:46" ht="22.9" customHeight="1">
      <c r="A183" s="595" t="s">
        <v>13485</v>
      </c>
      <c r="B183" s="596" t="s">
        <v>8553</v>
      </c>
      <c r="C183" s="597" t="s">
        <v>12212</v>
      </c>
      <c r="D183" s="598"/>
      <c r="E183" s="599" t="s">
        <v>13486</v>
      </c>
      <c r="F183" s="600" t="s">
        <v>9735</v>
      </c>
      <c r="G183" s="601" t="s">
        <v>13487</v>
      </c>
      <c r="H183" s="601" t="s">
        <v>4377</v>
      </c>
      <c r="I183" s="596" t="s">
        <v>12255</v>
      </c>
      <c r="J183" s="596" t="s">
        <v>335</v>
      </c>
      <c r="K183" s="599" t="s">
        <v>12197</v>
      </c>
      <c r="L183" s="599" t="s">
        <v>12198</v>
      </c>
      <c r="M183" s="602" t="s">
        <v>12199</v>
      </c>
      <c r="N183" s="603" t="s">
        <v>7673</v>
      </c>
      <c r="O183" s="599">
        <v>2048</v>
      </c>
      <c r="P183" s="604">
        <v>0</v>
      </c>
      <c r="Q183" s="604">
        <v>0</v>
      </c>
      <c r="R183" s="605">
        <v>0</v>
      </c>
      <c r="S183" s="604">
        <v>0</v>
      </c>
      <c r="T183" s="604">
        <v>0</v>
      </c>
      <c r="U183" s="604">
        <v>15680000</v>
      </c>
      <c r="V183" s="605">
        <v>7840000</v>
      </c>
      <c r="W183" s="596"/>
      <c r="X183" s="604">
        <v>0</v>
      </c>
      <c r="Y183" s="604">
        <v>784000</v>
      </c>
      <c r="Z183" s="604">
        <v>8624000</v>
      </c>
      <c r="AA183" s="604">
        <v>17248473</v>
      </c>
      <c r="AB183" s="604">
        <v>0</v>
      </c>
      <c r="AC183" s="606">
        <v>25872000</v>
      </c>
      <c r="AD183" s="604">
        <v>473</v>
      </c>
      <c r="AE183" s="603">
        <v>2</v>
      </c>
      <c r="AF183" s="607">
        <v>8624473</v>
      </c>
      <c r="AG183" s="608" t="s">
        <v>13488</v>
      </c>
      <c r="AH183" s="608" t="s">
        <v>13489</v>
      </c>
      <c r="AI183" s="603" t="s">
        <v>4377</v>
      </c>
      <c r="AJ183" s="603" t="s">
        <v>12202</v>
      </c>
      <c r="AK183" s="603" t="s">
        <v>12203</v>
      </c>
      <c r="AL183" s="599" t="s">
        <v>12729</v>
      </c>
      <c r="AM183" s="609" t="s">
        <v>12444</v>
      </c>
      <c r="AN183" s="610" t="s">
        <v>13490</v>
      </c>
      <c r="AO183" s="610" t="s">
        <v>12206</v>
      </c>
      <c r="AP183" s="610" t="s">
        <v>12207</v>
      </c>
      <c r="AQ183" s="609" t="s">
        <v>12654</v>
      </c>
      <c r="AR183" s="599" t="s">
        <v>12655</v>
      </c>
      <c r="AS183" s="603" t="s">
        <v>423</v>
      </c>
      <c r="AT183" s="609" t="s">
        <v>13491</v>
      </c>
    </row>
    <row r="184" spans="1:46" ht="22.15" customHeight="1">
      <c r="A184" s="595" t="s">
        <v>13492</v>
      </c>
      <c r="B184" s="596" t="s">
        <v>8553</v>
      </c>
      <c r="C184" s="597" t="s">
        <v>12212</v>
      </c>
      <c r="D184" s="598"/>
      <c r="E184" s="599" t="s">
        <v>13493</v>
      </c>
      <c r="F184" s="600" t="s">
        <v>9735</v>
      </c>
      <c r="G184" s="601" t="s">
        <v>13494</v>
      </c>
      <c r="H184" s="601" t="s">
        <v>13495</v>
      </c>
      <c r="I184" s="596" t="s">
        <v>12225</v>
      </c>
      <c r="J184" s="596" t="s">
        <v>335</v>
      </c>
      <c r="K184" s="599" t="s">
        <v>12197</v>
      </c>
      <c r="L184" s="599" t="s">
        <v>12198</v>
      </c>
      <c r="M184" s="602" t="s">
        <v>12199</v>
      </c>
      <c r="N184" s="603" t="s">
        <v>7673</v>
      </c>
      <c r="O184" s="599">
        <v>512</v>
      </c>
      <c r="P184" s="604">
        <v>0</v>
      </c>
      <c r="Q184" s="604">
        <v>0</v>
      </c>
      <c r="R184" s="605">
        <v>-2666.6666666666665</v>
      </c>
      <c r="S184" s="604">
        <v>0</v>
      </c>
      <c r="T184" s="604">
        <v>0</v>
      </c>
      <c r="U184" s="604">
        <v>4480000</v>
      </c>
      <c r="V184" s="611">
        <v>-301333.33333333337</v>
      </c>
      <c r="W184" s="596"/>
      <c r="X184" s="604">
        <v>0</v>
      </c>
      <c r="Y184" s="612">
        <v>-30133.333333333339</v>
      </c>
      <c r="Z184" s="612">
        <v>-331466.66666666669</v>
      </c>
      <c r="AA184" s="604">
        <v>4972718</v>
      </c>
      <c r="AB184" s="604">
        <v>0</v>
      </c>
      <c r="AC184" s="606">
        <v>4641000</v>
      </c>
      <c r="AD184" s="604">
        <v>252</v>
      </c>
      <c r="AE184" s="603">
        <v>0</v>
      </c>
      <c r="AF184" s="607">
        <v>-330748.66666666698</v>
      </c>
      <c r="AG184" s="608" t="s">
        <v>13496</v>
      </c>
      <c r="AH184" s="608" t="s">
        <v>13497</v>
      </c>
      <c r="AI184" s="603" t="s">
        <v>13495</v>
      </c>
      <c r="AJ184" s="603" t="s">
        <v>12202</v>
      </c>
      <c r="AK184" s="603" t="s">
        <v>12203</v>
      </c>
      <c r="AL184" s="599" t="s">
        <v>13498</v>
      </c>
      <c r="AM184" s="609" t="s">
        <v>12444</v>
      </c>
      <c r="AN184" s="610" t="s">
        <v>13499</v>
      </c>
      <c r="AO184" s="610" t="s">
        <v>12206</v>
      </c>
      <c r="AP184" s="610" t="s">
        <v>13376</v>
      </c>
      <c r="AQ184" s="609" t="s">
        <v>12527</v>
      </c>
      <c r="AR184" s="599" t="s">
        <v>12528</v>
      </c>
      <c r="AS184" s="603" t="s">
        <v>423</v>
      </c>
      <c r="AT184" s="609" t="s">
        <v>13500</v>
      </c>
    </row>
    <row r="185" spans="1:46" ht="22.9" customHeight="1">
      <c r="A185" s="595" t="s">
        <v>13501</v>
      </c>
      <c r="B185" s="596" t="s">
        <v>8553</v>
      </c>
      <c r="C185" s="597" t="s">
        <v>12212</v>
      </c>
      <c r="D185" s="598"/>
      <c r="E185" s="599" t="s">
        <v>13502</v>
      </c>
      <c r="F185" s="600" t="s">
        <v>9735</v>
      </c>
      <c r="G185" s="601" t="s">
        <v>13503</v>
      </c>
      <c r="H185" s="601" t="s">
        <v>1419</v>
      </c>
      <c r="I185" s="596" t="s">
        <v>12660</v>
      </c>
      <c r="J185" s="596" t="s">
        <v>335</v>
      </c>
      <c r="K185" s="599" t="s">
        <v>12197</v>
      </c>
      <c r="L185" s="599" t="s">
        <v>12198</v>
      </c>
      <c r="M185" s="602" t="s">
        <v>12199</v>
      </c>
      <c r="N185" s="603" t="s">
        <v>7673</v>
      </c>
      <c r="O185" s="599">
        <v>128</v>
      </c>
      <c r="P185" s="604">
        <v>0</v>
      </c>
      <c r="Q185" s="604">
        <v>0</v>
      </c>
      <c r="R185" s="605">
        <v>20000</v>
      </c>
      <c r="S185" s="604">
        <v>0</v>
      </c>
      <c r="T185" s="604">
        <v>0</v>
      </c>
      <c r="U185" s="604">
        <v>1120000</v>
      </c>
      <c r="V185" s="605">
        <v>580000</v>
      </c>
      <c r="W185" s="596"/>
      <c r="X185" s="604">
        <v>0</v>
      </c>
      <c r="Y185" s="604">
        <v>58000</v>
      </c>
      <c r="Z185" s="604">
        <v>638000</v>
      </c>
      <c r="AA185" s="604">
        <v>1276643</v>
      </c>
      <c r="AB185" s="604">
        <v>0</v>
      </c>
      <c r="AC185" s="606">
        <v>1914000</v>
      </c>
      <c r="AD185" s="604">
        <v>643</v>
      </c>
      <c r="AE185" s="603">
        <v>2</v>
      </c>
      <c r="AF185" s="607">
        <v>638643</v>
      </c>
      <c r="AG185" s="608" t="s">
        <v>13504</v>
      </c>
      <c r="AH185" s="608" t="s">
        <v>13505</v>
      </c>
      <c r="AI185" s="603" t="s">
        <v>1419</v>
      </c>
      <c r="AJ185" s="603" t="s">
        <v>12202</v>
      </c>
      <c r="AK185" s="603" t="s">
        <v>12203</v>
      </c>
      <c r="AL185" s="599" t="s">
        <v>12729</v>
      </c>
      <c r="AM185" s="609" t="s">
        <v>12444</v>
      </c>
      <c r="AN185" s="610" t="s">
        <v>13506</v>
      </c>
      <c r="AO185" s="610" t="s">
        <v>12206</v>
      </c>
      <c r="AP185" s="610" t="s">
        <v>12207</v>
      </c>
      <c r="AQ185" s="609" t="s">
        <v>13507</v>
      </c>
      <c r="AR185" s="599" t="s">
        <v>13508</v>
      </c>
      <c r="AS185" s="603" t="s">
        <v>423</v>
      </c>
      <c r="AT185" s="609" t="s">
        <v>13509</v>
      </c>
    </row>
    <row r="186" spans="1:46" ht="22.9" customHeight="1">
      <c r="A186" s="595" t="s">
        <v>13510</v>
      </c>
      <c r="B186" s="596" t="s">
        <v>8553</v>
      </c>
      <c r="C186" s="597" t="s">
        <v>12212</v>
      </c>
      <c r="D186" s="598"/>
      <c r="E186" s="599" t="s">
        <v>13511</v>
      </c>
      <c r="F186" s="600" t="s">
        <v>9735</v>
      </c>
      <c r="G186" s="601" t="s">
        <v>13512</v>
      </c>
      <c r="H186" s="601" t="s">
        <v>938</v>
      </c>
      <c r="I186" s="596" t="s">
        <v>12214</v>
      </c>
      <c r="J186" s="596" t="s">
        <v>107</v>
      </c>
      <c r="K186" s="599" t="s">
        <v>12426</v>
      </c>
      <c r="L186" s="599" t="s">
        <v>12198</v>
      </c>
      <c r="M186" s="602" t="s">
        <v>12199</v>
      </c>
      <c r="N186" s="603" t="s">
        <v>7673</v>
      </c>
      <c r="O186" s="599">
        <v>1024</v>
      </c>
      <c r="P186" s="604">
        <v>0</v>
      </c>
      <c r="Q186" s="604">
        <v>0</v>
      </c>
      <c r="R186" s="605">
        <v>20000</v>
      </c>
      <c r="S186" s="604">
        <v>0</v>
      </c>
      <c r="T186" s="604">
        <v>0</v>
      </c>
      <c r="U186" s="604">
        <v>20800000</v>
      </c>
      <c r="V186" s="605">
        <v>10420000</v>
      </c>
      <c r="W186" s="596"/>
      <c r="X186" s="604">
        <v>0</v>
      </c>
      <c r="Y186" s="604">
        <v>1042000</v>
      </c>
      <c r="Z186" s="604">
        <v>11462000</v>
      </c>
      <c r="AA186" s="604">
        <v>22924400</v>
      </c>
      <c r="AB186" s="604">
        <v>0</v>
      </c>
      <c r="AC186" s="606">
        <v>34386000</v>
      </c>
      <c r="AD186" s="604">
        <v>400</v>
      </c>
      <c r="AE186" s="603">
        <v>2</v>
      </c>
      <c r="AF186" s="607">
        <v>11462400</v>
      </c>
      <c r="AG186" s="608" t="s">
        <v>13513</v>
      </c>
      <c r="AH186" s="608" t="s">
        <v>12428</v>
      </c>
      <c r="AI186" s="603" t="s">
        <v>938</v>
      </c>
      <c r="AJ186" s="603" t="s">
        <v>12202</v>
      </c>
      <c r="AK186" s="603" t="s">
        <v>12203</v>
      </c>
      <c r="AL186" s="599" t="s">
        <v>13514</v>
      </c>
      <c r="AM186" s="609" t="s">
        <v>12444</v>
      </c>
      <c r="AN186" s="610" t="s">
        <v>13515</v>
      </c>
      <c r="AO186" s="610" t="s">
        <v>12206</v>
      </c>
      <c r="AP186" s="610" t="s">
        <v>12207</v>
      </c>
      <c r="AQ186" s="609" t="s">
        <v>13516</v>
      </c>
      <c r="AR186" s="599" t="s">
        <v>13517</v>
      </c>
      <c r="AS186" s="603" t="s">
        <v>423</v>
      </c>
      <c r="AT186" s="609" t="s">
        <v>13518</v>
      </c>
    </row>
    <row r="187" spans="1:46" ht="22.15" customHeight="1">
      <c r="A187" s="595" t="s">
        <v>13519</v>
      </c>
      <c r="B187" s="596" t="s">
        <v>8553</v>
      </c>
      <c r="C187" s="597" t="s">
        <v>12212</v>
      </c>
      <c r="D187" s="598"/>
      <c r="E187" s="599" t="s">
        <v>13520</v>
      </c>
      <c r="F187" s="600" t="s">
        <v>9735</v>
      </c>
      <c r="G187" s="601" t="s">
        <v>13521</v>
      </c>
      <c r="H187" s="601" t="s">
        <v>948</v>
      </c>
      <c r="I187" s="596" t="s">
        <v>12255</v>
      </c>
      <c r="J187" s="596" t="s">
        <v>107</v>
      </c>
      <c r="K187" s="599" t="s">
        <v>12426</v>
      </c>
      <c r="L187" s="599" t="s">
        <v>12198</v>
      </c>
      <c r="M187" s="602" t="s">
        <v>12199</v>
      </c>
      <c r="N187" s="603" t="s">
        <v>7673</v>
      </c>
      <c r="O187" s="599">
        <v>2048</v>
      </c>
      <c r="P187" s="604">
        <v>0</v>
      </c>
      <c r="Q187" s="604">
        <v>0</v>
      </c>
      <c r="R187" s="605">
        <v>20000</v>
      </c>
      <c r="S187" s="604">
        <v>0</v>
      </c>
      <c r="T187" s="604">
        <v>0</v>
      </c>
      <c r="U187" s="604">
        <v>36400000</v>
      </c>
      <c r="V187" s="605">
        <v>18220000</v>
      </c>
      <c r="W187" s="596"/>
      <c r="X187" s="604">
        <v>0</v>
      </c>
      <c r="Y187" s="604">
        <v>1822000</v>
      </c>
      <c r="Z187" s="604">
        <v>20042000</v>
      </c>
      <c r="AA187" s="604">
        <v>40084533</v>
      </c>
      <c r="AB187" s="604">
        <v>0</v>
      </c>
      <c r="AC187" s="606">
        <v>60126000</v>
      </c>
      <c r="AD187" s="604">
        <v>533</v>
      </c>
      <c r="AE187" s="603">
        <v>2</v>
      </c>
      <c r="AF187" s="607">
        <v>20042533</v>
      </c>
      <c r="AG187" s="608" t="s">
        <v>13522</v>
      </c>
      <c r="AH187" s="608" t="s">
        <v>12610</v>
      </c>
      <c r="AI187" s="603" t="s">
        <v>948</v>
      </c>
      <c r="AJ187" s="603" t="s">
        <v>12202</v>
      </c>
      <c r="AK187" s="603" t="s">
        <v>12203</v>
      </c>
      <c r="AL187" s="599" t="s">
        <v>12729</v>
      </c>
      <c r="AM187" s="609" t="s">
        <v>12444</v>
      </c>
      <c r="AN187" s="610" t="s">
        <v>13523</v>
      </c>
      <c r="AO187" s="610" t="s">
        <v>12206</v>
      </c>
      <c r="AP187" s="610" t="s">
        <v>12207</v>
      </c>
      <c r="AQ187" s="609" t="s">
        <v>13065</v>
      </c>
      <c r="AR187" s="599" t="s">
        <v>13066</v>
      </c>
      <c r="AS187" s="603" t="s">
        <v>423</v>
      </c>
      <c r="AT187" s="609" t="s">
        <v>13524</v>
      </c>
    </row>
    <row r="188" spans="1:46" ht="22.9" customHeight="1">
      <c r="A188" s="595" t="s">
        <v>13525</v>
      </c>
      <c r="B188" s="596" t="s">
        <v>8553</v>
      </c>
      <c r="C188" s="597" t="s">
        <v>12212</v>
      </c>
      <c r="D188" s="598"/>
      <c r="E188" s="599"/>
      <c r="F188" s="600" t="s">
        <v>9735</v>
      </c>
      <c r="G188" s="601" t="s">
        <v>13526</v>
      </c>
      <c r="H188" s="601" t="s">
        <v>13527</v>
      </c>
      <c r="I188" s="596" t="s">
        <v>13528</v>
      </c>
      <c r="J188" s="596" t="s">
        <v>107</v>
      </c>
      <c r="K188" s="599" t="s">
        <v>12426</v>
      </c>
      <c r="L188" s="599" t="s">
        <v>12198</v>
      </c>
      <c r="M188" s="602" t="s">
        <v>12199</v>
      </c>
      <c r="N188" s="603" t="s">
        <v>7673</v>
      </c>
      <c r="O188" s="599">
        <v>307200</v>
      </c>
      <c r="P188" s="604">
        <v>0</v>
      </c>
      <c r="Q188" s="604">
        <v>0</v>
      </c>
      <c r="R188" s="605">
        <v>20000</v>
      </c>
      <c r="S188" s="604">
        <v>0</v>
      </c>
      <c r="T188" s="604">
        <v>0</v>
      </c>
      <c r="U188" s="604">
        <v>528387096.70868349</v>
      </c>
      <c r="V188" s="605">
        <v>264213548.35434178</v>
      </c>
      <c r="W188" s="596"/>
      <c r="X188" s="604">
        <v>0</v>
      </c>
      <c r="Y188" s="604">
        <v>26421354.83543418</v>
      </c>
      <c r="Z188" s="604">
        <v>290634903.18977594</v>
      </c>
      <c r="AA188" s="604">
        <v>581270420</v>
      </c>
      <c r="AB188" s="604">
        <v>0</v>
      </c>
      <c r="AC188" s="606">
        <v>871905000</v>
      </c>
      <c r="AD188" s="604">
        <v>323</v>
      </c>
      <c r="AE188" s="603">
        <v>2</v>
      </c>
      <c r="AF188" s="607">
        <v>290635323.33898938</v>
      </c>
      <c r="AG188" s="608" t="s">
        <v>13529</v>
      </c>
      <c r="AH188" s="608" t="s">
        <v>13530</v>
      </c>
      <c r="AI188" s="603" t="s">
        <v>13527</v>
      </c>
      <c r="AJ188" s="603" t="s">
        <v>12202</v>
      </c>
      <c r="AK188" s="603" t="s">
        <v>12203</v>
      </c>
      <c r="AL188" s="599" t="s">
        <v>12729</v>
      </c>
      <c r="AM188" s="609" t="s">
        <v>12444</v>
      </c>
      <c r="AN188" s="610" t="s">
        <v>13531</v>
      </c>
      <c r="AO188" s="610" t="s">
        <v>12206</v>
      </c>
      <c r="AP188" s="610" t="s">
        <v>12207</v>
      </c>
      <c r="AQ188" s="609" t="s">
        <v>12654</v>
      </c>
      <c r="AR188" s="599" t="s">
        <v>12655</v>
      </c>
      <c r="AS188" s="603" t="s">
        <v>423</v>
      </c>
      <c r="AT188" s="609" t="s">
        <v>13532</v>
      </c>
    </row>
    <row r="189" spans="1:46" ht="22.9" customHeight="1">
      <c r="A189" s="595" t="s">
        <v>13533</v>
      </c>
      <c r="B189" s="596" t="s">
        <v>8553</v>
      </c>
      <c r="C189" s="597" t="s">
        <v>12212</v>
      </c>
      <c r="D189" s="598"/>
      <c r="E189" s="599" t="s">
        <v>13520</v>
      </c>
      <c r="F189" s="600" t="s">
        <v>9735</v>
      </c>
      <c r="G189" s="601" t="s">
        <v>13534</v>
      </c>
      <c r="H189" s="601" t="s">
        <v>942</v>
      </c>
      <c r="I189" s="596" t="s">
        <v>12255</v>
      </c>
      <c r="J189" s="596" t="s">
        <v>335</v>
      </c>
      <c r="K189" s="599" t="s">
        <v>12197</v>
      </c>
      <c r="L189" s="599" t="s">
        <v>12198</v>
      </c>
      <c r="M189" s="602" t="s">
        <v>12199</v>
      </c>
      <c r="N189" s="603" t="s">
        <v>7673</v>
      </c>
      <c r="O189" s="599">
        <v>2048</v>
      </c>
      <c r="P189" s="604">
        <v>0</v>
      </c>
      <c r="Q189" s="604">
        <v>0</v>
      </c>
      <c r="R189" s="605">
        <v>20000</v>
      </c>
      <c r="S189" s="604">
        <v>0</v>
      </c>
      <c r="T189" s="604">
        <v>0</v>
      </c>
      <c r="U189" s="604">
        <v>15680000</v>
      </c>
      <c r="V189" s="605">
        <v>7860000</v>
      </c>
      <c r="W189" s="596"/>
      <c r="X189" s="604">
        <v>0</v>
      </c>
      <c r="Y189" s="604">
        <v>786000</v>
      </c>
      <c r="Z189" s="604">
        <v>8646000</v>
      </c>
      <c r="AA189" s="604">
        <v>17292706</v>
      </c>
      <c r="AB189" s="604">
        <v>0</v>
      </c>
      <c r="AC189" s="606">
        <v>25938000</v>
      </c>
      <c r="AD189" s="604">
        <v>706</v>
      </c>
      <c r="AE189" s="603">
        <v>2</v>
      </c>
      <c r="AF189" s="607">
        <v>8646706.6666666716</v>
      </c>
      <c r="AG189" s="608" t="s">
        <v>13535</v>
      </c>
      <c r="AH189" s="608" t="s">
        <v>13536</v>
      </c>
      <c r="AI189" s="603" t="s">
        <v>942</v>
      </c>
      <c r="AJ189" s="603" t="s">
        <v>12202</v>
      </c>
      <c r="AK189" s="603" t="s">
        <v>12203</v>
      </c>
      <c r="AL189" s="599" t="s">
        <v>12729</v>
      </c>
      <c r="AM189" s="609" t="s">
        <v>12444</v>
      </c>
      <c r="AN189" s="610" t="s">
        <v>13537</v>
      </c>
      <c r="AO189" s="610" t="s">
        <v>12206</v>
      </c>
      <c r="AP189" s="610" t="s">
        <v>12207</v>
      </c>
      <c r="AQ189" s="609" t="s">
        <v>13065</v>
      </c>
      <c r="AR189" s="599" t="s">
        <v>13066</v>
      </c>
      <c r="AS189" s="603" t="s">
        <v>423</v>
      </c>
      <c r="AT189" s="609" t="s">
        <v>13538</v>
      </c>
    </row>
    <row r="190" spans="1:46" ht="22.9" customHeight="1">
      <c r="A190" s="595" t="s">
        <v>13539</v>
      </c>
      <c r="B190" s="596" t="s">
        <v>8553</v>
      </c>
      <c r="C190" s="597" t="s">
        <v>12212</v>
      </c>
      <c r="D190" s="598"/>
      <c r="E190" s="599" t="s">
        <v>13540</v>
      </c>
      <c r="F190" s="600" t="s">
        <v>9735</v>
      </c>
      <c r="G190" s="601" t="s">
        <v>13541</v>
      </c>
      <c r="H190" s="601" t="s">
        <v>13542</v>
      </c>
      <c r="I190" s="596" t="s">
        <v>12225</v>
      </c>
      <c r="J190" s="596" t="s">
        <v>335</v>
      </c>
      <c r="K190" s="599" t="s">
        <v>12197</v>
      </c>
      <c r="L190" s="599" t="s">
        <v>12198</v>
      </c>
      <c r="M190" s="602" t="s">
        <v>12199</v>
      </c>
      <c r="N190" s="603" t="s">
        <v>7673</v>
      </c>
      <c r="O190" s="599">
        <v>512</v>
      </c>
      <c r="P190" s="604">
        <v>0</v>
      </c>
      <c r="Q190" s="604">
        <v>0</v>
      </c>
      <c r="R190" s="605">
        <v>0</v>
      </c>
      <c r="S190" s="604">
        <v>0</v>
      </c>
      <c r="T190" s="604">
        <v>0</v>
      </c>
      <c r="U190" s="604">
        <v>4480000</v>
      </c>
      <c r="V190" s="605">
        <v>2240000</v>
      </c>
      <c r="W190" s="596"/>
      <c r="X190" s="604">
        <v>0</v>
      </c>
      <c r="Y190" s="604">
        <v>224000</v>
      </c>
      <c r="Z190" s="604">
        <v>2464000</v>
      </c>
      <c r="AA190" s="604">
        <v>4928707</v>
      </c>
      <c r="AB190" s="604">
        <v>0</v>
      </c>
      <c r="AC190" s="606">
        <v>7392000</v>
      </c>
      <c r="AD190" s="604">
        <v>707</v>
      </c>
      <c r="AE190" s="603">
        <v>2</v>
      </c>
      <c r="AF190" s="607">
        <v>2464707</v>
      </c>
      <c r="AG190" s="608" t="s">
        <v>13543</v>
      </c>
      <c r="AH190" s="608" t="s">
        <v>13544</v>
      </c>
      <c r="AI190" s="603" t="s">
        <v>13542</v>
      </c>
      <c r="AJ190" s="603" t="s">
        <v>12202</v>
      </c>
      <c r="AK190" s="603" t="s">
        <v>12203</v>
      </c>
      <c r="AL190" s="599" t="s">
        <v>12729</v>
      </c>
      <c r="AM190" s="609" t="s">
        <v>12444</v>
      </c>
      <c r="AN190" s="610" t="s">
        <v>13523</v>
      </c>
      <c r="AO190" s="610" t="s">
        <v>12206</v>
      </c>
      <c r="AP190" s="610" t="s">
        <v>12207</v>
      </c>
      <c r="AQ190" s="609" t="s">
        <v>12654</v>
      </c>
      <c r="AR190" s="599" t="s">
        <v>12655</v>
      </c>
      <c r="AS190" s="603" t="s">
        <v>423</v>
      </c>
      <c r="AT190" s="609" t="s">
        <v>13545</v>
      </c>
    </row>
    <row r="191" spans="1:46" ht="22.15" customHeight="1">
      <c r="A191" s="595" t="s">
        <v>13546</v>
      </c>
      <c r="B191" s="596" t="s">
        <v>8553</v>
      </c>
      <c r="C191" s="597" t="s">
        <v>12212</v>
      </c>
      <c r="D191" s="598"/>
      <c r="E191" s="599"/>
      <c r="F191" s="600" t="s">
        <v>9735</v>
      </c>
      <c r="G191" s="601" t="s">
        <v>13547</v>
      </c>
      <c r="H191" s="601" t="s">
        <v>5188</v>
      </c>
      <c r="I191" s="596" t="s">
        <v>13548</v>
      </c>
      <c r="J191" s="596" t="s">
        <v>107</v>
      </c>
      <c r="K191" s="599" t="s">
        <v>12426</v>
      </c>
      <c r="L191" s="599" t="s">
        <v>12198</v>
      </c>
      <c r="M191" s="602" t="s">
        <v>12199</v>
      </c>
      <c r="N191" s="603" t="s">
        <v>7673</v>
      </c>
      <c r="O191" s="599">
        <v>20480</v>
      </c>
      <c r="P191" s="604">
        <v>0</v>
      </c>
      <c r="Q191" s="604">
        <v>0</v>
      </c>
      <c r="R191" s="605">
        <v>0</v>
      </c>
      <c r="S191" s="604">
        <v>0</v>
      </c>
      <c r="T191" s="604">
        <v>0</v>
      </c>
      <c r="U191" s="604">
        <v>104000000</v>
      </c>
      <c r="V191" s="605">
        <v>52000000</v>
      </c>
      <c r="W191" s="596"/>
      <c r="X191" s="604">
        <v>0</v>
      </c>
      <c r="Y191" s="604">
        <v>5200000</v>
      </c>
      <c r="Z191" s="604">
        <v>57200000</v>
      </c>
      <c r="AA191" s="604">
        <v>114400453</v>
      </c>
      <c r="AB191" s="604">
        <v>0</v>
      </c>
      <c r="AC191" s="606">
        <v>171600000</v>
      </c>
      <c r="AD191" s="604">
        <v>453</v>
      </c>
      <c r="AE191" s="603">
        <v>2</v>
      </c>
      <c r="AF191" s="607">
        <v>57200453</v>
      </c>
      <c r="AG191" s="608" t="s">
        <v>13549</v>
      </c>
      <c r="AH191" s="608" t="s">
        <v>13550</v>
      </c>
      <c r="AI191" s="603" t="s">
        <v>5188</v>
      </c>
      <c r="AJ191" s="603" t="s">
        <v>12202</v>
      </c>
      <c r="AK191" s="603" t="s">
        <v>12203</v>
      </c>
      <c r="AL191" s="599" t="s">
        <v>12729</v>
      </c>
      <c r="AM191" s="609" t="s">
        <v>12444</v>
      </c>
      <c r="AN191" s="610" t="s">
        <v>13551</v>
      </c>
      <c r="AO191" s="610" t="s">
        <v>12206</v>
      </c>
      <c r="AP191" s="610" t="s">
        <v>12207</v>
      </c>
      <c r="AQ191" s="609" t="s">
        <v>12208</v>
      </c>
      <c r="AR191" s="599" t="s">
        <v>12209</v>
      </c>
      <c r="AS191" s="603" t="s">
        <v>423</v>
      </c>
      <c r="AT191" s="609" t="s">
        <v>13552</v>
      </c>
    </row>
    <row r="192" spans="1:46" ht="22.9" customHeight="1">
      <c r="A192" s="595" t="s">
        <v>13553</v>
      </c>
      <c r="B192" s="596" t="s">
        <v>8553</v>
      </c>
      <c r="C192" s="597" t="s">
        <v>12212</v>
      </c>
      <c r="D192" s="598"/>
      <c r="E192" s="599" t="s">
        <v>13554</v>
      </c>
      <c r="F192" s="600" t="s">
        <v>9735</v>
      </c>
      <c r="G192" s="601" t="s">
        <v>13555</v>
      </c>
      <c r="H192" s="601" t="s">
        <v>13556</v>
      </c>
      <c r="I192" s="596" t="s">
        <v>12225</v>
      </c>
      <c r="J192" s="596" t="s">
        <v>335</v>
      </c>
      <c r="K192" s="599" t="s">
        <v>12197</v>
      </c>
      <c r="L192" s="599" t="s">
        <v>12198</v>
      </c>
      <c r="M192" s="602" t="s">
        <v>12199</v>
      </c>
      <c r="N192" s="603" t="s">
        <v>7673</v>
      </c>
      <c r="O192" s="599">
        <v>512</v>
      </c>
      <c r="P192" s="604">
        <v>0</v>
      </c>
      <c r="Q192" s="604">
        <v>0</v>
      </c>
      <c r="R192" s="605">
        <v>0</v>
      </c>
      <c r="S192" s="604">
        <v>0</v>
      </c>
      <c r="T192" s="604">
        <v>0</v>
      </c>
      <c r="U192" s="604">
        <v>4480000</v>
      </c>
      <c r="V192" s="605">
        <v>2240000</v>
      </c>
      <c r="W192" s="596"/>
      <c r="X192" s="604">
        <v>0</v>
      </c>
      <c r="Y192" s="604">
        <v>224000</v>
      </c>
      <c r="Z192" s="604">
        <v>2464000</v>
      </c>
      <c r="AA192" s="604">
        <v>4928240</v>
      </c>
      <c r="AB192" s="604">
        <v>0</v>
      </c>
      <c r="AC192" s="606">
        <v>7392000</v>
      </c>
      <c r="AD192" s="604">
        <v>240</v>
      </c>
      <c r="AE192" s="603">
        <v>2</v>
      </c>
      <c r="AF192" s="607">
        <v>2464240</v>
      </c>
      <c r="AG192" s="608" t="s">
        <v>13557</v>
      </c>
      <c r="AH192" s="608" t="s">
        <v>13558</v>
      </c>
      <c r="AI192" s="603" t="s">
        <v>13556</v>
      </c>
      <c r="AJ192" s="603" t="s">
        <v>12202</v>
      </c>
      <c r="AK192" s="603" t="s">
        <v>12203</v>
      </c>
      <c r="AL192" s="599" t="s">
        <v>12729</v>
      </c>
      <c r="AM192" s="609" t="s">
        <v>12444</v>
      </c>
      <c r="AN192" s="610" t="s">
        <v>13559</v>
      </c>
      <c r="AO192" s="610" t="s">
        <v>12206</v>
      </c>
      <c r="AP192" s="610" t="s">
        <v>12207</v>
      </c>
      <c r="AQ192" s="609" t="s">
        <v>12654</v>
      </c>
      <c r="AR192" s="599" t="s">
        <v>12655</v>
      </c>
      <c r="AS192" s="603" t="s">
        <v>423</v>
      </c>
      <c r="AT192" s="609" t="s">
        <v>13560</v>
      </c>
    </row>
    <row r="193" spans="1:46" ht="22.9" customHeight="1">
      <c r="A193" s="595" t="s">
        <v>13561</v>
      </c>
      <c r="B193" s="596" t="s">
        <v>8553</v>
      </c>
      <c r="C193" s="597" t="s">
        <v>12212</v>
      </c>
      <c r="D193" s="598"/>
      <c r="E193" s="599" t="s">
        <v>13562</v>
      </c>
      <c r="F193" s="600" t="s">
        <v>9735</v>
      </c>
      <c r="G193" s="601" t="s">
        <v>13563</v>
      </c>
      <c r="H193" s="601" t="s">
        <v>13564</v>
      </c>
      <c r="I193" s="596" t="s">
        <v>12660</v>
      </c>
      <c r="J193" s="596" t="s">
        <v>335</v>
      </c>
      <c r="K193" s="599" t="s">
        <v>12197</v>
      </c>
      <c r="L193" s="599" t="s">
        <v>12198</v>
      </c>
      <c r="M193" s="602" t="s">
        <v>12199</v>
      </c>
      <c r="N193" s="603" t="s">
        <v>7673</v>
      </c>
      <c r="O193" s="599">
        <v>128</v>
      </c>
      <c r="P193" s="604">
        <v>0</v>
      </c>
      <c r="Q193" s="604">
        <v>0</v>
      </c>
      <c r="R193" s="605">
        <v>20000</v>
      </c>
      <c r="S193" s="604">
        <v>0</v>
      </c>
      <c r="T193" s="604">
        <v>0</v>
      </c>
      <c r="U193" s="604">
        <v>1120000</v>
      </c>
      <c r="V193" s="605">
        <v>580000</v>
      </c>
      <c r="W193" s="596"/>
      <c r="X193" s="604">
        <v>0</v>
      </c>
      <c r="Y193" s="604">
        <v>58000</v>
      </c>
      <c r="Z193" s="604">
        <v>638000</v>
      </c>
      <c r="AA193" s="604">
        <v>1276018</v>
      </c>
      <c r="AB193" s="604">
        <v>0</v>
      </c>
      <c r="AC193" s="606">
        <v>1914000</v>
      </c>
      <c r="AD193" s="604">
        <v>18</v>
      </c>
      <c r="AE193" s="603">
        <v>2</v>
      </c>
      <c r="AF193" s="607">
        <v>638018</v>
      </c>
      <c r="AG193" s="608" t="s">
        <v>13565</v>
      </c>
      <c r="AH193" s="608" t="s">
        <v>13566</v>
      </c>
      <c r="AI193" s="603" t="s">
        <v>13564</v>
      </c>
      <c r="AJ193" s="603" t="s">
        <v>12202</v>
      </c>
      <c r="AK193" s="603" t="s">
        <v>12203</v>
      </c>
      <c r="AL193" s="599" t="s">
        <v>12729</v>
      </c>
      <c r="AM193" s="609" t="s">
        <v>12444</v>
      </c>
      <c r="AN193" s="610" t="s">
        <v>13567</v>
      </c>
      <c r="AO193" s="610" t="s">
        <v>12206</v>
      </c>
      <c r="AP193" s="610" t="s">
        <v>12207</v>
      </c>
      <c r="AQ193" s="609" t="s">
        <v>13434</v>
      </c>
      <c r="AR193" s="599" t="s">
        <v>13435</v>
      </c>
      <c r="AS193" s="603" t="s">
        <v>423</v>
      </c>
      <c r="AT193" s="609" t="s">
        <v>13568</v>
      </c>
    </row>
    <row r="194" spans="1:46" ht="22.15" customHeight="1">
      <c r="A194" s="595" t="s">
        <v>13569</v>
      </c>
      <c r="B194" s="596" t="s">
        <v>8553</v>
      </c>
      <c r="C194" s="597" t="s">
        <v>12212</v>
      </c>
      <c r="D194" s="598"/>
      <c r="E194" s="599" t="s">
        <v>13570</v>
      </c>
      <c r="F194" s="600" t="s">
        <v>9735</v>
      </c>
      <c r="G194" s="601" t="s">
        <v>13571</v>
      </c>
      <c r="H194" s="601" t="s">
        <v>913</v>
      </c>
      <c r="I194" s="596" t="s">
        <v>12214</v>
      </c>
      <c r="J194" s="596" t="s">
        <v>107</v>
      </c>
      <c r="K194" s="599" t="s">
        <v>12426</v>
      </c>
      <c r="L194" s="599" t="s">
        <v>12198</v>
      </c>
      <c r="M194" s="602" t="s">
        <v>12199</v>
      </c>
      <c r="N194" s="603" t="s">
        <v>7673</v>
      </c>
      <c r="O194" s="599">
        <v>1024</v>
      </c>
      <c r="P194" s="604">
        <v>0</v>
      </c>
      <c r="Q194" s="604">
        <v>0</v>
      </c>
      <c r="R194" s="605">
        <v>20000</v>
      </c>
      <c r="S194" s="604">
        <v>0</v>
      </c>
      <c r="T194" s="604">
        <v>0</v>
      </c>
      <c r="U194" s="604">
        <v>20800000</v>
      </c>
      <c r="V194" s="605">
        <v>10420000</v>
      </c>
      <c r="W194" s="596"/>
      <c r="X194" s="604">
        <v>0</v>
      </c>
      <c r="Y194" s="604">
        <v>1042000</v>
      </c>
      <c r="Z194" s="604">
        <v>11462000</v>
      </c>
      <c r="AA194" s="604">
        <v>22924973</v>
      </c>
      <c r="AB194" s="604">
        <v>0</v>
      </c>
      <c r="AC194" s="606">
        <v>34386000</v>
      </c>
      <c r="AD194" s="604">
        <v>973</v>
      </c>
      <c r="AE194" s="603">
        <v>2</v>
      </c>
      <c r="AF194" s="607">
        <v>11462973</v>
      </c>
      <c r="AG194" s="608" t="s">
        <v>13572</v>
      </c>
      <c r="AH194" s="608" t="s">
        <v>13149</v>
      </c>
      <c r="AI194" s="603" t="s">
        <v>913</v>
      </c>
      <c r="AJ194" s="603" t="s">
        <v>12202</v>
      </c>
      <c r="AK194" s="603" t="s">
        <v>12203</v>
      </c>
      <c r="AL194" s="599" t="s">
        <v>13573</v>
      </c>
      <c r="AM194" s="609" t="s">
        <v>12444</v>
      </c>
      <c r="AN194" s="610" t="s">
        <v>13574</v>
      </c>
      <c r="AO194" s="610" t="s">
        <v>12206</v>
      </c>
      <c r="AP194" s="610" t="s">
        <v>12207</v>
      </c>
      <c r="AQ194" s="609" t="s">
        <v>13065</v>
      </c>
      <c r="AR194" s="599" t="s">
        <v>13066</v>
      </c>
      <c r="AS194" s="603" t="s">
        <v>423</v>
      </c>
      <c r="AT194" s="609" t="s">
        <v>13575</v>
      </c>
    </row>
    <row r="195" spans="1:46" ht="22.9" customHeight="1">
      <c r="A195" s="595" t="s">
        <v>13576</v>
      </c>
      <c r="B195" s="596" t="s">
        <v>8553</v>
      </c>
      <c r="C195" s="597" t="s">
        <v>12212</v>
      </c>
      <c r="D195" s="598"/>
      <c r="E195" s="599" t="s">
        <v>13577</v>
      </c>
      <c r="F195" s="600" t="s">
        <v>9735</v>
      </c>
      <c r="G195" s="601" t="s">
        <v>13578</v>
      </c>
      <c r="H195" s="601" t="s">
        <v>921</v>
      </c>
      <c r="I195" s="596" t="s">
        <v>12214</v>
      </c>
      <c r="J195" s="596" t="s">
        <v>107</v>
      </c>
      <c r="K195" s="599" t="s">
        <v>12426</v>
      </c>
      <c r="L195" s="599" t="s">
        <v>12198</v>
      </c>
      <c r="M195" s="602" t="s">
        <v>12199</v>
      </c>
      <c r="N195" s="603" t="s">
        <v>7673</v>
      </c>
      <c r="O195" s="599">
        <v>1024</v>
      </c>
      <c r="P195" s="604">
        <v>0</v>
      </c>
      <c r="Q195" s="604">
        <v>0</v>
      </c>
      <c r="R195" s="605">
        <v>20000</v>
      </c>
      <c r="S195" s="604">
        <v>0</v>
      </c>
      <c r="T195" s="604">
        <v>0</v>
      </c>
      <c r="U195" s="604">
        <v>20800000</v>
      </c>
      <c r="V195" s="605">
        <v>10420000</v>
      </c>
      <c r="W195" s="596"/>
      <c r="X195" s="604">
        <v>0</v>
      </c>
      <c r="Y195" s="604">
        <v>1042000</v>
      </c>
      <c r="Z195" s="604">
        <v>11462000</v>
      </c>
      <c r="AA195" s="604">
        <v>22924959</v>
      </c>
      <c r="AB195" s="604">
        <v>0</v>
      </c>
      <c r="AC195" s="606">
        <v>34386000</v>
      </c>
      <c r="AD195" s="604">
        <v>959</v>
      </c>
      <c r="AE195" s="603">
        <v>2</v>
      </c>
      <c r="AF195" s="607">
        <v>11462959</v>
      </c>
      <c r="AG195" s="608" t="s">
        <v>13579</v>
      </c>
      <c r="AH195" s="608" t="s">
        <v>12524</v>
      </c>
      <c r="AI195" s="603" t="s">
        <v>921</v>
      </c>
      <c r="AJ195" s="603" t="s">
        <v>12202</v>
      </c>
      <c r="AK195" s="603" t="s">
        <v>12203</v>
      </c>
      <c r="AL195" s="599" t="s">
        <v>12729</v>
      </c>
      <c r="AM195" s="609" t="s">
        <v>12444</v>
      </c>
      <c r="AN195" s="610" t="s">
        <v>13580</v>
      </c>
      <c r="AO195" s="610" t="s">
        <v>12206</v>
      </c>
      <c r="AP195" s="610" t="s">
        <v>12207</v>
      </c>
      <c r="AQ195" s="609" t="s">
        <v>12654</v>
      </c>
      <c r="AR195" s="599" t="s">
        <v>12655</v>
      </c>
      <c r="AS195" s="603" t="s">
        <v>423</v>
      </c>
      <c r="AT195" s="609" t="s">
        <v>13581</v>
      </c>
    </row>
    <row r="196" spans="1:46" ht="22.9" customHeight="1">
      <c r="A196" s="595" t="s">
        <v>13582</v>
      </c>
      <c r="B196" s="596" t="s">
        <v>8553</v>
      </c>
      <c r="C196" s="597" t="s">
        <v>12212</v>
      </c>
      <c r="D196" s="598"/>
      <c r="E196" s="599" t="s">
        <v>13583</v>
      </c>
      <c r="F196" s="600" t="s">
        <v>9735</v>
      </c>
      <c r="G196" s="601" t="s">
        <v>13584</v>
      </c>
      <c r="H196" s="601" t="s">
        <v>916</v>
      </c>
      <c r="I196" s="596" t="s">
        <v>12225</v>
      </c>
      <c r="J196" s="596" t="s">
        <v>335</v>
      </c>
      <c r="K196" s="599" t="s">
        <v>12197</v>
      </c>
      <c r="L196" s="599" t="s">
        <v>12198</v>
      </c>
      <c r="M196" s="602" t="s">
        <v>12199</v>
      </c>
      <c r="N196" s="603" t="s">
        <v>7673</v>
      </c>
      <c r="O196" s="599">
        <v>512</v>
      </c>
      <c r="P196" s="604">
        <v>0</v>
      </c>
      <c r="Q196" s="604">
        <v>0</v>
      </c>
      <c r="R196" s="605">
        <v>20000</v>
      </c>
      <c r="S196" s="604">
        <v>0</v>
      </c>
      <c r="T196" s="604">
        <v>0</v>
      </c>
      <c r="U196" s="604">
        <v>4480000</v>
      </c>
      <c r="V196" s="605">
        <v>2260000</v>
      </c>
      <c r="W196" s="596"/>
      <c r="X196" s="604">
        <v>0</v>
      </c>
      <c r="Y196" s="604">
        <v>226000</v>
      </c>
      <c r="Z196" s="604">
        <v>2486000</v>
      </c>
      <c r="AA196" s="604">
        <v>4972640</v>
      </c>
      <c r="AB196" s="604">
        <v>0</v>
      </c>
      <c r="AC196" s="606">
        <v>7458000</v>
      </c>
      <c r="AD196" s="604">
        <v>640</v>
      </c>
      <c r="AE196" s="603">
        <v>2</v>
      </c>
      <c r="AF196" s="607">
        <v>2486640</v>
      </c>
      <c r="AG196" s="608" t="s">
        <v>13585</v>
      </c>
      <c r="AH196" s="608" t="s">
        <v>12360</v>
      </c>
      <c r="AI196" s="603" t="s">
        <v>916</v>
      </c>
      <c r="AJ196" s="603" t="s">
        <v>12202</v>
      </c>
      <c r="AK196" s="603" t="s">
        <v>12203</v>
      </c>
      <c r="AL196" s="599" t="s">
        <v>12729</v>
      </c>
      <c r="AM196" s="609" t="s">
        <v>12444</v>
      </c>
      <c r="AN196" s="610" t="s">
        <v>13586</v>
      </c>
      <c r="AO196" s="610" t="s">
        <v>12206</v>
      </c>
      <c r="AP196" s="610" t="s">
        <v>12207</v>
      </c>
      <c r="AQ196" s="609" t="s">
        <v>12654</v>
      </c>
      <c r="AR196" s="599" t="s">
        <v>12655</v>
      </c>
      <c r="AS196" s="603" t="s">
        <v>423</v>
      </c>
      <c r="AT196" s="609" t="s">
        <v>13587</v>
      </c>
    </row>
    <row r="197" spans="1:46" ht="22.9" customHeight="1">
      <c r="A197" s="595" t="s">
        <v>13588</v>
      </c>
      <c r="B197" s="596" t="s">
        <v>8553</v>
      </c>
      <c r="C197" s="597" t="s">
        <v>12212</v>
      </c>
      <c r="D197" s="598"/>
      <c r="E197" s="599" t="s">
        <v>13589</v>
      </c>
      <c r="F197" s="600" t="s">
        <v>9735</v>
      </c>
      <c r="G197" s="601" t="s">
        <v>13590</v>
      </c>
      <c r="H197" s="601" t="s">
        <v>907</v>
      </c>
      <c r="I197" s="596" t="s">
        <v>12225</v>
      </c>
      <c r="J197" s="596" t="s">
        <v>335</v>
      </c>
      <c r="K197" s="599" t="s">
        <v>12197</v>
      </c>
      <c r="L197" s="599" t="s">
        <v>12198</v>
      </c>
      <c r="M197" s="602" t="s">
        <v>12199</v>
      </c>
      <c r="N197" s="603" t="s">
        <v>7673</v>
      </c>
      <c r="O197" s="599">
        <v>512</v>
      </c>
      <c r="P197" s="604">
        <v>0</v>
      </c>
      <c r="Q197" s="604">
        <v>0</v>
      </c>
      <c r="R197" s="605">
        <v>20000</v>
      </c>
      <c r="S197" s="604">
        <v>0</v>
      </c>
      <c r="T197" s="604">
        <v>0</v>
      </c>
      <c r="U197" s="604">
        <v>4480000</v>
      </c>
      <c r="V197" s="605">
        <v>2260000</v>
      </c>
      <c r="W197" s="596"/>
      <c r="X197" s="604">
        <v>0</v>
      </c>
      <c r="Y197" s="604">
        <v>226000</v>
      </c>
      <c r="Z197" s="604">
        <v>2486000</v>
      </c>
      <c r="AA197" s="604">
        <v>4972240</v>
      </c>
      <c r="AB197" s="604">
        <v>0</v>
      </c>
      <c r="AC197" s="606">
        <v>7458000</v>
      </c>
      <c r="AD197" s="604">
        <v>240</v>
      </c>
      <c r="AE197" s="603">
        <v>2</v>
      </c>
      <c r="AF197" s="607">
        <v>2486240</v>
      </c>
      <c r="AG197" s="608" t="s">
        <v>13591</v>
      </c>
      <c r="AH197" s="608" t="s">
        <v>13037</v>
      </c>
      <c r="AI197" s="603" t="s">
        <v>907</v>
      </c>
      <c r="AJ197" s="603" t="s">
        <v>12202</v>
      </c>
      <c r="AK197" s="603" t="s">
        <v>12203</v>
      </c>
      <c r="AL197" s="599" t="s">
        <v>12729</v>
      </c>
      <c r="AM197" s="609" t="s">
        <v>12444</v>
      </c>
      <c r="AN197" s="610" t="s">
        <v>13592</v>
      </c>
      <c r="AO197" s="610" t="s">
        <v>12206</v>
      </c>
      <c r="AP197" s="610" t="s">
        <v>12207</v>
      </c>
      <c r="AQ197" s="609" t="s">
        <v>13065</v>
      </c>
      <c r="AR197" s="599" t="s">
        <v>13066</v>
      </c>
      <c r="AS197" s="603" t="s">
        <v>423</v>
      </c>
      <c r="AT197" s="609" t="s">
        <v>13593</v>
      </c>
    </row>
    <row r="198" spans="1:46" ht="22.15" customHeight="1">
      <c r="A198" s="595" t="s">
        <v>13594</v>
      </c>
      <c r="B198" s="596" t="s">
        <v>8553</v>
      </c>
      <c r="C198" s="597" t="s">
        <v>12212</v>
      </c>
      <c r="D198" s="598"/>
      <c r="E198" s="599" t="s">
        <v>13595</v>
      </c>
      <c r="F198" s="600" t="s">
        <v>9735</v>
      </c>
      <c r="G198" s="601" t="s">
        <v>13596</v>
      </c>
      <c r="H198" s="601" t="s">
        <v>13597</v>
      </c>
      <c r="I198" s="596" t="s">
        <v>12225</v>
      </c>
      <c r="J198" s="596" t="s">
        <v>335</v>
      </c>
      <c r="K198" s="599" t="s">
        <v>12197</v>
      </c>
      <c r="L198" s="599" t="s">
        <v>12198</v>
      </c>
      <c r="M198" s="602" t="s">
        <v>12199</v>
      </c>
      <c r="N198" s="603" t="s">
        <v>7673</v>
      </c>
      <c r="O198" s="599">
        <v>512</v>
      </c>
      <c r="P198" s="604">
        <v>0</v>
      </c>
      <c r="Q198" s="604">
        <v>0</v>
      </c>
      <c r="R198" s="605">
        <v>4000</v>
      </c>
      <c r="S198" s="604">
        <v>0</v>
      </c>
      <c r="T198" s="604">
        <v>0</v>
      </c>
      <c r="U198" s="604">
        <v>4480000</v>
      </c>
      <c r="V198" s="605">
        <v>452000</v>
      </c>
      <c r="W198" s="596"/>
      <c r="X198" s="604">
        <v>0</v>
      </c>
      <c r="Y198" s="604">
        <v>45200</v>
      </c>
      <c r="Z198" s="604">
        <v>497200</v>
      </c>
      <c r="AA198" s="604">
        <v>4972443</v>
      </c>
      <c r="AB198" s="604">
        <v>0</v>
      </c>
      <c r="AC198" s="606">
        <v>5469000</v>
      </c>
      <c r="AD198" s="604">
        <v>643</v>
      </c>
      <c r="AE198" s="603">
        <v>2</v>
      </c>
      <c r="AF198" s="607">
        <v>497643</v>
      </c>
      <c r="AG198" s="608" t="s">
        <v>13598</v>
      </c>
      <c r="AH198" s="608" t="s">
        <v>13599</v>
      </c>
      <c r="AI198" s="603" t="s">
        <v>13597</v>
      </c>
      <c r="AJ198" s="603" t="s">
        <v>12202</v>
      </c>
      <c r="AK198" s="603" t="s">
        <v>12203</v>
      </c>
      <c r="AL198" s="599" t="s">
        <v>12729</v>
      </c>
      <c r="AM198" s="609" t="s">
        <v>12444</v>
      </c>
      <c r="AN198" s="610" t="s">
        <v>13600</v>
      </c>
      <c r="AO198" s="610" t="s">
        <v>12206</v>
      </c>
      <c r="AP198" s="610" t="s">
        <v>13474</v>
      </c>
      <c r="AQ198" s="609" t="s">
        <v>12296</v>
      </c>
      <c r="AR198" s="599" t="s">
        <v>12297</v>
      </c>
      <c r="AS198" s="603" t="s">
        <v>423</v>
      </c>
      <c r="AT198" s="609" t="s">
        <v>13601</v>
      </c>
    </row>
    <row r="199" spans="1:46" ht="22.9" customHeight="1">
      <c r="A199" s="595" t="s">
        <v>13602</v>
      </c>
      <c r="B199" s="596" t="s">
        <v>8553</v>
      </c>
      <c r="C199" s="597" t="s">
        <v>12212</v>
      </c>
      <c r="D199" s="598"/>
      <c r="E199" s="599"/>
      <c r="F199" s="600" t="s">
        <v>9735</v>
      </c>
      <c r="G199" s="601" t="s">
        <v>13603</v>
      </c>
      <c r="H199" s="601" t="s">
        <v>4673</v>
      </c>
      <c r="I199" s="596" t="s">
        <v>13604</v>
      </c>
      <c r="J199" s="596" t="s">
        <v>12853</v>
      </c>
      <c r="K199" s="599" t="s">
        <v>12854</v>
      </c>
      <c r="L199" s="599" t="s">
        <v>12855</v>
      </c>
      <c r="M199" s="602" t="s">
        <v>12199</v>
      </c>
      <c r="N199" s="603" t="s">
        <v>7673</v>
      </c>
      <c r="O199" s="599">
        <v>102400</v>
      </c>
      <c r="P199" s="604">
        <v>0</v>
      </c>
      <c r="Q199" s="604">
        <v>0</v>
      </c>
      <c r="R199" s="605">
        <v>0</v>
      </c>
      <c r="S199" s="604">
        <v>0</v>
      </c>
      <c r="T199" s="604">
        <v>0</v>
      </c>
      <c r="U199" s="604">
        <v>214830000</v>
      </c>
      <c r="V199" s="605">
        <v>107415000</v>
      </c>
      <c r="W199" s="596"/>
      <c r="X199" s="604">
        <v>0</v>
      </c>
      <c r="Y199" s="604">
        <v>10741500</v>
      </c>
      <c r="Z199" s="604">
        <v>118156500</v>
      </c>
      <c r="AA199" s="604">
        <v>236313775</v>
      </c>
      <c r="AB199" s="604">
        <v>0</v>
      </c>
      <c r="AC199" s="606">
        <v>354470000</v>
      </c>
      <c r="AD199" s="604">
        <v>275</v>
      </c>
      <c r="AE199" s="603">
        <v>2</v>
      </c>
      <c r="AF199" s="607">
        <v>118157275.34000039</v>
      </c>
      <c r="AG199" s="608" t="s">
        <v>13605</v>
      </c>
      <c r="AH199" s="608" t="s">
        <v>13606</v>
      </c>
      <c r="AI199" s="603" t="s">
        <v>4673</v>
      </c>
      <c r="AJ199" s="603" t="s">
        <v>12202</v>
      </c>
      <c r="AK199" s="603" t="s">
        <v>12203</v>
      </c>
      <c r="AL199" s="599" t="s">
        <v>13607</v>
      </c>
      <c r="AM199" s="609" t="s">
        <v>12444</v>
      </c>
      <c r="AN199" s="610" t="s">
        <v>13608</v>
      </c>
      <c r="AO199" s="610" t="s">
        <v>12206</v>
      </c>
      <c r="AP199" s="610" t="s">
        <v>12207</v>
      </c>
      <c r="AQ199" s="609" t="s">
        <v>12208</v>
      </c>
      <c r="AR199" s="599" t="s">
        <v>12209</v>
      </c>
      <c r="AS199" s="603" t="s">
        <v>423</v>
      </c>
      <c r="AT199" s="609" t="s">
        <v>13609</v>
      </c>
    </row>
    <row r="200" spans="1:46" ht="22.9" customHeight="1">
      <c r="A200" s="595" t="s">
        <v>13610</v>
      </c>
      <c r="B200" s="596" t="s">
        <v>8553</v>
      </c>
      <c r="C200" s="597" t="s">
        <v>12212</v>
      </c>
      <c r="D200" s="598"/>
      <c r="E200" s="599"/>
      <c r="F200" s="600" t="s">
        <v>9735</v>
      </c>
      <c r="G200" s="601" t="s">
        <v>13611</v>
      </c>
      <c r="H200" s="601" t="s">
        <v>5084</v>
      </c>
      <c r="I200" s="596" t="s">
        <v>12649</v>
      </c>
      <c r="J200" s="596" t="s">
        <v>12853</v>
      </c>
      <c r="K200" s="599" t="s">
        <v>12854</v>
      </c>
      <c r="L200" s="599" t="s">
        <v>12855</v>
      </c>
      <c r="M200" s="602" t="s">
        <v>12199</v>
      </c>
      <c r="N200" s="603" t="s">
        <v>7673</v>
      </c>
      <c r="O200" s="599">
        <v>10240</v>
      </c>
      <c r="P200" s="604">
        <v>0</v>
      </c>
      <c r="Q200" s="604">
        <v>0</v>
      </c>
      <c r="R200" s="605">
        <v>0</v>
      </c>
      <c r="S200" s="604">
        <v>0</v>
      </c>
      <c r="T200" s="604">
        <v>0</v>
      </c>
      <c r="U200" s="604">
        <v>34286000</v>
      </c>
      <c r="V200" s="605">
        <v>17143000</v>
      </c>
      <c r="W200" s="596"/>
      <c r="X200" s="604">
        <v>0</v>
      </c>
      <c r="Y200" s="604">
        <v>1714300</v>
      </c>
      <c r="Z200" s="604">
        <v>18857300</v>
      </c>
      <c r="AA200" s="604">
        <v>37715443</v>
      </c>
      <c r="AB200" s="604">
        <v>0</v>
      </c>
      <c r="AC200" s="606">
        <v>56572000</v>
      </c>
      <c r="AD200" s="604">
        <v>743</v>
      </c>
      <c r="AE200" s="603">
        <v>2</v>
      </c>
      <c r="AF200" s="607">
        <v>18857743</v>
      </c>
      <c r="AG200" s="608" t="s">
        <v>13612</v>
      </c>
      <c r="AH200" s="608" t="s">
        <v>13613</v>
      </c>
      <c r="AI200" s="603" t="s">
        <v>5084</v>
      </c>
      <c r="AJ200" s="603" t="s">
        <v>12202</v>
      </c>
      <c r="AK200" s="603" t="s">
        <v>12203</v>
      </c>
      <c r="AL200" s="599" t="s">
        <v>13614</v>
      </c>
      <c r="AM200" s="609" t="s">
        <v>12444</v>
      </c>
      <c r="AN200" s="610" t="s">
        <v>13608</v>
      </c>
      <c r="AO200" s="610" t="s">
        <v>12206</v>
      </c>
      <c r="AP200" s="610" t="s">
        <v>12207</v>
      </c>
      <c r="AQ200" s="609" t="s">
        <v>12654</v>
      </c>
      <c r="AR200" s="599" t="s">
        <v>12655</v>
      </c>
      <c r="AS200" s="603" t="s">
        <v>423</v>
      </c>
      <c r="AT200" s="609" t="s">
        <v>13615</v>
      </c>
    </row>
    <row r="201" spans="1:46" ht="22.15" customHeight="1">
      <c r="A201" s="595" t="s">
        <v>13616</v>
      </c>
      <c r="B201" s="596" t="s">
        <v>8553</v>
      </c>
      <c r="C201" s="597" t="s">
        <v>12212</v>
      </c>
      <c r="D201" s="598"/>
      <c r="E201" s="599" t="s">
        <v>13617</v>
      </c>
      <c r="F201" s="600" t="s">
        <v>9735</v>
      </c>
      <c r="G201" s="601" t="s">
        <v>13618</v>
      </c>
      <c r="H201" s="601" t="s">
        <v>1464</v>
      </c>
      <c r="I201" s="596" t="s">
        <v>12225</v>
      </c>
      <c r="J201" s="596" t="s">
        <v>335</v>
      </c>
      <c r="K201" s="599" t="s">
        <v>12197</v>
      </c>
      <c r="L201" s="599" t="s">
        <v>12198</v>
      </c>
      <c r="M201" s="602" t="s">
        <v>12199</v>
      </c>
      <c r="N201" s="603" t="s">
        <v>7673</v>
      </c>
      <c r="O201" s="599">
        <v>512</v>
      </c>
      <c r="P201" s="604">
        <v>0</v>
      </c>
      <c r="Q201" s="604">
        <v>0</v>
      </c>
      <c r="R201" s="605">
        <v>20000</v>
      </c>
      <c r="S201" s="604">
        <v>0</v>
      </c>
      <c r="T201" s="604">
        <v>0</v>
      </c>
      <c r="U201" s="604">
        <v>4480000</v>
      </c>
      <c r="V201" s="605">
        <v>2260000</v>
      </c>
      <c r="W201" s="596"/>
      <c r="X201" s="604">
        <v>0</v>
      </c>
      <c r="Y201" s="604">
        <v>226000</v>
      </c>
      <c r="Z201" s="604">
        <v>2486000</v>
      </c>
      <c r="AA201" s="604">
        <v>4972768</v>
      </c>
      <c r="AB201" s="604">
        <v>0</v>
      </c>
      <c r="AC201" s="606">
        <v>7458000</v>
      </c>
      <c r="AD201" s="604">
        <v>768</v>
      </c>
      <c r="AE201" s="603">
        <v>2</v>
      </c>
      <c r="AF201" s="607">
        <v>2486768</v>
      </c>
      <c r="AG201" s="608" t="s">
        <v>13619</v>
      </c>
      <c r="AH201" s="608" t="s">
        <v>12267</v>
      </c>
      <c r="AI201" s="603" t="s">
        <v>1464</v>
      </c>
      <c r="AJ201" s="603" t="s">
        <v>12202</v>
      </c>
      <c r="AK201" s="603" t="s">
        <v>12203</v>
      </c>
      <c r="AL201" s="599" t="s">
        <v>12729</v>
      </c>
      <c r="AM201" s="609" t="s">
        <v>12444</v>
      </c>
      <c r="AN201" s="610" t="s">
        <v>13620</v>
      </c>
      <c r="AO201" s="610" t="s">
        <v>12206</v>
      </c>
      <c r="AP201" s="610" t="s">
        <v>12207</v>
      </c>
      <c r="AQ201" s="609" t="s">
        <v>12296</v>
      </c>
      <c r="AR201" s="599" t="s">
        <v>12297</v>
      </c>
      <c r="AS201" s="603" t="s">
        <v>423</v>
      </c>
      <c r="AT201" s="609" t="s">
        <v>13621</v>
      </c>
    </row>
    <row r="202" spans="1:46" ht="22.9" customHeight="1">
      <c r="A202" s="595" t="s">
        <v>13622</v>
      </c>
      <c r="B202" s="596" t="s">
        <v>8553</v>
      </c>
      <c r="C202" s="597" t="s">
        <v>12212</v>
      </c>
      <c r="D202" s="598"/>
      <c r="E202" s="599"/>
      <c r="F202" s="600" t="s">
        <v>9735</v>
      </c>
      <c r="G202" s="601" t="s">
        <v>13623</v>
      </c>
      <c r="H202" s="601" t="s">
        <v>5086</v>
      </c>
      <c r="I202" s="596" t="s">
        <v>12649</v>
      </c>
      <c r="J202" s="596" t="s">
        <v>107</v>
      </c>
      <c r="K202" s="599" t="s">
        <v>12426</v>
      </c>
      <c r="L202" s="599" t="s">
        <v>12198</v>
      </c>
      <c r="M202" s="602" t="s">
        <v>12199</v>
      </c>
      <c r="N202" s="603" t="s">
        <v>7673</v>
      </c>
      <c r="O202" s="599">
        <v>10240</v>
      </c>
      <c r="P202" s="604">
        <v>0</v>
      </c>
      <c r="Q202" s="604">
        <v>0</v>
      </c>
      <c r="R202" s="605">
        <v>0</v>
      </c>
      <c r="S202" s="604">
        <v>0</v>
      </c>
      <c r="T202" s="604">
        <v>0</v>
      </c>
      <c r="U202" s="604">
        <v>82333333.333333328</v>
      </c>
      <c r="V202" s="605">
        <v>41166666.666666664</v>
      </c>
      <c r="W202" s="596"/>
      <c r="X202" s="604">
        <v>0</v>
      </c>
      <c r="Y202" s="604">
        <v>4116666.666666666</v>
      </c>
      <c r="Z202" s="604">
        <v>45283333.333333328</v>
      </c>
      <c r="AA202" s="604">
        <v>90567034</v>
      </c>
      <c r="AB202" s="604">
        <v>0</v>
      </c>
      <c r="AC202" s="606">
        <v>135850000</v>
      </c>
      <c r="AD202" s="604">
        <v>367</v>
      </c>
      <c r="AE202" s="603">
        <v>2</v>
      </c>
      <c r="AF202" s="607">
        <v>45283367.979166582</v>
      </c>
      <c r="AG202" s="608" t="s">
        <v>13624</v>
      </c>
      <c r="AH202" s="608" t="s">
        <v>13625</v>
      </c>
      <c r="AI202" s="603" t="s">
        <v>5086</v>
      </c>
      <c r="AJ202" s="603" t="s">
        <v>12202</v>
      </c>
      <c r="AK202" s="603" t="s">
        <v>12203</v>
      </c>
      <c r="AL202" s="599" t="s">
        <v>12729</v>
      </c>
      <c r="AM202" s="609" t="s">
        <v>12444</v>
      </c>
      <c r="AN202" s="610" t="s">
        <v>13626</v>
      </c>
      <c r="AO202" s="610" t="s">
        <v>12206</v>
      </c>
      <c r="AP202" s="610" t="s">
        <v>12207</v>
      </c>
      <c r="AQ202" s="609" t="s">
        <v>12654</v>
      </c>
      <c r="AR202" s="599" t="s">
        <v>12655</v>
      </c>
      <c r="AS202" s="603" t="s">
        <v>423</v>
      </c>
      <c r="AT202" s="609" t="s">
        <v>13627</v>
      </c>
    </row>
    <row r="203" spans="1:46" ht="22.9" customHeight="1">
      <c r="A203" s="595" t="s">
        <v>13628</v>
      </c>
      <c r="B203" s="596" t="s">
        <v>8553</v>
      </c>
      <c r="C203" s="597" t="s">
        <v>12212</v>
      </c>
      <c r="D203" s="598"/>
      <c r="E203" s="599" t="s">
        <v>13629</v>
      </c>
      <c r="F203" s="600" t="s">
        <v>9735</v>
      </c>
      <c r="G203" s="601" t="s">
        <v>13630</v>
      </c>
      <c r="H203" s="601" t="s">
        <v>956</v>
      </c>
      <c r="I203" s="596" t="s">
        <v>12214</v>
      </c>
      <c r="J203" s="596" t="s">
        <v>107</v>
      </c>
      <c r="K203" s="599" t="s">
        <v>12426</v>
      </c>
      <c r="L203" s="599" t="s">
        <v>12198</v>
      </c>
      <c r="M203" s="602" t="s">
        <v>12199</v>
      </c>
      <c r="N203" s="603" t="s">
        <v>7673</v>
      </c>
      <c r="O203" s="599">
        <v>1024</v>
      </c>
      <c r="P203" s="604">
        <v>0</v>
      </c>
      <c r="Q203" s="604">
        <v>0</v>
      </c>
      <c r="R203" s="605">
        <v>20000</v>
      </c>
      <c r="S203" s="604">
        <v>0</v>
      </c>
      <c r="T203" s="604">
        <v>0</v>
      </c>
      <c r="U203" s="604">
        <v>20800000</v>
      </c>
      <c r="V203" s="605">
        <v>10420000</v>
      </c>
      <c r="W203" s="596"/>
      <c r="X203" s="604">
        <v>0</v>
      </c>
      <c r="Y203" s="604">
        <v>1042000</v>
      </c>
      <c r="Z203" s="604">
        <v>11462000</v>
      </c>
      <c r="AA203" s="604">
        <v>22924867</v>
      </c>
      <c r="AB203" s="604">
        <v>0</v>
      </c>
      <c r="AC203" s="606">
        <v>34386000</v>
      </c>
      <c r="AD203" s="604">
        <v>867</v>
      </c>
      <c r="AE203" s="603">
        <v>2</v>
      </c>
      <c r="AF203" s="607">
        <v>-11461133</v>
      </c>
      <c r="AG203" s="608" t="s">
        <v>13631</v>
      </c>
      <c r="AH203" s="608" t="s">
        <v>12489</v>
      </c>
      <c r="AI203" s="603" t="s">
        <v>956</v>
      </c>
      <c r="AJ203" s="603" t="s">
        <v>12202</v>
      </c>
      <c r="AK203" s="603" t="s">
        <v>12203</v>
      </c>
      <c r="AL203" s="599" t="s">
        <v>12729</v>
      </c>
      <c r="AM203" s="609" t="s">
        <v>12444</v>
      </c>
      <c r="AN203" s="610" t="s">
        <v>13632</v>
      </c>
      <c r="AO203" s="610" t="s">
        <v>12206</v>
      </c>
      <c r="AP203" s="610" t="s">
        <v>12207</v>
      </c>
      <c r="AQ203" s="609" t="s">
        <v>13633</v>
      </c>
      <c r="AR203" s="599" t="s">
        <v>13634</v>
      </c>
      <c r="AS203" s="603" t="s">
        <v>423</v>
      </c>
      <c r="AT203" s="609" t="s">
        <v>13635</v>
      </c>
    </row>
    <row r="204" spans="1:46" ht="22.15" customHeight="1">
      <c r="A204" s="595" t="s">
        <v>13636</v>
      </c>
      <c r="B204" s="596" t="s">
        <v>8553</v>
      </c>
      <c r="C204" s="597" t="s">
        <v>12212</v>
      </c>
      <c r="D204" s="598"/>
      <c r="E204" s="599" t="s">
        <v>13629</v>
      </c>
      <c r="F204" s="600" t="s">
        <v>9735</v>
      </c>
      <c r="G204" s="601" t="s">
        <v>13637</v>
      </c>
      <c r="H204" s="601" t="s">
        <v>12145</v>
      </c>
      <c r="I204" s="596" t="s">
        <v>12225</v>
      </c>
      <c r="J204" s="596" t="s">
        <v>335</v>
      </c>
      <c r="K204" s="599" t="s">
        <v>12197</v>
      </c>
      <c r="L204" s="599" t="s">
        <v>12198</v>
      </c>
      <c r="M204" s="602" t="s">
        <v>12199</v>
      </c>
      <c r="N204" s="603" t="s">
        <v>7673</v>
      </c>
      <c r="O204" s="599">
        <v>512</v>
      </c>
      <c r="P204" s="604">
        <v>0</v>
      </c>
      <c r="Q204" s="604">
        <v>0</v>
      </c>
      <c r="R204" s="605">
        <v>20000</v>
      </c>
      <c r="S204" s="604">
        <v>0</v>
      </c>
      <c r="T204" s="604">
        <v>0</v>
      </c>
      <c r="U204" s="604">
        <v>6400000</v>
      </c>
      <c r="V204" s="605">
        <v>3220000</v>
      </c>
      <c r="W204" s="596"/>
      <c r="X204" s="604">
        <v>0</v>
      </c>
      <c r="Y204" s="604">
        <v>322000</v>
      </c>
      <c r="Z204" s="604">
        <v>3542000</v>
      </c>
      <c r="AA204" s="604">
        <v>7084867</v>
      </c>
      <c r="AB204" s="604">
        <v>0</v>
      </c>
      <c r="AC204" s="606">
        <v>10626000</v>
      </c>
      <c r="AD204" s="604">
        <v>867</v>
      </c>
      <c r="AE204" s="603">
        <v>2</v>
      </c>
      <c r="AF204" s="607">
        <v>3542867</v>
      </c>
      <c r="AG204" s="608" t="s">
        <v>13638</v>
      </c>
      <c r="AH204" s="608" t="s">
        <v>13639</v>
      </c>
      <c r="AI204" s="603" t="s">
        <v>12145</v>
      </c>
      <c r="AJ204" s="603" t="s">
        <v>12202</v>
      </c>
      <c r="AK204" s="603" t="s">
        <v>12203</v>
      </c>
      <c r="AL204" s="599" t="s">
        <v>13640</v>
      </c>
      <c r="AM204" s="609" t="s">
        <v>12444</v>
      </c>
      <c r="AN204" s="610" t="s">
        <v>13641</v>
      </c>
      <c r="AO204" s="610" t="s">
        <v>12206</v>
      </c>
      <c r="AP204" s="610" t="s">
        <v>12207</v>
      </c>
      <c r="AQ204" s="609" t="s">
        <v>13633</v>
      </c>
      <c r="AR204" s="599" t="s">
        <v>13634</v>
      </c>
      <c r="AS204" s="603" t="s">
        <v>423</v>
      </c>
      <c r="AT204" s="609" t="s">
        <v>13642</v>
      </c>
    </row>
    <row r="205" spans="1:46" ht="22.9" customHeight="1">
      <c r="A205" s="595" t="s">
        <v>13643</v>
      </c>
      <c r="B205" s="596" t="s">
        <v>8553</v>
      </c>
      <c r="C205" s="597" t="s">
        <v>12212</v>
      </c>
      <c r="D205" s="598"/>
      <c r="E205" s="599" t="s">
        <v>13644</v>
      </c>
      <c r="F205" s="600" t="s">
        <v>9735</v>
      </c>
      <c r="G205" s="601" t="s">
        <v>13645</v>
      </c>
      <c r="H205" s="601" t="s">
        <v>1205</v>
      </c>
      <c r="I205" s="596" t="s">
        <v>12225</v>
      </c>
      <c r="J205" s="596" t="s">
        <v>335</v>
      </c>
      <c r="K205" s="599" t="s">
        <v>12197</v>
      </c>
      <c r="L205" s="599" t="s">
        <v>12198</v>
      </c>
      <c r="M205" s="602" t="s">
        <v>12199</v>
      </c>
      <c r="N205" s="603" t="s">
        <v>7673</v>
      </c>
      <c r="O205" s="599">
        <v>512</v>
      </c>
      <c r="P205" s="604">
        <v>0</v>
      </c>
      <c r="Q205" s="604">
        <v>0</v>
      </c>
      <c r="R205" s="605">
        <v>20000</v>
      </c>
      <c r="S205" s="604">
        <v>0</v>
      </c>
      <c r="T205" s="604">
        <v>0</v>
      </c>
      <c r="U205" s="604">
        <v>4480000</v>
      </c>
      <c r="V205" s="605">
        <v>2260000</v>
      </c>
      <c r="W205" s="596"/>
      <c r="X205" s="604">
        <v>0</v>
      </c>
      <c r="Y205" s="604">
        <v>226000</v>
      </c>
      <c r="Z205" s="604">
        <v>2486000</v>
      </c>
      <c r="AA205" s="604">
        <v>4972093</v>
      </c>
      <c r="AB205" s="604">
        <v>0</v>
      </c>
      <c r="AC205" s="606">
        <v>7458000</v>
      </c>
      <c r="AD205" s="604">
        <v>93</v>
      </c>
      <c r="AE205" s="603">
        <v>2</v>
      </c>
      <c r="AF205" s="607">
        <v>2486093</v>
      </c>
      <c r="AG205" s="608" t="s">
        <v>13646</v>
      </c>
      <c r="AH205" s="608" t="s">
        <v>13037</v>
      </c>
      <c r="AI205" s="603" t="s">
        <v>1205</v>
      </c>
      <c r="AJ205" s="603" t="s">
        <v>12202</v>
      </c>
      <c r="AK205" s="603" t="s">
        <v>12203</v>
      </c>
      <c r="AL205" s="599" t="s">
        <v>12729</v>
      </c>
      <c r="AM205" s="609" t="s">
        <v>12444</v>
      </c>
      <c r="AN205" s="610" t="s">
        <v>13647</v>
      </c>
      <c r="AO205" s="610" t="s">
        <v>12206</v>
      </c>
      <c r="AP205" s="610" t="s">
        <v>12207</v>
      </c>
      <c r="AQ205" s="609" t="s">
        <v>12533</v>
      </c>
      <c r="AR205" s="599" t="s">
        <v>12534</v>
      </c>
      <c r="AS205" s="603" t="s">
        <v>423</v>
      </c>
      <c r="AT205" s="609" t="s">
        <v>13648</v>
      </c>
    </row>
    <row r="206" spans="1:46" ht="22.9" customHeight="1">
      <c r="A206" s="595" t="s">
        <v>13649</v>
      </c>
      <c r="B206" s="596" t="s">
        <v>8553</v>
      </c>
      <c r="C206" s="597" t="s">
        <v>12212</v>
      </c>
      <c r="D206" s="598"/>
      <c r="E206" s="599" t="s">
        <v>13650</v>
      </c>
      <c r="F206" s="600" t="s">
        <v>9735</v>
      </c>
      <c r="G206" s="601" t="s">
        <v>13651</v>
      </c>
      <c r="H206" s="601" t="s">
        <v>924</v>
      </c>
      <c r="I206" s="596" t="s">
        <v>12225</v>
      </c>
      <c r="J206" s="596" t="s">
        <v>335</v>
      </c>
      <c r="K206" s="599" t="s">
        <v>12197</v>
      </c>
      <c r="L206" s="599" t="s">
        <v>12198</v>
      </c>
      <c r="M206" s="602" t="s">
        <v>12199</v>
      </c>
      <c r="N206" s="603" t="s">
        <v>7673</v>
      </c>
      <c r="O206" s="599">
        <v>512</v>
      </c>
      <c r="P206" s="604">
        <v>0</v>
      </c>
      <c r="Q206" s="604">
        <v>0</v>
      </c>
      <c r="R206" s="605">
        <v>20000</v>
      </c>
      <c r="S206" s="604">
        <v>0</v>
      </c>
      <c r="T206" s="604">
        <v>0</v>
      </c>
      <c r="U206" s="604">
        <v>4480000</v>
      </c>
      <c r="V206" s="605">
        <v>2260000</v>
      </c>
      <c r="W206" s="596"/>
      <c r="X206" s="604">
        <v>0</v>
      </c>
      <c r="Y206" s="604">
        <v>226000</v>
      </c>
      <c r="Z206" s="604">
        <v>2486000</v>
      </c>
      <c r="AA206" s="604">
        <v>4972133</v>
      </c>
      <c r="AB206" s="604">
        <v>0</v>
      </c>
      <c r="AC206" s="606">
        <v>7458000</v>
      </c>
      <c r="AD206" s="604">
        <v>133</v>
      </c>
      <c r="AE206" s="603">
        <v>2</v>
      </c>
      <c r="AF206" s="607">
        <v>2486133</v>
      </c>
      <c r="AG206" s="608" t="s">
        <v>13652</v>
      </c>
      <c r="AH206" s="608" t="s">
        <v>12227</v>
      </c>
      <c r="AI206" s="603" t="s">
        <v>924</v>
      </c>
      <c r="AJ206" s="603" t="s">
        <v>12202</v>
      </c>
      <c r="AK206" s="603" t="s">
        <v>12203</v>
      </c>
      <c r="AL206" s="599" t="s">
        <v>12729</v>
      </c>
      <c r="AM206" s="609" t="s">
        <v>12444</v>
      </c>
      <c r="AN206" s="610" t="s">
        <v>13653</v>
      </c>
      <c r="AO206" s="610" t="s">
        <v>12206</v>
      </c>
      <c r="AP206" s="610" t="s">
        <v>12207</v>
      </c>
      <c r="AQ206" s="609" t="s">
        <v>13008</v>
      </c>
      <c r="AR206" s="599" t="s">
        <v>13009</v>
      </c>
      <c r="AS206" s="603" t="s">
        <v>423</v>
      </c>
      <c r="AT206" s="609" t="s">
        <v>13654</v>
      </c>
    </row>
    <row r="207" spans="1:46" ht="22.9" customHeight="1">
      <c r="A207" s="595" t="s">
        <v>13655</v>
      </c>
      <c r="B207" s="596" t="s">
        <v>8553</v>
      </c>
      <c r="C207" s="597" t="s">
        <v>12212</v>
      </c>
      <c r="D207" s="598"/>
      <c r="E207" s="599" t="s">
        <v>13650</v>
      </c>
      <c r="F207" s="600" t="s">
        <v>9735</v>
      </c>
      <c r="G207" s="601" t="s">
        <v>13656</v>
      </c>
      <c r="H207" s="601" t="s">
        <v>930</v>
      </c>
      <c r="I207" s="596" t="s">
        <v>12214</v>
      </c>
      <c r="J207" s="596" t="s">
        <v>107</v>
      </c>
      <c r="K207" s="599" t="s">
        <v>12426</v>
      </c>
      <c r="L207" s="599" t="s">
        <v>12198</v>
      </c>
      <c r="M207" s="602" t="s">
        <v>12199</v>
      </c>
      <c r="N207" s="603" t="s">
        <v>7673</v>
      </c>
      <c r="O207" s="599">
        <v>1024</v>
      </c>
      <c r="P207" s="604">
        <v>0</v>
      </c>
      <c r="Q207" s="604">
        <v>0</v>
      </c>
      <c r="R207" s="605">
        <v>20000</v>
      </c>
      <c r="S207" s="604">
        <v>0</v>
      </c>
      <c r="T207" s="604">
        <v>0</v>
      </c>
      <c r="U207" s="604">
        <v>20800000</v>
      </c>
      <c r="V207" s="605">
        <v>10420000</v>
      </c>
      <c r="W207" s="596"/>
      <c r="X207" s="604">
        <v>0</v>
      </c>
      <c r="Y207" s="604">
        <v>1042000</v>
      </c>
      <c r="Z207" s="604">
        <v>11462000</v>
      </c>
      <c r="AA207" s="604">
        <v>22924333</v>
      </c>
      <c r="AB207" s="604">
        <v>0</v>
      </c>
      <c r="AC207" s="606">
        <v>34386000</v>
      </c>
      <c r="AD207" s="604">
        <v>333</v>
      </c>
      <c r="AE207" s="603">
        <v>2</v>
      </c>
      <c r="AF207" s="607">
        <v>11462333</v>
      </c>
      <c r="AG207" s="608" t="s">
        <v>13657</v>
      </c>
      <c r="AH207" s="608" t="s">
        <v>12618</v>
      </c>
      <c r="AI207" s="603" t="s">
        <v>930</v>
      </c>
      <c r="AJ207" s="603" t="s">
        <v>12202</v>
      </c>
      <c r="AK207" s="603" t="s">
        <v>12203</v>
      </c>
      <c r="AL207" s="599" t="s">
        <v>12729</v>
      </c>
      <c r="AM207" s="609" t="s">
        <v>12444</v>
      </c>
      <c r="AN207" s="610" t="s">
        <v>13658</v>
      </c>
      <c r="AO207" s="610" t="s">
        <v>12206</v>
      </c>
      <c r="AP207" s="610" t="s">
        <v>12207</v>
      </c>
      <c r="AQ207" s="609" t="s">
        <v>13008</v>
      </c>
      <c r="AR207" s="599" t="s">
        <v>13009</v>
      </c>
      <c r="AS207" s="603" t="s">
        <v>423</v>
      </c>
      <c r="AT207" s="609" t="s">
        <v>13659</v>
      </c>
    </row>
    <row r="208" spans="1:46" ht="22.15" customHeight="1">
      <c r="A208" s="595" t="s">
        <v>13660</v>
      </c>
      <c r="B208" s="596" t="s">
        <v>8553</v>
      </c>
      <c r="C208" s="597" t="s">
        <v>12212</v>
      </c>
      <c r="D208" s="598"/>
      <c r="E208" s="599" t="s">
        <v>13661</v>
      </c>
      <c r="F208" s="600" t="s">
        <v>9735</v>
      </c>
      <c r="G208" s="601" t="s">
        <v>13662</v>
      </c>
      <c r="H208" s="601" t="s">
        <v>5079</v>
      </c>
      <c r="I208" s="596" t="s">
        <v>12255</v>
      </c>
      <c r="J208" s="596" t="s">
        <v>335</v>
      </c>
      <c r="K208" s="599" t="s">
        <v>12197</v>
      </c>
      <c r="L208" s="599" t="s">
        <v>12198</v>
      </c>
      <c r="M208" s="602" t="s">
        <v>12199</v>
      </c>
      <c r="N208" s="603" t="s">
        <v>7673</v>
      </c>
      <c r="O208" s="599">
        <v>2048</v>
      </c>
      <c r="P208" s="604">
        <v>0</v>
      </c>
      <c r="Q208" s="604">
        <v>0</v>
      </c>
      <c r="R208" s="605">
        <v>0</v>
      </c>
      <c r="S208" s="604">
        <v>0</v>
      </c>
      <c r="T208" s="604">
        <v>0</v>
      </c>
      <c r="U208" s="604">
        <v>15680000</v>
      </c>
      <c r="V208" s="605">
        <v>7840000</v>
      </c>
      <c r="W208" s="596"/>
      <c r="X208" s="604">
        <v>0</v>
      </c>
      <c r="Y208" s="604">
        <v>784000</v>
      </c>
      <c r="Z208" s="604">
        <v>8624000</v>
      </c>
      <c r="AA208" s="604">
        <v>17248973</v>
      </c>
      <c r="AB208" s="604">
        <v>0</v>
      </c>
      <c r="AC208" s="606">
        <v>25872000</v>
      </c>
      <c r="AD208" s="604">
        <v>973</v>
      </c>
      <c r="AE208" s="603">
        <v>2</v>
      </c>
      <c r="AF208" s="607">
        <v>8624973</v>
      </c>
      <c r="AG208" s="608" t="s">
        <v>13663</v>
      </c>
      <c r="AH208" s="608" t="s">
        <v>13664</v>
      </c>
      <c r="AI208" s="603" t="s">
        <v>5079</v>
      </c>
      <c r="AJ208" s="603" t="s">
        <v>12202</v>
      </c>
      <c r="AK208" s="603" t="s">
        <v>12203</v>
      </c>
      <c r="AL208" s="599" t="s">
        <v>13665</v>
      </c>
      <c r="AM208" s="609" t="s">
        <v>12444</v>
      </c>
      <c r="AN208" s="610" t="s">
        <v>13666</v>
      </c>
      <c r="AO208" s="610" t="s">
        <v>12206</v>
      </c>
      <c r="AP208" s="610" t="s">
        <v>12207</v>
      </c>
      <c r="AQ208" s="609" t="s">
        <v>12208</v>
      </c>
      <c r="AR208" s="599" t="s">
        <v>12209</v>
      </c>
      <c r="AS208" s="603" t="s">
        <v>423</v>
      </c>
      <c r="AT208" s="609" t="s">
        <v>13667</v>
      </c>
    </row>
    <row r="209" spans="1:46" ht="22.9" customHeight="1">
      <c r="A209" s="595" t="s">
        <v>13668</v>
      </c>
      <c r="B209" s="596" t="s">
        <v>8553</v>
      </c>
      <c r="C209" s="597" t="s">
        <v>12212</v>
      </c>
      <c r="D209" s="598"/>
      <c r="E209" s="599" t="s">
        <v>13669</v>
      </c>
      <c r="F209" s="600" t="s">
        <v>9735</v>
      </c>
      <c r="G209" s="601" t="s">
        <v>13670</v>
      </c>
      <c r="H209" s="601" t="s">
        <v>13671</v>
      </c>
      <c r="I209" s="596" t="s">
        <v>12255</v>
      </c>
      <c r="J209" s="596" t="s">
        <v>335</v>
      </c>
      <c r="K209" s="599" t="s">
        <v>12197</v>
      </c>
      <c r="L209" s="599" t="s">
        <v>12198</v>
      </c>
      <c r="M209" s="602" t="s">
        <v>12199</v>
      </c>
      <c r="N209" s="603" t="s">
        <v>7673</v>
      </c>
      <c r="O209" s="599">
        <v>2048</v>
      </c>
      <c r="P209" s="604">
        <v>0</v>
      </c>
      <c r="Q209" s="604">
        <v>0</v>
      </c>
      <c r="R209" s="605">
        <v>0</v>
      </c>
      <c r="S209" s="604">
        <v>0</v>
      </c>
      <c r="T209" s="604">
        <v>0</v>
      </c>
      <c r="U209" s="604">
        <v>15680000</v>
      </c>
      <c r="V209" s="605">
        <v>7840000</v>
      </c>
      <c r="W209" s="596"/>
      <c r="X209" s="604">
        <v>0</v>
      </c>
      <c r="Y209" s="604">
        <v>784000</v>
      </c>
      <c r="Z209" s="604">
        <v>8624000</v>
      </c>
      <c r="AA209" s="604">
        <v>17248320</v>
      </c>
      <c r="AB209" s="604">
        <v>0</v>
      </c>
      <c r="AC209" s="606">
        <v>25872000</v>
      </c>
      <c r="AD209" s="604">
        <v>320</v>
      </c>
      <c r="AE209" s="603">
        <v>2</v>
      </c>
      <c r="AF209" s="607">
        <v>8624320</v>
      </c>
      <c r="AG209" s="608" t="s">
        <v>13672</v>
      </c>
      <c r="AH209" s="608" t="s">
        <v>13664</v>
      </c>
      <c r="AI209" s="603" t="s">
        <v>13671</v>
      </c>
      <c r="AJ209" s="603" t="s">
        <v>12202</v>
      </c>
      <c r="AK209" s="603" t="s">
        <v>12203</v>
      </c>
      <c r="AL209" s="599" t="s">
        <v>13673</v>
      </c>
      <c r="AM209" s="609" t="s">
        <v>12444</v>
      </c>
      <c r="AN209" s="610" t="s">
        <v>13674</v>
      </c>
      <c r="AO209" s="610" t="s">
        <v>12206</v>
      </c>
      <c r="AP209" s="610" t="s">
        <v>12207</v>
      </c>
      <c r="AQ209" s="609" t="s">
        <v>12208</v>
      </c>
      <c r="AR209" s="599" t="s">
        <v>12209</v>
      </c>
      <c r="AS209" s="603" t="s">
        <v>423</v>
      </c>
      <c r="AT209" s="609" t="s">
        <v>13675</v>
      </c>
    </row>
    <row r="210" spans="1:46" ht="22.9" customHeight="1">
      <c r="A210" s="595" t="s">
        <v>13676</v>
      </c>
      <c r="B210" s="596" t="s">
        <v>8553</v>
      </c>
      <c r="C210" s="597" t="s">
        <v>12212</v>
      </c>
      <c r="D210" s="598"/>
      <c r="E210" s="599" t="s">
        <v>13677</v>
      </c>
      <c r="F210" s="600" t="s">
        <v>9735</v>
      </c>
      <c r="G210" s="601" t="s">
        <v>13678</v>
      </c>
      <c r="H210" s="601" t="s">
        <v>958</v>
      </c>
      <c r="I210" s="596" t="s">
        <v>12196</v>
      </c>
      <c r="J210" s="596" t="s">
        <v>335</v>
      </c>
      <c r="K210" s="599" t="s">
        <v>12197</v>
      </c>
      <c r="L210" s="599" t="s">
        <v>12198</v>
      </c>
      <c r="M210" s="602" t="s">
        <v>12199</v>
      </c>
      <c r="N210" s="603" t="s">
        <v>7673</v>
      </c>
      <c r="O210" s="599">
        <v>5120</v>
      </c>
      <c r="P210" s="604">
        <v>0</v>
      </c>
      <c r="Q210" s="604">
        <v>0</v>
      </c>
      <c r="R210" s="605">
        <v>20000</v>
      </c>
      <c r="S210" s="604">
        <v>0</v>
      </c>
      <c r="T210" s="604">
        <v>0</v>
      </c>
      <c r="U210" s="604">
        <v>25200000</v>
      </c>
      <c r="V210" s="605">
        <v>12620000</v>
      </c>
      <c r="W210" s="596"/>
      <c r="X210" s="604">
        <v>0</v>
      </c>
      <c r="Y210" s="604">
        <v>1262000</v>
      </c>
      <c r="Z210" s="604">
        <v>13882000</v>
      </c>
      <c r="AA210" s="604">
        <v>27764334</v>
      </c>
      <c r="AB210" s="604">
        <v>0</v>
      </c>
      <c r="AC210" s="606">
        <v>41646000</v>
      </c>
      <c r="AD210" s="604">
        <v>334</v>
      </c>
      <c r="AE210" s="603">
        <v>2</v>
      </c>
      <c r="AF210" s="607">
        <v>13882334</v>
      </c>
      <c r="AG210" s="608" t="s">
        <v>13679</v>
      </c>
      <c r="AH210" s="608" t="s">
        <v>12201</v>
      </c>
      <c r="AI210" s="603" t="s">
        <v>958</v>
      </c>
      <c r="AJ210" s="603" t="s">
        <v>12202</v>
      </c>
      <c r="AK210" s="603" t="s">
        <v>12203</v>
      </c>
      <c r="AL210" s="599" t="s">
        <v>12729</v>
      </c>
      <c r="AM210" s="609" t="s">
        <v>12444</v>
      </c>
      <c r="AN210" s="610" t="s">
        <v>13680</v>
      </c>
      <c r="AO210" s="610" t="s">
        <v>12206</v>
      </c>
      <c r="AP210" s="610" t="s">
        <v>12207</v>
      </c>
      <c r="AQ210" s="609" t="s">
        <v>13681</v>
      </c>
      <c r="AR210" s="599" t="s">
        <v>13682</v>
      </c>
      <c r="AS210" s="603" t="s">
        <v>423</v>
      </c>
      <c r="AT210" s="609" t="s">
        <v>13683</v>
      </c>
    </row>
    <row r="211" spans="1:46" ht="22.15" customHeight="1">
      <c r="A211" s="595" t="s">
        <v>13684</v>
      </c>
      <c r="B211" s="596" t="s">
        <v>8553</v>
      </c>
      <c r="C211" s="597" t="s">
        <v>12212</v>
      </c>
      <c r="D211" s="598"/>
      <c r="E211" s="599" t="s">
        <v>13677</v>
      </c>
      <c r="F211" s="600" t="s">
        <v>9735</v>
      </c>
      <c r="G211" s="601" t="s">
        <v>13685</v>
      </c>
      <c r="H211" s="601" t="s">
        <v>964</v>
      </c>
      <c r="I211" s="596" t="s">
        <v>12196</v>
      </c>
      <c r="J211" s="596" t="s">
        <v>107</v>
      </c>
      <c r="K211" s="599" t="s">
        <v>12426</v>
      </c>
      <c r="L211" s="599" t="s">
        <v>12198</v>
      </c>
      <c r="M211" s="602" t="s">
        <v>12199</v>
      </c>
      <c r="N211" s="603" t="s">
        <v>7673</v>
      </c>
      <c r="O211" s="599">
        <v>5120</v>
      </c>
      <c r="P211" s="604">
        <v>0</v>
      </c>
      <c r="Q211" s="604">
        <v>0</v>
      </c>
      <c r="R211" s="605">
        <v>20000</v>
      </c>
      <c r="S211" s="604">
        <v>0</v>
      </c>
      <c r="T211" s="604">
        <v>0</v>
      </c>
      <c r="U211" s="604">
        <v>58500000</v>
      </c>
      <c r="V211" s="605">
        <v>29270000</v>
      </c>
      <c r="W211" s="596"/>
      <c r="X211" s="604">
        <v>0</v>
      </c>
      <c r="Y211" s="604">
        <v>2927000</v>
      </c>
      <c r="Z211" s="604">
        <v>32197000</v>
      </c>
      <c r="AA211" s="604">
        <v>64394333</v>
      </c>
      <c r="AB211" s="604">
        <v>0</v>
      </c>
      <c r="AC211" s="606">
        <v>96591000</v>
      </c>
      <c r="AD211" s="604">
        <v>333</v>
      </c>
      <c r="AE211" s="603">
        <v>2</v>
      </c>
      <c r="AF211" s="607">
        <v>32197333.666666657</v>
      </c>
      <c r="AG211" s="608" t="s">
        <v>13686</v>
      </c>
      <c r="AH211" s="608" t="s">
        <v>13687</v>
      </c>
      <c r="AI211" s="603" t="s">
        <v>964</v>
      </c>
      <c r="AJ211" s="603" t="s">
        <v>12202</v>
      </c>
      <c r="AK211" s="603" t="s">
        <v>12203</v>
      </c>
      <c r="AL211" s="599" t="s">
        <v>12729</v>
      </c>
      <c r="AM211" s="609" t="s">
        <v>12444</v>
      </c>
      <c r="AN211" s="610" t="s">
        <v>13688</v>
      </c>
      <c r="AO211" s="610" t="s">
        <v>12206</v>
      </c>
      <c r="AP211" s="610" t="s">
        <v>12207</v>
      </c>
      <c r="AQ211" s="609" t="s">
        <v>13681</v>
      </c>
      <c r="AR211" s="599" t="s">
        <v>13682</v>
      </c>
      <c r="AS211" s="603" t="s">
        <v>423</v>
      </c>
      <c r="AT211" s="609" t="s">
        <v>13689</v>
      </c>
    </row>
    <row r="212" spans="1:46" ht="22.9" customHeight="1">
      <c r="A212" s="595" t="s">
        <v>13690</v>
      </c>
      <c r="B212" s="596" t="s">
        <v>8553</v>
      </c>
      <c r="C212" s="597" t="s">
        <v>12212</v>
      </c>
      <c r="D212" s="598"/>
      <c r="E212" s="599"/>
      <c r="F212" s="600" t="s">
        <v>9735</v>
      </c>
      <c r="G212" s="601" t="s">
        <v>13691</v>
      </c>
      <c r="H212" s="601" t="s">
        <v>13692</v>
      </c>
      <c r="I212" s="596" t="s">
        <v>12649</v>
      </c>
      <c r="J212" s="596" t="s">
        <v>107</v>
      </c>
      <c r="K212" s="599" t="s">
        <v>12426</v>
      </c>
      <c r="L212" s="599" t="s">
        <v>12198</v>
      </c>
      <c r="M212" s="602" t="s">
        <v>12199</v>
      </c>
      <c r="N212" s="603" t="s">
        <v>7673</v>
      </c>
      <c r="O212" s="599">
        <v>10240</v>
      </c>
      <c r="P212" s="604">
        <v>0</v>
      </c>
      <c r="Q212" s="604">
        <v>0</v>
      </c>
      <c r="R212" s="605">
        <v>0</v>
      </c>
      <c r="S212" s="604">
        <v>0</v>
      </c>
      <c r="T212" s="604">
        <v>0</v>
      </c>
      <c r="U212" s="604">
        <v>82333333.333333328</v>
      </c>
      <c r="V212" s="605">
        <v>41166666.666666664</v>
      </c>
      <c r="W212" s="596"/>
      <c r="X212" s="604">
        <v>0</v>
      </c>
      <c r="Y212" s="604">
        <v>4116666.666666666</v>
      </c>
      <c r="Z212" s="604">
        <v>45283333.333333328</v>
      </c>
      <c r="AA212" s="604">
        <v>90566880</v>
      </c>
      <c r="AB212" s="604">
        <v>0</v>
      </c>
      <c r="AC212" s="606">
        <v>135850000</v>
      </c>
      <c r="AD212" s="604">
        <v>213</v>
      </c>
      <c r="AE212" s="603">
        <v>2</v>
      </c>
      <c r="AF212" s="607">
        <v>-45282785.686666846</v>
      </c>
      <c r="AG212" s="608" t="s">
        <v>13693</v>
      </c>
      <c r="AH212" s="608" t="s">
        <v>13694</v>
      </c>
      <c r="AI212" s="603" t="s">
        <v>13692</v>
      </c>
      <c r="AJ212" s="603" t="s">
        <v>12202</v>
      </c>
      <c r="AK212" s="603" t="s">
        <v>12203</v>
      </c>
      <c r="AL212" s="599" t="s">
        <v>12729</v>
      </c>
      <c r="AM212" s="609" t="s">
        <v>12444</v>
      </c>
      <c r="AN212" s="610" t="s">
        <v>13695</v>
      </c>
      <c r="AO212" s="610" t="s">
        <v>12206</v>
      </c>
      <c r="AP212" s="610" t="s">
        <v>12207</v>
      </c>
      <c r="AQ212" s="609" t="s">
        <v>12208</v>
      </c>
      <c r="AR212" s="599" t="s">
        <v>12209</v>
      </c>
      <c r="AS212" s="603" t="s">
        <v>423</v>
      </c>
      <c r="AT212" s="609" t="s">
        <v>13696</v>
      </c>
    </row>
    <row r="213" spans="1:46" ht="22.9" customHeight="1">
      <c r="A213" s="595" t="s">
        <v>13697</v>
      </c>
      <c r="B213" s="596" t="s">
        <v>8553</v>
      </c>
      <c r="C213" s="597" t="s">
        <v>12212</v>
      </c>
      <c r="D213" s="598"/>
      <c r="E213" s="599" t="s">
        <v>13698</v>
      </c>
      <c r="F213" s="600" t="s">
        <v>9735</v>
      </c>
      <c r="G213" s="601" t="s">
        <v>13699</v>
      </c>
      <c r="H213" s="601" t="s">
        <v>4393</v>
      </c>
      <c r="I213" s="596" t="s">
        <v>12225</v>
      </c>
      <c r="J213" s="596" t="s">
        <v>335</v>
      </c>
      <c r="K213" s="599" t="s">
        <v>12197</v>
      </c>
      <c r="L213" s="599" t="s">
        <v>12198</v>
      </c>
      <c r="M213" s="602" t="s">
        <v>12199</v>
      </c>
      <c r="N213" s="603" t="s">
        <v>7673</v>
      </c>
      <c r="O213" s="599">
        <v>512</v>
      </c>
      <c r="P213" s="604">
        <v>0</v>
      </c>
      <c r="Q213" s="604">
        <v>0</v>
      </c>
      <c r="R213" s="605">
        <v>0</v>
      </c>
      <c r="S213" s="604">
        <v>0</v>
      </c>
      <c r="T213" s="604">
        <v>0</v>
      </c>
      <c r="U213" s="604">
        <v>4480000</v>
      </c>
      <c r="V213" s="605">
        <v>2240000</v>
      </c>
      <c r="W213" s="596"/>
      <c r="X213" s="604">
        <v>0</v>
      </c>
      <c r="Y213" s="604">
        <v>224000</v>
      </c>
      <c r="Z213" s="604">
        <v>2464000</v>
      </c>
      <c r="AA213" s="604">
        <v>4928680</v>
      </c>
      <c r="AB213" s="604">
        <v>0</v>
      </c>
      <c r="AC213" s="606">
        <v>7392000</v>
      </c>
      <c r="AD213" s="604">
        <v>680</v>
      </c>
      <c r="AE213" s="603">
        <v>2</v>
      </c>
      <c r="AF213" s="607">
        <v>2464680</v>
      </c>
      <c r="AG213" s="608" t="s">
        <v>13700</v>
      </c>
      <c r="AH213" s="608" t="s">
        <v>13701</v>
      </c>
      <c r="AI213" s="603" t="s">
        <v>4393</v>
      </c>
      <c r="AJ213" s="603" t="s">
        <v>12202</v>
      </c>
      <c r="AK213" s="603" t="s">
        <v>12203</v>
      </c>
      <c r="AL213" s="599" t="s">
        <v>13702</v>
      </c>
      <c r="AM213" s="609" t="s">
        <v>13703</v>
      </c>
      <c r="AN213" s="610" t="s">
        <v>13704</v>
      </c>
      <c r="AO213" s="610" t="s">
        <v>12206</v>
      </c>
      <c r="AP213" s="610" t="s">
        <v>12207</v>
      </c>
      <c r="AQ213" s="609" t="s">
        <v>12208</v>
      </c>
      <c r="AR213" s="599" t="s">
        <v>12209</v>
      </c>
      <c r="AS213" s="603" t="s">
        <v>423</v>
      </c>
      <c r="AT213" s="609" t="s">
        <v>13705</v>
      </c>
    </row>
    <row r="214" spans="1:46" ht="22.9" customHeight="1">
      <c r="A214" s="595" t="s">
        <v>13706</v>
      </c>
      <c r="B214" s="596" t="s">
        <v>8553</v>
      </c>
      <c r="C214" s="597" t="s">
        <v>12212</v>
      </c>
      <c r="D214" s="598"/>
      <c r="E214" s="599" t="s">
        <v>13707</v>
      </c>
      <c r="F214" s="600" t="s">
        <v>9735</v>
      </c>
      <c r="G214" s="601" t="s">
        <v>13708</v>
      </c>
      <c r="H214" s="601" t="s">
        <v>5239</v>
      </c>
      <c r="I214" s="596" t="s">
        <v>12880</v>
      </c>
      <c r="J214" s="596" t="s">
        <v>335</v>
      </c>
      <c r="K214" s="599" t="s">
        <v>12197</v>
      </c>
      <c r="L214" s="599" t="s">
        <v>12198</v>
      </c>
      <c r="M214" s="602" t="s">
        <v>12199</v>
      </c>
      <c r="N214" s="603" t="s">
        <v>7673</v>
      </c>
      <c r="O214" s="599">
        <v>51200</v>
      </c>
      <c r="P214" s="604">
        <v>0</v>
      </c>
      <c r="Q214" s="604">
        <v>0</v>
      </c>
      <c r="R214" s="605">
        <v>0</v>
      </c>
      <c r="S214" s="604">
        <v>0</v>
      </c>
      <c r="T214" s="604">
        <v>0</v>
      </c>
      <c r="U214" s="604">
        <v>67030303.030303031</v>
      </c>
      <c r="V214" s="605">
        <v>33515151.515151512</v>
      </c>
      <c r="W214" s="596"/>
      <c r="X214" s="604">
        <v>0</v>
      </c>
      <c r="Y214" s="604">
        <v>3351515.1515151514</v>
      </c>
      <c r="Z214" s="604">
        <v>36866666.666666664</v>
      </c>
      <c r="AA214" s="604">
        <v>73734111</v>
      </c>
      <c r="AB214" s="604">
        <v>0</v>
      </c>
      <c r="AC214" s="606">
        <v>110600000</v>
      </c>
      <c r="AD214" s="604">
        <v>777</v>
      </c>
      <c r="AE214" s="603">
        <v>2</v>
      </c>
      <c r="AF214" s="607">
        <v>36866777.777777456</v>
      </c>
      <c r="AG214" s="608" t="s">
        <v>13709</v>
      </c>
      <c r="AH214" s="608" t="s">
        <v>13710</v>
      </c>
      <c r="AI214" s="603" t="s">
        <v>5239</v>
      </c>
      <c r="AJ214" s="603" t="s">
        <v>12202</v>
      </c>
      <c r="AK214" s="603" t="s">
        <v>12203</v>
      </c>
      <c r="AL214" s="599" t="s">
        <v>13711</v>
      </c>
      <c r="AM214" s="609" t="s">
        <v>12444</v>
      </c>
      <c r="AN214" s="610" t="s">
        <v>8394</v>
      </c>
      <c r="AO214" s="610" t="s">
        <v>12206</v>
      </c>
      <c r="AP214" s="610" t="s">
        <v>12207</v>
      </c>
      <c r="AQ214" s="609" t="s">
        <v>12478</v>
      </c>
      <c r="AR214" s="599" t="s">
        <v>12479</v>
      </c>
      <c r="AS214" s="603" t="s">
        <v>423</v>
      </c>
      <c r="AT214" s="609" t="s">
        <v>11225</v>
      </c>
    </row>
    <row r="215" spans="1:46" ht="22.15" customHeight="1">
      <c r="A215" s="595" t="s">
        <v>13712</v>
      </c>
      <c r="B215" s="596" t="s">
        <v>8553</v>
      </c>
      <c r="C215" s="597" t="s">
        <v>12212</v>
      </c>
      <c r="D215" s="598"/>
      <c r="E215" s="599" t="s">
        <v>13713</v>
      </c>
      <c r="F215" s="600" t="s">
        <v>9735</v>
      </c>
      <c r="G215" s="601" t="s">
        <v>13714</v>
      </c>
      <c r="H215" s="601" t="s">
        <v>13715</v>
      </c>
      <c r="I215" s="596" t="s">
        <v>12255</v>
      </c>
      <c r="J215" s="596" t="s">
        <v>335</v>
      </c>
      <c r="K215" s="599" t="s">
        <v>12197</v>
      </c>
      <c r="L215" s="599" t="s">
        <v>12198</v>
      </c>
      <c r="M215" s="602" t="s">
        <v>12199</v>
      </c>
      <c r="N215" s="603" t="s">
        <v>7673</v>
      </c>
      <c r="O215" s="599">
        <v>2048</v>
      </c>
      <c r="P215" s="604">
        <v>0</v>
      </c>
      <c r="Q215" s="604">
        <v>0</v>
      </c>
      <c r="R215" s="605">
        <v>0</v>
      </c>
      <c r="S215" s="604">
        <v>0</v>
      </c>
      <c r="T215" s="604">
        <v>0</v>
      </c>
      <c r="U215" s="604">
        <v>15680000</v>
      </c>
      <c r="V215" s="605">
        <v>7840000</v>
      </c>
      <c r="W215" s="596"/>
      <c r="X215" s="604">
        <v>0</v>
      </c>
      <c r="Y215" s="604">
        <v>784000</v>
      </c>
      <c r="Z215" s="604">
        <v>8624000</v>
      </c>
      <c r="AA215" s="604">
        <v>452</v>
      </c>
      <c r="AB215" s="604">
        <v>0</v>
      </c>
      <c r="AC215" s="606">
        <v>8624000</v>
      </c>
      <c r="AD215" s="604">
        <v>452</v>
      </c>
      <c r="AE215" s="603">
        <v>1</v>
      </c>
      <c r="AF215" s="607">
        <v>-8623547.0300000012</v>
      </c>
      <c r="AG215" s="608" t="s">
        <v>13716</v>
      </c>
      <c r="AH215" s="608" t="s">
        <v>12805</v>
      </c>
      <c r="AI215" s="603" t="s">
        <v>13715</v>
      </c>
      <c r="AJ215" s="603" t="s">
        <v>12202</v>
      </c>
      <c r="AK215" s="603" t="s">
        <v>12203</v>
      </c>
      <c r="AL215" s="599" t="s">
        <v>13717</v>
      </c>
      <c r="AM215" s="609" t="s">
        <v>12444</v>
      </c>
      <c r="AN215" s="610" t="s">
        <v>13718</v>
      </c>
      <c r="AO215" s="610" t="s">
        <v>12206</v>
      </c>
      <c r="AP215" s="610" t="s">
        <v>12207</v>
      </c>
      <c r="AQ215" s="609" t="s">
        <v>12208</v>
      </c>
      <c r="AR215" s="599" t="s">
        <v>12209</v>
      </c>
      <c r="AS215" s="603" t="s">
        <v>423</v>
      </c>
      <c r="AT215" s="609" t="s">
        <v>13719</v>
      </c>
    </row>
    <row r="216" spans="1:46" ht="22.9" customHeight="1">
      <c r="A216" s="595" t="s">
        <v>13720</v>
      </c>
      <c r="B216" s="596" t="s">
        <v>8553</v>
      </c>
      <c r="C216" s="597" t="s">
        <v>12212</v>
      </c>
      <c r="D216" s="598"/>
      <c r="E216" s="599" t="s">
        <v>13721</v>
      </c>
      <c r="F216" s="600" t="s">
        <v>9735</v>
      </c>
      <c r="G216" s="601" t="s">
        <v>13722</v>
      </c>
      <c r="H216" s="601" t="s">
        <v>13723</v>
      </c>
      <c r="I216" s="596" t="s">
        <v>12255</v>
      </c>
      <c r="J216" s="596" t="s">
        <v>335</v>
      </c>
      <c r="K216" s="599" t="s">
        <v>12197</v>
      </c>
      <c r="L216" s="599" t="s">
        <v>12198</v>
      </c>
      <c r="M216" s="602" t="s">
        <v>12199</v>
      </c>
      <c r="N216" s="603" t="s">
        <v>7673</v>
      </c>
      <c r="O216" s="599">
        <v>2048</v>
      </c>
      <c r="P216" s="604">
        <v>0</v>
      </c>
      <c r="Q216" s="604">
        <v>0</v>
      </c>
      <c r="R216" s="605">
        <v>0</v>
      </c>
      <c r="S216" s="604">
        <v>0</v>
      </c>
      <c r="T216" s="604">
        <v>0</v>
      </c>
      <c r="U216" s="604">
        <v>15680000</v>
      </c>
      <c r="V216" s="605">
        <v>7840000</v>
      </c>
      <c r="W216" s="596"/>
      <c r="X216" s="604">
        <v>0</v>
      </c>
      <c r="Y216" s="604">
        <v>784000</v>
      </c>
      <c r="Z216" s="604">
        <v>8624000</v>
      </c>
      <c r="AA216" s="604">
        <v>17248800</v>
      </c>
      <c r="AB216" s="604">
        <v>0</v>
      </c>
      <c r="AC216" s="606">
        <v>25872000</v>
      </c>
      <c r="AD216" s="604">
        <v>800</v>
      </c>
      <c r="AE216" s="603">
        <v>2</v>
      </c>
      <c r="AF216" s="607">
        <v>8624800</v>
      </c>
      <c r="AG216" s="608" t="s">
        <v>13724</v>
      </c>
      <c r="AH216" s="608" t="s">
        <v>13489</v>
      </c>
      <c r="AI216" s="603" t="s">
        <v>13723</v>
      </c>
      <c r="AJ216" s="603" t="s">
        <v>12202</v>
      </c>
      <c r="AK216" s="603" t="s">
        <v>12203</v>
      </c>
      <c r="AL216" s="599" t="s">
        <v>13717</v>
      </c>
      <c r="AM216" s="609" t="s">
        <v>12444</v>
      </c>
      <c r="AN216" s="610" t="s">
        <v>8444</v>
      </c>
      <c r="AO216" s="610" t="s">
        <v>12206</v>
      </c>
      <c r="AP216" s="610" t="s">
        <v>12207</v>
      </c>
      <c r="AQ216" s="609" t="s">
        <v>13016</v>
      </c>
      <c r="AR216" s="599" t="s">
        <v>13017</v>
      </c>
      <c r="AS216" s="603" t="s">
        <v>423</v>
      </c>
      <c r="AT216" s="609" t="s">
        <v>13725</v>
      </c>
    </row>
    <row r="217" spans="1:46" ht="22.9" customHeight="1">
      <c r="A217" s="595" t="s">
        <v>13726</v>
      </c>
      <c r="B217" s="596" t="s">
        <v>8553</v>
      </c>
      <c r="C217" s="597" t="s">
        <v>12212</v>
      </c>
      <c r="D217" s="598"/>
      <c r="E217" s="599" t="s">
        <v>13727</v>
      </c>
      <c r="F217" s="600" t="s">
        <v>9735</v>
      </c>
      <c r="G217" s="601" t="s">
        <v>13728</v>
      </c>
      <c r="H217" s="601" t="s">
        <v>13729</v>
      </c>
      <c r="I217" s="596" t="s">
        <v>12196</v>
      </c>
      <c r="J217" s="596" t="s">
        <v>335</v>
      </c>
      <c r="K217" s="599" t="s">
        <v>12197</v>
      </c>
      <c r="L217" s="599" t="s">
        <v>12198</v>
      </c>
      <c r="M217" s="602" t="s">
        <v>12199</v>
      </c>
      <c r="N217" s="603" t="s">
        <v>7673</v>
      </c>
      <c r="O217" s="599">
        <v>5120</v>
      </c>
      <c r="P217" s="604">
        <v>0</v>
      </c>
      <c r="Q217" s="604">
        <v>0</v>
      </c>
      <c r="R217" s="605">
        <v>0</v>
      </c>
      <c r="S217" s="604">
        <v>0</v>
      </c>
      <c r="T217" s="604">
        <v>0</v>
      </c>
      <c r="U217" s="604">
        <v>25200000</v>
      </c>
      <c r="V217" s="605">
        <v>12600000</v>
      </c>
      <c r="W217" s="596"/>
      <c r="X217" s="604">
        <v>0</v>
      </c>
      <c r="Y217" s="604">
        <v>1260000</v>
      </c>
      <c r="Z217" s="604">
        <v>13860000</v>
      </c>
      <c r="AA217" s="604">
        <v>200</v>
      </c>
      <c r="AB217" s="604">
        <v>0</v>
      </c>
      <c r="AC217" s="606">
        <v>13860000</v>
      </c>
      <c r="AD217" s="604">
        <v>200</v>
      </c>
      <c r="AE217" s="603">
        <v>1</v>
      </c>
      <c r="AF217" s="607">
        <v>-13859800</v>
      </c>
      <c r="AG217" s="608" t="s">
        <v>13730</v>
      </c>
      <c r="AH217" s="608" t="s">
        <v>13731</v>
      </c>
      <c r="AI217" s="603" t="s">
        <v>13729</v>
      </c>
      <c r="AJ217" s="603" t="s">
        <v>12202</v>
      </c>
      <c r="AK217" s="603" t="s">
        <v>12203</v>
      </c>
      <c r="AL217" s="599" t="s">
        <v>13732</v>
      </c>
      <c r="AM217" s="609" t="s">
        <v>12444</v>
      </c>
      <c r="AN217" s="610" t="s">
        <v>13733</v>
      </c>
      <c r="AO217" s="610" t="s">
        <v>12206</v>
      </c>
      <c r="AP217" s="610" t="s">
        <v>12207</v>
      </c>
      <c r="AQ217" s="609" t="s">
        <v>12208</v>
      </c>
      <c r="AR217" s="599" t="s">
        <v>12209</v>
      </c>
      <c r="AS217" s="603" t="s">
        <v>423</v>
      </c>
      <c r="AT217" s="609" t="s">
        <v>11217</v>
      </c>
    </row>
    <row r="218" spans="1:46" ht="22.15" customHeight="1">
      <c r="A218" s="595" t="s">
        <v>13734</v>
      </c>
      <c r="B218" s="596" t="s">
        <v>8553</v>
      </c>
      <c r="C218" s="597" t="s">
        <v>12212</v>
      </c>
      <c r="D218" s="598"/>
      <c r="E218" s="599" t="s">
        <v>13735</v>
      </c>
      <c r="F218" s="600" t="s">
        <v>9735</v>
      </c>
      <c r="G218" s="601" t="s">
        <v>13736</v>
      </c>
      <c r="H218" s="601" t="s">
        <v>13737</v>
      </c>
      <c r="I218" s="596" t="s">
        <v>12196</v>
      </c>
      <c r="J218" s="596" t="s">
        <v>335</v>
      </c>
      <c r="K218" s="599" t="s">
        <v>12197</v>
      </c>
      <c r="L218" s="599" t="s">
        <v>12198</v>
      </c>
      <c r="M218" s="602" t="s">
        <v>12199</v>
      </c>
      <c r="N218" s="603" t="s">
        <v>7673</v>
      </c>
      <c r="O218" s="599">
        <v>5120</v>
      </c>
      <c r="P218" s="604">
        <v>0</v>
      </c>
      <c r="Q218" s="604">
        <v>0</v>
      </c>
      <c r="R218" s="605">
        <v>0</v>
      </c>
      <c r="S218" s="604">
        <v>0</v>
      </c>
      <c r="T218" s="604">
        <v>0</v>
      </c>
      <c r="U218" s="604">
        <v>25200000</v>
      </c>
      <c r="V218" s="605">
        <v>12600000</v>
      </c>
      <c r="W218" s="596"/>
      <c r="X218" s="604">
        <v>0</v>
      </c>
      <c r="Y218" s="604">
        <v>1260000</v>
      </c>
      <c r="Z218" s="604">
        <v>13860000</v>
      </c>
      <c r="AA218" s="604">
        <v>27720800</v>
      </c>
      <c r="AB218" s="604">
        <v>0</v>
      </c>
      <c r="AC218" s="606">
        <v>41580000</v>
      </c>
      <c r="AD218" s="604">
        <v>800</v>
      </c>
      <c r="AE218" s="603">
        <v>2</v>
      </c>
      <c r="AF218" s="607">
        <v>13860800</v>
      </c>
      <c r="AG218" s="608" t="s">
        <v>13738</v>
      </c>
      <c r="AH218" s="608" t="s">
        <v>13739</v>
      </c>
      <c r="AI218" s="603" t="s">
        <v>13737</v>
      </c>
      <c r="AJ218" s="603" t="s">
        <v>12202</v>
      </c>
      <c r="AK218" s="603" t="s">
        <v>12203</v>
      </c>
      <c r="AL218" s="599" t="s">
        <v>13740</v>
      </c>
      <c r="AM218" s="609" t="s">
        <v>12444</v>
      </c>
      <c r="AN218" s="610" t="s">
        <v>13741</v>
      </c>
      <c r="AO218" s="610" t="s">
        <v>12206</v>
      </c>
      <c r="AP218" s="610" t="s">
        <v>12207</v>
      </c>
      <c r="AQ218" s="609" t="s">
        <v>12478</v>
      </c>
      <c r="AR218" s="599" t="s">
        <v>12479</v>
      </c>
      <c r="AS218" s="603" t="s">
        <v>423</v>
      </c>
      <c r="AT218" s="609" t="s">
        <v>9368</v>
      </c>
    </row>
    <row r="219" spans="1:46" ht="22.9" customHeight="1">
      <c r="A219" s="595" t="s">
        <v>13742</v>
      </c>
      <c r="B219" s="596" t="s">
        <v>8553</v>
      </c>
      <c r="C219" s="597" t="s">
        <v>12212</v>
      </c>
      <c r="D219" s="598"/>
      <c r="E219" s="599" t="s">
        <v>13743</v>
      </c>
      <c r="F219" s="600" t="s">
        <v>9735</v>
      </c>
      <c r="G219" s="601" t="s">
        <v>13744</v>
      </c>
      <c r="H219" s="601" t="s">
        <v>13745</v>
      </c>
      <c r="I219" s="596" t="s">
        <v>12225</v>
      </c>
      <c r="J219" s="596" t="s">
        <v>335</v>
      </c>
      <c r="K219" s="599" t="s">
        <v>12197</v>
      </c>
      <c r="L219" s="599" t="s">
        <v>12198</v>
      </c>
      <c r="M219" s="602" t="s">
        <v>12199</v>
      </c>
      <c r="N219" s="603" t="s">
        <v>7673</v>
      </c>
      <c r="O219" s="599">
        <v>512</v>
      </c>
      <c r="P219" s="604">
        <v>0</v>
      </c>
      <c r="Q219" s="604">
        <v>0</v>
      </c>
      <c r="R219" s="605">
        <v>20000</v>
      </c>
      <c r="S219" s="604">
        <v>0</v>
      </c>
      <c r="T219" s="604">
        <v>0</v>
      </c>
      <c r="U219" s="604">
        <v>4480000</v>
      </c>
      <c r="V219" s="605">
        <v>2260000</v>
      </c>
      <c r="W219" s="596"/>
      <c r="X219" s="604">
        <v>0</v>
      </c>
      <c r="Y219" s="604">
        <v>226000</v>
      </c>
      <c r="Z219" s="604">
        <v>2486000</v>
      </c>
      <c r="AA219" s="604">
        <v>4972079</v>
      </c>
      <c r="AB219" s="604">
        <v>0</v>
      </c>
      <c r="AC219" s="606">
        <v>7458000</v>
      </c>
      <c r="AD219" s="604">
        <v>79</v>
      </c>
      <c r="AE219" s="603">
        <v>2</v>
      </c>
      <c r="AF219" s="607">
        <v>2486079.6366666667</v>
      </c>
      <c r="AG219" s="608" t="s">
        <v>13746</v>
      </c>
      <c r="AH219" s="608" t="s">
        <v>12311</v>
      </c>
      <c r="AI219" s="603" t="s">
        <v>13745</v>
      </c>
      <c r="AJ219" s="603" t="s">
        <v>12202</v>
      </c>
      <c r="AK219" s="603" t="s">
        <v>12203</v>
      </c>
      <c r="AL219" s="599" t="s">
        <v>13711</v>
      </c>
      <c r="AM219" s="609" t="s">
        <v>12444</v>
      </c>
      <c r="AN219" s="610" t="s">
        <v>13747</v>
      </c>
      <c r="AO219" s="610" t="s">
        <v>12206</v>
      </c>
      <c r="AP219" s="610" t="s">
        <v>12207</v>
      </c>
      <c r="AQ219" s="609" t="s">
        <v>12208</v>
      </c>
      <c r="AR219" s="599" t="s">
        <v>12209</v>
      </c>
      <c r="AS219" s="603" t="s">
        <v>423</v>
      </c>
      <c r="AT219" s="609" t="s">
        <v>13748</v>
      </c>
    </row>
    <row r="220" spans="1:46" ht="17.850000000000001" customHeight="1">
      <c r="A220" s="595" t="s">
        <v>13749</v>
      </c>
      <c r="B220" s="596" t="s">
        <v>8553</v>
      </c>
      <c r="C220" s="597" t="s">
        <v>12212</v>
      </c>
      <c r="D220" s="598"/>
      <c r="E220" s="599" t="s">
        <v>13750</v>
      </c>
      <c r="F220" s="600" t="s">
        <v>9735</v>
      </c>
      <c r="G220" s="601" t="s">
        <v>13751</v>
      </c>
      <c r="H220" s="601" t="s">
        <v>1222</v>
      </c>
      <c r="I220" s="596" t="s">
        <v>12225</v>
      </c>
      <c r="J220" s="596" t="s">
        <v>335</v>
      </c>
      <c r="K220" s="599" t="s">
        <v>12197</v>
      </c>
      <c r="L220" s="599" t="s">
        <v>12198</v>
      </c>
      <c r="M220" s="602" t="s">
        <v>12199</v>
      </c>
      <c r="N220" s="603" t="s">
        <v>7673</v>
      </c>
      <c r="O220" s="599">
        <v>512</v>
      </c>
      <c r="P220" s="604">
        <v>0</v>
      </c>
      <c r="Q220" s="604">
        <v>0</v>
      </c>
      <c r="R220" s="605">
        <v>20000</v>
      </c>
      <c r="S220" s="604">
        <v>0</v>
      </c>
      <c r="T220" s="604">
        <v>0</v>
      </c>
      <c r="U220" s="604">
        <v>4480000</v>
      </c>
      <c r="V220" s="605">
        <v>2260000</v>
      </c>
      <c r="W220" s="596"/>
      <c r="X220" s="604">
        <v>0</v>
      </c>
      <c r="Y220" s="604">
        <v>226000</v>
      </c>
      <c r="Z220" s="604">
        <v>2486000</v>
      </c>
      <c r="AA220" s="604">
        <v>4972640</v>
      </c>
      <c r="AB220" s="604">
        <v>0</v>
      </c>
      <c r="AC220" s="606">
        <v>7458000</v>
      </c>
      <c r="AD220" s="604">
        <v>640</v>
      </c>
      <c r="AE220" s="603">
        <v>2</v>
      </c>
      <c r="AF220" s="607">
        <v>2486640</v>
      </c>
      <c r="AG220" s="608" t="s">
        <v>13752</v>
      </c>
      <c r="AH220" s="608" t="s">
        <v>12360</v>
      </c>
      <c r="AI220" s="603" t="s">
        <v>1222</v>
      </c>
      <c r="AJ220" s="603" t="s">
        <v>12202</v>
      </c>
      <c r="AK220" s="603" t="s">
        <v>12203</v>
      </c>
      <c r="AL220" s="599" t="s">
        <v>13753</v>
      </c>
      <c r="AM220" s="609" t="s">
        <v>12444</v>
      </c>
      <c r="AN220" s="610" t="s">
        <v>13754</v>
      </c>
      <c r="AO220" s="610" t="s">
        <v>12206</v>
      </c>
      <c r="AP220" s="610" t="s">
        <v>12207</v>
      </c>
      <c r="AQ220" s="609" t="s">
        <v>12933</v>
      </c>
      <c r="AR220" s="599" t="s">
        <v>12934</v>
      </c>
      <c r="AS220" s="603" t="s">
        <v>423</v>
      </c>
      <c r="AT220" s="609" t="s">
        <v>13755</v>
      </c>
    </row>
    <row r="221" spans="1:46" ht="22.15" customHeight="1">
      <c r="A221" s="595" t="s">
        <v>13756</v>
      </c>
      <c r="B221" s="596" t="s">
        <v>8553</v>
      </c>
      <c r="C221" s="597" t="s">
        <v>12212</v>
      </c>
      <c r="D221" s="598"/>
      <c r="E221" s="599" t="s">
        <v>13757</v>
      </c>
      <c r="F221" s="600" t="s">
        <v>9735</v>
      </c>
      <c r="G221" s="601" t="s">
        <v>13758</v>
      </c>
      <c r="H221" s="601" t="s">
        <v>13759</v>
      </c>
      <c r="I221" s="596" t="s">
        <v>12196</v>
      </c>
      <c r="J221" s="596" t="s">
        <v>335</v>
      </c>
      <c r="K221" s="599" t="s">
        <v>12197</v>
      </c>
      <c r="L221" s="599" t="s">
        <v>12198</v>
      </c>
      <c r="M221" s="602" t="s">
        <v>12199</v>
      </c>
      <c r="N221" s="603" t="s">
        <v>7673</v>
      </c>
      <c r="O221" s="599">
        <v>5120</v>
      </c>
      <c r="P221" s="604">
        <v>0</v>
      </c>
      <c r="Q221" s="604">
        <v>0</v>
      </c>
      <c r="R221" s="605">
        <v>0</v>
      </c>
      <c r="S221" s="604">
        <v>0</v>
      </c>
      <c r="T221" s="604">
        <v>0</v>
      </c>
      <c r="U221" s="604">
        <v>25200000</v>
      </c>
      <c r="V221" s="605">
        <v>12600000</v>
      </c>
      <c r="W221" s="596"/>
      <c r="X221" s="604">
        <v>0</v>
      </c>
      <c r="Y221" s="604">
        <v>1260000</v>
      </c>
      <c r="Z221" s="604">
        <v>13860000</v>
      </c>
      <c r="AA221" s="604">
        <v>27720000</v>
      </c>
      <c r="AB221" s="604">
        <v>0</v>
      </c>
      <c r="AC221" s="606">
        <v>41580000</v>
      </c>
      <c r="AD221" s="604">
        <v>0</v>
      </c>
      <c r="AE221" s="603">
        <v>2</v>
      </c>
      <c r="AF221" s="607">
        <v>13860000</v>
      </c>
      <c r="AG221" s="608" t="s">
        <v>13760</v>
      </c>
      <c r="AH221" s="608" t="s">
        <v>13761</v>
      </c>
      <c r="AI221" s="603" t="s">
        <v>13759</v>
      </c>
      <c r="AJ221" s="603" t="s">
        <v>12202</v>
      </c>
      <c r="AK221" s="603" t="s">
        <v>12203</v>
      </c>
      <c r="AL221" s="599" t="s">
        <v>13762</v>
      </c>
      <c r="AM221" s="609" t="s">
        <v>13703</v>
      </c>
      <c r="AN221" s="610" t="s">
        <v>13763</v>
      </c>
      <c r="AO221" s="610" t="s">
        <v>12206</v>
      </c>
      <c r="AP221" s="610" t="s">
        <v>12207</v>
      </c>
      <c r="AQ221" s="609" t="s">
        <v>12654</v>
      </c>
      <c r="AR221" s="599" t="s">
        <v>12655</v>
      </c>
      <c r="AS221" s="603" t="s">
        <v>423</v>
      </c>
      <c r="AT221" s="609" t="s">
        <v>13764</v>
      </c>
    </row>
    <row r="222" spans="1:46" ht="22.9" customHeight="1">
      <c r="A222" s="595" t="s">
        <v>13765</v>
      </c>
      <c r="B222" s="596" t="s">
        <v>8553</v>
      </c>
      <c r="C222" s="597" t="s">
        <v>12212</v>
      </c>
      <c r="D222" s="598"/>
      <c r="E222" s="599" t="s">
        <v>13766</v>
      </c>
      <c r="F222" s="600" t="s">
        <v>9735</v>
      </c>
      <c r="G222" s="601" t="s">
        <v>13767</v>
      </c>
      <c r="H222" s="601" t="s">
        <v>13768</v>
      </c>
      <c r="I222" s="596" t="s">
        <v>12196</v>
      </c>
      <c r="J222" s="596" t="s">
        <v>335</v>
      </c>
      <c r="K222" s="599" t="s">
        <v>12197</v>
      </c>
      <c r="L222" s="599" t="s">
        <v>12198</v>
      </c>
      <c r="M222" s="602" t="s">
        <v>12199</v>
      </c>
      <c r="N222" s="603" t="s">
        <v>7673</v>
      </c>
      <c r="O222" s="599">
        <v>5120</v>
      </c>
      <c r="P222" s="604">
        <v>0</v>
      </c>
      <c r="Q222" s="604">
        <v>0</v>
      </c>
      <c r="R222" s="605">
        <v>0</v>
      </c>
      <c r="S222" s="604">
        <v>0</v>
      </c>
      <c r="T222" s="604">
        <v>0</v>
      </c>
      <c r="U222" s="604">
        <v>25200000</v>
      </c>
      <c r="V222" s="605">
        <v>12600000</v>
      </c>
      <c r="W222" s="596"/>
      <c r="X222" s="604">
        <v>0</v>
      </c>
      <c r="Y222" s="604">
        <v>1260000</v>
      </c>
      <c r="Z222" s="604">
        <v>13860000</v>
      </c>
      <c r="AA222" s="604">
        <v>27720000</v>
      </c>
      <c r="AB222" s="604">
        <v>0</v>
      </c>
      <c r="AC222" s="606">
        <v>41580000</v>
      </c>
      <c r="AD222" s="604">
        <v>0</v>
      </c>
      <c r="AE222" s="603">
        <v>2</v>
      </c>
      <c r="AF222" s="607">
        <v>13860000</v>
      </c>
      <c r="AG222" s="608" t="s">
        <v>13769</v>
      </c>
      <c r="AH222" s="608" t="s">
        <v>13739</v>
      </c>
      <c r="AI222" s="603" t="s">
        <v>13768</v>
      </c>
      <c r="AJ222" s="603" t="s">
        <v>12202</v>
      </c>
      <c r="AK222" s="603" t="s">
        <v>12203</v>
      </c>
      <c r="AL222" s="599" t="s">
        <v>13753</v>
      </c>
      <c r="AM222" s="609" t="s">
        <v>12444</v>
      </c>
      <c r="AN222" s="610" t="s">
        <v>13770</v>
      </c>
      <c r="AO222" s="610" t="s">
        <v>12206</v>
      </c>
      <c r="AP222" s="610" t="s">
        <v>12207</v>
      </c>
      <c r="AQ222" s="609" t="s">
        <v>12612</v>
      </c>
      <c r="AR222" s="599" t="s">
        <v>12613</v>
      </c>
      <c r="AS222" s="603" t="s">
        <v>423</v>
      </c>
      <c r="AT222" s="609" t="s">
        <v>13771</v>
      </c>
    </row>
    <row r="223" spans="1:46" ht="22.9" customHeight="1">
      <c r="A223" s="595" t="s">
        <v>13772</v>
      </c>
      <c r="B223" s="596" t="s">
        <v>8553</v>
      </c>
      <c r="C223" s="597" t="s">
        <v>12212</v>
      </c>
      <c r="D223" s="598"/>
      <c r="E223" s="599" t="s">
        <v>13773</v>
      </c>
      <c r="F223" s="600" t="s">
        <v>9735</v>
      </c>
      <c r="G223" s="601" t="s">
        <v>13774</v>
      </c>
      <c r="H223" s="601" t="s">
        <v>13775</v>
      </c>
      <c r="I223" s="596" t="s">
        <v>12214</v>
      </c>
      <c r="J223" s="596" t="s">
        <v>107</v>
      </c>
      <c r="K223" s="599" t="s">
        <v>12426</v>
      </c>
      <c r="L223" s="599" t="s">
        <v>12198</v>
      </c>
      <c r="M223" s="602" t="s">
        <v>12199</v>
      </c>
      <c r="N223" s="603" t="s">
        <v>7673</v>
      </c>
      <c r="O223" s="599">
        <v>1024</v>
      </c>
      <c r="P223" s="604">
        <v>0</v>
      </c>
      <c r="Q223" s="604">
        <v>0</v>
      </c>
      <c r="R223" s="605">
        <v>20000</v>
      </c>
      <c r="S223" s="604">
        <v>0</v>
      </c>
      <c r="T223" s="604">
        <v>0</v>
      </c>
      <c r="U223" s="604">
        <v>20800000</v>
      </c>
      <c r="V223" s="605">
        <v>10420000</v>
      </c>
      <c r="W223" s="596"/>
      <c r="X223" s="604">
        <v>0</v>
      </c>
      <c r="Y223" s="604">
        <v>1042000</v>
      </c>
      <c r="Z223" s="604">
        <v>11462000</v>
      </c>
      <c r="AA223" s="604">
        <v>22924422</v>
      </c>
      <c r="AB223" s="604">
        <v>0</v>
      </c>
      <c r="AC223" s="606">
        <v>34386000</v>
      </c>
      <c r="AD223" s="604">
        <v>422</v>
      </c>
      <c r="AE223" s="603">
        <v>2</v>
      </c>
      <c r="AF223" s="607">
        <v>11462422</v>
      </c>
      <c r="AG223" s="608" t="s">
        <v>13776</v>
      </c>
      <c r="AH223" s="608" t="s">
        <v>12428</v>
      </c>
      <c r="AI223" s="603" t="s">
        <v>13775</v>
      </c>
      <c r="AJ223" s="603" t="s">
        <v>12202</v>
      </c>
      <c r="AK223" s="603" t="s">
        <v>12203</v>
      </c>
      <c r="AL223" s="599" t="s">
        <v>12983</v>
      </c>
      <c r="AM223" s="609" t="s">
        <v>12444</v>
      </c>
      <c r="AN223" s="610" t="s">
        <v>13777</v>
      </c>
      <c r="AO223" s="610" t="s">
        <v>12206</v>
      </c>
      <c r="AP223" s="610" t="s">
        <v>12207</v>
      </c>
      <c r="AQ223" s="609" t="s">
        <v>12413</v>
      </c>
      <c r="AR223" s="599" t="s">
        <v>12414</v>
      </c>
      <c r="AS223" s="603" t="s">
        <v>423</v>
      </c>
      <c r="AT223" s="609" t="s">
        <v>13778</v>
      </c>
    </row>
    <row r="224" spans="1:46" ht="22.9" customHeight="1">
      <c r="A224" s="595" t="s">
        <v>13779</v>
      </c>
      <c r="B224" s="596" t="s">
        <v>8553</v>
      </c>
      <c r="C224" s="597" t="s">
        <v>12212</v>
      </c>
      <c r="D224" s="598"/>
      <c r="E224" s="599" t="s">
        <v>13780</v>
      </c>
      <c r="F224" s="600" t="s">
        <v>9735</v>
      </c>
      <c r="G224" s="601" t="s">
        <v>13781</v>
      </c>
      <c r="H224" s="601" t="s">
        <v>13782</v>
      </c>
      <c r="I224" s="596" t="s">
        <v>12214</v>
      </c>
      <c r="J224" s="596" t="s">
        <v>335</v>
      </c>
      <c r="K224" s="599" t="s">
        <v>12197</v>
      </c>
      <c r="L224" s="599" t="s">
        <v>12198</v>
      </c>
      <c r="M224" s="602" t="s">
        <v>12199</v>
      </c>
      <c r="N224" s="603" t="s">
        <v>7673</v>
      </c>
      <c r="O224" s="599">
        <v>1024</v>
      </c>
      <c r="P224" s="604">
        <v>0</v>
      </c>
      <c r="Q224" s="604">
        <v>0</v>
      </c>
      <c r="R224" s="605">
        <v>20000</v>
      </c>
      <c r="S224" s="604">
        <v>0</v>
      </c>
      <c r="T224" s="604">
        <v>0</v>
      </c>
      <c r="U224" s="604">
        <v>8960000</v>
      </c>
      <c r="V224" s="605">
        <v>4500000</v>
      </c>
      <c r="W224" s="596"/>
      <c r="X224" s="604">
        <v>0</v>
      </c>
      <c r="Y224" s="604">
        <v>450000</v>
      </c>
      <c r="Z224" s="604">
        <v>4950000</v>
      </c>
      <c r="AA224" s="604">
        <v>9900453</v>
      </c>
      <c r="AB224" s="604">
        <v>0</v>
      </c>
      <c r="AC224" s="606">
        <v>14850000</v>
      </c>
      <c r="AD224" s="604">
        <v>453</v>
      </c>
      <c r="AE224" s="603">
        <v>2</v>
      </c>
      <c r="AF224" s="607">
        <v>4950453</v>
      </c>
      <c r="AG224" s="608" t="s">
        <v>13783</v>
      </c>
      <c r="AH224" s="608" t="s">
        <v>12511</v>
      </c>
      <c r="AI224" s="603" t="s">
        <v>13782</v>
      </c>
      <c r="AJ224" s="603" t="s">
        <v>12202</v>
      </c>
      <c r="AK224" s="603" t="s">
        <v>12203</v>
      </c>
      <c r="AL224" s="599" t="s">
        <v>12983</v>
      </c>
      <c r="AM224" s="609" t="s">
        <v>12444</v>
      </c>
      <c r="AN224" s="610" t="s">
        <v>8858</v>
      </c>
      <c r="AO224" s="610" t="s">
        <v>12206</v>
      </c>
      <c r="AP224" s="610" t="s">
        <v>12207</v>
      </c>
      <c r="AQ224" s="609" t="s">
        <v>12612</v>
      </c>
      <c r="AR224" s="599" t="s">
        <v>12613</v>
      </c>
      <c r="AS224" s="603" t="s">
        <v>423</v>
      </c>
      <c r="AT224" s="609" t="s">
        <v>9390</v>
      </c>
    </row>
    <row r="225" spans="1:46" ht="22.15" customHeight="1">
      <c r="A225" s="595" t="s">
        <v>13784</v>
      </c>
      <c r="B225" s="596" t="s">
        <v>8553</v>
      </c>
      <c r="C225" s="597" t="s">
        <v>12212</v>
      </c>
      <c r="D225" s="598"/>
      <c r="E225" s="599" t="s">
        <v>13785</v>
      </c>
      <c r="F225" s="600" t="s">
        <v>9735</v>
      </c>
      <c r="G225" s="601" t="s">
        <v>13786</v>
      </c>
      <c r="H225" s="601" t="s">
        <v>13787</v>
      </c>
      <c r="I225" s="596" t="s">
        <v>12255</v>
      </c>
      <c r="J225" s="596" t="s">
        <v>335</v>
      </c>
      <c r="K225" s="599" t="s">
        <v>12197</v>
      </c>
      <c r="L225" s="599" t="s">
        <v>12198</v>
      </c>
      <c r="M225" s="602" t="s">
        <v>12199</v>
      </c>
      <c r="N225" s="603" t="s">
        <v>7673</v>
      </c>
      <c r="O225" s="599">
        <v>2048</v>
      </c>
      <c r="P225" s="604">
        <v>0</v>
      </c>
      <c r="Q225" s="604">
        <v>0</v>
      </c>
      <c r="R225" s="605">
        <v>20000</v>
      </c>
      <c r="S225" s="604">
        <v>0</v>
      </c>
      <c r="T225" s="604">
        <v>0</v>
      </c>
      <c r="U225" s="604">
        <v>15680000</v>
      </c>
      <c r="V225" s="605">
        <v>7860000</v>
      </c>
      <c r="W225" s="596"/>
      <c r="X225" s="604">
        <v>0</v>
      </c>
      <c r="Y225" s="604">
        <v>786000</v>
      </c>
      <c r="Z225" s="604">
        <v>8646000</v>
      </c>
      <c r="AA225" s="604">
        <v>17292490</v>
      </c>
      <c r="AB225" s="604">
        <v>0</v>
      </c>
      <c r="AC225" s="606">
        <v>25938000</v>
      </c>
      <c r="AD225" s="604">
        <v>490</v>
      </c>
      <c r="AE225" s="603">
        <v>2</v>
      </c>
      <c r="AF225" s="607">
        <v>8646490</v>
      </c>
      <c r="AG225" s="608" t="s">
        <v>13788</v>
      </c>
      <c r="AH225" s="608" t="s">
        <v>13536</v>
      </c>
      <c r="AI225" s="603" t="s">
        <v>13787</v>
      </c>
      <c r="AJ225" s="603" t="s">
        <v>12202</v>
      </c>
      <c r="AK225" s="603" t="s">
        <v>12203</v>
      </c>
      <c r="AL225" s="599" t="s">
        <v>12983</v>
      </c>
      <c r="AM225" s="609" t="s">
        <v>12444</v>
      </c>
      <c r="AN225" s="610" t="s">
        <v>13789</v>
      </c>
      <c r="AO225" s="610" t="s">
        <v>12206</v>
      </c>
      <c r="AP225" s="610" t="s">
        <v>12207</v>
      </c>
      <c r="AQ225" s="609" t="s">
        <v>13790</v>
      </c>
      <c r="AR225" s="599" t="s">
        <v>13791</v>
      </c>
      <c r="AS225" s="603" t="s">
        <v>423</v>
      </c>
      <c r="AT225" s="609" t="s">
        <v>9471</v>
      </c>
    </row>
    <row r="226" spans="1:46" ht="22.9" customHeight="1">
      <c r="A226" s="595" t="s">
        <v>13792</v>
      </c>
      <c r="B226" s="596" t="s">
        <v>8553</v>
      </c>
      <c r="C226" s="597" t="s">
        <v>12212</v>
      </c>
      <c r="D226" s="598"/>
      <c r="E226" s="599" t="s">
        <v>13793</v>
      </c>
      <c r="F226" s="600" t="s">
        <v>9735</v>
      </c>
      <c r="G226" s="601" t="s">
        <v>13794</v>
      </c>
      <c r="H226" s="601" t="s">
        <v>13795</v>
      </c>
      <c r="I226" s="596" t="s">
        <v>12255</v>
      </c>
      <c r="J226" s="596" t="s">
        <v>107</v>
      </c>
      <c r="K226" s="599" t="s">
        <v>12426</v>
      </c>
      <c r="L226" s="599" t="s">
        <v>12198</v>
      </c>
      <c r="M226" s="602" t="s">
        <v>12199</v>
      </c>
      <c r="N226" s="603" t="s">
        <v>7673</v>
      </c>
      <c r="O226" s="599">
        <v>2048</v>
      </c>
      <c r="P226" s="604">
        <v>0</v>
      </c>
      <c r="Q226" s="604">
        <v>0</v>
      </c>
      <c r="R226" s="605">
        <v>20000</v>
      </c>
      <c r="S226" s="604">
        <v>0</v>
      </c>
      <c r="T226" s="604">
        <v>0</v>
      </c>
      <c r="U226" s="604">
        <v>36400000</v>
      </c>
      <c r="V226" s="605">
        <v>18220000</v>
      </c>
      <c r="W226" s="596"/>
      <c r="X226" s="604">
        <v>0</v>
      </c>
      <c r="Y226" s="604">
        <v>1822000</v>
      </c>
      <c r="Z226" s="604">
        <v>20042000</v>
      </c>
      <c r="AA226" s="604">
        <v>40084057</v>
      </c>
      <c r="AB226" s="604">
        <v>0</v>
      </c>
      <c r="AC226" s="606">
        <v>60126000</v>
      </c>
      <c r="AD226" s="604">
        <v>57</v>
      </c>
      <c r="AE226" s="603">
        <v>2</v>
      </c>
      <c r="AF226" s="607">
        <v>20042057</v>
      </c>
      <c r="AG226" s="608" t="s">
        <v>13796</v>
      </c>
      <c r="AH226" s="608" t="s">
        <v>13326</v>
      </c>
      <c r="AI226" s="603" t="s">
        <v>13795</v>
      </c>
      <c r="AJ226" s="603" t="s">
        <v>12202</v>
      </c>
      <c r="AK226" s="603" t="s">
        <v>12203</v>
      </c>
      <c r="AL226" s="599" t="s">
        <v>12983</v>
      </c>
      <c r="AM226" s="609" t="s">
        <v>12444</v>
      </c>
      <c r="AN226" s="610" t="s">
        <v>13797</v>
      </c>
      <c r="AO226" s="610" t="s">
        <v>12206</v>
      </c>
      <c r="AP226" s="610" t="s">
        <v>12207</v>
      </c>
      <c r="AQ226" s="609" t="s">
        <v>13790</v>
      </c>
      <c r="AR226" s="599" t="s">
        <v>13791</v>
      </c>
      <c r="AS226" s="603" t="s">
        <v>423</v>
      </c>
      <c r="AT226" s="609" t="s">
        <v>13798</v>
      </c>
    </row>
    <row r="227" spans="1:46" ht="22.9" customHeight="1">
      <c r="A227" s="595" t="s">
        <v>13799</v>
      </c>
      <c r="B227" s="596" t="s">
        <v>8553</v>
      </c>
      <c r="C227" s="597" t="s">
        <v>12212</v>
      </c>
      <c r="D227" s="598"/>
      <c r="E227" s="599" t="s">
        <v>13800</v>
      </c>
      <c r="F227" s="600" t="s">
        <v>9735</v>
      </c>
      <c r="G227" s="601" t="s">
        <v>13801</v>
      </c>
      <c r="H227" s="601" t="s">
        <v>13802</v>
      </c>
      <c r="I227" s="596" t="s">
        <v>12225</v>
      </c>
      <c r="J227" s="596" t="s">
        <v>335</v>
      </c>
      <c r="K227" s="599" t="s">
        <v>12197</v>
      </c>
      <c r="L227" s="599" t="s">
        <v>12198</v>
      </c>
      <c r="M227" s="602" t="s">
        <v>12199</v>
      </c>
      <c r="N227" s="603" t="s">
        <v>7673</v>
      </c>
      <c r="O227" s="599">
        <v>512</v>
      </c>
      <c r="P227" s="604">
        <v>0</v>
      </c>
      <c r="Q227" s="604">
        <v>0</v>
      </c>
      <c r="R227" s="605">
        <v>20000</v>
      </c>
      <c r="S227" s="604">
        <v>0</v>
      </c>
      <c r="T227" s="604">
        <v>0</v>
      </c>
      <c r="U227" s="604">
        <v>4480000</v>
      </c>
      <c r="V227" s="605">
        <v>2260000</v>
      </c>
      <c r="W227" s="596"/>
      <c r="X227" s="604">
        <v>0</v>
      </c>
      <c r="Y227" s="604">
        <v>226000</v>
      </c>
      <c r="Z227" s="604">
        <v>2486000</v>
      </c>
      <c r="AA227" s="604">
        <v>4972476</v>
      </c>
      <c r="AB227" s="604">
        <v>0</v>
      </c>
      <c r="AC227" s="606">
        <v>7458000</v>
      </c>
      <c r="AD227" s="604">
        <v>476</v>
      </c>
      <c r="AE227" s="603">
        <v>2</v>
      </c>
      <c r="AF227" s="607">
        <v>2486476</v>
      </c>
      <c r="AG227" s="608" t="s">
        <v>13803</v>
      </c>
      <c r="AH227" s="608" t="s">
        <v>12303</v>
      </c>
      <c r="AI227" s="603" t="s">
        <v>13802</v>
      </c>
      <c r="AJ227" s="603" t="s">
        <v>12202</v>
      </c>
      <c r="AK227" s="603" t="s">
        <v>12203</v>
      </c>
      <c r="AL227" s="599" t="s">
        <v>12983</v>
      </c>
      <c r="AM227" s="609" t="s">
        <v>12444</v>
      </c>
      <c r="AN227" s="610" t="s">
        <v>13804</v>
      </c>
      <c r="AO227" s="610" t="s">
        <v>12206</v>
      </c>
      <c r="AP227" s="610" t="s">
        <v>12207</v>
      </c>
      <c r="AQ227" s="609" t="s">
        <v>12533</v>
      </c>
      <c r="AR227" s="599" t="s">
        <v>12534</v>
      </c>
      <c r="AS227" s="603" t="s">
        <v>423</v>
      </c>
      <c r="AT227" s="609" t="s">
        <v>11516</v>
      </c>
    </row>
    <row r="228" spans="1:46" ht="22.15" customHeight="1">
      <c r="A228" s="595" t="s">
        <v>13805</v>
      </c>
      <c r="B228" s="596" t="s">
        <v>8553</v>
      </c>
      <c r="C228" s="597" t="s">
        <v>12212</v>
      </c>
      <c r="D228" s="598"/>
      <c r="E228" s="599" t="s">
        <v>13806</v>
      </c>
      <c r="F228" s="600" t="s">
        <v>9735</v>
      </c>
      <c r="G228" s="601" t="s">
        <v>13807</v>
      </c>
      <c r="H228" s="601" t="s">
        <v>4359</v>
      </c>
      <c r="I228" s="596" t="s">
        <v>12225</v>
      </c>
      <c r="J228" s="596" t="s">
        <v>335</v>
      </c>
      <c r="K228" s="599" t="s">
        <v>12197</v>
      </c>
      <c r="L228" s="599" t="s">
        <v>12198</v>
      </c>
      <c r="M228" s="602" t="s">
        <v>12199</v>
      </c>
      <c r="N228" s="603" t="s">
        <v>7673</v>
      </c>
      <c r="O228" s="599">
        <v>512</v>
      </c>
      <c r="P228" s="604">
        <v>0</v>
      </c>
      <c r="Q228" s="604">
        <v>0</v>
      </c>
      <c r="R228" s="605">
        <v>20000</v>
      </c>
      <c r="S228" s="604">
        <v>0</v>
      </c>
      <c r="T228" s="604">
        <v>0</v>
      </c>
      <c r="U228" s="604">
        <v>4480000</v>
      </c>
      <c r="V228" s="605">
        <v>2260000</v>
      </c>
      <c r="W228" s="596"/>
      <c r="X228" s="604">
        <v>0</v>
      </c>
      <c r="Y228" s="604">
        <v>226000</v>
      </c>
      <c r="Z228" s="604">
        <v>2486000</v>
      </c>
      <c r="AA228" s="604">
        <v>4972640</v>
      </c>
      <c r="AB228" s="604">
        <v>0</v>
      </c>
      <c r="AC228" s="606">
        <v>7458000</v>
      </c>
      <c r="AD228" s="604">
        <v>640</v>
      </c>
      <c r="AE228" s="603">
        <v>2</v>
      </c>
      <c r="AF228" s="607">
        <v>2486640</v>
      </c>
      <c r="AG228" s="608" t="s">
        <v>13808</v>
      </c>
      <c r="AH228" s="608" t="s">
        <v>12227</v>
      </c>
      <c r="AI228" s="603" t="s">
        <v>4359</v>
      </c>
      <c r="AJ228" s="603" t="s">
        <v>12202</v>
      </c>
      <c r="AK228" s="603" t="s">
        <v>12203</v>
      </c>
      <c r="AL228" s="599" t="s">
        <v>12652</v>
      </c>
      <c r="AM228" s="609" t="s">
        <v>12444</v>
      </c>
      <c r="AN228" s="610" t="s">
        <v>8462</v>
      </c>
      <c r="AO228" s="610" t="s">
        <v>12206</v>
      </c>
      <c r="AP228" s="610" t="s">
        <v>12207</v>
      </c>
      <c r="AQ228" s="609" t="s">
        <v>12604</v>
      </c>
      <c r="AR228" s="599" t="s">
        <v>12605</v>
      </c>
      <c r="AS228" s="603" t="s">
        <v>423</v>
      </c>
      <c r="AT228" s="609" t="s">
        <v>11511</v>
      </c>
    </row>
    <row r="229" spans="1:46" ht="22.9" customHeight="1">
      <c r="A229" s="595" t="s">
        <v>13809</v>
      </c>
      <c r="B229" s="596" t="s">
        <v>8553</v>
      </c>
      <c r="C229" s="597" t="s">
        <v>12212</v>
      </c>
      <c r="D229" s="598"/>
      <c r="E229" s="599" t="s">
        <v>13810</v>
      </c>
      <c r="F229" s="600" t="s">
        <v>9735</v>
      </c>
      <c r="G229" s="601" t="s">
        <v>13811</v>
      </c>
      <c r="H229" s="601" t="s">
        <v>13812</v>
      </c>
      <c r="I229" s="596" t="s">
        <v>12225</v>
      </c>
      <c r="J229" s="596" t="s">
        <v>335</v>
      </c>
      <c r="K229" s="599" t="s">
        <v>12197</v>
      </c>
      <c r="L229" s="599" t="s">
        <v>12198</v>
      </c>
      <c r="M229" s="602" t="s">
        <v>12199</v>
      </c>
      <c r="N229" s="603" t="s">
        <v>7673</v>
      </c>
      <c r="O229" s="599">
        <v>512</v>
      </c>
      <c r="P229" s="604">
        <v>0</v>
      </c>
      <c r="Q229" s="604">
        <v>0</v>
      </c>
      <c r="R229" s="605">
        <v>20000</v>
      </c>
      <c r="S229" s="604">
        <v>0</v>
      </c>
      <c r="T229" s="604">
        <v>0</v>
      </c>
      <c r="U229" s="604">
        <v>4480000</v>
      </c>
      <c r="V229" s="605">
        <v>2260000</v>
      </c>
      <c r="W229" s="596"/>
      <c r="X229" s="604">
        <v>0</v>
      </c>
      <c r="Y229" s="604">
        <v>226000</v>
      </c>
      <c r="Z229" s="604">
        <v>2486000</v>
      </c>
      <c r="AA229" s="604">
        <v>4972707</v>
      </c>
      <c r="AB229" s="604">
        <v>0</v>
      </c>
      <c r="AC229" s="606">
        <v>7458000</v>
      </c>
      <c r="AD229" s="604">
        <v>707</v>
      </c>
      <c r="AE229" s="603">
        <v>2</v>
      </c>
      <c r="AF229" s="607">
        <v>2486707</v>
      </c>
      <c r="AG229" s="608" t="s">
        <v>13813</v>
      </c>
      <c r="AH229" s="608" t="s">
        <v>12303</v>
      </c>
      <c r="AI229" s="603" t="s">
        <v>13812</v>
      </c>
      <c r="AJ229" s="603" t="s">
        <v>12202</v>
      </c>
      <c r="AK229" s="603" t="s">
        <v>12203</v>
      </c>
      <c r="AL229" s="599" t="s">
        <v>12652</v>
      </c>
      <c r="AM229" s="609" t="s">
        <v>12444</v>
      </c>
      <c r="AN229" s="610" t="s">
        <v>13814</v>
      </c>
      <c r="AO229" s="610" t="s">
        <v>12206</v>
      </c>
      <c r="AP229" s="610" t="s">
        <v>12207</v>
      </c>
      <c r="AQ229" s="609" t="s">
        <v>12612</v>
      </c>
      <c r="AR229" s="599" t="s">
        <v>12613</v>
      </c>
      <c r="AS229" s="603" t="s">
        <v>423</v>
      </c>
      <c r="AT229" s="609" t="s">
        <v>13815</v>
      </c>
    </row>
    <row r="230" spans="1:46" ht="22.9" customHeight="1">
      <c r="A230" s="595" t="s">
        <v>13816</v>
      </c>
      <c r="B230" s="596" t="s">
        <v>8553</v>
      </c>
      <c r="C230" s="597" t="s">
        <v>12212</v>
      </c>
      <c r="D230" s="598"/>
      <c r="E230" s="599" t="s">
        <v>13817</v>
      </c>
      <c r="F230" s="600" t="s">
        <v>9735</v>
      </c>
      <c r="G230" s="601" t="s">
        <v>13818</v>
      </c>
      <c r="H230" s="601" t="s">
        <v>13819</v>
      </c>
      <c r="I230" s="596" t="s">
        <v>12225</v>
      </c>
      <c r="J230" s="596" t="s">
        <v>335</v>
      </c>
      <c r="K230" s="599" t="s">
        <v>12197</v>
      </c>
      <c r="L230" s="599" t="s">
        <v>12198</v>
      </c>
      <c r="M230" s="602" t="s">
        <v>12199</v>
      </c>
      <c r="N230" s="603" t="s">
        <v>7673</v>
      </c>
      <c r="O230" s="599">
        <v>512</v>
      </c>
      <c r="P230" s="604">
        <v>0</v>
      </c>
      <c r="Q230" s="604">
        <v>0</v>
      </c>
      <c r="R230" s="605">
        <v>20000</v>
      </c>
      <c r="S230" s="604">
        <v>0</v>
      </c>
      <c r="T230" s="604">
        <v>0</v>
      </c>
      <c r="U230" s="604">
        <v>4480000</v>
      </c>
      <c r="V230" s="605">
        <v>2260000</v>
      </c>
      <c r="W230" s="596"/>
      <c r="X230" s="604">
        <v>0</v>
      </c>
      <c r="Y230" s="604">
        <v>226000</v>
      </c>
      <c r="Z230" s="604">
        <v>2486000</v>
      </c>
      <c r="AA230" s="604">
        <v>4972118</v>
      </c>
      <c r="AB230" s="604">
        <v>0</v>
      </c>
      <c r="AC230" s="606">
        <v>7458000</v>
      </c>
      <c r="AD230" s="604">
        <v>118</v>
      </c>
      <c r="AE230" s="603">
        <v>2</v>
      </c>
      <c r="AF230" s="607">
        <v>2486118</v>
      </c>
      <c r="AG230" s="608" t="s">
        <v>13820</v>
      </c>
      <c r="AH230" s="608" t="s">
        <v>12329</v>
      </c>
      <c r="AI230" s="603" t="s">
        <v>13819</v>
      </c>
      <c r="AJ230" s="603" t="s">
        <v>12202</v>
      </c>
      <c r="AK230" s="603" t="s">
        <v>12203</v>
      </c>
      <c r="AL230" s="599" t="s">
        <v>12652</v>
      </c>
      <c r="AM230" s="609" t="s">
        <v>12444</v>
      </c>
      <c r="AN230" s="610" t="s">
        <v>7938</v>
      </c>
      <c r="AO230" s="610" t="s">
        <v>12206</v>
      </c>
      <c r="AP230" s="610" t="s">
        <v>12207</v>
      </c>
      <c r="AQ230" s="609" t="s">
        <v>12689</v>
      </c>
      <c r="AR230" s="599" t="s">
        <v>12690</v>
      </c>
      <c r="AS230" s="603" t="s">
        <v>423</v>
      </c>
      <c r="AT230" s="609" t="s">
        <v>13821</v>
      </c>
    </row>
    <row r="231" spans="1:46" ht="22.9" customHeight="1">
      <c r="A231" s="595" t="s">
        <v>13822</v>
      </c>
      <c r="B231" s="596" t="s">
        <v>8553</v>
      </c>
      <c r="C231" s="597" t="s">
        <v>12212</v>
      </c>
      <c r="D231" s="598"/>
      <c r="E231" s="599" t="s">
        <v>13823</v>
      </c>
      <c r="F231" s="600" t="s">
        <v>9735</v>
      </c>
      <c r="G231" s="601" t="s">
        <v>13824</v>
      </c>
      <c r="H231" s="601" t="s">
        <v>13825</v>
      </c>
      <c r="I231" s="596" t="s">
        <v>12225</v>
      </c>
      <c r="J231" s="596" t="s">
        <v>335</v>
      </c>
      <c r="K231" s="599" t="s">
        <v>12197</v>
      </c>
      <c r="L231" s="599" t="s">
        <v>12198</v>
      </c>
      <c r="M231" s="602" t="s">
        <v>12199</v>
      </c>
      <c r="N231" s="603" t="s">
        <v>7673</v>
      </c>
      <c r="O231" s="599">
        <v>512</v>
      </c>
      <c r="P231" s="604">
        <v>0</v>
      </c>
      <c r="Q231" s="604">
        <v>0</v>
      </c>
      <c r="R231" s="605">
        <v>-2666.6666666666665</v>
      </c>
      <c r="S231" s="604">
        <v>0</v>
      </c>
      <c r="T231" s="604">
        <v>0</v>
      </c>
      <c r="U231" s="604">
        <v>6400000</v>
      </c>
      <c r="V231" s="611">
        <v>-429333.33333333337</v>
      </c>
      <c r="W231" s="596"/>
      <c r="X231" s="604">
        <v>0</v>
      </c>
      <c r="Y231" s="612">
        <v>-42933.333333333343</v>
      </c>
      <c r="Z231" s="612">
        <v>-472266.66666666669</v>
      </c>
      <c r="AA231" s="604">
        <v>7084683</v>
      </c>
      <c r="AB231" s="604">
        <v>0</v>
      </c>
      <c r="AC231" s="606">
        <v>6612000</v>
      </c>
      <c r="AD231" s="604">
        <v>417</v>
      </c>
      <c r="AE231" s="603">
        <v>0</v>
      </c>
      <c r="AF231" s="607">
        <v>-471583.66666666698</v>
      </c>
      <c r="AG231" s="608" t="s">
        <v>13826</v>
      </c>
      <c r="AH231" s="608" t="s">
        <v>13827</v>
      </c>
      <c r="AI231" s="603" t="s">
        <v>13825</v>
      </c>
      <c r="AJ231" s="603" t="s">
        <v>12202</v>
      </c>
      <c r="AK231" s="603" t="s">
        <v>12203</v>
      </c>
      <c r="AL231" s="599" t="s">
        <v>12729</v>
      </c>
      <c r="AM231" s="609" t="s">
        <v>12444</v>
      </c>
      <c r="AN231" s="610" t="s">
        <v>13828</v>
      </c>
      <c r="AO231" s="610" t="s">
        <v>12206</v>
      </c>
      <c r="AP231" s="610" t="s">
        <v>13376</v>
      </c>
      <c r="AQ231" s="609" t="s">
        <v>12287</v>
      </c>
      <c r="AR231" s="599" t="s">
        <v>12288</v>
      </c>
      <c r="AS231" s="603" t="s">
        <v>423</v>
      </c>
      <c r="AT231" s="609" t="s">
        <v>11533</v>
      </c>
    </row>
    <row r="232" spans="1:46" ht="22.15" customHeight="1">
      <c r="A232" s="595" t="s">
        <v>13829</v>
      </c>
      <c r="B232" s="596" t="s">
        <v>8553</v>
      </c>
      <c r="C232" s="597" t="s">
        <v>12212</v>
      </c>
      <c r="D232" s="598"/>
      <c r="E232" s="599" t="s">
        <v>13830</v>
      </c>
      <c r="F232" s="600" t="s">
        <v>9735</v>
      </c>
      <c r="G232" s="601" t="s">
        <v>13831</v>
      </c>
      <c r="H232" s="601" t="s">
        <v>13832</v>
      </c>
      <c r="I232" s="596" t="s">
        <v>12225</v>
      </c>
      <c r="J232" s="596" t="s">
        <v>335</v>
      </c>
      <c r="K232" s="599" t="s">
        <v>12197</v>
      </c>
      <c r="L232" s="599" t="s">
        <v>12198</v>
      </c>
      <c r="M232" s="602" t="s">
        <v>12199</v>
      </c>
      <c r="N232" s="603" t="s">
        <v>7673</v>
      </c>
      <c r="O232" s="599">
        <v>512</v>
      </c>
      <c r="P232" s="604">
        <v>0</v>
      </c>
      <c r="Q232" s="604">
        <v>0</v>
      </c>
      <c r="R232" s="605">
        <v>20000</v>
      </c>
      <c r="S232" s="604">
        <v>0</v>
      </c>
      <c r="T232" s="604">
        <v>0</v>
      </c>
      <c r="U232" s="604">
        <v>4480000</v>
      </c>
      <c r="V232" s="605">
        <v>2260000</v>
      </c>
      <c r="W232" s="596"/>
      <c r="X232" s="604">
        <v>0</v>
      </c>
      <c r="Y232" s="604">
        <v>226000</v>
      </c>
      <c r="Z232" s="604">
        <v>2486000</v>
      </c>
      <c r="AA232" s="604">
        <v>4972718</v>
      </c>
      <c r="AB232" s="604">
        <v>0</v>
      </c>
      <c r="AC232" s="606">
        <v>7458000</v>
      </c>
      <c r="AD232" s="604">
        <v>718</v>
      </c>
      <c r="AE232" s="603">
        <v>2</v>
      </c>
      <c r="AF232" s="607">
        <v>2486718</v>
      </c>
      <c r="AG232" s="608" t="s">
        <v>13833</v>
      </c>
      <c r="AH232" s="608" t="s">
        <v>13037</v>
      </c>
      <c r="AI232" s="603" t="s">
        <v>13832</v>
      </c>
      <c r="AJ232" s="603" t="s">
        <v>12202</v>
      </c>
      <c r="AK232" s="603" t="s">
        <v>12203</v>
      </c>
      <c r="AL232" s="599" t="s">
        <v>12729</v>
      </c>
      <c r="AM232" s="609" t="s">
        <v>12444</v>
      </c>
      <c r="AN232" s="610" t="s">
        <v>13834</v>
      </c>
      <c r="AO232" s="610" t="s">
        <v>12206</v>
      </c>
      <c r="AP232" s="610" t="s">
        <v>12207</v>
      </c>
      <c r="AQ232" s="609" t="s">
        <v>12322</v>
      </c>
      <c r="AR232" s="599" t="s">
        <v>12323</v>
      </c>
      <c r="AS232" s="603" t="s">
        <v>423</v>
      </c>
      <c r="AT232" s="609" t="s">
        <v>13835</v>
      </c>
    </row>
    <row r="233" spans="1:46" ht="22.9" customHeight="1">
      <c r="A233" s="595" t="s">
        <v>13836</v>
      </c>
      <c r="B233" s="596" t="s">
        <v>8553</v>
      </c>
      <c r="C233" s="597" t="s">
        <v>12212</v>
      </c>
      <c r="D233" s="598"/>
      <c r="E233" s="599" t="s">
        <v>13837</v>
      </c>
      <c r="F233" s="600" t="s">
        <v>9735</v>
      </c>
      <c r="G233" s="601" t="s">
        <v>13838</v>
      </c>
      <c r="H233" s="601" t="s">
        <v>13839</v>
      </c>
      <c r="I233" s="596" t="s">
        <v>12225</v>
      </c>
      <c r="J233" s="596" t="s">
        <v>335</v>
      </c>
      <c r="K233" s="599" t="s">
        <v>12197</v>
      </c>
      <c r="L233" s="599" t="s">
        <v>12198</v>
      </c>
      <c r="M233" s="602" t="s">
        <v>12199</v>
      </c>
      <c r="N233" s="603" t="s">
        <v>7673</v>
      </c>
      <c r="O233" s="599">
        <v>512</v>
      </c>
      <c r="P233" s="604">
        <v>0</v>
      </c>
      <c r="Q233" s="604">
        <v>0</v>
      </c>
      <c r="R233" s="605">
        <v>20000</v>
      </c>
      <c r="S233" s="604">
        <v>0</v>
      </c>
      <c r="T233" s="604">
        <v>0</v>
      </c>
      <c r="U233" s="604">
        <v>4480000</v>
      </c>
      <c r="V233" s="605">
        <v>2260000</v>
      </c>
      <c r="W233" s="596"/>
      <c r="X233" s="604">
        <v>0</v>
      </c>
      <c r="Y233" s="604">
        <v>226000</v>
      </c>
      <c r="Z233" s="604">
        <v>2486000</v>
      </c>
      <c r="AA233" s="604">
        <v>4972418</v>
      </c>
      <c r="AB233" s="604">
        <v>0</v>
      </c>
      <c r="AC233" s="606">
        <v>7458000</v>
      </c>
      <c r="AD233" s="604">
        <v>418</v>
      </c>
      <c r="AE233" s="603">
        <v>2</v>
      </c>
      <c r="AF233" s="607">
        <v>2486418</v>
      </c>
      <c r="AG233" s="608" t="s">
        <v>13840</v>
      </c>
      <c r="AH233" s="608" t="s">
        <v>13037</v>
      </c>
      <c r="AI233" s="603" t="s">
        <v>13839</v>
      </c>
      <c r="AJ233" s="603" t="s">
        <v>12202</v>
      </c>
      <c r="AK233" s="603" t="s">
        <v>12203</v>
      </c>
      <c r="AL233" s="599" t="s">
        <v>12729</v>
      </c>
      <c r="AM233" s="609" t="s">
        <v>12444</v>
      </c>
      <c r="AN233" s="610" t="s">
        <v>13841</v>
      </c>
      <c r="AO233" s="610" t="s">
        <v>12206</v>
      </c>
      <c r="AP233" s="610" t="s">
        <v>12207</v>
      </c>
      <c r="AQ233" s="609" t="s">
        <v>12353</v>
      </c>
      <c r="AR233" s="599" t="s">
        <v>12354</v>
      </c>
      <c r="AS233" s="603" t="s">
        <v>423</v>
      </c>
      <c r="AT233" s="609" t="s">
        <v>11514</v>
      </c>
    </row>
    <row r="234" spans="1:46" ht="22.9" customHeight="1">
      <c r="A234" s="595" t="s">
        <v>13842</v>
      </c>
      <c r="B234" s="596" t="s">
        <v>8553</v>
      </c>
      <c r="C234" s="597" t="s">
        <v>12212</v>
      </c>
      <c r="D234" s="598"/>
      <c r="E234" s="599" t="s">
        <v>13843</v>
      </c>
      <c r="F234" s="600" t="s">
        <v>9735</v>
      </c>
      <c r="G234" s="601" t="s">
        <v>13844</v>
      </c>
      <c r="H234" s="601" t="s">
        <v>13845</v>
      </c>
      <c r="I234" s="596" t="s">
        <v>12225</v>
      </c>
      <c r="J234" s="596" t="s">
        <v>335</v>
      </c>
      <c r="K234" s="599" t="s">
        <v>12197</v>
      </c>
      <c r="L234" s="599" t="s">
        <v>12198</v>
      </c>
      <c r="M234" s="602" t="s">
        <v>12199</v>
      </c>
      <c r="N234" s="603" t="s">
        <v>7673</v>
      </c>
      <c r="O234" s="599">
        <v>512</v>
      </c>
      <c r="P234" s="604">
        <v>0</v>
      </c>
      <c r="Q234" s="604">
        <v>0</v>
      </c>
      <c r="R234" s="605">
        <v>20000</v>
      </c>
      <c r="S234" s="604">
        <v>0</v>
      </c>
      <c r="T234" s="604">
        <v>0</v>
      </c>
      <c r="U234" s="604">
        <v>4480000</v>
      </c>
      <c r="V234" s="605">
        <v>2260000</v>
      </c>
      <c r="W234" s="596"/>
      <c r="X234" s="604">
        <v>0</v>
      </c>
      <c r="Y234" s="604">
        <v>226000</v>
      </c>
      <c r="Z234" s="604">
        <v>2486000</v>
      </c>
      <c r="AA234" s="604">
        <v>4972943</v>
      </c>
      <c r="AB234" s="604">
        <v>0</v>
      </c>
      <c r="AC234" s="606">
        <v>7458000</v>
      </c>
      <c r="AD234" s="604">
        <v>943</v>
      </c>
      <c r="AE234" s="603">
        <v>2</v>
      </c>
      <c r="AF234" s="607">
        <v>2486943</v>
      </c>
      <c r="AG234" s="608" t="s">
        <v>13846</v>
      </c>
      <c r="AH234" s="608" t="s">
        <v>12320</v>
      </c>
      <c r="AI234" s="603" t="s">
        <v>13845</v>
      </c>
      <c r="AJ234" s="603" t="s">
        <v>12202</v>
      </c>
      <c r="AK234" s="603" t="s">
        <v>12203</v>
      </c>
      <c r="AL234" s="599" t="s">
        <v>12729</v>
      </c>
      <c r="AM234" s="609" t="s">
        <v>12444</v>
      </c>
      <c r="AN234" s="610" t="s">
        <v>13847</v>
      </c>
      <c r="AO234" s="610" t="s">
        <v>12206</v>
      </c>
      <c r="AP234" s="610" t="s">
        <v>12207</v>
      </c>
      <c r="AQ234" s="609" t="s">
        <v>12362</v>
      </c>
      <c r="AR234" s="599" t="s">
        <v>12363</v>
      </c>
      <c r="AS234" s="603" t="s">
        <v>423</v>
      </c>
      <c r="AT234" s="609" t="s">
        <v>9400</v>
      </c>
    </row>
    <row r="235" spans="1:46" ht="22.15" customHeight="1">
      <c r="A235" s="595" t="s">
        <v>13848</v>
      </c>
      <c r="B235" s="596" t="s">
        <v>8553</v>
      </c>
      <c r="C235" s="597" t="s">
        <v>12212</v>
      </c>
      <c r="D235" s="598"/>
      <c r="E235" s="599" t="s">
        <v>13849</v>
      </c>
      <c r="F235" s="600" t="s">
        <v>9735</v>
      </c>
      <c r="G235" s="601" t="s">
        <v>13850</v>
      </c>
      <c r="H235" s="601" t="s">
        <v>13851</v>
      </c>
      <c r="I235" s="596" t="s">
        <v>12225</v>
      </c>
      <c r="J235" s="596" t="s">
        <v>335</v>
      </c>
      <c r="K235" s="599" t="s">
        <v>12197</v>
      </c>
      <c r="L235" s="599" t="s">
        <v>12198</v>
      </c>
      <c r="M235" s="602" t="s">
        <v>12199</v>
      </c>
      <c r="N235" s="603" t="s">
        <v>7673</v>
      </c>
      <c r="O235" s="599">
        <v>512</v>
      </c>
      <c r="P235" s="604">
        <v>0</v>
      </c>
      <c r="Q235" s="604">
        <v>0</v>
      </c>
      <c r="R235" s="605">
        <v>20000</v>
      </c>
      <c r="S235" s="604">
        <v>0</v>
      </c>
      <c r="T235" s="604">
        <v>0</v>
      </c>
      <c r="U235" s="604">
        <v>6400000</v>
      </c>
      <c r="V235" s="605">
        <v>3220000</v>
      </c>
      <c r="W235" s="596"/>
      <c r="X235" s="604">
        <v>0</v>
      </c>
      <c r="Y235" s="604">
        <v>322000</v>
      </c>
      <c r="Z235" s="604">
        <v>3542000</v>
      </c>
      <c r="AA235" s="604">
        <v>7084033</v>
      </c>
      <c r="AB235" s="604">
        <v>0</v>
      </c>
      <c r="AC235" s="606">
        <v>10626000</v>
      </c>
      <c r="AD235" s="604">
        <v>33</v>
      </c>
      <c r="AE235" s="603">
        <v>2</v>
      </c>
      <c r="AF235" s="607">
        <v>3542033</v>
      </c>
      <c r="AG235" s="608" t="s">
        <v>13852</v>
      </c>
      <c r="AH235" s="608" t="s">
        <v>13023</v>
      </c>
      <c r="AI235" s="603" t="s">
        <v>13851</v>
      </c>
      <c r="AJ235" s="603" t="s">
        <v>12202</v>
      </c>
      <c r="AK235" s="603" t="s">
        <v>12203</v>
      </c>
      <c r="AL235" s="599" t="s">
        <v>12729</v>
      </c>
      <c r="AM235" s="609" t="s">
        <v>12444</v>
      </c>
      <c r="AN235" s="610" t="s">
        <v>13853</v>
      </c>
      <c r="AO235" s="610" t="s">
        <v>12206</v>
      </c>
      <c r="AP235" s="610" t="s">
        <v>12207</v>
      </c>
      <c r="AQ235" s="609" t="s">
        <v>13854</v>
      </c>
      <c r="AR235" s="599" t="s">
        <v>13855</v>
      </c>
      <c r="AS235" s="603" t="s">
        <v>423</v>
      </c>
      <c r="AT235" s="609" t="s">
        <v>13856</v>
      </c>
    </row>
    <row r="236" spans="1:46" ht="22.9" customHeight="1">
      <c r="A236" s="595" t="s">
        <v>13857</v>
      </c>
      <c r="B236" s="596" t="s">
        <v>8553</v>
      </c>
      <c r="C236" s="597" t="s">
        <v>12212</v>
      </c>
      <c r="D236" s="598"/>
      <c r="E236" s="599" t="s">
        <v>13858</v>
      </c>
      <c r="F236" s="600" t="s">
        <v>9735</v>
      </c>
      <c r="G236" s="601" t="s">
        <v>13859</v>
      </c>
      <c r="H236" s="601" t="s">
        <v>13860</v>
      </c>
      <c r="I236" s="596" t="s">
        <v>12225</v>
      </c>
      <c r="J236" s="596" t="s">
        <v>335</v>
      </c>
      <c r="K236" s="599" t="s">
        <v>12197</v>
      </c>
      <c r="L236" s="599" t="s">
        <v>12198</v>
      </c>
      <c r="M236" s="602" t="s">
        <v>12199</v>
      </c>
      <c r="N236" s="603" t="s">
        <v>7673</v>
      </c>
      <c r="O236" s="599">
        <v>512</v>
      </c>
      <c r="P236" s="604">
        <v>0</v>
      </c>
      <c r="Q236" s="604">
        <v>0</v>
      </c>
      <c r="R236" s="605">
        <v>20000</v>
      </c>
      <c r="S236" s="604">
        <v>0</v>
      </c>
      <c r="T236" s="604">
        <v>0</v>
      </c>
      <c r="U236" s="604">
        <v>6400000</v>
      </c>
      <c r="V236" s="605">
        <v>3220000</v>
      </c>
      <c r="W236" s="596"/>
      <c r="X236" s="604">
        <v>0</v>
      </c>
      <c r="Y236" s="604">
        <v>322000</v>
      </c>
      <c r="Z236" s="604">
        <v>3542000</v>
      </c>
      <c r="AA236" s="604">
        <v>7084883</v>
      </c>
      <c r="AB236" s="604">
        <v>0</v>
      </c>
      <c r="AC236" s="606">
        <v>10626000</v>
      </c>
      <c r="AD236" s="604">
        <v>883</v>
      </c>
      <c r="AE236" s="603">
        <v>2</v>
      </c>
      <c r="AF236" s="607">
        <v>3542883</v>
      </c>
      <c r="AG236" s="608" t="s">
        <v>13861</v>
      </c>
      <c r="AH236" s="608" t="s">
        <v>12275</v>
      </c>
      <c r="AI236" s="603" t="s">
        <v>13860</v>
      </c>
      <c r="AJ236" s="603" t="s">
        <v>12202</v>
      </c>
      <c r="AK236" s="603" t="s">
        <v>12203</v>
      </c>
      <c r="AL236" s="599" t="s">
        <v>12729</v>
      </c>
      <c r="AM236" s="609" t="s">
        <v>12444</v>
      </c>
      <c r="AN236" s="610" t="s">
        <v>13841</v>
      </c>
      <c r="AO236" s="610" t="s">
        <v>12206</v>
      </c>
      <c r="AP236" s="610" t="s">
        <v>12207</v>
      </c>
      <c r="AQ236" s="609" t="s">
        <v>13854</v>
      </c>
      <c r="AR236" s="599" t="s">
        <v>13855</v>
      </c>
      <c r="AS236" s="603" t="s">
        <v>423</v>
      </c>
      <c r="AT236" s="609" t="s">
        <v>13862</v>
      </c>
    </row>
    <row r="237" spans="1:46" ht="22.9" customHeight="1">
      <c r="A237" s="595" t="s">
        <v>13863</v>
      </c>
      <c r="B237" s="596" t="s">
        <v>8553</v>
      </c>
      <c r="C237" s="597" t="s">
        <v>12212</v>
      </c>
      <c r="D237" s="598"/>
      <c r="E237" s="599" t="s">
        <v>13864</v>
      </c>
      <c r="F237" s="600" t="s">
        <v>9735</v>
      </c>
      <c r="G237" s="601" t="s">
        <v>13865</v>
      </c>
      <c r="H237" s="601" t="s">
        <v>13866</v>
      </c>
      <c r="I237" s="596" t="s">
        <v>12225</v>
      </c>
      <c r="J237" s="596" t="s">
        <v>335</v>
      </c>
      <c r="K237" s="599" t="s">
        <v>12197</v>
      </c>
      <c r="L237" s="599" t="s">
        <v>12198</v>
      </c>
      <c r="M237" s="602" t="s">
        <v>12199</v>
      </c>
      <c r="N237" s="603" t="s">
        <v>7673</v>
      </c>
      <c r="O237" s="599">
        <v>512</v>
      </c>
      <c r="P237" s="604">
        <v>0</v>
      </c>
      <c r="Q237" s="604">
        <v>0</v>
      </c>
      <c r="R237" s="605">
        <v>-1333.3333333333333</v>
      </c>
      <c r="S237" s="604">
        <v>0</v>
      </c>
      <c r="T237" s="604">
        <v>0</v>
      </c>
      <c r="U237" s="604">
        <v>6400000</v>
      </c>
      <c r="V237" s="611">
        <v>-214666.66666666669</v>
      </c>
      <c r="W237" s="596"/>
      <c r="X237" s="604">
        <v>0</v>
      </c>
      <c r="Y237" s="612">
        <v>-21466.666666666672</v>
      </c>
      <c r="Z237" s="612">
        <v>-236133.33333333334</v>
      </c>
      <c r="AA237" s="604">
        <v>7084483</v>
      </c>
      <c r="AB237" s="604">
        <v>0</v>
      </c>
      <c r="AC237" s="606">
        <v>6848000</v>
      </c>
      <c r="AD237" s="604">
        <v>350</v>
      </c>
      <c r="AE237" s="603">
        <v>0</v>
      </c>
      <c r="AF237" s="607">
        <v>-235650.33333332837</v>
      </c>
      <c r="AG237" s="608" t="s">
        <v>13867</v>
      </c>
      <c r="AH237" s="608" t="s">
        <v>13868</v>
      </c>
      <c r="AI237" s="603" t="s">
        <v>13866</v>
      </c>
      <c r="AJ237" s="603" t="s">
        <v>12202</v>
      </c>
      <c r="AK237" s="603" t="s">
        <v>12203</v>
      </c>
      <c r="AL237" s="599" t="s">
        <v>12729</v>
      </c>
      <c r="AM237" s="609" t="s">
        <v>12444</v>
      </c>
      <c r="AN237" s="610" t="s">
        <v>13869</v>
      </c>
      <c r="AO237" s="610" t="s">
        <v>12206</v>
      </c>
      <c r="AP237" s="610" t="s">
        <v>13413</v>
      </c>
      <c r="AQ237" s="609" t="s">
        <v>13854</v>
      </c>
      <c r="AR237" s="599" t="s">
        <v>13855</v>
      </c>
      <c r="AS237" s="603" t="s">
        <v>423</v>
      </c>
      <c r="AT237" s="609" t="s">
        <v>13870</v>
      </c>
    </row>
    <row r="238" spans="1:46" ht="22.15" customHeight="1">
      <c r="A238" s="595" t="s">
        <v>13871</v>
      </c>
      <c r="B238" s="596" t="s">
        <v>8553</v>
      </c>
      <c r="C238" s="597" t="s">
        <v>12212</v>
      </c>
      <c r="D238" s="598"/>
      <c r="E238" s="599" t="s">
        <v>13872</v>
      </c>
      <c r="F238" s="600" t="s">
        <v>9735</v>
      </c>
      <c r="G238" s="601" t="s">
        <v>13873</v>
      </c>
      <c r="H238" s="601" t="s">
        <v>13874</v>
      </c>
      <c r="I238" s="596" t="s">
        <v>12225</v>
      </c>
      <c r="J238" s="596" t="s">
        <v>335</v>
      </c>
      <c r="K238" s="599" t="s">
        <v>12197</v>
      </c>
      <c r="L238" s="599" t="s">
        <v>12198</v>
      </c>
      <c r="M238" s="602" t="s">
        <v>12199</v>
      </c>
      <c r="N238" s="603" t="s">
        <v>7673</v>
      </c>
      <c r="O238" s="599">
        <v>512</v>
      </c>
      <c r="P238" s="604">
        <v>0</v>
      </c>
      <c r="Q238" s="604">
        <v>0</v>
      </c>
      <c r="R238" s="605">
        <v>20000</v>
      </c>
      <c r="S238" s="604">
        <v>0</v>
      </c>
      <c r="T238" s="604">
        <v>0</v>
      </c>
      <c r="U238" s="604">
        <v>4480000</v>
      </c>
      <c r="V238" s="605">
        <v>2260000</v>
      </c>
      <c r="W238" s="596"/>
      <c r="X238" s="604">
        <v>0</v>
      </c>
      <c r="Y238" s="604">
        <v>226000</v>
      </c>
      <c r="Z238" s="604">
        <v>2486000</v>
      </c>
      <c r="AA238" s="604">
        <v>4972868</v>
      </c>
      <c r="AB238" s="604">
        <v>0</v>
      </c>
      <c r="AC238" s="606">
        <v>7458000</v>
      </c>
      <c r="AD238" s="604">
        <v>868</v>
      </c>
      <c r="AE238" s="603">
        <v>2</v>
      </c>
      <c r="AF238" s="607">
        <v>2486868</v>
      </c>
      <c r="AG238" s="608" t="s">
        <v>13875</v>
      </c>
      <c r="AH238" s="608" t="s">
        <v>12247</v>
      </c>
      <c r="AI238" s="603" t="s">
        <v>13874</v>
      </c>
      <c r="AJ238" s="603" t="s">
        <v>12202</v>
      </c>
      <c r="AK238" s="603" t="s">
        <v>12203</v>
      </c>
      <c r="AL238" s="599" t="s">
        <v>12729</v>
      </c>
      <c r="AM238" s="609" t="s">
        <v>12444</v>
      </c>
      <c r="AN238" s="610" t="s">
        <v>9029</v>
      </c>
      <c r="AO238" s="610" t="s">
        <v>12206</v>
      </c>
      <c r="AP238" s="610" t="s">
        <v>12207</v>
      </c>
      <c r="AQ238" s="609" t="s">
        <v>12566</v>
      </c>
      <c r="AR238" s="599" t="s">
        <v>12567</v>
      </c>
      <c r="AS238" s="603" t="s">
        <v>423</v>
      </c>
      <c r="AT238" s="609" t="s">
        <v>11539</v>
      </c>
    </row>
    <row r="239" spans="1:46" ht="22.9" customHeight="1">
      <c r="A239" s="595" t="s">
        <v>13876</v>
      </c>
      <c r="B239" s="596" t="s">
        <v>8553</v>
      </c>
      <c r="C239" s="597" t="s">
        <v>12212</v>
      </c>
      <c r="D239" s="598"/>
      <c r="E239" s="599" t="s">
        <v>13877</v>
      </c>
      <c r="F239" s="600" t="s">
        <v>9735</v>
      </c>
      <c r="G239" s="601" t="s">
        <v>13878</v>
      </c>
      <c r="H239" s="601" t="s">
        <v>1377</v>
      </c>
      <c r="I239" s="596" t="s">
        <v>12225</v>
      </c>
      <c r="J239" s="596" t="s">
        <v>335</v>
      </c>
      <c r="K239" s="599" t="s">
        <v>12197</v>
      </c>
      <c r="L239" s="599" t="s">
        <v>12198</v>
      </c>
      <c r="M239" s="602" t="s">
        <v>12199</v>
      </c>
      <c r="N239" s="603" t="s">
        <v>7673</v>
      </c>
      <c r="O239" s="599">
        <v>512</v>
      </c>
      <c r="P239" s="604">
        <v>0</v>
      </c>
      <c r="Q239" s="604">
        <v>0</v>
      </c>
      <c r="R239" s="605">
        <v>20000</v>
      </c>
      <c r="S239" s="604">
        <v>0</v>
      </c>
      <c r="T239" s="604">
        <v>0</v>
      </c>
      <c r="U239" s="604">
        <v>4480000</v>
      </c>
      <c r="V239" s="605">
        <v>2260000</v>
      </c>
      <c r="W239" s="596"/>
      <c r="X239" s="604">
        <v>0</v>
      </c>
      <c r="Y239" s="604">
        <v>226000</v>
      </c>
      <c r="Z239" s="604">
        <v>2486000</v>
      </c>
      <c r="AA239" s="604">
        <v>4972568</v>
      </c>
      <c r="AB239" s="604">
        <v>0</v>
      </c>
      <c r="AC239" s="606">
        <v>7458000</v>
      </c>
      <c r="AD239" s="604">
        <v>568</v>
      </c>
      <c r="AE239" s="603">
        <v>2</v>
      </c>
      <c r="AF239" s="607">
        <v>2486568</v>
      </c>
      <c r="AG239" s="608" t="s">
        <v>13879</v>
      </c>
      <c r="AH239" s="608" t="s">
        <v>12247</v>
      </c>
      <c r="AI239" s="603" t="s">
        <v>1377</v>
      </c>
      <c r="AJ239" s="603" t="s">
        <v>12202</v>
      </c>
      <c r="AK239" s="603" t="s">
        <v>12203</v>
      </c>
      <c r="AL239" s="599" t="s">
        <v>12729</v>
      </c>
      <c r="AM239" s="609" t="s">
        <v>12444</v>
      </c>
      <c r="AN239" s="610" t="s">
        <v>13880</v>
      </c>
      <c r="AO239" s="610" t="s">
        <v>12206</v>
      </c>
      <c r="AP239" s="610" t="s">
        <v>12207</v>
      </c>
      <c r="AQ239" s="609" t="s">
        <v>12933</v>
      </c>
      <c r="AR239" s="599" t="s">
        <v>12934</v>
      </c>
      <c r="AS239" s="603" t="s">
        <v>423</v>
      </c>
      <c r="AT239" s="609" t="s">
        <v>13881</v>
      </c>
    </row>
    <row r="240" spans="1:46" ht="22.9" customHeight="1">
      <c r="A240" s="595" t="s">
        <v>13882</v>
      </c>
      <c r="B240" s="596" t="s">
        <v>8553</v>
      </c>
      <c r="C240" s="597" t="s">
        <v>12212</v>
      </c>
      <c r="D240" s="598"/>
      <c r="E240" s="599" t="s">
        <v>13883</v>
      </c>
      <c r="F240" s="600" t="s">
        <v>9735</v>
      </c>
      <c r="G240" s="601" t="s">
        <v>13884</v>
      </c>
      <c r="H240" s="601" t="s">
        <v>13885</v>
      </c>
      <c r="I240" s="596" t="s">
        <v>12225</v>
      </c>
      <c r="J240" s="596" t="s">
        <v>335</v>
      </c>
      <c r="K240" s="599" t="s">
        <v>12197</v>
      </c>
      <c r="L240" s="599" t="s">
        <v>12198</v>
      </c>
      <c r="M240" s="602" t="s">
        <v>12199</v>
      </c>
      <c r="N240" s="603" t="s">
        <v>7673</v>
      </c>
      <c r="O240" s="599">
        <v>512</v>
      </c>
      <c r="P240" s="604">
        <v>0</v>
      </c>
      <c r="Q240" s="604">
        <v>0</v>
      </c>
      <c r="R240" s="605">
        <v>4000</v>
      </c>
      <c r="S240" s="604">
        <v>0</v>
      </c>
      <c r="T240" s="604">
        <v>0</v>
      </c>
      <c r="U240" s="604">
        <v>4480000</v>
      </c>
      <c r="V240" s="605">
        <v>452000</v>
      </c>
      <c r="W240" s="596"/>
      <c r="X240" s="604">
        <v>0</v>
      </c>
      <c r="Y240" s="604">
        <v>45200</v>
      </c>
      <c r="Z240" s="604">
        <v>497200</v>
      </c>
      <c r="AA240" s="604">
        <v>4972093</v>
      </c>
      <c r="AB240" s="604">
        <v>0</v>
      </c>
      <c r="AC240" s="606">
        <v>5469000</v>
      </c>
      <c r="AD240" s="604">
        <v>293</v>
      </c>
      <c r="AE240" s="603">
        <v>2</v>
      </c>
      <c r="AF240" s="607">
        <v>497293</v>
      </c>
      <c r="AG240" s="608" t="s">
        <v>13886</v>
      </c>
      <c r="AH240" s="608" t="s">
        <v>13599</v>
      </c>
      <c r="AI240" s="603" t="s">
        <v>13885</v>
      </c>
      <c r="AJ240" s="603" t="s">
        <v>12202</v>
      </c>
      <c r="AK240" s="603" t="s">
        <v>12203</v>
      </c>
      <c r="AL240" s="599" t="s">
        <v>12729</v>
      </c>
      <c r="AM240" s="609" t="s">
        <v>12444</v>
      </c>
      <c r="AN240" s="610" t="s">
        <v>13375</v>
      </c>
      <c r="AO240" s="610" t="s">
        <v>12206</v>
      </c>
      <c r="AP240" s="610" t="s">
        <v>13474</v>
      </c>
      <c r="AQ240" s="609" t="s">
        <v>13377</v>
      </c>
      <c r="AR240" s="599" t="s">
        <v>13378</v>
      </c>
      <c r="AS240" s="603" t="s">
        <v>423</v>
      </c>
      <c r="AT240" s="609" t="s">
        <v>13887</v>
      </c>
    </row>
    <row r="241" spans="1:46" ht="22.9" customHeight="1">
      <c r="A241" s="595" t="s">
        <v>13888</v>
      </c>
      <c r="B241" s="596" t="s">
        <v>8553</v>
      </c>
      <c r="C241" s="597" t="s">
        <v>12212</v>
      </c>
      <c r="D241" s="598"/>
      <c r="E241" s="599" t="s">
        <v>13889</v>
      </c>
      <c r="F241" s="600" t="s">
        <v>9735</v>
      </c>
      <c r="G241" s="601" t="s">
        <v>13890</v>
      </c>
      <c r="H241" s="601" t="s">
        <v>1325</v>
      </c>
      <c r="I241" s="596" t="s">
        <v>12225</v>
      </c>
      <c r="J241" s="596" t="s">
        <v>335</v>
      </c>
      <c r="K241" s="599" t="s">
        <v>12197</v>
      </c>
      <c r="L241" s="599" t="s">
        <v>12198</v>
      </c>
      <c r="M241" s="602" t="s">
        <v>12199</v>
      </c>
      <c r="N241" s="603" t="s">
        <v>7673</v>
      </c>
      <c r="O241" s="599">
        <v>512</v>
      </c>
      <c r="P241" s="604">
        <v>0</v>
      </c>
      <c r="Q241" s="604">
        <v>0</v>
      </c>
      <c r="R241" s="605">
        <v>20000</v>
      </c>
      <c r="S241" s="604">
        <v>0</v>
      </c>
      <c r="T241" s="604">
        <v>0</v>
      </c>
      <c r="U241" s="604">
        <v>4480000</v>
      </c>
      <c r="V241" s="605">
        <v>2260000</v>
      </c>
      <c r="W241" s="596"/>
      <c r="X241" s="604">
        <v>0</v>
      </c>
      <c r="Y241" s="604">
        <v>226000</v>
      </c>
      <c r="Z241" s="604">
        <v>2486000</v>
      </c>
      <c r="AA241" s="604">
        <v>4972493</v>
      </c>
      <c r="AB241" s="604">
        <v>0</v>
      </c>
      <c r="AC241" s="606">
        <v>7458000</v>
      </c>
      <c r="AD241" s="604">
        <v>493</v>
      </c>
      <c r="AE241" s="603">
        <v>2</v>
      </c>
      <c r="AF241" s="607">
        <v>2486493</v>
      </c>
      <c r="AG241" s="608" t="s">
        <v>13891</v>
      </c>
      <c r="AH241" s="608" t="s">
        <v>12303</v>
      </c>
      <c r="AI241" s="603" t="s">
        <v>1325</v>
      </c>
      <c r="AJ241" s="603" t="s">
        <v>12202</v>
      </c>
      <c r="AK241" s="603" t="s">
        <v>12203</v>
      </c>
      <c r="AL241" s="599" t="s">
        <v>12729</v>
      </c>
      <c r="AM241" s="609" t="s">
        <v>12444</v>
      </c>
      <c r="AN241" s="610" t="s">
        <v>13892</v>
      </c>
      <c r="AO241" s="610" t="s">
        <v>12206</v>
      </c>
      <c r="AP241" s="610" t="s">
        <v>12207</v>
      </c>
      <c r="AQ241" s="609" t="s">
        <v>12370</v>
      </c>
      <c r="AR241" s="599" t="s">
        <v>12371</v>
      </c>
      <c r="AS241" s="603" t="s">
        <v>423</v>
      </c>
      <c r="AT241" s="609" t="s">
        <v>13893</v>
      </c>
    </row>
    <row r="242" spans="1:46" ht="33.4" customHeight="1">
      <c r="A242" s="595" t="s">
        <v>13894</v>
      </c>
      <c r="B242" s="596" t="s">
        <v>8553</v>
      </c>
      <c r="C242" s="597" t="s">
        <v>12212</v>
      </c>
      <c r="D242" s="598"/>
      <c r="E242" s="599" t="s">
        <v>13895</v>
      </c>
      <c r="F242" s="600" t="s">
        <v>9735</v>
      </c>
      <c r="G242" s="601" t="s">
        <v>13896</v>
      </c>
      <c r="H242" s="601" t="s">
        <v>13897</v>
      </c>
      <c r="I242" s="596" t="s">
        <v>12225</v>
      </c>
      <c r="J242" s="596" t="s">
        <v>335</v>
      </c>
      <c r="K242" s="599" t="s">
        <v>12197</v>
      </c>
      <c r="L242" s="599" t="s">
        <v>12198</v>
      </c>
      <c r="M242" s="602" t="s">
        <v>12199</v>
      </c>
      <c r="N242" s="603" t="s">
        <v>7673</v>
      </c>
      <c r="O242" s="599">
        <v>512</v>
      </c>
      <c r="P242" s="604">
        <v>0</v>
      </c>
      <c r="Q242" s="604">
        <v>0</v>
      </c>
      <c r="R242" s="605">
        <v>9333.3333333333339</v>
      </c>
      <c r="S242" s="604">
        <v>0</v>
      </c>
      <c r="T242" s="604">
        <v>0</v>
      </c>
      <c r="U242" s="604">
        <v>6400000</v>
      </c>
      <c r="V242" s="605">
        <v>1502666.6666666665</v>
      </c>
      <c r="W242" s="596"/>
      <c r="X242" s="604">
        <v>0</v>
      </c>
      <c r="Y242" s="604">
        <v>150266.66666666663</v>
      </c>
      <c r="Z242" s="604">
        <v>1652933.3333333333</v>
      </c>
      <c r="AA242" s="604">
        <v>7084033</v>
      </c>
      <c r="AB242" s="604">
        <v>0</v>
      </c>
      <c r="AC242" s="606">
        <v>8736000</v>
      </c>
      <c r="AD242" s="604">
        <v>966</v>
      </c>
      <c r="AE242" s="603">
        <v>2</v>
      </c>
      <c r="AF242" s="607">
        <v>1652966.3333333321</v>
      </c>
      <c r="AG242" s="608" t="s">
        <v>13898</v>
      </c>
      <c r="AH242" s="608" t="s">
        <v>13899</v>
      </c>
      <c r="AI242" s="603" t="s">
        <v>13897</v>
      </c>
      <c r="AJ242" s="603" t="s">
        <v>12202</v>
      </c>
      <c r="AK242" s="603" t="s">
        <v>12203</v>
      </c>
      <c r="AL242" s="599" t="s">
        <v>12729</v>
      </c>
      <c r="AM242" s="609" t="s">
        <v>12444</v>
      </c>
      <c r="AN242" s="610" t="s">
        <v>13847</v>
      </c>
      <c r="AO242" s="610" t="s">
        <v>12206</v>
      </c>
      <c r="AP242" s="610" t="s">
        <v>13900</v>
      </c>
      <c r="AQ242" s="609" t="s">
        <v>13024</v>
      </c>
      <c r="AR242" s="599" t="s">
        <v>13025</v>
      </c>
      <c r="AS242" s="603" t="s">
        <v>423</v>
      </c>
      <c r="AT242" s="609" t="s">
        <v>9698</v>
      </c>
    </row>
    <row r="243" spans="1:46" ht="22.9" customHeight="1">
      <c r="A243" s="595" t="s">
        <v>13901</v>
      </c>
      <c r="B243" s="596" t="s">
        <v>8553</v>
      </c>
      <c r="C243" s="597" t="s">
        <v>12212</v>
      </c>
      <c r="D243" s="598"/>
      <c r="E243" s="599" t="s">
        <v>13902</v>
      </c>
      <c r="F243" s="600" t="s">
        <v>9735</v>
      </c>
      <c r="G243" s="601" t="s">
        <v>13903</v>
      </c>
      <c r="H243" s="601" t="s">
        <v>1163</v>
      </c>
      <c r="I243" s="596" t="s">
        <v>12225</v>
      </c>
      <c r="J243" s="596" t="s">
        <v>335</v>
      </c>
      <c r="K243" s="599" t="s">
        <v>12197</v>
      </c>
      <c r="L243" s="599" t="s">
        <v>12198</v>
      </c>
      <c r="M243" s="602" t="s">
        <v>12199</v>
      </c>
      <c r="N243" s="603" t="s">
        <v>7673</v>
      </c>
      <c r="O243" s="599">
        <v>512</v>
      </c>
      <c r="P243" s="604">
        <v>0</v>
      </c>
      <c r="Q243" s="604">
        <v>0</v>
      </c>
      <c r="R243" s="605">
        <v>20000</v>
      </c>
      <c r="S243" s="604">
        <v>0</v>
      </c>
      <c r="T243" s="604">
        <v>0</v>
      </c>
      <c r="U243" s="604">
        <v>4480000</v>
      </c>
      <c r="V243" s="605">
        <v>2260000</v>
      </c>
      <c r="W243" s="596"/>
      <c r="X243" s="604">
        <v>0</v>
      </c>
      <c r="Y243" s="604">
        <v>226000</v>
      </c>
      <c r="Z243" s="604">
        <v>2486000</v>
      </c>
      <c r="AA243" s="604">
        <v>4972393</v>
      </c>
      <c r="AB243" s="604">
        <v>0</v>
      </c>
      <c r="AC243" s="606">
        <v>7458000</v>
      </c>
      <c r="AD243" s="604">
        <v>393</v>
      </c>
      <c r="AE243" s="603">
        <v>2</v>
      </c>
      <c r="AF243" s="607">
        <v>2486393</v>
      </c>
      <c r="AG243" s="608" t="s">
        <v>13904</v>
      </c>
      <c r="AH243" s="608" t="s">
        <v>13037</v>
      </c>
      <c r="AI243" s="603" t="s">
        <v>1163</v>
      </c>
      <c r="AJ243" s="603" t="s">
        <v>12202</v>
      </c>
      <c r="AK243" s="603" t="s">
        <v>12203</v>
      </c>
      <c r="AL243" s="599" t="s">
        <v>12729</v>
      </c>
      <c r="AM243" s="609" t="s">
        <v>12444</v>
      </c>
      <c r="AN243" s="610" t="s">
        <v>13905</v>
      </c>
      <c r="AO243" s="610" t="s">
        <v>12206</v>
      </c>
      <c r="AP243" s="610" t="s">
        <v>12207</v>
      </c>
      <c r="AQ243" s="609" t="s">
        <v>12917</v>
      </c>
      <c r="AR243" s="599" t="s">
        <v>12918</v>
      </c>
      <c r="AS243" s="603" t="s">
        <v>423</v>
      </c>
      <c r="AT243" s="609" t="s">
        <v>11222</v>
      </c>
    </row>
    <row r="244" spans="1:46" ht="22.15" customHeight="1">
      <c r="A244" s="595" t="s">
        <v>13906</v>
      </c>
      <c r="B244" s="596" t="s">
        <v>8553</v>
      </c>
      <c r="C244" s="597" t="s">
        <v>12212</v>
      </c>
      <c r="D244" s="598"/>
      <c r="E244" s="599" t="s">
        <v>13907</v>
      </c>
      <c r="F244" s="600" t="s">
        <v>9735</v>
      </c>
      <c r="G244" s="601" t="s">
        <v>13908</v>
      </c>
      <c r="H244" s="601" t="s">
        <v>13909</v>
      </c>
      <c r="I244" s="596" t="s">
        <v>12225</v>
      </c>
      <c r="J244" s="596" t="s">
        <v>335</v>
      </c>
      <c r="K244" s="599" t="s">
        <v>12197</v>
      </c>
      <c r="L244" s="599" t="s">
        <v>12198</v>
      </c>
      <c r="M244" s="602" t="s">
        <v>12199</v>
      </c>
      <c r="N244" s="603" t="s">
        <v>7673</v>
      </c>
      <c r="O244" s="599">
        <v>512</v>
      </c>
      <c r="P244" s="604">
        <v>0</v>
      </c>
      <c r="Q244" s="604">
        <v>0</v>
      </c>
      <c r="R244" s="605">
        <v>4000</v>
      </c>
      <c r="S244" s="604">
        <v>0</v>
      </c>
      <c r="T244" s="604">
        <v>0</v>
      </c>
      <c r="U244" s="604">
        <v>4480000</v>
      </c>
      <c r="V244" s="605">
        <v>452000</v>
      </c>
      <c r="W244" s="596"/>
      <c r="X244" s="604">
        <v>0</v>
      </c>
      <c r="Y244" s="604">
        <v>45200</v>
      </c>
      <c r="Z244" s="604">
        <v>497200</v>
      </c>
      <c r="AA244" s="604">
        <v>4972768</v>
      </c>
      <c r="AB244" s="604">
        <v>0</v>
      </c>
      <c r="AC244" s="606">
        <v>5469000</v>
      </c>
      <c r="AD244" s="604">
        <v>968</v>
      </c>
      <c r="AE244" s="603">
        <v>2</v>
      </c>
      <c r="AF244" s="607">
        <v>497968</v>
      </c>
      <c r="AG244" s="608" t="s">
        <v>13910</v>
      </c>
      <c r="AH244" s="608" t="s">
        <v>13911</v>
      </c>
      <c r="AI244" s="603" t="s">
        <v>13909</v>
      </c>
      <c r="AJ244" s="603" t="s">
        <v>12202</v>
      </c>
      <c r="AK244" s="603" t="s">
        <v>12203</v>
      </c>
      <c r="AL244" s="599" t="s">
        <v>12729</v>
      </c>
      <c r="AM244" s="609" t="s">
        <v>12444</v>
      </c>
      <c r="AN244" s="610" t="s">
        <v>13912</v>
      </c>
      <c r="AO244" s="610" t="s">
        <v>12206</v>
      </c>
      <c r="AP244" s="610" t="s">
        <v>13474</v>
      </c>
      <c r="AQ244" s="609" t="s">
        <v>13913</v>
      </c>
      <c r="AR244" s="599" t="s">
        <v>13914</v>
      </c>
      <c r="AS244" s="603" t="s">
        <v>423</v>
      </c>
      <c r="AT244" s="609" t="s">
        <v>13915</v>
      </c>
    </row>
    <row r="245" spans="1:46" ht="22.9" customHeight="1">
      <c r="A245" s="595" t="s">
        <v>13916</v>
      </c>
      <c r="B245" s="596" t="s">
        <v>8553</v>
      </c>
      <c r="C245" s="597" t="s">
        <v>12212</v>
      </c>
      <c r="D245" s="598"/>
      <c r="E245" s="599" t="s">
        <v>13917</v>
      </c>
      <c r="F245" s="600" t="s">
        <v>9735</v>
      </c>
      <c r="G245" s="601" t="s">
        <v>13918</v>
      </c>
      <c r="H245" s="601" t="s">
        <v>13919</v>
      </c>
      <c r="I245" s="596" t="s">
        <v>12225</v>
      </c>
      <c r="J245" s="596" t="s">
        <v>335</v>
      </c>
      <c r="K245" s="599" t="s">
        <v>12197</v>
      </c>
      <c r="L245" s="599" t="s">
        <v>12198</v>
      </c>
      <c r="M245" s="602" t="s">
        <v>12199</v>
      </c>
      <c r="N245" s="603" t="s">
        <v>7673</v>
      </c>
      <c r="O245" s="599">
        <v>512</v>
      </c>
      <c r="P245" s="604">
        <v>0</v>
      </c>
      <c r="Q245" s="604">
        <v>0</v>
      </c>
      <c r="R245" s="605">
        <v>20000</v>
      </c>
      <c r="S245" s="604">
        <v>0</v>
      </c>
      <c r="T245" s="604">
        <v>0</v>
      </c>
      <c r="U245" s="604">
        <v>4480000</v>
      </c>
      <c r="V245" s="605">
        <v>2260000</v>
      </c>
      <c r="W245" s="596"/>
      <c r="X245" s="604">
        <v>0</v>
      </c>
      <c r="Y245" s="604">
        <v>226000</v>
      </c>
      <c r="Z245" s="604">
        <v>2486000</v>
      </c>
      <c r="AA245" s="604">
        <v>4972568</v>
      </c>
      <c r="AB245" s="604">
        <v>0</v>
      </c>
      <c r="AC245" s="606">
        <v>7458000</v>
      </c>
      <c r="AD245" s="604">
        <v>568</v>
      </c>
      <c r="AE245" s="603">
        <v>2</v>
      </c>
      <c r="AF245" s="607">
        <v>2486568</v>
      </c>
      <c r="AG245" s="608" t="s">
        <v>13920</v>
      </c>
      <c r="AH245" s="608" t="s">
        <v>12303</v>
      </c>
      <c r="AI245" s="603" t="s">
        <v>13919</v>
      </c>
      <c r="AJ245" s="603" t="s">
        <v>12202</v>
      </c>
      <c r="AK245" s="603" t="s">
        <v>12203</v>
      </c>
      <c r="AL245" s="599" t="s">
        <v>12729</v>
      </c>
      <c r="AM245" s="609" t="s">
        <v>12444</v>
      </c>
      <c r="AN245" s="610" t="s">
        <v>13921</v>
      </c>
      <c r="AO245" s="610" t="s">
        <v>12206</v>
      </c>
      <c r="AP245" s="610" t="s">
        <v>12207</v>
      </c>
      <c r="AQ245" s="609" t="s">
        <v>13516</v>
      </c>
      <c r="AR245" s="599" t="s">
        <v>13517</v>
      </c>
      <c r="AS245" s="603" t="s">
        <v>423</v>
      </c>
      <c r="AT245" s="609" t="s">
        <v>13922</v>
      </c>
    </row>
    <row r="246" spans="1:46" ht="22.9" customHeight="1">
      <c r="A246" s="595" t="s">
        <v>13923</v>
      </c>
      <c r="B246" s="596" t="s">
        <v>8553</v>
      </c>
      <c r="C246" s="597" t="s">
        <v>12212</v>
      </c>
      <c r="D246" s="598"/>
      <c r="E246" s="599" t="s">
        <v>13924</v>
      </c>
      <c r="F246" s="600" t="s">
        <v>9735</v>
      </c>
      <c r="G246" s="601" t="s">
        <v>13925</v>
      </c>
      <c r="H246" s="601" t="s">
        <v>13926</v>
      </c>
      <c r="I246" s="596" t="s">
        <v>12225</v>
      </c>
      <c r="J246" s="596" t="s">
        <v>335</v>
      </c>
      <c r="K246" s="599" t="s">
        <v>12197</v>
      </c>
      <c r="L246" s="599" t="s">
        <v>12198</v>
      </c>
      <c r="M246" s="602" t="s">
        <v>12199</v>
      </c>
      <c r="N246" s="603" t="s">
        <v>7673</v>
      </c>
      <c r="O246" s="599">
        <v>512</v>
      </c>
      <c r="P246" s="604">
        <v>0</v>
      </c>
      <c r="Q246" s="604">
        <v>0</v>
      </c>
      <c r="R246" s="605">
        <v>-2666.6666666666665</v>
      </c>
      <c r="S246" s="604">
        <v>0</v>
      </c>
      <c r="T246" s="604">
        <v>0</v>
      </c>
      <c r="U246" s="604">
        <v>4480000</v>
      </c>
      <c r="V246" s="611">
        <v>-301333.33333333337</v>
      </c>
      <c r="W246" s="596"/>
      <c r="X246" s="604">
        <v>0</v>
      </c>
      <c r="Y246" s="612">
        <v>-30133.333333333339</v>
      </c>
      <c r="Z246" s="612">
        <v>-331466.66666666669</v>
      </c>
      <c r="AA246" s="604">
        <v>4972843</v>
      </c>
      <c r="AB246" s="604">
        <v>0</v>
      </c>
      <c r="AC246" s="606">
        <v>4641000</v>
      </c>
      <c r="AD246" s="604">
        <v>377</v>
      </c>
      <c r="AE246" s="603">
        <v>0</v>
      </c>
      <c r="AF246" s="607">
        <v>-330623.66666666418</v>
      </c>
      <c r="AG246" s="608" t="s">
        <v>13927</v>
      </c>
      <c r="AH246" s="608" t="s">
        <v>13928</v>
      </c>
      <c r="AI246" s="603" t="s">
        <v>13926</v>
      </c>
      <c r="AJ246" s="603" t="s">
        <v>12202</v>
      </c>
      <c r="AK246" s="603" t="s">
        <v>12203</v>
      </c>
      <c r="AL246" s="599" t="s">
        <v>12729</v>
      </c>
      <c r="AM246" s="609" t="s">
        <v>12444</v>
      </c>
      <c r="AN246" s="610" t="s">
        <v>13929</v>
      </c>
      <c r="AO246" s="610" t="s">
        <v>12206</v>
      </c>
      <c r="AP246" s="610" t="s">
        <v>13376</v>
      </c>
      <c r="AQ246" s="609" t="s">
        <v>12542</v>
      </c>
      <c r="AR246" s="599" t="s">
        <v>12543</v>
      </c>
      <c r="AS246" s="603" t="s">
        <v>423</v>
      </c>
      <c r="AT246" s="609" t="s">
        <v>13930</v>
      </c>
    </row>
    <row r="247" spans="1:46" ht="22.15" customHeight="1">
      <c r="A247" s="595" t="s">
        <v>13931</v>
      </c>
      <c r="B247" s="596" t="s">
        <v>8553</v>
      </c>
      <c r="C247" s="597" t="s">
        <v>12212</v>
      </c>
      <c r="D247" s="598"/>
      <c r="E247" s="599" t="s">
        <v>13932</v>
      </c>
      <c r="F247" s="600" t="s">
        <v>9735</v>
      </c>
      <c r="G247" s="601" t="s">
        <v>13933</v>
      </c>
      <c r="H247" s="601" t="s">
        <v>13934</v>
      </c>
      <c r="I247" s="596" t="s">
        <v>12225</v>
      </c>
      <c r="J247" s="596" t="s">
        <v>335</v>
      </c>
      <c r="K247" s="599" t="s">
        <v>12197</v>
      </c>
      <c r="L247" s="599" t="s">
        <v>12198</v>
      </c>
      <c r="M247" s="602" t="s">
        <v>12199</v>
      </c>
      <c r="N247" s="603" t="s">
        <v>7673</v>
      </c>
      <c r="O247" s="599">
        <v>512</v>
      </c>
      <c r="P247" s="604">
        <v>0</v>
      </c>
      <c r="Q247" s="604">
        <v>0</v>
      </c>
      <c r="R247" s="605">
        <v>-2666.6666666666665</v>
      </c>
      <c r="S247" s="604">
        <v>0</v>
      </c>
      <c r="T247" s="604">
        <v>0</v>
      </c>
      <c r="U247" s="604">
        <v>4480000</v>
      </c>
      <c r="V247" s="611">
        <v>-301333.33333333337</v>
      </c>
      <c r="W247" s="596"/>
      <c r="X247" s="604">
        <v>0</v>
      </c>
      <c r="Y247" s="612">
        <v>-30133.333333333339</v>
      </c>
      <c r="Z247" s="612">
        <v>-331466.66666666669</v>
      </c>
      <c r="AA247" s="604">
        <v>4972878</v>
      </c>
      <c r="AB247" s="604">
        <v>0</v>
      </c>
      <c r="AC247" s="606">
        <v>4641000</v>
      </c>
      <c r="AD247" s="604">
        <v>412</v>
      </c>
      <c r="AE247" s="603">
        <v>0</v>
      </c>
      <c r="AF247" s="607">
        <v>-330588.66666666791</v>
      </c>
      <c r="AG247" s="608" t="s">
        <v>13935</v>
      </c>
      <c r="AH247" s="608" t="s">
        <v>13385</v>
      </c>
      <c r="AI247" s="603" t="s">
        <v>13934</v>
      </c>
      <c r="AJ247" s="603" t="s">
        <v>12202</v>
      </c>
      <c r="AK247" s="603" t="s">
        <v>12203</v>
      </c>
      <c r="AL247" s="599" t="s">
        <v>12729</v>
      </c>
      <c r="AM247" s="609" t="s">
        <v>12444</v>
      </c>
      <c r="AN247" s="610" t="s">
        <v>13936</v>
      </c>
      <c r="AO247" s="610" t="s">
        <v>12206</v>
      </c>
      <c r="AP247" s="610" t="s">
        <v>13376</v>
      </c>
      <c r="AQ247" s="609" t="s">
        <v>12403</v>
      </c>
      <c r="AR247" s="599" t="s">
        <v>12404</v>
      </c>
      <c r="AS247" s="603" t="s">
        <v>423</v>
      </c>
      <c r="AT247" s="609" t="s">
        <v>13937</v>
      </c>
    </row>
    <row r="248" spans="1:46" ht="22.9" customHeight="1">
      <c r="A248" s="595" t="s">
        <v>13938</v>
      </c>
      <c r="B248" s="596" t="s">
        <v>8553</v>
      </c>
      <c r="C248" s="597" t="s">
        <v>12212</v>
      </c>
      <c r="D248" s="598"/>
      <c r="E248" s="599" t="s">
        <v>13939</v>
      </c>
      <c r="F248" s="600" t="s">
        <v>9735</v>
      </c>
      <c r="G248" s="601" t="s">
        <v>13940</v>
      </c>
      <c r="H248" s="601" t="s">
        <v>13941</v>
      </c>
      <c r="I248" s="596" t="s">
        <v>12225</v>
      </c>
      <c r="J248" s="596" t="s">
        <v>335</v>
      </c>
      <c r="K248" s="599" t="s">
        <v>12197</v>
      </c>
      <c r="L248" s="599" t="s">
        <v>12198</v>
      </c>
      <c r="M248" s="602" t="s">
        <v>12199</v>
      </c>
      <c r="N248" s="603" t="s">
        <v>7673</v>
      </c>
      <c r="O248" s="599">
        <v>512</v>
      </c>
      <c r="P248" s="604">
        <v>0</v>
      </c>
      <c r="Q248" s="604">
        <v>0</v>
      </c>
      <c r="R248" s="605">
        <v>-2666.6666666666665</v>
      </c>
      <c r="S248" s="604">
        <v>0</v>
      </c>
      <c r="T248" s="604">
        <v>0</v>
      </c>
      <c r="U248" s="604">
        <v>4480000</v>
      </c>
      <c r="V248" s="611">
        <v>-301333.33333333337</v>
      </c>
      <c r="W248" s="596"/>
      <c r="X248" s="604">
        <v>0</v>
      </c>
      <c r="Y248" s="612">
        <v>-30133.333333333339</v>
      </c>
      <c r="Z248" s="612">
        <v>-331466.66666666669</v>
      </c>
      <c r="AA248" s="604">
        <v>4972428</v>
      </c>
      <c r="AB248" s="604">
        <v>0</v>
      </c>
      <c r="AC248" s="606">
        <v>4640000</v>
      </c>
      <c r="AD248" s="604">
        <v>962</v>
      </c>
      <c r="AE248" s="603">
        <v>0</v>
      </c>
      <c r="AF248" s="607">
        <v>-331038.66666666605</v>
      </c>
      <c r="AG248" s="608" t="s">
        <v>13942</v>
      </c>
      <c r="AH248" s="608" t="s">
        <v>13943</v>
      </c>
      <c r="AI248" s="603" t="s">
        <v>13941</v>
      </c>
      <c r="AJ248" s="603" t="s">
        <v>12202</v>
      </c>
      <c r="AK248" s="603" t="s">
        <v>12203</v>
      </c>
      <c r="AL248" s="599" t="s">
        <v>12729</v>
      </c>
      <c r="AM248" s="609" t="s">
        <v>12444</v>
      </c>
      <c r="AN248" s="610" t="s">
        <v>13834</v>
      </c>
      <c r="AO248" s="610" t="s">
        <v>12206</v>
      </c>
      <c r="AP248" s="610" t="s">
        <v>13376</v>
      </c>
      <c r="AQ248" s="609" t="s">
        <v>12478</v>
      </c>
      <c r="AR248" s="599" t="s">
        <v>12479</v>
      </c>
      <c r="AS248" s="603" t="s">
        <v>423</v>
      </c>
      <c r="AT248" s="609" t="s">
        <v>9703</v>
      </c>
    </row>
    <row r="249" spans="1:46" ht="33.4" customHeight="1">
      <c r="A249" s="595" t="s">
        <v>13944</v>
      </c>
      <c r="B249" s="596" t="s">
        <v>8553</v>
      </c>
      <c r="C249" s="597" t="s">
        <v>12212</v>
      </c>
      <c r="D249" s="598"/>
      <c r="E249" s="599" t="s">
        <v>13945</v>
      </c>
      <c r="F249" s="600" t="s">
        <v>9735</v>
      </c>
      <c r="G249" s="601" t="s">
        <v>13946</v>
      </c>
      <c r="H249" s="601" t="s">
        <v>13947</v>
      </c>
      <c r="I249" s="596" t="s">
        <v>12225</v>
      </c>
      <c r="J249" s="596" t="s">
        <v>335</v>
      </c>
      <c r="K249" s="599" t="s">
        <v>12197</v>
      </c>
      <c r="L249" s="599" t="s">
        <v>12198</v>
      </c>
      <c r="M249" s="602" t="s">
        <v>12199</v>
      </c>
      <c r="N249" s="603" t="s">
        <v>7673</v>
      </c>
      <c r="O249" s="599">
        <v>512</v>
      </c>
      <c r="P249" s="604">
        <v>0</v>
      </c>
      <c r="Q249" s="604">
        <v>0</v>
      </c>
      <c r="R249" s="605">
        <v>20000</v>
      </c>
      <c r="S249" s="604">
        <v>0</v>
      </c>
      <c r="T249" s="604">
        <v>0</v>
      </c>
      <c r="U249" s="604">
        <v>6400000</v>
      </c>
      <c r="V249" s="605">
        <v>3220000</v>
      </c>
      <c r="W249" s="596"/>
      <c r="X249" s="604">
        <v>0</v>
      </c>
      <c r="Y249" s="604">
        <v>322000</v>
      </c>
      <c r="Z249" s="604">
        <v>3542000</v>
      </c>
      <c r="AA249" s="604">
        <v>7084517</v>
      </c>
      <c r="AB249" s="604">
        <v>0</v>
      </c>
      <c r="AC249" s="606">
        <v>10626000</v>
      </c>
      <c r="AD249" s="604">
        <v>517</v>
      </c>
      <c r="AE249" s="603">
        <v>2</v>
      </c>
      <c r="AF249" s="607">
        <v>3542517</v>
      </c>
      <c r="AG249" s="608" t="s">
        <v>13948</v>
      </c>
      <c r="AH249" s="608" t="s">
        <v>13949</v>
      </c>
      <c r="AI249" s="603" t="s">
        <v>13947</v>
      </c>
      <c r="AJ249" s="603" t="s">
        <v>12202</v>
      </c>
      <c r="AK249" s="603" t="s">
        <v>12203</v>
      </c>
      <c r="AL249" s="599" t="s">
        <v>12729</v>
      </c>
      <c r="AM249" s="609" t="s">
        <v>12444</v>
      </c>
      <c r="AN249" s="610" t="s">
        <v>13950</v>
      </c>
      <c r="AO249" s="610" t="s">
        <v>12206</v>
      </c>
      <c r="AP249" s="610" t="s">
        <v>12207</v>
      </c>
      <c r="AQ249" s="609" t="s">
        <v>13024</v>
      </c>
      <c r="AR249" s="599" t="s">
        <v>13025</v>
      </c>
      <c r="AS249" s="603" t="s">
        <v>423</v>
      </c>
      <c r="AT249" s="609" t="s">
        <v>13951</v>
      </c>
    </row>
    <row r="250" spans="1:46" ht="22.9" customHeight="1">
      <c r="A250" s="595" t="s">
        <v>13952</v>
      </c>
      <c r="B250" s="596" t="s">
        <v>8553</v>
      </c>
      <c r="C250" s="597" t="s">
        <v>12212</v>
      </c>
      <c r="D250" s="598"/>
      <c r="E250" s="599" t="s">
        <v>13953</v>
      </c>
      <c r="F250" s="600" t="s">
        <v>9735</v>
      </c>
      <c r="G250" s="601" t="s">
        <v>13954</v>
      </c>
      <c r="H250" s="601" t="s">
        <v>13955</v>
      </c>
      <c r="I250" s="596" t="s">
        <v>12225</v>
      </c>
      <c r="J250" s="596" t="s">
        <v>335</v>
      </c>
      <c r="K250" s="599" t="s">
        <v>12197</v>
      </c>
      <c r="L250" s="599" t="s">
        <v>12198</v>
      </c>
      <c r="M250" s="602" t="s">
        <v>12199</v>
      </c>
      <c r="N250" s="603" t="s">
        <v>7673</v>
      </c>
      <c r="O250" s="599">
        <v>512</v>
      </c>
      <c r="P250" s="604">
        <v>0</v>
      </c>
      <c r="Q250" s="604">
        <v>0</v>
      </c>
      <c r="R250" s="605">
        <v>-1333.3333333333333</v>
      </c>
      <c r="S250" s="604">
        <v>0</v>
      </c>
      <c r="T250" s="604">
        <v>0</v>
      </c>
      <c r="U250" s="604">
        <v>4480000</v>
      </c>
      <c r="V250" s="611">
        <v>-150666.66666666669</v>
      </c>
      <c r="W250" s="596"/>
      <c r="X250" s="604">
        <v>0</v>
      </c>
      <c r="Y250" s="612">
        <v>-15066.66666666667</v>
      </c>
      <c r="Z250" s="612">
        <v>-165733.33333333334</v>
      </c>
      <c r="AA250" s="604">
        <v>4972643</v>
      </c>
      <c r="AB250" s="604">
        <v>0</v>
      </c>
      <c r="AC250" s="606">
        <v>4806000</v>
      </c>
      <c r="AD250" s="604">
        <v>910</v>
      </c>
      <c r="AE250" s="603">
        <v>0</v>
      </c>
      <c r="AF250" s="607">
        <v>-165090.33333333395</v>
      </c>
      <c r="AG250" s="608" t="s">
        <v>13956</v>
      </c>
      <c r="AH250" s="608" t="s">
        <v>13957</v>
      </c>
      <c r="AI250" s="603" t="s">
        <v>13955</v>
      </c>
      <c r="AJ250" s="603" t="s">
        <v>12202</v>
      </c>
      <c r="AK250" s="603" t="s">
        <v>12203</v>
      </c>
      <c r="AL250" s="599" t="s">
        <v>12729</v>
      </c>
      <c r="AM250" s="609" t="s">
        <v>12444</v>
      </c>
      <c r="AN250" s="610" t="s">
        <v>13958</v>
      </c>
      <c r="AO250" s="610" t="s">
        <v>12206</v>
      </c>
      <c r="AP250" s="610" t="s">
        <v>13413</v>
      </c>
      <c r="AQ250" s="609" t="s">
        <v>13065</v>
      </c>
      <c r="AR250" s="599" t="s">
        <v>13066</v>
      </c>
      <c r="AS250" s="603" t="s">
        <v>423</v>
      </c>
      <c r="AT250" s="609" t="s">
        <v>13959</v>
      </c>
    </row>
    <row r="251" spans="1:46" ht="22.9" customHeight="1">
      <c r="A251" s="595" t="s">
        <v>13960</v>
      </c>
      <c r="B251" s="596" t="s">
        <v>8553</v>
      </c>
      <c r="C251" s="597" t="s">
        <v>12212</v>
      </c>
      <c r="D251" s="598"/>
      <c r="E251" s="599" t="s">
        <v>13961</v>
      </c>
      <c r="F251" s="600" t="s">
        <v>9735</v>
      </c>
      <c r="G251" s="601" t="s">
        <v>13962</v>
      </c>
      <c r="H251" s="601" t="s">
        <v>13963</v>
      </c>
      <c r="I251" s="596" t="s">
        <v>12225</v>
      </c>
      <c r="J251" s="596" t="s">
        <v>335</v>
      </c>
      <c r="K251" s="599" t="s">
        <v>12197</v>
      </c>
      <c r="L251" s="599" t="s">
        <v>12198</v>
      </c>
      <c r="M251" s="602" t="s">
        <v>12199</v>
      </c>
      <c r="N251" s="603" t="s">
        <v>7673</v>
      </c>
      <c r="O251" s="599">
        <v>512</v>
      </c>
      <c r="P251" s="604">
        <v>0</v>
      </c>
      <c r="Q251" s="604">
        <v>0</v>
      </c>
      <c r="R251" s="605">
        <v>-2666.6666666666665</v>
      </c>
      <c r="S251" s="604">
        <v>0</v>
      </c>
      <c r="T251" s="604">
        <v>0</v>
      </c>
      <c r="U251" s="604">
        <v>4480000</v>
      </c>
      <c r="V251" s="611">
        <v>-301333.33333333337</v>
      </c>
      <c r="W251" s="596"/>
      <c r="X251" s="604">
        <v>0</v>
      </c>
      <c r="Y251" s="612">
        <v>-30133.333333333339</v>
      </c>
      <c r="Z251" s="612">
        <v>-331466.66666666669</v>
      </c>
      <c r="AA251" s="604">
        <v>4972018</v>
      </c>
      <c r="AB251" s="604">
        <v>0</v>
      </c>
      <c r="AC251" s="606">
        <v>4640000</v>
      </c>
      <c r="AD251" s="604">
        <v>552</v>
      </c>
      <c r="AE251" s="603">
        <v>0</v>
      </c>
      <c r="AF251" s="607">
        <v>-331448.66666666698</v>
      </c>
      <c r="AG251" s="608" t="s">
        <v>13964</v>
      </c>
      <c r="AH251" s="608" t="s">
        <v>13965</v>
      </c>
      <c r="AI251" s="603" t="s">
        <v>13963</v>
      </c>
      <c r="AJ251" s="603" t="s">
        <v>12202</v>
      </c>
      <c r="AK251" s="603" t="s">
        <v>12203</v>
      </c>
      <c r="AL251" s="599" t="s">
        <v>12729</v>
      </c>
      <c r="AM251" s="609" t="s">
        <v>12444</v>
      </c>
      <c r="AN251" s="610" t="s">
        <v>13966</v>
      </c>
      <c r="AO251" s="610" t="s">
        <v>12206</v>
      </c>
      <c r="AP251" s="610" t="s">
        <v>13376</v>
      </c>
      <c r="AQ251" s="609" t="s">
        <v>12422</v>
      </c>
      <c r="AR251" s="599" t="s">
        <v>12423</v>
      </c>
      <c r="AS251" s="603" t="s">
        <v>423</v>
      </c>
      <c r="AT251" s="609" t="s">
        <v>13967</v>
      </c>
    </row>
    <row r="252" spans="1:46" ht="33.4" customHeight="1">
      <c r="A252" s="595" t="s">
        <v>13968</v>
      </c>
      <c r="B252" s="596" t="s">
        <v>8553</v>
      </c>
      <c r="C252" s="597" t="s">
        <v>12212</v>
      </c>
      <c r="D252" s="598"/>
      <c r="E252" s="599" t="s">
        <v>13969</v>
      </c>
      <c r="F252" s="600" t="s">
        <v>9735</v>
      </c>
      <c r="G252" s="601" t="s">
        <v>13970</v>
      </c>
      <c r="H252" s="601" t="s">
        <v>1367</v>
      </c>
      <c r="I252" s="596" t="s">
        <v>12225</v>
      </c>
      <c r="J252" s="596" t="s">
        <v>335</v>
      </c>
      <c r="K252" s="599" t="s">
        <v>12197</v>
      </c>
      <c r="L252" s="599" t="s">
        <v>12198</v>
      </c>
      <c r="M252" s="602" t="s">
        <v>12199</v>
      </c>
      <c r="N252" s="603" t="s">
        <v>7673</v>
      </c>
      <c r="O252" s="599">
        <v>512</v>
      </c>
      <c r="P252" s="604">
        <v>0</v>
      </c>
      <c r="Q252" s="604">
        <v>0</v>
      </c>
      <c r="R252" s="605">
        <v>20000</v>
      </c>
      <c r="S252" s="604">
        <v>0</v>
      </c>
      <c r="T252" s="604">
        <v>0</v>
      </c>
      <c r="U252" s="604">
        <v>6400000</v>
      </c>
      <c r="V252" s="605">
        <v>3220000</v>
      </c>
      <c r="W252" s="596"/>
      <c r="X252" s="604">
        <v>0</v>
      </c>
      <c r="Y252" s="604">
        <v>322000</v>
      </c>
      <c r="Z252" s="604">
        <v>3542000</v>
      </c>
      <c r="AA252" s="604">
        <v>7084133</v>
      </c>
      <c r="AB252" s="604">
        <v>0</v>
      </c>
      <c r="AC252" s="606">
        <v>10626000</v>
      </c>
      <c r="AD252" s="604">
        <v>133</v>
      </c>
      <c r="AE252" s="603">
        <v>2</v>
      </c>
      <c r="AF252" s="607">
        <v>3542133</v>
      </c>
      <c r="AG252" s="608" t="s">
        <v>13971</v>
      </c>
      <c r="AH252" s="608" t="s">
        <v>13972</v>
      </c>
      <c r="AI252" s="603" t="s">
        <v>1367</v>
      </c>
      <c r="AJ252" s="603" t="s">
        <v>12202</v>
      </c>
      <c r="AK252" s="603" t="s">
        <v>12203</v>
      </c>
      <c r="AL252" s="599" t="s">
        <v>12729</v>
      </c>
      <c r="AM252" s="609" t="s">
        <v>12444</v>
      </c>
      <c r="AN252" s="610" t="s">
        <v>8024</v>
      </c>
      <c r="AO252" s="610" t="s">
        <v>12206</v>
      </c>
      <c r="AP252" s="610" t="s">
        <v>12207</v>
      </c>
      <c r="AQ252" s="609" t="s">
        <v>13024</v>
      </c>
      <c r="AR252" s="599" t="s">
        <v>13025</v>
      </c>
      <c r="AS252" s="603" t="s">
        <v>423</v>
      </c>
      <c r="AT252" s="609" t="s">
        <v>13973</v>
      </c>
    </row>
    <row r="253" spans="1:46" ht="22.9" customHeight="1">
      <c r="A253" s="595" t="s">
        <v>13974</v>
      </c>
      <c r="B253" s="596" t="s">
        <v>8553</v>
      </c>
      <c r="C253" s="597" t="s">
        <v>12212</v>
      </c>
      <c r="D253" s="598"/>
      <c r="E253" s="599" t="s">
        <v>13975</v>
      </c>
      <c r="F253" s="600" t="s">
        <v>9735</v>
      </c>
      <c r="G253" s="601" t="s">
        <v>13976</v>
      </c>
      <c r="H253" s="601" t="s">
        <v>1362</v>
      </c>
      <c r="I253" s="596" t="s">
        <v>12225</v>
      </c>
      <c r="J253" s="596" t="s">
        <v>335</v>
      </c>
      <c r="K253" s="599" t="s">
        <v>12197</v>
      </c>
      <c r="L253" s="599" t="s">
        <v>12198</v>
      </c>
      <c r="M253" s="602" t="s">
        <v>12199</v>
      </c>
      <c r="N253" s="603" t="s">
        <v>7673</v>
      </c>
      <c r="O253" s="599">
        <v>512</v>
      </c>
      <c r="P253" s="604">
        <v>0</v>
      </c>
      <c r="Q253" s="604">
        <v>0</v>
      </c>
      <c r="R253" s="605">
        <v>20000</v>
      </c>
      <c r="S253" s="604">
        <v>0</v>
      </c>
      <c r="T253" s="604">
        <v>0</v>
      </c>
      <c r="U253" s="604">
        <v>4480000</v>
      </c>
      <c r="V253" s="605">
        <v>2260000</v>
      </c>
      <c r="W253" s="596"/>
      <c r="X253" s="604">
        <v>0</v>
      </c>
      <c r="Y253" s="604">
        <v>226000</v>
      </c>
      <c r="Z253" s="604">
        <v>2486000</v>
      </c>
      <c r="AA253" s="604">
        <v>4972393</v>
      </c>
      <c r="AB253" s="604">
        <v>0</v>
      </c>
      <c r="AC253" s="606">
        <v>7458000</v>
      </c>
      <c r="AD253" s="604">
        <v>393</v>
      </c>
      <c r="AE253" s="603">
        <v>2</v>
      </c>
      <c r="AF253" s="607">
        <v>2486393</v>
      </c>
      <c r="AG253" s="608" t="s">
        <v>13977</v>
      </c>
      <c r="AH253" s="608" t="s">
        <v>13037</v>
      </c>
      <c r="AI253" s="603" t="s">
        <v>1362</v>
      </c>
      <c r="AJ253" s="603" t="s">
        <v>12202</v>
      </c>
      <c r="AK253" s="603" t="s">
        <v>12203</v>
      </c>
      <c r="AL253" s="599" t="s">
        <v>12729</v>
      </c>
      <c r="AM253" s="609" t="s">
        <v>12444</v>
      </c>
      <c r="AN253" s="610" t="s">
        <v>13978</v>
      </c>
      <c r="AO253" s="610" t="s">
        <v>12206</v>
      </c>
      <c r="AP253" s="610" t="s">
        <v>12207</v>
      </c>
      <c r="AQ253" s="609" t="s">
        <v>12370</v>
      </c>
      <c r="AR253" s="599" t="s">
        <v>12371</v>
      </c>
      <c r="AS253" s="603" t="s">
        <v>423</v>
      </c>
      <c r="AT253" s="609" t="s">
        <v>13979</v>
      </c>
    </row>
    <row r="254" spans="1:46" ht="22.9" customHeight="1">
      <c r="A254" s="595" t="s">
        <v>13980</v>
      </c>
      <c r="B254" s="596" t="s">
        <v>8553</v>
      </c>
      <c r="C254" s="597" t="s">
        <v>12212</v>
      </c>
      <c r="D254" s="598"/>
      <c r="E254" s="599" t="s">
        <v>13981</v>
      </c>
      <c r="F254" s="600" t="s">
        <v>9735</v>
      </c>
      <c r="G254" s="601" t="s">
        <v>13982</v>
      </c>
      <c r="H254" s="601" t="s">
        <v>13983</v>
      </c>
      <c r="I254" s="596" t="s">
        <v>12225</v>
      </c>
      <c r="J254" s="596" t="s">
        <v>335</v>
      </c>
      <c r="K254" s="599" t="s">
        <v>12197</v>
      </c>
      <c r="L254" s="599" t="s">
        <v>12198</v>
      </c>
      <c r="M254" s="602" t="s">
        <v>12199</v>
      </c>
      <c r="N254" s="603" t="s">
        <v>7673</v>
      </c>
      <c r="O254" s="599">
        <v>512</v>
      </c>
      <c r="P254" s="604">
        <v>0</v>
      </c>
      <c r="Q254" s="604">
        <v>0</v>
      </c>
      <c r="R254" s="605">
        <v>4000</v>
      </c>
      <c r="S254" s="604">
        <v>0</v>
      </c>
      <c r="T254" s="604">
        <v>0</v>
      </c>
      <c r="U254" s="604">
        <v>4480000</v>
      </c>
      <c r="V254" s="605">
        <v>452000</v>
      </c>
      <c r="W254" s="596"/>
      <c r="X254" s="604">
        <v>0</v>
      </c>
      <c r="Y254" s="604">
        <v>45200</v>
      </c>
      <c r="Z254" s="604">
        <v>497200</v>
      </c>
      <c r="AA254" s="604">
        <v>4972243</v>
      </c>
      <c r="AB254" s="604">
        <v>0</v>
      </c>
      <c r="AC254" s="606">
        <v>5469000</v>
      </c>
      <c r="AD254" s="604">
        <v>443</v>
      </c>
      <c r="AE254" s="603">
        <v>2</v>
      </c>
      <c r="AF254" s="607">
        <v>497443</v>
      </c>
      <c r="AG254" s="608" t="s">
        <v>13984</v>
      </c>
      <c r="AH254" s="608" t="s">
        <v>13911</v>
      </c>
      <c r="AI254" s="603" t="s">
        <v>13983</v>
      </c>
      <c r="AJ254" s="603" t="s">
        <v>12202</v>
      </c>
      <c r="AK254" s="603" t="s">
        <v>12203</v>
      </c>
      <c r="AL254" s="599" t="s">
        <v>12729</v>
      </c>
      <c r="AM254" s="609" t="s">
        <v>12444</v>
      </c>
      <c r="AN254" s="610" t="s">
        <v>7842</v>
      </c>
      <c r="AO254" s="610" t="s">
        <v>12206</v>
      </c>
      <c r="AP254" s="610" t="s">
        <v>13474</v>
      </c>
      <c r="AQ254" s="609" t="s">
        <v>12514</v>
      </c>
      <c r="AR254" s="599" t="s">
        <v>12515</v>
      </c>
      <c r="AS254" s="603" t="s">
        <v>423</v>
      </c>
      <c r="AT254" s="609" t="s">
        <v>13985</v>
      </c>
    </row>
    <row r="255" spans="1:46" ht="22.15" customHeight="1">
      <c r="A255" s="595" t="s">
        <v>13986</v>
      </c>
      <c r="B255" s="596" t="s">
        <v>8553</v>
      </c>
      <c r="C255" s="597" t="s">
        <v>12212</v>
      </c>
      <c r="D255" s="598"/>
      <c r="E255" s="599" t="s">
        <v>13987</v>
      </c>
      <c r="F255" s="600" t="s">
        <v>9735</v>
      </c>
      <c r="G255" s="601" t="s">
        <v>13988</v>
      </c>
      <c r="H255" s="601" t="s">
        <v>13989</v>
      </c>
      <c r="I255" s="596" t="s">
        <v>12660</v>
      </c>
      <c r="J255" s="596" t="s">
        <v>335</v>
      </c>
      <c r="K255" s="599" t="s">
        <v>12197</v>
      </c>
      <c r="L255" s="599" t="s">
        <v>12198</v>
      </c>
      <c r="M255" s="602" t="s">
        <v>12199</v>
      </c>
      <c r="N255" s="603" t="s">
        <v>7673</v>
      </c>
      <c r="O255" s="599">
        <v>128</v>
      </c>
      <c r="P255" s="604">
        <v>0</v>
      </c>
      <c r="Q255" s="604">
        <v>0</v>
      </c>
      <c r="R255" s="605">
        <v>4000</v>
      </c>
      <c r="S255" s="604">
        <v>0</v>
      </c>
      <c r="T255" s="604">
        <v>0</v>
      </c>
      <c r="U255" s="604">
        <v>1120000</v>
      </c>
      <c r="V255" s="605">
        <v>116000</v>
      </c>
      <c r="W255" s="596"/>
      <c r="X255" s="604">
        <v>0</v>
      </c>
      <c r="Y255" s="604">
        <v>11600</v>
      </c>
      <c r="Z255" s="604">
        <v>127600</v>
      </c>
      <c r="AA255" s="604">
        <v>1276893</v>
      </c>
      <c r="AB255" s="604">
        <v>0</v>
      </c>
      <c r="AC255" s="606">
        <v>1404000</v>
      </c>
      <c r="AD255" s="604">
        <v>493</v>
      </c>
      <c r="AE255" s="603">
        <v>2</v>
      </c>
      <c r="AF255" s="607">
        <v>128493</v>
      </c>
      <c r="AG255" s="608" t="s">
        <v>13990</v>
      </c>
      <c r="AH255" s="608" t="s">
        <v>13991</v>
      </c>
      <c r="AI255" s="603" t="s">
        <v>13989</v>
      </c>
      <c r="AJ255" s="603" t="s">
        <v>12202</v>
      </c>
      <c r="AK255" s="603" t="s">
        <v>12203</v>
      </c>
      <c r="AL255" s="599" t="s">
        <v>12729</v>
      </c>
      <c r="AM255" s="609" t="s">
        <v>12444</v>
      </c>
      <c r="AN255" s="610" t="s">
        <v>13992</v>
      </c>
      <c r="AO255" s="610" t="s">
        <v>12206</v>
      </c>
      <c r="AP255" s="610" t="s">
        <v>13474</v>
      </c>
      <c r="AQ255" s="609" t="s">
        <v>13993</v>
      </c>
      <c r="AR255" s="599" t="s">
        <v>13994</v>
      </c>
      <c r="AS255" s="603" t="s">
        <v>423</v>
      </c>
      <c r="AT255" s="609" t="s">
        <v>13995</v>
      </c>
    </row>
    <row r="256" spans="1:46" ht="22.9" customHeight="1">
      <c r="A256" s="595" t="s">
        <v>13996</v>
      </c>
      <c r="B256" s="596" t="s">
        <v>8553</v>
      </c>
      <c r="C256" s="597" t="s">
        <v>12212</v>
      </c>
      <c r="D256" s="598"/>
      <c r="E256" s="599" t="s">
        <v>13997</v>
      </c>
      <c r="F256" s="600" t="s">
        <v>9735</v>
      </c>
      <c r="G256" s="601" t="s">
        <v>13998</v>
      </c>
      <c r="H256" s="601" t="s">
        <v>13999</v>
      </c>
      <c r="I256" s="596" t="s">
        <v>12225</v>
      </c>
      <c r="J256" s="596" t="s">
        <v>335</v>
      </c>
      <c r="K256" s="599" t="s">
        <v>12197</v>
      </c>
      <c r="L256" s="599" t="s">
        <v>12198</v>
      </c>
      <c r="M256" s="602" t="s">
        <v>12199</v>
      </c>
      <c r="N256" s="603" t="s">
        <v>7673</v>
      </c>
      <c r="O256" s="599">
        <v>512</v>
      </c>
      <c r="P256" s="604">
        <v>0</v>
      </c>
      <c r="Q256" s="604">
        <v>0</v>
      </c>
      <c r="R256" s="605">
        <v>20000</v>
      </c>
      <c r="S256" s="604">
        <v>0</v>
      </c>
      <c r="T256" s="604">
        <v>0</v>
      </c>
      <c r="U256" s="604">
        <v>4480000</v>
      </c>
      <c r="V256" s="605">
        <v>2260000</v>
      </c>
      <c r="W256" s="596"/>
      <c r="X256" s="604">
        <v>0</v>
      </c>
      <c r="Y256" s="604">
        <v>226000</v>
      </c>
      <c r="Z256" s="604">
        <v>2486000</v>
      </c>
      <c r="AA256" s="604">
        <v>4972318</v>
      </c>
      <c r="AB256" s="604">
        <v>0</v>
      </c>
      <c r="AC256" s="606">
        <v>7458000</v>
      </c>
      <c r="AD256" s="604">
        <v>318</v>
      </c>
      <c r="AE256" s="603">
        <v>2</v>
      </c>
      <c r="AF256" s="607">
        <v>2486318</v>
      </c>
      <c r="AG256" s="608" t="s">
        <v>14000</v>
      </c>
      <c r="AH256" s="608" t="s">
        <v>12303</v>
      </c>
      <c r="AI256" s="603" t="s">
        <v>13999</v>
      </c>
      <c r="AJ256" s="603" t="s">
        <v>12202</v>
      </c>
      <c r="AK256" s="603" t="s">
        <v>12203</v>
      </c>
      <c r="AL256" s="599" t="s">
        <v>12729</v>
      </c>
      <c r="AM256" s="609" t="s">
        <v>12444</v>
      </c>
      <c r="AN256" s="610" t="s">
        <v>8670</v>
      </c>
      <c r="AO256" s="610" t="s">
        <v>12206</v>
      </c>
      <c r="AP256" s="610" t="s">
        <v>12207</v>
      </c>
      <c r="AQ256" s="609" t="s">
        <v>12362</v>
      </c>
      <c r="AR256" s="599" t="s">
        <v>12363</v>
      </c>
      <c r="AS256" s="603" t="s">
        <v>423</v>
      </c>
      <c r="AT256" s="609" t="s">
        <v>14001</v>
      </c>
    </row>
    <row r="257" spans="1:46" ht="22.9" customHeight="1">
      <c r="A257" s="595" t="s">
        <v>14002</v>
      </c>
      <c r="B257" s="596" t="s">
        <v>8553</v>
      </c>
      <c r="C257" s="597" t="s">
        <v>12212</v>
      </c>
      <c r="D257" s="598"/>
      <c r="E257" s="599" t="s">
        <v>14003</v>
      </c>
      <c r="F257" s="600" t="s">
        <v>9735</v>
      </c>
      <c r="G257" s="601" t="s">
        <v>14004</v>
      </c>
      <c r="H257" s="601" t="s">
        <v>14005</v>
      </c>
      <c r="I257" s="596" t="s">
        <v>12225</v>
      </c>
      <c r="J257" s="596" t="s">
        <v>335</v>
      </c>
      <c r="K257" s="599" t="s">
        <v>12197</v>
      </c>
      <c r="L257" s="599" t="s">
        <v>12198</v>
      </c>
      <c r="M257" s="602" t="s">
        <v>12199</v>
      </c>
      <c r="N257" s="603" t="s">
        <v>7673</v>
      </c>
      <c r="O257" s="599">
        <v>512</v>
      </c>
      <c r="P257" s="604">
        <v>0</v>
      </c>
      <c r="Q257" s="604">
        <v>0</v>
      </c>
      <c r="R257" s="605">
        <v>5333.333333333333</v>
      </c>
      <c r="S257" s="604">
        <v>0</v>
      </c>
      <c r="T257" s="604">
        <v>0</v>
      </c>
      <c r="U257" s="604">
        <v>4480000</v>
      </c>
      <c r="V257" s="605">
        <v>602666.66666666674</v>
      </c>
      <c r="W257" s="596"/>
      <c r="X257" s="604">
        <v>0</v>
      </c>
      <c r="Y257" s="604">
        <v>60266.666666666679</v>
      </c>
      <c r="Z257" s="604">
        <v>662933.33333333337</v>
      </c>
      <c r="AA257" s="604">
        <v>4972243</v>
      </c>
      <c r="AB257" s="604">
        <v>0</v>
      </c>
      <c r="AC257" s="606">
        <v>5635000</v>
      </c>
      <c r="AD257" s="604">
        <v>176</v>
      </c>
      <c r="AE257" s="603">
        <v>2</v>
      </c>
      <c r="AF257" s="607">
        <v>663176.33333333302</v>
      </c>
      <c r="AG257" s="608" t="s">
        <v>14006</v>
      </c>
      <c r="AH257" s="608" t="s">
        <v>14007</v>
      </c>
      <c r="AI257" s="603" t="s">
        <v>14005</v>
      </c>
      <c r="AJ257" s="603" t="s">
        <v>12202</v>
      </c>
      <c r="AK257" s="603" t="s">
        <v>12203</v>
      </c>
      <c r="AL257" s="599" t="s">
        <v>12729</v>
      </c>
      <c r="AM257" s="609" t="s">
        <v>12444</v>
      </c>
      <c r="AN257" s="610" t="s">
        <v>7842</v>
      </c>
      <c r="AO257" s="610" t="s">
        <v>12206</v>
      </c>
      <c r="AP257" s="610" t="s">
        <v>14008</v>
      </c>
      <c r="AQ257" s="609" t="s">
        <v>12917</v>
      </c>
      <c r="AR257" s="599" t="s">
        <v>12918</v>
      </c>
      <c r="AS257" s="603" t="s">
        <v>423</v>
      </c>
      <c r="AT257" s="609" t="s">
        <v>14009</v>
      </c>
    </row>
    <row r="258" spans="1:46" ht="22.15" customHeight="1">
      <c r="A258" s="595" t="s">
        <v>14010</v>
      </c>
      <c r="B258" s="596" t="s">
        <v>8553</v>
      </c>
      <c r="C258" s="597" t="s">
        <v>12212</v>
      </c>
      <c r="D258" s="598"/>
      <c r="E258" s="599" t="s">
        <v>14011</v>
      </c>
      <c r="F258" s="600" t="s">
        <v>9735</v>
      </c>
      <c r="G258" s="601" t="s">
        <v>14012</v>
      </c>
      <c r="H258" s="601" t="s">
        <v>1121</v>
      </c>
      <c r="I258" s="596" t="s">
        <v>12225</v>
      </c>
      <c r="J258" s="596" t="s">
        <v>335</v>
      </c>
      <c r="K258" s="599" t="s">
        <v>12197</v>
      </c>
      <c r="L258" s="599" t="s">
        <v>12198</v>
      </c>
      <c r="M258" s="602" t="s">
        <v>12199</v>
      </c>
      <c r="N258" s="603" t="s">
        <v>7673</v>
      </c>
      <c r="O258" s="599">
        <v>512</v>
      </c>
      <c r="P258" s="604">
        <v>0</v>
      </c>
      <c r="Q258" s="604">
        <v>0</v>
      </c>
      <c r="R258" s="605">
        <v>20000</v>
      </c>
      <c r="S258" s="604">
        <v>0</v>
      </c>
      <c r="T258" s="604">
        <v>0</v>
      </c>
      <c r="U258" s="604">
        <v>4480000</v>
      </c>
      <c r="V258" s="605">
        <v>2260000</v>
      </c>
      <c r="W258" s="596"/>
      <c r="X258" s="604">
        <v>0</v>
      </c>
      <c r="Y258" s="604">
        <v>226000</v>
      </c>
      <c r="Z258" s="604">
        <v>2486000</v>
      </c>
      <c r="AA258" s="604">
        <v>4972243</v>
      </c>
      <c r="AB258" s="604">
        <v>0</v>
      </c>
      <c r="AC258" s="606">
        <v>7458000</v>
      </c>
      <c r="AD258" s="604">
        <v>243</v>
      </c>
      <c r="AE258" s="603">
        <v>2</v>
      </c>
      <c r="AF258" s="607">
        <v>2486243</v>
      </c>
      <c r="AG258" s="608" t="s">
        <v>14013</v>
      </c>
      <c r="AH258" s="608" t="s">
        <v>12329</v>
      </c>
      <c r="AI258" s="603" t="s">
        <v>1121</v>
      </c>
      <c r="AJ258" s="603" t="s">
        <v>12202</v>
      </c>
      <c r="AK258" s="603" t="s">
        <v>12203</v>
      </c>
      <c r="AL258" s="599" t="s">
        <v>12729</v>
      </c>
      <c r="AM258" s="609" t="s">
        <v>12444</v>
      </c>
      <c r="AN258" s="610" t="s">
        <v>7842</v>
      </c>
      <c r="AO258" s="610" t="s">
        <v>12206</v>
      </c>
      <c r="AP258" s="610" t="s">
        <v>12207</v>
      </c>
      <c r="AQ258" s="609" t="s">
        <v>12933</v>
      </c>
      <c r="AR258" s="599" t="s">
        <v>12934</v>
      </c>
      <c r="AS258" s="603" t="s">
        <v>423</v>
      </c>
      <c r="AT258" s="609" t="s">
        <v>14014</v>
      </c>
    </row>
    <row r="259" spans="1:46" ht="22.9" customHeight="1">
      <c r="A259" s="595" t="s">
        <v>14015</v>
      </c>
      <c r="B259" s="596" t="s">
        <v>8553</v>
      </c>
      <c r="C259" s="597" t="s">
        <v>12212</v>
      </c>
      <c r="D259" s="598"/>
      <c r="E259" s="599" t="s">
        <v>14016</v>
      </c>
      <c r="F259" s="600" t="s">
        <v>9735</v>
      </c>
      <c r="G259" s="601" t="s">
        <v>14017</v>
      </c>
      <c r="H259" s="601" t="s">
        <v>14018</v>
      </c>
      <c r="I259" s="596" t="s">
        <v>12225</v>
      </c>
      <c r="J259" s="596" t="s">
        <v>335</v>
      </c>
      <c r="K259" s="599" t="s">
        <v>12197</v>
      </c>
      <c r="L259" s="599" t="s">
        <v>12198</v>
      </c>
      <c r="M259" s="602" t="s">
        <v>12199</v>
      </c>
      <c r="N259" s="603" t="s">
        <v>7673</v>
      </c>
      <c r="O259" s="599">
        <v>512</v>
      </c>
      <c r="P259" s="604">
        <v>0</v>
      </c>
      <c r="Q259" s="604">
        <v>0</v>
      </c>
      <c r="R259" s="605">
        <v>-1333.3333333333333</v>
      </c>
      <c r="S259" s="604">
        <v>0</v>
      </c>
      <c r="T259" s="604">
        <v>0</v>
      </c>
      <c r="U259" s="604">
        <v>6400000</v>
      </c>
      <c r="V259" s="611">
        <v>-214666.66666666669</v>
      </c>
      <c r="W259" s="596"/>
      <c r="X259" s="604">
        <v>0</v>
      </c>
      <c r="Y259" s="612">
        <v>-21466.666666666672</v>
      </c>
      <c r="Z259" s="612">
        <v>-236133.33333333334</v>
      </c>
      <c r="AA259" s="604">
        <v>7084483</v>
      </c>
      <c r="AB259" s="604">
        <v>0</v>
      </c>
      <c r="AC259" s="606">
        <v>6848000</v>
      </c>
      <c r="AD259" s="604">
        <v>350</v>
      </c>
      <c r="AE259" s="603">
        <v>0</v>
      </c>
      <c r="AF259" s="607">
        <v>-235650.33333333582</v>
      </c>
      <c r="AG259" s="608" t="s">
        <v>14019</v>
      </c>
      <c r="AH259" s="608" t="s">
        <v>14020</v>
      </c>
      <c r="AI259" s="603" t="s">
        <v>14018</v>
      </c>
      <c r="AJ259" s="603" t="s">
        <v>12202</v>
      </c>
      <c r="AK259" s="603" t="s">
        <v>12203</v>
      </c>
      <c r="AL259" s="599" t="s">
        <v>12729</v>
      </c>
      <c r="AM259" s="609" t="s">
        <v>12444</v>
      </c>
      <c r="AN259" s="610" t="s">
        <v>13869</v>
      </c>
      <c r="AO259" s="610" t="s">
        <v>12206</v>
      </c>
      <c r="AP259" s="610" t="s">
        <v>13413</v>
      </c>
      <c r="AQ259" s="609" t="s">
        <v>13854</v>
      </c>
      <c r="AR259" s="599" t="s">
        <v>13855</v>
      </c>
      <c r="AS259" s="603" t="s">
        <v>423</v>
      </c>
      <c r="AT259" s="609" t="s">
        <v>14021</v>
      </c>
    </row>
    <row r="260" spans="1:46" ht="22.9" customHeight="1">
      <c r="A260" s="595" t="s">
        <v>14022</v>
      </c>
      <c r="B260" s="596" t="s">
        <v>8553</v>
      </c>
      <c r="C260" s="597" t="s">
        <v>12212</v>
      </c>
      <c r="D260" s="598"/>
      <c r="E260" s="599" t="s">
        <v>14023</v>
      </c>
      <c r="F260" s="600" t="s">
        <v>9735</v>
      </c>
      <c r="G260" s="601" t="s">
        <v>14024</v>
      </c>
      <c r="H260" s="601" t="s">
        <v>14025</v>
      </c>
      <c r="I260" s="596" t="s">
        <v>12225</v>
      </c>
      <c r="J260" s="596" t="s">
        <v>335</v>
      </c>
      <c r="K260" s="599" t="s">
        <v>12197</v>
      </c>
      <c r="L260" s="599" t="s">
        <v>12198</v>
      </c>
      <c r="M260" s="602" t="s">
        <v>12199</v>
      </c>
      <c r="N260" s="603" t="s">
        <v>7673</v>
      </c>
      <c r="O260" s="599">
        <v>512</v>
      </c>
      <c r="P260" s="604">
        <v>0</v>
      </c>
      <c r="Q260" s="604">
        <v>0</v>
      </c>
      <c r="R260" s="605">
        <v>20000</v>
      </c>
      <c r="S260" s="604">
        <v>0</v>
      </c>
      <c r="T260" s="604">
        <v>0</v>
      </c>
      <c r="U260" s="604">
        <v>4480000</v>
      </c>
      <c r="V260" s="605">
        <v>2260000</v>
      </c>
      <c r="W260" s="596"/>
      <c r="X260" s="604">
        <v>0</v>
      </c>
      <c r="Y260" s="604">
        <v>226000</v>
      </c>
      <c r="Z260" s="604">
        <v>2486000</v>
      </c>
      <c r="AA260" s="604">
        <v>4972018</v>
      </c>
      <c r="AB260" s="604">
        <v>0</v>
      </c>
      <c r="AC260" s="606">
        <v>7458000</v>
      </c>
      <c r="AD260" s="604">
        <v>18</v>
      </c>
      <c r="AE260" s="603">
        <v>2</v>
      </c>
      <c r="AF260" s="607">
        <v>2486018</v>
      </c>
      <c r="AG260" s="608" t="s">
        <v>14026</v>
      </c>
      <c r="AH260" s="608" t="s">
        <v>12227</v>
      </c>
      <c r="AI260" s="603" t="s">
        <v>14025</v>
      </c>
      <c r="AJ260" s="603" t="s">
        <v>12202</v>
      </c>
      <c r="AK260" s="603" t="s">
        <v>12203</v>
      </c>
      <c r="AL260" s="599" t="s">
        <v>12729</v>
      </c>
      <c r="AM260" s="609" t="s">
        <v>12444</v>
      </c>
      <c r="AN260" s="610" t="s">
        <v>14027</v>
      </c>
      <c r="AO260" s="610" t="s">
        <v>12206</v>
      </c>
      <c r="AP260" s="610" t="s">
        <v>12207</v>
      </c>
      <c r="AQ260" s="609" t="s">
        <v>12566</v>
      </c>
      <c r="AR260" s="599" t="s">
        <v>12567</v>
      </c>
      <c r="AS260" s="603" t="s">
        <v>423</v>
      </c>
      <c r="AT260" s="609" t="s">
        <v>9512</v>
      </c>
    </row>
    <row r="261" spans="1:46" ht="22.15" customHeight="1">
      <c r="A261" s="595" t="s">
        <v>14028</v>
      </c>
      <c r="B261" s="596" t="s">
        <v>8553</v>
      </c>
      <c r="C261" s="597" t="s">
        <v>12212</v>
      </c>
      <c r="D261" s="598"/>
      <c r="E261" s="599" t="s">
        <v>14029</v>
      </c>
      <c r="F261" s="600" t="s">
        <v>9735</v>
      </c>
      <c r="G261" s="601" t="s">
        <v>14030</v>
      </c>
      <c r="H261" s="601" t="s">
        <v>14031</v>
      </c>
      <c r="I261" s="596" t="s">
        <v>12225</v>
      </c>
      <c r="J261" s="596" t="s">
        <v>335</v>
      </c>
      <c r="K261" s="599" t="s">
        <v>12197</v>
      </c>
      <c r="L261" s="599" t="s">
        <v>12198</v>
      </c>
      <c r="M261" s="602" t="s">
        <v>12199</v>
      </c>
      <c r="N261" s="603" t="s">
        <v>7673</v>
      </c>
      <c r="O261" s="599">
        <v>512</v>
      </c>
      <c r="P261" s="604">
        <v>0</v>
      </c>
      <c r="Q261" s="604">
        <v>0</v>
      </c>
      <c r="R261" s="605">
        <v>20000</v>
      </c>
      <c r="S261" s="604">
        <v>0</v>
      </c>
      <c r="T261" s="604">
        <v>0</v>
      </c>
      <c r="U261" s="604">
        <v>4480000</v>
      </c>
      <c r="V261" s="605">
        <v>2260000</v>
      </c>
      <c r="W261" s="596"/>
      <c r="X261" s="604">
        <v>0</v>
      </c>
      <c r="Y261" s="604">
        <v>226000</v>
      </c>
      <c r="Z261" s="604">
        <v>2486000</v>
      </c>
      <c r="AA261" s="604">
        <v>4972312</v>
      </c>
      <c r="AB261" s="604">
        <v>0</v>
      </c>
      <c r="AC261" s="606">
        <v>7458000</v>
      </c>
      <c r="AD261" s="604">
        <v>312</v>
      </c>
      <c r="AE261" s="603">
        <v>2</v>
      </c>
      <c r="AF261" s="607">
        <v>2486312</v>
      </c>
      <c r="AG261" s="608" t="s">
        <v>14032</v>
      </c>
      <c r="AH261" s="608" t="s">
        <v>12329</v>
      </c>
      <c r="AI261" s="603" t="s">
        <v>14031</v>
      </c>
      <c r="AJ261" s="603" t="s">
        <v>12202</v>
      </c>
      <c r="AK261" s="603" t="s">
        <v>12203</v>
      </c>
      <c r="AL261" s="599" t="s">
        <v>12729</v>
      </c>
      <c r="AM261" s="609" t="s">
        <v>12444</v>
      </c>
      <c r="AN261" s="610" t="s">
        <v>13921</v>
      </c>
      <c r="AO261" s="610" t="s">
        <v>12206</v>
      </c>
      <c r="AP261" s="610" t="s">
        <v>12207</v>
      </c>
      <c r="AQ261" s="609" t="s">
        <v>12711</v>
      </c>
      <c r="AR261" s="599" t="s">
        <v>12712</v>
      </c>
      <c r="AS261" s="603" t="s">
        <v>423</v>
      </c>
      <c r="AT261" s="609" t="s">
        <v>11536</v>
      </c>
    </row>
    <row r="262" spans="1:46" ht="22.9" customHeight="1">
      <c r="A262" s="595" t="s">
        <v>14033</v>
      </c>
      <c r="B262" s="596" t="s">
        <v>8553</v>
      </c>
      <c r="C262" s="597" t="s">
        <v>12212</v>
      </c>
      <c r="D262" s="598"/>
      <c r="E262" s="599" t="s">
        <v>14034</v>
      </c>
      <c r="F262" s="600" t="s">
        <v>9735</v>
      </c>
      <c r="G262" s="601" t="s">
        <v>14035</v>
      </c>
      <c r="H262" s="601" t="s">
        <v>14036</v>
      </c>
      <c r="I262" s="596" t="s">
        <v>12225</v>
      </c>
      <c r="J262" s="596" t="s">
        <v>335</v>
      </c>
      <c r="K262" s="599" t="s">
        <v>12197</v>
      </c>
      <c r="L262" s="599" t="s">
        <v>12198</v>
      </c>
      <c r="M262" s="602" t="s">
        <v>12199</v>
      </c>
      <c r="N262" s="603" t="s">
        <v>7673</v>
      </c>
      <c r="O262" s="599">
        <v>512</v>
      </c>
      <c r="P262" s="604">
        <v>0</v>
      </c>
      <c r="Q262" s="604">
        <v>0</v>
      </c>
      <c r="R262" s="605">
        <v>-1333.3333333333333</v>
      </c>
      <c r="S262" s="604">
        <v>0</v>
      </c>
      <c r="T262" s="604">
        <v>0</v>
      </c>
      <c r="U262" s="604">
        <v>4480000</v>
      </c>
      <c r="V262" s="611">
        <v>-150666.66666666669</v>
      </c>
      <c r="W262" s="596"/>
      <c r="X262" s="604">
        <v>0</v>
      </c>
      <c r="Y262" s="612">
        <v>-15066.66666666667</v>
      </c>
      <c r="Z262" s="612">
        <v>-165733.33333333334</v>
      </c>
      <c r="AA262" s="604">
        <v>4972343</v>
      </c>
      <c r="AB262" s="604">
        <v>0</v>
      </c>
      <c r="AC262" s="606">
        <v>4806000</v>
      </c>
      <c r="AD262" s="604">
        <v>610</v>
      </c>
      <c r="AE262" s="603">
        <v>0</v>
      </c>
      <c r="AF262" s="607">
        <v>-165390.33333333395</v>
      </c>
      <c r="AG262" s="608" t="s">
        <v>14037</v>
      </c>
      <c r="AH262" s="608" t="s">
        <v>13957</v>
      </c>
      <c r="AI262" s="603" t="s">
        <v>14036</v>
      </c>
      <c r="AJ262" s="603" t="s">
        <v>12202</v>
      </c>
      <c r="AK262" s="603" t="s">
        <v>12203</v>
      </c>
      <c r="AL262" s="599" t="s">
        <v>12729</v>
      </c>
      <c r="AM262" s="609" t="s">
        <v>12444</v>
      </c>
      <c r="AN262" s="610" t="s">
        <v>14038</v>
      </c>
      <c r="AO262" s="610" t="s">
        <v>12206</v>
      </c>
      <c r="AP262" s="610" t="s">
        <v>13413</v>
      </c>
      <c r="AQ262" s="609" t="s">
        <v>14039</v>
      </c>
      <c r="AR262" s="599" t="s">
        <v>14040</v>
      </c>
      <c r="AS262" s="603" t="s">
        <v>423</v>
      </c>
      <c r="AT262" s="609" t="s">
        <v>14041</v>
      </c>
    </row>
    <row r="263" spans="1:46" ht="22.9" customHeight="1">
      <c r="A263" s="595" t="s">
        <v>14042</v>
      </c>
      <c r="B263" s="596" t="s">
        <v>8553</v>
      </c>
      <c r="C263" s="597" t="s">
        <v>12212</v>
      </c>
      <c r="D263" s="598"/>
      <c r="E263" s="599" t="s">
        <v>14043</v>
      </c>
      <c r="F263" s="600" t="s">
        <v>9735</v>
      </c>
      <c r="G263" s="601" t="s">
        <v>14044</v>
      </c>
      <c r="H263" s="601" t="s">
        <v>1319</v>
      </c>
      <c r="I263" s="596" t="s">
        <v>12225</v>
      </c>
      <c r="J263" s="596" t="s">
        <v>335</v>
      </c>
      <c r="K263" s="599" t="s">
        <v>12197</v>
      </c>
      <c r="L263" s="599" t="s">
        <v>12198</v>
      </c>
      <c r="M263" s="602" t="s">
        <v>12199</v>
      </c>
      <c r="N263" s="603" t="s">
        <v>7673</v>
      </c>
      <c r="O263" s="599">
        <v>512</v>
      </c>
      <c r="P263" s="604">
        <v>0</v>
      </c>
      <c r="Q263" s="604">
        <v>0</v>
      </c>
      <c r="R263" s="605">
        <v>20000</v>
      </c>
      <c r="S263" s="604">
        <v>0</v>
      </c>
      <c r="T263" s="604">
        <v>0</v>
      </c>
      <c r="U263" s="604">
        <v>4480000</v>
      </c>
      <c r="V263" s="605">
        <v>2260000</v>
      </c>
      <c r="W263" s="596"/>
      <c r="X263" s="604">
        <v>0</v>
      </c>
      <c r="Y263" s="604">
        <v>226000</v>
      </c>
      <c r="Z263" s="604">
        <v>2486000</v>
      </c>
      <c r="AA263" s="604">
        <v>4972307</v>
      </c>
      <c r="AB263" s="604">
        <v>0</v>
      </c>
      <c r="AC263" s="606">
        <v>7458000</v>
      </c>
      <c r="AD263" s="604">
        <v>307</v>
      </c>
      <c r="AE263" s="603">
        <v>2</v>
      </c>
      <c r="AF263" s="607">
        <v>2486307</v>
      </c>
      <c r="AG263" s="608" t="s">
        <v>14045</v>
      </c>
      <c r="AH263" s="608" t="s">
        <v>12247</v>
      </c>
      <c r="AI263" s="603" t="s">
        <v>1319</v>
      </c>
      <c r="AJ263" s="603" t="s">
        <v>12202</v>
      </c>
      <c r="AK263" s="603" t="s">
        <v>12203</v>
      </c>
      <c r="AL263" s="599" t="s">
        <v>12729</v>
      </c>
      <c r="AM263" s="609" t="s">
        <v>12444</v>
      </c>
      <c r="AN263" s="610" t="s">
        <v>8911</v>
      </c>
      <c r="AO263" s="610" t="s">
        <v>12206</v>
      </c>
      <c r="AP263" s="610" t="s">
        <v>12207</v>
      </c>
      <c r="AQ263" s="609" t="s">
        <v>13236</v>
      </c>
      <c r="AR263" s="599" t="s">
        <v>13237</v>
      </c>
      <c r="AS263" s="603" t="s">
        <v>423</v>
      </c>
      <c r="AT263" s="609" t="s">
        <v>14046</v>
      </c>
    </row>
    <row r="264" spans="1:46" ht="22.9" customHeight="1">
      <c r="A264" s="595" t="s">
        <v>14047</v>
      </c>
      <c r="B264" s="596" t="s">
        <v>8553</v>
      </c>
      <c r="C264" s="597" t="s">
        <v>12212</v>
      </c>
      <c r="D264" s="598"/>
      <c r="E264" s="599" t="s">
        <v>14048</v>
      </c>
      <c r="F264" s="600" t="s">
        <v>9735</v>
      </c>
      <c r="G264" s="601" t="s">
        <v>14049</v>
      </c>
      <c r="H264" s="601" t="s">
        <v>14050</v>
      </c>
      <c r="I264" s="596" t="s">
        <v>12225</v>
      </c>
      <c r="J264" s="596" t="s">
        <v>335</v>
      </c>
      <c r="K264" s="599" t="s">
        <v>12197</v>
      </c>
      <c r="L264" s="599" t="s">
        <v>12198</v>
      </c>
      <c r="M264" s="602" t="s">
        <v>12199</v>
      </c>
      <c r="N264" s="603" t="s">
        <v>7673</v>
      </c>
      <c r="O264" s="599">
        <v>512</v>
      </c>
      <c r="P264" s="604">
        <v>0</v>
      </c>
      <c r="Q264" s="604">
        <v>0</v>
      </c>
      <c r="R264" s="605">
        <v>4000</v>
      </c>
      <c r="S264" s="604">
        <v>0</v>
      </c>
      <c r="T264" s="604">
        <v>0</v>
      </c>
      <c r="U264" s="604">
        <v>4480000</v>
      </c>
      <c r="V264" s="605">
        <v>452000</v>
      </c>
      <c r="W264" s="596"/>
      <c r="X264" s="604">
        <v>0</v>
      </c>
      <c r="Y264" s="604">
        <v>45200</v>
      </c>
      <c r="Z264" s="604">
        <v>497200</v>
      </c>
      <c r="AA264" s="604">
        <v>4972528</v>
      </c>
      <c r="AB264" s="604">
        <v>0</v>
      </c>
      <c r="AC264" s="606">
        <v>5469000</v>
      </c>
      <c r="AD264" s="604">
        <v>728</v>
      </c>
      <c r="AE264" s="603">
        <v>2</v>
      </c>
      <c r="AF264" s="607">
        <v>497728</v>
      </c>
      <c r="AG264" s="608" t="s">
        <v>14051</v>
      </c>
      <c r="AH264" s="608" t="s">
        <v>14052</v>
      </c>
      <c r="AI264" s="603" t="s">
        <v>14050</v>
      </c>
      <c r="AJ264" s="603" t="s">
        <v>12202</v>
      </c>
      <c r="AK264" s="603" t="s">
        <v>12203</v>
      </c>
      <c r="AL264" s="599" t="s">
        <v>12729</v>
      </c>
      <c r="AM264" s="609" t="s">
        <v>12444</v>
      </c>
      <c r="AN264" s="610" t="s">
        <v>8668</v>
      </c>
      <c r="AO264" s="610" t="s">
        <v>12206</v>
      </c>
      <c r="AP264" s="610" t="s">
        <v>13474</v>
      </c>
      <c r="AQ264" s="609" t="s">
        <v>13158</v>
      </c>
      <c r="AR264" s="599" t="s">
        <v>13159</v>
      </c>
      <c r="AS264" s="603" t="s">
        <v>423</v>
      </c>
      <c r="AT264" s="609" t="s">
        <v>14053</v>
      </c>
    </row>
    <row r="265" spans="1:46" ht="22.15" customHeight="1">
      <c r="A265" s="595" t="s">
        <v>14054</v>
      </c>
      <c r="B265" s="596" t="s">
        <v>8553</v>
      </c>
      <c r="C265" s="597" t="s">
        <v>12212</v>
      </c>
      <c r="D265" s="598"/>
      <c r="E265" s="599" t="s">
        <v>14055</v>
      </c>
      <c r="F265" s="600" t="s">
        <v>9735</v>
      </c>
      <c r="G265" s="601" t="s">
        <v>14056</v>
      </c>
      <c r="H265" s="601" t="s">
        <v>14057</v>
      </c>
      <c r="I265" s="596" t="s">
        <v>12225</v>
      </c>
      <c r="J265" s="596" t="s">
        <v>335</v>
      </c>
      <c r="K265" s="599" t="s">
        <v>12197</v>
      </c>
      <c r="L265" s="599" t="s">
        <v>12198</v>
      </c>
      <c r="M265" s="602" t="s">
        <v>12199</v>
      </c>
      <c r="N265" s="603" t="s">
        <v>7673</v>
      </c>
      <c r="O265" s="599">
        <v>512</v>
      </c>
      <c r="P265" s="604">
        <v>0</v>
      </c>
      <c r="Q265" s="604">
        <v>0</v>
      </c>
      <c r="R265" s="605">
        <v>20000</v>
      </c>
      <c r="S265" s="604">
        <v>0</v>
      </c>
      <c r="T265" s="604">
        <v>0</v>
      </c>
      <c r="U265" s="604">
        <v>4480000</v>
      </c>
      <c r="V265" s="605">
        <v>2260000</v>
      </c>
      <c r="W265" s="596"/>
      <c r="X265" s="604">
        <v>0</v>
      </c>
      <c r="Y265" s="604">
        <v>226000</v>
      </c>
      <c r="Z265" s="604">
        <v>2486000</v>
      </c>
      <c r="AA265" s="604">
        <v>4972843</v>
      </c>
      <c r="AB265" s="604">
        <v>0</v>
      </c>
      <c r="AC265" s="606">
        <v>7458000</v>
      </c>
      <c r="AD265" s="604">
        <v>843</v>
      </c>
      <c r="AE265" s="603">
        <v>2</v>
      </c>
      <c r="AF265" s="607">
        <v>2486843</v>
      </c>
      <c r="AG265" s="608" t="s">
        <v>14058</v>
      </c>
      <c r="AH265" s="608" t="s">
        <v>12247</v>
      </c>
      <c r="AI265" s="603" t="s">
        <v>14057</v>
      </c>
      <c r="AJ265" s="603" t="s">
        <v>12202</v>
      </c>
      <c r="AK265" s="603" t="s">
        <v>12203</v>
      </c>
      <c r="AL265" s="599" t="s">
        <v>12729</v>
      </c>
      <c r="AM265" s="609" t="s">
        <v>12444</v>
      </c>
      <c r="AN265" s="610" t="s">
        <v>14059</v>
      </c>
      <c r="AO265" s="610" t="s">
        <v>12206</v>
      </c>
      <c r="AP265" s="610" t="s">
        <v>12207</v>
      </c>
      <c r="AQ265" s="609" t="s">
        <v>12859</v>
      </c>
      <c r="AR265" s="599" t="s">
        <v>12860</v>
      </c>
      <c r="AS265" s="603" t="s">
        <v>423</v>
      </c>
      <c r="AT265" s="609" t="s">
        <v>14060</v>
      </c>
    </row>
    <row r="266" spans="1:46" ht="22.9" customHeight="1">
      <c r="A266" s="595" t="s">
        <v>14061</v>
      </c>
      <c r="B266" s="596" t="s">
        <v>8553</v>
      </c>
      <c r="C266" s="597" t="s">
        <v>12212</v>
      </c>
      <c r="D266" s="598"/>
      <c r="E266" s="599" t="s">
        <v>14062</v>
      </c>
      <c r="F266" s="600" t="s">
        <v>9735</v>
      </c>
      <c r="G266" s="601" t="s">
        <v>14063</v>
      </c>
      <c r="H266" s="601" t="s">
        <v>14064</v>
      </c>
      <c r="I266" s="596" t="s">
        <v>12225</v>
      </c>
      <c r="J266" s="596" t="s">
        <v>335</v>
      </c>
      <c r="K266" s="599" t="s">
        <v>12197</v>
      </c>
      <c r="L266" s="599" t="s">
        <v>12198</v>
      </c>
      <c r="M266" s="602" t="s">
        <v>12199</v>
      </c>
      <c r="N266" s="603" t="s">
        <v>7673</v>
      </c>
      <c r="O266" s="599">
        <v>512</v>
      </c>
      <c r="P266" s="604">
        <v>0</v>
      </c>
      <c r="Q266" s="604">
        <v>0</v>
      </c>
      <c r="R266" s="605">
        <v>-2666.6666666666665</v>
      </c>
      <c r="S266" s="604">
        <v>0</v>
      </c>
      <c r="T266" s="604">
        <v>0</v>
      </c>
      <c r="U266" s="604">
        <v>4480000</v>
      </c>
      <c r="V266" s="611">
        <v>-301333.33333333337</v>
      </c>
      <c r="W266" s="596"/>
      <c r="X266" s="604">
        <v>0</v>
      </c>
      <c r="Y266" s="612">
        <v>-30133.333333333339</v>
      </c>
      <c r="Z266" s="612">
        <v>-331466.66666666669</v>
      </c>
      <c r="AA266" s="604">
        <v>4972093</v>
      </c>
      <c r="AB266" s="604">
        <v>0</v>
      </c>
      <c r="AC266" s="606">
        <v>4640000</v>
      </c>
      <c r="AD266" s="604">
        <v>627</v>
      </c>
      <c r="AE266" s="603">
        <v>0</v>
      </c>
      <c r="AF266" s="607">
        <v>-331373.66666666605</v>
      </c>
      <c r="AG266" s="608" t="s">
        <v>14065</v>
      </c>
      <c r="AH266" s="608" t="s">
        <v>14066</v>
      </c>
      <c r="AI266" s="603" t="s">
        <v>14064</v>
      </c>
      <c r="AJ266" s="603" t="s">
        <v>12202</v>
      </c>
      <c r="AK266" s="603" t="s">
        <v>12203</v>
      </c>
      <c r="AL266" s="599" t="s">
        <v>12729</v>
      </c>
      <c r="AM266" s="609" t="s">
        <v>12444</v>
      </c>
      <c r="AN266" s="610" t="s">
        <v>8026</v>
      </c>
      <c r="AO266" s="610" t="s">
        <v>12206</v>
      </c>
      <c r="AP266" s="610" t="s">
        <v>13376</v>
      </c>
      <c r="AQ266" s="609" t="s">
        <v>13516</v>
      </c>
      <c r="AR266" s="599" t="s">
        <v>13517</v>
      </c>
      <c r="AS266" s="603" t="s">
        <v>423</v>
      </c>
      <c r="AT266" s="609" t="s">
        <v>14067</v>
      </c>
    </row>
    <row r="267" spans="1:46" ht="22.9" customHeight="1">
      <c r="A267" s="595" t="s">
        <v>14068</v>
      </c>
      <c r="B267" s="596" t="s">
        <v>8553</v>
      </c>
      <c r="C267" s="597" t="s">
        <v>12212</v>
      </c>
      <c r="D267" s="598"/>
      <c r="E267" s="599" t="s">
        <v>14069</v>
      </c>
      <c r="F267" s="600" t="s">
        <v>9735</v>
      </c>
      <c r="G267" s="601" t="s">
        <v>14070</v>
      </c>
      <c r="H267" s="601" t="s">
        <v>1332</v>
      </c>
      <c r="I267" s="596" t="s">
        <v>12225</v>
      </c>
      <c r="J267" s="596" t="s">
        <v>335</v>
      </c>
      <c r="K267" s="599" t="s">
        <v>12197</v>
      </c>
      <c r="L267" s="599" t="s">
        <v>12198</v>
      </c>
      <c r="M267" s="602" t="s">
        <v>12199</v>
      </c>
      <c r="N267" s="603" t="s">
        <v>7673</v>
      </c>
      <c r="O267" s="599">
        <v>512</v>
      </c>
      <c r="P267" s="604">
        <v>0</v>
      </c>
      <c r="Q267" s="604">
        <v>0</v>
      </c>
      <c r="R267" s="605">
        <v>20000</v>
      </c>
      <c r="S267" s="604">
        <v>0</v>
      </c>
      <c r="T267" s="604">
        <v>0</v>
      </c>
      <c r="U267" s="604">
        <v>4480000</v>
      </c>
      <c r="V267" s="605">
        <v>2260000</v>
      </c>
      <c r="W267" s="596"/>
      <c r="X267" s="604">
        <v>0</v>
      </c>
      <c r="Y267" s="604">
        <v>226000</v>
      </c>
      <c r="Z267" s="604">
        <v>2486000</v>
      </c>
      <c r="AA267" s="604">
        <v>4972018</v>
      </c>
      <c r="AB267" s="604">
        <v>0</v>
      </c>
      <c r="AC267" s="606">
        <v>7458000</v>
      </c>
      <c r="AD267" s="604">
        <v>18</v>
      </c>
      <c r="AE267" s="603">
        <v>2</v>
      </c>
      <c r="AF267" s="607">
        <v>2486018</v>
      </c>
      <c r="AG267" s="608" t="s">
        <v>14071</v>
      </c>
      <c r="AH267" s="608" t="s">
        <v>13037</v>
      </c>
      <c r="AI267" s="603" t="s">
        <v>1332</v>
      </c>
      <c r="AJ267" s="603" t="s">
        <v>12202</v>
      </c>
      <c r="AK267" s="603" t="s">
        <v>12203</v>
      </c>
      <c r="AL267" s="599" t="s">
        <v>12729</v>
      </c>
      <c r="AM267" s="609" t="s">
        <v>12444</v>
      </c>
      <c r="AN267" s="610" t="s">
        <v>14027</v>
      </c>
      <c r="AO267" s="610" t="s">
        <v>12206</v>
      </c>
      <c r="AP267" s="610" t="s">
        <v>12207</v>
      </c>
      <c r="AQ267" s="609" t="s">
        <v>12413</v>
      </c>
      <c r="AR267" s="599" t="s">
        <v>12414</v>
      </c>
      <c r="AS267" s="603" t="s">
        <v>423</v>
      </c>
      <c r="AT267" s="609" t="s">
        <v>14072</v>
      </c>
    </row>
    <row r="268" spans="1:46" ht="22.15" customHeight="1">
      <c r="A268" s="595" t="s">
        <v>14073</v>
      </c>
      <c r="B268" s="596" t="s">
        <v>8553</v>
      </c>
      <c r="C268" s="597" t="s">
        <v>12212</v>
      </c>
      <c r="D268" s="598"/>
      <c r="E268" s="599" t="s">
        <v>14074</v>
      </c>
      <c r="F268" s="600" t="s">
        <v>9735</v>
      </c>
      <c r="G268" s="601" t="s">
        <v>14075</v>
      </c>
      <c r="H268" s="601" t="s">
        <v>1396</v>
      </c>
      <c r="I268" s="596" t="s">
        <v>12225</v>
      </c>
      <c r="J268" s="596" t="s">
        <v>335</v>
      </c>
      <c r="K268" s="599" t="s">
        <v>12197</v>
      </c>
      <c r="L268" s="599" t="s">
        <v>12198</v>
      </c>
      <c r="M268" s="602" t="s">
        <v>12199</v>
      </c>
      <c r="N268" s="603" t="s">
        <v>7673</v>
      </c>
      <c r="O268" s="599">
        <v>512</v>
      </c>
      <c r="P268" s="604">
        <v>0</v>
      </c>
      <c r="Q268" s="604">
        <v>0</v>
      </c>
      <c r="R268" s="605">
        <v>20000</v>
      </c>
      <c r="S268" s="604">
        <v>0</v>
      </c>
      <c r="T268" s="604">
        <v>0</v>
      </c>
      <c r="U268" s="604">
        <v>4480000</v>
      </c>
      <c r="V268" s="605">
        <v>2260000</v>
      </c>
      <c r="W268" s="596"/>
      <c r="X268" s="604">
        <v>0</v>
      </c>
      <c r="Y268" s="604">
        <v>226000</v>
      </c>
      <c r="Z268" s="604">
        <v>2486000</v>
      </c>
      <c r="AA268" s="604">
        <v>4972468</v>
      </c>
      <c r="AB268" s="604">
        <v>0</v>
      </c>
      <c r="AC268" s="606">
        <v>7458000</v>
      </c>
      <c r="AD268" s="604">
        <v>468</v>
      </c>
      <c r="AE268" s="603">
        <v>2</v>
      </c>
      <c r="AF268" s="607">
        <v>2486468</v>
      </c>
      <c r="AG268" s="608" t="s">
        <v>14076</v>
      </c>
      <c r="AH268" s="608" t="s">
        <v>12267</v>
      </c>
      <c r="AI268" s="603" t="s">
        <v>1396</v>
      </c>
      <c r="AJ268" s="603" t="s">
        <v>12202</v>
      </c>
      <c r="AK268" s="603" t="s">
        <v>12203</v>
      </c>
      <c r="AL268" s="599" t="s">
        <v>12729</v>
      </c>
      <c r="AM268" s="609" t="s">
        <v>12444</v>
      </c>
      <c r="AN268" s="610" t="s">
        <v>12819</v>
      </c>
      <c r="AO268" s="610" t="s">
        <v>12206</v>
      </c>
      <c r="AP268" s="610" t="s">
        <v>12207</v>
      </c>
      <c r="AQ268" s="609" t="s">
        <v>12711</v>
      </c>
      <c r="AR268" s="599" t="s">
        <v>12712</v>
      </c>
      <c r="AS268" s="603" t="s">
        <v>423</v>
      </c>
      <c r="AT268" s="609" t="s">
        <v>14077</v>
      </c>
    </row>
    <row r="269" spans="1:46" ht="22.9" customHeight="1">
      <c r="A269" s="595" t="s">
        <v>14078</v>
      </c>
      <c r="B269" s="596" t="s">
        <v>8553</v>
      </c>
      <c r="C269" s="597" t="s">
        <v>12212</v>
      </c>
      <c r="D269" s="598"/>
      <c r="E269" s="599" t="s">
        <v>14079</v>
      </c>
      <c r="F269" s="600" t="s">
        <v>9735</v>
      </c>
      <c r="G269" s="601" t="s">
        <v>14080</v>
      </c>
      <c r="H269" s="601" t="s">
        <v>14081</v>
      </c>
      <c r="I269" s="596" t="s">
        <v>12225</v>
      </c>
      <c r="J269" s="596" t="s">
        <v>335</v>
      </c>
      <c r="K269" s="599" t="s">
        <v>12197</v>
      </c>
      <c r="L269" s="599" t="s">
        <v>12198</v>
      </c>
      <c r="M269" s="602" t="s">
        <v>12199</v>
      </c>
      <c r="N269" s="603" t="s">
        <v>7673</v>
      </c>
      <c r="O269" s="599">
        <v>512</v>
      </c>
      <c r="P269" s="604">
        <v>0</v>
      </c>
      <c r="Q269" s="604">
        <v>0</v>
      </c>
      <c r="R269" s="605">
        <v>20000</v>
      </c>
      <c r="S269" s="604">
        <v>0</v>
      </c>
      <c r="T269" s="604">
        <v>0</v>
      </c>
      <c r="U269" s="604">
        <v>4480000</v>
      </c>
      <c r="V269" s="605">
        <v>2260000</v>
      </c>
      <c r="W269" s="596"/>
      <c r="X269" s="604">
        <v>0</v>
      </c>
      <c r="Y269" s="604">
        <v>226000</v>
      </c>
      <c r="Z269" s="604">
        <v>2486000</v>
      </c>
      <c r="AA269" s="604">
        <v>4972970</v>
      </c>
      <c r="AB269" s="604">
        <v>0</v>
      </c>
      <c r="AC269" s="606">
        <v>7458000</v>
      </c>
      <c r="AD269" s="604">
        <v>970</v>
      </c>
      <c r="AE269" s="603">
        <v>2</v>
      </c>
      <c r="AF269" s="607">
        <v>2486970</v>
      </c>
      <c r="AG269" s="608" t="s">
        <v>14082</v>
      </c>
      <c r="AH269" s="608" t="s">
        <v>12247</v>
      </c>
      <c r="AI269" s="603" t="s">
        <v>14081</v>
      </c>
      <c r="AJ269" s="603" t="s">
        <v>12202</v>
      </c>
      <c r="AK269" s="603" t="s">
        <v>12203</v>
      </c>
      <c r="AL269" s="599" t="s">
        <v>12729</v>
      </c>
      <c r="AM269" s="609" t="s">
        <v>12444</v>
      </c>
      <c r="AN269" s="610" t="s">
        <v>7842</v>
      </c>
      <c r="AO269" s="610" t="s">
        <v>12206</v>
      </c>
      <c r="AP269" s="610" t="s">
        <v>12207</v>
      </c>
      <c r="AQ269" s="609" t="s">
        <v>12514</v>
      </c>
      <c r="AR269" s="599" t="s">
        <v>12515</v>
      </c>
      <c r="AS269" s="603" t="s">
        <v>423</v>
      </c>
      <c r="AT269" s="609" t="s">
        <v>9419</v>
      </c>
    </row>
    <row r="270" spans="1:46" ht="22.9" customHeight="1">
      <c r="A270" s="595" t="s">
        <v>14083</v>
      </c>
      <c r="B270" s="596" t="s">
        <v>8553</v>
      </c>
      <c r="C270" s="597" t="s">
        <v>12212</v>
      </c>
      <c r="D270" s="598"/>
      <c r="E270" s="599" t="s">
        <v>14084</v>
      </c>
      <c r="F270" s="600" t="s">
        <v>9735</v>
      </c>
      <c r="G270" s="601" t="s">
        <v>14085</v>
      </c>
      <c r="H270" s="601" t="s">
        <v>14086</v>
      </c>
      <c r="I270" s="596" t="s">
        <v>12225</v>
      </c>
      <c r="J270" s="596" t="s">
        <v>335</v>
      </c>
      <c r="K270" s="599" t="s">
        <v>12197</v>
      </c>
      <c r="L270" s="599" t="s">
        <v>12198</v>
      </c>
      <c r="M270" s="602" t="s">
        <v>12199</v>
      </c>
      <c r="N270" s="603" t="s">
        <v>7673</v>
      </c>
      <c r="O270" s="599">
        <v>512</v>
      </c>
      <c r="P270" s="604">
        <v>0</v>
      </c>
      <c r="Q270" s="604">
        <v>0</v>
      </c>
      <c r="R270" s="605">
        <v>20000</v>
      </c>
      <c r="S270" s="604">
        <v>0</v>
      </c>
      <c r="T270" s="604">
        <v>0</v>
      </c>
      <c r="U270" s="604">
        <v>4480000</v>
      </c>
      <c r="V270" s="605">
        <v>2260000</v>
      </c>
      <c r="W270" s="596"/>
      <c r="X270" s="604">
        <v>0</v>
      </c>
      <c r="Y270" s="604">
        <v>226000</v>
      </c>
      <c r="Z270" s="604">
        <v>2486000</v>
      </c>
      <c r="AA270" s="604">
        <v>4972993</v>
      </c>
      <c r="AB270" s="604">
        <v>0</v>
      </c>
      <c r="AC270" s="606">
        <v>7458000</v>
      </c>
      <c r="AD270" s="604">
        <v>993</v>
      </c>
      <c r="AE270" s="603">
        <v>2</v>
      </c>
      <c r="AF270" s="607">
        <v>2486993</v>
      </c>
      <c r="AG270" s="608" t="s">
        <v>14087</v>
      </c>
      <c r="AH270" s="608" t="s">
        <v>12294</v>
      </c>
      <c r="AI270" s="603" t="s">
        <v>14086</v>
      </c>
      <c r="AJ270" s="603" t="s">
        <v>12202</v>
      </c>
      <c r="AK270" s="603" t="s">
        <v>12203</v>
      </c>
      <c r="AL270" s="599" t="s">
        <v>12729</v>
      </c>
      <c r="AM270" s="609" t="s">
        <v>12444</v>
      </c>
      <c r="AN270" s="610" t="s">
        <v>14088</v>
      </c>
      <c r="AO270" s="610" t="s">
        <v>12206</v>
      </c>
      <c r="AP270" s="610" t="s">
        <v>12207</v>
      </c>
      <c r="AQ270" s="609" t="s">
        <v>12925</v>
      </c>
      <c r="AR270" s="599" t="s">
        <v>12926</v>
      </c>
      <c r="AS270" s="603" t="s">
        <v>423</v>
      </c>
      <c r="AT270" s="609" t="s">
        <v>14089</v>
      </c>
    </row>
    <row r="271" spans="1:46" ht="22.9" customHeight="1">
      <c r="A271" s="595" t="s">
        <v>14090</v>
      </c>
      <c r="B271" s="596" t="s">
        <v>14091</v>
      </c>
      <c r="C271" s="597" t="s">
        <v>12212</v>
      </c>
      <c r="D271" s="598"/>
      <c r="E271" s="599"/>
      <c r="F271" s="600" t="s">
        <v>9735</v>
      </c>
      <c r="G271" s="601" t="s">
        <v>14092</v>
      </c>
      <c r="H271" s="601" t="s">
        <v>4679</v>
      </c>
      <c r="I271" s="596" t="s">
        <v>13604</v>
      </c>
      <c r="J271" s="596" t="s">
        <v>12853</v>
      </c>
      <c r="K271" s="599" t="s">
        <v>12854</v>
      </c>
      <c r="L271" s="599" t="s">
        <v>12855</v>
      </c>
      <c r="M271" s="602" t="s">
        <v>12199</v>
      </c>
      <c r="N271" s="603" t="s">
        <v>7673</v>
      </c>
      <c r="O271" s="599">
        <v>102400</v>
      </c>
      <c r="P271" s="604">
        <v>0</v>
      </c>
      <c r="Q271" s="604">
        <v>0</v>
      </c>
      <c r="R271" s="605">
        <v>0</v>
      </c>
      <c r="S271" s="604">
        <v>0</v>
      </c>
      <c r="T271" s="604">
        <v>0</v>
      </c>
      <c r="U271" s="604">
        <v>214830000</v>
      </c>
      <c r="V271" s="605">
        <v>107415000</v>
      </c>
      <c r="W271" s="596"/>
      <c r="X271" s="604">
        <v>0</v>
      </c>
      <c r="Y271" s="604">
        <v>10741500</v>
      </c>
      <c r="Z271" s="604">
        <v>118156500</v>
      </c>
      <c r="AA271" s="604">
        <v>557</v>
      </c>
      <c r="AB271" s="604">
        <v>0</v>
      </c>
      <c r="AC271" s="606">
        <v>118157000</v>
      </c>
      <c r="AD271" s="604">
        <v>57</v>
      </c>
      <c r="AE271" s="603">
        <v>1</v>
      </c>
      <c r="AF271" s="607">
        <v>-118155942.20000005</v>
      </c>
      <c r="AG271" s="608" t="s">
        <v>14093</v>
      </c>
      <c r="AH271" s="608" t="s">
        <v>14094</v>
      </c>
      <c r="AI271" s="603" t="s">
        <v>4679</v>
      </c>
      <c r="AJ271" s="603" t="s">
        <v>12202</v>
      </c>
      <c r="AK271" s="603" t="s">
        <v>12203</v>
      </c>
      <c r="AL271" s="599" t="s">
        <v>14095</v>
      </c>
      <c r="AM271" s="609" t="s">
        <v>12444</v>
      </c>
      <c r="AN271" s="610" t="s">
        <v>14096</v>
      </c>
      <c r="AO271" s="610" t="s">
        <v>12206</v>
      </c>
      <c r="AP271" s="610" t="s">
        <v>12207</v>
      </c>
      <c r="AQ271" s="609" t="s">
        <v>12478</v>
      </c>
      <c r="AR271" s="599" t="s">
        <v>12479</v>
      </c>
      <c r="AS271" s="603" t="s">
        <v>423</v>
      </c>
      <c r="AT271" s="609" t="s">
        <v>11202</v>
      </c>
    </row>
    <row r="272" spans="1:46" ht="22.15" customHeight="1">
      <c r="A272" s="595" t="s">
        <v>14097</v>
      </c>
      <c r="B272" s="596" t="s">
        <v>14091</v>
      </c>
      <c r="C272" s="597" t="s">
        <v>12212</v>
      </c>
      <c r="D272" s="598"/>
      <c r="E272" s="599" t="s">
        <v>14098</v>
      </c>
      <c r="F272" s="600" t="s">
        <v>9735</v>
      </c>
      <c r="G272" s="601" t="s">
        <v>14099</v>
      </c>
      <c r="H272" s="601" t="s">
        <v>5240</v>
      </c>
      <c r="I272" s="596" t="s">
        <v>12880</v>
      </c>
      <c r="J272" s="596" t="s">
        <v>107</v>
      </c>
      <c r="K272" s="599" t="s">
        <v>12426</v>
      </c>
      <c r="L272" s="599" t="s">
        <v>12198</v>
      </c>
      <c r="M272" s="602" t="s">
        <v>12199</v>
      </c>
      <c r="N272" s="603" t="s">
        <v>7673</v>
      </c>
      <c r="O272" s="599">
        <v>51200</v>
      </c>
      <c r="P272" s="604">
        <v>0</v>
      </c>
      <c r="Q272" s="604">
        <v>0</v>
      </c>
      <c r="R272" s="605">
        <v>0</v>
      </c>
      <c r="S272" s="604">
        <v>0</v>
      </c>
      <c r="T272" s="604">
        <v>0</v>
      </c>
      <c r="U272" s="604">
        <v>155606060.60606059</v>
      </c>
      <c r="V272" s="605">
        <v>77803030.303030297</v>
      </c>
      <c r="W272" s="596"/>
      <c r="X272" s="604">
        <v>0</v>
      </c>
      <c r="Y272" s="604">
        <v>7780303.0303030303</v>
      </c>
      <c r="Z272" s="604">
        <v>85583333.333333328</v>
      </c>
      <c r="AA272" s="604">
        <v>878</v>
      </c>
      <c r="AB272" s="604">
        <v>0</v>
      </c>
      <c r="AC272" s="606">
        <v>85584000</v>
      </c>
      <c r="AD272" s="604">
        <v>211</v>
      </c>
      <c r="AE272" s="603">
        <v>1</v>
      </c>
      <c r="AF272" s="607">
        <v>-85581788.440303132</v>
      </c>
      <c r="AG272" s="608" t="s">
        <v>14100</v>
      </c>
      <c r="AH272" s="608" t="s">
        <v>14101</v>
      </c>
      <c r="AI272" s="603" t="s">
        <v>5240</v>
      </c>
      <c r="AJ272" s="603" t="s">
        <v>12202</v>
      </c>
      <c r="AK272" s="603" t="s">
        <v>12203</v>
      </c>
      <c r="AL272" s="599" t="s">
        <v>14102</v>
      </c>
      <c r="AM272" s="609" t="s">
        <v>12444</v>
      </c>
      <c r="AN272" s="610" t="s">
        <v>14096</v>
      </c>
      <c r="AO272" s="610" t="s">
        <v>12206</v>
      </c>
      <c r="AP272" s="610" t="s">
        <v>12207</v>
      </c>
      <c r="AQ272" s="609" t="s">
        <v>12208</v>
      </c>
      <c r="AR272" s="599" t="s">
        <v>12209</v>
      </c>
      <c r="AS272" s="603" t="s">
        <v>423</v>
      </c>
      <c r="AT272" s="609" t="s">
        <v>14103</v>
      </c>
    </row>
    <row r="273" spans="1:46" ht="25.9" customHeight="1">
      <c r="A273" s="595" t="s">
        <v>14104</v>
      </c>
      <c r="B273" s="596" t="s">
        <v>14105</v>
      </c>
      <c r="C273" s="597" t="s">
        <v>12212</v>
      </c>
      <c r="D273" s="598"/>
      <c r="E273" s="599"/>
      <c r="F273" s="600" t="s">
        <v>9735</v>
      </c>
      <c r="G273" s="601" t="s">
        <v>14106</v>
      </c>
      <c r="H273" s="601" t="s">
        <v>14106</v>
      </c>
      <c r="I273" s="596" t="s">
        <v>12255</v>
      </c>
      <c r="J273" s="596" t="s">
        <v>335</v>
      </c>
      <c r="K273" s="599" t="s">
        <v>12197</v>
      </c>
      <c r="L273" s="599" t="s">
        <v>12198</v>
      </c>
      <c r="M273" s="602" t="s">
        <v>12199</v>
      </c>
      <c r="N273" s="603" t="s">
        <v>7673</v>
      </c>
      <c r="O273" s="599">
        <v>2048</v>
      </c>
      <c r="P273" s="604">
        <v>0</v>
      </c>
      <c r="Q273" s="604">
        <v>0</v>
      </c>
      <c r="R273" s="605">
        <v>20000</v>
      </c>
      <c r="S273" s="604">
        <v>0</v>
      </c>
      <c r="T273" s="604">
        <v>0</v>
      </c>
      <c r="U273" s="604">
        <v>15680000</v>
      </c>
      <c r="V273" s="605">
        <v>7860000</v>
      </c>
      <c r="W273" s="596"/>
      <c r="X273" s="604">
        <v>0</v>
      </c>
      <c r="Y273" s="604">
        <v>786000</v>
      </c>
      <c r="Z273" s="604">
        <v>8646000</v>
      </c>
      <c r="AA273" s="604">
        <v>17292480</v>
      </c>
      <c r="AB273" s="604">
        <v>0</v>
      </c>
      <c r="AC273" s="606">
        <v>25938000</v>
      </c>
      <c r="AD273" s="604">
        <v>480</v>
      </c>
      <c r="AE273" s="603">
        <v>2</v>
      </c>
      <c r="AF273" s="607">
        <v>8646480</v>
      </c>
      <c r="AG273" s="608" t="s">
        <v>14107</v>
      </c>
      <c r="AH273" s="608" t="s">
        <v>14108</v>
      </c>
      <c r="AI273" s="603"/>
      <c r="AJ273" s="603" t="s">
        <v>12202</v>
      </c>
      <c r="AK273" s="603" t="s">
        <v>12203</v>
      </c>
      <c r="AL273" s="599" t="s">
        <v>14109</v>
      </c>
      <c r="AM273" s="609" t="s">
        <v>12444</v>
      </c>
      <c r="AN273" s="610" t="s">
        <v>14110</v>
      </c>
      <c r="AO273" s="610" t="s">
        <v>12206</v>
      </c>
      <c r="AP273" s="610" t="s">
        <v>12207</v>
      </c>
      <c r="AQ273" s="609" t="s">
        <v>12305</v>
      </c>
      <c r="AR273" s="599" t="s">
        <v>12306</v>
      </c>
      <c r="AS273" s="603" t="s">
        <v>423</v>
      </c>
      <c r="AT273" s="609" t="s">
        <v>14111</v>
      </c>
    </row>
    <row r="274" spans="1:46" ht="25.15" customHeight="1">
      <c r="A274" s="595" t="s">
        <v>14112</v>
      </c>
      <c r="B274" s="596" t="s">
        <v>14113</v>
      </c>
      <c r="C274" s="597" t="s">
        <v>12212</v>
      </c>
      <c r="D274" s="598"/>
      <c r="E274" s="599"/>
      <c r="F274" s="600" t="s">
        <v>9735</v>
      </c>
      <c r="G274" s="601" t="s">
        <v>14114</v>
      </c>
      <c r="H274" s="601" t="s">
        <v>14114</v>
      </c>
      <c r="I274" s="596" t="s">
        <v>12225</v>
      </c>
      <c r="J274" s="596" t="s">
        <v>335</v>
      </c>
      <c r="K274" s="599" t="s">
        <v>12197</v>
      </c>
      <c r="L274" s="599" t="s">
        <v>12198</v>
      </c>
      <c r="M274" s="602" t="s">
        <v>12199</v>
      </c>
      <c r="N274" s="603" t="s">
        <v>7673</v>
      </c>
      <c r="O274" s="599">
        <v>512</v>
      </c>
      <c r="P274" s="604">
        <v>0</v>
      </c>
      <c r="Q274" s="604">
        <v>0</v>
      </c>
      <c r="R274" s="605">
        <v>20000</v>
      </c>
      <c r="S274" s="604">
        <v>0</v>
      </c>
      <c r="T274" s="604">
        <v>0</v>
      </c>
      <c r="U274" s="604">
        <v>4480000</v>
      </c>
      <c r="V274" s="605">
        <v>2260000</v>
      </c>
      <c r="W274" s="596"/>
      <c r="X274" s="604">
        <v>0</v>
      </c>
      <c r="Y274" s="604">
        <v>226000</v>
      </c>
      <c r="Z274" s="604">
        <v>2486000</v>
      </c>
      <c r="AA274" s="604">
        <v>4972374</v>
      </c>
      <c r="AB274" s="604">
        <v>0</v>
      </c>
      <c r="AC274" s="606">
        <v>7458000</v>
      </c>
      <c r="AD274" s="604">
        <v>374</v>
      </c>
      <c r="AE274" s="603">
        <v>2</v>
      </c>
      <c r="AF274" s="607">
        <v>2486374</v>
      </c>
      <c r="AG274" s="608" t="s">
        <v>14115</v>
      </c>
      <c r="AH274" s="608" t="s">
        <v>12247</v>
      </c>
      <c r="AI274" s="603"/>
      <c r="AJ274" s="603" t="s">
        <v>12202</v>
      </c>
      <c r="AK274" s="603" t="s">
        <v>12203</v>
      </c>
      <c r="AL274" s="599" t="s">
        <v>14116</v>
      </c>
      <c r="AM274" s="609" t="s">
        <v>12444</v>
      </c>
      <c r="AN274" s="610" t="s">
        <v>14117</v>
      </c>
      <c r="AO274" s="610" t="s">
        <v>12206</v>
      </c>
      <c r="AP274" s="610" t="s">
        <v>12207</v>
      </c>
      <c r="AQ274" s="609" t="s">
        <v>12305</v>
      </c>
      <c r="AR274" s="599" t="s">
        <v>12306</v>
      </c>
      <c r="AS274" s="603" t="s">
        <v>423</v>
      </c>
      <c r="AT274" s="609" t="s">
        <v>14118</v>
      </c>
    </row>
    <row r="275" spans="1:46" ht="22.15" customHeight="1">
      <c r="A275" s="595" t="s">
        <v>14119</v>
      </c>
      <c r="B275" s="596" t="s">
        <v>14120</v>
      </c>
      <c r="C275" s="597" t="s">
        <v>12212</v>
      </c>
      <c r="D275" s="598"/>
      <c r="E275" s="599"/>
      <c r="F275" s="600" t="s">
        <v>9735</v>
      </c>
      <c r="G275" s="601" t="s">
        <v>14121</v>
      </c>
      <c r="H275" s="601" t="s">
        <v>14122</v>
      </c>
      <c r="I275" s="596" t="s">
        <v>12225</v>
      </c>
      <c r="J275" s="596" t="s">
        <v>335</v>
      </c>
      <c r="K275" s="599" t="s">
        <v>12197</v>
      </c>
      <c r="L275" s="599" t="s">
        <v>12198</v>
      </c>
      <c r="M275" s="602" t="s">
        <v>12199</v>
      </c>
      <c r="N275" s="603" t="s">
        <v>7673</v>
      </c>
      <c r="O275" s="599">
        <v>512</v>
      </c>
      <c r="P275" s="604">
        <v>0</v>
      </c>
      <c r="Q275" s="604">
        <v>0</v>
      </c>
      <c r="R275" s="605">
        <v>20000</v>
      </c>
      <c r="S275" s="604">
        <v>0</v>
      </c>
      <c r="T275" s="604">
        <v>0</v>
      </c>
      <c r="U275" s="604">
        <v>4480000</v>
      </c>
      <c r="V275" s="605">
        <v>2260000</v>
      </c>
      <c r="W275" s="596"/>
      <c r="X275" s="604">
        <v>0</v>
      </c>
      <c r="Y275" s="604">
        <v>226000</v>
      </c>
      <c r="Z275" s="604">
        <v>2486000</v>
      </c>
      <c r="AA275" s="604">
        <v>4972568</v>
      </c>
      <c r="AB275" s="604">
        <v>0</v>
      </c>
      <c r="AC275" s="606">
        <v>7458000</v>
      </c>
      <c r="AD275" s="604">
        <v>568</v>
      </c>
      <c r="AE275" s="603">
        <v>2</v>
      </c>
      <c r="AF275" s="607">
        <v>2486568</v>
      </c>
      <c r="AG275" s="608" t="s">
        <v>14123</v>
      </c>
      <c r="AH275" s="608" t="s">
        <v>12360</v>
      </c>
      <c r="AI275" s="603" t="s">
        <v>14122</v>
      </c>
      <c r="AJ275" s="603" t="s">
        <v>12202</v>
      </c>
      <c r="AK275" s="603" t="s">
        <v>12203</v>
      </c>
      <c r="AL275" s="599" t="s">
        <v>12729</v>
      </c>
      <c r="AM275" s="609" t="s">
        <v>12444</v>
      </c>
      <c r="AN275" s="610" t="s">
        <v>14124</v>
      </c>
      <c r="AO275" s="610" t="s">
        <v>12206</v>
      </c>
      <c r="AP275" s="610" t="s">
        <v>12207</v>
      </c>
      <c r="AQ275" s="609" t="s">
        <v>12514</v>
      </c>
      <c r="AR275" s="599" t="s">
        <v>12515</v>
      </c>
      <c r="AS275" s="603" t="s">
        <v>423</v>
      </c>
      <c r="AT275" s="609" t="s">
        <v>14125</v>
      </c>
    </row>
    <row r="276" spans="1:46" ht="25.9" customHeight="1">
      <c r="A276" s="595" t="s">
        <v>14126</v>
      </c>
      <c r="B276" s="596" t="s">
        <v>14127</v>
      </c>
      <c r="C276" s="597" t="s">
        <v>4940</v>
      </c>
      <c r="D276" s="598"/>
      <c r="E276" s="599"/>
      <c r="F276" s="600" t="s">
        <v>9735</v>
      </c>
      <c r="G276" s="601" t="s">
        <v>14128</v>
      </c>
      <c r="H276" s="601" t="s">
        <v>14128</v>
      </c>
      <c r="I276" s="596" t="s">
        <v>14129</v>
      </c>
      <c r="J276" s="596" t="s">
        <v>335</v>
      </c>
      <c r="K276" s="599" t="s">
        <v>12197</v>
      </c>
      <c r="L276" s="599" t="s">
        <v>12198</v>
      </c>
      <c r="M276" s="602" t="s">
        <v>12199</v>
      </c>
      <c r="N276" s="603" t="s">
        <v>7673</v>
      </c>
      <c r="O276" s="599">
        <v>256</v>
      </c>
      <c r="P276" s="604">
        <v>0</v>
      </c>
      <c r="Q276" s="604">
        <v>0</v>
      </c>
      <c r="R276" s="605">
        <v>20000</v>
      </c>
      <c r="S276" s="604">
        <v>0</v>
      </c>
      <c r="T276" s="604">
        <v>0</v>
      </c>
      <c r="U276" s="604">
        <v>2240000</v>
      </c>
      <c r="V276" s="605">
        <v>1140000</v>
      </c>
      <c r="W276" s="596"/>
      <c r="X276" s="604">
        <v>0</v>
      </c>
      <c r="Y276" s="604">
        <v>114000</v>
      </c>
      <c r="Z276" s="604">
        <v>1254000</v>
      </c>
      <c r="AA276" s="604">
        <v>2508021</v>
      </c>
      <c r="AB276" s="604">
        <v>0</v>
      </c>
      <c r="AC276" s="606">
        <v>3762000</v>
      </c>
      <c r="AD276" s="604">
        <v>21</v>
      </c>
      <c r="AE276" s="603">
        <v>2</v>
      </c>
      <c r="AF276" s="607">
        <v>1254021</v>
      </c>
      <c r="AG276" s="608" t="s">
        <v>14130</v>
      </c>
      <c r="AH276" s="608" t="s">
        <v>14131</v>
      </c>
      <c r="AI276" s="603" t="s">
        <v>14128</v>
      </c>
      <c r="AJ276" s="603" t="s">
        <v>12202</v>
      </c>
      <c r="AK276" s="603" t="s">
        <v>12203</v>
      </c>
      <c r="AL276" s="599" t="s">
        <v>14132</v>
      </c>
      <c r="AM276" s="609" t="s">
        <v>14133</v>
      </c>
      <c r="AN276" s="610" t="s">
        <v>14134</v>
      </c>
      <c r="AO276" s="610" t="s">
        <v>12206</v>
      </c>
      <c r="AP276" s="610" t="s">
        <v>12207</v>
      </c>
      <c r="AQ276" s="609" t="s">
        <v>13065</v>
      </c>
      <c r="AR276" s="599" t="s">
        <v>13066</v>
      </c>
      <c r="AS276" s="603" t="s">
        <v>423</v>
      </c>
      <c r="AT276" s="609" t="s">
        <v>14135</v>
      </c>
    </row>
    <row r="277" spans="1:46" ht="25.15" customHeight="1">
      <c r="A277" s="595" t="s">
        <v>14136</v>
      </c>
      <c r="B277" s="596" t="s">
        <v>14137</v>
      </c>
      <c r="C277" s="597" t="s">
        <v>4940</v>
      </c>
      <c r="D277" s="598"/>
      <c r="E277" s="599"/>
      <c r="F277" s="600" t="s">
        <v>9735</v>
      </c>
      <c r="G277" s="601" t="s">
        <v>4335</v>
      </c>
      <c r="H277" s="601" t="s">
        <v>4335</v>
      </c>
      <c r="I277" s="596" t="s">
        <v>12649</v>
      </c>
      <c r="J277" s="596" t="s">
        <v>335</v>
      </c>
      <c r="K277" s="599" t="s">
        <v>12197</v>
      </c>
      <c r="L277" s="599" t="s">
        <v>12198</v>
      </c>
      <c r="M277" s="602" t="s">
        <v>12199</v>
      </c>
      <c r="N277" s="603" t="s">
        <v>7673</v>
      </c>
      <c r="O277" s="599">
        <v>10240</v>
      </c>
      <c r="P277" s="604">
        <v>0</v>
      </c>
      <c r="Q277" s="604">
        <v>0</v>
      </c>
      <c r="R277" s="605">
        <v>20000</v>
      </c>
      <c r="S277" s="604">
        <v>0</v>
      </c>
      <c r="T277" s="604">
        <v>0</v>
      </c>
      <c r="U277" s="604">
        <v>35466666.666666664</v>
      </c>
      <c r="V277" s="605">
        <v>17753333.333333332</v>
      </c>
      <c r="W277" s="596"/>
      <c r="X277" s="604">
        <v>0</v>
      </c>
      <c r="Y277" s="604">
        <v>1775333.333333333</v>
      </c>
      <c r="Z277" s="604">
        <v>19528666.666666664</v>
      </c>
      <c r="AA277" s="604">
        <v>39057617</v>
      </c>
      <c r="AB277" s="604">
        <v>0</v>
      </c>
      <c r="AC277" s="606">
        <v>58586000</v>
      </c>
      <c r="AD277" s="604">
        <v>283</v>
      </c>
      <c r="AE277" s="603">
        <v>2</v>
      </c>
      <c r="AF277" s="607">
        <v>19529284.646666303</v>
      </c>
      <c r="AG277" s="608" t="s">
        <v>14138</v>
      </c>
      <c r="AH277" s="608" t="s">
        <v>14139</v>
      </c>
      <c r="AI277" s="603" t="s">
        <v>4335</v>
      </c>
      <c r="AJ277" s="603" t="s">
        <v>12202</v>
      </c>
      <c r="AK277" s="603" t="s">
        <v>12203</v>
      </c>
      <c r="AL277" s="599" t="s">
        <v>14140</v>
      </c>
      <c r="AM277" s="609" t="s">
        <v>12444</v>
      </c>
      <c r="AN277" s="610" t="s">
        <v>8966</v>
      </c>
      <c r="AO277" s="610" t="s">
        <v>12206</v>
      </c>
      <c r="AP277" s="610" t="s">
        <v>12207</v>
      </c>
      <c r="AQ277" s="609" t="s">
        <v>12208</v>
      </c>
      <c r="AR277" s="599" t="s">
        <v>12209</v>
      </c>
      <c r="AS277" s="603" t="s">
        <v>423</v>
      </c>
      <c r="AT277" s="609" t="s">
        <v>14141</v>
      </c>
    </row>
    <row r="278" spans="1:46" ht="25.15" customHeight="1">
      <c r="A278" s="595" t="s">
        <v>14142</v>
      </c>
      <c r="B278" s="596" t="s">
        <v>14143</v>
      </c>
      <c r="C278" s="597" t="s">
        <v>4940</v>
      </c>
      <c r="D278" s="598"/>
      <c r="E278" s="599"/>
      <c r="F278" s="600" t="s">
        <v>9735</v>
      </c>
      <c r="G278" s="601" t="s">
        <v>14144</v>
      </c>
      <c r="H278" s="601" t="s">
        <v>14144</v>
      </c>
      <c r="I278" s="596" t="s">
        <v>12225</v>
      </c>
      <c r="J278" s="596" t="s">
        <v>335</v>
      </c>
      <c r="K278" s="599" t="s">
        <v>12197</v>
      </c>
      <c r="L278" s="599" t="s">
        <v>12198</v>
      </c>
      <c r="M278" s="602" t="s">
        <v>12199</v>
      </c>
      <c r="N278" s="603" t="s">
        <v>7673</v>
      </c>
      <c r="O278" s="599">
        <v>512</v>
      </c>
      <c r="P278" s="604">
        <v>0</v>
      </c>
      <c r="Q278" s="604">
        <v>0</v>
      </c>
      <c r="R278" s="605">
        <v>20000</v>
      </c>
      <c r="S278" s="604">
        <v>0</v>
      </c>
      <c r="T278" s="604">
        <v>0</v>
      </c>
      <c r="U278" s="604">
        <v>4480000</v>
      </c>
      <c r="V278" s="605">
        <v>2260000</v>
      </c>
      <c r="W278" s="596"/>
      <c r="X278" s="604">
        <v>0</v>
      </c>
      <c r="Y278" s="604">
        <v>226000</v>
      </c>
      <c r="Z278" s="604">
        <v>2486000</v>
      </c>
      <c r="AA278" s="604">
        <v>4972806</v>
      </c>
      <c r="AB278" s="604">
        <v>0</v>
      </c>
      <c r="AC278" s="606">
        <v>7458000</v>
      </c>
      <c r="AD278" s="604">
        <v>806</v>
      </c>
      <c r="AE278" s="603">
        <v>2</v>
      </c>
      <c r="AF278" s="607">
        <v>2486806</v>
      </c>
      <c r="AG278" s="608" t="s">
        <v>14145</v>
      </c>
      <c r="AH278" s="608" t="s">
        <v>12227</v>
      </c>
      <c r="AI278" s="603" t="s">
        <v>14144</v>
      </c>
      <c r="AJ278" s="603" t="s">
        <v>12202</v>
      </c>
      <c r="AK278" s="603" t="s">
        <v>12203</v>
      </c>
      <c r="AL278" s="599" t="s">
        <v>14146</v>
      </c>
      <c r="AM278" s="609" t="s">
        <v>4940</v>
      </c>
      <c r="AN278" s="610" t="s">
        <v>9005</v>
      </c>
      <c r="AO278" s="610" t="s">
        <v>12206</v>
      </c>
      <c r="AP278" s="610" t="s">
        <v>12207</v>
      </c>
      <c r="AQ278" s="609" t="s">
        <v>12478</v>
      </c>
      <c r="AR278" s="599" t="s">
        <v>12479</v>
      </c>
      <c r="AS278" s="603" t="s">
        <v>423</v>
      </c>
      <c r="AT278" s="609" t="s">
        <v>14147</v>
      </c>
    </row>
    <row r="279" spans="1:46" ht="25.15" customHeight="1">
      <c r="A279" s="595" t="s">
        <v>14148</v>
      </c>
      <c r="B279" s="596" t="s">
        <v>14149</v>
      </c>
      <c r="C279" s="597" t="s">
        <v>4940</v>
      </c>
      <c r="D279" s="598"/>
      <c r="E279" s="599"/>
      <c r="F279" s="600" t="s">
        <v>9735</v>
      </c>
      <c r="G279" s="601" t="s">
        <v>14150</v>
      </c>
      <c r="H279" s="601" t="s">
        <v>14150</v>
      </c>
      <c r="I279" s="596" t="s">
        <v>12255</v>
      </c>
      <c r="J279" s="596" t="s">
        <v>335</v>
      </c>
      <c r="K279" s="599" t="s">
        <v>12197</v>
      </c>
      <c r="L279" s="599" t="s">
        <v>12198</v>
      </c>
      <c r="M279" s="602" t="s">
        <v>12199</v>
      </c>
      <c r="N279" s="603" t="s">
        <v>7673</v>
      </c>
      <c r="O279" s="599">
        <v>2048</v>
      </c>
      <c r="P279" s="604">
        <v>0</v>
      </c>
      <c r="Q279" s="604">
        <v>0</v>
      </c>
      <c r="R279" s="605">
        <v>20000</v>
      </c>
      <c r="S279" s="604">
        <v>0</v>
      </c>
      <c r="T279" s="604">
        <v>0</v>
      </c>
      <c r="U279" s="604">
        <v>15680000</v>
      </c>
      <c r="V279" s="605">
        <v>7860000</v>
      </c>
      <c r="W279" s="596"/>
      <c r="X279" s="604">
        <v>0</v>
      </c>
      <c r="Y279" s="604">
        <v>786000</v>
      </c>
      <c r="Z279" s="604">
        <v>8646000</v>
      </c>
      <c r="AA279" s="604">
        <v>17292467</v>
      </c>
      <c r="AB279" s="604">
        <v>0</v>
      </c>
      <c r="AC279" s="606">
        <v>25938000</v>
      </c>
      <c r="AD279" s="604">
        <v>467</v>
      </c>
      <c r="AE279" s="603">
        <v>2</v>
      </c>
      <c r="AF279" s="607">
        <v>8646467</v>
      </c>
      <c r="AG279" s="608" t="s">
        <v>14151</v>
      </c>
      <c r="AH279" s="608" t="s">
        <v>14152</v>
      </c>
      <c r="AI279" s="603" t="s">
        <v>14150</v>
      </c>
      <c r="AJ279" s="603" t="s">
        <v>12202</v>
      </c>
      <c r="AK279" s="603" t="s">
        <v>12203</v>
      </c>
      <c r="AL279" s="599" t="s">
        <v>14153</v>
      </c>
      <c r="AM279" s="609" t="s">
        <v>4940</v>
      </c>
      <c r="AN279" s="610" t="s">
        <v>14154</v>
      </c>
      <c r="AO279" s="610" t="s">
        <v>12206</v>
      </c>
      <c r="AP279" s="610" t="s">
        <v>12207</v>
      </c>
      <c r="AQ279" s="609" t="s">
        <v>12208</v>
      </c>
      <c r="AR279" s="599" t="s">
        <v>12209</v>
      </c>
      <c r="AS279" s="603" t="s">
        <v>423</v>
      </c>
      <c r="AT279" s="609" t="s">
        <v>14155</v>
      </c>
    </row>
    <row r="280" spans="1:46" ht="23.65" customHeight="1">
      <c r="A280" s="613"/>
      <c r="B280" s="613"/>
      <c r="C280" s="614"/>
      <c r="D280" s="614"/>
      <c r="E280" s="615"/>
      <c r="F280" s="613"/>
      <c r="G280" s="613"/>
      <c r="H280" s="613"/>
      <c r="I280" s="615"/>
      <c r="J280" s="615"/>
      <c r="K280" s="613"/>
      <c r="L280" s="613"/>
      <c r="M280" s="613"/>
      <c r="N280" s="615"/>
      <c r="O280" s="613"/>
      <c r="P280" s="616">
        <v>0</v>
      </c>
      <c r="Q280" s="616">
        <v>0</v>
      </c>
      <c r="R280" s="616" t="s">
        <v>14156</v>
      </c>
      <c r="S280" s="614"/>
      <c r="T280" s="616" t="s">
        <v>14157</v>
      </c>
      <c r="U280" s="617" t="s">
        <v>7767</v>
      </c>
      <c r="V280" s="616" t="s">
        <v>14158</v>
      </c>
      <c r="W280" s="615"/>
      <c r="X280" s="618" t="s">
        <v>7767</v>
      </c>
      <c r="Y280" s="616" t="s">
        <v>14159</v>
      </c>
      <c r="Z280" s="616" t="s">
        <v>14160</v>
      </c>
      <c r="AA280" s="616">
        <v>5878678815</v>
      </c>
      <c r="AB280" s="616">
        <v>0</v>
      </c>
      <c r="AC280" s="616">
        <v>8841293000</v>
      </c>
      <c r="AD280" s="619">
        <v>135918</v>
      </c>
      <c r="AE280" s="613"/>
      <c r="AF280" s="618">
        <v>2351684932.1863632</v>
      </c>
      <c r="AG280" s="613"/>
      <c r="AH280" s="613"/>
      <c r="AI280" s="613"/>
      <c r="AJ280" s="613"/>
      <c r="AK280" s="613"/>
      <c r="AL280" s="613"/>
      <c r="AM280" s="613"/>
      <c r="AN280" s="613"/>
      <c r="AO280" s="613"/>
      <c r="AP280" s="613"/>
      <c r="AQ280" s="613"/>
      <c r="AR280" s="613"/>
      <c r="AS280" s="615"/>
      <c r="AT280" s="613"/>
    </row>
  </sheetData>
  <mergeCells count="59">
    <mergeCell ref="A1:A2"/>
    <mergeCell ref="B1:AT1"/>
    <mergeCell ref="B2:AT2"/>
    <mergeCell ref="A86:A87"/>
    <mergeCell ref="B86:B87"/>
    <mergeCell ref="C86:C87"/>
    <mergeCell ref="D86:D87"/>
    <mergeCell ref="E86:E87"/>
    <mergeCell ref="F86:F87"/>
    <mergeCell ref="G86:G87"/>
    <mergeCell ref="AG86:AG87"/>
    <mergeCell ref="H86:H87"/>
    <mergeCell ref="J86:J87"/>
    <mergeCell ref="K86:K87"/>
    <mergeCell ref="AN86:AN87"/>
    <mergeCell ref="AQ86:AQ87"/>
    <mergeCell ref="AR86:AR87"/>
    <mergeCell ref="AK86:AK87"/>
    <mergeCell ref="AL86:AL87"/>
    <mergeCell ref="AM86:AM87"/>
    <mergeCell ref="L86:L87"/>
    <mergeCell ref="M86:M87"/>
    <mergeCell ref="AD86:AD87"/>
    <mergeCell ref="AE86:AE87"/>
    <mergeCell ref="A88:A89"/>
    <mergeCell ref="B88:B89"/>
    <mergeCell ref="C88:C89"/>
    <mergeCell ref="D88:D89"/>
    <mergeCell ref="E88:E89"/>
    <mergeCell ref="F88:F89"/>
    <mergeCell ref="G88:G89"/>
    <mergeCell ref="AH86:AH87"/>
    <mergeCell ref="AI86:AI87"/>
    <mergeCell ref="AJ86:AJ87"/>
    <mergeCell ref="AA86:AA87"/>
    <mergeCell ref="AG88:AG89"/>
    <mergeCell ref="H88:H89"/>
    <mergeCell ref="J88:J89"/>
    <mergeCell ref="K88:K89"/>
    <mergeCell ref="L88:L89"/>
    <mergeCell ref="M88:M89"/>
    <mergeCell ref="AA88:AA89"/>
    <mergeCell ref="AB88:AB89"/>
    <mergeCell ref="AC88:AC89"/>
    <mergeCell ref="AD88:AD89"/>
    <mergeCell ref="AE88:AE89"/>
    <mergeCell ref="AF88:AF89"/>
    <mergeCell ref="AF86:AF87"/>
    <mergeCell ref="AB86:AB87"/>
    <mergeCell ref="AC86:AC87"/>
    <mergeCell ref="AN88:AN89"/>
    <mergeCell ref="AQ88:AQ89"/>
    <mergeCell ref="AR88:AR89"/>
    <mergeCell ref="AH88:AH89"/>
    <mergeCell ref="AI88:AI89"/>
    <mergeCell ref="AJ88:AJ89"/>
    <mergeCell ref="AK88:AK89"/>
    <mergeCell ref="AL88:AL89"/>
    <mergeCell ref="AM88:AM89"/>
  </mergeCells>
  <pageMargins left="0.39370078740157483" right="0.39370078740157483" top="0.39370078740157483" bottom="0.39370078740157483" header="0" footer="0"/>
  <pageSetup paperSize="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1"/>
  <sheetViews>
    <sheetView topLeftCell="D1" workbookViewId="0">
      <selection activeCell="D4" sqref="D4"/>
    </sheetView>
  </sheetViews>
  <sheetFormatPr defaultRowHeight="12.75"/>
  <cols>
    <col min="1" max="1" width="12" style="581" customWidth="1"/>
    <col min="2" max="7" width="9.140625" style="581"/>
    <col min="8" max="8" width="11.140625" style="622" bestFit="1" customWidth="1"/>
    <col min="9" max="9" width="10.140625" style="622" bestFit="1" customWidth="1"/>
    <col min="10" max="12" width="12.7109375" style="622" bestFit="1" customWidth="1"/>
    <col min="13" max="13" width="9.28515625" style="622" bestFit="1" customWidth="1"/>
    <col min="14" max="16384" width="9.140625" style="581"/>
  </cols>
  <sheetData>
    <row r="1" spans="1:15">
      <c r="A1" s="620" t="s">
        <v>12149</v>
      </c>
      <c r="B1" s="620" t="s">
        <v>7759</v>
      </c>
      <c r="C1" s="620" t="s">
        <v>12152</v>
      </c>
      <c r="D1" s="620" t="s">
        <v>12153</v>
      </c>
      <c r="E1" s="620" t="s">
        <v>12155</v>
      </c>
      <c r="F1" s="620" t="s">
        <v>12156</v>
      </c>
      <c r="G1" s="620" t="s">
        <v>12161</v>
      </c>
      <c r="H1" s="621" t="s">
        <v>12168</v>
      </c>
      <c r="I1" s="621" t="s">
        <v>12171</v>
      </c>
      <c r="J1" s="621" t="s">
        <v>12172</v>
      </c>
      <c r="K1" s="621" t="s">
        <v>12173</v>
      </c>
      <c r="L1" s="621" t="s">
        <v>12175</v>
      </c>
      <c r="M1" s="621" t="s">
        <v>12176</v>
      </c>
      <c r="N1" s="620" t="s">
        <v>12182</v>
      </c>
      <c r="O1" s="620" t="s">
        <v>12183</v>
      </c>
    </row>
    <row r="2" spans="1:15">
      <c r="A2" s="620" t="s">
        <v>12192</v>
      </c>
      <c r="B2" s="620" t="s">
        <v>12194</v>
      </c>
      <c r="C2" s="620" t="s">
        <v>9735</v>
      </c>
      <c r="D2" s="620" t="s">
        <v>12195</v>
      </c>
      <c r="E2" s="620" t="s">
        <v>12196</v>
      </c>
      <c r="F2" s="620" t="s">
        <v>335</v>
      </c>
      <c r="G2" s="620">
        <v>5120</v>
      </c>
      <c r="H2" s="621">
        <v>12620000</v>
      </c>
      <c r="I2" s="621">
        <v>1262000</v>
      </c>
      <c r="J2" s="621">
        <v>13882000</v>
      </c>
      <c r="K2" s="621">
        <v>0</v>
      </c>
      <c r="L2" s="621">
        <v>13882000</v>
      </c>
      <c r="M2" s="621">
        <v>460</v>
      </c>
      <c r="N2" s="620" t="s">
        <v>12202</v>
      </c>
      <c r="O2" s="620" t="s">
        <v>12203</v>
      </c>
    </row>
    <row r="3" spans="1:15">
      <c r="A3" s="620" t="s">
        <v>12211</v>
      </c>
      <c r="B3" s="620" t="s">
        <v>12213</v>
      </c>
      <c r="C3" s="620" t="s">
        <v>9735</v>
      </c>
      <c r="D3" s="620" t="s">
        <v>12079</v>
      </c>
      <c r="E3" s="620" t="s">
        <v>12214</v>
      </c>
      <c r="F3" s="620" t="s">
        <v>335</v>
      </c>
      <c r="G3" s="620">
        <v>1024</v>
      </c>
      <c r="H3" s="621">
        <v>6420000</v>
      </c>
      <c r="I3" s="621">
        <v>642000</v>
      </c>
      <c r="J3" s="621">
        <v>7062000</v>
      </c>
      <c r="K3" s="621">
        <v>0</v>
      </c>
      <c r="L3" s="621">
        <v>7062000</v>
      </c>
      <c r="M3" s="621">
        <v>3</v>
      </c>
      <c r="N3" s="620" t="s">
        <v>12202</v>
      </c>
      <c r="O3" s="620" t="s">
        <v>12203</v>
      </c>
    </row>
    <row r="4" spans="1:15">
      <c r="A4" s="620" t="s">
        <v>12211</v>
      </c>
      <c r="B4" s="620" t="s">
        <v>12223</v>
      </c>
      <c r="C4" s="620" t="s">
        <v>9735</v>
      </c>
      <c r="D4" s="620" t="s">
        <v>12224</v>
      </c>
      <c r="E4" s="620" t="s">
        <v>12225</v>
      </c>
      <c r="F4" s="620" t="s">
        <v>335</v>
      </c>
      <c r="G4" s="620">
        <v>512</v>
      </c>
      <c r="H4" s="621">
        <v>2260000</v>
      </c>
      <c r="I4" s="621">
        <v>226000</v>
      </c>
      <c r="J4" s="621">
        <v>2486000</v>
      </c>
      <c r="K4" s="621">
        <v>0</v>
      </c>
      <c r="L4" s="621">
        <v>2486000</v>
      </c>
      <c r="M4" s="621">
        <v>57</v>
      </c>
      <c r="N4" s="620" t="s">
        <v>12202</v>
      </c>
      <c r="O4" s="620" t="s">
        <v>12203</v>
      </c>
    </row>
    <row r="5" spans="1:15">
      <c r="A5" s="620" t="s">
        <v>12211</v>
      </c>
      <c r="B5" s="620" t="s">
        <v>12235</v>
      </c>
      <c r="C5" s="620" t="s">
        <v>9735</v>
      </c>
      <c r="D5" s="620" t="s">
        <v>12236</v>
      </c>
      <c r="E5" s="620" t="s">
        <v>12214</v>
      </c>
      <c r="F5" s="620" t="s">
        <v>335</v>
      </c>
      <c r="G5" s="620">
        <v>1024</v>
      </c>
      <c r="H5" s="621">
        <v>4500000</v>
      </c>
      <c r="I5" s="621">
        <v>450000</v>
      </c>
      <c r="J5" s="621">
        <v>4950000</v>
      </c>
      <c r="K5" s="621">
        <v>0</v>
      </c>
      <c r="L5" s="621">
        <v>4950000</v>
      </c>
      <c r="M5" s="621">
        <v>736</v>
      </c>
      <c r="N5" s="620" t="s">
        <v>12202</v>
      </c>
      <c r="O5" s="620" t="s">
        <v>12203</v>
      </c>
    </row>
    <row r="6" spans="1:15">
      <c r="A6" s="620" t="s">
        <v>12211</v>
      </c>
      <c r="B6" s="620" t="s">
        <v>12244</v>
      </c>
      <c r="C6" s="620" t="s">
        <v>9735</v>
      </c>
      <c r="D6" s="620" t="s">
        <v>12245</v>
      </c>
      <c r="E6" s="620" t="s">
        <v>12225</v>
      </c>
      <c r="F6" s="620" t="s">
        <v>335</v>
      </c>
      <c r="G6" s="620">
        <v>512</v>
      </c>
      <c r="H6" s="621">
        <v>2260000</v>
      </c>
      <c r="I6" s="621">
        <v>226000</v>
      </c>
      <c r="J6" s="621">
        <v>2486000</v>
      </c>
      <c r="K6" s="621">
        <v>0</v>
      </c>
      <c r="L6" s="621">
        <v>2486000</v>
      </c>
      <c r="M6" s="621">
        <v>960</v>
      </c>
      <c r="N6" s="620" t="s">
        <v>12202</v>
      </c>
      <c r="O6" s="620" t="s">
        <v>12203</v>
      </c>
    </row>
    <row r="7" spans="1:15">
      <c r="A7" s="620" t="s">
        <v>12211</v>
      </c>
      <c r="B7" s="620" t="s">
        <v>12254</v>
      </c>
      <c r="C7" s="620" t="s">
        <v>9735</v>
      </c>
      <c r="D7" s="620" t="s">
        <v>565</v>
      </c>
      <c r="E7" s="620" t="s">
        <v>12255</v>
      </c>
      <c r="F7" s="620" t="s">
        <v>335</v>
      </c>
      <c r="G7" s="620">
        <v>2048</v>
      </c>
      <c r="H7" s="621">
        <v>7860000</v>
      </c>
      <c r="I7" s="621">
        <v>786000</v>
      </c>
      <c r="J7" s="621">
        <v>8646000</v>
      </c>
      <c r="K7" s="621">
        <v>0</v>
      </c>
      <c r="L7" s="621">
        <v>8646000</v>
      </c>
      <c r="M7" s="621">
        <v>638</v>
      </c>
      <c r="N7" s="620" t="s">
        <v>12202</v>
      </c>
      <c r="O7" s="620" t="s">
        <v>12203</v>
      </c>
    </row>
    <row r="8" spans="1:15">
      <c r="A8" s="620" t="s">
        <v>12211</v>
      </c>
      <c r="B8" s="620" t="s">
        <v>12264</v>
      </c>
      <c r="C8" s="620" t="s">
        <v>9735</v>
      </c>
      <c r="D8" s="620" t="s">
        <v>12265</v>
      </c>
      <c r="E8" s="620" t="s">
        <v>12225</v>
      </c>
      <c r="F8" s="620" t="s">
        <v>335</v>
      </c>
      <c r="G8" s="620">
        <v>512</v>
      </c>
      <c r="H8" s="621">
        <v>2260000</v>
      </c>
      <c r="I8" s="621">
        <v>226000</v>
      </c>
      <c r="J8" s="621">
        <v>2486000</v>
      </c>
      <c r="K8" s="621">
        <v>0</v>
      </c>
      <c r="L8" s="621">
        <v>2486000</v>
      </c>
      <c r="M8" s="621">
        <v>835</v>
      </c>
      <c r="N8" s="620" t="s">
        <v>12202</v>
      </c>
      <c r="O8" s="620" t="s">
        <v>12203</v>
      </c>
    </row>
    <row r="9" spans="1:15">
      <c r="A9" s="620" t="s">
        <v>12211</v>
      </c>
      <c r="B9" s="620" t="s">
        <v>12272</v>
      </c>
      <c r="C9" s="620" t="s">
        <v>9735</v>
      </c>
      <c r="D9" s="620" t="s">
        <v>12273</v>
      </c>
      <c r="E9" s="620" t="s">
        <v>12225</v>
      </c>
      <c r="F9" s="620" t="s">
        <v>335</v>
      </c>
      <c r="G9" s="620">
        <v>512</v>
      </c>
      <c r="H9" s="621">
        <v>3220000</v>
      </c>
      <c r="I9" s="621">
        <v>322000</v>
      </c>
      <c r="J9" s="621">
        <v>3542000</v>
      </c>
      <c r="K9" s="621">
        <v>0</v>
      </c>
      <c r="L9" s="621">
        <v>3542000</v>
      </c>
      <c r="M9" s="621">
        <v>508</v>
      </c>
      <c r="N9" s="620" t="s">
        <v>12202</v>
      </c>
      <c r="O9" s="620" t="s">
        <v>12203</v>
      </c>
    </row>
    <row r="10" spans="1:15">
      <c r="A10" s="620" t="s">
        <v>12211</v>
      </c>
      <c r="B10" s="620" t="s">
        <v>12282</v>
      </c>
      <c r="C10" s="620" t="s">
        <v>9735</v>
      </c>
      <c r="D10" s="620" t="s">
        <v>12283</v>
      </c>
      <c r="E10" s="620" t="s">
        <v>12214</v>
      </c>
      <c r="F10" s="620" t="s">
        <v>335</v>
      </c>
      <c r="G10" s="620">
        <v>1024</v>
      </c>
      <c r="H10" s="621">
        <v>6420000</v>
      </c>
      <c r="I10" s="621">
        <v>642000</v>
      </c>
      <c r="J10" s="621">
        <v>7062000</v>
      </c>
      <c r="K10" s="621">
        <v>0</v>
      </c>
      <c r="L10" s="621">
        <v>7062000</v>
      </c>
      <c r="M10" s="621">
        <v>877</v>
      </c>
      <c r="N10" s="620" t="s">
        <v>12202</v>
      </c>
      <c r="O10" s="620" t="s">
        <v>12203</v>
      </c>
    </row>
    <row r="11" spans="1:15">
      <c r="A11" s="620" t="s">
        <v>12211</v>
      </c>
      <c r="B11" s="620" t="s">
        <v>12291</v>
      </c>
      <c r="C11" s="620" t="s">
        <v>9735</v>
      </c>
      <c r="D11" s="620" t="s">
        <v>12292</v>
      </c>
      <c r="E11" s="620" t="s">
        <v>12225</v>
      </c>
      <c r="F11" s="620" t="s">
        <v>335</v>
      </c>
      <c r="G11" s="620">
        <v>512</v>
      </c>
      <c r="H11" s="621">
        <v>2260000</v>
      </c>
      <c r="I11" s="621">
        <v>226000</v>
      </c>
      <c r="J11" s="621">
        <v>2486000</v>
      </c>
      <c r="K11" s="621">
        <v>0</v>
      </c>
      <c r="L11" s="621">
        <v>2486000</v>
      </c>
      <c r="M11" s="621">
        <v>733</v>
      </c>
      <c r="N11" s="620" t="s">
        <v>12202</v>
      </c>
      <c r="O11" s="620" t="s">
        <v>12203</v>
      </c>
    </row>
    <row r="12" spans="1:15">
      <c r="A12" s="620" t="s">
        <v>12211</v>
      </c>
      <c r="B12" s="620" t="s">
        <v>12300</v>
      </c>
      <c r="C12" s="620" t="s">
        <v>9735</v>
      </c>
      <c r="D12" s="620" t="s">
        <v>12301</v>
      </c>
      <c r="E12" s="620" t="s">
        <v>12225</v>
      </c>
      <c r="F12" s="620" t="s">
        <v>335</v>
      </c>
      <c r="G12" s="620">
        <v>512</v>
      </c>
      <c r="H12" s="621">
        <v>2260000</v>
      </c>
      <c r="I12" s="621">
        <v>226000</v>
      </c>
      <c r="J12" s="621">
        <v>2486000</v>
      </c>
      <c r="K12" s="621">
        <v>0</v>
      </c>
      <c r="L12" s="621">
        <v>2486000</v>
      </c>
      <c r="M12" s="621">
        <v>260</v>
      </c>
      <c r="N12" s="620" t="s">
        <v>12202</v>
      </c>
      <c r="O12" s="620" t="s">
        <v>12203</v>
      </c>
    </row>
    <row r="13" spans="1:15">
      <c r="A13" s="620" t="s">
        <v>12211</v>
      </c>
      <c r="B13" s="620" t="s">
        <v>12308</v>
      </c>
      <c r="C13" s="620" t="s">
        <v>9735</v>
      </c>
      <c r="D13" s="620" t="s">
        <v>12309</v>
      </c>
      <c r="E13" s="620" t="s">
        <v>12225</v>
      </c>
      <c r="F13" s="620" t="s">
        <v>335</v>
      </c>
      <c r="G13" s="620">
        <v>512</v>
      </c>
      <c r="H13" s="621">
        <v>2260000</v>
      </c>
      <c r="I13" s="621">
        <v>226000</v>
      </c>
      <c r="J13" s="621">
        <v>2486000</v>
      </c>
      <c r="K13" s="621">
        <v>0</v>
      </c>
      <c r="L13" s="621">
        <v>2486000</v>
      </c>
      <c r="M13" s="621">
        <v>860</v>
      </c>
      <c r="N13" s="620" t="s">
        <v>12202</v>
      </c>
      <c r="O13" s="620" t="s">
        <v>12203</v>
      </c>
    </row>
    <row r="14" spans="1:15">
      <c r="A14" s="620" t="s">
        <v>12211</v>
      </c>
      <c r="B14" s="620" t="s">
        <v>12317</v>
      </c>
      <c r="C14" s="620" t="s">
        <v>9735</v>
      </c>
      <c r="D14" s="620" t="s">
        <v>12318</v>
      </c>
      <c r="E14" s="620" t="s">
        <v>12225</v>
      </c>
      <c r="F14" s="620" t="s">
        <v>335</v>
      </c>
      <c r="G14" s="620">
        <v>512</v>
      </c>
      <c r="H14" s="621">
        <v>2260000</v>
      </c>
      <c r="I14" s="621">
        <v>226000</v>
      </c>
      <c r="J14" s="621">
        <v>2486000</v>
      </c>
      <c r="K14" s="621">
        <v>0</v>
      </c>
      <c r="L14" s="621">
        <v>2486000</v>
      </c>
      <c r="M14" s="621">
        <v>232</v>
      </c>
      <c r="N14" s="620" t="s">
        <v>12202</v>
      </c>
      <c r="O14" s="620" t="s">
        <v>12203</v>
      </c>
    </row>
    <row r="15" spans="1:15">
      <c r="A15" s="620" t="s">
        <v>12211</v>
      </c>
      <c r="B15" s="620" t="s">
        <v>12326</v>
      </c>
      <c r="C15" s="620" t="s">
        <v>9735</v>
      </c>
      <c r="D15" s="620" t="s">
        <v>12327</v>
      </c>
      <c r="E15" s="620" t="s">
        <v>12225</v>
      </c>
      <c r="F15" s="620" t="s">
        <v>335</v>
      </c>
      <c r="G15" s="620">
        <v>512</v>
      </c>
      <c r="H15" s="621">
        <v>2260000</v>
      </c>
      <c r="I15" s="621">
        <v>226000</v>
      </c>
      <c r="J15" s="621">
        <v>2486000</v>
      </c>
      <c r="K15" s="621">
        <v>0</v>
      </c>
      <c r="L15" s="621">
        <v>2486000</v>
      </c>
      <c r="M15" s="621">
        <v>214</v>
      </c>
      <c r="N15" s="620" t="s">
        <v>12202</v>
      </c>
      <c r="O15" s="620" t="s">
        <v>12203</v>
      </c>
    </row>
    <row r="16" spans="1:15">
      <c r="A16" s="620" t="s">
        <v>12211</v>
      </c>
      <c r="B16" s="620" t="s">
        <v>12335</v>
      </c>
      <c r="C16" s="620" t="s">
        <v>9735</v>
      </c>
      <c r="D16" s="620" t="s">
        <v>693</v>
      </c>
      <c r="E16" s="620" t="s">
        <v>12225</v>
      </c>
      <c r="F16" s="620" t="s">
        <v>335</v>
      </c>
      <c r="G16" s="620">
        <v>512</v>
      </c>
      <c r="H16" s="621">
        <v>2260000</v>
      </c>
      <c r="I16" s="621">
        <v>226000</v>
      </c>
      <c r="J16" s="621">
        <v>2486000</v>
      </c>
      <c r="K16" s="621">
        <v>0</v>
      </c>
      <c r="L16" s="621">
        <v>2486000</v>
      </c>
      <c r="M16" s="621">
        <v>463</v>
      </c>
      <c r="N16" s="620" t="s">
        <v>12202</v>
      </c>
      <c r="O16" s="620" t="s">
        <v>12203</v>
      </c>
    </row>
    <row r="17" spans="1:15">
      <c r="A17" s="620" t="s">
        <v>12211</v>
      </c>
      <c r="B17" s="620" t="s">
        <v>12341</v>
      </c>
      <c r="C17" s="620" t="s">
        <v>9735</v>
      </c>
      <c r="D17" s="620" t="s">
        <v>12342</v>
      </c>
      <c r="E17" s="620" t="s">
        <v>12214</v>
      </c>
      <c r="F17" s="620" t="s">
        <v>335</v>
      </c>
      <c r="G17" s="620">
        <v>1024</v>
      </c>
      <c r="H17" s="621">
        <v>6420000</v>
      </c>
      <c r="I17" s="621">
        <v>642000</v>
      </c>
      <c r="J17" s="621">
        <v>7062000</v>
      </c>
      <c r="K17" s="621">
        <v>0</v>
      </c>
      <c r="L17" s="621">
        <v>7062000</v>
      </c>
      <c r="M17" s="621">
        <v>537</v>
      </c>
      <c r="N17" s="620" t="s">
        <v>12202</v>
      </c>
      <c r="O17" s="620" t="s">
        <v>12203</v>
      </c>
    </row>
    <row r="18" spans="1:15">
      <c r="A18" s="620" t="s">
        <v>12211</v>
      </c>
      <c r="B18" s="620" t="s">
        <v>12349</v>
      </c>
      <c r="C18" s="620" t="s">
        <v>9735</v>
      </c>
      <c r="D18" s="620" t="s">
        <v>12350</v>
      </c>
      <c r="E18" s="620" t="s">
        <v>12225</v>
      </c>
      <c r="F18" s="620" t="s">
        <v>335</v>
      </c>
      <c r="G18" s="620">
        <v>512</v>
      </c>
      <c r="H18" s="621">
        <v>2260000</v>
      </c>
      <c r="I18" s="621">
        <v>226000</v>
      </c>
      <c r="J18" s="621">
        <v>2486000</v>
      </c>
      <c r="K18" s="621">
        <v>0</v>
      </c>
      <c r="L18" s="621">
        <v>2486000</v>
      </c>
      <c r="M18" s="621">
        <v>29</v>
      </c>
      <c r="N18" s="620" t="s">
        <v>12202</v>
      </c>
      <c r="O18" s="620" t="s">
        <v>12203</v>
      </c>
    </row>
    <row r="19" spans="1:15">
      <c r="A19" s="620" t="s">
        <v>12211</v>
      </c>
      <c r="B19" s="620" t="s">
        <v>12357</v>
      </c>
      <c r="C19" s="620" t="s">
        <v>9735</v>
      </c>
      <c r="D19" s="620" t="s">
        <v>12358</v>
      </c>
      <c r="E19" s="620" t="s">
        <v>12225</v>
      </c>
      <c r="F19" s="620" t="s">
        <v>335</v>
      </c>
      <c r="G19" s="620">
        <v>512</v>
      </c>
      <c r="H19" s="621">
        <v>2260000</v>
      </c>
      <c r="I19" s="621">
        <v>226000</v>
      </c>
      <c r="J19" s="621">
        <v>2486000</v>
      </c>
      <c r="K19" s="621">
        <v>0</v>
      </c>
      <c r="L19" s="621">
        <v>2486000</v>
      </c>
      <c r="M19" s="621">
        <v>384</v>
      </c>
      <c r="N19" s="620" t="s">
        <v>12202</v>
      </c>
      <c r="O19" s="620" t="s">
        <v>12203</v>
      </c>
    </row>
    <row r="20" spans="1:15">
      <c r="A20" s="620" t="s">
        <v>12211</v>
      </c>
      <c r="B20" s="620" t="s">
        <v>12366</v>
      </c>
      <c r="C20" s="620" t="s">
        <v>9735</v>
      </c>
      <c r="D20" s="620" t="s">
        <v>12367</v>
      </c>
      <c r="E20" s="620" t="s">
        <v>12255</v>
      </c>
      <c r="F20" s="620" t="s">
        <v>335</v>
      </c>
      <c r="G20" s="620">
        <v>2048</v>
      </c>
      <c r="H20" s="621">
        <v>7860000</v>
      </c>
      <c r="I20" s="621">
        <v>786000</v>
      </c>
      <c r="J20" s="621">
        <v>8646000</v>
      </c>
      <c r="K20" s="621">
        <v>0</v>
      </c>
      <c r="L20" s="621">
        <v>8646000</v>
      </c>
      <c r="M20" s="621">
        <v>499</v>
      </c>
      <c r="N20" s="620" t="s">
        <v>12202</v>
      </c>
      <c r="O20" s="620" t="s">
        <v>12203</v>
      </c>
    </row>
    <row r="21" spans="1:15">
      <c r="A21" s="620" t="s">
        <v>12211</v>
      </c>
      <c r="B21" s="620" t="s">
        <v>12374</v>
      </c>
      <c r="C21" s="620" t="s">
        <v>9735</v>
      </c>
      <c r="D21" s="620" t="s">
        <v>12375</v>
      </c>
      <c r="E21" s="620" t="s">
        <v>12214</v>
      </c>
      <c r="F21" s="620" t="s">
        <v>335</v>
      </c>
      <c r="G21" s="620">
        <v>1024</v>
      </c>
      <c r="H21" s="621">
        <v>4500000</v>
      </c>
      <c r="I21" s="621">
        <v>450000</v>
      </c>
      <c r="J21" s="621">
        <v>4950000</v>
      </c>
      <c r="K21" s="621">
        <v>0</v>
      </c>
      <c r="L21" s="621">
        <v>4950000</v>
      </c>
      <c r="M21" s="621">
        <v>751</v>
      </c>
      <c r="N21" s="620" t="s">
        <v>12202</v>
      </c>
      <c r="O21" s="620" t="s">
        <v>12203</v>
      </c>
    </row>
    <row r="22" spans="1:15">
      <c r="A22" s="620" t="s">
        <v>12211</v>
      </c>
      <c r="B22" s="620" t="s">
        <v>12382</v>
      </c>
      <c r="C22" s="620" t="s">
        <v>9735</v>
      </c>
      <c r="D22" s="620" t="s">
        <v>12383</v>
      </c>
      <c r="E22" s="620" t="s">
        <v>12214</v>
      </c>
      <c r="F22" s="620" t="s">
        <v>335</v>
      </c>
      <c r="G22" s="620">
        <v>1024</v>
      </c>
      <c r="H22" s="621">
        <v>4500000</v>
      </c>
      <c r="I22" s="621">
        <v>450000</v>
      </c>
      <c r="J22" s="621">
        <v>4950000</v>
      </c>
      <c r="K22" s="621">
        <v>0</v>
      </c>
      <c r="L22" s="621">
        <v>4950000</v>
      </c>
      <c r="M22" s="621">
        <v>182</v>
      </c>
      <c r="N22" s="620" t="s">
        <v>12202</v>
      </c>
      <c r="O22" s="620" t="s">
        <v>12203</v>
      </c>
    </row>
    <row r="23" spans="1:15">
      <c r="A23" s="620" t="s">
        <v>12211</v>
      </c>
      <c r="B23" s="620" t="s">
        <v>451</v>
      </c>
      <c r="C23" s="620" t="s">
        <v>9735</v>
      </c>
      <c r="D23" s="620" t="s">
        <v>12391</v>
      </c>
      <c r="E23" s="620" t="s">
        <v>12225</v>
      </c>
      <c r="F23" s="620" t="s">
        <v>335</v>
      </c>
      <c r="G23" s="620">
        <v>512</v>
      </c>
      <c r="H23" s="621">
        <v>3220000</v>
      </c>
      <c r="I23" s="621">
        <v>322000</v>
      </c>
      <c r="J23" s="621">
        <v>3542000</v>
      </c>
      <c r="K23" s="621">
        <v>0</v>
      </c>
      <c r="L23" s="621">
        <v>3542000</v>
      </c>
      <c r="M23" s="621">
        <v>294</v>
      </c>
      <c r="N23" s="620" t="s">
        <v>12202</v>
      </c>
      <c r="O23" s="620" t="s">
        <v>12203</v>
      </c>
    </row>
    <row r="24" spans="1:15">
      <c r="A24" s="620" t="s">
        <v>12211</v>
      </c>
      <c r="B24" s="620" t="s">
        <v>12398</v>
      </c>
      <c r="C24" s="620" t="s">
        <v>9735</v>
      </c>
      <c r="D24" s="620" t="s">
        <v>12399</v>
      </c>
      <c r="E24" s="620" t="s">
        <v>12225</v>
      </c>
      <c r="F24" s="620" t="s">
        <v>335</v>
      </c>
      <c r="G24" s="620">
        <v>512</v>
      </c>
      <c r="H24" s="621">
        <v>2260000</v>
      </c>
      <c r="I24" s="621">
        <v>226000</v>
      </c>
      <c r="J24" s="621">
        <v>2486000</v>
      </c>
      <c r="K24" s="621">
        <v>0</v>
      </c>
      <c r="L24" s="621">
        <v>2486000</v>
      </c>
      <c r="M24" s="621">
        <v>282</v>
      </c>
      <c r="N24" s="620" t="s">
        <v>12202</v>
      </c>
      <c r="O24" s="620" t="s">
        <v>12203</v>
      </c>
    </row>
    <row r="25" spans="1:15">
      <c r="A25" s="620" t="s">
        <v>12211</v>
      </c>
      <c r="B25" s="620" t="s">
        <v>12407</v>
      </c>
      <c r="C25" s="620" t="s">
        <v>9735</v>
      </c>
      <c r="D25" s="620" t="s">
        <v>12408</v>
      </c>
      <c r="E25" s="620" t="s">
        <v>12214</v>
      </c>
      <c r="F25" s="620" t="s">
        <v>335</v>
      </c>
      <c r="G25" s="620">
        <v>1024</v>
      </c>
      <c r="H25" s="621">
        <v>4500000</v>
      </c>
      <c r="I25" s="621">
        <v>450000</v>
      </c>
      <c r="J25" s="621">
        <v>4950000</v>
      </c>
      <c r="K25" s="621">
        <v>0</v>
      </c>
      <c r="L25" s="621">
        <v>4950000</v>
      </c>
      <c r="M25" s="621">
        <v>680</v>
      </c>
      <c r="N25" s="620" t="s">
        <v>12202</v>
      </c>
      <c r="O25" s="620" t="s">
        <v>12203</v>
      </c>
    </row>
    <row r="26" spans="1:15">
      <c r="A26" s="620" t="s">
        <v>12211</v>
      </c>
      <c r="B26" s="620" t="s">
        <v>12417</v>
      </c>
      <c r="C26" s="620" t="s">
        <v>9735</v>
      </c>
      <c r="D26" s="620" t="s">
        <v>12418</v>
      </c>
      <c r="E26" s="620" t="s">
        <v>12225</v>
      </c>
      <c r="F26" s="620" t="s">
        <v>335</v>
      </c>
      <c r="G26" s="620">
        <v>512</v>
      </c>
      <c r="H26" s="621">
        <v>2260000</v>
      </c>
      <c r="I26" s="621">
        <v>226000</v>
      </c>
      <c r="J26" s="621">
        <v>2486000</v>
      </c>
      <c r="K26" s="621">
        <v>0</v>
      </c>
      <c r="L26" s="621">
        <v>2486000</v>
      </c>
      <c r="M26" s="621">
        <v>157</v>
      </c>
      <c r="N26" s="620" t="s">
        <v>12202</v>
      </c>
      <c r="O26" s="620" t="s">
        <v>12203</v>
      </c>
    </row>
    <row r="27" spans="1:15">
      <c r="A27" s="620" t="s">
        <v>12211</v>
      </c>
      <c r="B27" s="620"/>
      <c r="C27" s="620" t="s">
        <v>9735</v>
      </c>
      <c r="D27" s="620" t="s">
        <v>11064</v>
      </c>
      <c r="E27" s="620" t="s">
        <v>12214</v>
      </c>
      <c r="F27" s="620" t="s">
        <v>107</v>
      </c>
      <c r="G27" s="620">
        <v>1024</v>
      </c>
      <c r="H27" s="621">
        <v>10420000</v>
      </c>
      <c r="I27" s="621">
        <v>1042000</v>
      </c>
      <c r="J27" s="621">
        <v>11462000</v>
      </c>
      <c r="K27" s="621">
        <v>0</v>
      </c>
      <c r="L27" s="621">
        <v>11462000</v>
      </c>
      <c r="M27" s="621">
        <v>957</v>
      </c>
      <c r="N27" s="620" t="s">
        <v>12202</v>
      </c>
      <c r="O27" s="620" t="s">
        <v>12203</v>
      </c>
    </row>
    <row r="28" spans="1:15">
      <c r="A28" s="620" t="s">
        <v>12211</v>
      </c>
      <c r="B28" s="620" t="s">
        <v>12433</v>
      </c>
      <c r="C28" s="620" t="s">
        <v>9735</v>
      </c>
      <c r="D28" s="620" t="s">
        <v>805</v>
      </c>
      <c r="E28" s="620" t="s">
        <v>12214</v>
      </c>
      <c r="F28" s="620" t="s">
        <v>335</v>
      </c>
      <c r="G28" s="620">
        <v>1024</v>
      </c>
      <c r="H28" s="621">
        <v>4500000</v>
      </c>
      <c r="I28" s="621">
        <v>450000</v>
      </c>
      <c r="J28" s="621">
        <v>4950000</v>
      </c>
      <c r="K28" s="621">
        <v>0</v>
      </c>
      <c r="L28" s="621">
        <v>4950000</v>
      </c>
      <c r="M28" s="621">
        <v>957</v>
      </c>
      <c r="N28" s="620" t="s">
        <v>12202</v>
      </c>
      <c r="O28" s="620" t="s">
        <v>12203</v>
      </c>
    </row>
    <row r="29" spans="1:15">
      <c r="A29" s="620" t="s">
        <v>12211</v>
      </c>
      <c r="B29" s="620" t="s">
        <v>12441</v>
      </c>
      <c r="C29" s="620" t="s">
        <v>9735</v>
      </c>
      <c r="D29" s="620" t="s">
        <v>12143</v>
      </c>
      <c r="E29" s="620" t="s">
        <v>12214</v>
      </c>
      <c r="F29" s="620" t="s">
        <v>335</v>
      </c>
      <c r="G29" s="620">
        <v>1024</v>
      </c>
      <c r="H29" s="621">
        <v>4500000</v>
      </c>
      <c r="I29" s="621">
        <v>450000</v>
      </c>
      <c r="J29" s="621">
        <v>4950000</v>
      </c>
      <c r="K29" s="621">
        <v>0</v>
      </c>
      <c r="L29" s="621">
        <v>4950000</v>
      </c>
      <c r="M29" s="621">
        <v>110</v>
      </c>
      <c r="N29" s="620" t="s">
        <v>12202</v>
      </c>
      <c r="O29" s="620" t="s">
        <v>12203</v>
      </c>
    </row>
    <row r="30" spans="1:15">
      <c r="A30" s="620" t="s">
        <v>12211</v>
      </c>
      <c r="B30" s="620"/>
      <c r="C30" s="620" t="s">
        <v>9735</v>
      </c>
      <c r="D30" s="620" t="s">
        <v>12448</v>
      </c>
      <c r="E30" s="620" t="s">
        <v>12214</v>
      </c>
      <c r="F30" s="620" t="s">
        <v>107</v>
      </c>
      <c r="G30" s="620">
        <v>1024</v>
      </c>
      <c r="H30" s="621">
        <v>10420000</v>
      </c>
      <c r="I30" s="621">
        <v>1042000</v>
      </c>
      <c r="J30" s="621">
        <v>11462000</v>
      </c>
      <c r="K30" s="621">
        <v>0</v>
      </c>
      <c r="L30" s="621">
        <v>11462000</v>
      </c>
      <c r="M30" s="621">
        <v>463</v>
      </c>
      <c r="N30" s="620" t="s">
        <v>12202</v>
      </c>
      <c r="O30" s="620" t="s">
        <v>12203</v>
      </c>
    </row>
    <row r="31" spans="1:15">
      <c r="A31" s="620" t="s">
        <v>12211</v>
      </c>
      <c r="B31" s="620"/>
      <c r="C31" s="620" t="s">
        <v>9735</v>
      </c>
      <c r="D31" s="620" t="s">
        <v>609</v>
      </c>
      <c r="E31" s="620" t="s">
        <v>12214</v>
      </c>
      <c r="F31" s="620" t="s">
        <v>107</v>
      </c>
      <c r="G31" s="620">
        <v>1024</v>
      </c>
      <c r="H31" s="621">
        <v>10420000</v>
      </c>
      <c r="I31" s="621">
        <v>1042000</v>
      </c>
      <c r="J31" s="621">
        <v>11462000</v>
      </c>
      <c r="K31" s="621">
        <v>0</v>
      </c>
      <c r="L31" s="621">
        <v>11462000</v>
      </c>
      <c r="M31" s="621">
        <v>524</v>
      </c>
      <c r="N31" s="620" t="s">
        <v>12202</v>
      </c>
      <c r="O31" s="620" t="s">
        <v>12203</v>
      </c>
    </row>
    <row r="32" spans="1:15">
      <c r="A32" s="620" t="s">
        <v>12211</v>
      </c>
      <c r="B32" s="620"/>
      <c r="C32" s="620" t="s">
        <v>9735</v>
      </c>
      <c r="D32" s="620" t="s">
        <v>12464</v>
      </c>
      <c r="E32" s="620" t="s">
        <v>12214</v>
      </c>
      <c r="F32" s="620" t="s">
        <v>107</v>
      </c>
      <c r="G32" s="620">
        <v>1024</v>
      </c>
      <c r="H32" s="621">
        <v>10420000</v>
      </c>
      <c r="I32" s="621">
        <v>1042000</v>
      </c>
      <c r="J32" s="621">
        <v>11462000</v>
      </c>
      <c r="K32" s="621">
        <v>0</v>
      </c>
      <c r="L32" s="621">
        <v>11462000</v>
      </c>
      <c r="M32" s="621">
        <v>650</v>
      </c>
      <c r="N32" s="620" t="s">
        <v>12202</v>
      </c>
      <c r="O32" s="620" t="s">
        <v>12203</v>
      </c>
    </row>
    <row r="33" spans="1:15">
      <c r="A33" s="620" t="s">
        <v>12211</v>
      </c>
      <c r="B33" s="620"/>
      <c r="C33" s="620" t="s">
        <v>9735</v>
      </c>
      <c r="D33" s="620" t="s">
        <v>12473</v>
      </c>
      <c r="E33" s="620" t="s">
        <v>12214</v>
      </c>
      <c r="F33" s="620" t="s">
        <v>107</v>
      </c>
      <c r="G33" s="620">
        <v>1024</v>
      </c>
      <c r="H33" s="621">
        <v>10420000</v>
      </c>
      <c r="I33" s="621">
        <v>1042000</v>
      </c>
      <c r="J33" s="621">
        <v>11462000</v>
      </c>
      <c r="K33" s="621">
        <v>0</v>
      </c>
      <c r="L33" s="621">
        <v>11462000</v>
      </c>
      <c r="M33" s="621">
        <v>624</v>
      </c>
      <c r="N33" s="620" t="s">
        <v>12202</v>
      </c>
      <c r="O33" s="620" t="s">
        <v>12203</v>
      </c>
    </row>
    <row r="34" spans="1:15">
      <c r="A34" s="620" t="s">
        <v>12211</v>
      </c>
      <c r="B34" s="620"/>
      <c r="C34" s="620" t="s">
        <v>9735</v>
      </c>
      <c r="D34" s="620" t="s">
        <v>815</v>
      </c>
      <c r="E34" s="620" t="s">
        <v>12214</v>
      </c>
      <c r="F34" s="620" t="s">
        <v>107</v>
      </c>
      <c r="G34" s="620">
        <v>1024</v>
      </c>
      <c r="H34" s="621">
        <v>10420000</v>
      </c>
      <c r="I34" s="621">
        <v>1042000</v>
      </c>
      <c r="J34" s="621">
        <v>11462000</v>
      </c>
      <c r="K34" s="621">
        <v>0</v>
      </c>
      <c r="L34" s="621">
        <v>11462000</v>
      </c>
      <c r="M34" s="621">
        <v>866</v>
      </c>
      <c r="N34" s="620" t="s">
        <v>12202</v>
      </c>
      <c r="O34" s="620" t="s">
        <v>12203</v>
      </c>
    </row>
    <row r="35" spans="1:15">
      <c r="A35" s="620" t="s">
        <v>12211</v>
      </c>
      <c r="B35" s="620"/>
      <c r="C35" s="620" t="s">
        <v>9735</v>
      </c>
      <c r="D35" s="620" t="s">
        <v>12487</v>
      </c>
      <c r="E35" s="620" t="s">
        <v>12214</v>
      </c>
      <c r="F35" s="620" t="s">
        <v>107</v>
      </c>
      <c r="G35" s="620">
        <v>1024</v>
      </c>
      <c r="H35" s="621">
        <v>10420000</v>
      </c>
      <c r="I35" s="621">
        <v>1042000</v>
      </c>
      <c r="J35" s="621">
        <v>11462000</v>
      </c>
      <c r="K35" s="621">
        <v>0</v>
      </c>
      <c r="L35" s="621">
        <v>11462000</v>
      </c>
      <c r="M35" s="621">
        <v>89</v>
      </c>
      <c r="N35" s="620" t="s">
        <v>12202</v>
      </c>
      <c r="O35" s="620" t="s">
        <v>12203</v>
      </c>
    </row>
    <row r="36" spans="1:15">
      <c r="A36" s="620" t="s">
        <v>12211</v>
      </c>
      <c r="B36" s="620" t="s">
        <v>12495</v>
      </c>
      <c r="C36" s="620" t="s">
        <v>9735</v>
      </c>
      <c r="D36" s="620" t="s">
        <v>12496</v>
      </c>
      <c r="E36" s="620" t="s">
        <v>12225</v>
      </c>
      <c r="F36" s="620" t="s">
        <v>335</v>
      </c>
      <c r="G36" s="620">
        <v>512</v>
      </c>
      <c r="H36" s="621">
        <v>2260000</v>
      </c>
      <c r="I36" s="621">
        <v>226000</v>
      </c>
      <c r="J36" s="621">
        <v>2486000</v>
      </c>
      <c r="K36" s="621">
        <v>0</v>
      </c>
      <c r="L36" s="621">
        <v>2486000</v>
      </c>
      <c r="M36" s="621">
        <v>894</v>
      </c>
      <c r="N36" s="620" t="s">
        <v>12202</v>
      </c>
      <c r="O36" s="620" t="s">
        <v>12203</v>
      </c>
    </row>
    <row r="37" spans="1:15">
      <c r="A37" s="620" t="s">
        <v>12211</v>
      </c>
      <c r="B37" s="620" t="s">
        <v>12501</v>
      </c>
      <c r="C37" s="620" t="s">
        <v>9735</v>
      </c>
      <c r="D37" s="620" t="s">
        <v>811</v>
      </c>
      <c r="E37" s="620" t="s">
        <v>12225</v>
      </c>
      <c r="F37" s="620" t="s">
        <v>335</v>
      </c>
      <c r="G37" s="620">
        <v>512</v>
      </c>
      <c r="H37" s="621">
        <v>2260000</v>
      </c>
      <c r="I37" s="621">
        <v>226000</v>
      </c>
      <c r="J37" s="621">
        <v>2486000</v>
      </c>
      <c r="K37" s="621">
        <v>0</v>
      </c>
      <c r="L37" s="621">
        <v>2486000</v>
      </c>
      <c r="M37" s="621">
        <v>947</v>
      </c>
      <c r="N37" s="620" t="s">
        <v>12202</v>
      </c>
      <c r="O37" s="620" t="s">
        <v>12203</v>
      </c>
    </row>
    <row r="38" spans="1:15">
      <c r="A38" s="620" t="s">
        <v>12211</v>
      </c>
      <c r="B38" s="620" t="s">
        <v>12508</v>
      </c>
      <c r="C38" s="620" t="s">
        <v>9735</v>
      </c>
      <c r="D38" s="620" t="s">
        <v>12509</v>
      </c>
      <c r="E38" s="620" t="s">
        <v>12214</v>
      </c>
      <c r="F38" s="620" t="s">
        <v>335</v>
      </c>
      <c r="G38" s="620">
        <v>1024</v>
      </c>
      <c r="H38" s="621">
        <v>4500000</v>
      </c>
      <c r="I38" s="621">
        <v>450000</v>
      </c>
      <c r="J38" s="621">
        <v>4950000</v>
      </c>
      <c r="K38" s="621">
        <v>0</v>
      </c>
      <c r="L38" s="621">
        <v>4950000</v>
      </c>
      <c r="M38" s="621">
        <v>944</v>
      </c>
      <c r="N38" s="620" t="s">
        <v>12202</v>
      </c>
      <c r="O38" s="620" t="s">
        <v>12203</v>
      </c>
    </row>
    <row r="39" spans="1:15">
      <c r="A39" s="620" t="s">
        <v>12211</v>
      </c>
      <c r="B39" s="620"/>
      <c r="C39" s="620" t="s">
        <v>9735</v>
      </c>
      <c r="D39" s="620" t="s">
        <v>12518</v>
      </c>
      <c r="E39" s="620" t="s">
        <v>12214</v>
      </c>
      <c r="F39" s="620" t="s">
        <v>107</v>
      </c>
      <c r="G39" s="620">
        <v>1024</v>
      </c>
      <c r="H39" s="621">
        <v>10420000</v>
      </c>
      <c r="I39" s="621">
        <v>1042000</v>
      </c>
      <c r="J39" s="621">
        <v>11462000</v>
      </c>
      <c r="K39" s="621">
        <v>0</v>
      </c>
      <c r="L39" s="621">
        <v>11462000</v>
      </c>
      <c r="M39" s="621">
        <v>783</v>
      </c>
      <c r="N39" s="620" t="s">
        <v>12202</v>
      </c>
      <c r="O39" s="620" t="s">
        <v>12203</v>
      </c>
    </row>
    <row r="40" spans="1:15">
      <c r="A40" s="620" t="s">
        <v>12211</v>
      </c>
      <c r="B40" s="620"/>
      <c r="C40" s="620" t="s">
        <v>9735</v>
      </c>
      <c r="D40" s="620" t="s">
        <v>11468</v>
      </c>
      <c r="E40" s="620" t="s">
        <v>12214</v>
      </c>
      <c r="F40" s="620" t="s">
        <v>107</v>
      </c>
      <c r="G40" s="620">
        <v>1024</v>
      </c>
      <c r="H40" s="621">
        <v>10420000</v>
      </c>
      <c r="I40" s="621">
        <v>1042000</v>
      </c>
      <c r="J40" s="621">
        <v>11462000</v>
      </c>
      <c r="K40" s="621">
        <v>0</v>
      </c>
      <c r="L40" s="621">
        <v>11462000</v>
      </c>
      <c r="M40" s="621">
        <v>914</v>
      </c>
      <c r="N40" s="620" t="s">
        <v>12202</v>
      </c>
      <c r="O40" s="620" t="s">
        <v>12203</v>
      </c>
    </row>
    <row r="41" spans="1:15">
      <c r="A41" s="620" t="s">
        <v>12211</v>
      </c>
      <c r="B41" s="620"/>
      <c r="C41" s="620" t="s">
        <v>9735</v>
      </c>
      <c r="D41" s="620" t="s">
        <v>770</v>
      </c>
      <c r="E41" s="620" t="s">
        <v>12214</v>
      </c>
      <c r="F41" s="620" t="s">
        <v>107</v>
      </c>
      <c r="G41" s="620">
        <v>1024</v>
      </c>
      <c r="H41" s="621">
        <v>10420000</v>
      </c>
      <c r="I41" s="621">
        <v>1042000</v>
      </c>
      <c r="J41" s="621">
        <v>11462000</v>
      </c>
      <c r="K41" s="621">
        <v>0</v>
      </c>
      <c r="L41" s="621">
        <v>11462000</v>
      </c>
      <c r="M41" s="621">
        <v>528</v>
      </c>
      <c r="N41" s="620" t="s">
        <v>12202</v>
      </c>
      <c r="O41" s="620" t="s">
        <v>12203</v>
      </c>
    </row>
    <row r="42" spans="1:15">
      <c r="A42" s="620" t="s">
        <v>12211</v>
      </c>
      <c r="B42" s="620" t="s">
        <v>12537</v>
      </c>
      <c r="C42" s="620" t="s">
        <v>9735</v>
      </c>
      <c r="D42" s="620" t="s">
        <v>12538</v>
      </c>
      <c r="E42" s="620" t="s">
        <v>12214</v>
      </c>
      <c r="F42" s="620" t="s">
        <v>335</v>
      </c>
      <c r="G42" s="620">
        <v>1024</v>
      </c>
      <c r="H42" s="621">
        <v>4480000</v>
      </c>
      <c r="I42" s="621">
        <v>448000</v>
      </c>
      <c r="J42" s="621">
        <v>4928000</v>
      </c>
      <c r="K42" s="621">
        <v>0</v>
      </c>
      <c r="L42" s="621">
        <v>4928000</v>
      </c>
      <c r="M42" s="621">
        <v>865</v>
      </c>
      <c r="N42" s="620" t="s">
        <v>12202</v>
      </c>
      <c r="O42" s="620" t="s">
        <v>12203</v>
      </c>
    </row>
    <row r="43" spans="1:15">
      <c r="A43" s="620" t="s">
        <v>12211</v>
      </c>
      <c r="B43" s="620" t="s">
        <v>12546</v>
      </c>
      <c r="C43" s="620" t="s">
        <v>9735</v>
      </c>
      <c r="D43" s="620" t="s">
        <v>12547</v>
      </c>
      <c r="E43" s="620" t="s">
        <v>12225</v>
      </c>
      <c r="F43" s="620" t="s">
        <v>335</v>
      </c>
      <c r="G43" s="620">
        <v>512</v>
      </c>
      <c r="H43" s="621">
        <v>2260000</v>
      </c>
      <c r="I43" s="621">
        <v>226000</v>
      </c>
      <c r="J43" s="621">
        <v>2486000</v>
      </c>
      <c r="K43" s="621">
        <v>0</v>
      </c>
      <c r="L43" s="621">
        <v>2486000</v>
      </c>
      <c r="M43" s="621">
        <v>57</v>
      </c>
      <c r="N43" s="620" t="s">
        <v>12202</v>
      </c>
      <c r="O43" s="620" t="s">
        <v>12203</v>
      </c>
    </row>
    <row r="44" spans="1:15">
      <c r="A44" s="620" t="s">
        <v>12211</v>
      </c>
      <c r="B44" s="620" t="s">
        <v>12552</v>
      </c>
      <c r="C44" s="620" t="s">
        <v>9735</v>
      </c>
      <c r="D44" s="620" t="s">
        <v>12553</v>
      </c>
      <c r="E44" s="620" t="s">
        <v>12225</v>
      </c>
      <c r="F44" s="620" t="s">
        <v>335</v>
      </c>
      <c r="G44" s="620">
        <v>512</v>
      </c>
      <c r="H44" s="621">
        <v>2260000</v>
      </c>
      <c r="I44" s="621">
        <v>226000</v>
      </c>
      <c r="J44" s="621">
        <v>2486000</v>
      </c>
      <c r="K44" s="621">
        <v>0</v>
      </c>
      <c r="L44" s="621">
        <v>2486000</v>
      </c>
      <c r="M44" s="621">
        <v>382</v>
      </c>
      <c r="N44" s="620" t="s">
        <v>12202</v>
      </c>
      <c r="O44" s="620" t="s">
        <v>12203</v>
      </c>
    </row>
    <row r="45" spans="1:15">
      <c r="A45" s="620" t="s">
        <v>12211</v>
      </c>
      <c r="B45" s="620" t="s">
        <v>12561</v>
      </c>
      <c r="C45" s="620" t="s">
        <v>9735</v>
      </c>
      <c r="D45" s="620" t="s">
        <v>12562</v>
      </c>
      <c r="E45" s="620" t="s">
        <v>12225</v>
      </c>
      <c r="F45" s="620" t="s">
        <v>335</v>
      </c>
      <c r="G45" s="620">
        <v>512</v>
      </c>
      <c r="H45" s="621">
        <v>2260000</v>
      </c>
      <c r="I45" s="621">
        <v>226000</v>
      </c>
      <c r="J45" s="621">
        <v>2486000</v>
      </c>
      <c r="K45" s="621">
        <v>0</v>
      </c>
      <c r="L45" s="621">
        <v>2486000</v>
      </c>
      <c r="M45" s="621">
        <v>282</v>
      </c>
      <c r="N45" s="620" t="s">
        <v>12202</v>
      </c>
      <c r="O45" s="620" t="s">
        <v>12203</v>
      </c>
    </row>
    <row r="46" spans="1:15">
      <c r="A46" s="620" t="s">
        <v>12211</v>
      </c>
      <c r="B46" s="620"/>
      <c r="C46" s="620" t="s">
        <v>9735</v>
      </c>
      <c r="D46" s="620" t="s">
        <v>878</v>
      </c>
      <c r="E46" s="620" t="s">
        <v>12255</v>
      </c>
      <c r="F46" s="620" t="s">
        <v>107</v>
      </c>
      <c r="G46" s="620">
        <v>2048</v>
      </c>
      <c r="H46" s="621">
        <v>18220000</v>
      </c>
      <c r="I46" s="621">
        <v>1822000</v>
      </c>
      <c r="J46" s="621">
        <v>20042000</v>
      </c>
      <c r="K46" s="621">
        <v>0</v>
      </c>
      <c r="L46" s="621">
        <v>20042000</v>
      </c>
      <c r="M46" s="621">
        <v>307</v>
      </c>
      <c r="N46" s="620" t="s">
        <v>12202</v>
      </c>
      <c r="O46" s="620" t="s">
        <v>12203</v>
      </c>
    </row>
    <row r="47" spans="1:15">
      <c r="A47" s="620" t="s">
        <v>12211</v>
      </c>
      <c r="B47" s="620"/>
      <c r="C47" s="620" t="s">
        <v>9735</v>
      </c>
      <c r="D47" s="620" t="s">
        <v>12576</v>
      </c>
      <c r="E47" s="620" t="s">
        <v>12214</v>
      </c>
      <c r="F47" s="620" t="s">
        <v>107</v>
      </c>
      <c r="G47" s="620">
        <v>1024</v>
      </c>
      <c r="H47" s="621">
        <v>10420000</v>
      </c>
      <c r="I47" s="621">
        <v>1042000</v>
      </c>
      <c r="J47" s="621">
        <v>11462000</v>
      </c>
      <c r="K47" s="621">
        <v>0</v>
      </c>
      <c r="L47" s="621">
        <v>11462000</v>
      </c>
      <c r="M47" s="621">
        <v>628</v>
      </c>
      <c r="N47" s="620" t="s">
        <v>12202</v>
      </c>
      <c r="O47" s="620" t="s">
        <v>12203</v>
      </c>
    </row>
    <row r="48" spans="1:15">
      <c r="A48" s="620" t="s">
        <v>12211</v>
      </c>
      <c r="B48" s="620"/>
      <c r="C48" s="620" t="s">
        <v>9735</v>
      </c>
      <c r="D48" s="620" t="s">
        <v>733</v>
      </c>
      <c r="E48" s="620" t="s">
        <v>12214</v>
      </c>
      <c r="F48" s="620" t="s">
        <v>107</v>
      </c>
      <c r="G48" s="620">
        <v>1024</v>
      </c>
      <c r="H48" s="621">
        <v>10420000</v>
      </c>
      <c r="I48" s="621">
        <v>1042000</v>
      </c>
      <c r="J48" s="621">
        <v>11462000</v>
      </c>
      <c r="K48" s="621">
        <v>0</v>
      </c>
      <c r="L48" s="621">
        <v>11462000</v>
      </c>
      <c r="M48" s="621">
        <v>690</v>
      </c>
      <c r="N48" s="620" t="s">
        <v>12202</v>
      </c>
      <c r="O48" s="620" t="s">
        <v>12203</v>
      </c>
    </row>
    <row r="49" spans="1:15">
      <c r="A49" s="620" t="s">
        <v>12211</v>
      </c>
      <c r="B49" s="620"/>
      <c r="C49" s="620" t="s">
        <v>9735</v>
      </c>
      <c r="D49" s="620" t="s">
        <v>12585</v>
      </c>
      <c r="E49" s="620" t="s">
        <v>12214</v>
      </c>
      <c r="F49" s="620" t="s">
        <v>107</v>
      </c>
      <c r="G49" s="620">
        <v>1024</v>
      </c>
      <c r="H49" s="621">
        <v>10420000</v>
      </c>
      <c r="I49" s="621">
        <v>1042000</v>
      </c>
      <c r="J49" s="621">
        <v>11462000</v>
      </c>
      <c r="K49" s="621">
        <v>0</v>
      </c>
      <c r="L49" s="621">
        <v>11462000</v>
      </c>
      <c r="M49" s="621">
        <v>100</v>
      </c>
      <c r="N49" s="620" t="s">
        <v>12202</v>
      </c>
      <c r="O49" s="620" t="s">
        <v>12203</v>
      </c>
    </row>
    <row r="50" spans="1:15">
      <c r="A50" s="620" t="s">
        <v>12211</v>
      </c>
      <c r="B50" s="620"/>
      <c r="C50" s="620" t="s">
        <v>9735</v>
      </c>
      <c r="D50" s="620" t="s">
        <v>12593</v>
      </c>
      <c r="E50" s="620" t="s">
        <v>12225</v>
      </c>
      <c r="F50" s="620" t="s">
        <v>107</v>
      </c>
      <c r="G50" s="620">
        <v>512</v>
      </c>
      <c r="H50" s="621">
        <v>5220000</v>
      </c>
      <c r="I50" s="621">
        <v>522000</v>
      </c>
      <c r="J50" s="621">
        <v>5742000</v>
      </c>
      <c r="K50" s="621">
        <v>0</v>
      </c>
      <c r="L50" s="621">
        <v>5742000</v>
      </c>
      <c r="M50" s="621">
        <v>374</v>
      </c>
      <c r="N50" s="620" t="s">
        <v>12202</v>
      </c>
      <c r="O50" s="620" t="s">
        <v>12203</v>
      </c>
    </row>
    <row r="51" spans="1:15">
      <c r="A51" s="620" t="s">
        <v>12211</v>
      </c>
      <c r="B51" s="620" t="s">
        <v>12600</v>
      </c>
      <c r="C51" s="620" t="s">
        <v>9735</v>
      </c>
      <c r="D51" s="620" t="s">
        <v>12601</v>
      </c>
      <c r="E51" s="620" t="s">
        <v>12225</v>
      </c>
      <c r="F51" s="620" t="s">
        <v>335</v>
      </c>
      <c r="G51" s="620">
        <v>512</v>
      </c>
      <c r="H51" s="621">
        <v>2260000</v>
      </c>
      <c r="I51" s="621">
        <v>226000</v>
      </c>
      <c r="J51" s="621">
        <v>2486000</v>
      </c>
      <c r="K51" s="621">
        <v>0</v>
      </c>
      <c r="L51" s="621">
        <v>2486000</v>
      </c>
      <c r="M51" s="621">
        <v>731</v>
      </c>
      <c r="N51" s="620" t="s">
        <v>12202</v>
      </c>
      <c r="O51" s="620" t="s">
        <v>12203</v>
      </c>
    </row>
    <row r="52" spans="1:15">
      <c r="A52" s="620" t="s">
        <v>12211</v>
      </c>
      <c r="B52" s="620"/>
      <c r="C52" s="620" t="s">
        <v>9735</v>
      </c>
      <c r="D52" s="620" t="s">
        <v>12608</v>
      </c>
      <c r="E52" s="620" t="s">
        <v>12255</v>
      </c>
      <c r="F52" s="620" t="s">
        <v>107</v>
      </c>
      <c r="G52" s="620">
        <v>2048</v>
      </c>
      <c r="H52" s="621">
        <v>18220000</v>
      </c>
      <c r="I52" s="621">
        <v>1822000</v>
      </c>
      <c r="J52" s="621">
        <v>20042000</v>
      </c>
      <c r="K52" s="621">
        <v>0</v>
      </c>
      <c r="L52" s="621">
        <v>20042000</v>
      </c>
      <c r="M52" s="621">
        <v>839</v>
      </c>
      <c r="N52" s="620" t="s">
        <v>12202</v>
      </c>
      <c r="O52" s="620" t="s">
        <v>12203</v>
      </c>
    </row>
    <row r="53" spans="1:15">
      <c r="A53" s="620" t="s">
        <v>12211</v>
      </c>
      <c r="B53" s="620"/>
      <c r="C53" s="620" t="s">
        <v>9735</v>
      </c>
      <c r="D53" s="620" t="s">
        <v>12616</v>
      </c>
      <c r="E53" s="620" t="s">
        <v>12214</v>
      </c>
      <c r="F53" s="620" t="s">
        <v>107</v>
      </c>
      <c r="G53" s="620">
        <v>1024</v>
      </c>
      <c r="H53" s="621">
        <v>10420000</v>
      </c>
      <c r="I53" s="621">
        <v>1042000</v>
      </c>
      <c r="J53" s="621">
        <v>11462000</v>
      </c>
      <c r="K53" s="621">
        <v>0</v>
      </c>
      <c r="L53" s="621">
        <v>11462000</v>
      </c>
      <c r="M53" s="621">
        <v>994</v>
      </c>
      <c r="N53" s="620" t="s">
        <v>12202</v>
      </c>
      <c r="O53" s="620" t="s">
        <v>12203</v>
      </c>
    </row>
    <row r="54" spans="1:15">
      <c r="A54" s="620" t="s">
        <v>12211</v>
      </c>
      <c r="B54" s="620"/>
      <c r="C54" s="620" t="s">
        <v>9735</v>
      </c>
      <c r="D54" s="620" t="s">
        <v>12622</v>
      </c>
      <c r="E54" s="620" t="s">
        <v>12214</v>
      </c>
      <c r="F54" s="620" t="s">
        <v>107</v>
      </c>
      <c r="G54" s="620">
        <v>1024</v>
      </c>
      <c r="H54" s="621">
        <v>10420000</v>
      </c>
      <c r="I54" s="621">
        <v>1042000</v>
      </c>
      <c r="J54" s="621">
        <v>11462000</v>
      </c>
      <c r="K54" s="621">
        <v>0</v>
      </c>
      <c r="L54" s="621">
        <v>11462000</v>
      </c>
      <c r="M54" s="621">
        <v>824</v>
      </c>
      <c r="N54" s="620" t="s">
        <v>12202</v>
      </c>
      <c r="O54" s="620" t="s">
        <v>12203</v>
      </c>
    </row>
    <row r="55" spans="1:15">
      <c r="A55" s="620" t="s">
        <v>12211</v>
      </c>
      <c r="B55" s="620"/>
      <c r="C55" s="620" t="s">
        <v>9735</v>
      </c>
      <c r="D55" s="620" t="s">
        <v>12627</v>
      </c>
      <c r="E55" s="620" t="s">
        <v>12214</v>
      </c>
      <c r="F55" s="620" t="s">
        <v>107</v>
      </c>
      <c r="G55" s="620">
        <v>1024</v>
      </c>
      <c r="H55" s="621">
        <v>10420000</v>
      </c>
      <c r="I55" s="621">
        <v>1042000</v>
      </c>
      <c r="J55" s="621">
        <v>11462000</v>
      </c>
      <c r="K55" s="621">
        <v>0</v>
      </c>
      <c r="L55" s="621">
        <v>11462000</v>
      </c>
      <c r="M55" s="621">
        <v>180</v>
      </c>
      <c r="N55" s="620" t="s">
        <v>12202</v>
      </c>
      <c r="O55" s="620" t="s">
        <v>12203</v>
      </c>
    </row>
    <row r="56" spans="1:15">
      <c r="A56" s="620" t="s">
        <v>12211</v>
      </c>
      <c r="B56" s="620"/>
      <c r="C56" s="620" t="s">
        <v>9735</v>
      </c>
      <c r="D56" s="620" t="s">
        <v>12634</v>
      </c>
      <c r="E56" s="620" t="s">
        <v>12214</v>
      </c>
      <c r="F56" s="620" t="s">
        <v>107</v>
      </c>
      <c r="G56" s="620">
        <v>1024</v>
      </c>
      <c r="H56" s="621">
        <v>10420000</v>
      </c>
      <c r="I56" s="621">
        <v>1042000</v>
      </c>
      <c r="J56" s="621">
        <v>11462000</v>
      </c>
      <c r="K56" s="621">
        <v>0</v>
      </c>
      <c r="L56" s="621">
        <v>11462000</v>
      </c>
      <c r="M56" s="621">
        <v>708</v>
      </c>
      <c r="N56" s="620" t="s">
        <v>12202</v>
      </c>
      <c r="O56" s="620" t="s">
        <v>12203</v>
      </c>
    </row>
    <row r="57" spans="1:15">
      <c r="A57" s="620" t="s">
        <v>12211</v>
      </c>
      <c r="B57" s="620" t="s">
        <v>12639</v>
      </c>
      <c r="C57" s="620" t="s">
        <v>9735</v>
      </c>
      <c r="D57" s="620" t="s">
        <v>12640</v>
      </c>
      <c r="E57" s="620" t="s">
        <v>12214</v>
      </c>
      <c r="F57" s="620" t="s">
        <v>335</v>
      </c>
      <c r="G57" s="620">
        <v>1024</v>
      </c>
      <c r="H57" s="621">
        <v>4480000</v>
      </c>
      <c r="I57" s="621">
        <v>448000</v>
      </c>
      <c r="J57" s="621">
        <v>4928000</v>
      </c>
      <c r="K57" s="621">
        <v>0</v>
      </c>
      <c r="L57" s="621">
        <v>4928000</v>
      </c>
      <c r="M57" s="621">
        <v>547</v>
      </c>
      <c r="N57" s="620" t="s">
        <v>12202</v>
      </c>
      <c r="O57" s="620" t="s">
        <v>12203</v>
      </c>
    </row>
    <row r="58" spans="1:15">
      <c r="A58" s="620" t="s">
        <v>12211</v>
      </c>
      <c r="B58" s="620"/>
      <c r="C58" s="620" t="s">
        <v>9735</v>
      </c>
      <c r="D58" s="620" t="s">
        <v>12658</v>
      </c>
      <c r="E58" s="620" t="s">
        <v>12660</v>
      </c>
      <c r="F58" s="620" t="s">
        <v>335</v>
      </c>
      <c r="G58" s="620">
        <v>128</v>
      </c>
      <c r="H58" s="621">
        <v>580000</v>
      </c>
      <c r="I58" s="621">
        <v>58000</v>
      </c>
      <c r="J58" s="621">
        <v>638000</v>
      </c>
      <c r="K58" s="621">
        <v>0</v>
      </c>
      <c r="L58" s="621">
        <v>638000</v>
      </c>
      <c r="M58" s="621">
        <v>43</v>
      </c>
      <c r="N58" s="620" t="s">
        <v>12202</v>
      </c>
      <c r="O58" s="620" t="s">
        <v>12203</v>
      </c>
    </row>
    <row r="59" spans="1:15">
      <c r="A59" s="620" t="s">
        <v>12668</v>
      </c>
      <c r="B59" s="620" t="s">
        <v>12670</v>
      </c>
      <c r="C59" s="620" t="s">
        <v>9735</v>
      </c>
      <c r="D59" s="620" t="s">
        <v>12671</v>
      </c>
      <c r="E59" s="620" t="s">
        <v>12255</v>
      </c>
      <c r="F59" s="620" t="s">
        <v>335</v>
      </c>
      <c r="G59" s="620">
        <v>2048</v>
      </c>
      <c r="H59" s="621">
        <v>7860000</v>
      </c>
      <c r="I59" s="621">
        <v>786000</v>
      </c>
      <c r="J59" s="621">
        <v>8646000</v>
      </c>
      <c r="K59" s="621">
        <v>0</v>
      </c>
      <c r="L59" s="621">
        <v>8646000</v>
      </c>
      <c r="M59" s="621">
        <v>726</v>
      </c>
      <c r="N59" s="620" t="s">
        <v>12202</v>
      </c>
      <c r="O59" s="620" t="s">
        <v>12203</v>
      </c>
    </row>
    <row r="60" spans="1:15">
      <c r="A60" s="620" t="s">
        <v>12680</v>
      </c>
      <c r="B60" s="620"/>
      <c r="C60" s="620" t="s">
        <v>9735</v>
      </c>
      <c r="D60" s="620" t="s">
        <v>12681</v>
      </c>
      <c r="E60" s="620" t="s">
        <v>12214</v>
      </c>
      <c r="F60" s="620" t="s">
        <v>335</v>
      </c>
      <c r="G60" s="620">
        <v>1024</v>
      </c>
      <c r="H60" s="621">
        <v>4500000</v>
      </c>
      <c r="I60" s="621">
        <v>450000</v>
      </c>
      <c r="J60" s="621">
        <v>4950000</v>
      </c>
      <c r="K60" s="621">
        <v>0</v>
      </c>
      <c r="L60" s="621">
        <v>4950000</v>
      </c>
      <c r="M60" s="621">
        <v>397</v>
      </c>
      <c r="N60" s="620" t="s">
        <v>12202</v>
      </c>
      <c r="O60" s="620" t="s">
        <v>12203</v>
      </c>
    </row>
    <row r="61" spans="1:15">
      <c r="A61" s="620" t="s">
        <v>12686</v>
      </c>
      <c r="B61" s="620"/>
      <c r="C61" s="620" t="s">
        <v>9735</v>
      </c>
      <c r="D61" s="620" t="s">
        <v>12687</v>
      </c>
      <c r="E61" s="620" t="s">
        <v>12255</v>
      </c>
      <c r="F61" s="620" t="s">
        <v>335</v>
      </c>
      <c r="G61" s="620">
        <v>2048</v>
      </c>
      <c r="H61" s="621">
        <v>7860000</v>
      </c>
      <c r="I61" s="621">
        <v>786000</v>
      </c>
      <c r="J61" s="621">
        <v>8646000</v>
      </c>
      <c r="K61" s="621">
        <v>0</v>
      </c>
      <c r="L61" s="621">
        <v>8646000</v>
      </c>
      <c r="M61" s="621">
        <v>242</v>
      </c>
      <c r="N61" s="620" t="s">
        <v>12202</v>
      </c>
      <c r="O61" s="620" t="s">
        <v>12203</v>
      </c>
    </row>
    <row r="62" spans="1:15">
      <c r="A62" s="620" t="s">
        <v>12693</v>
      </c>
      <c r="B62" s="620"/>
      <c r="C62" s="620" t="s">
        <v>9735</v>
      </c>
      <c r="D62" s="620" t="s">
        <v>12694</v>
      </c>
      <c r="E62" s="620" t="s">
        <v>12225</v>
      </c>
      <c r="F62" s="620" t="s">
        <v>335</v>
      </c>
      <c r="G62" s="620">
        <v>512</v>
      </c>
      <c r="H62" s="621">
        <v>2260000</v>
      </c>
      <c r="I62" s="621">
        <v>226000</v>
      </c>
      <c r="J62" s="621">
        <v>2486000</v>
      </c>
      <c r="K62" s="621">
        <v>0</v>
      </c>
      <c r="L62" s="621">
        <v>2486000</v>
      </c>
      <c r="M62" s="621">
        <v>446</v>
      </c>
      <c r="N62" s="620" t="s">
        <v>12202</v>
      </c>
      <c r="O62" s="620" t="s">
        <v>12203</v>
      </c>
    </row>
    <row r="63" spans="1:15">
      <c r="A63" s="620" t="s">
        <v>12700</v>
      </c>
      <c r="B63" s="620"/>
      <c r="C63" s="620" t="s">
        <v>9735</v>
      </c>
      <c r="D63" s="620" t="s">
        <v>12701</v>
      </c>
      <c r="E63" s="620" t="s">
        <v>12225</v>
      </c>
      <c r="F63" s="620" t="s">
        <v>335</v>
      </c>
      <c r="G63" s="620">
        <v>512</v>
      </c>
      <c r="H63" s="621">
        <v>2260000</v>
      </c>
      <c r="I63" s="621">
        <v>226000</v>
      </c>
      <c r="J63" s="621">
        <v>2486000</v>
      </c>
      <c r="K63" s="621">
        <v>0</v>
      </c>
      <c r="L63" s="621">
        <v>2486000</v>
      </c>
      <c r="M63" s="621">
        <v>982</v>
      </c>
      <c r="N63" s="620" t="s">
        <v>12202</v>
      </c>
      <c r="O63" s="620" t="s">
        <v>12203</v>
      </c>
    </row>
    <row r="64" spans="1:15">
      <c r="A64" s="620" t="s">
        <v>12708</v>
      </c>
      <c r="B64" s="620"/>
      <c r="C64" s="620" t="s">
        <v>9735</v>
      </c>
      <c r="D64" s="620" t="s">
        <v>12709</v>
      </c>
      <c r="E64" s="620" t="s">
        <v>12225</v>
      </c>
      <c r="F64" s="620" t="s">
        <v>335</v>
      </c>
      <c r="G64" s="620">
        <v>512</v>
      </c>
      <c r="H64" s="621">
        <v>2260000</v>
      </c>
      <c r="I64" s="621">
        <v>226000</v>
      </c>
      <c r="J64" s="621">
        <v>2486000</v>
      </c>
      <c r="K64" s="621">
        <v>0</v>
      </c>
      <c r="L64" s="621">
        <v>2486000</v>
      </c>
      <c r="M64" s="621">
        <v>182</v>
      </c>
      <c r="N64" s="620" t="s">
        <v>12202</v>
      </c>
      <c r="O64" s="620" t="s">
        <v>12203</v>
      </c>
    </row>
    <row r="65" spans="1:15">
      <c r="A65" s="620" t="s">
        <v>12715</v>
      </c>
      <c r="B65" s="620"/>
      <c r="C65" s="620" t="s">
        <v>9735</v>
      </c>
      <c r="D65" s="620" t="s">
        <v>636</v>
      </c>
      <c r="E65" s="620" t="s">
        <v>12214</v>
      </c>
      <c r="F65" s="620" t="s">
        <v>335</v>
      </c>
      <c r="G65" s="620">
        <v>1024</v>
      </c>
      <c r="H65" s="621">
        <v>4500000</v>
      </c>
      <c r="I65" s="621">
        <v>450000</v>
      </c>
      <c r="J65" s="621">
        <v>4950000</v>
      </c>
      <c r="K65" s="621">
        <v>0</v>
      </c>
      <c r="L65" s="621">
        <v>4950000</v>
      </c>
      <c r="M65" s="621">
        <v>856</v>
      </c>
      <c r="N65" s="620" t="s">
        <v>12202</v>
      </c>
      <c r="O65" s="620" t="s">
        <v>12203</v>
      </c>
    </row>
    <row r="66" spans="1:15">
      <c r="A66" s="620" t="s">
        <v>12720</v>
      </c>
      <c r="B66" s="620"/>
      <c r="C66" s="620" t="s">
        <v>9735</v>
      </c>
      <c r="D66" s="620" t="s">
        <v>12721</v>
      </c>
      <c r="E66" s="620" t="s">
        <v>12214</v>
      </c>
      <c r="F66" s="620" t="s">
        <v>335</v>
      </c>
      <c r="G66" s="620">
        <v>1024</v>
      </c>
      <c r="H66" s="621">
        <v>4500000</v>
      </c>
      <c r="I66" s="621">
        <v>450000</v>
      </c>
      <c r="J66" s="621">
        <v>4950000</v>
      </c>
      <c r="K66" s="621">
        <v>0</v>
      </c>
      <c r="L66" s="621">
        <v>4950000</v>
      </c>
      <c r="M66" s="621">
        <v>643</v>
      </c>
      <c r="N66" s="620" t="s">
        <v>12202</v>
      </c>
      <c r="O66" s="620" t="s">
        <v>12203</v>
      </c>
    </row>
    <row r="67" spans="1:15">
      <c r="A67" s="620" t="s">
        <v>12726</v>
      </c>
      <c r="B67" s="620"/>
      <c r="C67" s="620" t="s">
        <v>9735</v>
      </c>
      <c r="D67" s="620" t="s">
        <v>12727</v>
      </c>
      <c r="E67" s="620" t="s">
        <v>12214</v>
      </c>
      <c r="F67" s="620" t="s">
        <v>107</v>
      </c>
      <c r="G67" s="620">
        <v>1024</v>
      </c>
      <c r="H67" s="621">
        <v>10420000</v>
      </c>
      <c r="I67" s="621">
        <v>1042000</v>
      </c>
      <c r="J67" s="621">
        <v>11462000</v>
      </c>
      <c r="K67" s="621">
        <v>0</v>
      </c>
      <c r="L67" s="621">
        <v>11462000</v>
      </c>
      <c r="M67" s="621">
        <v>504</v>
      </c>
      <c r="N67" s="620" t="s">
        <v>12202</v>
      </c>
      <c r="O67" s="620" t="s">
        <v>12203</v>
      </c>
    </row>
    <row r="68" spans="1:15">
      <c r="A68" s="620" t="s">
        <v>12733</v>
      </c>
      <c r="B68" s="620"/>
      <c r="C68" s="620" t="s">
        <v>9735</v>
      </c>
      <c r="D68" s="620" t="s">
        <v>12734</v>
      </c>
      <c r="E68" s="620" t="s">
        <v>12214</v>
      </c>
      <c r="F68" s="620" t="s">
        <v>107</v>
      </c>
      <c r="G68" s="620">
        <v>1024</v>
      </c>
      <c r="H68" s="621">
        <v>10420000</v>
      </c>
      <c r="I68" s="621">
        <v>1042000</v>
      </c>
      <c r="J68" s="621">
        <v>11462000</v>
      </c>
      <c r="K68" s="621">
        <v>0</v>
      </c>
      <c r="L68" s="621">
        <v>11462000</v>
      </c>
      <c r="M68" s="621">
        <v>674</v>
      </c>
      <c r="N68" s="620" t="s">
        <v>12202</v>
      </c>
      <c r="O68" s="620" t="s">
        <v>12203</v>
      </c>
    </row>
    <row r="69" spans="1:15">
      <c r="A69" s="620" t="s">
        <v>12740</v>
      </c>
      <c r="B69" s="620"/>
      <c r="C69" s="620" t="s">
        <v>9735</v>
      </c>
      <c r="D69" s="620" t="s">
        <v>12741</v>
      </c>
      <c r="E69" s="620" t="s">
        <v>12214</v>
      </c>
      <c r="F69" s="620" t="s">
        <v>107</v>
      </c>
      <c r="G69" s="620">
        <v>1024</v>
      </c>
      <c r="H69" s="621">
        <v>10420000</v>
      </c>
      <c r="I69" s="621">
        <v>1042000</v>
      </c>
      <c r="J69" s="621">
        <v>11462000</v>
      </c>
      <c r="K69" s="621">
        <v>0</v>
      </c>
      <c r="L69" s="621">
        <v>11462000</v>
      </c>
      <c r="M69" s="621">
        <v>120</v>
      </c>
      <c r="N69" s="620" t="s">
        <v>12202</v>
      </c>
      <c r="O69" s="620" t="s">
        <v>12203</v>
      </c>
    </row>
    <row r="70" spans="1:15">
      <c r="A70" s="620" t="s">
        <v>12747</v>
      </c>
      <c r="B70" s="620"/>
      <c r="C70" s="620" t="s">
        <v>9735</v>
      </c>
      <c r="D70" s="620" t="s">
        <v>12748</v>
      </c>
      <c r="E70" s="620" t="s">
        <v>12214</v>
      </c>
      <c r="F70" s="620" t="s">
        <v>107</v>
      </c>
      <c r="G70" s="620">
        <v>1024</v>
      </c>
      <c r="H70" s="621">
        <v>10420000</v>
      </c>
      <c r="I70" s="621">
        <v>1042000</v>
      </c>
      <c r="J70" s="621">
        <v>11462000</v>
      </c>
      <c r="K70" s="621">
        <v>0</v>
      </c>
      <c r="L70" s="621">
        <v>11462000</v>
      </c>
      <c r="M70" s="621">
        <v>92</v>
      </c>
      <c r="N70" s="620" t="s">
        <v>12202</v>
      </c>
      <c r="O70" s="620" t="s">
        <v>12203</v>
      </c>
    </row>
    <row r="71" spans="1:15">
      <c r="A71" s="620" t="s">
        <v>12754</v>
      </c>
      <c r="B71" s="620"/>
      <c r="C71" s="620" t="s">
        <v>9735</v>
      </c>
      <c r="D71" s="620" t="s">
        <v>12755</v>
      </c>
      <c r="E71" s="620" t="s">
        <v>12214</v>
      </c>
      <c r="F71" s="620" t="s">
        <v>107</v>
      </c>
      <c r="G71" s="620">
        <v>1024</v>
      </c>
      <c r="H71" s="621">
        <v>10420000</v>
      </c>
      <c r="I71" s="621">
        <v>1042000</v>
      </c>
      <c r="J71" s="621">
        <v>11462000</v>
      </c>
      <c r="K71" s="621">
        <v>0</v>
      </c>
      <c r="L71" s="621">
        <v>11462000</v>
      </c>
      <c r="M71" s="621">
        <v>808</v>
      </c>
      <c r="N71" s="620" t="s">
        <v>12202</v>
      </c>
      <c r="O71" s="620" t="s">
        <v>12203</v>
      </c>
    </row>
    <row r="72" spans="1:15">
      <c r="A72" s="620" t="s">
        <v>12760</v>
      </c>
      <c r="B72" s="620"/>
      <c r="C72" s="620" t="s">
        <v>9735</v>
      </c>
      <c r="D72" s="620" t="s">
        <v>855</v>
      </c>
      <c r="E72" s="620" t="s">
        <v>12214</v>
      </c>
      <c r="F72" s="620" t="s">
        <v>107</v>
      </c>
      <c r="G72" s="620">
        <v>1024</v>
      </c>
      <c r="H72" s="621">
        <v>10420000</v>
      </c>
      <c r="I72" s="621">
        <v>1042000</v>
      </c>
      <c r="J72" s="621">
        <v>11462000</v>
      </c>
      <c r="K72" s="621">
        <v>0</v>
      </c>
      <c r="L72" s="621">
        <v>11462000</v>
      </c>
      <c r="M72" s="621">
        <v>490</v>
      </c>
      <c r="N72" s="620" t="s">
        <v>12202</v>
      </c>
      <c r="O72" s="620" t="s">
        <v>12203</v>
      </c>
    </row>
    <row r="73" spans="1:15">
      <c r="A73" s="620" t="s">
        <v>12767</v>
      </c>
      <c r="B73" s="620"/>
      <c r="C73" s="620" t="s">
        <v>9735</v>
      </c>
      <c r="D73" s="620" t="s">
        <v>12768</v>
      </c>
      <c r="E73" s="620" t="s">
        <v>12214</v>
      </c>
      <c r="F73" s="620" t="s">
        <v>107</v>
      </c>
      <c r="G73" s="620">
        <v>1024</v>
      </c>
      <c r="H73" s="621">
        <v>10420000</v>
      </c>
      <c r="I73" s="621">
        <v>1042000</v>
      </c>
      <c r="J73" s="621">
        <v>11462000</v>
      </c>
      <c r="K73" s="621">
        <v>0</v>
      </c>
      <c r="L73" s="621">
        <v>11462000</v>
      </c>
      <c r="M73" s="621">
        <v>372</v>
      </c>
      <c r="N73" s="620" t="s">
        <v>12202</v>
      </c>
      <c r="O73" s="620" t="s">
        <v>12203</v>
      </c>
    </row>
    <row r="74" spans="1:15">
      <c r="A74" s="620" t="s">
        <v>12774</v>
      </c>
      <c r="B74" s="620"/>
      <c r="C74" s="620" t="s">
        <v>9735</v>
      </c>
      <c r="D74" s="620" t="s">
        <v>12775</v>
      </c>
      <c r="E74" s="620" t="s">
        <v>12214</v>
      </c>
      <c r="F74" s="620" t="s">
        <v>107</v>
      </c>
      <c r="G74" s="620">
        <v>1024</v>
      </c>
      <c r="H74" s="621">
        <v>10420000</v>
      </c>
      <c r="I74" s="621">
        <v>1042000</v>
      </c>
      <c r="J74" s="621">
        <v>11462000</v>
      </c>
      <c r="K74" s="621">
        <v>0</v>
      </c>
      <c r="L74" s="621">
        <v>11462000</v>
      </c>
      <c r="M74" s="621">
        <v>267</v>
      </c>
      <c r="N74" s="620" t="s">
        <v>12202</v>
      </c>
      <c r="O74" s="620" t="s">
        <v>12203</v>
      </c>
    </row>
    <row r="75" spans="1:15">
      <c r="A75" s="620" t="s">
        <v>12780</v>
      </c>
      <c r="B75" s="620"/>
      <c r="C75" s="620" t="s">
        <v>9735</v>
      </c>
      <c r="D75" s="620" t="s">
        <v>12782</v>
      </c>
      <c r="E75" s="620" t="s">
        <v>12214</v>
      </c>
      <c r="F75" s="620" t="s">
        <v>335</v>
      </c>
      <c r="G75" s="620">
        <v>1024</v>
      </c>
      <c r="H75" s="621">
        <v>4500000</v>
      </c>
      <c r="I75" s="621">
        <v>450000</v>
      </c>
      <c r="J75" s="621">
        <v>4950000</v>
      </c>
      <c r="K75" s="621">
        <v>0</v>
      </c>
      <c r="L75" s="621">
        <v>4950000</v>
      </c>
      <c r="M75" s="621">
        <v>530</v>
      </c>
      <c r="N75" s="620" t="s">
        <v>12202</v>
      </c>
      <c r="O75" s="620" t="s">
        <v>12203</v>
      </c>
    </row>
    <row r="76" spans="1:15">
      <c r="A76" s="620" t="s">
        <v>12790</v>
      </c>
      <c r="B76" s="620"/>
      <c r="C76" s="620" t="s">
        <v>9735</v>
      </c>
      <c r="D76" s="620" t="s">
        <v>12792</v>
      </c>
      <c r="E76" s="620" t="s">
        <v>12255</v>
      </c>
      <c r="F76" s="620" t="s">
        <v>335</v>
      </c>
      <c r="G76" s="620">
        <v>2048</v>
      </c>
      <c r="H76" s="621">
        <v>7860000</v>
      </c>
      <c r="I76" s="621">
        <v>786000</v>
      </c>
      <c r="J76" s="621">
        <v>8646000</v>
      </c>
      <c r="K76" s="621">
        <v>0</v>
      </c>
      <c r="L76" s="621">
        <v>8646000</v>
      </c>
      <c r="M76" s="621">
        <v>951</v>
      </c>
      <c r="N76" s="620" t="s">
        <v>12202</v>
      </c>
      <c r="O76" s="620" t="s">
        <v>12203</v>
      </c>
    </row>
    <row r="77" spans="1:15">
      <c r="A77" s="620" t="s">
        <v>12800</v>
      </c>
      <c r="B77" s="620" t="s">
        <v>8553</v>
      </c>
      <c r="C77" s="620" t="s">
        <v>9735</v>
      </c>
      <c r="D77" s="620" t="s">
        <v>12802</v>
      </c>
      <c r="E77" s="620" t="s">
        <v>12255</v>
      </c>
      <c r="F77" s="620" t="s">
        <v>335</v>
      </c>
      <c r="G77" s="620">
        <v>2048</v>
      </c>
      <c r="H77" s="621">
        <v>7840000</v>
      </c>
      <c r="I77" s="621">
        <v>784000</v>
      </c>
      <c r="J77" s="621">
        <v>8624000</v>
      </c>
      <c r="K77" s="621">
        <v>0</v>
      </c>
      <c r="L77" s="621">
        <v>8624000</v>
      </c>
      <c r="M77" s="621">
        <v>987</v>
      </c>
      <c r="N77" s="620" t="s">
        <v>12202</v>
      </c>
      <c r="O77" s="620" t="s">
        <v>12203</v>
      </c>
    </row>
    <row r="78" spans="1:15">
      <c r="A78" s="620" t="s">
        <v>12811</v>
      </c>
      <c r="B78" s="620"/>
      <c r="C78" s="620" t="s">
        <v>9735</v>
      </c>
      <c r="D78" s="620" t="s">
        <v>12813</v>
      </c>
      <c r="E78" s="620" t="s">
        <v>12814</v>
      </c>
      <c r="F78" s="620" t="s">
        <v>335</v>
      </c>
      <c r="G78" s="620">
        <v>4096</v>
      </c>
      <c r="H78" s="621">
        <v>11220000</v>
      </c>
      <c r="I78" s="621">
        <v>1122000</v>
      </c>
      <c r="J78" s="621">
        <v>12342000</v>
      </c>
      <c r="K78" s="621">
        <v>0</v>
      </c>
      <c r="L78" s="621">
        <v>12342000</v>
      </c>
      <c r="M78" s="621">
        <v>158</v>
      </c>
      <c r="N78" s="620" t="s">
        <v>12202</v>
      </c>
      <c r="O78" s="620" t="s">
        <v>12203</v>
      </c>
    </row>
    <row r="79" spans="1:15">
      <c r="A79" s="620" t="s">
        <v>12822</v>
      </c>
      <c r="B79" s="620" t="s">
        <v>12824</v>
      </c>
      <c r="C79" s="620" t="s">
        <v>9735</v>
      </c>
      <c r="D79" s="620" t="s">
        <v>12825</v>
      </c>
      <c r="E79" s="620" t="s">
        <v>12214</v>
      </c>
      <c r="F79" s="620" t="s">
        <v>335</v>
      </c>
      <c r="G79" s="620">
        <v>1024</v>
      </c>
      <c r="H79" s="621">
        <v>4480000</v>
      </c>
      <c r="I79" s="621">
        <v>448000</v>
      </c>
      <c r="J79" s="621">
        <v>4928000</v>
      </c>
      <c r="K79" s="621">
        <v>0</v>
      </c>
      <c r="L79" s="621">
        <v>4928000</v>
      </c>
      <c r="M79" s="621">
        <v>697</v>
      </c>
      <c r="N79" s="620" t="s">
        <v>12202</v>
      </c>
      <c r="O79" s="620" t="s">
        <v>12203</v>
      </c>
    </row>
    <row r="80" spans="1:15">
      <c r="A80" s="620" t="s">
        <v>12833</v>
      </c>
      <c r="B80" s="620"/>
      <c r="C80" s="620" t="s">
        <v>9735</v>
      </c>
      <c r="D80" s="620" t="s">
        <v>849</v>
      </c>
      <c r="E80" s="620" t="s">
        <v>12225</v>
      </c>
      <c r="F80" s="620" t="s">
        <v>335</v>
      </c>
      <c r="G80" s="620">
        <v>512</v>
      </c>
      <c r="H80" s="621">
        <v>2260000</v>
      </c>
      <c r="I80" s="621">
        <v>226000</v>
      </c>
      <c r="J80" s="621">
        <v>2486000</v>
      </c>
      <c r="K80" s="621">
        <v>0</v>
      </c>
      <c r="L80" s="621">
        <v>2486000</v>
      </c>
      <c r="M80" s="621">
        <v>107</v>
      </c>
      <c r="N80" s="620" t="s">
        <v>12202</v>
      </c>
      <c r="O80" s="620" t="s">
        <v>12203</v>
      </c>
    </row>
    <row r="81" spans="1:15">
      <c r="A81" s="620" t="s">
        <v>12849</v>
      </c>
      <c r="B81" s="620"/>
      <c r="C81" s="620" t="s">
        <v>9735</v>
      </c>
      <c r="D81" s="620" t="s">
        <v>12850</v>
      </c>
      <c r="E81" s="620" t="s">
        <v>12852</v>
      </c>
      <c r="F81" s="620" t="s">
        <v>12853</v>
      </c>
      <c r="G81" s="620">
        <v>84500</v>
      </c>
      <c r="H81" s="621">
        <v>92125480.291193187</v>
      </c>
      <c r="I81" s="621">
        <v>9212548.0291193184</v>
      </c>
      <c r="J81" s="621">
        <v>101338028.3203125</v>
      </c>
      <c r="K81" s="621">
        <v>0</v>
      </c>
      <c r="L81" s="621">
        <v>101338028.3203125</v>
      </c>
      <c r="M81" s="621">
        <v>119</v>
      </c>
      <c r="N81" s="620" t="s">
        <v>12202</v>
      </c>
      <c r="O81" s="620" t="s">
        <v>12203</v>
      </c>
    </row>
    <row r="82" spans="1:15">
      <c r="A82" s="620" t="s">
        <v>8553</v>
      </c>
      <c r="B82" s="620"/>
      <c r="C82" s="620" t="s">
        <v>9735</v>
      </c>
      <c r="D82" s="620" t="s">
        <v>12863</v>
      </c>
      <c r="E82" s="620" t="s">
        <v>12865</v>
      </c>
      <c r="F82" s="620" t="s">
        <v>12853</v>
      </c>
      <c r="G82" s="620">
        <v>409600</v>
      </c>
      <c r="H82" s="621">
        <v>286272000</v>
      </c>
      <c r="I82" s="621">
        <v>28627200</v>
      </c>
      <c r="J82" s="621">
        <v>314899200</v>
      </c>
      <c r="K82" s="621">
        <v>39362581</v>
      </c>
      <c r="L82" s="621">
        <v>354261781</v>
      </c>
      <c r="M82" s="621">
        <v>781</v>
      </c>
      <c r="N82" s="620" t="s">
        <v>12202</v>
      </c>
      <c r="O82" s="620" t="s">
        <v>12203</v>
      </c>
    </row>
    <row r="83" spans="1:15">
      <c r="A83" s="620" t="s">
        <v>8553</v>
      </c>
      <c r="B83" s="620" t="s">
        <v>12883</v>
      </c>
      <c r="C83" s="620" t="s">
        <v>9735</v>
      </c>
      <c r="D83" s="620" t="s">
        <v>12884</v>
      </c>
      <c r="E83" s="620" t="s">
        <v>12255</v>
      </c>
      <c r="F83" s="620" t="s">
        <v>335</v>
      </c>
      <c r="G83" s="620">
        <v>2048</v>
      </c>
      <c r="H83" s="621">
        <v>7860000</v>
      </c>
      <c r="I83" s="621">
        <v>786000</v>
      </c>
      <c r="J83" s="621">
        <v>8646000</v>
      </c>
      <c r="K83" s="621">
        <v>0</v>
      </c>
      <c r="L83" s="621">
        <v>8646000</v>
      </c>
      <c r="M83" s="621">
        <v>868</v>
      </c>
      <c r="N83" s="620" t="s">
        <v>12202</v>
      </c>
      <c r="O83" s="620" t="s">
        <v>12203</v>
      </c>
    </row>
    <row r="84" spans="1:15">
      <c r="A84" s="620" t="s">
        <v>8553</v>
      </c>
      <c r="B84" s="620" t="s">
        <v>12890</v>
      </c>
      <c r="C84" s="620" t="s">
        <v>9735</v>
      </c>
      <c r="D84" s="620" t="s">
        <v>12891</v>
      </c>
      <c r="E84" s="620" t="s">
        <v>12214</v>
      </c>
      <c r="F84" s="620" t="s">
        <v>335</v>
      </c>
      <c r="G84" s="620">
        <v>1024</v>
      </c>
      <c r="H84" s="621">
        <v>4500000</v>
      </c>
      <c r="I84" s="621">
        <v>450000</v>
      </c>
      <c r="J84" s="621">
        <v>4950000</v>
      </c>
      <c r="K84" s="621">
        <v>0</v>
      </c>
      <c r="L84" s="621">
        <v>4950000</v>
      </c>
      <c r="M84" s="621">
        <v>32</v>
      </c>
      <c r="N84" s="620" t="s">
        <v>12202</v>
      </c>
      <c r="O84" s="620" t="s">
        <v>12203</v>
      </c>
    </row>
    <row r="85" spans="1:15">
      <c r="A85" s="620" t="s">
        <v>8553</v>
      </c>
      <c r="B85" s="620" t="s">
        <v>12895</v>
      </c>
      <c r="C85" s="620" t="s">
        <v>9735</v>
      </c>
      <c r="D85" s="620" t="s">
        <v>12896</v>
      </c>
      <c r="E85" s="620" t="s">
        <v>12225</v>
      </c>
      <c r="F85" s="620" t="s">
        <v>335</v>
      </c>
      <c r="G85" s="620">
        <v>512</v>
      </c>
      <c r="H85" s="621">
        <v>2260000</v>
      </c>
      <c r="I85" s="621">
        <v>226000</v>
      </c>
      <c r="J85" s="621">
        <v>2486000</v>
      </c>
      <c r="K85" s="621">
        <v>0</v>
      </c>
      <c r="L85" s="621">
        <v>2486000</v>
      </c>
      <c r="M85" s="621">
        <v>858</v>
      </c>
      <c r="N85" s="620" t="s">
        <v>12202</v>
      </c>
      <c r="O85" s="620" t="s">
        <v>12203</v>
      </c>
    </row>
    <row r="86" spans="1:15">
      <c r="A86" s="620" t="s">
        <v>8553</v>
      </c>
      <c r="B86" s="620" t="s">
        <v>12900</v>
      </c>
      <c r="C86" s="620" t="s">
        <v>9735</v>
      </c>
      <c r="D86" s="620" t="s">
        <v>12901</v>
      </c>
      <c r="E86" s="620" t="s">
        <v>12214</v>
      </c>
      <c r="F86" s="620" t="s">
        <v>335</v>
      </c>
      <c r="G86" s="620">
        <v>1024</v>
      </c>
      <c r="H86" s="621">
        <v>4500000</v>
      </c>
      <c r="I86" s="621">
        <v>450000</v>
      </c>
      <c r="J86" s="621">
        <v>4950000</v>
      </c>
      <c r="K86" s="621">
        <v>0</v>
      </c>
      <c r="L86" s="621">
        <v>4950000</v>
      </c>
      <c r="M86" s="621">
        <v>916</v>
      </c>
      <c r="N86" s="620" t="s">
        <v>12202</v>
      </c>
      <c r="O86" s="620" t="s">
        <v>12203</v>
      </c>
    </row>
    <row r="87" spans="1:15">
      <c r="A87" s="620" t="s">
        <v>8553</v>
      </c>
      <c r="B87" s="620" t="s">
        <v>12906</v>
      </c>
      <c r="C87" s="620" t="s">
        <v>9735</v>
      </c>
      <c r="D87" s="620" t="s">
        <v>12907</v>
      </c>
      <c r="E87" s="620" t="s">
        <v>12214</v>
      </c>
      <c r="F87" s="620" t="s">
        <v>335</v>
      </c>
      <c r="G87" s="620">
        <v>1024</v>
      </c>
      <c r="H87" s="621">
        <v>4500000</v>
      </c>
      <c r="I87" s="621">
        <v>450000</v>
      </c>
      <c r="J87" s="621">
        <v>4950000</v>
      </c>
      <c r="K87" s="621">
        <v>0</v>
      </c>
      <c r="L87" s="621">
        <v>4950000</v>
      </c>
      <c r="M87" s="621">
        <v>865</v>
      </c>
      <c r="N87" s="620" t="s">
        <v>12202</v>
      </c>
      <c r="O87" s="620" t="s">
        <v>12203</v>
      </c>
    </row>
    <row r="88" spans="1:15">
      <c r="A88" s="620" t="s">
        <v>8553</v>
      </c>
      <c r="B88" s="620" t="s">
        <v>1554</v>
      </c>
      <c r="C88" s="620" t="s">
        <v>9735</v>
      </c>
      <c r="D88" s="620" t="s">
        <v>12913</v>
      </c>
      <c r="E88" s="620" t="s">
        <v>12214</v>
      </c>
      <c r="F88" s="620" t="s">
        <v>335</v>
      </c>
      <c r="G88" s="620">
        <v>1024</v>
      </c>
      <c r="H88" s="621">
        <v>4500000</v>
      </c>
      <c r="I88" s="621">
        <v>450000</v>
      </c>
      <c r="J88" s="621">
        <v>4950000</v>
      </c>
      <c r="K88" s="621">
        <v>0</v>
      </c>
      <c r="L88" s="621">
        <v>4950000</v>
      </c>
      <c r="M88" s="621">
        <v>113</v>
      </c>
      <c r="N88" s="620" t="s">
        <v>12202</v>
      </c>
      <c r="O88" s="620" t="s">
        <v>12203</v>
      </c>
    </row>
    <row r="89" spans="1:15">
      <c r="A89" s="620" t="s">
        <v>8553</v>
      </c>
      <c r="B89" s="620" t="s">
        <v>12921</v>
      </c>
      <c r="C89" s="620" t="s">
        <v>9735</v>
      </c>
      <c r="D89" s="620" t="s">
        <v>12922</v>
      </c>
      <c r="E89" s="620" t="s">
        <v>12225</v>
      </c>
      <c r="F89" s="620" t="s">
        <v>335</v>
      </c>
      <c r="G89" s="620">
        <v>512</v>
      </c>
      <c r="H89" s="621">
        <v>2260000</v>
      </c>
      <c r="I89" s="621">
        <v>226000</v>
      </c>
      <c r="J89" s="621">
        <v>2486000</v>
      </c>
      <c r="K89" s="621">
        <v>0</v>
      </c>
      <c r="L89" s="621">
        <v>2486000</v>
      </c>
      <c r="M89" s="621">
        <v>833</v>
      </c>
      <c r="N89" s="620" t="s">
        <v>12202</v>
      </c>
      <c r="O89" s="620" t="s">
        <v>12203</v>
      </c>
    </row>
    <row r="90" spans="1:15">
      <c r="A90" s="620" t="s">
        <v>8553</v>
      </c>
      <c r="B90" s="620" t="s">
        <v>12929</v>
      </c>
      <c r="C90" s="620" t="s">
        <v>9735</v>
      </c>
      <c r="D90" s="620" t="s">
        <v>12930</v>
      </c>
      <c r="E90" s="620" t="s">
        <v>12225</v>
      </c>
      <c r="F90" s="620" t="s">
        <v>335</v>
      </c>
      <c r="G90" s="620">
        <v>512</v>
      </c>
      <c r="H90" s="621">
        <v>2260000</v>
      </c>
      <c r="I90" s="621">
        <v>226000</v>
      </c>
      <c r="J90" s="621">
        <v>2486000</v>
      </c>
      <c r="K90" s="621">
        <v>0</v>
      </c>
      <c r="L90" s="621">
        <v>2486000</v>
      </c>
      <c r="M90" s="621">
        <v>33</v>
      </c>
      <c r="N90" s="620" t="s">
        <v>12202</v>
      </c>
      <c r="O90" s="620" t="s">
        <v>12203</v>
      </c>
    </row>
    <row r="91" spans="1:15">
      <c r="A91" s="620" t="s">
        <v>8553</v>
      </c>
      <c r="B91" s="620" t="s">
        <v>12937</v>
      </c>
      <c r="C91" s="620" t="s">
        <v>9735</v>
      </c>
      <c r="D91" s="620" t="s">
        <v>12938</v>
      </c>
      <c r="E91" s="620" t="s">
        <v>12225</v>
      </c>
      <c r="F91" s="620" t="s">
        <v>335</v>
      </c>
      <c r="G91" s="620">
        <v>512</v>
      </c>
      <c r="H91" s="621">
        <v>2260000</v>
      </c>
      <c r="I91" s="621">
        <v>226000</v>
      </c>
      <c r="J91" s="621">
        <v>2486000</v>
      </c>
      <c r="K91" s="621">
        <v>0</v>
      </c>
      <c r="L91" s="621">
        <v>2486000</v>
      </c>
      <c r="M91" s="621">
        <v>272</v>
      </c>
      <c r="N91" s="620" t="s">
        <v>12202</v>
      </c>
      <c r="O91" s="620" t="s">
        <v>12203</v>
      </c>
    </row>
    <row r="92" spans="1:15">
      <c r="A92" s="620" t="s">
        <v>8553</v>
      </c>
      <c r="B92" s="620" t="s">
        <v>12943</v>
      </c>
      <c r="C92" s="620" t="s">
        <v>9735</v>
      </c>
      <c r="D92" s="620" t="s">
        <v>12944</v>
      </c>
      <c r="E92" s="620" t="s">
        <v>12214</v>
      </c>
      <c r="F92" s="620" t="s">
        <v>335</v>
      </c>
      <c r="G92" s="620">
        <v>1024</v>
      </c>
      <c r="H92" s="621">
        <v>6420000</v>
      </c>
      <c r="I92" s="621">
        <v>642000</v>
      </c>
      <c r="J92" s="621">
        <v>7062000</v>
      </c>
      <c r="K92" s="621">
        <v>0</v>
      </c>
      <c r="L92" s="621">
        <v>7062000</v>
      </c>
      <c r="M92" s="621">
        <v>947</v>
      </c>
      <c r="N92" s="620" t="s">
        <v>12202</v>
      </c>
      <c r="O92" s="620" t="s">
        <v>12203</v>
      </c>
    </row>
    <row r="93" spans="1:15">
      <c r="A93" s="620" t="s">
        <v>8553</v>
      </c>
      <c r="B93" s="620" t="s">
        <v>12952</v>
      </c>
      <c r="C93" s="620" t="s">
        <v>9735</v>
      </c>
      <c r="D93" s="620" t="s">
        <v>12953</v>
      </c>
      <c r="E93" s="620" t="s">
        <v>12214</v>
      </c>
      <c r="F93" s="620" t="s">
        <v>335</v>
      </c>
      <c r="G93" s="620">
        <v>1024</v>
      </c>
      <c r="H93" s="621">
        <v>4500000</v>
      </c>
      <c r="I93" s="621">
        <v>450000</v>
      </c>
      <c r="J93" s="621">
        <v>4950000</v>
      </c>
      <c r="K93" s="621">
        <v>0</v>
      </c>
      <c r="L93" s="621">
        <v>4950000</v>
      </c>
      <c r="M93" s="621">
        <v>368</v>
      </c>
      <c r="N93" s="620" t="s">
        <v>12202</v>
      </c>
      <c r="O93" s="620" t="s">
        <v>12203</v>
      </c>
    </row>
    <row r="94" spans="1:15">
      <c r="A94" s="620" t="s">
        <v>8553</v>
      </c>
      <c r="B94" s="620" t="s">
        <v>12959</v>
      </c>
      <c r="C94" s="620" t="s">
        <v>9735</v>
      </c>
      <c r="D94" s="620" t="s">
        <v>12960</v>
      </c>
      <c r="E94" s="620" t="s">
        <v>12255</v>
      </c>
      <c r="F94" s="620" t="s">
        <v>335</v>
      </c>
      <c r="G94" s="620">
        <v>2048</v>
      </c>
      <c r="H94" s="621">
        <v>7860000</v>
      </c>
      <c r="I94" s="621">
        <v>786000</v>
      </c>
      <c r="J94" s="621">
        <v>8646000</v>
      </c>
      <c r="K94" s="621">
        <v>0</v>
      </c>
      <c r="L94" s="621">
        <v>8646000</v>
      </c>
      <c r="M94" s="621">
        <v>233</v>
      </c>
      <c r="N94" s="620" t="s">
        <v>12202</v>
      </c>
      <c r="O94" s="620" t="s">
        <v>12203</v>
      </c>
    </row>
    <row r="95" spans="1:15">
      <c r="A95" s="620" t="s">
        <v>8553</v>
      </c>
      <c r="B95" s="620" t="s">
        <v>12967</v>
      </c>
      <c r="C95" s="620" t="s">
        <v>9735</v>
      </c>
      <c r="D95" s="620" t="s">
        <v>12968</v>
      </c>
      <c r="E95" s="620" t="s">
        <v>12225</v>
      </c>
      <c r="F95" s="620" t="s">
        <v>335</v>
      </c>
      <c r="G95" s="620">
        <v>512</v>
      </c>
      <c r="H95" s="621">
        <v>2260000</v>
      </c>
      <c r="I95" s="621">
        <v>226000</v>
      </c>
      <c r="J95" s="621">
        <v>2486000</v>
      </c>
      <c r="K95" s="621">
        <v>0</v>
      </c>
      <c r="L95" s="621">
        <v>2486000</v>
      </c>
      <c r="M95" s="621">
        <v>507</v>
      </c>
      <c r="N95" s="620" t="s">
        <v>12202</v>
      </c>
      <c r="O95" s="620" t="s">
        <v>12203</v>
      </c>
    </row>
    <row r="96" spans="1:15">
      <c r="A96" s="620" t="s">
        <v>8553</v>
      </c>
      <c r="B96" s="620" t="s">
        <v>12974</v>
      </c>
      <c r="C96" s="620" t="s">
        <v>9735</v>
      </c>
      <c r="D96" s="620" t="s">
        <v>12975</v>
      </c>
      <c r="E96" s="620" t="s">
        <v>12225</v>
      </c>
      <c r="F96" s="620" t="s">
        <v>335</v>
      </c>
      <c r="G96" s="620">
        <v>512</v>
      </c>
      <c r="H96" s="621">
        <v>2260000</v>
      </c>
      <c r="I96" s="621">
        <v>226000</v>
      </c>
      <c r="J96" s="621">
        <v>2486000</v>
      </c>
      <c r="K96" s="621">
        <v>0</v>
      </c>
      <c r="L96" s="621">
        <v>2486000</v>
      </c>
      <c r="M96" s="621">
        <v>841</v>
      </c>
      <c r="N96" s="620" t="s">
        <v>12202</v>
      </c>
      <c r="O96" s="620" t="s">
        <v>12203</v>
      </c>
    </row>
    <row r="97" spans="1:15">
      <c r="A97" s="620" t="s">
        <v>8553</v>
      </c>
      <c r="B97" s="620" t="s">
        <v>12979</v>
      </c>
      <c r="C97" s="620" t="s">
        <v>9735</v>
      </c>
      <c r="D97" s="620" t="s">
        <v>12980</v>
      </c>
      <c r="E97" s="620" t="s">
        <v>12225</v>
      </c>
      <c r="F97" s="620" t="s">
        <v>335</v>
      </c>
      <c r="G97" s="620">
        <v>512</v>
      </c>
      <c r="H97" s="621">
        <v>3220000</v>
      </c>
      <c r="I97" s="621">
        <v>322000</v>
      </c>
      <c r="J97" s="621">
        <v>3542000</v>
      </c>
      <c r="K97" s="621">
        <v>0</v>
      </c>
      <c r="L97" s="621">
        <v>3542000</v>
      </c>
      <c r="M97" s="621">
        <v>432</v>
      </c>
      <c r="N97" s="620" t="s">
        <v>12202</v>
      </c>
      <c r="O97" s="620" t="s">
        <v>12203</v>
      </c>
    </row>
    <row r="98" spans="1:15">
      <c r="A98" s="620" t="s">
        <v>8553</v>
      </c>
      <c r="B98" s="620" t="s">
        <v>12986</v>
      </c>
      <c r="C98" s="620" t="s">
        <v>9735</v>
      </c>
      <c r="D98" s="620" t="s">
        <v>12987</v>
      </c>
      <c r="E98" s="620" t="s">
        <v>12225</v>
      </c>
      <c r="F98" s="620" t="s">
        <v>335</v>
      </c>
      <c r="G98" s="620">
        <v>512</v>
      </c>
      <c r="H98" s="621">
        <v>2260000</v>
      </c>
      <c r="I98" s="621">
        <v>226000</v>
      </c>
      <c r="J98" s="621">
        <v>2486000</v>
      </c>
      <c r="K98" s="621">
        <v>0</v>
      </c>
      <c r="L98" s="621">
        <v>2486000</v>
      </c>
      <c r="M98" s="621">
        <v>915</v>
      </c>
      <c r="N98" s="620" t="s">
        <v>12202</v>
      </c>
      <c r="O98" s="620" t="s">
        <v>12203</v>
      </c>
    </row>
    <row r="99" spans="1:15">
      <c r="A99" s="620" t="s">
        <v>8553</v>
      </c>
      <c r="B99" s="620" t="s">
        <v>12992</v>
      </c>
      <c r="C99" s="620" t="s">
        <v>9735</v>
      </c>
      <c r="D99" s="620" t="s">
        <v>12993</v>
      </c>
      <c r="E99" s="620" t="s">
        <v>12225</v>
      </c>
      <c r="F99" s="620" t="s">
        <v>335</v>
      </c>
      <c r="G99" s="620">
        <v>512</v>
      </c>
      <c r="H99" s="621">
        <v>2260000</v>
      </c>
      <c r="I99" s="621">
        <v>226000</v>
      </c>
      <c r="J99" s="621">
        <v>2486000</v>
      </c>
      <c r="K99" s="621">
        <v>0</v>
      </c>
      <c r="L99" s="621">
        <v>2486000</v>
      </c>
      <c r="M99" s="621">
        <v>107</v>
      </c>
      <c r="N99" s="620" t="s">
        <v>12202</v>
      </c>
      <c r="O99" s="620" t="s">
        <v>12203</v>
      </c>
    </row>
    <row r="100" spans="1:15">
      <c r="A100" s="620" t="s">
        <v>8553</v>
      </c>
      <c r="B100" s="620" t="s">
        <v>12998</v>
      </c>
      <c r="C100" s="620" t="s">
        <v>9735</v>
      </c>
      <c r="D100" s="620" t="s">
        <v>12999</v>
      </c>
      <c r="E100" s="620" t="s">
        <v>12214</v>
      </c>
      <c r="F100" s="620" t="s">
        <v>335</v>
      </c>
      <c r="G100" s="620">
        <v>1024</v>
      </c>
      <c r="H100" s="621">
        <v>4500000</v>
      </c>
      <c r="I100" s="621">
        <v>450000</v>
      </c>
      <c r="J100" s="621">
        <v>4950000</v>
      </c>
      <c r="K100" s="621">
        <v>0</v>
      </c>
      <c r="L100" s="621">
        <v>4950000</v>
      </c>
      <c r="M100" s="621">
        <v>24</v>
      </c>
      <c r="N100" s="620" t="s">
        <v>12202</v>
      </c>
      <c r="O100" s="620" t="s">
        <v>12203</v>
      </c>
    </row>
    <row r="101" spans="1:15">
      <c r="A101" s="620" t="s">
        <v>8553</v>
      </c>
      <c r="B101" s="620" t="s">
        <v>13004</v>
      </c>
      <c r="C101" s="620" t="s">
        <v>9735</v>
      </c>
      <c r="D101" s="620" t="s">
        <v>13005</v>
      </c>
      <c r="E101" s="620" t="s">
        <v>12255</v>
      </c>
      <c r="F101" s="620" t="s">
        <v>335</v>
      </c>
      <c r="G101" s="620">
        <v>2048</v>
      </c>
      <c r="H101" s="621">
        <v>7860000</v>
      </c>
      <c r="I101" s="621">
        <v>786000</v>
      </c>
      <c r="J101" s="621">
        <v>8646000</v>
      </c>
      <c r="K101" s="621">
        <v>0</v>
      </c>
      <c r="L101" s="621">
        <v>8646000</v>
      </c>
      <c r="M101" s="621">
        <v>391</v>
      </c>
      <c r="N101" s="620" t="s">
        <v>12202</v>
      </c>
      <c r="O101" s="620" t="s">
        <v>12203</v>
      </c>
    </row>
    <row r="102" spans="1:15">
      <c r="A102" s="620" t="s">
        <v>8553</v>
      </c>
      <c r="B102" s="620" t="s">
        <v>13012</v>
      </c>
      <c r="C102" s="620" t="s">
        <v>9735</v>
      </c>
      <c r="D102" s="620" t="s">
        <v>13013</v>
      </c>
      <c r="E102" s="620" t="s">
        <v>12225</v>
      </c>
      <c r="F102" s="620" t="s">
        <v>335</v>
      </c>
      <c r="G102" s="620">
        <v>512</v>
      </c>
      <c r="H102" s="621">
        <v>2260000</v>
      </c>
      <c r="I102" s="621">
        <v>226000</v>
      </c>
      <c r="J102" s="621">
        <v>2486000</v>
      </c>
      <c r="K102" s="621">
        <v>0</v>
      </c>
      <c r="L102" s="621">
        <v>2486000</v>
      </c>
      <c r="M102" s="621">
        <v>556</v>
      </c>
      <c r="N102" s="620" t="s">
        <v>12202</v>
      </c>
      <c r="O102" s="620" t="s">
        <v>12203</v>
      </c>
    </row>
    <row r="103" spans="1:15">
      <c r="A103" s="620" t="s">
        <v>8553</v>
      </c>
      <c r="B103" s="620" t="s">
        <v>13020</v>
      </c>
      <c r="C103" s="620" t="s">
        <v>9735</v>
      </c>
      <c r="D103" s="620" t="s">
        <v>13021</v>
      </c>
      <c r="E103" s="620" t="s">
        <v>12225</v>
      </c>
      <c r="F103" s="620" t="s">
        <v>335</v>
      </c>
      <c r="G103" s="620">
        <v>512</v>
      </c>
      <c r="H103" s="621">
        <v>3220000</v>
      </c>
      <c r="I103" s="621">
        <v>322000</v>
      </c>
      <c r="J103" s="621">
        <v>3542000</v>
      </c>
      <c r="K103" s="621">
        <v>0</v>
      </c>
      <c r="L103" s="621">
        <v>3542000</v>
      </c>
      <c r="M103" s="621">
        <v>242</v>
      </c>
      <c r="N103" s="620" t="s">
        <v>12202</v>
      </c>
      <c r="O103" s="620" t="s">
        <v>12203</v>
      </c>
    </row>
    <row r="104" spans="1:15">
      <c r="A104" s="620" t="s">
        <v>8553</v>
      </c>
      <c r="B104" s="620" t="s">
        <v>13028</v>
      </c>
      <c r="C104" s="620" t="s">
        <v>9735</v>
      </c>
      <c r="D104" s="620" t="s">
        <v>13029</v>
      </c>
      <c r="E104" s="620" t="s">
        <v>12225</v>
      </c>
      <c r="F104" s="620" t="s">
        <v>335</v>
      </c>
      <c r="G104" s="620">
        <v>512</v>
      </c>
      <c r="H104" s="621">
        <v>2260000</v>
      </c>
      <c r="I104" s="621">
        <v>226000</v>
      </c>
      <c r="J104" s="621">
        <v>2486000</v>
      </c>
      <c r="K104" s="621">
        <v>0</v>
      </c>
      <c r="L104" s="621">
        <v>2486000</v>
      </c>
      <c r="M104" s="621">
        <v>724</v>
      </c>
      <c r="N104" s="620" t="s">
        <v>12202</v>
      </c>
      <c r="O104" s="620" t="s">
        <v>12203</v>
      </c>
    </row>
    <row r="105" spans="1:15">
      <c r="A105" s="620" t="s">
        <v>8553</v>
      </c>
      <c r="B105" s="620" t="s">
        <v>13034</v>
      </c>
      <c r="C105" s="620" t="s">
        <v>9735</v>
      </c>
      <c r="D105" s="620" t="s">
        <v>13035</v>
      </c>
      <c r="E105" s="620" t="s">
        <v>12225</v>
      </c>
      <c r="F105" s="620" t="s">
        <v>335</v>
      </c>
      <c r="G105" s="620">
        <v>512</v>
      </c>
      <c r="H105" s="621">
        <v>2260000</v>
      </c>
      <c r="I105" s="621">
        <v>226000</v>
      </c>
      <c r="J105" s="621">
        <v>2486000</v>
      </c>
      <c r="K105" s="621">
        <v>0</v>
      </c>
      <c r="L105" s="621">
        <v>2486000</v>
      </c>
      <c r="M105" s="621">
        <v>312</v>
      </c>
      <c r="N105" s="620" t="s">
        <v>12202</v>
      </c>
      <c r="O105" s="620" t="s">
        <v>12203</v>
      </c>
    </row>
    <row r="106" spans="1:15">
      <c r="A106" s="620" t="s">
        <v>8553</v>
      </c>
      <c r="B106" s="620" t="s">
        <v>13041</v>
      </c>
      <c r="C106" s="620" t="s">
        <v>9735</v>
      </c>
      <c r="D106" s="620" t="s">
        <v>13042</v>
      </c>
      <c r="E106" s="620" t="s">
        <v>12225</v>
      </c>
      <c r="F106" s="620" t="s">
        <v>335</v>
      </c>
      <c r="G106" s="620">
        <v>512</v>
      </c>
      <c r="H106" s="621">
        <v>2260000</v>
      </c>
      <c r="I106" s="621">
        <v>226000</v>
      </c>
      <c r="J106" s="621">
        <v>2486000</v>
      </c>
      <c r="K106" s="621">
        <v>0</v>
      </c>
      <c r="L106" s="621">
        <v>2486000</v>
      </c>
      <c r="M106" s="621">
        <v>707</v>
      </c>
      <c r="N106" s="620" t="s">
        <v>12202</v>
      </c>
      <c r="O106" s="620" t="s">
        <v>12203</v>
      </c>
    </row>
    <row r="107" spans="1:15">
      <c r="A107" s="620" t="s">
        <v>8553</v>
      </c>
      <c r="B107" s="620" t="s">
        <v>13048</v>
      </c>
      <c r="C107" s="620" t="s">
        <v>9735</v>
      </c>
      <c r="D107" s="620" t="s">
        <v>13049</v>
      </c>
      <c r="E107" s="620" t="s">
        <v>12214</v>
      </c>
      <c r="F107" s="620" t="s">
        <v>335</v>
      </c>
      <c r="G107" s="620">
        <v>1024</v>
      </c>
      <c r="H107" s="621">
        <v>4500000</v>
      </c>
      <c r="I107" s="621">
        <v>450000</v>
      </c>
      <c r="J107" s="621">
        <v>4950000</v>
      </c>
      <c r="K107" s="621">
        <v>0</v>
      </c>
      <c r="L107" s="621">
        <v>4950000</v>
      </c>
      <c r="M107" s="621">
        <v>513</v>
      </c>
      <c r="N107" s="620" t="s">
        <v>12202</v>
      </c>
      <c r="O107" s="620" t="s">
        <v>12203</v>
      </c>
    </row>
    <row r="108" spans="1:15">
      <c r="A108" s="620" t="s">
        <v>8553</v>
      </c>
      <c r="B108" s="620" t="s">
        <v>13054</v>
      </c>
      <c r="C108" s="620" t="s">
        <v>9735</v>
      </c>
      <c r="D108" s="620" t="s">
        <v>13055</v>
      </c>
      <c r="E108" s="620" t="s">
        <v>12225</v>
      </c>
      <c r="F108" s="620" t="s">
        <v>335</v>
      </c>
      <c r="G108" s="620">
        <v>512</v>
      </c>
      <c r="H108" s="621">
        <v>2260000</v>
      </c>
      <c r="I108" s="621">
        <v>226000</v>
      </c>
      <c r="J108" s="621">
        <v>2486000</v>
      </c>
      <c r="K108" s="621">
        <v>0</v>
      </c>
      <c r="L108" s="621">
        <v>2486000</v>
      </c>
      <c r="M108" s="621">
        <v>752</v>
      </c>
      <c r="N108" s="620" t="s">
        <v>12202</v>
      </c>
      <c r="O108" s="620" t="s">
        <v>12203</v>
      </c>
    </row>
    <row r="109" spans="1:15">
      <c r="A109" s="620" t="s">
        <v>8553</v>
      </c>
      <c r="B109" s="620" t="s">
        <v>13061</v>
      </c>
      <c r="C109" s="620" t="s">
        <v>9735</v>
      </c>
      <c r="D109" s="620" t="s">
        <v>13062</v>
      </c>
      <c r="E109" s="620" t="s">
        <v>12225</v>
      </c>
      <c r="F109" s="620" t="s">
        <v>335</v>
      </c>
      <c r="G109" s="620">
        <v>512</v>
      </c>
      <c r="H109" s="621">
        <v>2260000</v>
      </c>
      <c r="I109" s="621">
        <v>226000</v>
      </c>
      <c r="J109" s="621">
        <v>2486000</v>
      </c>
      <c r="K109" s="621">
        <v>0</v>
      </c>
      <c r="L109" s="621">
        <v>2486000</v>
      </c>
      <c r="M109" s="621">
        <v>57</v>
      </c>
      <c r="N109" s="620" t="s">
        <v>12202</v>
      </c>
      <c r="O109" s="620" t="s">
        <v>12203</v>
      </c>
    </row>
    <row r="110" spans="1:15">
      <c r="A110" s="620" t="s">
        <v>8553</v>
      </c>
      <c r="B110" s="620" t="s">
        <v>13069</v>
      </c>
      <c r="C110" s="620" t="s">
        <v>9735</v>
      </c>
      <c r="D110" s="620" t="s">
        <v>13070</v>
      </c>
      <c r="E110" s="620" t="s">
        <v>12225</v>
      </c>
      <c r="F110" s="620" t="s">
        <v>335</v>
      </c>
      <c r="G110" s="620">
        <v>512</v>
      </c>
      <c r="H110" s="621">
        <v>2260000</v>
      </c>
      <c r="I110" s="621">
        <v>226000</v>
      </c>
      <c r="J110" s="621">
        <v>2486000</v>
      </c>
      <c r="K110" s="621">
        <v>0</v>
      </c>
      <c r="L110" s="621">
        <v>2486000</v>
      </c>
      <c r="M110" s="621">
        <v>107</v>
      </c>
      <c r="N110" s="620" t="s">
        <v>12202</v>
      </c>
      <c r="O110" s="620" t="s">
        <v>12203</v>
      </c>
    </row>
    <row r="111" spans="1:15">
      <c r="A111" s="620" t="s">
        <v>8553</v>
      </c>
      <c r="B111" s="620" t="s">
        <v>13075</v>
      </c>
      <c r="C111" s="620" t="s">
        <v>9735</v>
      </c>
      <c r="D111" s="620" t="s">
        <v>13076</v>
      </c>
      <c r="E111" s="620" t="s">
        <v>12225</v>
      </c>
      <c r="F111" s="620" t="s">
        <v>107</v>
      </c>
      <c r="G111" s="620">
        <v>512</v>
      </c>
      <c r="H111" s="621">
        <v>5220000</v>
      </c>
      <c r="I111" s="621">
        <v>522000</v>
      </c>
      <c r="J111" s="621">
        <v>5742000</v>
      </c>
      <c r="K111" s="621">
        <v>0</v>
      </c>
      <c r="L111" s="621">
        <v>5742000</v>
      </c>
      <c r="M111" s="621">
        <v>553</v>
      </c>
      <c r="N111" s="620" t="s">
        <v>12202</v>
      </c>
      <c r="O111" s="620" t="s">
        <v>12203</v>
      </c>
    </row>
    <row r="112" spans="1:15">
      <c r="A112" s="620" t="s">
        <v>8553</v>
      </c>
      <c r="B112" s="620" t="s">
        <v>13083</v>
      </c>
      <c r="C112" s="620" t="s">
        <v>9735</v>
      </c>
      <c r="D112" s="620" t="s">
        <v>13084</v>
      </c>
      <c r="E112" s="620" t="s">
        <v>12214</v>
      </c>
      <c r="F112" s="620" t="s">
        <v>107</v>
      </c>
      <c r="G112" s="620">
        <v>1024</v>
      </c>
      <c r="H112" s="621">
        <v>10420000</v>
      </c>
      <c r="I112" s="621">
        <v>1042000</v>
      </c>
      <c r="J112" s="621">
        <v>11462000</v>
      </c>
      <c r="K112" s="621">
        <v>0</v>
      </c>
      <c r="L112" s="621">
        <v>11462000</v>
      </c>
      <c r="M112" s="621">
        <v>415</v>
      </c>
      <c r="N112" s="620" t="s">
        <v>12202</v>
      </c>
      <c r="O112" s="620" t="s">
        <v>12203</v>
      </c>
    </row>
    <row r="113" spans="1:15">
      <c r="A113" s="620" t="s">
        <v>8553</v>
      </c>
      <c r="B113" s="620" t="s">
        <v>13090</v>
      </c>
      <c r="C113" s="620" t="s">
        <v>9735</v>
      </c>
      <c r="D113" s="620" t="s">
        <v>13091</v>
      </c>
      <c r="E113" s="620" t="s">
        <v>12214</v>
      </c>
      <c r="F113" s="620" t="s">
        <v>107</v>
      </c>
      <c r="G113" s="620">
        <v>1024</v>
      </c>
      <c r="H113" s="621">
        <v>10420000</v>
      </c>
      <c r="I113" s="621">
        <v>1042000</v>
      </c>
      <c r="J113" s="621">
        <v>11462000</v>
      </c>
      <c r="K113" s="621">
        <v>0</v>
      </c>
      <c r="L113" s="621">
        <v>11462000</v>
      </c>
      <c r="M113" s="621">
        <v>763</v>
      </c>
      <c r="N113" s="620" t="s">
        <v>12202</v>
      </c>
      <c r="O113" s="620" t="s">
        <v>12203</v>
      </c>
    </row>
    <row r="114" spans="1:15">
      <c r="A114" s="620" t="s">
        <v>8553</v>
      </c>
      <c r="B114" s="620"/>
      <c r="C114" s="620" t="s">
        <v>9735</v>
      </c>
      <c r="D114" s="620" t="s">
        <v>13096</v>
      </c>
      <c r="E114" s="620" t="s">
        <v>12214</v>
      </c>
      <c r="F114" s="620" t="s">
        <v>107</v>
      </c>
      <c r="G114" s="620">
        <v>1024</v>
      </c>
      <c r="H114" s="621">
        <v>10420000</v>
      </c>
      <c r="I114" s="621">
        <v>1042000</v>
      </c>
      <c r="J114" s="621">
        <v>11462000</v>
      </c>
      <c r="K114" s="621">
        <v>0</v>
      </c>
      <c r="L114" s="621">
        <v>11462000</v>
      </c>
      <c r="M114" s="621">
        <v>587</v>
      </c>
      <c r="N114" s="620" t="s">
        <v>12202</v>
      </c>
      <c r="O114" s="620" t="s">
        <v>12203</v>
      </c>
    </row>
    <row r="115" spans="1:15">
      <c r="A115" s="620" t="s">
        <v>8553</v>
      </c>
      <c r="B115" s="620" t="s">
        <v>13102</v>
      </c>
      <c r="C115" s="620" t="s">
        <v>9735</v>
      </c>
      <c r="D115" s="620" t="s">
        <v>13103</v>
      </c>
      <c r="E115" s="620" t="s">
        <v>12214</v>
      </c>
      <c r="F115" s="620" t="s">
        <v>107</v>
      </c>
      <c r="G115" s="620">
        <v>1024</v>
      </c>
      <c r="H115" s="621">
        <v>10420000</v>
      </c>
      <c r="I115" s="621">
        <v>1042000</v>
      </c>
      <c r="J115" s="621">
        <v>11462000</v>
      </c>
      <c r="K115" s="621">
        <v>0</v>
      </c>
      <c r="L115" s="621">
        <v>11462000</v>
      </c>
      <c r="M115" s="621">
        <v>694</v>
      </c>
      <c r="N115" s="620" t="s">
        <v>12202</v>
      </c>
      <c r="O115" s="620" t="s">
        <v>12203</v>
      </c>
    </row>
    <row r="116" spans="1:15">
      <c r="A116" s="620" t="s">
        <v>8553</v>
      </c>
      <c r="B116" s="620" t="s">
        <v>13108</v>
      </c>
      <c r="C116" s="620" t="s">
        <v>9735</v>
      </c>
      <c r="D116" s="620" t="s">
        <v>13109</v>
      </c>
      <c r="E116" s="620" t="s">
        <v>12214</v>
      </c>
      <c r="F116" s="620" t="s">
        <v>107</v>
      </c>
      <c r="G116" s="620">
        <v>1024</v>
      </c>
      <c r="H116" s="621">
        <v>10420000</v>
      </c>
      <c r="I116" s="621">
        <v>1042000</v>
      </c>
      <c r="J116" s="621">
        <v>11462000</v>
      </c>
      <c r="K116" s="621">
        <v>0</v>
      </c>
      <c r="L116" s="621">
        <v>11462000</v>
      </c>
      <c r="M116" s="621">
        <v>26</v>
      </c>
      <c r="N116" s="620" t="s">
        <v>12202</v>
      </c>
      <c r="O116" s="620" t="s">
        <v>12203</v>
      </c>
    </row>
    <row r="117" spans="1:15">
      <c r="A117" s="620" t="s">
        <v>8553</v>
      </c>
      <c r="B117" s="620" t="s">
        <v>13115</v>
      </c>
      <c r="C117" s="620" t="s">
        <v>9735</v>
      </c>
      <c r="D117" s="620" t="s">
        <v>446</v>
      </c>
      <c r="E117" s="620" t="s">
        <v>12255</v>
      </c>
      <c r="F117" s="620" t="s">
        <v>107</v>
      </c>
      <c r="G117" s="620">
        <v>2048</v>
      </c>
      <c r="H117" s="621">
        <v>18220000</v>
      </c>
      <c r="I117" s="621">
        <v>1822000</v>
      </c>
      <c r="J117" s="621">
        <v>20042000</v>
      </c>
      <c r="K117" s="621">
        <v>0</v>
      </c>
      <c r="L117" s="621">
        <v>20042000</v>
      </c>
      <c r="M117" s="621">
        <v>240</v>
      </c>
      <c r="N117" s="620" t="s">
        <v>12202</v>
      </c>
      <c r="O117" s="620" t="s">
        <v>12203</v>
      </c>
    </row>
    <row r="118" spans="1:15">
      <c r="A118" s="620" t="s">
        <v>8553</v>
      </c>
      <c r="B118" s="620" t="s">
        <v>13122</v>
      </c>
      <c r="C118" s="620" t="s">
        <v>9735</v>
      </c>
      <c r="D118" s="620" t="s">
        <v>13123</v>
      </c>
      <c r="E118" s="620" t="s">
        <v>12214</v>
      </c>
      <c r="F118" s="620" t="s">
        <v>107</v>
      </c>
      <c r="G118" s="620">
        <v>1024</v>
      </c>
      <c r="H118" s="621">
        <v>10420000</v>
      </c>
      <c r="I118" s="621">
        <v>1042000</v>
      </c>
      <c r="J118" s="621">
        <v>11462000</v>
      </c>
      <c r="K118" s="621">
        <v>0</v>
      </c>
      <c r="L118" s="621">
        <v>11462000</v>
      </c>
      <c r="M118" s="621">
        <v>715</v>
      </c>
      <c r="N118" s="620" t="s">
        <v>12202</v>
      </c>
      <c r="O118" s="620" t="s">
        <v>12203</v>
      </c>
    </row>
    <row r="119" spans="1:15">
      <c r="A119" s="620" t="s">
        <v>8553</v>
      </c>
      <c r="B119" s="620" t="s">
        <v>13128</v>
      </c>
      <c r="C119" s="620" t="s">
        <v>9735</v>
      </c>
      <c r="D119" s="620" t="s">
        <v>13129</v>
      </c>
      <c r="E119" s="620" t="s">
        <v>12214</v>
      </c>
      <c r="F119" s="620" t="s">
        <v>107</v>
      </c>
      <c r="G119" s="620">
        <v>1024</v>
      </c>
      <c r="H119" s="621">
        <v>10420000</v>
      </c>
      <c r="I119" s="621">
        <v>1042000</v>
      </c>
      <c r="J119" s="621">
        <v>11462000</v>
      </c>
      <c r="K119" s="621">
        <v>0</v>
      </c>
      <c r="L119" s="621">
        <v>11462000</v>
      </c>
      <c r="M119" s="621">
        <v>844</v>
      </c>
      <c r="N119" s="620" t="s">
        <v>12202</v>
      </c>
      <c r="O119" s="620" t="s">
        <v>12203</v>
      </c>
    </row>
    <row r="120" spans="1:15">
      <c r="A120" s="620" t="s">
        <v>8553</v>
      </c>
      <c r="B120" s="620" t="s">
        <v>13135</v>
      </c>
      <c r="C120" s="620" t="s">
        <v>9735</v>
      </c>
      <c r="D120" s="620" t="s">
        <v>13136</v>
      </c>
      <c r="E120" s="620" t="s">
        <v>12214</v>
      </c>
      <c r="F120" s="620" t="s">
        <v>107</v>
      </c>
      <c r="G120" s="620">
        <v>1024</v>
      </c>
      <c r="H120" s="621">
        <v>10420000</v>
      </c>
      <c r="I120" s="621">
        <v>1042000</v>
      </c>
      <c r="J120" s="621">
        <v>11462000</v>
      </c>
      <c r="K120" s="621">
        <v>0</v>
      </c>
      <c r="L120" s="621">
        <v>11462000</v>
      </c>
      <c r="M120" s="621">
        <v>554</v>
      </c>
      <c r="N120" s="620" t="s">
        <v>12202</v>
      </c>
      <c r="O120" s="620" t="s">
        <v>12203</v>
      </c>
    </row>
    <row r="121" spans="1:15">
      <c r="A121" s="620" t="s">
        <v>8553</v>
      </c>
      <c r="B121" s="620" t="s">
        <v>12921</v>
      </c>
      <c r="C121" s="620" t="s">
        <v>9735</v>
      </c>
      <c r="D121" s="620" t="s">
        <v>13141</v>
      </c>
      <c r="E121" s="620" t="s">
        <v>12214</v>
      </c>
      <c r="F121" s="620" t="s">
        <v>107</v>
      </c>
      <c r="G121" s="620">
        <v>1024</v>
      </c>
      <c r="H121" s="621">
        <v>10420000</v>
      </c>
      <c r="I121" s="621">
        <v>1042000</v>
      </c>
      <c r="J121" s="621">
        <v>11462000</v>
      </c>
      <c r="K121" s="621">
        <v>0</v>
      </c>
      <c r="L121" s="621">
        <v>11462000</v>
      </c>
      <c r="M121" s="621">
        <v>90</v>
      </c>
      <c r="N121" s="620" t="s">
        <v>12202</v>
      </c>
      <c r="O121" s="620" t="s">
        <v>12203</v>
      </c>
    </row>
    <row r="122" spans="1:15">
      <c r="A122" s="620" t="s">
        <v>8553</v>
      </c>
      <c r="B122" s="620" t="s">
        <v>13146</v>
      </c>
      <c r="C122" s="620" t="s">
        <v>9735</v>
      </c>
      <c r="D122" s="620" t="s">
        <v>13147</v>
      </c>
      <c r="E122" s="620" t="s">
        <v>12214</v>
      </c>
      <c r="F122" s="620" t="s">
        <v>107</v>
      </c>
      <c r="G122" s="620">
        <v>1024</v>
      </c>
      <c r="H122" s="621">
        <v>10420000</v>
      </c>
      <c r="I122" s="621">
        <v>1042000</v>
      </c>
      <c r="J122" s="621">
        <v>11462000</v>
      </c>
      <c r="K122" s="621">
        <v>0</v>
      </c>
      <c r="L122" s="621">
        <v>11462000</v>
      </c>
      <c r="M122" s="621">
        <v>476</v>
      </c>
      <c r="N122" s="620" t="s">
        <v>12202</v>
      </c>
      <c r="O122" s="620" t="s">
        <v>12203</v>
      </c>
    </row>
    <row r="123" spans="1:15">
      <c r="A123" s="620" t="s">
        <v>8553</v>
      </c>
      <c r="B123" s="620" t="s">
        <v>834</v>
      </c>
      <c r="C123" s="620" t="s">
        <v>9735</v>
      </c>
      <c r="D123" s="620" t="s">
        <v>13154</v>
      </c>
      <c r="E123" s="620" t="s">
        <v>12214</v>
      </c>
      <c r="F123" s="620" t="s">
        <v>107</v>
      </c>
      <c r="G123" s="620">
        <v>1024</v>
      </c>
      <c r="H123" s="621">
        <v>10420000</v>
      </c>
      <c r="I123" s="621">
        <v>1042000</v>
      </c>
      <c r="J123" s="621">
        <v>11462000</v>
      </c>
      <c r="K123" s="621">
        <v>0</v>
      </c>
      <c r="L123" s="621">
        <v>11462000</v>
      </c>
      <c r="M123" s="621">
        <v>584</v>
      </c>
      <c r="N123" s="620" t="s">
        <v>12202</v>
      </c>
      <c r="O123" s="620" t="s">
        <v>12203</v>
      </c>
    </row>
    <row r="124" spans="1:15">
      <c r="A124" s="620" t="s">
        <v>8553</v>
      </c>
      <c r="B124" s="620" t="s">
        <v>12244</v>
      </c>
      <c r="C124" s="620" t="s">
        <v>9735</v>
      </c>
      <c r="D124" s="620" t="s">
        <v>13162</v>
      </c>
      <c r="E124" s="620" t="s">
        <v>12214</v>
      </c>
      <c r="F124" s="620" t="s">
        <v>107</v>
      </c>
      <c r="G124" s="620">
        <v>1024</v>
      </c>
      <c r="H124" s="621">
        <v>10420000</v>
      </c>
      <c r="I124" s="621">
        <v>1042000</v>
      </c>
      <c r="J124" s="621">
        <v>11462000</v>
      </c>
      <c r="K124" s="621">
        <v>0</v>
      </c>
      <c r="L124" s="621">
        <v>11462000</v>
      </c>
      <c r="M124" s="621">
        <v>894</v>
      </c>
      <c r="N124" s="620" t="s">
        <v>12202</v>
      </c>
      <c r="O124" s="620" t="s">
        <v>12203</v>
      </c>
    </row>
    <row r="125" spans="1:15">
      <c r="A125" s="620" t="s">
        <v>8553</v>
      </c>
      <c r="B125" s="620" t="s">
        <v>13168</v>
      </c>
      <c r="C125" s="620" t="s">
        <v>9735</v>
      </c>
      <c r="D125" s="620" t="s">
        <v>13169</v>
      </c>
      <c r="E125" s="620" t="s">
        <v>12214</v>
      </c>
      <c r="F125" s="620" t="s">
        <v>107</v>
      </c>
      <c r="G125" s="620">
        <v>1024</v>
      </c>
      <c r="H125" s="621">
        <v>10420000</v>
      </c>
      <c r="I125" s="621">
        <v>1042000</v>
      </c>
      <c r="J125" s="621">
        <v>11462000</v>
      </c>
      <c r="K125" s="621">
        <v>0</v>
      </c>
      <c r="L125" s="621">
        <v>11462000</v>
      </c>
      <c r="M125" s="621">
        <v>59</v>
      </c>
      <c r="N125" s="620" t="s">
        <v>12202</v>
      </c>
      <c r="O125" s="620" t="s">
        <v>12203</v>
      </c>
    </row>
    <row r="126" spans="1:15">
      <c r="A126" s="620" t="s">
        <v>8553</v>
      </c>
      <c r="B126" s="620"/>
      <c r="C126" s="620" t="s">
        <v>9735</v>
      </c>
      <c r="D126" s="620" t="s">
        <v>13173</v>
      </c>
      <c r="E126" s="620" t="s">
        <v>12214</v>
      </c>
      <c r="F126" s="620" t="s">
        <v>107</v>
      </c>
      <c r="G126" s="620">
        <v>1024</v>
      </c>
      <c r="H126" s="621">
        <v>10420000</v>
      </c>
      <c r="I126" s="621">
        <v>1042000</v>
      </c>
      <c r="J126" s="621">
        <v>11462000</v>
      </c>
      <c r="K126" s="621">
        <v>0</v>
      </c>
      <c r="L126" s="621">
        <v>11462000</v>
      </c>
      <c r="M126" s="621">
        <v>411</v>
      </c>
      <c r="N126" s="620" t="s">
        <v>12202</v>
      </c>
      <c r="O126" s="620" t="s">
        <v>12203</v>
      </c>
    </row>
    <row r="127" spans="1:15">
      <c r="A127" s="620" t="s">
        <v>8553</v>
      </c>
      <c r="B127" s="620" t="s">
        <v>13179</v>
      </c>
      <c r="C127" s="620" t="s">
        <v>9735</v>
      </c>
      <c r="D127" s="620" t="s">
        <v>13180</v>
      </c>
      <c r="E127" s="620" t="s">
        <v>12214</v>
      </c>
      <c r="F127" s="620" t="s">
        <v>107</v>
      </c>
      <c r="G127" s="620">
        <v>1024</v>
      </c>
      <c r="H127" s="621">
        <v>10420000</v>
      </c>
      <c r="I127" s="621">
        <v>1042000</v>
      </c>
      <c r="J127" s="621">
        <v>11462000</v>
      </c>
      <c r="K127" s="621">
        <v>0</v>
      </c>
      <c r="L127" s="621">
        <v>11462000</v>
      </c>
      <c r="M127" s="621">
        <v>825</v>
      </c>
      <c r="N127" s="620" t="s">
        <v>12202</v>
      </c>
      <c r="O127" s="620" t="s">
        <v>12203</v>
      </c>
    </row>
    <row r="128" spans="1:15">
      <c r="A128" s="620" t="s">
        <v>8553</v>
      </c>
      <c r="B128" s="620" t="s">
        <v>13184</v>
      </c>
      <c r="C128" s="620" t="s">
        <v>9735</v>
      </c>
      <c r="D128" s="620" t="s">
        <v>13185</v>
      </c>
      <c r="E128" s="620" t="s">
        <v>12214</v>
      </c>
      <c r="F128" s="620" t="s">
        <v>107</v>
      </c>
      <c r="G128" s="620">
        <v>1024</v>
      </c>
      <c r="H128" s="621">
        <v>10420000</v>
      </c>
      <c r="I128" s="621">
        <v>1042000</v>
      </c>
      <c r="J128" s="621">
        <v>11462000</v>
      </c>
      <c r="K128" s="621">
        <v>0</v>
      </c>
      <c r="L128" s="621">
        <v>11462000</v>
      </c>
      <c r="M128" s="621">
        <v>548</v>
      </c>
      <c r="N128" s="620" t="s">
        <v>12202</v>
      </c>
      <c r="O128" s="620" t="s">
        <v>12203</v>
      </c>
    </row>
    <row r="129" spans="1:15">
      <c r="A129" s="620" t="s">
        <v>8553</v>
      </c>
      <c r="B129" s="620" t="s">
        <v>13191</v>
      </c>
      <c r="C129" s="620" t="s">
        <v>9735</v>
      </c>
      <c r="D129" s="620" t="s">
        <v>13192</v>
      </c>
      <c r="E129" s="620" t="s">
        <v>12214</v>
      </c>
      <c r="F129" s="620" t="s">
        <v>107</v>
      </c>
      <c r="G129" s="620">
        <v>1024</v>
      </c>
      <c r="H129" s="621">
        <v>10420000</v>
      </c>
      <c r="I129" s="621">
        <v>1042000</v>
      </c>
      <c r="J129" s="621">
        <v>11462000</v>
      </c>
      <c r="K129" s="621">
        <v>0</v>
      </c>
      <c r="L129" s="621">
        <v>11462000</v>
      </c>
      <c r="M129" s="621">
        <v>655</v>
      </c>
      <c r="N129" s="620" t="s">
        <v>12202</v>
      </c>
      <c r="O129" s="620" t="s">
        <v>12203</v>
      </c>
    </row>
    <row r="130" spans="1:15">
      <c r="A130" s="620" t="s">
        <v>8553</v>
      </c>
      <c r="B130" s="620" t="s">
        <v>13196</v>
      </c>
      <c r="C130" s="620" t="s">
        <v>9735</v>
      </c>
      <c r="D130" s="620" t="s">
        <v>13197</v>
      </c>
      <c r="E130" s="620" t="s">
        <v>12214</v>
      </c>
      <c r="F130" s="620" t="s">
        <v>107</v>
      </c>
      <c r="G130" s="620">
        <v>1024</v>
      </c>
      <c r="H130" s="621">
        <v>10420000</v>
      </c>
      <c r="I130" s="621">
        <v>1042000</v>
      </c>
      <c r="J130" s="621">
        <v>11462000</v>
      </c>
      <c r="K130" s="621">
        <v>0</v>
      </c>
      <c r="L130" s="621">
        <v>11462000</v>
      </c>
      <c r="M130" s="621">
        <v>239</v>
      </c>
      <c r="N130" s="620" t="s">
        <v>12202</v>
      </c>
      <c r="O130" s="620" t="s">
        <v>12203</v>
      </c>
    </row>
    <row r="131" spans="1:15">
      <c r="A131" s="620" t="s">
        <v>8553</v>
      </c>
      <c r="B131" s="620" t="s">
        <v>7523</v>
      </c>
      <c r="C131" s="620" t="s">
        <v>9735</v>
      </c>
      <c r="D131" s="620" t="s">
        <v>13201</v>
      </c>
      <c r="E131" s="620" t="s">
        <v>12214</v>
      </c>
      <c r="F131" s="620" t="s">
        <v>107</v>
      </c>
      <c r="G131" s="620">
        <v>1024</v>
      </c>
      <c r="H131" s="621">
        <v>10420000</v>
      </c>
      <c r="I131" s="621">
        <v>1042000</v>
      </c>
      <c r="J131" s="621">
        <v>11462000</v>
      </c>
      <c r="K131" s="621">
        <v>0</v>
      </c>
      <c r="L131" s="621">
        <v>11462000</v>
      </c>
      <c r="M131" s="621">
        <v>919</v>
      </c>
      <c r="N131" s="620" t="s">
        <v>12202</v>
      </c>
      <c r="O131" s="620" t="s">
        <v>12203</v>
      </c>
    </row>
    <row r="132" spans="1:15">
      <c r="A132" s="620" t="s">
        <v>8553</v>
      </c>
      <c r="B132" s="620" t="s">
        <v>11465</v>
      </c>
      <c r="C132" s="620" t="s">
        <v>9735</v>
      </c>
      <c r="D132" s="620" t="s">
        <v>645</v>
      </c>
      <c r="E132" s="620" t="s">
        <v>12255</v>
      </c>
      <c r="F132" s="620" t="s">
        <v>107</v>
      </c>
      <c r="G132" s="620">
        <v>2048</v>
      </c>
      <c r="H132" s="621">
        <v>18220000</v>
      </c>
      <c r="I132" s="621">
        <v>1822000</v>
      </c>
      <c r="J132" s="621">
        <v>20042000</v>
      </c>
      <c r="K132" s="621">
        <v>0</v>
      </c>
      <c r="L132" s="621">
        <v>20042000</v>
      </c>
      <c r="M132" s="621">
        <v>218</v>
      </c>
      <c r="N132" s="620" t="s">
        <v>12202</v>
      </c>
      <c r="O132" s="620" t="s">
        <v>12203</v>
      </c>
    </row>
    <row r="133" spans="1:15">
      <c r="A133" s="620" t="s">
        <v>8553</v>
      </c>
      <c r="B133" s="620"/>
      <c r="C133" s="620" t="s">
        <v>9735</v>
      </c>
      <c r="D133" s="620" t="s">
        <v>13211</v>
      </c>
      <c r="E133" s="620" t="s">
        <v>12214</v>
      </c>
      <c r="F133" s="620" t="s">
        <v>107</v>
      </c>
      <c r="G133" s="620">
        <v>1024</v>
      </c>
      <c r="H133" s="621">
        <v>10420000</v>
      </c>
      <c r="I133" s="621">
        <v>1042000</v>
      </c>
      <c r="J133" s="621">
        <v>11462000</v>
      </c>
      <c r="K133" s="621">
        <v>0</v>
      </c>
      <c r="L133" s="621">
        <v>11462000</v>
      </c>
      <c r="M133" s="621">
        <v>365</v>
      </c>
      <c r="N133" s="620" t="s">
        <v>12202</v>
      </c>
      <c r="O133" s="620" t="s">
        <v>12203</v>
      </c>
    </row>
    <row r="134" spans="1:15">
      <c r="A134" s="620" t="s">
        <v>8553</v>
      </c>
      <c r="B134" s="620" t="s">
        <v>13215</v>
      </c>
      <c r="C134" s="620" t="s">
        <v>9735</v>
      </c>
      <c r="D134" s="620" t="s">
        <v>13216</v>
      </c>
      <c r="E134" s="620" t="s">
        <v>12214</v>
      </c>
      <c r="F134" s="620" t="s">
        <v>107</v>
      </c>
      <c r="G134" s="620">
        <v>1024</v>
      </c>
      <c r="H134" s="621">
        <v>10420000</v>
      </c>
      <c r="I134" s="621">
        <v>1042000</v>
      </c>
      <c r="J134" s="621">
        <v>11462000</v>
      </c>
      <c r="K134" s="621">
        <v>0</v>
      </c>
      <c r="L134" s="621">
        <v>11462000</v>
      </c>
      <c r="M134" s="621">
        <v>286</v>
      </c>
      <c r="N134" s="620" t="s">
        <v>12202</v>
      </c>
      <c r="O134" s="620" t="s">
        <v>12203</v>
      </c>
    </row>
    <row r="135" spans="1:15">
      <c r="A135" s="620" t="s">
        <v>8553</v>
      </c>
      <c r="B135" s="620" t="s">
        <v>13221</v>
      </c>
      <c r="C135" s="620" t="s">
        <v>9735</v>
      </c>
      <c r="D135" s="620" t="s">
        <v>13222</v>
      </c>
      <c r="E135" s="620" t="s">
        <v>12214</v>
      </c>
      <c r="F135" s="620" t="s">
        <v>107</v>
      </c>
      <c r="G135" s="620">
        <v>1024</v>
      </c>
      <c r="H135" s="621">
        <v>10420000</v>
      </c>
      <c r="I135" s="621">
        <v>1042000</v>
      </c>
      <c r="J135" s="621">
        <v>11462000</v>
      </c>
      <c r="K135" s="621">
        <v>0</v>
      </c>
      <c r="L135" s="621">
        <v>11462000</v>
      </c>
      <c r="M135" s="621">
        <v>289</v>
      </c>
      <c r="N135" s="620" t="s">
        <v>12202</v>
      </c>
      <c r="O135" s="620" t="s">
        <v>12203</v>
      </c>
    </row>
    <row r="136" spans="1:15">
      <c r="A136" s="620" t="s">
        <v>8553</v>
      </c>
      <c r="B136" s="620" t="s">
        <v>834</v>
      </c>
      <c r="C136" s="620" t="s">
        <v>9735</v>
      </c>
      <c r="D136" s="620" t="s">
        <v>13227</v>
      </c>
      <c r="E136" s="620" t="s">
        <v>12225</v>
      </c>
      <c r="F136" s="620" t="s">
        <v>335</v>
      </c>
      <c r="G136" s="620">
        <v>512</v>
      </c>
      <c r="H136" s="621">
        <v>2260000</v>
      </c>
      <c r="I136" s="621">
        <v>226000</v>
      </c>
      <c r="J136" s="621">
        <v>2486000</v>
      </c>
      <c r="K136" s="621">
        <v>0</v>
      </c>
      <c r="L136" s="621">
        <v>2486000</v>
      </c>
      <c r="M136" s="621">
        <v>232</v>
      </c>
      <c r="N136" s="620" t="s">
        <v>12202</v>
      </c>
      <c r="O136" s="620" t="s">
        <v>12203</v>
      </c>
    </row>
    <row r="137" spans="1:15">
      <c r="A137" s="620" t="s">
        <v>8553</v>
      </c>
      <c r="B137" s="620" t="s">
        <v>13232</v>
      </c>
      <c r="C137" s="620" t="s">
        <v>9735</v>
      </c>
      <c r="D137" s="620" t="s">
        <v>12144</v>
      </c>
      <c r="E137" s="620" t="s">
        <v>12255</v>
      </c>
      <c r="F137" s="620" t="s">
        <v>107</v>
      </c>
      <c r="G137" s="620">
        <v>2048</v>
      </c>
      <c r="H137" s="621">
        <v>18220000</v>
      </c>
      <c r="I137" s="621">
        <v>1822000</v>
      </c>
      <c r="J137" s="621">
        <v>20042000</v>
      </c>
      <c r="K137" s="621">
        <v>0</v>
      </c>
      <c r="L137" s="621">
        <v>20042000</v>
      </c>
      <c r="M137" s="621">
        <v>344</v>
      </c>
      <c r="N137" s="620" t="s">
        <v>12202</v>
      </c>
      <c r="O137" s="620" t="s">
        <v>12203</v>
      </c>
    </row>
    <row r="138" spans="1:15">
      <c r="A138" s="620" t="s">
        <v>8553</v>
      </c>
      <c r="B138" s="620" t="s">
        <v>13240</v>
      </c>
      <c r="C138" s="620" t="s">
        <v>9735</v>
      </c>
      <c r="D138" s="620" t="s">
        <v>887</v>
      </c>
      <c r="E138" s="620" t="s">
        <v>12214</v>
      </c>
      <c r="F138" s="620" t="s">
        <v>107</v>
      </c>
      <c r="G138" s="620">
        <v>1024</v>
      </c>
      <c r="H138" s="621">
        <v>10420000</v>
      </c>
      <c r="I138" s="621">
        <v>1042000</v>
      </c>
      <c r="J138" s="621">
        <v>11462000</v>
      </c>
      <c r="K138" s="621">
        <v>0</v>
      </c>
      <c r="L138" s="621">
        <v>11462000</v>
      </c>
      <c r="M138" s="621">
        <v>485</v>
      </c>
      <c r="N138" s="620" t="s">
        <v>12202</v>
      </c>
      <c r="O138" s="620" t="s">
        <v>12203</v>
      </c>
    </row>
    <row r="139" spans="1:15">
      <c r="A139" s="620" t="s">
        <v>8553</v>
      </c>
      <c r="B139" s="620" t="s">
        <v>13245</v>
      </c>
      <c r="C139" s="620" t="s">
        <v>9735</v>
      </c>
      <c r="D139" s="620" t="s">
        <v>13246</v>
      </c>
      <c r="E139" s="620" t="s">
        <v>12214</v>
      </c>
      <c r="F139" s="620" t="s">
        <v>107</v>
      </c>
      <c r="G139" s="620">
        <v>1024</v>
      </c>
      <c r="H139" s="621">
        <v>10420000</v>
      </c>
      <c r="I139" s="621">
        <v>1042000</v>
      </c>
      <c r="J139" s="621">
        <v>11462000</v>
      </c>
      <c r="K139" s="621">
        <v>0</v>
      </c>
      <c r="L139" s="621">
        <v>11462000</v>
      </c>
      <c r="M139" s="621">
        <v>169</v>
      </c>
      <c r="N139" s="620" t="s">
        <v>12202</v>
      </c>
      <c r="O139" s="620" t="s">
        <v>12203</v>
      </c>
    </row>
    <row r="140" spans="1:15">
      <c r="A140" s="620" t="s">
        <v>8553</v>
      </c>
      <c r="B140" s="620" t="s">
        <v>13252</v>
      </c>
      <c r="C140" s="620" t="s">
        <v>9735</v>
      </c>
      <c r="D140" s="620" t="s">
        <v>13253</v>
      </c>
      <c r="E140" s="620" t="s">
        <v>12214</v>
      </c>
      <c r="F140" s="620" t="s">
        <v>107</v>
      </c>
      <c r="G140" s="620">
        <v>1024</v>
      </c>
      <c r="H140" s="621">
        <v>10420000</v>
      </c>
      <c r="I140" s="621">
        <v>1042000</v>
      </c>
      <c r="J140" s="621">
        <v>11462000</v>
      </c>
      <c r="K140" s="621">
        <v>0</v>
      </c>
      <c r="L140" s="621">
        <v>11462000</v>
      </c>
      <c r="M140" s="621">
        <v>55</v>
      </c>
      <c r="N140" s="620" t="s">
        <v>12202</v>
      </c>
      <c r="O140" s="620" t="s">
        <v>12203</v>
      </c>
    </row>
    <row r="141" spans="1:15">
      <c r="A141" s="620" t="s">
        <v>8553</v>
      </c>
      <c r="B141" s="620" t="s">
        <v>13259</v>
      </c>
      <c r="C141" s="620" t="s">
        <v>9735</v>
      </c>
      <c r="D141" s="620" t="s">
        <v>873</v>
      </c>
      <c r="E141" s="620" t="s">
        <v>12255</v>
      </c>
      <c r="F141" s="620" t="s">
        <v>335</v>
      </c>
      <c r="G141" s="620">
        <v>2048</v>
      </c>
      <c r="H141" s="621">
        <v>7860000</v>
      </c>
      <c r="I141" s="621">
        <v>786000</v>
      </c>
      <c r="J141" s="621">
        <v>8646000</v>
      </c>
      <c r="K141" s="621">
        <v>0</v>
      </c>
      <c r="L141" s="621">
        <v>8646000</v>
      </c>
      <c r="M141" s="621">
        <v>836</v>
      </c>
      <c r="N141" s="620" t="s">
        <v>12202</v>
      </c>
      <c r="O141" s="620" t="s">
        <v>12203</v>
      </c>
    </row>
    <row r="142" spans="1:15">
      <c r="A142" s="620" t="s">
        <v>8553</v>
      </c>
      <c r="B142" s="620" t="s">
        <v>13240</v>
      </c>
      <c r="C142" s="620" t="s">
        <v>9735</v>
      </c>
      <c r="D142" s="620" t="s">
        <v>13264</v>
      </c>
      <c r="E142" s="620" t="s">
        <v>12225</v>
      </c>
      <c r="F142" s="620" t="s">
        <v>335</v>
      </c>
      <c r="G142" s="620">
        <v>512</v>
      </c>
      <c r="H142" s="621">
        <v>2260000</v>
      </c>
      <c r="I142" s="621">
        <v>226000</v>
      </c>
      <c r="J142" s="621">
        <v>2486000</v>
      </c>
      <c r="K142" s="621">
        <v>0</v>
      </c>
      <c r="L142" s="621">
        <v>2486000</v>
      </c>
      <c r="M142" s="621">
        <v>557</v>
      </c>
      <c r="N142" s="620" t="s">
        <v>12202</v>
      </c>
      <c r="O142" s="620" t="s">
        <v>12203</v>
      </c>
    </row>
    <row r="143" spans="1:15">
      <c r="A143" s="620" t="s">
        <v>8553</v>
      </c>
      <c r="B143" s="620"/>
      <c r="C143" s="620" t="s">
        <v>9735</v>
      </c>
      <c r="D143" s="620" t="s">
        <v>13271</v>
      </c>
      <c r="E143" s="620" t="s">
        <v>12214</v>
      </c>
      <c r="F143" s="620" t="s">
        <v>107</v>
      </c>
      <c r="G143" s="620">
        <v>1024</v>
      </c>
      <c r="H143" s="621">
        <v>10420000</v>
      </c>
      <c r="I143" s="621">
        <v>1042000</v>
      </c>
      <c r="J143" s="621">
        <v>11462000</v>
      </c>
      <c r="K143" s="621">
        <v>0</v>
      </c>
      <c r="L143" s="621">
        <v>11462000</v>
      </c>
      <c r="M143" s="621">
        <v>575</v>
      </c>
      <c r="N143" s="620" t="s">
        <v>12202</v>
      </c>
      <c r="O143" s="620" t="s">
        <v>12203</v>
      </c>
    </row>
    <row r="144" spans="1:15">
      <c r="A144" s="620" t="s">
        <v>8553</v>
      </c>
      <c r="B144" s="620" t="s">
        <v>13275</v>
      </c>
      <c r="C144" s="620" t="s">
        <v>9735</v>
      </c>
      <c r="D144" s="620" t="s">
        <v>13276</v>
      </c>
      <c r="E144" s="620" t="s">
        <v>12214</v>
      </c>
      <c r="F144" s="620" t="s">
        <v>107</v>
      </c>
      <c r="G144" s="620">
        <v>1024</v>
      </c>
      <c r="H144" s="621">
        <v>10420000</v>
      </c>
      <c r="I144" s="621">
        <v>1042000</v>
      </c>
      <c r="J144" s="621">
        <v>11462000</v>
      </c>
      <c r="K144" s="621">
        <v>0</v>
      </c>
      <c r="L144" s="621">
        <v>11462000</v>
      </c>
      <c r="M144" s="621">
        <v>728</v>
      </c>
      <c r="N144" s="620" t="s">
        <v>12202</v>
      </c>
      <c r="O144" s="620" t="s">
        <v>12203</v>
      </c>
    </row>
    <row r="145" spans="1:15">
      <c r="A145" s="620" t="s">
        <v>8553</v>
      </c>
      <c r="B145" s="620" t="s">
        <v>13281</v>
      </c>
      <c r="C145" s="620" t="s">
        <v>9735</v>
      </c>
      <c r="D145" s="620" t="s">
        <v>13282</v>
      </c>
      <c r="E145" s="620" t="s">
        <v>12214</v>
      </c>
      <c r="F145" s="620" t="s">
        <v>107</v>
      </c>
      <c r="G145" s="620">
        <v>1024</v>
      </c>
      <c r="H145" s="621">
        <v>10420000</v>
      </c>
      <c r="I145" s="621">
        <v>1042000</v>
      </c>
      <c r="J145" s="621">
        <v>11462000</v>
      </c>
      <c r="K145" s="621">
        <v>0</v>
      </c>
      <c r="L145" s="621">
        <v>11462000</v>
      </c>
      <c r="M145" s="621">
        <v>830</v>
      </c>
      <c r="N145" s="620" t="s">
        <v>12202</v>
      </c>
      <c r="O145" s="620" t="s">
        <v>12203</v>
      </c>
    </row>
    <row r="146" spans="1:15">
      <c r="A146" s="620" t="s">
        <v>8553</v>
      </c>
      <c r="B146" s="620" t="s">
        <v>13287</v>
      </c>
      <c r="C146" s="620" t="s">
        <v>9735</v>
      </c>
      <c r="D146" s="620" t="s">
        <v>13288</v>
      </c>
      <c r="E146" s="620" t="s">
        <v>12214</v>
      </c>
      <c r="F146" s="620" t="s">
        <v>107</v>
      </c>
      <c r="G146" s="620">
        <v>1024</v>
      </c>
      <c r="H146" s="621">
        <v>10420000</v>
      </c>
      <c r="I146" s="621">
        <v>1042000</v>
      </c>
      <c r="J146" s="621">
        <v>11462000</v>
      </c>
      <c r="K146" s="621">
        <v>0</v>
      </c>
      <c r="L146" s="621">
        <v>11462000</v>
      </c>
      <c r="M146" s="621">
        <v>594</v>
      </c>
      <c r="N146" s="620" t="s">
        <v>12202</v>
      </c>
      <c r="O146" s="620" t="s">
        <v>12203</v>
      </c>
    </row>
    <row r="147" spans="1:15">
      <c r="A147" s="620" t="s">
        <v>8553</v>
      </c>
      <c r="B147" s="620" t="s">
        <v>13292</v>
      </c>
      <c r="C147" s="620" t="s">
        <v>9735</v>
      </c>
      <c r="D147" s="620" t="s">
        <v>13293</v>
      </c>
      <c r="E147" s="620" t="s">
        <v>12214</v>
      </c>
      <c r="F147" s="620" t="s">
        <v>107</v>
      </c>
      <c r="G147" s="620">
        <v>1024</v>
      </c>
      <c r="H147" s="621">
        <v>10420000</v>
      </c>
      <c r="I147" s="621">
        <v>1042000</v>
      </c>
      <c r="J147" s="621">
        <v>11462000</v>
      </c>
      <c r="K147" s="621">
        <v>0</v>
      </c>
      <c r="L147" s="621">
        <v>11462000</v>
      </c>
      <c r="M147" s="621">
        <v>177</v>
      </c>
      <c r="N147" s="620" t="s">
        <v>12202</v>
      </c>
      <c r="O147" s="620" t="s">
        <v>12203</v>
      </c>
    </row>
    <row r="148" spans="1:15">
      <c r="A148" s="620" t="s">
        <v>8553</v>
      </c>
      <c r="B148" s="620"/>
      <c r="C148" s="620" t="s">
        <v>9735</v>
      </c>
      <c r="D148" s="620" t="s">
        <v>13299</v>
      </c>
      <c r="E148" s="620" t="s">
        <v>12214</v>
      </c>
      <c r="F148" s="620" t="s">
        <v>107</v>
      </c>
      <c r="G148" s="620">
        <v>1024</v>
      </c>
      <c r="H148" s="621">
        <v>10420000</v>
      </c>
      <c r="I148" s="621">
        <v>1042000</v>
      </c>
      <c r="J148" s="621">
        <v>11462000</v>
      </c>
      <c r="K148" s="621">
        <v>0</v>
      </c>
      <c r="L148" s="621">
        <v>11462000</v>
      </c>
      <c r="M148" s="621">
        <v>575</v>
      </c>
      <c r="N148" s="620" t="s">
        <v>12202</v>
      </c>
      <c r="O148" s="620" t="s">
        <v>12203</v>
      </c>
    </row>
    <row r="149" spans="1:15">
      <c r="A149" s="620" t="s">
        <v>8553</v>
      </c>
      <c r="B149" s="620" t="s">
        <v>13304</v>
      </c>
      <c r="C149" s="620" t="s">
        <v>9735</v>
      </c>
      <c r="D149" s="620" t="s">
        <v>13305</v>
      </c>
      <c r="E149" s="620" t="s">
        <v>12214</v>
      </c>
      <c r="F149" s="620" t="s">
        <v>107</v>
      </c>
      <c r="G149" s="620">
        <v>1024</v>
      </c>
      <c r="H149" s="621">
        <v>10420000</v>
      </c>
      <c r="I149" s="621">
        <v>1042000</v>
      </c>
      <c r="J149" s="621">
        <v>11462000</v>
      </c>
      <c r="K149" s="621">
        <v>0</v>
      </c>
      <c r="L149" s="621">
        <v>11462000</v>
      </c>
      <c r="M149" s="621">
        <v>533</v>
      </c>
      <c r="N149" s="620" t="s">
        <v>12202</v>
      </c>
      <c r="O149" s="620" t="s">
        <v>12203</v>
      </c>
    </row>
    <row r="150" spans="1:15">
      <c r="A150" s="620" t="s">
        <v>8553</v>
      </c>
      <c r="B150" s="620"/>
      <c r="C150" s="620" t="s">
        <v>9735</v>
      </c>
      <c r="D150" s="620" t="s">
        <v>697</v>
      </c>
      <c r="E150" s="620" t="s">
        <v>12214</v>
      </c>
      <c r="F150" s="620" t="s">
        <v>107</v>
      </c>
      <c r="G150" s="620">
        <v>1024</v>
      </c>
      <c r="H150" s="621">
        <v>10420000</v>
      </c>
      <c r="I150" s="621">
        <v>1042000</v>
      </c>
      <c r="J150" s="621">
        <v>11462000</v>
      </c>
      <c r="K150" s="621">
        <v>0</v>
      </c>
      <c r="L150" s="621">
        <v>11462000</v>
      </c>
      <c r="M150" s="621">
        <v>328</v>
      </c>
      <c r="N150" s="620" t="s">
        <v>12202</v>
      </c>
      <c r="O150" s="620" t="s">
        <v>12203</v>
      </c>
    </row>
    <row r="151" spans="1:15">
      <c r="A151" s="620" t="s">
        <v>8553</v>
      </c>
      <c r="B151" s="620"/>
      <c r="C151" s="620" t="s">
        <v>9735</v>
      </c>
      <c r="D151" s="620" t="s">
        <v>13314</v>
      </c>
      <c r="E151" s="620" t="s">
        <v>12214</v>
      </c>
      <c r="F151" s="620" t="s">
        <v>107</v>
      </c>
      <c r="G151" s="620">
        <v>1024</v>
      </c>
      <c r="H151" s="621">
        <v>10420000</v>
      </c>
      <c r="I151" s="621">
        <v>1042000</v>
      </c>
      <c r="J151" s="621">
        <v>11462000</v>
      </c>
      <c r="K151" s="621">
        <v>0</v>
      </c>
      <c r="L151" s="621">
        <v>11462000</v>
      </c>
      <c r="M151" s="621">
        <v>170</v>
      </c>
      <c r="N151" s="620" t="s">
        <v>12202</v>
      </c>
      <c r="O151" s="620" t="s">
        <v>12203</v>
      </c>
    </row>
    <row r="152" spans="1:15">
      <c r="A152" s="620" t="s">
        <v>8553</v>
      </c>
      <c r="B152" s="620"/>
      <c r="C152" s="620" t="s">
        <v>9735</v>
      </c>
      <c r="D152" s="620" t="s">
        <v>13319</v>
      </c>
      <c r="E152" s="620" t="s">
        <v>12214</v>
      </c>
      <c r="F152" s="620" t="s">
        <v>107</v>
      </c>
      <c r="G152" s="620">
        <v>1024</v>
      </c>
      <c r="H152" s="621">
        <v>10420000</v>
      </c>
      <c r="I152" s="621">
        <v>1042000</v>
      </c>
      <c r="J152" s="621">
        <v>11462000</v>
      </c>
      <c r="K152" s="621">
        <v>0</v>
      </c>
      <c r="L152" s="621">
        <v>11462000</v>
      </c>
      <c r="M152" s="621">
        <v>120</v>
      </c>
      <c r="N152" s="620" t="s">
        <v>12202</v>
      </c>
      <c r="O152" s="620" t="s">
        <v>12203</v>
      </c>
    </row>
    <row r="153" spans="1:15">
      <c r="A153" s="620" t="s">
        <v>8553</v>
      </c>
      <c r="B153" s="620" t="s">
        <v>13323</v>
      </c>
      <c r="C153" s="620" t="s">
        <v>9735</v>
      </c>
      <c r="D153" s="620" t="s">
        <v>13324</v>
      </c>
      <c r="E153" s="620" t="s">
        <v>12255</v>
      </c>
      <c r="F153" s="620" t="s">
        <v>107</v>
      </c>
      <c r="G153" s="620">
        <v>2048</v>
      </c>
      <c r="H153" s="621">
        <v>18220000</v>
      </c>
      <c r="I153" s="621">
        <v>1822000</v>
      </c>
      <c r="J153" s="621">
        <v>20042000</v>
      </c>
      <c r="K153" s="621">
        <v>0</v>
      </c>
      <c r="L153" s="621">
        <v>20042000</v>
      </c>
      <c r="M153" s="621">
        <v>657</v>
      </c>
      <c r="N153" s="620" t="s">
        <v>12202</v>
      </c>
      <c r="O153" s="620" t="s">
        <v>12203</v>
      </c>
    </row>
    <row r="154" spans="1:15">
      <c r="A154" s="620" t="s">
        <v>8553</v>
      </c>
      <c r="B154" s="620"/>
      <c r="C154" s="620" t="s">
        <v>9735</v>
      </c>
      <c r="D154" s="620" t="s">
        <v>744</v>
      </c>
      <c r="E154" s="620" t="s">
        <v>12214</v>
      </c>
      <c r="F154" s="620" t="s">
        <v>107</v>
      </c>
      <c r="G154" s="620">
        <v>1024</v>
      </c>
      <c r="H154" s="621">
        <v>10420000</v>
      </c>
      <c r="I154" s="621">
        <v>1042000</v>
      </c>
      <c r="J154" s="621">
        <v>11462000</v>
      </c>
      <c r="K154" s="621">
        <v>0</v>
      </c>
      <c r="L154" s="621">
        <v>11462000</v>
      </c>
      <c r="M154" s="621">
        <v>499</v>
      </c>
      <c r="N154" s="620" t="s">
        <v>12202</v>
      </c>
      <c r="O154" s="620" t="s">
        <v>12203</v>
      </c>
    </row>
    <row r="155" spans="1:15">
      <c r="A155" s="620" t="s">
        <v>8553</v>
      </c>
      <c r="B155" s="620"/>
      <c r="C155" s="620" t="s">
        <v>9735</v>
      </c>
      <c r="D155" s="620" t="s">
        <v>13335</v>
      </c>
      <c r="E155" s="620" t="s">
        <v>12214</v>
      </c>
      <c r="F155" s="620" t="s">
        <v>107</v>
      </c>
      <c r="G155" s="620">
        <v>1024</v>
      </c>
      <c r="H155" s="621">
        <v>10420000</v>
      </c>
      <c r="I155" s="621">
        <v>1042000</v>
      </c>
      <c r="J155" s="621">
        <v>11462000</v>
      </c>
      <c r="K155" s="621">
        <v>0</v>
      </c>
      <c r="L155" s="621">
        <v>11462000</v>
      </c>
      <c r="M155" s="621">
        <v>405</v>
      </c>
      <c r="N155" s="620" t="s">
        <v>12202</v>
      </c>
      <c r="O155" s="620" t="s">
        <v>12203</v>
      </c>
    </row>
    <row r="156" spans="1:15">
      <c r="A156" s="620" t="s">
        <v>8553</v>
      </c>
      <c r="B156" s="620"/>
      <c r="C156" s="620" t="s">
        <v>9735</v>
      </c>
      <c r="D156" s="620" t="s">
        <v>13340</v>
      </c>
      <c r="E156" s="620" t="s">
        <v>12214</v>
      </c>
      <c r="F156" s="620" t="s">
        <v>107</v>
      </c>
      <c r="G156" s="620">
        <v>1024</v>
      </c>
      <c r="H156" s="621">
        <v>10420000</v>
      </c>
      <c r="I156" s="621">
        <v>1042000</v>
      </c>
      <c r="J156" s="621">
        <v>11462000</v>
      </c>
      <c r="K156" s="621">
        <v>0</v>
      </c>
      <c r="L156" s="621">
        <v>11462000</v>
      </c>
      <c r="M156" s="621">
        <v>146</v>
      </c>
      <c r="N156" s="620" t="s">
        <v>12202</v>
      </c>
      <c r="O156" s="620" t="s">
        <v>12203</v>
      </c>
    </row>
    <row r="157" spans="1:15">
      <c r="A157" s="620" t="s">
        <v>8553</v>
      </c>
      <c r="B157" s="620" t="s">
        <v>13345</v>
      </c>
      <c r="C157" s="620" t="s">
        <v>9735</v>
      </c>
      <c r="D157" s="620" t="s">
        <v>13346</v>
      </c>
      <c r="E157" s="620" t="s">
        <v>12214</v>
      </c>
      <c r="F157" s="620" t="s">
        <v>107</v>
      </c>
      <c r="G157" s="620">
        <v>1024</v>
      </c>
      <c r="H157" s="621">
        <v>10420000</v>
      </c>
      <c r="I157" s="621">
        <v>1042000</v>
      </c>
      <c r="J157" s="621">
        <v>11462000</v>
      </c>
      <c r="K157" s="621">
        <v>0</v>
      </c>
      <c r="L157" s="621">
        <v>11462000</v>
      </c>
      <c r="M157" s="621">
        <v>928</v>
      </c>
      <c r="N157" s="620" t="s">
        <v>12202</v>
      </c>
      <c r="O157" s="620" t="s">
        <v>12203</v>
      </c>
    </row>
    <row r="158" spans="1:15">
      <c r="A158" s="620" t="s">
        <v>8553</v>
      </c>
      <c r="B158" s="620"/>
      <c r="C158" s="620" t="s">
        <v>9735</v>
      </c>
      <c r="D158" s="620" t="s">
        <v>13351</v>
      </c>
      <c r="E158" s="620" t="s">
        <v>12214</v>
      </c>
      <c r="F158" s="620" t="s">
        <v>107</v>
      </c>
      <c r="G158" s="620">
        <v>1024</v>
      </c>
      <c r="H158" s="621">
        <v>10420000</v>
      </c>
      <c r="I158" s="621">
        <v>1042000</v>
      </c>
      <c r="J158" s="621">
        <v>11462000</v>
      </c>
      <c r="K158" s="621">
        <v>0</v>
      </c>
      <c r="L158" s="621">
        <v>11462000</v>
      </c>
      <c r="M158" s="621">
        <v>43</v>
      </c>
      <c r="N158" s="620" t="s">
        <v>12202</v>
      </c>
      <c r="O158" s="620" t="s">
        <v>12203</v>
      </c>
    </row>
    <row r="159" spans="1:15">
      <c r="A159" s="620" t="s">
        <v>8553</v>
      </c>
      <c r="B159" s="620" t="s">
        <v>4340</v>
      </c>
      <c r="C159" s="620" t="s">
        <v>9735</v>
      </c>
      <c r="D159" s="620" t="s">
        <v>13357</v>
      </c>
      <c r="E159" s="620" t="s">
        <v>12225</v>
      </c>
      <c r="F159" s="620" t="s">
        <v>335</v>
      </c>
      <c r="G159" s="620">
        <v>512</v>
      </c>
      <c r="H159" s="621">
        <v>2260000</v>
      </c>
      <c r="I159" s="621">
        <v>226000</v>
      </c>
      <c r="J159" s="621">
        <v>2486000</v>
      </c>
      <c r="K159" s="621">
        <v>0</v>
      </c>
      <c r="L159" s="621">
        <v>2486000</v>
      </c>
      <c r="M159" s="621">
        <v>720</v>
      </c>
      <c r="N159" s="620" t="s">
        <v>12202</v>
      </c>
      <c r="O159" s="620" t="s">
        <v>12203</v>
      </c>
    </row>
    <row r="160" spans="1:15">
      <c r="A160" s="620" t="s">
        <v>8553</v>
      </c>
      <c r="B160" s="620" t="s">
        <v>13364</v>
      </c>
      <c r="C160" s="620" t="s">
        <v>9735</v>
      </c>
      <c r="D160" s="620" t="s">
        <v>13365</v>
      </c>
      <c r="E160" s="620" t="s">
        <v>12255</v>
      </c>
      <c r="F160" s="620" t="s">
        <v>107</v>
      </c>
      <c r="G160" s="620">
        <v>2048</v>
      </c>
      <c r="H160" s="621">
        <v>18220000</v>
      </c>
      <c r="I160" s="621">
        <v>1822000</v>
      </c>
      <c r="J160" s="621">
        <v>20042000</v>
      </c>
      <c r="K160" s="621">
        <v>0</v>
      </c>
      <c r="L160" s="621">
        <v>20042000</v>
      </c>
      <c r="M160" s="621">
        <v>805</v>
      </c>
      <c r="N160" s="620" t="s">
        <v>12202</v>
      </c>
      <c r="O160" s="620" t="s">
        <v>12203</v>
      </c>
    </row>
    <row r="161" spans="1:15">
      <c r="A161" s="620" t="s">
        <v>8553</v>
      </c>
      <c r="B161" s="620" t="s">
        <v>13396</v>
      </c>
      <c r="C161" s="620" t="s">
        <v>9735</v>
      </c>
      <c r="D161" s="620" t="s">
        <v>13397</v>
      </c>
      <c r="E161" s="620" t="s">
        <v>12225</v>
      </c>
      <c r="F161" s="620" t="s">
        <v>335</v>
      </c>
      <c r="G161" s="620">
        <v>512</v>
      </c>
      <c r="H161" s="621">
        <v>2260000</v>
      </c>
      <c r="I161" s="621">
        <v>226000</v>
      </c>
      <c r="J161" s="621">
        <v>2486000</v>
      </c>
      <c r="K161" s="621">
        <v>0</v>
      </c>
      <c r="L161" s="621">
        <v>2486000</v>
      </c>
      <c r="M161" s="621">
        <v>243</v>
      </c>
      <c r="N161" s="620" t="s">
        <v>12202</v>
      </c>
      <c r="O161" s="620" t="s">
        <v>12203</v>
      </c>
    </row>
    <row r="162" spans="1:15">
      <c r="A162" s="620" t="s">
        <v>8553</v>
      </c>
      <c r="B162" s="620" t="s">
        <v>13402</v>
      </c>
      <c r="C162" s="620" t="s">
        <v>9735</v>
      </c>
      <c r="D162" s="620" t="s">
        <v>13403</v>
      </c>
      <c r="E162" s="620" t="s">
        <v>12225</v>
      </c>
      <c r="F162" s="620" t="s">
        <v>335</v>
      </c>
      <c r="G162" s="620">
        <v>512</v>
      </c>
      <c r="H162" s="621">
        <v>2260000</v>
      </c>
      <c r="I162" s="621">
        <v>226000</v>
      </c>
      <c r="J162" s="621">
        <v>2486000</v>
      </c>
      <c r="K162" s="621">
        <v>0</v>
      </c>
      <c r="L162" s="621">
        <v>2486000</v>
      </c>
      <c r="M162" s="621">
        <v>53</v>
      </c>
      <c r="N162" s="620" t="s">
        <v>12202</v>
      </c>
      <c r="O162" s="620" t="s">
        <v>12203</v>
      </c>
    </row>
    <row r="163" spans="1:15">
      <c r="A163" s="620" t="s">
        <v>8553</v>
      </c>
      <c r="B163" s="620" t="s">
        <v>13416</v>
      </c>
      <c r="C163" s="620" t="s">
        <v>9735</v>
      </c>
      <c r="D163" s="620" t="s">
        <v>13417</v>
      </c>
      <c r="E163" s="620" t="s">
        <v>12225</v>
      </c>
      <c r="F163" s="620" t="s">
        <v>335</v>
      </c>
      <c r="G163" s="620">
        <v>512</v>
      </c>
      <c r="H163" s="621">
        <v>2260000</v>
      </c>
      <c r="I163" s="621">
        <v>226000</v>
      </c>
      <c r="J163" s="621">
        <v>2486000</v>
      </c>
      <c r="K163" s="621">
        <v>0</v>
      </c>
      <c r="L163" s="621">
        <v>2486000</v>
      </c>
      <c r="M163" s="621">
        <v>593</v>
      </c>
      <c r="N163" s="620" t="s">
        <v>12202</v>
      </c>
      <c r="O163" s="620" t="s">
        <v>12203</v>
      </c>
    </row>
    <row r="164" spans="1:15">
      <c r="A164" s="620" t="s">
        <v>8553</v>
      </c>
      <c r="B164" s="620" t="s">
        <v>13438</v>
      </c>
      <c r="C164" s="620" t="s">
        <v>9735</v>
      </c>
      <c r="D164" s="620" t="s">
        <v>13439</v>
      </c>
      <c r="E164" s="620" t="s">
        <v>12225</v>
      </c>
      <c r="F164" s="620" t="s">
        <v>335</v>
      </c>
      <c r="G164" s="620">
        <v>512</v>
      </c>
      <c r="H164" s="621">
        <v>2260000</v>
      </c>
      <c r="I164" s="621">
        <v>226000</v>
      </c>
      <c r="J164" s="621">
        <v>2486000</v>
      </c>
      <c r="K164" s="621">
        <v>0</v>
      </c>
      <c r="L164" s="621">
        <v>2486000</v>
      </c>
      <c r="M164" s="621">
        <v>949</v>
      </c>
      <c r="N164" s="620" t="s">
        <v>12202</v>
      </c>
      <c r="O164" s="620" t="s">
        <v>12203</v>
      </c>
    </row>
    <row r="165" spans="1:15">
      <c r="A165" s="620" t="s">
        <v>8553</v>
      </c>
      <c r="B165" s="620" t="s">
        <v>13445</v>
      </c>
      <c r="C165" s="620" t="s">
        <v>9735</v>
      </c>
      <c r="D165" s="620" t="s">
        <v>13446</v>
      </c>
      <c r="E165" s="620" t="s">
        <v>12225</v>
      </c>
      <c r="F165" s="620" t="s">
        <v>335</v>
      </c>
      <c r="G165" s="620">
        <v>512</v>
      </c>
      <c r="H165" s="621">
        <v>2260000</v>
      </c>
      <c r="I165" s="621">
        <v>226000</v>
      </c>
      <c r="J165" s="621">
        <v>2486000</v>
      </c>
      <c r="K165" s="621">
        <v>0</v>
      </c>
      <c r="L165" s="621">
        <v>2486000</v>
      </c>
      <c r="M165" s="621">
        <v>618</v>
      </c>
      <c r="N165" s="620" t="s">
        <v>12202</v>
      </c>
      <c r="O165" s="620" t="s">
        <v>12203</v>
      </c>
    </row>
    <row r="166" spans="1:15">
      <c r="A166" s="620" t="s">
        <v>8553</v>
      </c>
      <c r="B166" s="620" t="s">
        <v>13451</v>
      </c>
      <c r="C166" s="620" t="s">
        <v>9735</v>
      </c>
      <c r="D166" s="620" t="s">
        <v>13452</v>
      </c>
      <c r="E166" s="620" t="s">
        <v>12225</v>
      </c>
      <c r="F166" s="620" t="s">
        <v>335</v>
      </c>
      <c r="G166" s="620">
        <v>512</v>
      </c>
      <c r="H166" s="621">
        <v>-452000</v>
      </c>
      <c r="I166" s="621">
        <v>-45200</v>
      </c>
      <c r="J166" s="621">
        <v>-497200</v>
      </c>
      <c r="K166" s="621">
        <v>0</v>
      </c>
      <c r="L166" s="621">
        <v>-497200</v>
      </c>
      <c r="M166" s="621">
        <v>393</v>
      </c>
      <c r="N166" s="620" t="s">
        <v>12202</v>
      </c>
      <c r="O166" s="620" t="s">
        <v>12203</v>
      </c>
    </row>
    <row r="167" spans="1:15">
      <c r="A167" s="620" t="s">
        <v>8553</v>
      </c>
      <c r="B167" s="620" t="s">
        <v>13461</v>
      </c>
      <c r="C167" s="620" t="s">
        <v>9735</v>
      </c>
      <c r="D167" s="620" t="s">
        <v>13462</v>
      </c>
      <c r="E167" s="620" t="s">
        <v>12225</v>
      </c>
      <c r="F167" s="620" t="s">
        <v>335</v>
      </c>
      <c r="G167" s="620">
        <v>512</v>
      </c>
      <c r="H167" s="621">
        <v>2260000</v>
      </c>
      <c r="I167" s="621">
        <v>226000</v>
      </c>
      <c r="J167" s="621">
        <v>2486000</v>
      </c>
      <c r="K167" s="621">
        <v>0</v>
      </c>
      <c r="L167" s="621">
        <v>2486000</v>
      </c>
      <c r="M167" s="621">
        <v>907</v>
      </c>
      <c r="N167" s="620" t="s">
        <v>12202</v>
      </c>
      <c r="O167" s="620" t="s">
        <v>12203</v>
      </c>
    </row>
    <row r="168" spans="1:15">
      <c r="A168" s="620" t="s">
        <v>8553</v>
      </c>
      <c r="B168" s="620" t="s">
        <v>13468</v>
      </c>
      <c r="C168" s="620" t="s">
        <v>9735</v>
      </c>
      <c r="D168" s="620" t="s">
        <v>13469</v>
      </c>
      <c r="E168" s="620" t="s">
        <v>12225</v>
      </c>
      <c r="F168" s="620" t="s">
        <v>335</v>
      </c>
      <c r="G168" s="620">
        <v>512</v>
      </c>
      <c r="H168" s="621">
        <v>644000</v>
      </c>
      <c r="I168" s="621">
        <v>64400</v>
      </c>
      <c r="J168" s="621">
        <v>708400</v>
      </c>
      <c r="K168" s="621">
        <v>0</v>
      </c>
      <c r="L168" s="621">
        <v>708400</v>
      </c>
      <c r="M168" s="621">
        <v>783</v>
      </c>
      <c r="N168" s="620" t="s">
        <v>12202</v>
      </c>
      <c r="O168" s="620" t="s">
        <v>12203</v>
      </c>
    </row>
    <row r="169" spans="1:15">
      <c r="A169" s="620" t="s">
        <v>8553</v>
      </c>
      <c r="B169" s="620" t="s">
        <v>13479</v>
      </c>
      <c r="C169" s="620" t="s">
        <v>9735</v>
      </c>
      <c r="D169" s="620" t="s">
        <v>13480</v>
      </c>
      <c r="E169" s="620" t="s">
        <v>12225</v>
      </c>
      <c r="F169" s="620" t="s">
        <v>335</v>
      </c>
      <c r="G169" s="620">
        <v>512</v>
      </c>
      <c r="H169" s="621">
        <v>2260000</v>
      </c>
      <c r="I169" s="621">
        <v>226000</v>
      </c>
      <c r="J169" s="621">
        <v>2486000</v>
      </c>
      <c r="K169" s="621">
        <v>0</v>
      </c>
      <c r="L169" s="621">
        <v>2486000</v>
      </c>
      <c r="M169" s="621">
        <v>893</v>
      </c>
      <c r="N169" s="620" t="s">
        <v>12202</v>
      </c>
      <c r="O169" s="620" t="s">
        <v>12203</v>
      </c>
    </row>
    <row r="170" spans="1:15">
      <c r="A170" s="620" t="s">
        <v>8553</v>
      </c>
      <c r="B170" s="620" t="s">
        <v>13486</v>
      </c>
      <c r="C170" s="620" t="s">
        <v>9735</v>
      </c>
      <c r="D170" s="620" t="s">
        <v>13487</v>
      </c>
      <c r="E170" s="620" t="s">
        <v>12255</v>
      </c>
      <c r="F170" s="620" t="s">
        <v>335</v>
      </c>
      <c r="G170" s="620">
        <v>2048</v>
      </c>
      <c r="H170" s="621">
        <v>7840000</v>
      </c>
      <c r="I170" s="621">
        <v>784000</v>
      </c>
      <c r="J170" s="621">
        <v>8624000</v>
      </c>
      <c r="K170" s="621">
        <v>0</v>
      </c>
      <c r="L170" s="621">
        <v>8624000</v>
      </c>
      <c r="M170" s="621">
        <v>473</v>
      </c>
      <c r="N170" s="620" t="s">
        <v>12202</v>
      </c>
      <c r="O170" s="620" t="s">
        <v>12203</v>
      </c>
    </row>
    <row r="171" spans="1:15">
      <c r="A171" s="620" t="s">
        <v>8553</v>
      </c>
      <c r="B171" s="620" t="s">
        <v>13502</v>
      </c>
      <c r="C171" s="620" t="s">
        <v>9735</v>
      </c>
      <c r="D171" s="620" t="s">
        <v>13503</v>
      </c>
      <c r="E171" s="620" t="s">
        <v>12660</v>
      </c>
      <c r="F171" s="620" t="s">
        <v>335</v>
      </c>
      <c r="G171" s="620">
        <v>128</v>
      </c>
      <c r="H171" s="621">
        <v>580000</v>
      </c>
      <c r="I171" s="621">
        <v>58000</v>
      </c>
      <c r="J171" s="621">
        <v>638000</v>
      </c>
      <c r="K171" s="621">
        <v>0</v>
      </c>
      <c r="L171" s="621">
        <v>638000</v>
      </c>
      <c r="M171" s="621">
        <v>643</v>
      </c>
      <c r="N171" s="620" t="s">
        <v>12202</v>
      </c>
      <c r="O171" s="620" t="s">
        <v>12203</v>
      </c>
    </row>
    <row r="172" spans="1:15">
      <c r="A172" s="620" t="s">
        <v>8553</v>
      </c>
      <c r="B172" s="620" t="s">
        <v>13511</v>
      </c>
      <c r="C172" s="620" t="s">
        <v>9735</v>
      </c>
      <c r="D172" s="620" t="s">
        <v>13512</v>
      </c>
      <c r="E172" s="620" t="s">
        <v>12214</v>
      </c>
      <c r="F172" s="620" t="s">
        <v>107</v>
      </c>
      <c r="G172" s="620">
        <v>1024</v>
      </c>
      <c r="H172" s="621">
        <v>10420000</v>
      </c>
      <c r="I172" s="621">
        <v>1042000</v>
      </c>
      <c r="J172" s="621">
        <v>11462000</v>
      </c>
      <c r="K172" s="621">
        <v>0</v>
      </c>
      <c r="L172" s="621">
        <v>11462000</v>
      </c>
      <c r="M172" s="621">
        <v>400</v>
      </c>
      <c r="N172" s="620" t="s">
        <v>12202</v>
      </c>
      <c r="O172" s="620" t="s">
        <v>12203</v>
      </c>
    </row>
    <row r="173" spans="1:15">
      <c r="A173" s="620" t="s">
        <v>8553</v>
      </c>
      <c r="B173" s="620" t="s">
        <v>13520</v>
      </c>
      <c r="C173" s="620" t="s">
        <v>9735</v>
      </c>
      <c r="D173" s="620" t="s">
        <v>13521</v>
      </c>
      <c r="E173" s="620" t="s">
        <v>12255</v>
      </c>
      <c r="F173" s="620" t="s">
        <v>107</v>
      </c>
      <c r="G173" s="620">
        <v>2048</v>
      </c>
      <c r="H173" s="621">
        <v>18220000</v>
      </c>
      <c r="I173" s="621">
        <v>1822000</v>
      </c>
      <c r="J173" s="621">
        <v>20042000</v>
      </c>
      <c r="K173" s="621">
        <v>0</v>
      </c>
      <c r="L173" s="621">
        <v>20042000</v>
      </c>
      <c r="M173" s="621">
        <v>533</v>
      </c>
      <c r="N173" s="620" t="s">
        <v>12202</v>
      </c>
      <c r="O173" s="620" t="s">
        <v>12203</v>
      </c>
    </row>
    <row r="174" spans="1:15">
      <c r="A174" s="620" t="s">
        <v>8553</v>
      </c>
      <c r="B174" s="620"/>
      <c r="C174" s="620" t="s">
        <v>9735</v>
      </c>
      <c r="D174" s="620" t="s">
        <v>13526</v>
      </c>
      <c r="E174" s="620" t="s">
        <v>13528</v>
      </c>
      <c r="F174" s="620" t="s">
        <v>107</v>
      </c>
      <c r="G174" s="620">
        <v>307200</v>
      </c>
      <c r="H174" s="621">
        <v>264213548.35434178</v>
      </c>
      <c r="I174" s="621">
        <v>26421354.83543418</v>
      </c>
      <c r="J174" s="621">
        <v>290634903.18977594</v>
      </c>
      <c r="K174" s="621">
        <v>0</v>
      </c>
      <c r="L174" s="621">
        <v>290634903.18977594</v>
      </c>
      <c r="M174" s="621">
        <v>323</v>
      </c>
      <c r="N174" s="620" t="s">
        <v>12202</v>
      </c>
      <c r="O174" s="620" t="s">
        <v>12203</v>
      </c>
    </row>
    <row r="175" spans="1:15">
      <c r="A175" s="620" t="s">
        <v>8553</v>
      </c>
      <c r="B175" s="620" t="s">
        <v>13520</v>
      </c>
      <c r="C175" s="620" t="s">
        <v>9735</v>
      </c>
      <c r="D175" s="620" t="s">
        <v>13534</v>
      </c>
      <c r="E175" s="620" t="s">
        <v>12255</v>
      </c>
      <c r="F175" s="620" t="s">
        <v>335</v>
      </c>
      <c r="G175" s="620">
        <v>2048</v>
      </c>
      <c r="H175" s="621">
        <v>7860000</v>
      </c>
      <c r="I175" s="621">
        <v>786000</v>
      </c>
      <c r="J175" s="621">
        <v>8646000</v>
      </c>
      <c r="K175" s="621">
        <v>0</v>
      </c>
      <c r="L175" s="621">
        <v>8646000</v>
      </c>
      <c r="M175" s="621">
        <v>706</v>
      </c>
      <c r="N175" s="620" t="s">
        <v>12202</v>
      </c>
      <c r="O175" s="620" t="s">
        <v>12203</v>
      </c>
    </row>
    <row r="176" spans="1:15">
      <c r="A176" s="620" t="s">
        <v>8553</v>
      </c>
      <c r="B176" s="620" t="s">
        <v>13540</v>
      </c>
      <c r="C176" s="620" t="s">
        <v>9735</v>
      </c>
      <c r="D176" s="620" t="s">
        <v>13541</v>
      </c>
      <c r="E176" s="620" t="s">
        <v>12225</v>
      </c>
      <c r="F176" s="620" t="s">
        <v>335</v>
      </c>
      <c r="G176" s="620">
        <v>512</v>
      </c>
      <c r="H176" s="621">
        <v>2240000</v>
      </c>
      <c r="I176" s="621">
        <v>224000</v>
      </c>
      <c r="J176" s="621">
        <v>2464000</v>
      </c>
      <c r="K176" s="621">
        <v>0</v>
      </c>
      <c r="L176" s="621">
        <v>2464000</v>
      </c>
      <c r="M176" s="621">
        <v>707</v>
      </c>
      <c r="N176" s="620" t="s">
        <v>12202</v>
      </c>
      <c r="O176" s="620" t="s">
        <v>12203</v>
      </c>
    </row>
    <row r="177" spans="1:15">
      <c r="A177" s="620" t="s">
        <v>8553</v>
      </c>
      <c r="B177" s="620"/>
      <c r="C177" s="620" t="s">
        <v>9735</v>
      </c>
      <c r="D177" s="620" t="s">
        <v>13547</v>
      </c>
      <c r="E177" s="620" t="s">
        <v>13548</v>
      </c>
      <c r="F177" s="620" t="s">
        <v>107</v>
      </c>
      <c r="G177" s="620">
        <v>20480</v>
      </c>
      <c r="H177" s="621">
        <v>52000000</v>
      </c>
      <c r="I177" s="621">
        <v>5200000</v>
      </c>
      <c r="J177" s="621">
        <v>57200000</v>
      </c>
      <c r="K177" s="621">
        <v>0</v>
      </c>
      <c r="L177" s="621">
        <v>57200000</v>
      </c>
      <c r="M177" s="621">
        <v>453</v>
      </c>
      <c r="N177" s="620" t="s">
        <v>12202</v>
      </c>
      <c r="O177" s="620" t="s">
        <v>12203</v>
      </c>
    </row>
    <row r="178" spans="1:15">
      <c r="A178" s="620" t="s">
        <v>8553</v>
      </c>
      <c r="B178" s="620" t="s">
        <v>13554</v>
      </c>
      <c r="C178" s="620" t="s">
        <v>9735</v>
      </c>
      <c r="D178" s="620" t="s">
        <v>13555</v>
      </c>
      <c r="E178" s="620" t="s">
        <v>12225</v>
      </c>
      <c r="F178" s="620" t="s">
        <v>335</v>
      </c>
      <c r="G178" s="620">
        <v>512</v>
      </c>
      <c r="H178" s="621">
        <v>2240000</v>
      </c>
      <c r="I178" s="621">
        <v>224000</v>
      </c>
      <c r="J178" s="621">
        <v>2464000</v>
      </c>
      <c r="K178" s="621">
        <v>0</v>
      </c>
      <c r="L178" s="621">
        <v>2464000</v>
      </c>
      <c r="M178" s="621">
        <v>240</v>
      </c>
      <c r="N178" s="620" t="s">
        <v>12202</v>
      </c>
      <c r="O178" s="620" t="s">
        <v>12203</v>
      </c>
    </row>
    <row r="179" spans="1:15">
      <c r="A179" s="620" t="s">
        <v>8553</v>
      </c>
      <c r="B179" s="620" t="s">
        <v>13562</v>
      </c>
      <c r="C179" s="620" t="s">
        <v>9735</v>
      </c>
      <c r="D179" s="620" t="s">
        <v>13563</v>
      </c>
      <c r="E179" s="620" t="s">
        <v>12660</v>
      </c>
      <c r="F179" s="620" t="s">
        <v>335</v>
      </c>
      <c r="G179" s="620">
        <v>128</v>
      </c>
      <c r="H179" s="621">
        <v>580000</v>
      </c>
      <c r="I179" s="621">
        <v>58000</v>
      </c>
      <c r="J179" s="621">
        <v>638000</v>
      </c>
      <c r="K179" s="621">
        <v>0</v>
      </c>
      <c r="L179" s="621">
        <v>638000</v>
      </c>
      <c r="M179" s="621">
        <v>18</v>
      </c>
      <c r="N179" s="620" t="s">
        <v>12202</v>
      </c>
      <c r="O179" s="620" t="s">
        <v>12203</v>
      </c>
    </row>
    <row r="180" spans="1:15">
      <c r="A180" s="620" t="s">
        <v>8553</v>
      </c>
      <c r="B180" s="620" t="s">
        <v>13570</v>
      </c>
      <c r="C180" s="620" t="s">
        <v>9735</v>
      </c>
      <c r="D180" s="620" t="s">
        <v>13571</v>
      </c>
      <c r="E180" s="620" t="s">
        <v>12214</v>
      </c>
      <c r="F180" s="620" t="s">
        <v>107</v>
      </c>
      <c r="G180" s="620">
        <v>1024</v>
      </c>
      <c r="H180" s="621">
        <v>10420000</v>
      </c>
      <c r="I180" s="621">
        <v>1042000</v>
      </c>
      <c r="J180" s="621">
        <v>11462000</v>
      </c>
      <c r="K180" s="621">
        <v>0</v>
      </c>
      <c r="L180" s="621">
        <v>11462000</v>
      </c>
      <c r="M180" s="621">
        <v>973</v>
      </c>
      <c r="N180" s="620" t="s">
        <v>12202</v>
      </c>
      <c r="O180" s="620" t="s">
        <v>12203</v>
      </c>
    </row>
    <row r="181" spans="1:15">
      <c r="A181" s="620" t="s">
        <v>8553</v>
      </c>
      <c r="B181" s="620" t="s">
        <v>13577</v>
      </c>
      <c r="C181" s="620" t="s">
        <v>9735</v>
      </c>
      <c r="D181" s="620" t="s">
        <v>13578</v>
      </c>
      <c r="E181" s="620" t="s">
        <v>12214</v>
      </c>
      <c r="F181" s="620" t="s">
        <v>107</v>
      </c>
      <c r="G181" s="620">
        <v>1024</v>
      </c>
      <c r="H181" s="621">
        <v>10420000</v>
      </c>
      <c r="I181" s="621">
        <v>1042000</v>
      </c>
      <c r="J181" s="621">
        <v>11462000</v>
      </c>
      <c r="K181" s="621">
        <v>0</v>
      </c>
      <c r="L181" s="621">
        <v>11462000</v>
      </c>
      <c r="M181" s="621">
        <v>959</v>
      </c>
      <c r="N181" s="620" t="s">
        <v>12202</v>
      </c>
      <c r="O181" s="620" t="s">
        <v>12203</v>
      </c>
    </row>
    <row r="182" spans="1:15">
      <c r="A182" s="620" t="s">
        <v>8553</v>
      </c>
      <c r="B182" s="620" t="s">
        <v>13583</v>
      </c>
      <c r="C182" s="620" t="s">
        <v>9735</v>
      </c>
      <c r="D182" s="620" t="s">
        <v>13584</v>
      </c>
      <c r="E182" s="620" t="s">
        <v>12225</v>
      </c>
      <c r="F182" s="620" t="s">
        <v>335</v>
      </c>
      <c r="G182" s="620">
        <v>512</v>
      </c>
      <c r="H182" s="621">
        <v>2260000</v>
      </c>
      <c r="I182" s="621">
        <v>226000</v>
      </c>
      <c r="J182" s="621">
        <v>2486000</v>
      </c>
      <c r="K182" s="621">
        <v>0</v>
      </c>
      <c r="L182" s="621">
        <v>2486000</v>
      </c>
      <c r="M182" s="621">
        <v>640</v>
      </c>
      <c r="N182" s="620" t="s">
        <v>12202</v>
      </c>
      <c r="O182" s="620" t="s">
        <v>12203</v>
      </c>
    </row>
    <row r="183" spans="1:15">
      <c r="A183" s="620" t="s">
        <v>8553</v>
      </c>
      <c r="B183" s="620" t="s">
        <v>13589</v>
      </c>
      <c r="C183" s="620" t="s">
        <v>9735</v>
      </c>
      <c r="D183" s="620" t="s">
        <v>13590</v>
      </c>
      <c r="E183" s="620" t="s">
        <v>12225</v>
      </c>
      <c r="F183" s="620" t="s">
        <v>335</v>
      </c>
      <c r="G183" s="620">
        <v>512</v>
      </c>
      <c r="H183" s="621">
        <v>2260000</v>
      </c>
      <c r="I183" s="621">
        <v>226000</v>
      </c>
      <c r="J183" s="621">
        <v>2486000</v>
      </c>
      <c r="K183" s="621">
        <v>0</v>
      </c>
      <c r="L183" s="621">
        <v>2486000</v>
      </c>
      <c r="M183" s="621">
        <v>240</v>
      </c>
      <c r="N183" s="620" t="s">
        <v>12202</v>
      </c>
      <c r="O183" s="620" t="s">
        <v>12203</v>
      </c>
    </row>
    <row r="184" spans="1:15">
      <c r="A184" s="620" t="s">
        <v>8553</v>
      </c>
      <c r="B184" s="620" t="s">
        <v>13595</v>
      </c>
      <c r="C184" s="620" t="s">
        <v>9735</v>
      </c>
      <c r="D184" s="620" t="s">
        <v>13596</v>
      </c>
      <c r="E184" s="620" t="s">
        <v>12225</v>
      </c>
      <c r="F184" s="620" t="s">
        <v>335</v>
      </c>
      <c r="G184" s="620">
        <v>512</v>
      </c>
      <c r="H184" s="621">
        <v>452000</v>
      </c>
      <c r="I184" s="621">
        <v>45200</v>
      </c>
      <c r="J184" s="621">
        <v>497200</v>
      </c>
      <c r="K184" s="621">
        <v>0</v>
      </c>
      <c r="L184" s="621">
        <v>497200</v>
      </c>
      <c r="M184" s="621">
        <v>643</v>
      </c>
      <c r="N184" s="620" t="s">
        <v>12202</v>
      </c>
      <c r="O184" s="620" t="s">
        <v>12203</v>
      </c>
    </row>
    <row r="185" spans="1:15">
      <c r="A185" s="620" t="s">
        <v>8553</v>
      </c>
      <c r="B185" s="620"/>
      <c r="C185" s="620" t="s">
        <v>9735</v>
      </c>
      <c r="D185" s="620" t="s">
        <v>13603</v>
      </c>
      <c r="E185" s="620" t="s">
        <v>13604</v>
      </c>
      <c r="F185" s="620" t="s">
        <v>12853</v>
      </c>
      <c r="G185" s="620">
        <v>102400</v>
      </c>
      <c r="H185" s="621">
        <v>107415000</v>
      </c>
      <c r="I185" s="621">
        <v>10741500</v>
      </c>
      <c r="J185" s="621">
        <v>118156500</v>
      </c>
      <c r="K185" s="621">
        <v>0</v>
      </c>
      <c r="L185" s="621">
        <v>118156500</v>
      </c>
      <c r="M185" s="621">
        <v>275</v>
      </c>
      <c r="N185" s="620" t="s">
        <v>12202</v>
      </c>
      <c r="O185" s="620" t="s">
        <v>12203</v>
      </c>
    </row>
    <row r="186" spans="1:15">
      <c r="A186" s="620" t="s">
        <v>8553</v>
      </c>
      <c r="B186" s="620"/>
      <c r="C186" s="620" t="s">
        <v>9735</v>
      </c>
      <c r="D186" s="620" t="s">
        <v>13611</v>
      </c>
      <c r="E186" s="620" t="s">
        <v>12649</v>
      </c>
      <c r="F186" s="620" t="s">
        <v>12853</v>
      </c>
      <c r="G186" s="620">
        <v>10240</v>
      </c>
      <c r="H186" s="621">
        <v>17143000</v>
      </c>
      <c r="I186" s="621">
        <v>1714300</v>
      </c>
      <c r="J186" s="621">
        <v>18857300</v>
      </c>
      <c r="K186" s="621">
        <v>0</v>
      </c>
      <c r="L186" s="621">
        <v>18857300</v>
      </c>
      <c r="M186" s="621">
        <v>743</v>
      </c>
      <c r="N186" s="620" t="s">
        <v>12202</v>
      </c>
      <c r="O186" s="620" t="s">
        <v>12203</v>
      </c>
    </row>
    <row r="187" spans="1:15">
      <c r="A187" s="620" t="s">
        <v>8553</v>
      </c>
      <c r="B187" s="620" t="s">
        <v>13617</v>
      </c>
      <c r="C187" s="620" t="s">
        <v>9735</v>
      </c>
      <c r="D187" s="620" t="s">
        <v>13618</v>
      </c>
      <c r="E187" s="620" t="s">
        <v>12225</v>
      </c>
      <c r="F187" s="620" t="s">
        <v>335</v>
      </c>
      <c r="G187" s="620">
        <v>512</v>
      </c>
      <c r="H187" s="621">
        <v>2260000</v>
      </c>
      <c r="I187" s="621">
        <v>226000</v>
      </c>
      <c r="J187" s="621">
        <v>2486000</v>
      </c>
      <c r="K187" s="621">
        <v>0</v>
      </c>
      <c r="L187" s="621">
        <v>2486000</v>
      </c>
      <c r="M187" s="621">
        <v>768</v>
      </c>
      <c r="N187" s="620" t="s">
        <v>12202</v>
      </c>
      <c r="O187" s="620" t="s">
        <v>12203</v>
      </c>
    </row>
    <row r="188" spans="1:15">
      <c r="A188" s="620" t="s">
        <v>8553</v>
      </c>
      <c r="B188" s="620"/>
      <c r="C188" s="620" t="s">
        <v>9735</v>
      </c>
      <c r="D188" s="620" t="s">
        <v>13623</v>
      </c>
      <c r="E188" s="620" t="s">
        <v>12649</v>
      </c>
      <c r="F188" s="620" t="s">
        <v>107</v>
      </c>
      <c r="G188" s="620">
        <v>10240</v>
      </c>
      <c r="H188" s="621">
        <v>41166666.666666664</v>
      </c>
      <c r="I188" s="621">
        <v>4116666.666666666</v>
      </c>
      <c r="J188" s="621">
        <v>45283333.333333328</v>
      </c>
      <c r="K188" s="621">
        <v>0</v>
      </c>
      <c r="L188" s="621">
        <v>45283333.333333328</v>
      </c>
      <c r="M188" s="621">
        <v>367</v>
      </c>
      <c r="N188" s="620" t="s">
        <v>12202</v>
      </c>
      <c r="O188" s="620" t="s">
        <v>12203</v>
      </c>
    </row>
    <row r="189" spans="1:15">
      <c r="A189" s="620" t="s">
        <v>8553</v>
      </c>
      <c r="B189" s="620" t="s">
        <v>13629</v>
      </c>
      <c r="C189" s="620" t="s">
        <v>9735</v>
      </c>
      <c r="D189" s="620" t="s">
        <v>13637</v>
      </c>
      <c r="E189" s="620" t="s">
        <v>12225</v>
      </c>
      <c r="F189" s="620" t="s">
        <v>335</v>
      </c>
      <c r="G189" s="620">
        <v>512</v>
      </c>
      <c r="H189" s="621">
        <v>3220000</v>
      </c>
      <c r="I189" s="621">
        <v>322000</v>
      </c>
      <c r="J189" s="621">
        <v>3542000</v>
      </c>
      <c r="K189" s="621">
        <v>0</v>
      </c>
      <c r="L189" s="621">
        <v>3542000</v>
      </c>
      <c r="M189" s="621">
        <v>867</v>
      </c>
      <c r="N189" s="620" t="s">
        <v>12202</v>
      </c>
      <c r="O189" s="620" t="s">
        <v>12203</v>
      </c>
    </row>
    <row r="190" spans="1:15">
      <c r="A190" s="620" t="s">
        <v>8553</v>
      </c>
      <c r="B190" s="620" t="s">
        <v>13644</v>
      </c>
      <c r="C190" s="620" t="s">
        <v>9735</v>
      </c>
      <c r="D190" s="620" t="s">
        <v>13645</v>
      </c>
      <c r="E190" s="620" t="s">
        <v>12225</v>
      </c>
      <c r="F190" s="620" t="s">
        <v>335</v>
      </c>
      <c r="G190" s="620">
        <v>512</v>
      </c>
      <c r="H190" s="621">
        <v>2260000</v>
      </c>
      <c r="I190" s="621">
        <v>226000</v>
      </c>
      <c r="J190" s="621">
        <v>2486000</v>
      </c>
      <c r="K190" s="621">
        <v>0</v>
      </c>
      <c r="L190" s="621">
        <v>2486000</v>
      </c>
      <c r="M190" s="621">
        <v>93</v>
      </c>
      <c r="N190" s="620" t="s">
        <v>12202</v>
      </c>
      <c r="O190" s="620" t="s">
        <v>12203</v>
      </c>
    </row>
    <row r="191" spans="1:15">
      <c r="A191" s="620" t="s">
        <v>8553</v>
      </c>
      <c r="B191" s="620" t="s">
        <v>13650</v>
      </c>
      <c r="C191" s="620" t="s">
        <v>9735</v>
      </c>
      <c r="D191" s="620" t="s">
        <v>13651</v>
      </c>
      <c r="E191" s="620" t="s">
        <v>12225</v>
      </c>
      <c r="F191" s="620" t="s">
        <v>335</v>
      </c>
      <c r="G191" s="620">
        <v>512</v>
      </c>
      <c r="H191" s="621">
        <v>2260000</v>
      </c>
      <c r="I191" s="621">
        <v>226000</v>
      </c>
      <c r="J191" s="621">
        <v>2486000</v>
      </c>
      <c r="K191" s="621">
        <v>0</v>
      </c>
      <c r="L191" s="621">
        <v>2486000</v>
      </c>
      <c r="M191" s="621">
        <v>133</v>
      </c>
      <c r="N191" s="620" t="s">
        <v>12202</v>
      </c>
      <c r="O191" s="620" t="s">
        <v>12203</v>
      </c>
    </row>
    <row r="192" spans="1:15">
      <c r="A192" s="620" t="s">
        <v>8553</v>
      </c>
      <c r="B192" s="620" t="s">
        <v>13650</v>
      </c>
      <c r="C192" s="620" t="s">
        <v>9735</v>
      </c>
      <c r="D192" s="620" t="s">
        <v>13656</v>
      </c>
      <c r="E192" s="620" t="s">
        <v>12214</v>
      </c>
      <c r="F192" s="620" t="s">
        <v>107</v>
      </c>
      <c r="G192" s="620">
        <v>1024</v>
      </c>
      <c r="H192" s="621">
        <v>10420000</v>
      </c>
      <c r="I192" s="621">
        <v>1042000</v>
      </c>
      <c r="J192" s="621">
        <v>11462000</v>
      </c>
      <c r="K192" s="621">
        <v>0</v>
      </c>
      <c r="L192" s="621">
        <v>11462000</v>
      </c>
      <c r="M192" s="621">
        <v>333</v>
      </c>
      <c r="N192" s="620" t="s">
        <v>12202</v>
      </c>
      <c r="O192" s="620" t="s">
        <v>12203</v>
      </c>
    </row>
    <row r="193" spans="1:15">
      <c r="A193" s="620" t="s">
        <v>8553</v>
      </c>
      <c r="B193" s="620" t="s">
        <v>13661</v>
      </c>
      <c r="C193" s="620" t="s">
        <v>9735</v>
      </c>
      <c r="D193" s="620" t="s">
        <v>13662</v>
      </c>
      <c r="E193" s="620" t="s">
        <v>12255</v>
      </c>
      <c r="F193" s="620" t="s">
        <v>335</v>
      </c>
      <c r="G193" s="620">
        <v>2048</v>
      </c>
      <c r="H193" s="621">
        <v>7840000</v>
      </c>
      <c r="I193" s="621">
        <v>784000</v>
      </c>
      <c r="J193" s="621">
        <v>8624000</v>
      </c>
      <c r="K193" s="621">
        <v>0</v>
      </c>
      <c r="L193" s="621">
        <v>8624000</v>
      </c>
      <c r="M193" s="621">
        <v>973</v>
      </c>
      <c r="N193" s="620" t="s">
        <v>12202</v>
      </c>
      <c r="O193" s="620" t="s">
        <v>12203</v>
      </c>
    </row>
    <row r="194" spans="1:15">
      <c r="A194" s="620" t="s">
        <v>8553</v>
      </c>
      <c r="B194" s="620" t="s">
        <v>13669</v>
      </c>
      <c r="C194" s="620" t="s">
        <v>9735</v>
      </c>
      <c r="D194" s="620" t="s">
        <v>13670</v>
      </c>
      <c r="E194" s="620" t="s">
        <v>12255</v>
      </c>
      <c r="F194" s="620" t="s">
        <v>335</v>
      </c>
      <c r="G194" s="620">
        <v>2048</v>
      </c>
      <c r="H194" s="621">
        <v>7840000</v>
      </c>
      <c r="I194" s="621">
        <v>784000</v>
      </c>
      <c r="J194" s="621">
        <v>8624000</v>
      </c>
      <c r="K194" s="621">
        <v>0</v>
      </c>
      <c r="L194" s="621">
        <v>8624000</v>
      </c>
      <c r="M194" s="621">
        <v>320</v>
      </c>
      <c r="N194" s="620" t="s">
        <v>12202</v>
      </c>
      <c r="O194" s="620" t="s">
        <v>12203</v>
      </c>
    </row>
    <row r="195" spans="1:15">
      <c r="A195" s="620" t="s">
        <v>8553</v>
      </c>
      <c r="B195" s="620" t="s">
        <v>13677</v>
      </c>
      <c r="C195" s="620" t="s">
        <v>9735</v>
      </c>
      <c r="D195" s="620" t="s">
        <v>13678</v>
      </c>
      <c r="E195" s="620" t="s">
        <v>12196</v>
      </c>
      <c r="F195" s="620" t="s">
        <v>335</v>
      </c>
      <c r="G195" s="620">
        <v>5120</v>
      </c>
      <c r="H195" s="621">
        <v>12620000</v>
      </c>
      <c r="I195" s="621">
        <v>1262000</v>
      </c>
      <c r="J195" s="621">
        <v>13882000</v>
      </c>
      <c r="K195" s="621">
        <v>0</v>
      </c>
      <c r="L195" s="621">
        <v>13882000</v>
      </c>
      <c r="M195" s="621">
        <v>334</v>
      </c>
      <c r="N195" s="620" t="s">
        <v>12202</v>
      </c>
      <c r="O195" s="620" t="s">
        <v>12203</v>
      </c>
    </row>
    <row r="196" spans="1:15">
      <c r="A196" s="620" t="s">
        <v>8553</v>
      </c>
      <c r="B196" s="620" t="s">
        <v>13677</v>
      </c>
      <c r="C196" s="620" t="s">
        <v>9735</v>
      </c>
      <c r="D196" s="620" t="s">
        <v>13685</v>
      </c>
      <c r="E196" s="620" t="s">
        <v>12196</v>
      </c>
      <c r="F196" s="620" t="s">
        <v>107</v>
      </c>
      <c r="G196" s="620">
        <v>5120</v>
      </c>
      <c r="H196" s="621">
        <v>29270000</v>
      </c>
      <c r="I196" s="621">
        <v>2927000</v>
      </c>
      <c r="J196" s="621">
        <v>32197000</v>
      </c>
      <c r="K196" s="621">
        <v>0</v>
      </c>
      <c r="L196" s="621">
        <v>32197000</v>
      </c>
      <c r="M196" s="621">
        <v>333</v>
      </c>
      <c r="N196" s="620" t="s">
        <v>12202</v>
      </c>
      <c r="O196" s="620" t="s">
        <v>12203</v>
      </c>
    </row>
    <row r="197" spans="1:15">
      <c r="A197" s="620" t="s">
        <v>8553</v>
      </c>
      <c r="B197" s="620" t="s">
        <v>13698</v>
      </c>
      <c r="C197" s="620" t="s">
        <v>9735</v>
      </c>
      <c r="D197" s="620" t="s">
        <v>13699</v>
      </c>
      <c r="E197" s="620" t="s">
        <v>12225</v>
      </c>
      <c r="F197" s="620" t="s">
        <v>335</v>
      </c>
      <c r="G197" s="620">
        <v>512</v>
      </c>
      <c r="H197" s="621">
        <v>2240000</v>
      </c>
      <c r="I197" s="621">
        <v>224000</v>
      </c>
      <c r="J197" s="621">
        <v>2464000</v>
      </c>
      <c r="K197" s="621">
        <v>0</v>
      </c>
      <c r="L197" s="621">
        <v>2464000</v>
      </c>
      <c r="M197" s="621">
        <v>680</v>
      </c>
      <c r="N197" s="620" t="s">
        <v>12202</v>
      </c>
      <c r="O197" s="620" t="s">
        <v>12203</v>
      </c>
    </row>
    <row r="198" spans="1:15">
      <c r="A198" s="620" t="s">
        <v>8553</v>
      </c>
      <c r="B198" s="620" t="s">
        <v>13707</v>
      </c>
      <c r="C198" s="620" t="s">
        <v>9735</v>
      </c>
      <c r="D198" s="620" t="s">
        <v>13708</v>
      </c>
      <c r="E198" s="620" t="s">
        <v>12880</v>
      </c>
      <c r="F198" s="620" t="s">
        <v>335</v>
      </c>
      <c r="G198" s="620">
        <v>51200</v>
      </c>
      <c r="H198" s="621">
        <v>33515151.515151512</v>
      </c>
      <c r="I198" s="621">
        <v>3351515.1515151514</v>
      </c>
      <c r="J198" s="621">
        <v>36866666.666666664</v>
      </c>
      <c r="K198" s="621">
        <v>0</v>
      </c>
      <c r="L198" s="621">
        <v>36866666.666666664</v>
      </c>
      <c r="M198" s="621">
        <v>777</v>
      </c>
      <c r="N198" s="620" t="s">
        <v>12202</v>
      </c>
      <c r="O198" s="620" t="s">
        <v>12203</v>
      </c>
    </row>
    <row r="199" spans="1:15">
      <c r="A199" s="620" t="s">
        <v>8553</v>
      </c>
      <c r="B199" s="620" t="s">
        <v>13721</v>
      </c>
      <c r="C199" s="620" t="s">
        <v>9735</v>
      </c>
      <c r="D199" s="620" t="s">
        <v>13722</v>
      </c>
      <c r="E199" s="620" t="s">
        <v>12255</v>
      </c>
      <c r="F199" s="620" t="s">
        <v>335</v>
      </c>
      <c r="G199" s="620">
        <v>2048</v>
      </c>
      <c r="H199" s="621">
        <v>7840000</v>
      </c>
      <c r="I199" s="621">
        <v>784000</v>
      </c>
      <c r="J199" s="621">
        <v>8624000</v>
      </c>
      <c r="K199" s="621">
        <v>0</v>
      </c>
      <c r="L199" s="621">
        <v>8624000</v>
      </c>
      <c r="M199" s="621">
        <v>800</v>
      </c>
      <c r="N199" s="620" t="s">
        <v>12202</v>
      </c>
      <c r="O199" s="620" t="s">
        <v>12203</v>
      </c>
    </row>
    <row r="200" spans="1:15">
      <c r="A200" s="620" t="s">
        <v>8553</v>
      </c>
      <c r="B200" s="620" t="s">
        <v>13735</v>
      </c>
      <c r="C200" s="620" t="s">
        <v>9735</v>
      </c>
      <c r="D200" s="620" t="s">
        <v>13736</v>
      </c>
      <c r="E200" s="620" t="s">
        <v>12196</v>
      </c>
      <c r="F200" s="620" t="s">
        <v>335</v>
      </c>
      <c r="G200" s="620">
        <v>5120</v>
      </c>
      <c r="H200" s="621">
        <v>12600000</v>
      </c>
      <c r="I200" s="621">
        <v>1260000</v>
      </c>
      <c r="J200" s="621">
        <v>13860000</v>
      </c>
      <c r="K200" s="621">
        <v>0</v>
      </c>
      <c r="L200" s="621">
        <v>13860000</v>
      </c>
      <c r="M200" s="621">
        <v>800</v>
      </c>
      <c r="N200" s="620" t="s">
        <v>12202</v>
      </c>
      <c r="O200" s="620" t="s">
        <v>12203</v>
      </c>
    </row>
    <row r="201" spans="1:15">
      <c r="A201" s="620" t="s">
        <v>8553</v>
      </c>
      <c r="B201" s="620" t="s">
        <v>13743</v>
      </c>
      <c r="C201" s="620" t="s">
        <v>9735</v>
      </c>
      <c r="D201" s="620" t="s">
        <v>13744</v>
      </c>
      <c r="E201" s="620" t="s">
        <v>12225</v>
      </c>
      <c r="F201" s="620" t="s">
        <v>335</v>
      </c>
      <c r="G201" s="620">
        <v>512</v>
      </c>
      <c r="H201" s="621">
        <v>2260000</v>
      </c>
      <c r="I201" s="621">
        <v>226000</v>
      </c>
      <c r="J201" s="621">
        <v>2486000</v>
      </c>
      <c r="K201" s="621">
        <v>0</v>
      </c>
      <c r="L201" s="621">
        <v>2486000</v>
      </c>
      <c r="M201" s="621">
        <v>79</v>
      </c>
      <c r="N201" s="620" t="s">
        <v>12202</v>
      </c>
      <c r="O201" s="620" t="s">
        <v>12203</v>
      </c>
    </row>
    <row r="202" spans="1:15">
      <c r="A202" s="620" t="s">
        <v>8553</v>
      </c>
      <c r="B202" s="620" t="s">
        <v>13750</v>
      </c>
      <c r="C202" s="620" t="s">
        <v>9735</v>
      </c>
      <c r="D202" s="620" t="s">
        <v>13751</v>
      </c>
      <c r="E202" s="620" t="s">
        <v>12225</v>
      </c>
      <c r="F202" s="620" t="s">
        <v>335</v>
      </c>
      <c r="G202" s="620">
        <v>512</v>
      </c>
      <c r="H202" s="621">
        <v>2260000</v>
      </c>
      <c r="I202" s="621">
        <v>226000</v>
      </c>
      <c r="J202" s="621">
        <v>2486000</v>
      </c>
      <c r="K202" s="621">
        <v>0</v>
      </c>
      <c r="L202" s="621">
        <v>2486000</v>
      </c>
      <c r="M202" s="621">
        <v>640</v>
      </c>
      <c r="N202" s="620" t="s">
        <v>12202</v>
      </c>
      <c r="O202" s="620" t="s">
        <v>12203</v>
      </c>
    </row>
    <row r="203" spans="1:15">
      <c r="A203" s="620" t="s">
        <v>8553</v>
      </c>
      <c r="B203" s="620" t="s">
        <v>13757</v>
      </c>
      <c r="C203" s="620" t="s">
        <v>9735</v>
      </c>
      <c r="D203" s="620" t="s">
        <v>13758</v>
      </c>
      <c r="E203" s="620" t="s">
        <v>12196</v>
      </c>
      <c r="F203" s="620" t="s">
        <v>335</v>
      </c>
      <c r="G203" s="620">
        <v>5120</v>
      </c>
      <c r="H203" s="621">
        <v>12600000</v>
      </c>
      <c r="I203" s="621">
        <v>1260000</v>
      </c>
      <c r="J203" s="621">
        <v>13860000</v>
      </c>
      <c r="K203" s="621">
        <v>0</v>
      </c>
      <c r="L203" s="621">
        <v>13860000</v>
      </c>
      <c r="M203" s="621">
        <v>0</v>
      </c>
      <c r="N203" s="620" t="s">
        <v>12202</v>
      </c>
      <c r="O203" s="620" t="s">
        <v>12203</v>
      </c>
    </row>
    <row r="204" spans="1:15">
      <c r="A204" s="620" t="s">
        <v>8553</v>
      </c>
      <c r="B204" s="620" t="s">
        <v>13766</v>
      </c>
      <c r="C204" s="620" t="s">
        <v>9735</v>
      </c>
      <c r="D204" s="620" t="s">
        <v>13767</v>
      </c>
      <c r="E204" s="620" t="s">
        <v>12196</v>
      </c>
      <c r="F204" s="620" t="s">
        <v>335</v>
      </c>
      <c r="G204" s="620">
        <v>5120</v>
      </c>
      <c r="H204" s="621">
        <v>12600000</v>
      </c>
      <c r="I204" s="621">
        <v>1260000</v>
      </c>
      <c r="J204" s="621">
        <v>13860000</v>
      </c>
      <c r="K204" s="621">
        <v>0</v>
      </c>
      <c r="L204" s="621">
        <v>13860000</v>
      </c>
      <c r="M204" s="621">
        <v>0</v>
      </c>
      <c r="N204" s="620" t="s">
        <v>12202</v>
      </c>
      <c r="O204" s="620" t="s">
        <v>12203</v>
      </c>
    </row>
    <row r="205" spans="1:15">
      <c r="A205" s="620" t="s">
        <v>8553</v>
      </c>
      <c r="B205" s="620" t="s">
        <v>13773</v>
      </c>
      <c r="C205" s="620" t="s">
        <v>9735</v>
      </c>
      <c r="D205" s="620" t="s">
        <v>13774</v>
      </c>
      <c r="E205" s="620" t="s">
        <v>12214</v>
      </c>
      <c r="F205" s="620" t="s">
        <v>107</v>
      </c>
      <c r="G205" s="620">
        <v>1024</v>
      </c>
      <c r="H205" s="621">
        <v>10420000</v>
      </c>
      <c r="I205" s="621">
        <v>1042000</v>
      </c>
      <c r="J205" s="621">
        <v>11462000</v>
      </c>
      <c r="K205" s="621">
        <v>0</v>
      </c>
      <c r="L205" s="621">
        <v>11462000</v>
      </c>
      <c r="M205" s="621">
        <v>422</v>
      </c>
      <c r="N205" s="620" t="s">
        <v>12202</v>
      </c>
      <c r="O205" s="620" t="s">
        <v>12203</v>
      </c>
    </row>
    <row r="206" spans="1:15">
      <c r="A206" s="620" t="s">
        <v>8553</v>
      </c>
      <c r="B206" s="620" t="s">
        <v>13780</v>
      </c>
      <c r="C206" s="620" t="s">
        <v>9735</v>
      </c>
      <c r="D206" s="620" t="s">
        <v>13781</v>
      </c>
      <c r="E206" s="620" t="s">
        <v>12214</v>
      </c>
      <c r="F206" s="620" t="s">
        <v>335</v>
      </c>
      <c r="G206" s="620">
        <v>1024</v>
      </c>
      <c r="H206" s="621">
        <v>4500000</v>
      </c>
      <c r="I206" s="621">
        <v>450000</v>
      </c>
      <c r="J206" s="621">
        <v>4950000</v>
      </c>
      <c r="K206" s="621">
        <v>0</v>
      </c>
      <c r="L206" s="621">
        <v>4950000</v>
      </c>
      <c r="M206" s="621">
        <v>453</v>
      </c>
      <c r="N206" s="620" t="s">
        <v>12202</v>
      </c>
      <c r="O206" s="620" t="s">
        <v>12203</v>
      </c>
    </row>
    <row r="207" spans="1:15">
      <c r="A207" s="620" t="s">
        <v>8553</v>
      </c>
      <c r="B207" s="620" t="s">
        <v>13785</v>
      </c>
      <c r="C207" s="620" t="s">
        <v>9735</v>
      </c>
      <c r="D207" s="620" t="s">
        <v>13786</v>
      </c>
      <c r="E207" s="620" t="s">
        <v>12255</v>
      </c>
      <c r="F207" s="620" t="s">
        <v>335</v>
      </c>
      <c r="G207" s="620">
        <v>2048</v>
      </c>
      <c r="H207" s="621">
        <v>7860000</v>
      </c>
      <c r="I207" s="621">
        <v>786000</v>
      </c>
      <c r="J207" s="621">
        <v>8646000</v>
      </c>
      <c r="K207" s="621">
        <v>0</v>
      </c>
      <c r="L207" s="621">
        <v>8646000</v>
      </c>
      <c r="M207" s="621">
        <v>490</v>
      </c>
      <c r="N207" s="620" t="s">
        <v>12202</v>
      </c>
      <c r="O207" s="620" t="s">
        <v>12203</v>
      </c>
    </row>
    <row r="208" spans="1:15">
      <c r="A208" s="620" t="s">
        <v>8553</v>
      </c>
      <c r="B208" s="620" t="s">
        <v>13793</v>
      </c>
      <c r="C208" s="620" t="s">
        <v>9735</v>
      </c>
      <c r="D208" s="620" t="s">
        <v>13794</v>
      </c>
      <c r="E208" s="620" t="s">
        <v>12255</v>
      </c>
      <c r="F208" s="620" t="s">
        <v>107</v>
      </c>
      <c r="G208" s="620">
        <v>2048</v>
      </c>
      <c r="H208" s="621">
        <v>18220000</v>
      </c>
      <c r="I208" s="621">
        <v>1822000</v>
      </c>
      <c r="J208" s="621">
        <v>20042000</v>
      </c>
      <c r="K208" s="621">
        <v>0</v>
      </c>
      <c r="L208" s="621">
        <v>20042000</v>
      </c>
      <c r="M208" s="621">
        <v>57</v>
      </c>
      <c r="N208" s="620" t="s">
        <v>12202</v>
      </c>
      <c r="O208" s="620" t="s">
        <v>12203</v>
      </c>
    </row>
    <row r="209" spans="1:15">
      <c r="A209" s="620" t="s">
        <v>8553</v>
      </c>
      <c r="B209" s="620" t="s">
        <v>13800</v>
      </c>
      <c r="C209" s="620" t="s">
        <v>9735</v>
      </c>
      <c r="D209" s="620" t="s">
        <v>13801</v>
      </c>
      <c r="E209" s="620" t="s">
        <v>12225</v>
      </c>
      <c r="F209" s="620" t="s">
        <v>335</v>
      </c>
      <c r="G209" s="620">
        <v>512</v>
      </c>
      <c r="H209" s="621">
        <v>2260000</v>
      </c>
      <c r="I209" s="621">
        <v>226000</v>
      </c>
      <c r="J209" s="621">
        <v>2486000</v>
      </c>
      <c r="K209" s="621">
        <v>0</v>
      </c>
      <c r="L209" s="621">
        <v>2486000</v>
      </c>
      <c r="M209" s="621">
        <v>476</v>
      </c>
      <c r="N209" s="620" t="s">
        <v>12202</v>
      </c>
      <c r="O209" s="620" t="s">
        <v>12203</v>
      </c>
    </row>
    <row r="210" spans="1:15">
      <c r="A210" s="620" t="s">
        <v>8553</v>
      </c>
      <c r="B210" s="620" t="s">
        <v>13806</v>
      </c>
      <c r="C210" s="620" t="s">
        <v>9735</v>
      </c>
      <c r="D210" s="620" t="s">
        <v>13807</v>
      </c>
      <c r="E210" s="620" t="s">
        <v>12225</v>
      </c>
      <c r="F210" s="620" t="s">
        <v>335</v>
      </c>
      <c r="G210" s="620">
        <v>512</v>
      </c>
      <c r="H210" s="621">
        <v>2260000</v>
      </c>
      <c r="I210" s="621">
        <v>226000</v>
      </c>
      <c r="J210" s="621">
        <v>2486000</v>
      </c>
      <c r="K210" s="621">
        <v>0</v>
      </c>
      <c r="L210" s="621">
        <v>2486000</v>
      </c>
      <c r="M210" s="621">
        <v>640</v>
      </c>
      <c r="N210" s="620" t="s">
        <v>12202</v>
      </c>
      <c r="O210" s="620" t="s">
        <v>12203</v>
      </c>
    </row>
    <row r="211" spans="1:15">
      <c r="A211" s="620" t="s">
        <v>8553</v>
      </c>
      <c r="B211" s="620" t="s">
        <v>13810</v>
      </c>
      <c r="C211" s="620" t="s">
        <v>9735</v>
      </c>
      <c r="D211" s="620" t="s">
        <v>13811</v>
      </c>
      <c r="E211" s="620" t="s">
        <v>12225</v>
      </c>
      <c r="F211" s="620" t="s">
        <v>335</v>
      </c>
      <c r="G211" s="620">
        <v>512</v>
      </c>
      <c r="H211" s="621">
        <v>2260000</v>
      </c>
      <c r="I211" s="621">
        <v>226000</v>
      </c>
      <c r="J211" s="621">
        <v>2486000</v>
      </c>
      <c r="K211" s="621">
        <v>0</v>
      </c>
      <c r="L211" s="621">
        <v>2486000</v>
      </c>
      <c r="M211" s="621">
        <v>707</v>
      </c>
      <c r="N211" s="620" t="s">
        <v>12202</v>
      </c>
      <c r="O211" s="620" t="s">
        <v>12203</v>
      </c>
    </row>
    <row r="212" spans="1:15">
      <c r="A212" s="620" t="s">
        <v>8553</v>
      </c>
      <c r="B212" s="620" t="s">
        <v>13817</v>
      </c>
      <c r="C212" s="620" t="s">
        <v>9735</v>
      </c>
      <c r="D212" s="620" t="s">
        <v>13818</v>
      </c>
      <c r="E212" s="620" t="s">
        <v>12225</v>
      </c>
      <c r="F212" s="620" t="s">
        <v>335</v>
      </c>
      <c r="G212" s="620">
        <v>512</v>
      </c>
      <c r="H212" s="621">
        <v>2260000</v>
      </c>
      <c r="I212" s="621">
        <v>226000</v>
      </c>
      <c r="J212" s="621">
        <v>2486000</v>
      </c>
      <c r="K212" s="621">
        <v>0</v>
      </c>
      <c r="L212" s="621">
        <v>2486000</v>
      </c>
      <c r="M212" s="621">
        <v>118</v>
      </c>
      <c r="N212" s="620" t="s">
        <v>12202</v>
      </c>
      <c r="O212" s="620" t="s">
        <v>12203</v>
      </c>
    </row>
    <row r="213" spans="1:15">
      <c r="A213" s="620" t="s">
        <v>8553</v>
      </c>
      <c r="B213" s="620" t="s">
        <v>13830</v>
      </c>
      <c r="C213" s="620" t="s">
        <v>9735</v>
      </c>
      <c r="D213" s="620" t="s">
        <v>13831</v>
      </c>
      <c r="E213" s="620" t="s">
        <v>12225</v>
      </c>
      <c r="F213" s="620" t="s">
        <v>335</v>
      </c>
      <c r="G213" s="620">
        <v>512</v>
      </c>
      <c r="H213" s="621">
        <v>2260000</v>
      </c>
      <c r="I213" s="621">
        <v>226000</v>
      </c>
      <c r="J213" s="621">
        <v>2486000</v>
      </c>
      <c r="K213" s="621">
        <v>0</v>
      </c>
      <c r="L213" s="621">
        <v>2486000</v>
      </c>
      <c r="M213" s="621">
        <v>718</v>
      </c>
      <c r="N213" s="620" t="s">
        <v>12202</v>
      </c>
      <c r="O213" s="620" t="s">
        <v>12203</v>
      </c>
    </row>
    <row r="214" spans="1:15">
      <c r="A214" s="620" t="s">
        <v>8553</v>
      </c>
      <c r="B214" s="620" t="s">
        <v>13837</v>
      </c>
      <c r="C214" s="620" t="s">
        <v>9735</v>
      </c>
      <c r="D214" s="620" t="s">
        <v>13838</v>
      </c>
      <c r="E214" s="620" t="s">
        <v>12225</v>
      </c>
      <c r="F214" s="620" t="s">
        <v>335</v>
      </c>
      <c r="G214" s="620">
        <v>512</v>
      </c>
      <c r="H214" s="621">
        <v>2260000</v>
      </c>
      <c r="I214" s="621">
        <v>226000</v>
      </c>
      <c r="J214" s="621">
        <v>2486000</v>
      </c>
      <c r="K214" s="621">
        <v>0</v>
      </c>
      <c r="L214" s="621">
        <v>2486000</v>
      </c>
      <c r="M214" s="621">
        <v>418</v>
      </c>
      <c r="N214" s="620" t="s">
        <v>12202</v>
      </c>
      <c r="O214" s="620" t="s">
        <v>12203</v>
      </c>
    </row>
    <row r="215" spans="1:15">
      <c r="A215" s="620" t="s">
        <v>8553</v>
      </c>
      <c r="B215" s="620" t="s">
        <v>13843</v>
      </c>
      <c r="C215" s="620" t="s">
        <v>9735</v>
      </c>
      <c r="D215" s="620" t="s">
        <v>13844</v>
      </c>
      <c r="E215" s="620" t="s">
        <v>12225</v>
      </c>
      <c r="F215" s="620" t="s">
        <v>335</v>
      </c>
      <c r="G215" s="620">
        <v>512</v>
      </c>
      <c r="H215" s="621">
        <v>2260000</v>
      </c>
      <c r="I215" s="621">
        <v>226000</v>
      </c>
      <c r="J215" s="621">
        <v>2486000</v>
      </c>
      <c r="K215" s="621">
        <v>0</v>
      </c>
      <c r="L215" s="621">
        <v>2486000</v>
      </c>
      <c r="M215" s="621">
        <v>943</v>
      </c>
      <c r="N215" s="620" t="s">
        <v>12202</v>
      </c>
      <c r="O215" s="620" t="s">
        <v>12203</v>
      </c>
    </row>
    <row r="216" spans="1:15">
      <c r="A216" s="620" t="s">
        <v>8553</v>
      </c>
      <c r="B216" s="620" t="s">
        <v>13849</v>
      </c>
      <c r="C216" s="620" t="s">
        <v>9735</v>
      </c>
      <c r="D216" s="620" t="s">
        <v>13850</v>
      </c>
      <c r="E216" s="620" t="s">
        <v>12225</v>
      </c>
      <c r="F216" s="620" t="s">
        <v>335</v>
      </c>
      <c r="G216" s="620">
        <v>512</v>
      </c>
      <c r="H216" s="621">
        <v>3220000</v>
      </c>
      <c r="I216" s="621">
        <v>322000</v>
      </c>
      <c r="J216" s="621">
        <v>3542000</v>
      </c>
      <c r="K216" s="621">
        <v>0</v>
      </c>
      <c r="L216" s="621">
        <v>3542000</v>
      </c>
      <c r="M216" s="621">
        <v>33</v>
      </c>
      <c r="N216" s="620" t="s">
        <v>12202</v>
      </c>
      <c r="O216" s="620" t="s">
        <v>12203</v>
      </c>
    </row>
    <row r="217" spans="1:15">
      <c r="A217" s="620" t="s">
        <v>8553</v>
      </c>
      <c r="B217" s="620" t="s">
        <v>13858</v>
      </c>
      <c r="C217" s="620" t="s">
        <v>9735</v>
      </c>
      <c r="D217" s="620" t="s">
        <v>13859</v>
      </c>
      <c r="E217" s="620" t="s">
        <v>12225</v>
      </c>
      <c r="F217" s="620" t="s">
        <v>335</v>
      </c>
      <c r="G217" s="620">
        <v>512</v>
      </c>
      <c r="H217" s="621">
        <v>3220000</v>
      </c>
      <c r="I217" s="621">
        <v>322000</v>
      </c>
      <c r="J217" s="621">
        <v>3542000</v>
      </c>
      <c r="K217" s="621">
        <v>0</v>
      </c>
      <c r="L217" s="621">
        <v>3542000</v>
      </c>
      <c r="M217" s="621">
        <v>883</v>
      </c>
      <c r="N217" s="620" t="s">
        <v>12202</v>
      </c>
      <c r="O217" s="620" t="s">
        <v>12203</v>
      </c>
    </row>
    <row r="218" spans="1:15">
      <c r="A218" s="620" t="s">
        <v>8553</v>
      </c>
      <c r="B218" s="620" t="s">
        <v>13864</v>
      </c>
      <c r="C218" s="620" t="s">
        <v>9735</v>
      </c>
      <c r="D218" s="620" t="s">
        <v>13865</v>
      </c>
      <c r="E218" s="620" t="s">
        <v>12225</v>
      </c>
      <c r="F218" s="620" t="s">
        <v>335</v>
      </c>
      <c r="G218" s="620">
        <v>512</v>
      </c>
      <c r="H218" s="621">
        <v>-214666.66666666669</v>
      </c>
      <c r="I218" s="621">
        <v>-21466.666666666672</v>
      </c>
      <c r="J218" s="621">
        <v>-236133.33333333334</v>
      </c>
      <c r="K218" s="621">
        <v>0</v>
      </c>
      <c r="L218" s="621">
        <v>-236133.33333333334</v>
      </c>
      <c r="M218" s="621">
        <v>350</v>
      </c>
      <c r="N218" s="620" t="s">
        <v>12202</v>
      </c>
      <c r="O218" s="620" t="s">
        <v>12203</v>
      </c>
    </row>
    <row r="219" spans="1:15">
      <c r="A219" s="620" t="s">
        <v>8553</v>
      </c>
      <c r="B219" s="620" t="s">
        <v>13872</v>
      </c>
      <c r="C219" s="620" t="s">
        <v>9735</v>
      </c>
      <c r="D219" s="620" t="s">
        <v>13873</v>
      </c>
      <c r="E219" s="620" t="s">
        <v>12225</v>
      </c>
      <c r="F219" s="620" t="s">
        <v>335</v>
      </c>
      <c r="G219" s="620">
        <v>512</v>
      </c>
      <c r="H219" s="621">
        <v>2260000</v>
      </c>
      <c r="I219" s="621">
        <v>226000</v>
      </c>
      <c r="J219" s="621">
        <v>2486000</v>
      </c>
      <c r="K219" s="621">
        <v>0</v>
      </c>
      <c r="L219" s="621">
        <v>2486000</v>
      </c>
      <c r="M219" s="621">
        <v>868</v>
      </c>
      <c r="N219" s="620" t="s">
        <v>12202</v>
      </c>
      <c r="O219" s="620" t="s">
        <v>12203</v>
      </c>
    </row>
    <row r="220" spans="1:15">
      <c r="A220" s="620" t="s">
        <v>8553</v>
      </c>
      <c r="B220" s="620" t="s">
        <v>13877</v>
      </c>
      <c r="C220" s="620" t="s">
        <v>9735</v>
      </c>
      <c r="D220" s="620" t="s">
        <v>13878</v>
      </c>
      <c r="E220" s="620" t="s">
        <v>12225</v>
      </c>
      <c r="F220" s="620" t="s">
        <v>335</v>
      </c>
      <c r="G220" s="620">
        <v>512</v>
      </c>
      <c r="H220" s="621">
        <v>2260000</v>
      </c>
      <c r="I220" s="621">
        <v>226000</v>
      </c>
      <c r="J220" s="621">
        <v>2486000</v>
      </c>
      <c r="K220" s="621">
        <v>0</v>
      </c>
      <c r="L220" s="621">
        <v>2486000</v>
      </c>
      <c r="M220" s="621">
        <v>568</v>
      </c>
      <c r="N220" s="620" t="s">
        <v>12202</v>
      </c>
      <c r="O220" s="620" t="s">
        <v>12203</v>
      </c>
    </row>
    <row r="221" spans="1:15">
      <c r="A221" s="620" t="s">
        <v>8553</v>
      </c>
      <c r="B221" s="620" t="s">
        <v>13883</v>
      </c>
      <c r="C221" s="620" t="s">
        <v>9735</v>
      </c>
      <c r="D221" s="620" t="s">
        <v>13884</v>
      </c>
      <c r="E221" s="620" t="s">
        <v>12225</v>
      </c>
      <c r="F221" s="620" t="s">
        <v>335</v>
      </c>
      <c r="G221" s="620">
        <v>512</v>
      </c>
      <c r="H221" s="621">
        <v>452000</v>
      </c>
      <c r="I221" s="621">
        <v>45200</v>
      </c>
      <c r="J221" s="621">
        <v>497200</v>
      </c>
      <c r="K221" s="621">
        <v>0</v>
      </c>
      <c r="L221" s="621">
        <v>497200</v>
      </c>
      <c r="M221" s="621">
        <v>293</v>
      </c>
      <c r="N221" s="620" t="s">
        <v>12202</v>
      </c>
      <c r="O221" s="620" t="s">
        <v>12203</v>
      </c>
    </row>
    <row r="222" spans="1:15">
      <c r="A222" s="620" t="s">
        <v>8553</v>
      </c>
      <c r="B222" s="620" t="s">
        <v>13889</v>
      </c>
      <c r="C222" s="620" t="s">
        <v>9735</v>
      </c>
      <c r="D222" s="620" t="s">
        <v>13890</v>
      </c>
      <c r="E222" s="620" t="s">
        <v>12225</v>
      </c>
      <c r="F222" s="620" t="s">
        <v>335</v>
      </c>
      <c r="G222" s="620">
        <v>512</v>
      </c>
      <c r="H222" s="621">
        <v>2260000</v>
      </c>
      <c r="I222" s="621">
        <v>226000</v>
      </c>
      <c r="J222" s="621">
        <v>2486000</v>
      </c>
      <c r="K222" s="621">
        <v>0</v>
      </c>
      <c r="L222" s="621">
        <v>2486000</v>
      </c>
      <c r="M222" s="621">
        <v>493</v>
      </c>
      <c r="N222" s="620" t="s">
        <v>12202</v>
      </c>
      <c r="O222" s="620" t="s">
        <v>12203</v>
      </c>
    </row>
    <row r="223" spans="1:15">
      <c r="A223" s="620" t="s">
        <v>8553</v>
      </c>
      <c r="B223" s="620" t="s">
        <v>13895</v>
      </c>
      <c r="C223" s="620" t="s">
        <v>9735</v>
      </c>
      <c r="D223" s="620" t="s">
        <v>13896</v>
      </c>
      <c r="E223" s="620" t="s">
        <v>12225</v>
      </c>
      <c r="F223" s="620" t="s">
        <v>335</v>
      </c>
      <c r="G223" s="620">
        <v>512</v>
      </c>
      <c r="H223" s="621">
        <v>1502666.6666666665</v>
      </c>
      <c r="I223" s="621">
        <v>150266.66666666663</v>
      </c>
      <c r="J223" s="621">
        <v>1652933.3333333333</v>
      </c>
      <c r="K223" s="621">
        <v>0</v>
      </c>
      <c r="L223" s="621">
        <v>1652933.3333333333</v>
      </c>
      <c r="M223" s="621">
        <v>966</v>
      </c>
      <c r="N223" s="620" t="s">
        <v>12202</v>
      </c>
      <c r="O223" s="620" t="s">
        <v>12203</v>
      </c>
    </row>
    <row r="224" spans="1:15">
      <c r="A224" s="620" t="s">
        <v>8553</v>
      </c>
      <c r="B224" s="620" t="s">
        <v>13902</v>
      </c>
      <c r="C224" s="620" t="s">
        <v>9735</v>
      </c>
      <c r="D224" s="620" t="s">
        <v>13903</v>
      </c>
      <c r="E224" s="620" t="s">
        <v>12225</v>
      </c>
      <c r="F224" s="620" t="s">
        <v>335</v>
      </c>
      <c r="G224" s="620">
        <v>512</v>
      </c>
      <c r="H224" s="621">
        <v>2260000</v>
      </c>
      <c r="I224" s="621">
        <v>226000</v>
      </c>
      <c r="J224" s="621">
        <v>2486000</v>
      </c>
      <c r="K224" s="621">
        <v>0</v>
      </c>
      <c r="L224" s="621">
        <v>2486000</v>
      </c>
      <c r="M224" s="621">
        <v>393</v>
      </c>
      <c r="N224" s="620" t="s">
        <v>12202</v>
      </c>
      <c r="O224" s="620" t="s">
        <v>12203</v>
      </c>
    </row>
    <row r="225" spans="1:15">
      <c r="A225" s="620" t="s">
        <v>8553</v>
      </c>
      <c r="B225" s="620" t="s">
        <v>13907</v>
      </c>
      <c r="C225" s="620" t="s">
        <v>9735</v>
      </c>
      <c r="D225" s="620" t="s">
        <v>13908</v>
      </c>
      <c r="E225" s="620" t="s">
        <v>12225</v>
      </c>
      <c r="F225" s="620" t="s">
        <v>335</v>
      </c>
      <c r="G225" s="620">
        <v>512</v>
      </c>
      <c r="H225" s="621">
        <v>452000</v>
      </c>
      <c r="I225" s="621">
        <v>45200</v>
      </c>
      <c r="J225" s="621">
        <v>497200</v>
      </c>
      <c r="K225" s="621">
        <v>0</v>
      </c>
      <c r="L225" s="621">
        <v>497200</v>
      </c>
      <c r="M225" s="621">
        <v>968</v>
      </c>
      <c r="N225" s="620" t="s">
        <v>12202</v>
      </c>
      <c r="O225" s="620" t="s">
        <v>12203</v>
      </c>
    </row>
    <row r="226" spans="1:15">
      <c r="A226" s="620" t="s">
        <v>8553</v>
      </c>
      <c r="B226" s="620" t="s">
        <v>13917</v>
      </c>
      <c r="C226" s="620" t="s">
        <v>9735</v>
      </c>
      <c r="D226" s="620" t="s">
        <v>13918</v>
      </c>
      <c r="E226" s="620" t="s">
        <v>12225</v>
      </c>
      <c r="F226" s="620" t="s">
        <v>335</v>
      </c>
      <c r="G226" s="620">
        <v>512</v>
      </c>
      <c r="H226" s="621">
        <v>2260000</v>
      </c>
      <c r="I226" s="621">
        <v>226000</v>
      </c>
      <c r="J226" s="621">
        <v>2486000</v>
      </c>
      <c r="K226" s="621">
        <v>0</v>
      </c>
      <c r="L226" s="621">
        <v>2486000</v>
      </c>
      <c r="M226" s="621">
        <v>568</v>
      </c>
      <c r="N226" s="620" t="s">
        <v>12202</v>
      </c>
      <c r="O226" s="620" t="s">
        <v>12203</v>
      </c>
    </row>
    <row r="227" spans="1:15">
      <c r="A227" s="620" t="s">
        <v>8553</v>
      </c>
      <c r="B227" s="620" t="s">
        <v>13945</v>
      </c>
      <c r="C227" s="620" t="s">
        <v>9735</v>
      </c>
      <c r="D227" s="620" t="s">
        <v>13946</v>
      </c>
      <c r="E227" s="620" t="s">
        <v>12225</v>
      </c>
      <c r="F227" s="620" t="s">
        <v>335</v>
      </c>
      <c r="G227" s="620">
        <v>512</v>
      </c>
      <c r="H227" s="621">
        <v>3220000</v>
      </c>
      <c r="I227" s="621">
        <v>322000</v>
      </c>
      <c r="J227" s="621">
        <v>3542000</v>
      </c>
      <c r="K227" s="621">
        <v>0</v>
      </c>
      <c r="L227" s="621">
        <v>3542000</v>
      </c>
      <c r="M227" s="621">
        <v>517</v>
      </c>
      <c r="N227" s="620" t="s">
        <v>12202</v>
      </c>
      <c r="O227" s="620" t="s">
        <v>12203</v>
      </c>
    </row>
    <row r="228" spans="1:15">
      <c r="A228" s="620" t="s">
        <v>8553</v>
      </c>
      <c r="B228" s="620" t="s">
        <v>13969</v>
      </c>
      <c r="C228" s="620" t="s">
        <v>9735</v>
      </c>
      <c r="D228" s="620" t="s">
        <v>13970</v>
      </c>
      <c r="E228" s="620" t="s">
        <v>12225</v>
      </c>
      <c r="F228" s="620" t="s">
        <v>335</v>
      </c>
      <c r="G228" s="620">
        <v>512</v>
      </c>
      <c r="H228" s="621">
        <v>3220000</v>
      </c>
      <c r="I228" s="621">
        <v>322000</v>
      </c>
      <c r="J228" s="621">
        <v>3542000</v>
      </c>
      <c r="K228" s="621">
        <v>0</v>
      </c>
      <c r="L228" s="621">
        <v>3542000</v>
      </c>
      <c r="M228" s="621">
        <v>133</v>
      </c>
      <c r="N228" s="620" t="s">
        <v>12202</v>
      </c>
      <c r="O228" s="620" t="s">
        <v>12203</v>
      </c>
    </row>
    <row r="229" spans="1:15">
      <c r="A229" s="620" t="s">
        <v>8553</v>
      </c>
      <c r="B229" s="620" t="s">
        <v>13975</v>
      </c>
      <c r="C229" s="620" t="s">
        <v>9735</v>
      </c>
      <c r="D229" s="620" t="s">
        <v>13976</v>
      </c>
      <c r="E229" s="620" t="s">
        <v>12225</v>
      </c>
      <c r="F229" s="620" t="s">
        <v>335</v>
      </c>
      <c r="G229" s="620">
        <v>512</v>
      </c>
      <c r="H229" s="621">
        <v>2260000</v>
      </c>
      <c r="I229" s="621">
        <v>226000</v>
      </c>
      <c r="J229" s="621">
        <v>2486000</v>
      </c>
      <c r="K229" s="621">
        <v>0</v>
      </c>
      <c r="L229" s="621">
        <v>2486000</v>
      </c>
      <c r="M229" s="621">
        <v>393</v>
      </c>
      <c r="N229" s="620" t="s">
        <v>12202</v>
      </c>
      <c r="O229" s="620" t="s">
        <v>12203</v>
      </c>
    </row>
    <row r="230" spans="1:15">
      <c r="A230" s="620" t="s">
        <v>8553</v>
      </c>
      <c r="B230" s="620" t="s">
        <v>13981</v>
      </c>
      <c r="C230" s="620" t="s">
        <v>9735</v>
      </c>
      <c r="D230" s="620" t="s">
        <v>13982</v>
      </c>
      <c r="E230" s="620" t="s">
        <v>12225</v>
      </c>
      <c r="F230" s="620" t="s">
        <v>335</v>
      </c>
      <c r="G230" s="620">
        <v>512</v>
      </c>
      <c r="H230" s="621">
        <v>452000</v>
      </c>
      <c r="I230" s="621">
        <v>45200</v>
      </c>
      <c r="J230" s="621">
        <v>497200</v>
      </c>
      <c r="K230" s="621">
        <v>0</v>
      </c>
      <c r="L230" s="621">
        <v>497200</v>
      </c>
      <c r="M230" s="621">
        <v>443</v>
      </c>
      <c r="N230" s="620" t="s">
        <v>12202</v>
      </c>
      <c r="O230" s="620" t="s">
        <v>12203</v>
      </c>
    </row>
    <row r="231" spans="1:15">
      <c r="A231" s="620" t="s">
        <v>8553</v>
      </c>
      <c r="B231" s="620" t="s">
        <v>13987</v>
      </c>
      <c r="C231" s="620" t="s">
        <v>9735</v>
      </c>
      <c r="D231" s="620" t="s">
        <v>13988</v>
      </c>
      <c r="E231" s="620" t="s">
        <v>12660</v>
      </c>
      <c r="F231" s="620" t="s">
        <v>335</v>
      </c>
      <c r="G231" s="620">
        <v>128</v>
      </c>
      <c r="H231" s="621">
        <v>116000</v>
      </c>
      <c r="I231" s="621">
        <v>11600</v>
      </c>
      <c r="J231" s="621">
        <v>127600</v>
      </c>
      <c r="K231" s="621">
        <v>0</v>
      </c>
      <c r="L231" s="621">
        <v>127600</v>
      </c>
      <c r="M231" s="621">
        <v>493</v>
      </c>
      <c r="N231" s="620" t="s">
        <v>12202</v>
      </c>
      <c r="O231" s="620" t="s">
        <v>12203</v>
      </c>
    </row>
    <row r="232" spans="1:15">
      <c r="A232" s="620" t="s">
        <v>8553</v>
      </c>
      <c r="B232" s="620" t="s">
        <v>13997</v>
      </c>
      <c r="C232" s="620" t="s">
        <v>9735</v>
      </c>
      <c r="D232" s="620" t="s">
        <v>13998</v>
      </c>
      <c r="E232" s="620" t="s">
        <v>12225</v>
      </c>
      <c r="F232" s="620" t="s">
        <v>335</v>
      </c>
      <c r="G232" s="620">
        <v>512</v>
      </c>
      <c r="H232" s="621">
        <v>2260000</v>
      </c>
      <c r="I232" s="621">
        <v>226000</v>
      </c>
      <c r="J232" s="621">
        <v>2486000</v>
      </c>
      <c r="K232" s="621">
        <v>0</v>
      </c>
      <c r="L232" s="621">
        <v>2486000</v>
      </c>
      <c r="M232" s="621">
        <v>318</v>
      </c>
      <c r="N232" s="620" t="s">
        <v>12202</v>
      </c>
      <c r="O232" s="620" t="s">
        <v>12203</v>
      </c>
    </row>
    <row r="233" spans="1:15">
      <c r="A233" s="620" t="s">
        <v>8553</v>
      </c>
      <c r="B233" s="620" t="s">
        <v>14003</v>
      </c>
      <c r="C233" s="620" t="s">
        <v>9735</v>
      </c>
      <c r="D233" s="620" t="s">
        <v>14004</v>
      </c>
      <c r="E233" s="620" t="s">
        <v>12225</v>
      </c>
      <c r="F233" s="620" t="s">
        <v>335</v>
      </c>
      <c r="G233" s="620">
        <v>512</v>
      </c>
      <c r="H233" s="621">
        <v>602666.66666666674</v>
      </c>
      <c r="I233" s="621">
        <v>60266.666666666679</v>
      </c>
      <c r="J233" s="621">
        <v>662933.33333333337</v>
      </c>
      <c r="K233" s="621">
        <v>0</v>
      </c>
      <c r="L233" s="621">
        <v>662933.33333333337</v>
      </c>
      <c r="M233" s="621">
        <v>176</v>
      </c>
      <c r="N233" s="620" t="s">
        <v>12202</v>
      </c>
      <c r="O233" s="620" t="s">
        <v>12203</v>
      </c>
    </row>
    <row r="234" spans="1:15">
      <c r="A234" s="620" t="s">
        <v>8553</v>
      </c>
      <c r="B234" s="620" t="s">
        <v>14011</v>
      </c>
      <c r="C234" s="620" t="s">
        <v>9735</v>
      </c>
      <c r="D234" s="620" t="s">
        <v>14012</v>
      </c>
      <c r="E234" s="620" t="s">
        <v>12225</v>
      </c>
      <c r="F234" s="620" t="s">
        <v>335</v>
      </c>
      <c r="G234" s="620">
        <v>512</v>
      </c>
      <c r="H234" s="621">
        <v>2260000</v>
      </c>
      <c r="I234" s="621">
        <v>226000</v>
      </c>
      <c r="J234" s="621">
        <v>2486000</v>
      </c>
      <c r="K234" s="621">
        <v>0</v>
      </c>
      <c r="L234" s="621">
        <v>2486000</v>
      </c>
      <c r="M234" s="621">
        <v>243</v>
      </c>
      <c r="N234" s="620" t="s">
        <v>12202</v>
      </c>
      <c r="O234" s="620" t="s">
        <v>12203</v>
      </c>
    </row>
    <row r="235" spans="1:15">
      <c r="A235" s="620" t="s">
        <v>8553</v>
      </c>
      <c r="B235" s="620" t="s">
        <v>14023</v>
      </c>
      <c r="C235" s="620" t="s">
        <v>9735</v>
      </c>
      <c r="D235" s="620" t="s">
        <v>14024</v>
      </c>
      <c r="E235" s="620" t="s">
        <v>12225</v>
      </c>
      <c r="F235" s="620" t="s">
        <v>335</v>
      </c>
      <c r="G235" s="620">
        <v>512</v>
      </c>
      <c r="H235" s="621">
        <v>2260000</v>
      </c>
      <c r="I235" s="621">
        <v>226000</v>
      </c>
      <c r="J235" s="621">
        <v>2486000</v>
      </c>
      <c r="K235" s="621">
        <v>0</v>
      </c>
      <c r="L235" s="621">
        <v>2486000</v>
      </c>
      <c r="M235" s="621">
        <v>18</v>
      </c>
      <c r="N235" s="620" t="s">
        <v>12202</v>
      </c>
      <c r="O235" s="620" t="s">
        <v>12203</v>
      </c>
    </row>
    <row r="236" spans="1:15">
      <c r="A236" s="620" t="s">
        <v>8553</v>
      </c>
      <c r="B236" s="620" t="s">
        <v>14029</v>
      </c>
      <c r="C236" s="620" t="s">
        <v>9735</v>
      </c>
      <c r="D236" s="620" t="s">
        <v>14030</v>
      </c>
      <c r="E236" s="620" t="s">
        <v>12225</v>
      </c>
      <c r="F236" s="620" t="s">
        <v>335</v>
      </c>
      <c r="G236" s="620">
        <v>512</v>
      </c>
      <c r="H236" s="621">
        <v>2260000</v>
      </c>
      <c r="I236" s="621">
        <v>226000</v>
      </c>
      <c r="J236" s="621">
        <v>2486000</v>
      </c>
      <c r="K236" s="621">
        <v>0</v>
      </c>
      <c r="L236" s="621">
        <v>2486000</v>
      </c>
      <c r="M236" s="621">
        <v>312</v>
      </c>
      <c r="N236" s="620" t="s">
        <v>12202</v>
      </c>
      <c r="O236" s="620" t="s">
        <v>12203</v>
      </c>
    </row>
    <row r="237" spans="1:15">
      <c r="A237" s="620" t="s">
        <v>8553</v>
      </c>
      <c r="B237" s="620" t="s">
        <v>14043</v>
      </c>
      <c r="C237" s="620" t="s">
        <v>9735</v>
      </c>
      <c r="D237" s="620" t="s">
        <v>14044</v>
      </c>
      <c r="E237" s="620" t="s">
        <v>12225</v>
      </c>
      <c r="F237" s="620" t="s">
        <v>335</v>
      </c>
      <c r="G237" s="620">
        <v>512</v>
      </c>
      <c r="H237" s="621">
        <v>2260000</v>
      </c>
      <c r="I237" s="621">
        <v>226000</v>
      </c>
      <c r="J237" s="621">
        <v>2486000</v>
      </c>
      <c r="K237" s="621">
        <v>0</v>
      </c>
      <c r="L237" s="621">
        <v>2486000</v>
      </c>
      <c r="M237" s="621">
        <v>307</v>
      </c>
      <c r="N237" s="620" t="s">
        <v>12202</v>
      </c>
      <c r="O237" s="620" t="s">
        <v>12203</v>
      </c>
    </row>
    <row r="238" spans="1:15">
      <c r="A238" s="620" t="s">
        <v>8553</v>
      </c>
      <c r="B238" s="620" t="s">
        <v>14048</v>
      </c>
      <c r="C238" s="620" t="s">
        <v>9735</v>
      </c>
      <c r="D238" s="620" t="s">
        <v>14049</v>
      </c>
      <c r="E238" s="620" t="s">
        <v>12225</v>
      </c>
      <c r="F238" s="620" t="s">
        <v>335</v>
      </c>
      <c r="G238" s="620">
        <v>512</v>
      </c>
      <c r="H238" s="621">
        <v>452000</v>
      </c>
      <c r="I238" s="621">
        <v>45200</v>
      </c>
      <c r="J238" s="621">
        <v>497200</v>
      </c>
      <c r="K238" s="621">
        <v>0</v>
      </c>
      <c r="L238" s="621">
        <v>497200</v>
      </c>
      <c r="M238" s="621">
        <v>728</v>
      </c>
      <c r="N238" s="620" t="s">
        <v>12202</v>
      </c>
      <c r="O238" s="620" t="s">
        <v>12203</v>
      </c>
    </row>
    <row r="239" spans="1:15">
      <c r="A239" s="620" t="s">
        <v>8553</v>
      </c>
      <c r="B239" s="620" t="s">
        <v>14055</v>
      </c>
      <c r="C239" s="620" t="s">
        <v>9735</v>
      </c>
      <c r="D239" s="620" t="s">
        <v>14056</v>
      </c>
      <c r="E239" s="620" t="s">
        <v>12225</v>
      </c>
      <c r="F239" s="620" t="s">
        <v>335</v>
      </c>
      <c r="G239" s="620">
        <v>512</v>
      </c>
      <c r="H239" s="621">
        <v>2260000</v>
      </c>
      <c r="I239" s="621">
        <v>226000</v>
      </c>
      <c r="J239" s="621">
        <v>2486000</v>
      </c>
      <c r="K239" s="621">
        <v>0</v>
      </c>
      <c r="L239" s="621">
        <v>2486000</v>
      </c>
      <c r="M239" s="621">
        <v>843</v>
      </c>
      <c r="N239" s="620" t="s">
        <v>12202</v>
      </c>
      <c r="O239" s="620" t="s">
        <v>12203</v>
      </c>
    </row>
    <row r="240" spans="1:15">
      <c r="A240" s="620" t="s">
        <v>8553</v>
      </c>
      <c r="B240" s="620" t="s">
        <v>14069</v>
      </c>
      <c r="C240" s="620" t="s">
        <v>9735</v>
      </c>
      <c r="D240" s="620" t="s">
        <v>14070</v>
      </c>
      <c r="E240" s="620" t="s">
        <v>12225</v>
      </c>
      <c r="F240" s="620" t="s">
        <v>335</v>
      </c>
      <c r="G240" s="620">
        <v>512</v>
      </c>
      <c r="H240" s="621">
        <v>2260000</v>
      </c>
      <c r="I240" s="621">
        <v>226000</v>
      </c>
      <c r="J240" s="621">
        <v>2486000</v>
      </c>
      <c r="K240" s="621">
        <v>0</v>
      </c>
      <c r="L240" s="621">
        <v>2486000</v>
      </c>
      <c r="M240" s="621">
        <v>18</v>
      </c>
      <c r="N240" s="620" t="s">
        <v>12202</v>
      </c>
      <c r="O240" s="620" t="s">
        <v>12203</v>
      </c>
    </row>
    <row r="241" spans="1:15">
      <c r="A241" s="620" t="s">
        <v>8553</v>
      </c>
      <c r="B241" s="620" t="s">
        <v>14074</v>
      </c>
      <c r="C241" s="620" t="s">
        <v>9735</v>
      </c>
      <c r="D241" s="620" t="s">
        <v>14075</v>
      </c>
      <c r="E241" s="620" t="s">
        <v>12225</v>
      </c>
      <c r="F241" s="620" t="s">
        <v>335</v>
      </c>
      <c r="G241" s="620">
        <v>512</v>
      </c>
      <c r="H241" s="621">
        <v>2260000</v>
      </c>
      <c r="I241" s="621">
        <v>226000</v>
      </c>
      <c r="J241" s="621">
        <v>2486000</v>
      </c>
      <c r="K241" s="621">
        <v>0</v>
      </c>
      <c r="L241" s="621">
        <v>2486000</v>
      </c>
      <c r="M241" s="621">
        <v>468</v>
      </c>
      <c r="N241" s="620" t="s">
        <v>12202</v>
      </c>
      <c r="O241" s="620" t="s">
        <v>12203</v>
      </c>
    </row>
    <row r="242" spans="1:15">
      <c r="A242" s="620" t="s">
        <v>8553</v>
      </c>
      <c r="B242" s="620" t="s">
        <v>14079</v>
      </c>
      <c r="C242" s="620" t="s">
        <v>9735</v>
      </c>
      <c r="D242" s="620" t="s">
        <v>14080</v>
      </c>
      <c r="E242" s="620" t="s">
        <v>12225</v>
      </c>
      <c r="F242" s="620" t="s">
        <v>335</v>
      </c>
      <c r="G242" s="620">
        <v>512</v>
      </c>
      <c r="H242" s="621">
        <v>2260000</v>
      </c>
      <c r="I242" s="621">
        <v>226000</v>
      </c>
      <c r="J242" s="621">
        <v>2486000</v>
      </c>
      <c r="K242" s="621">
        <v>0</v>
      </c>
      <c r="L242" s="621">
        <v>2486000</v>
      </c>
      <c r="M242" s="621">
        <v>970</v>
      </c>
      <c r="N242" s="620" t="s">
        <v>12202</v>
      </c>
      <c r="O242" s="620" t="s">
        <v>12203</v>
      </c>
    </row>
    <row r="243" spans="1:15">
      <c r="A243" s="620" t="s">
        <v>8553</v>
      </c>
      <c r="B243" s="620" t="s">
        <v>14084</v>
      </c>
      <c r="C243" s="620" t="s">
        <v>9735</v>
      </c>
      <c r="D243" s="620" t="s">
        <v>14085</v>
      </c>
      <c r="E243" s="620" t="s">
        <v>12225</v>
      </c>
      <c r="F243" s="620" t="s">
        <v>335</v>
      </c>
      <c r="G243" s="620">
        <v>512</v>
      </c>
      <c r="H243" s="621">
        <v>2260000</v>
      </c>
      <c r="I243" s="621">
        <v>226000</v>
      </c>
      <c r="J243" s="621">
        <v>2486000</v>
      </c>
      <c r="K243" s="621">
        <v>0</v>
      </c>
      <c r="L243" s="621">
        <v>2486000</v>
      </c>
      <c r="M243" s="621">
        <v>993</v>
      </c>
      <c r="N243" s="620" t="s">
        <v>12202</v>
      </c>
      <c r="O243" s="620" t="s">
        <v>12203</v>
      </c>
    </row>
    <row r="244" spans="1:15">
      <c r="A244" s="620" t="s">
        <v>14105</v>
      </c>
      <c r="B244" s="620"/>
      <c r="C244" s="620" t="s">
        <v>9735</v>
      </c>
      <c r="D244" s="620" t="s">
        <v>14106</v>
      </c>
      <c r="E244" s="620" t="s">
        <v>12255</v>
      </c>
      <c r="F244" s="620" t="s">
        <v>335</v>
      </c>
      <c r="G244" s="620">
        <v>2048</v>
      </c>
      <c r="H244" s="621">
        <v>7860000</v>
      </c>
      <c r="I244" s="621">
        <v>786000</v>
      </c>
      <c r="J244" s="621">
        <v>8646000</v>
      </c>
      <c r="K244" s="621">
        <v>0</v>
      </c>
      <c r="L244" s="621">
        <v>8646000</v>
      </c>
      <c r="M244" s="621">
        <v>480</v>
      </c>
      <c r="N244" s="620" t="s">
        <v>12202</v>
      </c>
      <c r="O244" s="620" t="s">
        <v>12203</v>
      </c>
    </row>
    <row r="245" spans="1:15">
      <c r="A245" s="620" t="s">
        <v>14113</v>
      </c>
      <c r="B245" s="620"/>
      <c r="C245" s="620" t="s">
        <v>9735</v>
      </c>
      <c r="D245" s="620" t="s">
        <v>14114</v>
      </c>
      <c r="E245" s="620" t="s">
        <v>12225</v>
      </c>
      <c r="F245" s="620" t="s">
        <v>335</v>
      </c>
      <c r="G245" s="620">
        <v>512</v>
      </c>
      <c r="H245" s="621">
        <v>2260000</v>
      </c>
      <c r="I245" s="621">
        <v>226000</v>
      </c>
      <c r="J245" s="621">
        <v>2486000</v>
      </c>
      <c r="K245" s="621">
        <v>0</v>
      </c>
      <c r="L245" s="621">
        <v>2486000</v>
      </c>
      <c r="M245" s="621">
        <v>374</v>
      </c>
      <c r="N245" s="620" t="s">
        <v>12202</v>
      </c>
      <c r="O245" s="620" t="s">
        <v>12203</v>
      </c>
    </row>
    <row r="246" spans="1:15">
      <c r="A246" s="620" t="s">
        <v>14120</v>
      </c>
      <c r="B246" s="620"/>
      <c r="C246" s="620" t="s">
        <v>9735</v>
      </c>
      <c r="D246" s="620" t="s">
        <v>14121</v>
      </c>
      <c r="E246" s="620" t="s">
        <v>12225</v>
      </c>
      <c r="F246" s="620" t="s">
        <v>335</v>
      </c>
      <c r="G246" s="620">
        <v>512</v>
      </c>
      <c r="H246" s="621">
        <v>2260000</v>
      </c>
      <c r="I246" s="621">
        <v>226000</v>
      </c>
      <c r="J246" s="621">
        <v>2486000</v>
      </c>
      <c r="K246" s="621">
        <v>0</v>
      </c>
      <c r="L246" s="621">
        <v>2486000</v>
      </c>
      <c r="M246" s="621">
        <v>568</v>
      </c>
      <c r="N246" s="620" t="s">
        <v>12202</v>
      </c>
      <c r="O246" s="620" t="s">
        <v>12203</v>
      </c>
    </row>
    <row r="247" spans="1:15">
      <c r="A247" s="620" t="s">
        <v>14127</v>
      </c>
      <c r="B247" s="620"/>
      <c r="C247" s="620" t="s">
        <v>9735</v>
      </c>
      <c r="D247" s="620" t="s">
        <v>14128</v>
      </c>
      <c r="E247" s="620" t="s">
        <v>14129</v>
      </c>
      <c r="F247" s="620" t="s">
        <v>335</v>
      </c>
      <c r="G247" s="620">
        <v>256</v>
      </c>
      <c r="H247" s="621">
        <v>1140000</v>
      </c>
      <c r="I247" s="621">
        <v>114000</v>
      </c>
      <c r="J247" s="621">
        <v>1254000</v>
      </c>
      <c r="K247" s="621">
        <v>0</v>
      </c>
      <c r="L247" s="621">
        <v>1254000</v>
      </c>
      <c r="M247" s="621">
        <v>21</v>
      </c>
      <c r="N247" s="620" t="s">
        <v>12202</v>
      </c>
      <c r="O247" s="620" t="s">
        <v>12203</v>
      </c>
    </row>
    <row r="248" spans="1:15">
      <c r="A248" s="620" t="s">
        <v>14137</v>
      </c>
      <c r="B248" s="620"/>
      <c r="C248" s="620" t="s">
        <v>9735</v>
      </c>
      <c r="D248" s="620" t="s">
        <v>4335</v>
      </c>
      <c r="E248" s="620" t="s">
        <v>12649</v>
      </c>
      <c r="F248" s="620" t="s">
        <v>335</v>
      </c>
      <c r="G248" s="620">
        <v>10240</v>
      </c>
      <c r="H248" s="621">
        <v>17753333.333333332</v>
      </c>
      <c r="I248" s="621">
        <v>1775333.333333333</v>
      </c>
      <c r="J248" s="621">
        <v>19528666.666666664</v>
      </c>
      <c r="K248" s="621">
        <v>0</v>
      </c>
      <c r="L248" s="621">
        <v>19528666.666666664</v>
      </c>
      <c r="M248" s="621">
        <v>283</v>
      </c>
      <c r="N248" s="620" t="s">
        <v>12202</v>
      </c>
      <c r="O248" s="620" t="s">
        <v>12203</v>
      </c>
    </row>
    <row r="249" spans="1:15">
      <c r="A249" s="620" t="s">
        <v>14143</v>
      </c>
      <c r="B249" s="620"/>
      <c r="C249" s="620" t="s">
        <v>9735</v>
      </c>
      <c r="D249" s="620" t="s">
        <v>14144</v>
      </c>
      <c r="E249" s="620" t="s">
        <v>12225</v>
      </c>
      <c r="F249" s="620" t="s">
        <v>335</v>
      </c>
      <c r="G249" s="620">
        <v>512</v>
      </c>
      <c r="H249" s="621">
        <v>2260000</v>
      </c>
      <c r="I249" s="621">
        <v>226000</v>
      </c>
      <c r="J249" s="621">
        <v>2486000</v>
      </c>
      <c r="K249" s="621">
        <v>0</v>
      </c>
      <c r="L249" s="621">
        <v>2486000</v>
      </c>
      <c r="M249" s="621">
        <v>806</v>
      </c>
      <c r="N249" s="620" t="s">
        <v>12202</v>
      </c>
      <c r="O249" s="620" t="s">
        <v>12203</v>
      </c>
    </row>
    <row r="250" spans="1:15">
      <c r="A250" s="620" t="s">
        <v>14149</v>
      </c>
      <c r="B250" s="620"/>
      <c r="C250" s="620" t="s">
        <v>9735</v>
      </c>
      <c r="D250" s="620" t="s">
        <v>14150</v>
      </c>
      <c r="E250" s="620" t="s">
        <v>12255</v>
      </c>
      <c r="F250" s="620" t="s">
        <v>335</v>
      </c>
      <c r="G250" s="620">
        <v>2048</v>
      </c>
      <c r="H250" s="621">
        <v>7860000</v>
      </c>
      <c r="I250" s="621">
        <v>786000</v>
      </c>
      <c r="J250" s="621">
        <v>8646000</v>
      </c>
      <c r="K250" s="621">
        <v>0</v>
      </c>
      <c r="L250" s="621">
        <v>8646000</v>
      </c>
      <c r="M250" s="621">
        <v>467</v>
      </c>
      <c r="N250" s="620" t="s">
        <v>12202</v>
      </c>
      <c r="O250" s="620" t="s">
        <v>12203</v>
      </c>
    </row>
    <row r="251" spans="1:15">
      <c r="A251" s="620"/>
      <c r="B251" s="620"/>
      <c r="C251" s="620"/>
      <c r="D251" s="620"/>
      <c r="E251" s="620"/>
      <c r="F251" s="620"/>
      <c r="G251" s="620"/>
      <c r="H251" s="621" t="s">
        <v>14158</v>
      </c>
      <c r="I251" s="621" t="s">
        <v>14159</v>
      </c>
      <c r="J251" s="621">
        <v>2652158131.5100884</v>
      </c>
      <c r="K251" s="621">
        <v>39362581</v>
      </c>
      <c r="L251" s="621">
        <v>2691520712.5100884</v>
      </c>
      <c r="M251" s="621">
        <v>135918</v>
      </c>
      <c r="N251" s="620"/>
      <c r="O251" s="620"/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1"/>
  <sheetViews>
    <sheetView rightToLeft="1" workbookViewId="0">
      <pane ySplit="1" topLeftCell="A681" activePane="bottomLeft" state="frozen"/>
      <selection pane="bottomLeft" activeCell="N699" sqref="N699"/>
    </sheetView>
  </sheetViews>
  <sheetFormatPr defaultColWidth="9.140625" defaultRowHeight="15"/>
  <cols>
    <col min="1" max="1" width="6.140625" style="114" bestFit="1" customWidth="1"/>
    <col min="2" max="2" width="23.85546875" style="114" customWidth="1"/>
    <col min="3" max="3" width="14.140625" style="114" bestFit="1" customWidth="1"/>
    <col min="4" max="4" width="12.28515625" style="114" bestFit="1" customWidth="1"/>
    <col min="5" max="5" width="10.7109375" style="114" bestFit="1" customWidth="1"/>
    <col min="6" max="6" width="13.42578125" style="114" bestFit="1" customWidth="1"/>
    <col min="7" max="7" width="16.28515625" style="114" bestFit="1" customWidth="1"/>
    <col min="8" max="8" width="10" style="114" bestFit="1" customWidth="1"/>
    <col min="9" max="9" width="19.42578125" style="204" bestFit="1" customWidth="1"/>
    <col min="10" max="10" width="9.85546875" style="204" bestFit="1" customWidth="1"/>
    <col min="11" max="11" width="19.42578125" style="204" bestFit="1" customWidth="1"/>
    <col min="12" max="12" width="17.85546875" style="114" bestFit="1" customWidth="1"/>
    <col min="13" max="13" width="12.7109375" style="114" bestFit="1" customWidth="1"/>
    <col min="14" max="14" width="50" style="114" bestFit="1" customWidth="1"/>
    <col min="15" max="15" width="15.7109375" style="114" bestFit="1" customWidth="1"/>
    <col min="16" max="16" width="10.42578125" style="114" bestFit="1" customWidth="1"/>
    <col min="17" max="17" width="11" style="114" bestFit="1" customWidth="1"/>
    <col min="18" max="18" width="9.42578125" style="114" bestFit="1" customWidth="1"/>
    <col min="19" max="16384" width="9.140625" style="114"/>
  </cols>
  <sheetData>
    <row r="1" spans="1:18" s="205" customFormat="1" ht="25.5" customHeight="1" thickTop="1">
      <c r="A1" s="206" t="s">
        <v>0</v>
      </c>
      <c r="B1" s="207" t="s">
        <v>4321</v>
      </c>
      <c r="C1" s="207" t="s">
        <v>4322</v>
      </c>
      <c r="D1" s="207" t="s">
        <v>7750</v>
      </c>
      <c r="E1" s="207" t="s">
        <v>7751</v>
      </c>
      <c r="F1" s="207" t="s">
        <v>7752</v>
      </c>
      <c r="G1" s="207" t="s">
        <v>7753</v>
      </c>
      <c r="H1" s="207" t="s">
        <v>196</v>
      </c>
      <c r="I1" s="209" t="s">
        <v>7754</v>
      </c>
      <c r="J1" s="209" t="s">
        <v>7755</v>
      </c>
      <c r="K1" s="209" t="s">
        <v>7756</v>
      </c>
      <c r="L1" s="207" t="s">
        <v>7757</v>
      </c>
      <c r="M1" s="207" t="s">
        <v>7758</v>
      </c>
      <c r="N1" s="207" t="s">
        <v>7759</v>
      </c>
      <c r="O1" s="207" t="s">
        <v>2</v>
      </c>
      <c r="P1" s="207" t="s">
        <v>7760</v>
      </c>
      <c r="Q1" s="207" t="s">
        <v>7761</v>
      </c>
      <c r="R1" s="208" t="s">
        <v>7762</v>
      </c>
    </row>
    <row r="2" spans="1:18">
      <c r="A2" s="217">
        <v>6</v>
      </c>
      <c r="B2" s="218">
        <v>653925</v>
      </c>
      <c r="C2" s="218" t="s">
        <v>249</v>
      </c>
      <c r="D2" s="218" t="s">
        <v>7772</v>
      </c>
      <c r="E2" s="218" t="s">
        <v>7783</v>
      </c>
      <c r="F2" s="218" t="s">
        <v>7783</v>
      </c>
      <c r="G2" s="218" t="s">
        <v>7784</v>
      </c>
      <c r="H2" s="218">
        <v>128</v>
      </c>
      <c r="I2" s="219">
        <v>0</v>
      </c>
      <c r="J2" s="219">
        <v>0</v>
      </c>
      <c r="K2" s="219">
        <v>0</v>
      </c>
      <c r="L2" s="218" t="s">
        <v>7767</v>
      </c>
      <c r="M2" s="218">
        <v>0</v>
      </c>
      <c r="N2" s="218" t="s">
        <v>7785</v>
      </c>
      <c r="O2" s="218" t="s">
        <v>267</v>
      </c>
      <c r="P2" s="218">
        <v>399</v>
      </c>
      <c r="Q2" s="218" t="s">
        <v>7771</v>
      </c>
      <c r="R2" s="220">
        <v>104</v>
      </c>
    </row>
    <row r="3" spans="1:18">
      <c r="A3" s="217">
        <v>28</v>
      </c>
      <c r="B3" s="218">
        <v>540649</v>
      </c>
      <c r="C3" s="218" t="s">
        <v>7835</v>
      </c>
      <c r="D3" s="218" t="s">
        <v>7772</v>
      </c>
      <c r="E3" s="218" t="s">
        <v>7832</v>
      </c>
      <c r="F3" s="218" t="s">
        <v>7836</v>
      </c>
      <c r="G3" s="218" t="s">
        <v>7767</v>
      </c>
      <c r="H3" s="218">
        <v>0</v>
      </c>
      <c r="I3" s="219">
        <v>0</v>
      </c>
      <c r="J3" s="219">
        <v>0</v>
      </c>
      <c r="K3" s="219">
        <v>0</v>
      </c>
      <c r="L3" s="218" t="s">
        <v>7767</v>
      </c>
      <c r="M3" s="218">
        <v>1</v>
      </c>
      <c r="N3" s="218" t="s">
        <v>7837</v>
      </c>
      <c r="O3" s="218" t="s">
        <v>7828</v>
      </c>
      <c r="P3" s="218">
        <v>399</v>
      </c>
      <c r="Q3" s="218" t="s">
        <v>7771</v>
      </c>
      <c r="R3" s="220">
        <v>100</v>
      </c>
    </row>
    <row r="4" spans="1:18">
      <c r="A4" s="217">
        <v>43</v>
      </c>
      <c r="B4" s="218">
        <v>40102406115</v>
      </c>
      <c r="C4" s="218" t="s">
        <v>7763</v>
      </c>
      <c r="D4" s="218" t="s">
        <v>7764</v>
      </c>
      <c r="E4" s="218" t="s">
        <v>7857</v>
      </c>
      <c r="F4" s="218" t="s">
        <v>7780</v>
      </c>
      <c r="G4" s="218" t="s">
        <v>7858</v>
      </c>
      <c r="H4" s="218">
        <v>512</v>
      </c>
      <c r="I4" s="219">
        <v>0</v>
      </c>
      <c r="J4" s="219">
        <v>0</v>
      </c>
      <c r="K4" s="219">
        <v>0</v>
      </c>
      <c r="L4" s="218" t="s">
        <v>7767</v>
      </c>
      <c r="M4" s="218">
        <v>0</v>
      </c>
      <c r="N4" s="218" t="s">
        <v>7859</v>
      </c>
      <c r="O4" s="218" t="s">
        <v>7841</v>
      </c>
      <c r="P4" s="218">
        <v>399</v>
      </c>
      <c r="Q4" s="218" t="s">
        <v>7771</v>
      </c>
      <c r="R4" s="220">
        <v>104</v>
      </c>
    </row>
    <row r="5" spans="1:18">
      <c r="A5" s="217">
        <v>58</v>
      </c>
      <c r="B5" s="218">
        <v>642902</v>
      </c>
      <c r="C5" s="218" t="s">
        <v>40</v>
      </c>
      <c r="D5" s="218" t="s">
        <v>7764</v>
      </c>
      <c r="E5" s="218" t="s">
        <v>7887</v>
      </c>
      <c r="F5" s="218" t="s">
        <v>7887</v>
      </c>
      <c r="G5" s="218" t="s">
        <v>7888</v>
      </c>
      <c r="H5" s="218">
        <v>128</v>
      </c>
      <c r="I5" s="219">
        <v>0</v>
      </c>
      <c r="J5" s="219">
        <v>0</v>
      </c>
      <c r="K5" s="219">
        <v>0</v>
      </c>
      <c r="L5" s="218" t="s">
        <v>7767</v>
      </c>
      <c r="M5" s="218">
        <v>0</v>
      </c>
      <c r="N5" s="218" t="s">
        <v>7767</v>
      </c>
      <c r="O5" s="218" t="s">
        <v>376</v>
      </c>
      <c r="P5" s="218">
        <v>399</v>
      </c>
      <c r="Q5" s="218" t="s">
        <v>7771</v>
      </c>
      <c r="R5" s="220">
        <v>100</v>
      </c>
    </row>
    <row r="6" spans="1:18">
      <c r="A6" s="217">
        <v>89</v>
      </c>
      <c r="B6" s="218">
        <v>659207</v>
      </c>
      <c r="C6" s="218" t="s">
        <v>7950</v>
      </c>
      <c r="D6" s="218" t="s">
        <v>7772</v>
      </c>
      <c r="E6" s="218" t="s">
        <v>7955</v>
      </c>
      <c r="F6" s="218" t="s">
        <v>7952</v>
      </c>
      <c r="G6" s="218" t="s">
        <v>7956</v>
      </c>
      <c r="H6" s="218">
        <v>128</v>
      </c>
      <c r="I6" s="219">
        <v>0</v>
      </c>
      <c r="J6" s="219">
        <v>0</v>
      </c>
      <c r="K6" s="219">
        <v>0</v>
      </c>
      <c r="L6" s="218" t="s">
        <v>7767</v>
      </c>
      <c r="M6" s="218">
        <v>0</v>
      </c>
      <c r="N6" s="218" t="s">
        <v>7957</v>
      </c>
      <c r="O6" s="218" t="s">
        <v>7954</v>
      </c>
      <c r="P6" s="218">
        <v>399</v>
      </c>
      <c r="Q6" s="218" t="s">
        <v>7771</v>
      </c>
      <c r="R6" s="220">
        <v>100</v>
      </c>
    </row>
    <row r="7" spans="1:18">
      <c r="A7" s="217">
        <v>104</v>
      </c>
      <c r="B7" s="218">
        <v>631132</v>
      </c>
      <c r="C7" s="218" t="s">
        <v>7763</v>
      </c>
      <c r="D7" s="218" t="s">
        <v>7772</v>
      </c>
      <c r="E7" s="218" t="s">
        <v>7990</v>
      </c>
      <c r="F7" s="218" t="s">
        <v>7780</v>
      </c>
      <c r="G7" s="218" t="s">
        <v>7991</v>
      </c>
      <c r="H7" s="218">
        <v>512</v>
      </c>
      <c r="I7" s="219">
        <v>0</v>
      </c>
      <c r="J7" s="219">
        <v>0</v>
      </c>
      <c r="K7" s="219">
        <v>0</v>
      </c>
      <c r="L7" s="218" t="s">
        <v>7767</v>
      </c>
      <c r="M7" s="218">
        <v>0</v>
      </c>
      <c r="N7" s="218" t="s">
        <v>7992</v>
      </c>
      <c r="O7" s="218" t="s">
        <v>7993</v>
      </c>
      <c r="P7" s="218">
        <v>399</v>
      </c>
      <c r="Q7" s="218" t="s">
        <v>7771</v>
      </c>
      <c r="R7" s="220">
        <v>104</v>
      </c>
    </row>
    <row r="8" spans="1:18">
      <c r="A8" s="217">
        <v>108</v>
      </c>
      <c r="B8" s="218">
        <v>645487</v>
      </c>
      <c r="C8" s="218" t="s">
        <v>7763</v>
      </c>
      <c r="D8" s="218" t="s">
        <v>7772</v>
      </c>
      <c r="E8" s="218" t="s">
        <v>8000</v>
      </c>
      <c r="F8" s="218" t="s">
        <v>7780</v>
      </c>
      <c r="G8" s="218" t="s">
        <v>8001</v>
      </c>
      <c r="H8" s="218">
        <v>512</v>
      </c>
      <c r="I8" s="219">
        <v>0</v>
      </c>
      <c r="J8" s="219">
        <v>0</v>
      </c>
      <c r="K8" s="219">
        <v>0</v>
      </c>
      <c r="L8" s="218" t="s">
        <v>7767</v>
      </c>
      <c r="M8" s="218">
        <v>0</v>
      </c>
      <c r="N8" s="218" t="s">
        <v>8002</v>
      </c>
      <c r="O8" s="218" t="s">
        <v>7993</v>
      </c>
      <c r="P8" s="218">
        <v>399</v>
      </c>
      <c r="Q8" s="218" t="s">
        <v>7771</v>
      </c>
      <c r="R8" s="220">
        <v>104</v>
      </c>
    </row>
    <row r="9" spans="1:18">
      <c r="A9" s="217">
        <v>115</v>
      </c>
      <c r="B9" s="218">
        <v>650150</v>
      </c>
      <c r="C9" s="218" t="s">
        <v>7763</v>
      </c>
      <c r="D9" s="218" t="s">
        <v>7772</v>
      </c>
      <c r="E9" s="218" t="s">
        <v>8015</v>
      </c>
      <c r="F9" s="218" t="s">
        <v>7780</v>
      </c>
      <c r="G9" s="218" t="s">
        <v>8016</v>
      </c>
      <c r="H9" s="218">
        <v>512</v>
      </c>
      <c r="I9" s="219">
        <v>0</v>
      </c>
      <c r="J9" s="219">
        <v>0</v>
      </c>
      <c r="K9" s="219">
        <v>0</v>
      </c>
      <c r="L9" s="218" t="s">
        <v>7767</v>
      </c>
      <c r="M9" s="218">
        <v>0</v>
      </c>
      <c r="N9" s="218" t="s">
        <v>8017</v>
      </c>
      <c r="O9" s="218" t="s">
        <v>7993</v>
      </c>
      <c r="P9" s="218">
        <v>399</v>
      </c>
      <c r="Q9" s="218" t="s">
        <v>7771</v>
      </c>
      <c r="R9" s="220">
        <v>104</v>
      </c>
    </row>
    <row r="10" spans="1:18">
      <c r="A10" s="217">
        <v>120</v>
      </c>
      <c r="B10" s="218">
        <v>651818</v>
      </c>
      <c r="C10" s="218" t="s">
        <v>249</v>
      </c>
      <c r="D10" s="218" t="s">
        <v>7772</v>
      </c>
      <c r="E10" s="218" t="s">
        <v>8026</v>
      </c>
      <c r="F10" s="218" t="s">
        <v>8027</v>
      </c>
      <c r="G10" s="218" t="s">
        <v>8028</v>
      </c>
      <c r="H10" s="218">
        <v>128</v>
      </c>
      <c r="I10" s="219">
        <v>0</v>
      </c>
      <c r="J10" s="219">
        <v>0</v>
      </c>
      <c r="K10" s="219">
        <v>0</v>
      </c>
      <c r="L10" s="218" t="s">
        <v>7767</v>
      </c>
      <c r="M10" s="218">
        <v>0</v>
      </c>
      <c r="N10" s="218" t="s">
        <v>8029</v>
      </c>
      <c r="O10" s="218" t="s">
        <v>7993</v>
      </c>
      <c r="P10" s="218">
        <v>399</v>
      </c>
      <c r="Q10" s="218" t="s">
        <v>7771</v>
      </c>
      <c r="R10" s="220">
        <v>104</v>
      </c>
    </row>
    <row r="11" spans="1:18">
      <c r="A11" s="217">
        <v>121</v>
      </c>
      <c r="B11" s="218">
        <v>653270</v>
      </c>
      <c r="C11" s="218" t="s">
        <v>7763</v>
      </c>
      <c r="D11" s="218" t="s">
        <v>7772</v>
      </c>
      <c r="E11" s="218" t="s">
        <v>8030</v>
      </c>
      <c r="F11" s="218" t="s">
        <v>7780</v>
      </c>
      <c r="G11" s="218" t="s">
        <v>8001</v>
      </c>
      <c r="H11" s="218">
        <v>512</v>
      </c>
      <c r="I11" s="219">
        <v>0</v>
      </c>
      <c r="J11" s="219">
        <v>0</v>
      </c>
      <c r="K11" s="219">
        <v>0</v>
      </c>
      <c r="L11" s="218" t="s">
        <v>7767</v>
      </c>
      <c r="M11" s="218">
        <v>0</v>
      </c>
      <c r="N11" s="218" t="s">
        <v>8031</v>
      </c>
      <c r="O11" s="218" t="s">
        <v>7993</v>
      </c>
      <c r="P11" s="218">
        <v>399</v>
      </c>
      <c r="Q11" s="218" t="s">
        <v>7771</v>
      </c>
      <c r="R11" s="220">
        <v>104</v>
      </c>
    </row>
    <row r="12" spans="1:18">
      <c r="A12" s="217">
        <v>139</v>
      </c>
      <c r="B12" s="218">
        <v>9602023734</v>
      </c>
      <c r="C12" s="218" t="s">
        <v>7763</v>
      </c>
      <c r="D12" s="218" t="s">
        <v>7772</v>
      </c>
      <c r="E12" s="218" t="s">
        <v>8063</v>
      </c>
      <c r="F12" s="218" t="s">
        <v>7780</v>
      </c>
      <c r="G12" s="218" t="s">
        <v>8001</v>
      </c>
      <c r="H12" s="218">
        <v>512</v>
      </c>
      <c r="I12" s="219">
        <v>0</v>
      </c>
      <c r="J12" s="219">
        <v>0</v>
      </c>
      <c r="K12" s="219">
        <v>0</v>
      </c>
      <c r="L12" s="218" t="s">
        <v>7767</v>
      </c>
      <c r="M12" s="218">
        <v>0</v>
      </c>
      <c r="N12" s="218" t="s">
        <v>8072</v>
      </c>
      <c r="O12" s="218" t="s">
        <v>7993</v>
      </c>
      <c r="P12" s="218">
        <v>399</v>
      </c>
      <c r="Q12" s="218" t="s">
        <v>7771</v>
      </c>
      <c r="R12" s="220">
        <v>104</v>
      </c>
    </row>
    <row r="13" spans="1:18">
      <c r="A13" s="217">
        <v>140</v>
      </c>
      <c r="B13" s="218">
        <v>9602023738</v>
      </c>
      <c r="C13" s="218" t="s">
        <v>7763</v>
      </c>
      <c r="D13" s="218" t="s">
        <v>7772</v>
      </c>
      <c r="E13" s="218" t="s">
        <v>8070</v>
      </c>
      <c r="F13" s="218" t="s">
        <v>8073</v>
      </c>
      <c r="G13" s="218" t="s">
        <v>8074</v>
      </c>
      <c r="H13" s="218">
        <v>128</v>
      </c>
      <c r="I13" s="219">
        <v>0</v>
      </c>
      <c r="J13" s="219">
        <v>0</v>
      </c>
      <c r="K13" s="219">
        <v>0</v>
      </c>
      <c r="L13" s="218" t="s">
        <v>7767</v>
      </c>
      <c r="M13" s="218">
        <v>0</v>
      </c>
      <c r="N13" s="218" t="s">
        <v>8075</v>
      </c>
      <c r="O13" s="218" t="s">
        <v>7993</v>
      </c>
      <c r="P13" s="218">
        <v>399</v>
      </c>
      <c r="Q13" s="218" t="s">
        <v>7771</v>
      </c>
      <c r="R13" s="220">
        <v>104</v>
      </c>
    </row>
    <row r="14" spans="1:18">
      <c r="A14" s="217">
        <v>164</v>
      </c>
      <c r="B14" s="218">
        <v>9602031023</v>
      </c>
      <c r="C14" s="218" t="s">
        <v>7763</v>
      </c>
      <c r="D14" s="218" t="s">
        <v>7772</v>
      </c>
      <c r="E14" s="218" t="s">
        <v>7922</v>
      </c>
      <c r="F14" s="218" t="s">
        <v>7802</v>
      </c>
      <c r="G14" s="218" t="s">
        <v>8111</v>
      </c>
      <c r="H14" s="218">
        <v>128</v>
      </c>
      <c r="I14" s="219">
        <v>0</v>
      </c>
      <c r="J14" s="219">
        <v>0</v>
      </c>
      <c r="K14" s="219">
        <v>0</v>
      </c>
      <c r="L14" s="218" t="s">
        <v>7767</v>
      </c>
      <c r="M14" s="218">
        <v>0</v>
      </c>
      <c r="N14" s="218" t="s">
        <v>8112</v>
      </c>
      <c r="O14" s="218" t="s">
        <v>7993</v>
      </c>
      <c r="P14" s="218">
        <v>399</v>
      </c>
      <c r="Q14" s="218" t="s">
        <v>7771</v>
      </c>
      <c r="R14" s="220">
        <v>104</v>
      </c>
    </row>
    <row r="15" spans="1:18">
      <c r="A15" s="217">
        <v>177</v>
      </c>
      <c r="B15" s="218">
        <v>9702089012</v>
      </c>
      <c r="C15" s="218" t="s">
        <v>335</v>
      </c>
      <c r="D15" s="218" t="s">
        <v>8065</v>
      </c>
      <c r="E15" s="218" t="s">
        <v>8134</v>
      </c>
      <c r="F15" s="218" t="s">
        <v>8134</v>
      </c>
      <c r="G15" s="218" t="s">
        <v>8135</v>
      </c>
      <c r="H15" s="218">
        <v>128</v>
      </c>
      <c r="I15" s="219">
        <v>0</v>
      </c>
      <c r="J15" s="219">
        <v>0</v>
      </c>
      <c r="K15" s="219">
        <v>0</v>
      </c>
      <c r="L15" s="218" t="s">
        <v>7767</v>
      </c>
      <c r="M15" s="218">
        <v>0</v>
      </c>
      <c r="N15" s="218" t="s">
        <v>8136</v>
      </c>
      <c r="O15" s="218" t="s">
        <v>7993</v>
      </c>
      <c r="P15" s="218">
        <v>399</v>
      </c>
      <c r="Q15" s="218" t="s">
        <v>7771</v>
      </c>
      <c r="R15" s="220">
        <v>100</v>
      </c>
    </row>
    <row r="16" spans="1:18">
      <c r="A16" s="217">
        <v>181</v>
      </c>
      <c r="B16" s="218">
        <v>9702118387</v>
      </c>
      <c r="C16" s="218" t="s">
        <v>335</v>
      </c>
      <c r="D16" s="218" t="s">
        <v>8065</v>
      </c>
      <c r="E16" s="218" t="s">
        <v>8143</v>
      </c>
      <c r="F16" s="218" t="s">
        <v>8143</v>
      </c>
      <c r="G16" s="218" t="s">
        <v>8144</v>
      </c>
      <c r="H16" s="218">
        <v>128</v>
      </c>
      <c r="I16" s="219">
        <v>0</v>
      </c>
      <c r="J16" s="219">
        <v>0</v>
      </c>
      <c r="K16" s="219">
        <v>0</v>
      </c>
      <c r="L16" s="218" t="s">
        <v>7767</v>
      </c>
      <c r="M16" s="218">
        <v>0</v>
      </c>
      <c r="N16" s="218" t="s">
        <v>8145</v>
      </c>
      <c r="O16" s="218" t="s">
        <v>7993</v>
      </c>
      <c r="P16" s="218">
        <v>399</v>
      </c>
      <c r="Q16" s="218" t="s">
        <v>7771</v>
      </c>
      <c r="R16" s="220">
        <v>100</v>
      </c>
    </row>
    <row r="17" spans="1:18">
      <c r="A17" s="217">
        <v>249</v>
      </c>
      <c r="B17" s="218">
        <v>391706</v>
      </c>
      <c r="C17" s="218" t="s">
        <v>7763</v>
      </c>
      <c r="D17" s="218" t="s">
        <v>7772</v>
      </c>
      <c r="E17" s="218" t="s">
        <v>8273</v>
      </c>
      <c r="F17" s="218" t="s">
        <v>7780</v>
      </c>
      <c r="G17" s="218" t="s">
        <v>8274</v>
      </c>
      <c r="H17" s="218">
        <v>512</v>
      </c>
      <c r="I17" s="219">
        <v>0</v>
      </c>
      <c r="J17" s="219">
        <v>0</v>
      </c>
      <c r="K17" s="219">
        <v>0</v>
      </c>
      <c r="L17" s="218" t="s">
        <v>7767</v>
      </c>
      <c r="M17" s="218">
        <v>0</v>
      </c>
      <c r="N17" s="218" t="s">
        <v>8275</v>
      </c>
      <c r="O17" s="218" t="s">
        <v>7993</v>
      </c>
      <c r="P17" s="218">
        <v>399</v>
      </c>
      <c r="Q17" s="218" t="s">
        <v>7771</v>
      </c>
      <c r="R17" s="220">
        <v>104</v>
      </c>
    </row>
    <row r="18" spans="1:18">
      <c r="A18" s="217">
        <v>291</v>
      </c>
      <c r="B18" s="218">
        <v>652123</v>
      </c>
      <c r="C18" s="218" t="s">
        <v>7835</v>
      </c>
      <c r="D18" s="218" t="s">
        <v>7772</v>
      </c>
      <c r="E18" s="218" t="s">
        <v>8348</v>
      </c>
      <c r="F18" s="218" t="s">
        <v>8345</v>
      </c>
      <c r="G18" s="218" t="s">
        <v>7767</v>
      </c>
      <c r="H18" s="218">
        <v>0</v>
      </c>
      <c r="I18" s="219">
        <v>0</v>
      </c>
      <c r="J18" s="219">
        <v>0</v>
      </c>
      <c r="K18" s="219">
        <v>0</v>
      </c>
      <c r="L18" s="218" t="s">
        <v>7767</v>
      </c>
      <c r="M18" s="218">
        <v>1</v>
      </c>
      <c r="N18" s="218" t="s">
        <v>8349</v>
      </c>
      <c r="O18" s="218" t="s">
        <v>8347</v>
      </c>
      <c r="P18" s="218">
        <v>399</v>
      </c>
      <c r="Q18" s="218" t="s">
        <v>7771</v>
      </c>
      <c r="R18" s="220">
        <v>100</v>
      </c>
    </row>
    <row r="19" spans="1:18">
      <c r="A19" s="217">
        <v>293</v>
      </c>
      <c r="B19" s="218">
        <v>660676</v>
      </c>
      <c r="C19" s="218" t="s">
        <v>40</v>
      </c>
      <c r="D19" s="218" t="s">
        <v>7764</v>
      </c>
      <c r="E19" s="218" t="s">
        <v>7958</v>
      </c>
      <c r="F19" s="218" t="s">
        <v>8138</v>
      </c>
      <c r="G19" s="218" t="s">
        <v>8351</v>
      </c>
      <c r="H19" s="218">
        <v>512</v>
      </c>
      <c r="I19" s="219">
        <v>0</v>
      </c>
      <c r="J19" s="219">
        <v>0</v>
      </c>
      <c r="K19" s="219">
        <v>0</v>
      </c>
      <c r="L19" s="218" t="s">
        <v>7767</v>
      </c>
      <c r="M19" s="218">
        <v>0</v>
      </c>
      <c r="N19" s="218" t="s">
        <v>8352</v>
      </c>
      <c r="O19" s="218" t="s">
        <v>8347</v>
      </c>
      <c r="P19" s="218">
        <v>399</v>
      </c>
      <c r="Q19" s="218" t="s">
        <v>7771</v>
      </c>
      <c r="R19" s="220">
        <v>100</v>
      </c>
    </row>
    <row r="20" spans="1:18">
      <c r="A20" s="217">
        <v>311</v>
      </c>
      <c r="B20" s="218">
        <v>9602007370</v>
      </c>
      <c r="C20" s="218" t="s">
        <v>7835</v>
      </c>
      <c r="D20" s="218" t="s">
        <v>7772</v>
      </c>
      <c r="E20" s="218" t="s">
        <v>8380</v>
      </c>
      <c r="F20" s="218" t="s">
        <v>8380</v>
      </c>
      <c r="G20" s="218" t="s">
        <v>7767</v>
      </c>
      <c r="H20" s="218">
        <v>0</v>
      </c>
      <c r="I20" s="219">
        <v>0</v>
      </c>
      <c r="J20" s="219">
        <v>0</v>
      </c>
      <c r="K20" s="219">
        <v>0</v>
      </c>
      <c r="L20" s="218" t="s">
        <v>7767</v>
      </c>
      <c r="M20" s="218">
        <v>1</v>
      </c>
      <c r="N20" s="218" t="s">
        <v>8381</v>
      </c>
      <c r="O20" s="218" t="s">
        <v>1609</v>
      </c>
      <c r="P20" s="218">
        <v>399</v>
      </c>
      <c r="Q20" s="218" t="s">
        <v>7771</v>
      </c>
      <c r="R20" s="220">
        <v>100</v>
      </c>
    </row>
    <row r="21" spans="1:18">
      <c r="A21" s="217">
        <v>336</v>
      </c>
      <c r="B21" s="218">
        <v>549692</v>
      </c>
      <c r="C21" s="218" t="s">
        <v>40</v>
      </c>
      <c r="D21" s="218" t="s">
        <v>7764</v>
      </c>
      <c r="E21" s="218" t="s">
        <v>8420</v>
      </c>
      <c r="F21" s="218" t="s">
        <v>8420</v>
      </c>
      <c r="G21" s="218" t="s">
        <v>8421</v>
      </c>
      <c r="H21" s="218">
        <v>128</v>
      </c>
      <c r="I21" s="219">
        <v>0</v>
      </c>
      <c r="J21" s="219">
        <v>0</v>
      </c>
      <c r="K21" s="219">
        <v>0</v>
      </c>
      <c r="L21" s="218" t="s">
        <v>7767</v>
      </c>
      <c r="M21" s="218">
        <v>0</v>
      </c>
      <c r="N21" s="218" t="s">
        <v>8422</v>
      </c>
      <c r="O21" s="218" t="s">
        <v>1609</v>
      </c>
      <c r="P21" s="218">
        <v>399</v>
      </c>
      <c r="Q21" s="218" t="s">
        <v>7771</v>
      </c>
      <c r="R21" s="220">
        <v>100</v>
      </c>
    </row>
    <row r="22" spans="1:18">
      <c r="A22" s="217">
        <v>361</v>
      </c>
      <c r="B22" s="218">
        <v>638433</v>
      </c>
      <c r="C22" s="218" t="s">
        <v>40</v>
      </c>
      <c r="D22" s="218" t="s">
        <v>7772</v>
      </c>
      <c r="E22" s="218" t="s">
        <v>8462</v>
      </c>
      <c r="F22" s="218" t="s">
        <v>8463</v>
      </c>
      <c r="G22" s="218" t="s">
        <v>8464</v>
      </c>
      <c r="H22" s="218">
        <v>128</v>
      </c>
      <c r="I22" s="219">
        <v>0</v>
      </c>
      <c r="J22" s="219">
        <v>0</v>
      </c>
      <c r="K22" s="219">
        <v>0</v>
      </c>
      <c r="L22" s="218" t="s">
        <v>7767</v>
      </c>
      <c r="M22" s="218">
        <v>0</v>
      </c>
      <c r="N22" s="218" t="s">
        <v>7767</v>
      </c>
      <c r="O22" s="218" t="s">
        <v>2476</v>
      </c>
      <c r="P22" s="218">
        <v>399</v>
      </c>
      <c r="Q22" s="218" t="s">
        <v>7771</v>
      </c>
      <c r="R22" s="220">
        <v>100</v>
      </c>
    </row>
    <row r="23" spans="1:18">
      <c r="A23" s="217">
        <v>362</v>
      </c>
      <c r="B23" s="218">
        <v>640303</v>
      </c>
      <c r="C23" s="218" t="s">
        <v>40</v>
      </c>
      <c r="D23" s="218" t="s">
        <v>7764</v>
      </c>
      <c r="E23" s="218" t="s">
        <v>8465</v>
      </c>
      <c r="F23" s="218" t="s">
        <v>8463</v>
      </c>
      <c r="G23" s="218" t="s">
        <v>8015</v>
      </c>
      <c r="H23" s="218">
        <v>128</v>
      </c>
      <c r="I23" s="219">
        <v>0</v>
      </c>
      <c r="J23" s="219">
        <v>0</v>
      </c>
      <c r="K23" s="219">
        <v>0</v>
      </c>
      <c r="L23" s="218" t="s">
        <v>7767</v>
      </c>
      <c r="M23" s="218">
        <v>0</v>
      </c>
      <c r="N23" s="218" t="s">
        <v>7767</v>
      </c>
      <c r="O23" s="218" t="s">
        <v>2476</v>
      </c>
      <c r="P23" s="218">
        <v>399</v>
      </c>
      <c r="Q23" s="218" t="s">
        <v>7771</v>
      </c>
      <c r="R23" s="220">
        <v>100</v>
      </c>
    </row>
    <row r="24" spans="1:18">
      <c r="A24" s="217">
        <v>378</v>
      </c>
      <c r="B24" s="218">
        <v>548289</v>
      </c>
      <c r="C24" s="218" t="s">
        <v>7835</v>
      </c>
      <c r="D24" s="218" t="s">
        <v>7772</v>
      </c>
      <c r="E24" s="218" t="s">
        <v>8494</v>
      </c>
      <c r="F24" s="218" t="s">
        <v>8463</v>
      </c>
      <c r="G24" s="218" t="s">
        <v>7767</v>
      </c>
      <c r="H24" s="218">
        <v>0</v>
      </c>
      <c r="I24" s="219">
        <v>0</v>
      </c>
      <c r="J24" s="219">
        <v>0</v>
      </c>
      <c r="K24" s="219">
        <v>0</v>
      </c>
      <c r="L24" s="218" t="s">
        <v>7767</v>
      </c>
      <c r="M24" s="218">
        <v>1</v>
      </c>
      <c r="N24" s="218" t="s">
        <v>8495</v>
      </c>
      <c r="O24" s="218" t="s">
        <v>2476</v>
      </c>
      <c r="P24" s="218">
        <v>399</v>
      </c>
      <c r="Q24" s="218" t="s">
        <v>7771</v>
      </c>
      <c r="R24" s="220">
        <v>100</v>
      </c>
    </row>
    <row r="25" spans="1:18">
      <c r="A25" s="217">
        <v>404</v>
      </c>
      <c r="B25" s="218">
        <v>548021</v>
      </c>
      <c r="C25" s="218" t="s">
        <v>7835</v>
      </c>
      <c r="D25" s="218" t="s">
        <v>7772</v>
      </c>
      <c r="E25" s="218" t="s">
        <v>8525</v>
      </c>
      <c r="F25" s="218" t="s">
        <v>8530</v>
      </c>
      <c r="G25" s="218" t="s">
        <v>7767</v>
      </c>
      <c r="H25" s="218">
        <v>0</v>
      </c>
      <c r="I25" s="219">
        <v>0</v>
      </c>
      <c r="J25" s="219">
        <v>0</v>
      </c>
      <c r="K25" s="219">
        <v>0</v>
      </c>
      <c r="L25" s="218" t="s">
        <v>7767</v>
      </c>
      <c r="M25" s="218">
        <v>1</v>
      </c>
      <c r="N25" s="218" t="s">
        <v>2555</v>
      </c>
      <c r="O25" s="218" t="s">
        <v>8519</v>
      </c>
      <c r="P25" s="218">
        <v>399</v>
      </c>
      <c r="Q25" s="218" t="s">
        <v>7771</v>
      </c>
      <c r="R25" s="220">
        <v>100</v>
      </c>
    </row>
    <row r="26" spans="1:18">
      <c r="A26" s="217">
        <v>408</v>
      </c>
      <c r="B26" s="218">
        <v>643391</v>
      </c>
      <c r="C26" s="218" t="s">
        <v>107</v>
      </c>
      <c r="D26" s="218" t="s">
        <v>8065</v>
      </c>
      <c r="E26" s="218" t="s">
        <v>8534</v>
      </c>
      <c r="F26" s="218" t="s">
        <v>8534</v>
      </c>
      <c r="G26" s="218" t="s">
        <v>8535</v>
      </c>
      <c r="H26" s="218">
        <v>64</v>
      </c>
      <c r="I26" s="219">
        <v>0</v>
      </c>
      <c r="J26" s="219">
        <v>0</v>
      </c>
      <c r="K26" s="219">
        <v>0</v>
      </c>
      <c r="L26" s="218" t="s">
        <v>7767</v>
      </c>
      <c r="M26" s="218">
        <v>0</v>
      </c>
      <c r="N26" s="218" t="s">
        <v>7767</v>
      </c>
      <c r="O26" s="218" t="s">
        <v>2592</v>
      </c>
      <c r="P26" s="218">
        <v>399</v>
      </c>
      <c r="Q26" s="218" t="s">
        <v>7771</v>
      </c>
      <c r="R26" s="220">
        <v>100</v>
      </c>
    </row>
    <row r="27" spans="1:18">
      <c r="A27" s="217">
        <v>442</v>
      </c>
      <c r="B27" s="218">
        <v>644028</v>
      </c>
      <c r="C27" s="218" t="s">
        <v>7835</v>
      </c>
      <c r="D27" s="218" t="s">
        <v>7772</v>
      </c>
      <c r="E27" s="218" t="s">
        <v>8595</v>
      </c>
      <c r="F27" s="218" t="s">
        <v>8595</v>
      </c>
      <c r="G27" s="218" t="s">
        <v>7767</v>
      </c>
      <c r="H27" s="218">
        <v>0</v>
      </c>
      <c r="I27" s="219">
        <v>0</v>
      </c>
      <c r="J27" s="219">
        <v>0</v>
      </c>
      <c r="K27" s="219">
        <v>0</v>
      </c>
      <c r="L27" s="218" t="s">
        <v>7767</v>
      </c>
      <c r="M27" s="218">
        <v>1</v>
      </c>
      <c r="N27" s="218" t="s">
        <v>8596</v>
      </c>
      <c r="O27" s="218" t="s">
        <v>8594</v>
      </c>
      <c r="P27" s="218">
        <v>399</v>
      </c>
      <c r="Q27" s="218" t="s">
        <v>7771</v>
      </c>
      <c r="R27" s="220">
        <v>100</v>
      </c>
    </row>
    <row r="28" spans="1:18">
      <c r="A28" s="217">
        <v>443</v>
      </c>
      <c r="B28" s="218">
        <v>656988</v>
      </c>
      <c r="C28" s="218" t="s">
        <v>7835</v>
      </c>
      <c r="D28" s="218" t="s">
        <v>7772</v>
      </c>
      <c r="E28" s="218" t="s">
        <v>8597</v>
      </c>
      <c r="F28" s="218" t="s">
        <v>8597</v>
      </c>
      <c r="G28" s="218" t="s">
        <v>7767</v>
      </c>
      <c r="H28" s="218">
        <v>0</v>
      </c>
      <c r="I28" s="219">
        <v>0</v>
      </c>
      <c r="J28" s="219">
        <v>0</v>
      </c>
      <c r="K28" s="219">
        <v>0</v>
      </c>
      <c r="L28" s="218" t="s">
        <v>7767</v>
      </c>
      <c r="M28" s="218">
        <v>1</v>
      </c>
      <c r="N28" s="218" t="s">
        <v>8598</v>
      </c>
      <c r="O28" s="218" t="s">
        <v>8594</v>
      </c>
      <c r="P28" s="218">
        <v>399</v>
      </c>
      <c r="Q28" s="218" t="s">
        <v>7771</v>
      </c>
      <c r="R28" s="220">
        <v>100</v>
      </c>
    </row>
    <row r="29" spans="1:18">
      <c r="A29" s="217">
        <v>446</v>
      </c>
      <c r="B29" s="218">
        <v>535516</v>
      </c>
      <c r="C29" s="218" t="s">
        <v>7835</v>
      </c>
      <c r="D29" s="218" t="s">
        <v>7772</v>
      </c>
      <c r="E29" s="218" t="s">
        <v>8602</v>
      </c>
      <c r="F29" s="218" t="s">
        <v>8603</v>
      </c>
      <c r="G29" s="218" t="s">
        <v>7767</v>
      </c>
      <c r="H29" s="218">
        <v>0</v>
      </c>
      <c r="I29" s="219">
        <v>0</v>
      </c>
      <c r="J29" s="219">
        <v>0</v>
      </c>
      <c r="K29" s="219">
        <v>0</v>
      </c>
      <c r="L29" s="218" t="s">
        <v>7767</v>
      </c>
      <c r="M29" s="218">
        <v>1</v>
      </c>
      <c r="N29" s="218" t="s">
        <v>8604</v>
      </c>
      <c r="O29" s="218" t="s">
        <v>8594</v>
      </c>
      <c r="P29" s="218">
        <v>399</v>
      </c>
      <c r="Q29" s="218" t="s">
        <v>7771</v>
      </c>
      <c r="R29" s="220">
        <v>100</v>
      </c>
    </row>
    <row r="30" spans="1:18">
      <c r="A30" s="217">
        <v>462</v>
      </c>
      <c r="B30" s="218">
        <v>573392</v>
      </c>
      <c r="C30" s="218" t="s">
        <v>7835</v>
      </c>
      <c r="D30" s="218" t="s">
        <v>7772</v>
      </c>
      <c r="E30" s="218" t="s">
        <v>8011</v>
      </c>
      <c r="F30" s="218" t="s">
        <v>8634</v>
      </c>
      <c r="G30" s="218" t="s">
        <v>7767</v>
      </c>
      <c r="H30" s="218">
        <v>0</v>
      </c>
      <c r="I30" s="219">
        <v>0</v>
      </c>
      <c r="J30" s="219">
        <v>0</v>
      </c>
      <c r="K30" s="219">
        <v>0</v>
      </c>
      <c r="L30" s="218" t="s">
        <v>7767</v>
      </c>
      <c r="M30" s="218">
        <v>1</v>
      </c>
      <c r="N30" s="218" t="s">
        <v>8635</v>
      </c>
      <c r="O30" s="218" t="s">
        <v>2969</v>
      </c>
      <c r="P30" s="218">
        <v>399</v>
      </c>
      <c r="Q30" s="218" t="s">
        <v>7771</v>
      </c>
      <c r="R30" s="220">
        <v>100</v>
      </c>
    </row>
    <row r="31" spans="1:18">
      <c r="A31" s="217">
        <v>483</v>
      </c>
      <c r="B31" s="218">
        <v>9602010602</v>
      </c>
      <c r="C31" s="218" t="s">
        <v>335</v>
      </c>
      <c r="D31" s="218" t="s">
        <v>8039</v>
      </c>
      <c r="E31" s="218" t="s">
        <v>8054</v>
      </c>
      <c r="F31" s="218" t="s">
        <v>8054</v>
      </c>
      <c r="G31" s="218" t="s">
        <v>8673</v>
      </c>
      <c r="H31" s="218">
        <v>128</v>
      </c>
      <c r="I31" s="219">
        <v>0</v>
      </c>
      <c r="J31" s="219">
        <v>0</v>
      </c>
      <c r="K31" s="219">
        <v>0</v>
      </c>
      <c r="L31" s="218" t="s">
        <v>7767</v>
      </c>
      <c r="M31" s="218">
        <v>0</v>
      </c>
      <c r="N31" s="218" t="s">
        <v>8674</v>
      </c>
      <c r="O31" s="218" t="s">
        <v>3018</v>
      </c>
      <c r="P31" s="218">
        <v>399</v>
      </c>
      <c r="Q31" s="218" t="s">
        <v>7771</v>
      </c>
      <c r="R31" s="220">
        <v>100</v>
      </c>
    </row>
    <row r="32" spans="1:18">
      <c r="A32" s="217">
        <v>502</v>
      </c>
      <c r="B32" s="218">
        <v>638149</v>
      </c>
      <c r="C32" s="218" t="s">
        <v>7763</v>
      </c>
      <c r="D32" s="218" t="s">
        <v>7772</v>
      </c>
      <c r="E32" s="218" t="s">
        <v>8337</v>
      </c>
      <c r="F32" s="218" t="s">
        <v>7802</v>
      </c>
      <c r="G32" s="218" t="s">
        <v>8697</v>
      </c>
      <c r="H32" s="218">
        <v>256</v>
      </c>
      <c r="I32" s="219">
        <v>0</v>
      </c>
      <c r="J32" s="219">
        <v>0</v>
      </c>
      <c r="K32" s="219">
        <v>0</v>
      </c>
      <c r="L32" s="218" t="s">
        <v>7767</v>
      </c>
      <c r="M32" s="218">
        <v>0</v>
      </c>
      <c r="N32" s="218" t="s">
        <v>8698</v>
      </c>
      <c r="O32" s="218" t="s">
        <v>235</v>
      </c>
      <c r="P32" s="218">
        <v>399</v>
      </c>
      <c r="Q32" s="218" t="s">
        <v>7771</v>
      </c>
      <c r="R32" s="220">
        <v>104</v>
      </c>
    </row>
    <row r="33" spans="1:18">
      <c r="A33" s="217">
        <v>505</v>
      </c>
      <c r="B33" s="218">
        <v>660711</v>
      </c>
      <c r="C33" s="218" t="s">
        <v>7763</v>
      </c>
      <c r="D33" s="218" t="s">
        <v>7772</v>
      </c>
      <c r="E33" s="218" t="s">
        <v>8703</v>
      </c>
      <c r="F33" s="218" t="s">
        <v>8457</v>
      </c>
      <c r="G33" s="218" t="s">
        <v>8704</v>
      </c>
      <c r="H33" s="218">
        <v>128</v>
      </c>
      <c r="I33" s="219">
        <v>0</v>
      </c>
      <c r="J33" s="219">
        <v>0</v>
      </c>
      <c r="K33" s="219">
        <v>0</v>
      </c>
      <c r="L33" s="218" t="s">
        <v>7767</v>
      </c>
      <c r="M33" s="218">
        <v>0</v>
      </c>
      <c r="N33" s="218" t="s">
        <v>8705</v>
      </c>
      <c r="O33" s="218" t="s">
        <v>235</v>
      </c>
      <c r="P33" s="218">
        <v>399</v>
      </c>
      <c r="Q33" s="218" t="s">
        <v>7771</v>
      </c>
      <c r="R33" s="220">
        <v>104</v>
      </c>
    </row>
    <row r="34" spans="1:18">
      <c r="A34" s="217">
        <v>511</v>
      </c>
      <c r="B34" s="218">
        <v>536248</v>
      </c>
      <c r="C34" s="218" t="s">
        <v>7763</v>
      </c>
      <c r="D34" s="218" t="s">
        <v>7772</v>
      </c>
      <c r="E34" s="218" t="s">
        <v>8714</v>
      </c>
      <c r="F34" s="218" t="s">
        <v>8715</v>
      </c>
      <c r="G34" s="218" t="s">
        <v>8716</v>
      </c>
      <c r="H34" s="218">
        <v>1024</v>
      </c>
      <c r="I34" s="219">
        <v>0</v>
      </c>
      <c r="J34" s="219">
        <v>0</v>
      </c>
      <c r="K34" s="219">
        <v>0</v>
      </c>
      <c r="L34" s="218" t="s">
        <v>7767</v>
      </c>
      <c r="M34" s="218">
        <v>0</v>
      </c>
      <c r="N34" s="218" t="s">
        <v>8717</v>
      </c>
      <c r="O34" s="218" t="s">
        <v>235</v>
      </c>
      <c r="P34" s="218">
        <v>399</v>
      </c>
      <c r="Q34" s="218" t="s">
        <v>7771</v>
      </c>
      <c r="R34" s="220">
        <v>104</v>
      </c>
    </row>
    <row r="35" spans="1:18">
      <c r="A35" s="217">
        <v>526</v>
      </c>
      <c r="B35" s="218">
        <v>9602007562</v>
      </c>
      <c r="C35" s="218" t="s">
        <v>40</v>
      </c>
      <c r="D35" s="218" t="s">
        <v>7764</v>
      </c>
      <c r="E35" s="218" t="s">
        <v>8743</v>
      </c>
      <c r="F35" s="218" t="s">
        <v>8138</v>
      </c>
      <c r="G35" s="218" t="s">
        <v>8744</v>
      </c>
      <c r="H35" s="218">
        <v>512</v>
      </c>
      <c r="I35" s="219">
        <v>0</v>
      </c>
      <c r="J35" s="219">
        <v>0</v>
      </c>
      <c r="K35" s="219">
        <v>0</v>
      </c>
      <c r="L35" s="218" t="s">
        <v>7767</v>
      </c>
      <c r="M35" s="218">
        <v>0</v>
      </c>
      <c r="N35" s="218" t="s">
        <v>8745</v>
      </c>
      <c r="O35" s="218" t="s">
        <v>933</v>
      </c>
      <c r="P35" s="218">
        <v>399</v>
      </c>
      <c r="Q35" s="218" t="s">
        <v>7771</v>
      </c>
      <c r="R35" s="220">
        <v>100</v>
      </c>
    </row>
    <row r="36" spans="1:18">
      <c r="A36" s="217">
        <v>527</v>
      </c>
      <c r="B36" s="218">
        <v>9702069807</v>
      </c>
      <c r="C36" s="218" t="s">
        <v>7835</v>
      </c>
      <c r="D36" s="218" t="s">
        <v>7772</v>
      </c>
      <c r="E36" s="218" t="s">
        <v>8746</v>
      </c>
      <c r="F36" s="218" t="s">
        <v>8747</v>
      </c>
      <c r="G36" s="218" t="s">
        <v>7767</v>
      </c>
      <c r="H36" s="218">
        <v>0</v>
      </c>
      <c r="I36" s="219">
        <v>0</v>
      </c>
      <c r="J36" s="219">
        <v>0</v>
      </c>
      <c r="K36" s="219">
        <v>0</v>
      </c>
      <c r="L36" s="218" t="s">
        <v>7767</v>
      </c>
      <c r="M36" s="218">
        <v>1</v>
      </c>
      <c r="N36" s="218" t="s">
        <v>8748</v>
      </c>
      <c r="O36" s="218" t="s">
        <v>933</v>
      </c>
      <c r="P36" s="218">
        <v>399</v>
      </c>
      <c r="Q36" s="218" t="s">
        <v>7771</v>
      </c>
      <c r="R36" s="220">
        <v>100</v>
      </c>
    </row>
    <row r="37" spans="1:18">
      <c r="A37" s="217">
        <v>542</v>
      </c>
      <c r="B37" s="218">
        <v>556839</v>
      </c>
      <c r="C37" s="218" t="s">
        <v>7835</v>
      </c>
      <c r="D37" s="218" t="s">
        <v>7772</v>
      </c>
      <c r="E37" s="218" t="s">
        <v>8768</v>
      </c>
      <c r="F37" s="218" t="s">
        <v>8134</v>
      </c>
      <c r="G37" s="218" t="s">
        <v>7767</v>
      </c>
      <c r="H37" s="218">
        <v>0</v>
      </c>
      <c r="I37" s="219">
        <v>0</v>
      </c>
      <c r="J37" s="219">
        <v>0</v>
      </c>
      <c r="K37" s="219">
        <v>0</v>
      </c>
      <c r="L37" s="218" t="s">
        <v>7767</v>
      </c>
      <c r="M37" s="218">
        <v>1</v>
      </c>
      <c r="N37" s="218" t="s">
        <v>8777</v>
      </c>
      <c r="O37" s="218" t="s">
        <v>933</v>
      </c>
      <c r="P37" s="218">
        <v>399</v>
      </c>
      <c r="Q37" s="218" t="s">
        <v>7771</v>
      </c>
      <c r="R37" s="220">
        <v>100</v>
      </c>
    </row>
    <row r="38" spans="1:18">
      <c r="A38" s="217">
        <v>592</v>
      </c>
      <c r="B38" s="218">
        <v>644564</v>
      </c>
      <c r="C38" s="218" t="s">
        <v>7835</v>
      </c>
      <c r="D38" s="218" t="s">
        <v>7772</v>
      </c>
      <c r="E38" s="218" t="s">
        <v>8861</v>
      </c>
      <c r="F38" s="218" t="s">
        <v>8862</v>
      </c>
      <c r="G38" s="218" t="s">
        <v>7767</v>
      </c>
      <c r="H38" s="218">
        <v>0</v>
      </c>
      <c r="I38" s="219">
        <v>0</v>
      </c>
      <c r="J38" s="219">
        <v>0</v>
      </c>
      <c r="K38" s="219">
        <v>0</v>
      </c>
      <c r="L38" s="218" t="s">
        <v>7767</v>
      </c>
      <c r="M38" s="218">
        <v>1</v>
      </c>
      <c r="N38" s="218" t="s">
        <v>8863</v>
      </c>
      <c r="O38" s="218" t="s">
        <v>3467</v>
      </c>
      <c r="P38" s="218">
        <v>399</v>
      </c>
      <c r="Q38" s="218" t="s">
        <v>7771</v>
      </c>
      <c r="R38" s="220">
        <v>100</v>
      </c>
    </row>
    <row r="39" spans="1:18">
      <c r="A39" s="217">
        <v>612</v>
      </c>
      <c r="B39" s="218">
        <v>600020</v>
      </c>
      <c r="C39" s="218" t="s">
        <v>40</v>
      </c>
      <c r="D39" s="218" t="s">
        <v>7764</v>
      </c>
      <c r="E39" s="218" t="s">
        <v>8893</v>
      </c>
      <c r="F39" s="218" t="s">
        <v>8895</v>
      </c>
      <c r="G39" s="218" t="s">
        <v>8896</v>
      </c>
      <c r="H39" s="218">
        <v>512</v>
      </c>
      <c r="I39" s="219">
        <v>0</v>
      </c>
      <c r="J39" s="219">
        <v>0</v>
      </c>
      <c r="K39" s="219">
        <v>0</v>
      </c>
      <c r="L39" s="218" t="s">
        <v>7767</v>
      </c>
      <c r="M39" s="218">
        <v>0</v>
      </c>
      <c r="N39" s="218" t="s">
        <v>8897</v>
      </c>
      <c r="O39" s="218" t="s">
        <v>3467</v>
      </c>
      <c r="P39" s="218">
        <v>399</v>
      </c>
      <c r="Q39" s="218" t="s">
        <v>7771</v>
      </c>
      <c r="R39" s="220">
        <v>100</v>
      </c>
    </row>
    <row r="40" spans="1:18">
      <c r="A40" s="217">
        <v>625</v>
      </c>
      <c r="B40" s="218">
        <v>40202461897</v>
      </c>
      <c r="C40" s="218" t="s">
        <v>107</v>
      </c>
      <c r="D40" s="218" t="s">
        <v>7764</v>
      </c>
      <c r="E40" s="218" t="s">
        <v>8407</v>
      </c>
      <c r="F40" s="218" t="s">
        <v>8457</v>
      </c>
      <c r="G40" s="218" t="s">
        <v>8921</v>
      </c>
      <c r="H40" s="218">
        <v>128</v>
      </c>
      <c r="I40" s="219">
        <v>0</v>
      </c>
      <c r="J40" s="219">
        <v>0</v>
      </c>
      <c r="K40" s="219">
        <v>0</v>
      </c>
      <c r="L40" s="218" t="s">
        <v>7767</v>
      </c>
      <c r="M40" s="218">
        <v>0</v>
      </c>
      <c r="N40" s="218" t="s">
        <v>8922</v>
      </c>
      <c r="O40" s="218" t="s">
        <v>3705</v>
      </c>
      <c r="P40" s="218">
        <v>399</v>
      </c>
      <c r="Q40" s="218" t="s">
        <v>7771</v>
      </c>
      <c r="R40" s="220">
        <v>100</v>
      </c>
    </row>
    <row r="41" spans="1:18">
      <c r="A41" s="217">
        <v>661</v>
      </c>
      <c r="B41" s="218">
        <v>645827</v>
      </c>
      <c r="C41" s="218" t="s">
        <v>7835</v>
      </c>
      <c r="D41" s="218" t="s">
        <v>7772</v>
      </c>
      <c r="E41" s="218" t="s">
        <v>8990</v>
      </c>
      <c r="F41" s="218" t="s">
        <v>8567</v>
      </c>
      <c r="G41" s="218" t="s">
        <v>7767</v>
      </c>
      <c r="H41" s="218">
        <v>0</v>
      </c>
      <c r="I41" s="219">
        <v>0</v>
      </c>
      <c r="J41" s="219">
        <v>0</v>
      </c>
      <c r="K41" s="219">
        <v>0</v>
      </c>
      <c r="L41" s="218" t="s">
        <v>7767</v>
      </c>
      <c r="M41" s="218">
        <v>1</v>
      </c>
      <c r="N41" s="218" t="s">
        <v>8991</v>
      </c>
      <c r="O41" s="218" t="s">
        <v>8989</v>
      </c>
      <c r="P41" s="218">
        <v>399</v>
      </c>
      <c r="Q41" s="218" t="s">
        <v>7771</v>
      </c>
      <c r="R41" s="220">
        <v>100</v>
      </c>
    </row>
    <row r="42" spans="1:18">
      <c r="A42" s="217">
        <v>665</v>
      </c>
      <c r="B42" s="218">
        <v>548439</v>
      </c>
      <c r="C42" s="218" t="s">
        <v>7835</v>
      </c>
      <c r="D42" s="218" t="s">
        <v>7772</v>
      </c>
      <c r="E42" s="218" t="s">
        <v>8996</v>
      </c>
      <c r="F42" s="218" t="s">
        <v>8567</v>
      </c>
      <c r="G42" s="218" t="s">
        <v>7767</v>
      </c>
      <c r="H42" s="218">
        <v>0</v>
      </c>
      <c r="I42" s="219">
        <v>0</v>
      </c>
      <c r="J42" s="219">
        <v>0</v>
      </c>
      <c r="K42" s="219">
        <v>0</v>
      </c>
      <c r="L42" s="218" t="s">
        <v>7767</v>
      </c>
      <c r="M42" s="218">
        <v>1</v>
      </c>
      <c r="N42" s="218" t="s">
        <v>8997</v>
      </c>
      <c r="O42" s="218" t="s">
        <v>8989</v>
      </c>
      <c r="P42" s="218">
        <v>399</v>
      </c>
      <c r="Q42" s="218" t="s">
        <v>7771</v>
      </c>
      <c r="R42" s="220">
        <v>100</v>
      </c>
    </row>
    <row r="43" spans="1:18">
      <c r="A43" s="217">
        <v>677</v>
      </c>
      <c r="B43" s="218">
        <v>642484</v>
      </c>
      <c r="C43" s="218" t="s">
        <v>7835</v>
      </c>
      <c r="D43" s="218" t="s">
        <v>7772</v>
      </c>
      <c r="E43" s="218" t="s">
        <v>9015</v>
      </c>
      <c r="F43" s="218" t="s">
        <v>8637</v>
      </c>
      <c r="G43" s="218" t="s">
        <v>7767</v>
      </c>
      <c r="H43" s="218">
        <v>0</v>
      </c>
      <c r="I43" s="219">
        <v>0</v>
      </c>
      <c r="J43" s="219">
        <v>0</v>
      </c>
      <c r="K43" s="219">
        <v>0</v>
      </c>
      <c r="L43" s="218" t="s">
        <v>7767</v>
      </c>
      <c r="M43" s="218">
        <v>1</v>
      </c>
      <c r="N43" s="218" t="s">
        <v>9016</v>
      </c>
      <c r="O43" s="218" t="s">
        <v>3873</v>
      </c>
      <c r="P43" s="218">
        <v>399</v>
      </c>
      <c r="Q43" s="218" t="s">
        <v>7771</v>
      </c>
      <c r="R43" s="220">
        <v>100</v>
      </c>
    </row>
    <row r="44" spans="1:18">
      <c r="A44" s="217">
        <v>692</v>
      </c>
      <c r="B44" s="218">
        <v>540801</v>
      </c>
      <c r="C44" s="218" t="s">
        <v>7835</v>
      </c>
      <c r="D44" s="218" t="s">
        <v>7772</v>
      </c>
      <c r="E44" s="218" t="s">
        <v>9033</v>
      </c>
      <c r="F44" s="218" t="s">
        <v>9034</v>
      </c>
      <c r="G44" s="218" t="s">
        <v>7767</v>
      </c>
      <c r="H44" s="218">
        <v>0</v>
      </c>
      <c r="I44" s="219">
        <v>0</v>
      </c>
      <c r="J44" s="219">
        <v>0</v>
      </c>
      <c r="K44" s="219">
        <v>0</v>
      </c>
      <c r="L44" s="218" t="s">
        <v>7767</v>
      </c>
      <c r="M44" s="218">
        <v>1</v>
      </c>
      <c r="N44" s="218" t="s">
        <v>7896</v>
      </c>
      <c r="O44" s="218" t="s">
        <v>3742</v>
      </c>
      <c r="P44" s="218">
        <v>399</v>
      </c>
      <c r="Q44" s="218" t="s">
        <v>7771</v>
      </c>
      <c r="R44" s="220">
        <v>100</v>
      </c>
    </row>
    <row r="45" spans="1:18">
      <c r="A45" s="217">
        <v>699</v>
      </c>
      <c r="B45" s="218">
        <v>651718</v>
      </c>
      <c r="C45" s="218" t="s">
        <v>21</v>
      </c>
      <c r="D45" s="218" t="s">
        <v>7772</v>
      </c>
      <c r="E45" s="218" t="s">
        <v>9029</v>
      </c>
      <c r="F45" s="218" t="s">
        <v>9029</v>
      </c>
      <c r="G45" s="218" t="s">
        <v>8464</v>
      </c>
      <c r="H45" s="218">
        <v>128</v>
      </c>
      <c r="I45" s="219">
        <v>0</v>
      </c>
      <c r="J45" s="219">
        <v>0</v>
      </c>
      <c r="K45" s="219">
        <v>0</v>
      </c>
      <c r="L45" s="218" t="s">
        <v>7767</v>
      </c>
      <c r="M45" s="218">
        <v>0</v>
      </c>
      <c r="N45" s="218" t="s">
        <v>7767</v>
      </c>
      <c r="O45" s="218" t="s">
        <v>9043</v>
      </c>
      <c r="P45" s="218">
        <v>399</v>
      </c>
      <c r="Q45" s="218" t="s">
        <v>7771</v>
      </c>
      <c r="R45" s="220">
        <v>100</v>
      </c>
    </row>
    <row r="46" spans="1:18">
      <c r="A46" s="217">
        <v>700</v>
      </c>
      <c r="B46" s="218">
        <v>661012</v>
      </c>
      <c r="C46" s="218" t="s">
        <v>7950</v>
      </c>
      <c r="D46" s="218" t="s">
        <v>7772</v>
      </c>
      <c r="E46" s="218" t="s">
        <v>9044</v>
      </c>
      <c r="F46" s="218" t="s">
        <v>9045</v>
      </c>
      <c r="G46" s="218" t="s">
        <v>9046</v>
      </c>
      <c r="H46" s="218">
        <v>128</v>
      </c>
      <c r="I46" s="219">
        <v>0</v>
      </c>
      <c r="J46" s="219">
        <v>0</v>
      </c>
      <c r="K46" s="219">
        <v>0</v>
      </c>
      <c r="L46" s="218" t="s">
        <v>7767</v>
      </c>
      <c r="M46" s="218">
        <v>0</v>
      </c>
      <c r="N46" s="218" t="s">
        <v>9047</v>
      </c>
      <c r="O46" s="218" t="s">
        <v>9043</v>
      </c>
      <c r="P46" s="218">
        <v>399</v>
      </c>
      <c r="Q46" s="218" t="s">
        <v>7771</v>
      </c>
      <c r="R46" s="220">
        <v>100</v>
      </c>
    </row>
    <row r="47" spans="1:18">
      <c r="A47" s="217">
        <v>701</v>
      </c>
      <c r="B47" s="218">
        <v>9702092617</v>
      </c>
      <c r="C47" s="218" t="s">
        <v>7950</v>
      </c>
      <c r="D47" s="218" t="s">
        <v>7772</v>
      </c>
      <c r="E47" s="218" t="s">
        <v>9048</v>
      </c>
      <c r="F47" s="218" t="s">
        <v>9048</v>
      </c>
      <c r="G47" s="218" t="s">
        <v>9049</v>
      </c>
      <c r="H47" s="218">
        <v>128</v>
      </c>
      <c r="I47" s="219">
        <v>0</v>
      </c>
      <c r="J47" s="219">
        <v>0</v>
      </c>
      <c r="K47" s="219">
        <v>0</v>
      </c>
      <c r="L47" s="218" t="s">
        <v>7767</v>
      </c>
      <c r="M47" s="218">
        <v>0</v>
      </c>
      <c r="N47" s="218" t="s">
        <v>9050</v>
      </c>
      <c r="O47" s="218" t="s">
        <v>9043</v>
      </c>
      <c r="P47" s="218">
        <v>399</v>
      </c>
      <c r="Q47" s="218" t="s">
        <v>7771</v>
      </c>
      <c r="R47" s="220">
        <v>100</v>
      </c>
    </row>
    <row r="48" spans="1:18">
      <c r="A48" s="217">
        <v>705</v>
      </c>
      <c r="B48" s="218">
        <v>589030</v>
      </c>
      <c r="C48" s="218" t="s">
        <v>21</v>
      </c>
      <c r="D48" s="218" t="s">
        <v>7772</v>
      </c>
      <c r="E48" s="218" t="s">
        <v>8436</v>
      </c>
      <c r="F48" s="218" t="s">
        <v>8436</v>
      </c>
      <c r="G48" s="218" t="s">
        <v>9055</v>
      </c>
      <c r="H48" s="218">
        <v>128</v>
      </c>
      <c r="I48" s="219">
        <v>0</v>
      </c>
      <c r="J48" s="219">
        <v>0</v>
      </c>
      <c r="K48" s="219">
        <v>0</v>
      </c>
      <c r="L48" s="218" t="s">
        <v>7767</v>
      </c>
      <c r="M48" s="218">
        <v>0</v>
      </c>
      <c r="N48" s="218" t="s">
        <v>7767</v>
      </c>
      <c r="O48" s="218" t="s">
        <v>9043</v>
      </c>
      <c r="P48" s="218">
        <v>399</v>
      </c>
      <c r="Q48" s="218" t="s">
        <v>7771</v>
      </c>
      <c r="R48" s="220">
        <v>100</v>
      </c>
    </row>
    <row r="49" spans="1:18">
      <c r="A49" s="217">
        <v>88</v>
      </c>
      <c r="B49" s="218">
        <v>639441</v>
      </c>
      <c r="C49" s="218" t="s">
        <v>7950</v>
      </c>
      <c r="D49" s="218" t="s">
        <v>7764</v>
      </c>
      <c r="E49" s="218" t="s">
        <v>7951</v>
      </c>
      <c r="F49" s="218" t="s">
        <v>7952</v>
      </c>
      <c r="G49" s="218" t="s">
        <v>7767</v>
      </c>
      <c r="H49" s="218">
        <v>128</v>
      </c>
      <c r="I49" s="219">
        <v>1600000</v>
      </c>
      <c r="J49" s="219">
        <v>0</v>
      </c>
      <c r="K49" s="219">
        <v>1600000</v>
      </c>
      <c r="L49" s="218" t="s">
        <v>7781</v>
      </c>
      <c r="M49" s="218">
        <v>1</v>
      </c>
      <c r="N49" s="218" t="s">
        <v>7953</v>
      </c>
      <c r="O49" s="218" t="s">
        <v>7954</v>
      </c>
      <c r="P49" s="218">
        <v>399</v>
      </c>
      <c r="Q49" s="218" t="s">
        <v>7771</v>
      </c>
      <c r="R49" s="220">
        <v>100</v>
      </c>
    </row>
    <row r="50" spans="1:18">
      <c r="A50" s="217">
        <v>410</v>
      </c>
      <c r="B50" s="218">
        <v>649570</v>
      </c>
      <c r="C50" s="218" t="s">
        <v>107</v>
      </c>
      <c r="D50" s="218" t="s">
        <v>7778</v>
      </c>
      <c r="E50" s="218" t="s">
        <v>8538</v>
      </c>
      <c r="F50" s="218" t="s">
        <v>7790</v>
      </c>
      <c r="G50" s="218" t="s">
        <v>7767</v>
      </c>
      <c r="H50" s="218">
        <v>128</v>
      </c>
      <c r="I50" s="219">
        <v>2600000</v>
      </c>
      <c r="J50" s="219">
        <v>0</v>
      </c>
      <c r="K50" s="219">
        <v>2600000</v>
      </c>
      <c r="L50" s="218" t="s">
        <v>7791</v>
      </c>
      <c r="M50" s="218">
        <v>1</v>
      </c>
      <c r="N50" s="218" t="s">
        <v>7794</v>
      </c>
      <c r="O50" s="218" t="s">
        <v>2592</v>
      </c>
      <c r="P50" s="218">
        <v>399</v>
      </c>
      <c r="Q50" s="218" t="s">
        <v>7771</v>
      </c>
      <c r="R50" s="220">
        <v>100</v>
      </c>
    </row>
    <row r="51" spans="1:18">
      <c r="A51" s="217">
        <v>292</v>
      </c>
      <c r="B51" s="218">
        <v>655463</v>
      </c>
      <c r="C51" s="218" t="s">
        <v>40</v>
      </c>
      <c r="D51" s="218" t="s">
        <v>7772</v>
      </c>
      <c r="E51" s="218" t="s">
        <v>8022</v>
      </c>
      <c r="F51" s="218" t="s">
        <v>8138</v>
      </c>
      <c r="G51" s="218" t="s">
        <v>7767</v>
      </c>
      <c r="H51" s="218">
        <v>512</v>
      </c>
      <c r="I51" s="219">
        <v>4000000</v>
      </c>
      <c r="J51" s="219">
        <v>0</v>
      </c>
      <c r="K51" s="219">
        <v>4000000</v>
      </c>
      <c r="L51" s="218" t="s">
        <v>7781</v>
      </c>
      <c r="M51" s="218">
        <v>1</v>
      </c>
      <c r="N51" s="218" t="s">
        <v>8350</v>
      </c>
      <c r="O51" s="218" t="s">
        <v>8347</v>
      </c>
      <c r="P51" s="218">
        <v>399</v>
      </c>
      <c r="Q51" s="218" t="s">
        <v>7771</v>
      </c>
      <c r="R51" s="220">
        <v>100</v>
      </c>
    </row>
    <row r="52" spans="1:18">
      <c r="A52" s="217">
        <v>328</v>
      </c>
      <c r="B52" s="218">
        <v>540390</v>
      </c>
      <c r="C52" s="218" t="s">
        <v>40</v>
      </c>
      <c r="D52" s="218" t="s">
        <v>7772</v>
      </c>
      <c r="E52" s="218" t="s">
        <v>8403</v>
      </c>
      <c r="F52" s="218" t="s">
        <v>8404</v>
      </c>
      <c r="G52" s="218" t="s">
        <v>7767</v>
      </c>
      <c r="H52" s="218">
        <v>512</v>
      </c>
      <c r="I52" s="219">
        <v>4000000</v>
      </c>
      <c r="J52" s="219">
        <v>0</v>
      </c>
      <c r="K52" s="219">
        <v>4000000</v>
      </c>
      <c r="L52" s="218" t="s">
        <v>7781</v>
      </c>
      <c r="M52" s="218">
        <v>1</v>
      </c>
      <c r="N52" s="218" t="s">
        <v>8405</v>
      </c>
      <c r="O52" s="218" t="s">
        <v>1609</v>
      </c>
      <c r="P52" s="218">
        <v>399</v>
      </c>
      <c r="Q52" s="218" t="s">
        <v>7771</v>
      </c>
      <c r="R52" s="220">
        <v>100</v>
      </c>
    </row>
    <row r="53" spans="1:18">
      <c r="A53" s="217">
        <v>335</v>
      </c>
      <c r="B53" s="218">
        <v>540398</v>
      </c>
      <c r="C53" s="218" t="s">
        <v>40</v>
      </c>
      <c r="D53" s="218" t="s">
        <v>7772</v>
      </c>
      <c r="E53" s="218" t="s">
        <v>8417</v>
      </c>
      <c r="F53" s="218" t="s">
        <v>8418</v>
      </c>
      <c r="G53" s="218" t="s">
        <v>7767</v>
      </c>
      <c r="H53" s="218">
        <v>512</v>
      </c>
      <c r="I53" s="219">
        <v>4000000</v>
      </c>
      <c r="J53" s="219">
        <v>0</v>
      </c>
      <c r="K53" s="219">
        <v>4000000</v>
      </c>
      <c r="L53" s="218" t="s">
        <v>7781</v>
      </c>
      <c r="M53" s="218">
        <v>1</v>
      </c>
      <c r="N53" s="218" t="s">
        <v>8419</v>
      </c>
      <c r="O53" s="218" t="s">
        <v>1609</v>
      </c>
      <c r="P53" s="218">
        <v>399</v>
      </c>
      <c r="Q53" s="218" t="s">
        <v>7771</v>
      </c>
      <c r="R53" s="220">
        <v>100</v>
      </c>
    </row>
    <row r="54" spans="1:18">
      <c r="A54" s="217">
        <v>365</v>
      </c>
      <c r="B54" s="218">
        <v>651917</v>
      </c>
      <c r="C54" s="218" t="s">
        <v>40</v>
      </c>
      <c r="D54" s="218" t="s">
        <v>7772</v>
      </c>
      <c r="E54" s="218" t="s">
        <v>8015</v>
      </c>
      <c r="F54" s="218" t="s">
        <v>8138</v>
      </c>
      <c r="G54" s="218" t="s">
        <v>7767</v>
      </c>
      <c r="H54" s="218">
        <v>512</v>
      </c>
      <c r="I54" s="219">
        <v>4000000</v>
      </c>
      <c r="J54" s="219">
        <v>0</v>
      </c>
      <c r="K54" s="219">
        <v>4000000</v>
      </c>
      <c r="L54" s="218" t="s">
        <v>7781</v>
      </c>
      <c r="M54" s="218">
        <v>1</v>
      </c>
      <c r="N54" s="218" t="s">
        <v>8470</v>
      </c>
      <c r="O54" s="218" t="s">
        <v>2476</v>
      </c>
      <c r="P54" s="218">
        <v>399</v>
      </c>
      <c r="Q54" s="218" t="s">
        <v>7771</v>
      </c>
      <c r="R54" s="220">
        <v>100</v>
      </c>
    </row>
    <row r="55" spans="1:18">
      <c r="A55" s="217">
        <v>398</v>
      </c>
      <c r="B55" s="218">
        <v>631919</v>
      </c>
      <c r="C55" s="218" t="s">
        <v>40</v>
      </c>
      <c r="D55" s="218" t="s">
        <v>7772</v>
      </c>
      <c r="E55" s="218" t="s">
        <v>8517</v>
      </c>
      <c r="F55" s="218" t="s">
        <v>8138</v>
      </c>
      <c r="G55" s="218" t="s">
        <v>7767</v>
      </c>
      <c r="H55" s="218">
        <v>512</v>
      </c>
      <c r="I55" s="219">
        <v>4000000</v>
      </c>
      <c r="J55" s="219">
        <v>0</v>
      </c>
      <c r="K55" s="219">
        <v>4000000</v>
      </c>
      <c r="L55" s="218" t="s">
        <v>7781</v>
      </c>
      <c r="M55" s="218">
        <v>1</v>
      </c>
      <c r="N55" s="218" t="s">
        <v>8518</v>
      </c>
      <c r="O55" s="218" t="s">
        <v>8519</v>
      </c>
      <c r="P55" s="218">
        <v>399</v>
      </c>
      <c r="Q55" s="218" t="s">
        <v>7771</v>
      </c>
      <c r="R55" s="220">
        <v>100</v>
      </c>
    </row>
    <row r="56" spans="1:18">
      <c r="A56" s="217">
        <v>401</v>
      </c>
      <c r="B56" s="218">
        <v>548022</v>
      </c>
      <c r="C56" s="218" t="s">
        <v>40</v>
      </c>
      <c r="D56" s="218" t="s">
        <v>7772</v>
      </c>
      <c r="E56" s="218" t="s">
        <v>8522</v>
      </c>
      <c r="F56" s="218" t="s">
        <v>8523</v>
      </c>
      <c r="G56" s="218" t="s">
        <v>7767</v>
      </c>
      <c r="H56" s="218">
        <v>512</v>
      </c>
      <c r="I56" s="219">
        <v>4000000</v>
      </c>
      <c r="J56" s="219">
        <v>0</v>
      </c>
      <c r="K56" s="219">
        <v>4000000</v>
      </c>
      <c r="L56" s="218" t="s">
        <v>7781</v>
      </c>
      <c r="M56" s="218">
        <v>1</v>
      </c>
      <c r="N56" s="218" t="s">
        <v>8524</v>
      </c>
      <c r="O56" s="218" t="s">
        <v>8519</v>
      </c>
      <c r="P56" s="218">
        <v>399</v>
      </c>
      <c r="Q56" s="218" t="s">
        <v>7771</v>
      </c>
      <c r="R56" s="220">
        <v>100</v>
      </c>
    </row>
    <row r="57" spans="1:18">
      <c r="A57" s="217">
        <v>449</v>
      </c>
      <c r="B57" s="218">
        <v>539985</v>
      </c>
      <c r="C57" s="218" t="s">
        <v>40</v>
      </c>
      <c r="D57" s="218" t="s">
        <v>7772</v>
      </c>
      <c r="E57" s="218" t="s">
        <v>8611</v>
      </c>
      <c r="F57" s="218" t="s">
        <v>8182</v>
      </c>
      <c r="G57" s="218" t="s">
        <v>7767</v>
      </c>
      <c r="H57" s="218">
        <v>512</v>
      </c>
      <c r="I57" s="219">
        <v>4000000</v>
      </c>
      <c r="J57" s="219">
        <v>0</v>
      </c>
      <c r="K57" s="219">
        <v>4000000</v>
      </c>
      <c r="L57" s="218" t="s">
        <v>7781</v>
      </c>
      <c r="M57" s="218">
        <v>1</v>
      </c>
      <c r="N57" s="218" t="s">
        <v>8612</v>
      </c>
      <c r="O57" s="218" t="s">
        <v>8594</v>
      </c>
      <c r="P57" s="218">
        <v>399</v>
      </c>
      <c r="Q57" s="218" t="s">
        <v>7771</v>
      </c>
      <c r="R57" s="220">
        <v>100</v>
      </c>
    </row>
    <row r="58" spans="1:18">
      <c r="A58" s="217">
        <v>450</v>
      </c>
      <c r="B58" s="218">
        <v>547268</v>
      </c>
      <c r="C58" s="218" t="s">
        <v>40</v>
      </c>
      <c r="D58" s="218" t="s">
        <v>7772</v>
      </c>
      <c r="E58" s="218" t="s">
        <v>8414</v>
      </c>
      <c r="F58" s="218" t="s">
        <v>8613</v>
      </c>
      <c r="G58" s="218" t="s">
        <v>7767</v>
      </c>
      <c r="H58" s="218">
        <v>512</v>
      </c>
      <c r="I58" s="219">
        <v>4000000</v>
      </c>
      <c r="J58" s="219">
        <v>0</v>
      </c>
      <c r="K58" s="219">
        <v>4000000</v>
      </c>
      <c r="L58" s="218" t="s">
        <v>7781</v>
      </c>
      <c r="M58" s="218">
        <v>1</v>
      </c>
      <c r="N58" s="218" t="s">
        <v>8614</v>
      </c>
      <c r="O58" s="218" t="s">
        <v>8594</v>
      </c>
      <c r="P58" s="218">
        <v>399</v>
      </c>
      <c r="Q58" s="218" t="s">
        <v>7771</v>
      </c>
      <c r="R58" s="220">
        <v>100</v>
      </c>
    </row>
    <row r="59" spans="1:18">
      <c r="A59" s="217">
        <v>523</v>
      </c>
      <c r="B59" s="218">
        <v>628026</v>
      </c>
      <c r="C59" s="218" t="s">
        <v>40</v>
      </c>
      <c r="D59" s="218" t="s">
        <v>7772</v>
      </c>
      <c r="E59" s="218" t="s">
        <v>8737</v>
      </c>
      <c r="F59" s="218" t="s">
        <v>8138</v>
      </c>
      <c r="G59" s="218" t="s">
        <v>7767</v>
      </c>
      <c r="H59" s="218">
        <v>512</v>
      </c>
      <c r="I59" s="219">
        <v>4000000</v>
      </c>
      <c r="J59" s="219">
        <v>0</v>
      </c>
      <c r="K59" s="219">
        <v>4000000</v>
      </c>
      <c r="L59" s="218" t="s">
        <v>7781</v>
      </c>
      <c r="M59" s="218">
        <v>1</v>
      </c>
      <c r="N59" s="218" t="s">
        <v>8738</v>
      </c>
      <c r="O59" s="218" t="s">
        <v>933</v>
      </c>
      <c r="P59" s="218">
        <v>399</v>
      </c>
      <c r="Q59" s="218" t="s">
        <v>7771</v>
      </c>
      <c r="R59" s="220">
        <v>100</v>
      </c>
    </row>
    <row r="60" spans="1:18">
      <c r="A60" s="217">
        <v>524</v>
      </c>
      <c r="B60" s="218">
        <v>653006</v>
      </c>
      <c r="C60" s="218" t="s">
        <v>40</v>
      </c>
      <c r="D60" s="218" t="s">
        <v>7772</v>
      </c>
      <c r="E60" s="218" t="s">
        <v>8739</v>
      </c>
      <c r="F60" s="218" t="s">
        <v>8138</v>
      </c>
      <c r="G60" s="218" t="s">
        <v>7767</v>
      </c>
      <c r="H60" s="218">
        <v>512</v>
      </c>
      <c r="I60" s="219">
        <v>4000000</v>
      </c>
      <c r="J60" s="219">
        <v>0</v>
      </c>
      <c r="K60" s="219">
        <v>4000000</v>
      </c>
      <c r="L60" s="218" t="s">
        <v>7781</v>
      </c>
      <c r="M60" s="218">
        <v>1</v>
      </c>
      <c r="N60" s="218" t="s">
        <v>8740</v>
      </c>
      <c r="O60" s="218" t="s">
        <v>933</v>
      </c>
      <c r="P60" s="218">
        <v>399</v>
      </c>
      <c r="Q60" s="218" t="s">
        <v>7771</v>
      </c>
      <c r="R60" s="220">
        <v>100</v>
      </c>
    </row>
    <row r="61" spans="1:18">
      <c r="A61" s="217">
        <v>682</v>
      </c>
      <c r="B61" s="218">
        <v>9802176517</v>
      </c>
      <c r="C61" s="218" t="s">
        <v>40</v>
      </c>
      <c r="D61" s="218" t="s">
        <v>7772</v>
      </c>
      <c r="E61" s="218" t="s">
        <v>9024</v>
      </c>
      <c r="F61" s="218" t="s">
        <v>9024</v>
      </c>
      <c r="G61" s="218" t="s">
        <v>7767</v>
      </c>
      <c r="H61" s="218">
        <v>512</v>
      </c>
      <c r="I61" s="219">
        <v>4000000</v>
      </c>
      <c r="J61" s="219">
        <v>0</v>
      </c>
      <c r="K61" s="219">
        <v>4000000</v>
      </c>
      <c r="L61" s="218" t="s">
        <v>7781</v>
      </c>
      <c r="M61" s="218">
        <v>1</v>
      </c>
      <c r="N61" s="218" t="s">
        <v>9025</v>
      </c>
      <c r="O61" s="218" t="s">
        <v>3873</v>
      </c>
      <c r="P61" s="218">
        <v>399</v>
      </c>
      <c r="Q61" s="218" t="s">
        <v>7771</v>
      </c>
      <c r="R61" s="220">
        <v>100</v>
      </c>
    </row>
    <row r="62" spans="1:18">
      <c r="A62" s="217">
        <v>688</v>
      </c>
      <c r="B62" s="218">
        <v>651371</v>
      </c>
      <c r="C62" s="218" t="s">
        <v>40</v>
      </c>
      <c r="D62" s="218" t="s">
        <v>7772</v>
      </c>
      <c r="E62" s="218" t="s">
        <v>9029</v>
      </c>
      <c r="F62" s="218" t="s">
        <v>8138</v>
      </c>
      <c r="G62" s="218" t="s">
        <v>7767</v>
      </c>
      <c r="H62" s="218">
        <v>512</v>
      </c>
      <c r="I62" s="219">
        <v>4000000</v>
      </c>
      <c r="J62" s="219">
        <v>0</v>
      </c>
      <c r="K62" s="219">
        <v>4000000</v>
      </c>
      <c r="L62" s="218" t="s">
        <v>7781</v>
      </c>
      <c r="M62" s="218">
        <v>1</v>
      </c>
      <c r="N62" s="218" t="s">
        <v>9030</v>
      </c>
      <c r="O62" s="218" t="s">
        <v>3742</v>
      </c>
      <c r="P62" s="218">
        <v>399</v>
      </c>
      <c r="Q62" s="218" t="s">
        <v>7771</v>
      </c>
      <c r="R62" s="220">
        <v>100</v>
      </c>
    </row>
    <row r="63" spans="1:18">
      <c r="A63" s="217">
        <v>689</v>
      </c>
      <c r="B63" s="218">
        <v>651423</v>
      </c>
      <c r="C63" s="218" t="s">
        <v>40</v>
      </c>
      <c r="D63" s="218" t="s">
        <v>7772</v>
      </c>
      <c r="E63" s="218" t="s">
        <v>9029</v>
      </c>
      <c r="F63" s="218" t="s">
        <v>8138</v>
      </c>
      <c r="G63" s="218" t="s">
        <v>7767</v>
      </c>
      <c r="H63" s="218">
        <v>512</v>
      </c>
      <c r="I63" s="219">
        <v>4000000</v>
      </c>
      <c r="J63" s="219">
        <v>0</v>
      </c>
      <c r="K63" s="219">
        <v>4000000</v>
      </c>
      <c r="L63" s="218" t="s">
        <v>7781</v>
      </c>
      <c r="M63" s="218">
        <v>1</v>
      </c>
      <c r="N63" s="218" t="s">
        <v>9031</v>
      </c>
      <c r="O63" s="218" t="s">
        <v>3742</v>
      </c>
      <c r="P63" s="218">
        <v>399</v>
      </c>
      <c r="Q63" s="218" t="s">
        <v>7771</v>
      </c>
      <c r="R63" s="220">
        <v>100</v>
      </c>
    </row>
    <row r="64" spans="1:18">
      <c r="A64" s="217">
        <v>178</v>
      </c>
      <c r="B64" s="218">
        <v>9702090869</v>
      </c>
      <c r="C64" s="218" t="s">
        <v>335</v>
      </c>
      <c r="D64" s="218" t="s">
        <v>8065</v>
      </c>
      <c r="E64" s="218" t="s">
        <v>8137</v>
      </c>
      <c r="F64" s="218" t="s">
        <v>8138</v>
      </c>
      <c r="G64" s="218" t="s">
        <v>7767</v>
      </c>
      <c r="H64" s="218">
        <v>512</v>
      </c>
      <c r="I64" s="219">
        <v>4480000</v>
      </c>
      <c r="J64" s="219">
        <v>0</v>
      </c>
      <c r="K64" s="219">
        <v>4480000</v>
      </c>
      <c r="L64" s="218" t="s">
        <v>7781</v>
      </c>
      <c r="M64" s="218">
        <v>1</v>
      </c>
      <c r="N64" s="218" t="s">
        <v>8139</v>
      </c>
      <c r="O64" s="218" t="s">
        <v>7993</v>
      </c>
      <c r="P64" s="218">
        <v>399</v>
      </c>
      <c r="Q64" s="218" t="s">
        <v>7771</v>
      </c>
      <c r="R64" s="220">
        <v>100</v>
      </c>
    </row>
    <row r="65" spans="1:18">
      <c r="A65" s="217">
        <v>189</v>
      </c>
      <c r="B65" s="218">
        <v>9802150125</v>
      </c>
      <c r="C65" s="218" t="s">
        <v>335</v>
      </c>
      <c r="D65" s="218" t="s">
        <v>8065</v>
      </c>
      <c r="E65" s="218" t="s">
        <v>8161</v>
      </c>
      <c r="F65" s="218" t="s">
        <v>8138</v>
      </c>
      <c r="G65" s="218" t="s">
        <v>7767</v>
      </c>
      <c r="H65" s="218">
        <v>512</v>
      </c>
      <c r="I65" s="219">
        <v>4480000</v>
      </c>
      <c r="J65" s="219">
        <v>0</v>
      </c>
      <c r="K65" s="219">
        <v>4480000</v>
      </c>
      <c r="L65" s="218" t="s">
        <v>7781</v>
      </c>
      <c r="M65" s="218">
        <v>1</v>
      </c>
      <c r="N65" s="218" t="s">
        <v>8162</v>
      </c>
      <c r="O65" s="218" t="s">
        <v>7993</v>
      </c>
      <c r="P65" s="218">
        <v>399</v>
      </c>
      <c r="Q65" s="218" t="s">
        <v>7771</v>
      </c>
      <c r="R65" s="220">
        <v>100</v>
      </c>
    </row>
    <row r="66" spans="1:18">
      <c r="A66" s="217">
        <v>242</v>
      </c>
      <c r="B66" s="218">
        <v>254025125372</v>
      </c>
      <c r="C66" s="218" t="s">
        <v>335</v>
      </c>
      <c r="D66" s="218" t="s">
        <v>7772</v>
      </c>
      <c r="E66" s="218" t="s">
        <v>8260</v>
      </c>
      <c r="F66" s="218" t="s">
        <v>8138</v>
      </c>
      <c r="G66" s="218" t="s">
        <v>7767</v>
      </c>
      <c r="H66" s="218">
        <v>512</v>
      </c>
      <c r="I66" s="219">
        <v>4480000</v>
      </c>
      <c r="J66" s="219">
        <v>0</v>
      </c>
      <c r="K66" s="219">
        <v>4480000</v>
      </c>
      <c r="L66" s="218" t="s">
        <v>7781</v>
      </c>
      <c r="M66" s="218">
        <v>1</v>
      </c>
      <c r="N66" s="218" t="s">
        <v>8261</v>
      </c>
      <c r="O66" s="218" t="s">
        <v>7993</v>
      </c>
      <c r="P66" s="218">
        <v>399</v>
      </c>
      <c r="Q66" s="218" t="s">
        <v>7771</v>
      </c>
      <c r="R66" s="220">
        <v>100</v>
      </c>
    </row>
    <row r="67" spans="1:18">
      <c r="A67" s="217">
        <v>243</v>
      </c>
      <c r="B67" s="218">
        <v>254035126068</v>
      </c>
      <c r="C67" s="218" t="s">
        <v>335</v>
      </c>
      <c r="D67" s="218" t="s">
        <v>7772</v>
      </c>
      <c r="E67" s="218" t="s">
        <v>8262</v>
      </c>
      <c r="F67" s="218" t="s">
        <v>8262</v>
      </c>
      <c r="G67" s="218" t="s">
        <v>7767</v>
      </c>
      <c r="H67" s="218">
        <v>512</v>
      </c>
      <c r="I67" s="219">
        <v>4480000</v>
      </c>
      <c r="J67" s="219">
        <v>0</v>
      </c>
      <c r="K67" s="219">
        <v>4480000</v>
      </c>
      <c r="L67" s="218" t="s">
        <v>7781</v>
      </c>
      <c r="M67" s="218">
        <v>1</v>
      </c>
      <c r="N67" s="218" t="s">
        <v>8263</v>
      </c>
      <c r="O67" s="218" t="s">
        <v>7993</v>
      </c>
      <c r="P67" s="218">
        <v>399</v>
      </c>
      <c r="Q67" s="218" t="s">
        <v>7771</v>
      </c>
      <c r="R67" s="220">
        <v>100</v>
      </c>
    </row>
    <row r="68" spans="1:18">
      <c r="A68" s="217">
        <v>421</v>
      </c>
      <c r="B68" s="218">
        <v>9802208175</v>
      </c>
      <c r="C68" s="218" t="s">
        <v>335</v>
      </c>
      <c r="D68" s="218" t="s">
        <v>8065</v>
      </c>
      <c r="E68" s="218" t="s">
        <v>8554</v>
      </c>
      <c r="F68" s="218" t="s">
        <v>8554</v>
      </c>
      <c r="G68" s="218" t="s">
        <v>7767</v>
      </c>
      <c r="H68" s="218">
        <v>512</v>
      </c>
      <c r="I68" s="219">
        <v>4480000</v>
      </c>
      <c r="J68" s="219">
        <v>0</v>
      </c>
      <c r="K68" s="219">
        <v>4480000</v>
      </c>
      <c r="L68" s="218" t="s">
        <v>7781</v>
      </c>
      <c r="M68" s="218">
        <v>1</v>
      </c>
      <c r="N68" s="218" t="s">
        <v>8555</v>
      </c>
      <c r="O68" s="218" t="s">
        <v>2592</v>
      </c>
      <c r="P68" s="218">
        <v>399</v>
      </c>
      <c r="Q68" s="218" t="s">
        <v>7771</v>
      </c>
      <c r="R68" s="220">
        <v>100</v>
      </c>
    </row>
    <row r="69" spans="1:18">
      <c r="A69" s="217">
        <v>424</v>
      </c>
      <c r="B69" s="218">
        <v>9802208161</v>
      </c>
      <c r="C69" s="218" t="s">
        <v>335</v>
      </c>
      <c r="D69" s="218" t="s">
        <v>8065</v>
      </c>
      <c r="E69" s="218" t="s">
        <v>8561</v>
      </c>
      <c r="F69" s="218" t="s">
        <v>8561</v>
      </c>
      <c r="G69" s="218" t="s">
        <v>7767</v>
      </c>
      <c r="H69" s="218">
        <v>512</v>
      </c>
      <c r="I69" s="219">
        <v>4480000</v>
      </c>
      <c r="J69" s="219">
        <v>0</v>
      </c>
      <c r="K69" s="219">
        <v>4480000</v>
      </c>
      <c r="L69" s="218" t="s">
        <v>7781</v>
      </c>
      <c r="M69" s="218">
        <v>1</v>
      </c>
      <c r="N69" s="218" t="s">
        <v>8562</v>
      </c>
      <c r="O69" s="218" t="s">
        <v>2592</v>
      </c>
      <c r="P69" s="218">
        <v>399</v>
      </c>
      <c r="Q69" s="218" t="s">
        <v>7771</v>
      </c>
      <c r="R69" s="220">
        <v>100</v>
      </c>
    </row>
    <row r="70" spans="1:18">
      <c r="A70" s="217">
        <v>425</v>
      </c>
      <c r="B70" s="218">
        <v>9802208163</v>
      </c>
      <c r="C70" s="218" t="s">
        <v>335</v>
      </c>
      <c r="D70" s="218" t="s">
        <v>8065</v>
      </c>
      <c r="E70" s="218" t="s">
        <v>8563</v>
      </c>
      <c r="F70" s="218" t="s">
        <v>8563</v>
      </c>
      <c r="G70" s="218" t="s">
        <v>7767</v>
      </c>
      <c r="H70" s="218">
        <v>512</v>
      </c>
      <c r="I70" s="219">
        <v>4480000</v>
      </c>
      <c r="J70" s="219">
        <v>0</v>
      </c>
      <c r="K70" s="219">
        <v>4480000</v>
      </c>
      <c r="L70" s="218" t="s">
        <v>7781</v>
      </c>
      <c r="M70" s="218">
        <v>1</v>
      </c>
      <c r="N70" s="218" t="s">
        <v>8564</v>
      </c>
      <c r="O70" s="218" t="s">
        <v>2592</v>
      </c>
      <c r="P70" s="218">
        <v>399</v>
      </c>
      <c r="Q70" s="218" t="s">
        <v>7771</v>
      </c>
      <c r="R70" s="220">
        <v>100</v>
      </c>
    </row>
    <row r="71" spans="1:18">
      <c r="A71" s="217">
        <v>436</v>
      </c>
      <c r="B71" s="218">
        <v>9902250454</v>
      </c>
      <c r="C71" s="218" t="s">
        <v>335</v>
      </c>
      <c r="D71" s="218" t="s">
        <v>8065</v>
      </c>
      <c r="E71" s="218" t="s">
        <v>8581</v>
      </c>
      <c r="F71" s="218" t="s">
        <v>8581</v>
      </c>
      <c r="G71" s="218" t="s">
        <v>7767</v>
      </c>
      <c r="H71" s="218">
        <v>512</v>
      </c>
      <c r="I71" s="219">
        <v>4480000</v>
      </c>
      <c r="J71" s="219">
        <v>0</v>
      </c>
      <c r="K71" s="219">
        <v>4480000</v>
      </c>
      <c r="L71" s="218" t="s">
        <v>7781</v>
      </c>
      <c r="M71" s="218">
        <v>1</v>
      </c>
      <c r="N71" s="218" t="s">
        <v>8582</v>
      </c>
      <c r="O71" s="218" t="s">
        <v>2592</v>
      </c>
      <c r="P71" s="218">
        <v>399</v>
      </c>
      <c r="Q71" s="218" t="s">
        <v>7771</v>
      </c>
      <c r="R71" s="220">
        <v>100</v>
      </c>
    </row>
    <row r="72" spans="1:18">
      <c r="A72" s="217">
        <v>482</v>
      </c>
      <c r="B72" s="218">
        <v>660977</v>
      </c>
      <c r="C72" s="218" t="s">
        <v>335</v>
      </c>
      <c r="D72" s="218" t="s">
        <v>8065</v>
      </c>
      <c r="E72" s="218" t="s">
        <v>8030</v>
      </c>
      <c r="F72" s="218" t="s">
        <v>8030</v>
      </c>
      <c r="G72" s="218" t="s">
        <v>7767</v>
      </c>
      <c r="H72" s="218">
        <v>512</v>
      </c>
      <c r="I72" s="219">
        <v>4480000</v>
      </c>
      <c r="J72" s="219">
        <v>0</v>
      </c>
      <c r="K72" s="219">
        <v>4480000</v>
      </c>
      <c r="L72" s="218" t="s">
        <v>7781</v>
      </c>
      <c r="M72" s="218">
        <v>1</v>
      </c>
      <c r="N72" s="218" t="s">
        <v>8672</v>
      </c>
      <c r="O72" s="218" t="s">
        <v>3018</v>
      </c>
      <c r="P72" s="218">
        <v>399</v>
      </c>
      <c r="Q72" s="218" t="s">
        <v>7771</v>
      </c>
      <c r="R72" s="220">
        <v>100</v>
      </c>
    </row>
    <row r="73" spans="1:18">
      <c r="A73" s="217">
        <v>616</v>
      </c>
      <c r="B73" s="218">
        <v>644556</v>
      </c>
      <c r="C73" s="218" t="s">
        <v>335</v>
      </c>
      <c r="D73" s="218" t="s">
        <v>8065</v>
      </c>
      <c r="E73" s="218" t="s">
        <v>8905</v>
      </c>
      <c r="F73" s="218" t="s">
        <v>8138</v>
      </c>
      <c r="G73" s="218" t="s">
        <v>7767</v>
      </c>
      <c r="H73" s="218">
        <v>512</v>
      </c>
      <c r="I73" s="219">
        <v>4480000</v>
      </c>
      <c r="J73" s="219">
        <v>0</v>
      </c>
      <c r="K73" s="219">
        <v>4480000</v>
      </c>
      <c r="L73" s="218" t="s">
        <v>7781</v>
      </c>
      <c r="M73" s="218">
        <v>1</v>
      </c>
      <c r="N73" s="218" t="s">
        <v>8906</v>
      </c>
      <c r="O73" s="218" t="s">
        <v>3705</v>
      </c>
      <c r="P73" s="218">
        <v>399</v>
      </c>
      <c r="Q73" s="218" t="s">
        <v>7771</v>
      </c>
      <c r="R73" s="220">
        <v>100</v>
      </c>
    </row>
    <row r="74" spans="1:18">
      <c r="A74" s="217">
        <v>617</v>
      </c>
      <c r="B74" s="218">
        <v>644557</v>
      </c>
      <c r="C74" s="218" t="s">
        <v>335</v>
      </c>
      <c r="D74" s="218" t="s">
        <v>8065</v>
      </c>
      <c r="E74" s="218" t="s">
        <v>8907</v>
      </c>
      <c r="F74" s="218" t="s">
        <v>8138</v>
      </c>
      <c r="G74" s="218" t="s">
        <v>7767</v>
      </c>
      <c r="H74" s="218">
        <v>512</v>
      </c>
      <c r="I74" s="219">
        <v>4480000</v>
      </c>
      <c r="J74" s="219">
        <v>0</v>
      </c>
      <c r="K74" s="219">
        <v>4480000</v>
      </c>
      <c r="L74" s="218" t="s">
        <v>7781</v>
      </c>
      <c r="M74" s="218">
        <v>1</v>
      </c>
      <c r="N74" s="218" t="s">
        <v>8908</v>
      </c>
      <c r="O74" s="218" t="s">
        <v>3705</v>
      </c>
      <c r="P74" s="218">
        <v>399</v>
      </c>
      <c r="Q74" s="218" t="s">
        <v>7771</v>
      </c>
      <c r="R74" s="220">
        <v>100</v>
      </c>
    </row>
    <row r="75" spans="1:18">
      <c r="A75" s="217">
        <v>618</v>
      </c>
      <c r="B75" s="218">
        <v>649608</v>
      </c>
      <c r="C75" s="218" t="s">
        <v>335</v>
      </c>
      <c r="D75" s="218" t="s">
        <v>8065</v>
      </c>
      <c r="E75" s="218" t="s">
        <v>8909</v>
      </c>
      <c r="F75" s="218" t="s">
        <v>8138</v>
      </c>
      <c r="G75" s="218" t="s">
        <v>7767</v>
      </c>
      <c r="H75" s="218">
        <v>512</v>
      </c>
      <c r="I75" s="219">
        <v>4480000</v>
      </c>
      <c r="J75" s="219">
        <v>0</v>
      </c>
      <c r="K75" s="219">
        <v>4480000</v>
      </c>
      <c r="L75" s="218" t="s">
        <v>7781</v>
      </c>
      <c r="M75" s="218">
        <v>1</v>
      </c>
      <c r="N75" s="218" t="s">
        <v>8910</v>
      </c>
      <c r="O75" s="218" t="s">
        <v>3705</v>
      </c>
      <c r="P75" s="218">
        <v>399</v>
      </c>
      <c r="Q75" s="218" t="s">
        <v>7771</v>
      </c>
      <c r="R75" s="220">
        <v>100</v>
      </c>
    </row>
    <row r="76" spans="1:18">
      <c r="A76" s="217">
        <v>704</v>
      </c>
      <c r="B76" s="218">
        <v>589027</v>
      </c>
      <c r="C76" s="218" t="s">
        <v>7950</v>
      </c>
      <c r="D76" s="218" t="s">
        <v>7772</v>
      </c>
      <c r="E76" s="218" t="s">
        <v>9051</v>
      </c>
      <c r="F76" s="218" t="s">
        <v>9053</v>
      </c>
      <c r="G76" s="218" t="s">
        <v>7767</v>
      </c>
      <c r="H76" s="218">
        <v>512</v>
      </c>
      <c r="I76" s="219">
        <v>4480000</v>
      </c>
      <c r="J76" s="219">
        <v>0</v>
      </c>
      <c r="K76" s="219">
        <v>4480000</v>
      </c>
      <c r="L76" s="218" t="s">
        <v>7781</v>
      </c>
      <c r="M76" s="218">
        <v>1</v>
      </c>
      <c r="N76" s="218" t="s">
        <v>9054</v>
      </c>
      <c r="O76" s="218" t="s">
        <v>9043</v>
      </c>
      <c r="P76" s="218">
        <v>399</v>
      </c>
      <c r="Q76" s="218" t="s">
        <v>7771</v>
      </c>
      <c r="R76" s="220">
        <v>100</v>
      </c>
    </row>
    <row r="77" spans="1:18">
      <c r="A77" s="217">
        <v>330</v>
      </c>
      <c r="B77" s="218">
        <v>540393</v>
      </c>
      <c r="C77" s="218" t="s">
        <v>40</v>
      </c>
      <c r="D77" s="218" t="s">
        <v>7764</v>
      </c>
      <c r="E77" s="218" t="s">
        <v>8409</v>
      </c>
      <c r="F77" s="218" t="s">
        <v>8407</v>
      </c>
      <c r="G77" s="218" t="s">
        <v>7767</v>
      </c>
      <c r="H77" s="218">
        <v>512</v>
      </c>
      <c r="I77" s="219">
        <v>6000000</v>
      </c>
      <c r="J77" s="219">
        <v>0</v>
      </c>
      <c r="K77" s="219">
        <v>6000000</v>
      </c>
      <c r="L77" s="218" t="s">
        <v>7781</v>
      </c>
      <c r="M77" s="218">
        <v>1</v>
      </c>
      <c r="N77" s="218" t="s">
        <v>8410</v>
      </c>
      <c r="O77" s="218" t="s">
        <v>1609</v>
      </c>
      <c r="P77" s="218">
        <v>399</v>
      </c>
      <c r="Q77" s="218" t="s">
        <v>7771</v>
      </c>
      <c r="R77" s="220">
        <v>100</v>
      </c>
    </row>
    <row r="78" spans="1:18">
      <c r="A78" s="217">
        <v>332</v>
      </c>
      <c r="B78" s="218">
        <v>540395</v>
      </c>
      <c r="C78" s="218" t="s">
        <v>40</v>
      </c>
      <c r="D78" s="218" t="s">
        <v>7764</v>
      </c>
      <c r="E78" s="218" t="s">
        <v>8406</v>
      </c>
      <c r="F78" s="218" t="s">
        <v>8412</v>
      </c>
      <c r="G78" s="218" t="s">
        <v>7767</v>
      </c>
      <c r="H78" s="218">
        <v>512</v>
      </c>
      <c r="I78" s="219">
        <v>6000000</v>
      </c>
      <c r="J78" s="219">
        <v>0</v>
      </c>
      <c r="K78" s="219">
        <v>6000000</v>
      </c>
      <c r="L78" s="218" t="s">
        <v>7781</v>
      </c>
      <c r="M78" s="218">
        <v>1</v>
      </c>
      <c r="N78" s="218" t="s">
        <v>8413</v>
      </c>
      <c r="O78" s="218" t="s">
        <v>1609</v>
      </c>
      <c r="P78" s="218">
        <v>399</v>
      </c>
      <c r="Q78" s="218" t="s">
        <v>7771</v>
      </c>
      <c r="R78" s="220">
        <v>100</v>
      </c>
    </row>
    <row r="79" spans="1:18">
      <c r="A79" s="217">
        <v>333</v>
      </c>
      <c r="B79" s="218">
        <v>540396</v>
      </c>
      <c r="C79" s="218" t="s">
        <v>40</v>
      </c>
      <c r="D79" s="218" t="s">
        <v>7764</v>
      </c>
      <c r="E79" s="218" t="s">
        <v>8414</v>
      </c>
      <c r="F79" s="218" t="s">
        <v>8404</v>
      </c>
      <c r="G79" s="218" t="s">
        <v>7767</v>
      </c>
      <c r="H79" s="218">
        <v>512</v>
      </c>
      <c r="I79" s="219">
        <v>6000000</v>
      </c>
      <c r="J79" s="219">
        <v>0</v>
      </c>
      <c r="K79" s="219">
        <v>6000000</v>
      </c>
      <c r="L79" s="218" t="s">
        <v>7781</v>
      </c>
      <c r="M79" s="218">
        <v>1</v>
      </c>
      <c r="N79" s="218" t="s">
        <v>8415</v>
      </c>
      <c r="O79" s="218" t="s">
        <v>1609</v>
      </c>
      <c r="P79" s="218">
        <v>399</v>
      </c>
      <c r="Q79" s="218" t="s">
        <v>7771</v>
      </c>
      <c r="R79" s="220">
        <v>100</v>
      </c>
    </row>
    <row r="80" spans="1:18">
      <c r="A80" s="217">
        <v>334</v>
      </c>
      <c r="B80" s="218">
        <v>540397</v>
      </c>
      <c r="C80" s="218" t="s">
        <v>40</v>
      </c>
      <c r="D80" s="218" t="s">
        <v>7764</v>
      </c>
      <c r="E80" s="218" t="s">
        <v>8416</v>
      </c>
      <c r="F80" s="218" t="s">
        <v>8256</v>
      </c>
      <c r="G80" s="218" t="s">
        <v>7767</v>
      </c>
      <c r="H80" s="218">
        <v>512</v>
      </c>
      <c r="I80" s="219">
        <v>6000000</v>
      </c>
      <c r="J80" s="219">
        <v>0</v>
      </c>
      <c r="K80" s="219">
        <v>6000000</v>
      </c>
      <c r="L80" s="218" t="s">
        <v>7781</v>
      </c>
      <c r="M80" s="218">
        <v>1</v>
      </c>
      <c r="N80" s="218" t="s">
        <v>2400</v>
      </c>
      <c r="O80" s="218" t="s">
        <v>1609</v>
      </c>
      <c r="P80" s="218">
        <v>399</v>
      </c>
      <c r="Q80" s="218" t="s">
        <v>7771</v>
      </c>
      <c r="R80" s="220">
        <v>100</v>
      </c>
    </row>
    <row r="81" spans="1:18">
      <c r="A81" s="217">
        <v>337</v>
      </c>
      <c r="B81" s="218">
        <v>570391</v>
      </c>
      <c r="C81" s="218" t="s">
        <v>40</v>
      </c>
      <c r="D81" s="218" t="s">
        <v>7764</v>
      </c>
      <c r="E81" s="218" t="s">
        <v>8423</v>
      </c>
      <c r="F81" s="218" t="s">
        <v>8404</v>
      </c>
      <c r="G81" s="218" t="s">
        <v>7767</v>
      </c>
      <c r="H81" s="218">
        <v>512</v>
      </c>
      <c r="I81" s="219">
        <v>6000000</v>
      </c>
      <c r="J81" s="219">
        <v>0</v>
      </c>
      <c r="K81" s="219">
        <v>6000000</v>
      </c>
      <c r="L81" s="218" t="s">
        <v>7781</v>
      </c>
      <c r="M81" s="218">
        <v>1</v>
      </c>
      <c r="N81" s="218" t="s">
        <v>8424</v>
      </c>
      <c r="O81" s="218" t="s">
        <v>1609</v>
      </c>
      <c r="P81" s="218">
        <v>399</v>
      </c>
      <c r="Q81" s="218" t="s">
        <v>7771</v>
      </c>
      <c r="R81" s="220">
        <v>100</v>
      </c>
    </row>
    <row r="82" spans="1:18">
      <c r="A82" s="217">
        <v>363</v>
      </c>
      <c r="B82" s="218">
        <v>650303</v>
      </c>
      <c r="C82" s="218" t="s">
        <v>40</v>
      </c>
      <c r="D82" s="218" t="s">
        <v>7764</v>
      </c>
      <c r="E82" s="218" t="s">
        <v>8466</v>
      </c>
      <c r="F82" s="218" t="s">
        <v>8138</v>
      </c>
      <c r="G82" s="218" t="s">
        <v>7767</v>
      </c>
      <c r="H82" s="218">
        <v>512</v>
      </c>
      <c r="I82" s="219">
        <v>6000000</v>
      </c>
      <c r="J82" s="219">
        <v>0</v>
      </c>
      <c r="K82" s="219">
        <v>6000000</v>
      </c>
      <c r="L82" s="218" t="s">
        <v>7781</v>
      </c>
      <c r="M82" s="218">
        <v>1</v>
      </c>
      <c r="N82" s="218" t="s">
        <v>8467</v>
      </c>
      <c r="O82" s="218" t="s">
        <v>2476</v>
      </c>
      <c r="P82" s="218">
        <v>399</v>
      </c>
      <c r="Q82" s="218" t="s">
        <v>7771</v>
      </c>
      <c r="R82" s="220">
        <v>100</v>
      </c>
    </row>
    <row r="83" spans="1:18">
      <c r="A83" s="217">
        <v>364</v>
      </c>
      <c r="B83" s="218">
        <v>651091</v>
      </c>
      <c r="C83" s="218" t="s">
        <v>40</v>
      </c>
      <c r="D83" s="218" t="s">
        <v>7764</v>
      </c>
      <c r="E83" s="218" t="s">
        <v>8468</v>
      </c>
      <c r="F83" s="218" t="s">
        <v>8138</v>
      </c>
      <c r="G83" s="218" t="s">
        <v>7767</v>
      </c>
      <c r="H83" s="218">
        <v>512</v>
      </c>
      <c r="I83" s="219">
        <v>6000000</v>
      </c>
      <c r="J83" s="219">
        <v>0</v>
      </c>
      <c r="K83" s="219">
        <v>6000000</v>
      </c>
      <c r="L83" s="218" t="s">
        <v>7781</v>
      </c>
      <c r="M83" s="218">
        <v>1</v>
      </c>
      <c r="N83" s="218" t="s">
        <v>8469</v>
      </c>
      <c r="O83" s="218" t="s">
        <v>2476</v>
      </c>
      <c r="P83" s="218">
        <v>399</v>
      </c>
      <c r="Q83" s="218" t="s">
        <v>7771</v>
      </c>
      <c r="R83" s="220">
        <v>100</v>
      </c>
    </row>
    <row r="84" spans="1:18">
      <c r="A84" s="217">
        <v>366</v>
      </c>
      <c r="B84" s="218">
        <v>659081</v>
      </c>
      <c r="C84" s="218" t="s">
        <v>40</v>
      </c>
      <c r="D84" s="218" t="s">
        <v>7764</v>
      </c>
      <c r="E84" s="218" t="s">
        <v>8471</v>
      </c>
      <c r="F84" s="218" t="s">
        <v>8138</v>
      </c>
      <c r="G84" s="218" t="s">
        <v>7767</v>
      </c>
      <c r="H84" s="218">
        <v>512</v>
      </c>
      <c r="I84" s="219">
        <v>6000000</v>
      </c>
      <c r="J84" s="219">
        <v>0</v>
      </c>
      <c r="K84" s="219">
        <v>6000000</v>
      </c>
      <c r="L84" s="218" t="s">
        <v>7781</v>
      </c>
      <c r="M84" s="218">
        <v>1</v>
      </c>
      <c r="N84" s="218" t="s">
        <v>8472</v>
      </c>
      <c r="O84" s="218" t="s">
        <v>2476</v>
      </c>
      <c r="P84" s="218">
        <v>399</v>
      </c>
      <c r="Q84" s="218" t="s">
        <v>7771</v>
      </c>
      <c r="R84" s="220">
        <v>100</v>
      </c>
    </row>
    <row r="85" spans="1:18">
      <c r="A85" s="217">
        <v>386</v>
      </c>
      <c r="B85" s="218">
        <v>548320</v>
      </c>
      <c r="C85" s="218" t="s">
        <v>40</v>
      </c>
      <c r="D85" s="218" t="s">
        <v>7764</v>
      </c>
      <c r="E85" s="218" t="s">
        <v>8494</v>
      </c>
      <c r="F85" s="218" t="s">
        <v>8506</v>
      </c>
      <c r="G85" s="218" t="s">
        <v>7767</v>
      </c>
      <c r="H85" s="218">
        <v>512</v>
      </c>
      <c r="I85" s="219">
        <v>6000000</v>
      </c>
      <c r="J85" s="219">
        <v>0</v>
      </c>
      <c r="K85" s="219">
        <v>6000000</v>
      </c>
      <c r="L85" s="218" t="s">
        <v>7781</v>
      </c>
      <c r="M85" s="218">
        <v>1</v>
      </c>
      <c r="N85" s="218" t="s">
        <v>8507</v>
      </c>
      <c r="O85" s="218" t="s">
        <v>2476</v>
      </c>
      <c r="P85" s="218">
        <v>399</v>
      </c>
      <c r="Q85" s="218" t="s">
        <v>7771</v>
      </c>
      <c r="R85" s="220">
        <v>100</v>
      </c>
    </row>
    <row r="86" spans="1:18">
      <c r="A86" s="217">
        <v>439</v>
      </c>
      <c r="B86" s="218">
        <v>537366</v>
      </c>
      <c r="C86" s="218" t="s">
        <v>40</v>
      </c>
      <c r="D86" s="218" t="s">
        <v>7764</v>
      </c>
      <c r="E86" s="218" t="s">
        <v>8588</v>
      </c>
      <c r="F86" s="218" t="s">
        <v>8589</v>
      </c>
      <c r="G86" s="218" t="s">
        <v>7767</v>
      </c>
      <c r="H86" s="218">
        <v>512</v>
      </c>
      <c r="I86" s="219">
        <v>6000000</v>
      </c>
      <c r="J86" s="219">
        <v>0</v>
      </c>
      <c r="K86" s="219">
        <v>6000000</v>
      </c>
      <c r="L86" s="218" t="s">
        <v>7781</v>
      </c>
      <c r="M86" s="218">
        <v>1</v>
      </c>
      <c r="N86" s="218" t="s">
        <v>8590</v>
      </c>
      <c r="O86" s="218" t="s">
        <v>2592</v>
      </c>
      <c r="P86" s="218">
        <v>399</v>
      </c>
      <c r="Q86" s="218" t="s">
        <v>7771</v>
      </c>
      <c r="R86" s="220">
        <v>100</v>
      </c>
    </row>
    <row r="87" spans="1:18">
      <c r="A87" s="217">
        <v>444</v>
      </c>
      <c r="B87" s="218">
        <v>656992</v>
      </c>
      <c r="C87" s="218" t="s">
        <v>40</v>
      </c>
      <c r="D87" s="218" t="s">
        <v>7764</v>
      </c>
      <c r="E87" s="218" t="s">
        <v>8599</v>
      </c>
      <c r="F87" s="218" t="s">
        <v>8138</v>
      </c>
      <c r="G87" s="218" t="s">
        <v>7767</v>
      </c>
      <c r="H87" s="218">
        <v>512</v>
      </c>
      <c r="I87" s="219">
        <v>6000000</v>
      </c>
      <c r="J87" s="219">
        <v>0</v>
      </c>
      <c r="K87" s="219">
        <v>6000000</v>
      </c>
      <c r="L87" s="218" t="s">
        <v>7781</v>
      </c>
      <c r="M87" s="218">
        <v>1</v>
      </c>
      <c r="N87" s="218" t="s">
        <v>8600</v>
      </c>
      <c r="O87" s="218" t="s">
        <v>8594</v>
      </c>
      <c r="P87" s="218">
        <v>399</v>
      </c>
      <c r="Q87" s="218" t="s">
        <v>7771</v>
      </c>
      <c r="R87" s="220">
        <v>100</v>
      </c>
    </row>
    <row r="88" spans="1:18">
      <c r="A88" s="217">
        <v>447</v>
      </c>
      <c r="B88" s="218">
        <v>535517</v>
      </c>
      <c r="C88" s="218" t="s">
        <v>40</v>
      </c>
      <c r="D88" s="218" t="s">
        <v>7764</v>
      </c>
      <c r="E88" s="218" t="s">
        <v>8605</v>
      </c>
      <c r="F88" s="218" t="s">
        <v>8606</v>
      </c>
      <c r="G88" s="218" t="s">
        <v>7767</v>
      </c>
      <c r="H88" s="218">
        <v>512</v>
      </c>
      <c r="I88" s="219">
        <v>6000000</v>
      </c>
      <c r="J88" s="219">
        <v>0</v>
      </c>
      <c r="K88" s="219">
        <v>6000000</v>
      </c>
      <c r="L88" s="218" t="s">
        <v>7781</v>
      </c>
      <c r="M88" s="218">
        <v>1</v>
      </c>
      <c r="N88" s="218" t="s">
        <v>8607</v>
      </c>
      <c r="O88" s="218" t="s">
        <v>8594</v>
      </c>
      <c r="P88" s="218">
        <v>399</v>
      </c>
      <c r="Q88" s="218" t="s">
        <v>7771</v>
      </c>
      <c r="R88" s="220">
        <v>100</v>
      </c>
    </row>
    <row r="89" spans="1:18">
      <c r="A89" s="217">
        <v>448</v>
      </c>
      <c r="B89" s="218">
        <v>535527</v>
      </c>
      <c r="C89" s="218" t="s">
        <v>40</v>
      </c>
      <c r="D89" s="218" t="s">
        <v>7764</v>
      </c>
      <c r="E89" s="218" t="s">
        <v>8608</v>
      </c>
      <c r="F89" s="218" t="s">
        <v>8609</v>
      </c>
      <c r="G89" s="218" t="s">
        <v>7767</v>
      </c>
      <c r="H89" s="218">
        <v>512</v>
      </c>
      <c r="I89" s="219">
        <v>6000000</v>
      </c>
      <c r="J89" s="219">
        <v>0</v>
      </c>
      <c r="K89" s="219">
        <v>6000000</v>
      </c>
      <c r="L89" s="218" t="s">
        <v>7781</v>
      </c>
      <c r="M89" s="218">
        <v>1</v>
      </c>
      <c r="N89" s="218" t="s">
        <v>8610</v>
      </c>
      <c r="O89" s="218" t="s">
        <v>8594</v>
      </c>
      <c r="P89" s="218">
        <v>399</v>
      </c>
      <c r="Q89" s="218" t="s">
        <v>7771</v>
      </c>
      <c r="R89" s="220">
        <v>100</v>
      </c>
    </row>
    <row r="90" spans="1:18">
      <c r="A90" s="217">
        <v>594</v>
      </c>
      <c r="B90" s="218">
        <v>9702082301</v>
      </c>
      <c r="C90" s="218" t="s">
        <v>40</v>
      </c>
      <c r="D90" s="218" t="s">
        <v>7764</v>
      </c>
      <c r="E90" s="218" t="s">
        <v>8865</v>
      </c>
      <c r="F90" s="218" t="s">
        <v>8138</v>
      </c>
      <c r="G90" s="218" t="s">
        <v>7767</v>
      </c>
      <c r="H90" s="218">
        <v>512</v>
      </c>
      <c r="I90" s="219">
        <v>6000000</v>
      </c>
      <c r="J90" s="219">
        <v>0</v>
      </c>
      <c r="K90" s="219">
        <v>6000000</v>
      </c>
      <c r="L90" s="218" t="s">
        <v>7781</v>
      </c>
      <c r="M90" s="218">
        <v>1</v>
      </c>
      <c r="N90" s="218" t="s">
        <v>8866</v>
      </c>
      <c r="O90" s="218" t="s">
        <v>3467</v>
      </c>
      <c r="P90" s="218">
        <v>399</v>
      </c>
      <c r="Q90" s="218" t="s">
        <v>7771</v>
      </c>
      <c r="R90" s="220">
        <v>100</v>
      </c>
    </row>
    <row r="91" spans="1:18">
      <c r="A91" s="217">
        <v>595</v>
      </c>
      <c r="B91" s="218">
        <v>9702087220</v>
      </c>
      <c r="C91" s="218" t="s">
        <v>40</v>
      </c>
      <c r="D91" s="218" t="s">
        <v>7764</v>
      </c>
      <c r="E91" s="218" t="s">
        <v>8867</v>
      </c>
      <c r="F91" s="218" t="s">
        <v>8138</v>
      </c>
      <c r="G91" s="218" t="s">
        <v>7767</v>
      </c>
      <c r="H91" s="218">
        <v>512</v>
      </c>
      <c r="I91" s="219">
        <v>6000000</v>
      </c>
      <c r="J91" s="219">
        <v>0</v>
      </c>
      <c r="K91" s="219">
        <v>6000000</v>
      </c>
      <c r="L91" s="218" t="s">
        <v>7781</v>
      </c>
      <c r="M91" s="218">
        <v>1</v>
      </c>
      <c r="N91" s="218" t="s">
        <v>7518</v>
      </c>
      <c r="O91" s="218" t="s">
        <v>3467</v>
      </c>
      <c r="P91" s="218">
        <v>399</v>
      </c>
      <c r="Q91" s="218" t="s">
        <v>7771</v>
      </c>
      <c r="R91" s="220">
        <v>100</v>
      </c>
    </row>
    <row r="92" spans="1:18">
      <c r="A92" s="217">
        <v>596</v>
      </c>
      <c r="B92" s="218">
        <v>25402665890</v>
      </c>
      <c r="C92" s="218" t="s">
        <v>40</v>
      </c>
      <c r="D92" s="218" t="s">
        <v>7764</v>
      </c>
      <c r="E92" s="218" t="s">
        <v>8868</v>
      </c>
      <c r="F92" s="218" t="s">
        <v>8868</v>
      </c>
      <c r="G92" s="218" t="s">
        <v>7767</v>
      </c>
      <c r="H92" s="218">
        <v>512</v>
      </c>
      <c r="I92" s="219">
        <v>6000000</v>
      </c>
      <c r="J92" s="219">
        <v>0</v>
      </c>
      <c r="K92" s="219">
        <v>6000000</v>
      </c>
      <c r="L92" s="218" t="s">
        <v>7781</v>
      </c>
      <c r="M92" s="218">
        <v>1</v>
      </c>
      <c r="N92" s="218" t="s">
        <v>8869</v>
      </c>
      <c r="O92" s="218" t="s">
        <v>3467</v>
      </c>
      <c r="P92" s="218">
        <v>399</v>
      </c>
      <c r="Q92" s="218" t="s">
        <v>7771</v>
      </c>
      <c r="R92" s="220">
        <v>100</v>
      </c>
    </row>
    <row r="93" spans="1:18">
      <c r="A93" s="217">
        <v>667</v>
      </c>
      <c r="B93" s="218">
        <v>548450</v>
      </c>
      <c r="C93" s="218" t="s">
        <v>40</v>
      </c>
      <c r="D93" s="218" t="s">
        <v>7764</v>
      </c>
      <c r="E93" s="218" t="s">
        <v>8417</v>
      </c>
      <c r="F93" s="218" t="s">
        <v>9000</v>
      </c>
      <c r="G93" s="218" t="s">
        <v>7767</v>
      </c>
      <c r="H93" s="218">
        <v>512</v>
      </c>
      <c r="I93" s="219">
        <v>6000000</v>
      </c>
      <c r="J93" s="219">
        <v>0</v>
      </c>
      <c r="K93" s="219">
        <v>6000000</v>
      </c>
      <c r="L93" s="218" t="s">
        <v>7781</v>
      </c>
      <c r="M93" s="218">
        <v>1</v>
      </c>
      <c r="N93" s="218" t="s">
        <v>9001</v>
      </c>
      <c r="O93" s="218" t="s">
        <v>8989</v>
      </c>
      <c r="P93" s="218">
        <v>399</v>
      </c>
      <c r="Q93" s="218" t="s">
        <v>7771</v>
      </c>
      <c r="R93" s="220">
        <v>100</v>
      </c>
    </row>
    <row r="94" spans="1:18">
      <c r="A94" s="217">
        <v>669</v>
      </c>
      <c r="B94" s="218">
        <v>548452</v>
      </c>
      <c r="C94" s="218" t="s">
        <v>40</v>
      </c>
      <c r="D94" s="218" t="s">
        <v>7764</v>
      </c>
      <c r="E94" s="218" t="s">
        <v>8996</v>
      </c>
      <c r="F94" s="218" t="s">
        <v>9000</v>
      </c>
      <c r="G94" s="218" t="s">
        <v>7767</v>
      </c>
      <c r="H94" s="218">
        <v>512</v>
      </c>
      <c r="I94" s="219">
        <v>6000000</v>
      </c>
      <c r="J94" s="219">
        <v>0</v>
      </c>
      <c r="K94" s="219">
        <v>6000000</v>
      </c>
      <c r="L94" s="218" t="s">
        <v>7781</v>
      </c>
      <c r="M94" s="218">
        <v>1</v>
      </c>
      <c r="N94" s="218" t="s">
        <v>9004</v>
      </c>
      <c r="O94" s="218" t="s">
        <v>8989</v>
      </c>
      <c r="P94" s="218">
        <v>399</v>
      </c>
      <c r="Q94" s="218" t="s">
        <v>7771</v>
      </c>
      <c r="R94" s="220">
        <v>100</v>
      </c>
    </row>
    <row r="95" spans="1:18">
      <c r="A95" s="217">
        <v>678</v>
      </c>
      <c r="B95" s="218">
        <v>662171</v>
      </c>
      <c r="C95" s="218" t="s">
        <v>40</v>
      </c>
      <c r="D95" s="218" t="s">
        <v>7764</v>
      </c>
      <c r="E95" s="218" t="s">
        <v>9017</v>
      </c>
      <c r="F95" s="218" t="s">
        <v>8746</v>
      </c>
      <c r="G95" s="218" t="s">
        <v>7767</v>
      </c>
      <c r="H95" s="218">
        <v>512</v>
      </c>
      <c r="I95" s="219">
        <v>6000000</v>
      </c>
      <c r="J95" s="219">
        <v>0</v>
      </c>
      <c r="K95" s="219">
        <v>6000000</v>
      </c>
      <c r="L95" s="218" t="s">
        <v>7781</v>
      </c>
      <c r="M95" s="218">
        <v>1</v>
      </c>
      <c r="N95" s="218" t="s">
        <v>9018</v>
      </c>
      <c r="O95" s="218" t="s">
        <v>3873</v>
      </c>
      <c r="P95" s="218">
        <v>399</v>
      </c>
      <c r="Q95" s="218" t="s">
        <v>7771</v>
      </c>
      <c r="R95" s="220">
        <v>100</v>
      </c>
    </row>
    <row r="96" spans="1:18">
      <c r="A96" s="217">
        <v>680</v>
      </c>
      <c r="B96" s="218">
        <v>9802169523</v>
      </c>
      <c r="C96" s="218" t="s">
        <v>40</v>
      </c>
      <c r="D96" s="218" t="s">
        <v>7764</v>
      </c>
      <c r="E96" s="218" t="s">
        <v>9020</v>
      </c>
      <c r="F96" s="218" t="s">
        <v>9021</v>
      </c>
      <c r="G96" s="218" t="s">
        <v>7767</v>
      </c>
      <c r="H96" s="218">
        <v>512</v>
      </c>
      <c r="I96" s="219">
        <v>6000000</v>
      </c>
      <c r="J96" s="219">
        <v>0</v>
      </c>
      <c r="K96" s="219">
        <v>6000000</v>
      </c>
      <c r="L96" s="218" t="s">
        <v>7781</v>
      </c>
      <c r="M96" s="218">
        <v>1</v>
      </c>
      <c r="N96" s="218" t="s">
        <v>9022</v>
      </c>
      <c r="O96" s="218" t="s">
        <v>3873</v>
      </c>
      <c r="P96" s="218">
        <v>399</v>
      </c>
      <c r="Q96" s="218" t="s">
        <v>7771</v>
      </c>
      <c r="R96" s="220">
        <v>100</v>
      </c>
    </row>
    <row r="97" spans="1:18">
      <c r="A97" s="217">
        <v>697</v>
      </c>
      <c r="B97" s="218">
        <v>598955</v>
      </c>
      <c r="C97" s="218" t="s">
        <v>40</v>
      </c>
      <c r="D97" s="218" t="s">
        <v>7764</v>
      </c>
      <c r="E97" s="218" t="s">
        <v>9041</v>
      </c>
      <c r="F97" s="218" t="s">
        <v>9034</v>
      </c>
      <c r="G97" s="218" t="s">
        <v>7767</v>
      </c>
      <c r="H97" s="218">
        <v>512</v>
      </c>
      <c r="I97" s="219">
        <v>6000000</v>
      </c>
      <c r="J97" s="219">
        <v>0</v>
      </c>
      <c r="K97" s="219">
        <v>6000000</v>
      </c>
      <c r="L97" s="218" t="s">
        <v>7781</v>
      </c>
      <c r="M97" s="218">
        <v>1</v>
      </c>
      <c r="N97" s="218" t="s">
        <v>4780</v>
      </c>
      <c r="O97" s="218" t="s">
        <v>3742</v>
      </c>
      <c r="P97" s="218">
        <v>399</v>
      </c>
      <c r="Q97" s="218" t="s">
        <v>7771</v>
      </c>
      <c r="R97" s="220">
        <v>100</v>
      </c>
    </row>
    <row r="98" spans="1:18">
      <c r="A98" s="217">
        <v>190</v>
      </c>
      <c r="B98" s="218">
        <v>9802163298</v>
      </c>
      <c r="C98" s="218" t="s">
        <v>335</v>
      </c>
      <c r="D98" s="218" t="s">
        <v>8039</v>
      </c>
      <c r="E98" s="218" t="s">
        <v>8163</v>
      </c>
      <c r="F98" s="218" t="s">
        <v>8138</v>
      </c>
      <c r="G98" s="218" t="s">
        <v>7767</v>
      </c>
      <c r="H98" s="218">
        <v>512</v>
      </c>
      <c r="I98" s="219">
        <v>6400000</v>
      </c>
      <c r="J98" s="219">
        <v>0</v>
      </c>
      <c r="K98" s="219">
        <v>6400000</v>
      </c>
      <c r="L98" s="218" t="s">
        <v>7781</v>
      </c>
      <c r="M98" s="218">
        <v>1</v>
      </c>
      <c r="N98" s="218" t="s">
        <v>8164</v>
      </c>
      <c r="O98" s="218" t="s">
        <v>7993</v>
      </c>
      <c r="P98" s="218">
        <v>399</v>
      </c>
      <c r="Q98" s="218" t="s">
        <v>7771</v>
      </c>
      <c r="R98" s="220">
        <v>100</v>
      </c>
    </row>
    <row r="99" spans="1:18">
      <c r="A99" s="217">
        <v>239</v>
      </c>
      <c r="B99" s="218">
        <v>40102387970</v>
      </c>
      <c r="C99" s="218" t="s">
        <v>335</v>
      </c>
      <c r="D99" s="218" t="s">
        <v>7764</v>
      </c>
      <c r="E99" s="218" t="s">
        <v>8254</v>
      </c>
      <c r="F99" s="218" t="s">
        <v>8138</v>
      </c>
      <c r="G99" s="218" t="s">
        <v>7767</v>
      </c>
      <c r="H99" s="218">
        <v>512</v>
      </c>
      <c r="I99" s="219">
        <v>6400000</v>
      </c>
      <c r="J99" s="219">
        <v>0</v>
      </c>
      <c r="K99" s="219">
        <v>6400000</v>
      </c>
      <c r="L99" s="218" t="s">
        <v>7781</v>
      </c>
      <c r="M99" s="218">
        <v>1</v>
      </c>
      <c r="N99" s="218" t="s">
        <v>8255</v>
      </c>
      <c r="O99" s="218" t="s">
        <v>7993</v>
      </c>
      <c r="P99" s="218">
        <v>399</v>
      </c>
      <c r="Q99" s="218" t="s">
        <v>7771</v>
      </c>
      <c r="R99" s="220">
        <v>100</v>
      </c>
    </row>
    <row r="100" spans="1:18">
      <c r="A100" s="217">
        <v>241</v>
      </c>
      <c r="B100" s="218">
        <v>254025125221</v>
      </c>
      <c r="C100" s="218" t="s">
        <v>335</v>
      </c>
      <c r="D100" s="218" t="s">
        <v>7764</v>
      </c>
      <c r="E100" s="218" t="s">
        <v>8258</v>
      </c>
      <c r="F100" s="218" t="s">
        <v>8138</v>
      </c>
      <c r="G100" s="218" t="s">
        <v>7767</v>
      </c>
      <c r="H100" s="218">
        <v>512</v>
      </c>
      <c r="I100" s="219">
        <v>6400000</v>
      </c>
      <c r="J100" s="219">
        <v>0</v>
      </c>
      <c r="K100" s="219">
        <v>6400000</v>
      </c>
      <c r="L100" s="218" t="s">
        <v>7781</v>
      </c>
      <c r="M100" s="218">
        <v>1</v>
      </c>
      <c r="N100" s="218" t="s">
        <v>8259</v>
      </c>
      <c r="O100" s="218" t="s">
        <v>7993</v>
      </c>
      <c r="P100" s="218">
        <v>399</v>
      </c>
      <c r="Q100" s="218" t="s">
        <v>7771</v>
      </c>
      <c r="R100" s="220">
        <v>100</v>
      </c>
    </row>
    <row r="101" spans="1:18">
      <c r="A101" s="217">
        <v>433</v>
      </c>
      <c r="B101" s="218">
        <v>9902250414</v>
      </c>
      <c r="C101" s="218" t="s">
        <v>335</v>
      </c>
      <c r="D101" s="218" t="s">
        <v>8039</v>
      </c>
      <c r="E101" s="218" t="s">
        <v>8575</v>
      </c>
      <c r="F101" s="218" t="s">
        <v>8575</v>
      </c>
      <c r="G101" s="218" t="s">
        <v>7767</v>
      </c>
      <c r="H101" s="218">
        <v>512</v>
      </c>
      <c r="I101" s="219">
        <v>6400000</v>
      </c>
      <c r="J101" s="219">
        <v>0</v>
      </c>
      <c r="K101" s="219">
        <v>6400000</v>
      </c>
      <c r="L101" s="218" t="s">
        <v>7781</v>
      </c>
      <c r="M101" s="218">
        <v>1</v>
      </c>
      <c r="N101" s="218" t="s">
        <v>8576</v>
      </c>
      <c r="O101" s="218" t="s">
        <v>2592</v>
      </c>
      <c r="P101" s="218">
        <v>399</v>
      </c>
      <c r="Q101" s="218" t="s">
        <v>7771</v>
      </c>
      <c r="R101" s="220">
        <v>100</v>
      </c>
    </row>
    <row r="102" spans="1:18">
      <c r="A102" s="217">
        <v>434</v>
      </c>
      <c r="B102" s="218">
        <v>9902250420</v>
      </c>
      <c r="C102" s="218" t="s">
        <v>335</v>
      </c>
      <c r="D102" s="218" t="s">
        <v>8039</v>
      </c>
      <c r="E102" s="218" t="s">
        <v>8577</v>
      </c>
      <c r="F102" s="218" t="s">
        <v>8577</v>
      </c>
      <c r="G102" s="218" t="s">
        <v>7767</v>
      </c>
      <c r="H102" s="218">
        <v>512</v>
      </c>
      <c r="I102" s="219">
        <v>6400000</v>
      </c>
      <c r="J102" s="219">
        <v>0</v>
      </c>
      <c r="K102" s="219">
        <v>6400000</v>
      </c>
      <c r="L102" s="218" t="s">
        <v>7781</v>
      </c>
      <c r="M102" s="218">
        <v>1</v>
      </c>
      <c r="N102" s="218" t="s">
        <v>8578</v>
      </c>
      <c r="O102" s="218" t="s">
        <v>2592</v>
      </c>
      <c r="P102" s="218">
        <v>399</v>
      </c>
      <c r="Q102" s="218" t="s">
        <v>7771</v>
      </c>
      <c r="R102" s="220">
        <v>100</v>
      </c>
    </row>
    <row r="103" spans="1:18">
      <c r="A103" s="217">
        <v>435</v>
      </c>
      <c r="B103" s="218">
        <v>9902250431</v>
      </c>
      <c r="C103" s="218" t="s">
        <v>335</v>
      </c>
      <c r="D103" s="218" t="s">
        <v>8039</v>
      </c>
      <c r="E103" s="218" t="s">
        <v>8579</v>
      </c>
      <c r="F103" s="218" t="s">
        <v>8579</v>
      </c>
      <c r="G103" s="218" t="s">
        <v>7767</v>
      </c>
      <c r="H103" s="218">
        <v>512</v>
      </c>
      <c r="I103" s="219">
        <v>6400000</v>
      </c>
      <c r="J103" s="219">
        <v>0</v>
      </c>
      <c r="K103" s="219">
        <v>6400000</v>
      </c>
      <c r="L103" s="218" t="s">
        <v>7781</v>
      </c>
      <c r="M103" s="218">
        <v>1</v>
      </c>
      <c r="N103" s="218" t="s">
        <v>8580</v>
      </c>
      <c r="O103" s="218" t="s">
        <v>2592</v>
      </c>
      <c r="P103" s="218">
        <v>399</v>
      </c>
      <c r="Q103" s="218" t="s">
        <v>7771</v>
      </c>
      <c r="R103" s="220">
        <v>100</v>
      </c>
    </row>
    <row r="104" spans="1:18">
      <c r="A104" s="217">
        <v>437</v>
      </c>
      <c r="B104" s="218">
        <v>9902250464</v>
      </c>
      <c r="C104" s="218" t="s">
        <v>335</v>
      </c>
      <c r="D104" s="218" t="s">
        <v>8039</v>
      </c>
      <c r="E104" s="218" t="s">
        <v>8583</v>
      </c>
      <c r="F104" s="218" t="s">
        <v>8583</v>
      </c>
      <c r="G104" s="218" t="s">
        <v>7767</v>
      </c>
      <c r="H104" s="218">
        <v>512</v>
      </c>
      <c r="I104" s="219">
        <v>6400000</v>
      </c>
      <c r="J104" s="219">
        <v>0</v>
      </c>
      <c r="K104" s="219">
        <v>6400000</v>
      </c>
      <c r="L104" s="218" t="s">
        <v>7781</v>
      </c>
      <c r="M104" s="218">
        <v>1</v>
      </c>
      <c r="N104" s="218" t="s">
        <v>8584</v>
      </c>
      <c r="O104" s="218" t="s">
        <v>2592</v>
      </c>
      <c r="P104" s="218">
        <v>399</v>
      </c>
      <c r="Q104" s="218" t="s">
        <v>7771</v>
      </c>
      <c r="R104" s="220">
        <v>100</v>
      </c>
    </row>
    <row r="105" spans="1:18">
      <c r="A105" s="217">
        <v>471</v>
      </c>
      <c r="B105" s="218">
        <v>627730</v>
      </c>
      <c r="C105" s="218" t="s">
        <v>335</v>
      </c>
      <c r="D105" s="218" t="s">
        <v>8039</v>
      </c>
      <c r="E105" s="218" t="s">
        <v>8649</v>
      </c>
      <c r="F105" s="218" t="s">
        <v>8653</v>
      </c>
      <c r="G105" s="218" t="s">
        <v>7767</v>
      </c>
      <c r="H105" s="218">
        <v>512</v>
      </c>
      <c r="I105" s="219">
        <v>6400000</v>
      </c>
      <c r="J105" s="219">
        <v>0</v>
      </c>
      <c r="K105" s="219">
        <v>6400000</v>
      </c>
      <c r="L105" s="218" t="s">
        <v>7781</v>
      </c>
      <c r="M105" s="218">
        <v>1</v>
      </c>
      <c r="N105" s="218" t="s">
        <v>8654</v>
      </c>
      <c r="O105" s="218" t="s">
        <v>3018</v>
      </c>
      <c r="P105" s="218">
        <v>399</v>
      </c>
      <c r="Q105" s="218" t="s">
        <v>7771</v>
      </c>
      <c r="R105" s="220">
        <v>100</v>
      </c>
    </row>
    <row r="106" spans="1:18">
      <c r="A106" s="217">
        <v>472</v>
      </c>
      <c r="B106" s="218">
        <v>627733</v>
      </c>
      <c r="C106" s="218" t="s">
        <v>335</v>
      </c>
      <c r="D106" s="218" t="s">
        <v>8039</v>
      </c>
      <c r="E106" s="218" t="s">
        <v>8649</v>
      </c>
      <c r="F106" s="218" t="s">
        <v>8653</v>
      </c>
      <c r="G106" s="218" t="s">
        <v>7767</v>
      </c>
      <c r="H106" s="218">
        <v>512</v>
      </c>
      <c r="I106" s="219">
        <v>6400000</v>
      </c>
      <c r="J106" s="219">
        <v>0</v>
      </c>
      <c r="K106" s="219">
        <v>6400000</v>
      </c>
      <c r="L106" s="218" t="s">
        <v>7781</v>
      </c>
      <c r="M106" s="218">
        <v>1</v>
      </c>
      <c r="N106" s="218" t="s">
        <v>8655</v>
      </c>
      <c r="O106" s="218" t="s">
        <v>3018</v>
      </c>
      <c r="P106" s="218">
        <v>399</v>
      </c>
      <c r="Q106" s="218" t="s">
        <v>7771</v>
      </c>
      <c r="R106" s="220">
        <v>100</v>
      </c>
    </row>
    <row r="107" spans="1:18">
      <c r="A107" s="217">
        <v>474</v>
      </c>
      <c r="B107" s="218">
        <v>627725</v>
      </c>
      <c r="C107" s="218" t="s">
        <v>335</v>
      </c>
      <c r="D107" s="218" t="s">
        <v>8039</v>
      </c>
      <c r="E107" s="218" t="s">
        <v>8649</v>
      </c>
      <c r="F107" s="218" t="s">
        <v>8659</v>
      </c>
      <c r="G107" s="218" t="s">
        <v>7767</v>
      </c>
      <c r="H107" s="218">
        <v>512</v>
      </c>
      <c r="I107" s="219">
        <v>6400000</v>
      </c>
      <c r="J107" s="219">
        <v>0</v>
      </c>
      <c r="K107" s="219">
        <v>6400000</v>
      </c>
      <c r="L107" s="218" t="s">
        <v>7781</v>
      </c>
      <c r="M107" s="218">
        <v>1</v>
      </c>
      <c r="N107" s="218" t="s">
        <v>8660</v>
      </c>
      <c r="O107" s="218" t="s">
        <v>3018</v>
      </c>
      <c r="P107" s="218">
        <v>399</v>
      </c>
      <c r="Q107" s="218" t="s">
        <v>7771</v>
      </c>
      <c r="R107" s="220">
        <v>100</v>
      </c>
    </row>
    <row r="108" spans="1:18">
      <c r="A108" s="217">
        <v>475</v>
      </c>
      <c r="B108" s="218">
        <v>627726</v>
      </c>
      <c r="C108" s="218" t="s">
        <v>335</v>
      </c>
      <c r="D108" s="218" t="s">
        <v>7764</v>
      </c>
      <c r="E108" s="218" t="s">
        <v>8649</v>
      </c>
      <c r="F108" s="218" t="s">
        <v>8661</v>
      </c>
      <c r="G108" s="218" t="s">
        <v>7767</v>
      </c>
      <c r="H108" s="218">
        <v>512</v>
      </c>
      <c r="I108" s="219">
        <v>6400000</v>
      </c>
      <c r="J108" s="219">
        <v>0</v>
      </c>
      <c r="K108" s="219">
        <v>6400000</v>
      </c>
      <c r="L108" s="218" t="s">
        <v>7781</v>
      </c>
      <c r="M108" s="218">
        <v>1</v>
      </c>
      <c r="N108" s="218" t="s">
        <v>8662</v>
      </c>
      <c r="O108" s="218" t="s">
        <v>3018</v>
      </c>
      <c r="P108" s="218">
        <v>399</v>
      </c>
      <c r="Q108" s="218" t="s">
        <v>7771</v>
      </c>
      <c r="R108" s="220">
        <v>100</v>
      </c>
    </row>
    <row r="109" spans="1:18">
      <c r="A109" s="217">
        <v>476</v>
      </c>
      <c r="B109" s="218">
        <v>627728</v>
      </c>
      <c r="C109" s="218" t="s">
        <v>335</v>
      </c>
      <c r="D109" s="218" t="s">
        <v>8039</v>
      </c>
      <c r="E109" s="218" t="s">
        <v>8649</v>
      </c>
      <c r="F109" s="218" t="s">
        <v>8663</v>
      </c>
      <c r="G109" s="218" t="s">
        <v>7767</v>
      </c>
      <c r="H109" s="218">
        <v>512</v>
      </c>
      <c r="I109" s="219">
        <v>6400000</v>
      </c>
      <c r="J109" s="219">
        <v>0</v>
      </c>
      <c r="K109" s="219">
        <v>6400000</v>
      </c>
      <c r="L109" s="218" t="s">
        <v>7781</v>
      </c>
      <c r="M109" s="218">
        <v>1</v>
      </c>
      <c r="N109" s="218" t="s">
        <v>8664</v>
      </c>
      <c r="O109" s="218" t="s">
        <v>3018</v>
      </c>
      <c r="P109" s="218">
        <v>399</v>
      </c>
      <c r="Q109" s="218" t="s">
        <v>7771</v>
      </c>
      <c r="R109" s="220">
        <v>100</v>
      </c>
    </row>
    <row r="110" spans="1:18">
      <c r="A110" s="217">
        <v>478</v>
      </c>
      <c r="B110" s="218">
        <v>628755</v>
      </c>
      <c r="C110" s="218" t="s">
        <v>335</v>
      </c>
      <c r="D110" s="218" t="s">
        <v>8039</v>
      </c>
      <c r="E110" s="218" t="s">
        <v>8649</v>
      </c>
      <c r="F110" s="218" t="s">
        <v>8666</v>
      </c>
      <c r="G110" s="218" t="s">
        <v>7767</v>
      </c>
      <c r="H110" s="218">
        <v>512</v>
      </c>
      <c r="I110" s="219">
        <v>6400000</v>
      </c>
      <c r="J110" s="219">
        <v>0</v>
      </c>
      <c r="K110" s="219">
        <v>6400000</v>
      </c>
      <c r="L110" s="218" t="s">
        <v>7781</v>
      </c>
      <c r="M110" s="218">
        <v>1</v>
      </c>
      <c r="N110" s="218" t="s">
        <v>8667</v>
      </c>
      <c r="O110" s="218" t="s">
        <v>3018</v>
      </c>
      <c r="P110" s="218">
        <v>399</v>
      </c>
      <c r="Q110" s="218" t="s">
        <v>7771</v>
      </c>
      <c r="R110" s="220">
        <v>100</v>
      </c>
    </row>
    <row r="111" spans="1:18">
      <c r="A111" s="217">
        <v>479</v>
      </c>
      <c r="B111" s="218">
        <v>648457</v>
      </c>
      <c r="C111" s="218" t="s">
        <v>335</v>
      </c>
      <c r="D111" s="218" t="s">
        <v>8039</v>
      </c>
      <c r="E111" s="218" t="s">
        <v>8668</v>
      </c>
      <c r="F111" s="218" t="s">
        <v>8138</v>
      </c>
      <c r="G111" s="218" t="s">
        <v>7767</v>
      </c>
      <c r="H111" s="218">
        <v>512</v>
      </c>
      <c r="I111" s="219">
        <v>6400000</v>
      </c>
      <c r="J111" s="219">
        <v>0</v>
      </c>
      <c r="K111" s="219">
        <v>6400000</v>
      </c>
      <c r="L111" s="218" t="s">
        <v>7781</v>
      </c>
      <c r="M111" s="218">
        <v>1</v>
      </c>
      <c r="N111" s="218" t="s">
        <v>8669</v>
      </c>
      <c r="O111" s="218" t="s">
        <v>3018</v>
      </c>
      <c r="P111" s="218">
        <v>399</v>
      </c>
      <c r="Q111" s="218" t="s">
        <v>7771</v>
      </c>
      <c r="R111" s="220">
        <v>100</v>
      </c>
    </row>
    <row r="112" spans="1:18">
      <c r="A112" s="217">
        <v>480</v>
      </c>
      <c r="B112" s="218">
        <v>650223</v>
      </c>
      <c r="C112" s="218" t="s">
        <v>335</v>
      </c>
      <c r="D112" s="218" t="s">
        <v>8039</v>
      </c>
      <c r="E112" s="218" t="s">
        <v>8670</v>
      </c>
      <c r="F112" s="218" t="s">
        <v>8138</v>
      </c>
      <c r="G112" s="218" t="s">
        <v>7767</v>
      </c>
      <c r="H112" s="218">
        <v>512</v>
      </c>
      <c r="I112" s="219">
        <v>6400000</v>
      </c>
      <c r="J112" s="219">
        <v>0</v>
      </c>
      <c r="K112" s="219">
        <v>6400000</v>
      </c>
      <c r="L112" s="218" t="s">
        <v>7781</v>
      </c>
      <c r="M112" s="218">
        <v>1</v>
      </c>
      <c r="N112" s="218" t="s">
        <v>3077</v>
      </c>
      <c r="O112" s="218" t="s">
        <v>3018</v>
      </c>
      <c r="P112" s="218">
        <v>399</v>
      </c>
      <c r="Q112" s="218" t="s">
        <v>7771</v>
      </c>
      <c r="R112" s="220">
        <v>100</v>
      </c>
    </row>
    <row r="113" spans="1:18">
      <c r="A113" s="217">
        <v>481</v>
      </c>
      <c r="B113" s="218">
        <v>650143</v>
      </c>
      <c r="C113" s="218" t="s">
        <v>335</v>
      </c>
      <c r="D113" s="218" t="s">
        <v>7764</v>
      </c>
      <c r="E113" s="218" t="s">
        <v>8670</v>
      </c>
      <c r="F113" s="218" t="s">
        <v>8138</v>
      </c>
      <c r="G113" s="218" t="s">
        <v>7767</v>
      </c>
      <c r="H113" s="218">
        <v>512</v>
      </c>
      <c r="I113" s="219">
        <v>6400000</v>
      </c>
      <c r="J113" s="219">
        <v>0</v>
      </c>
      <c r="K113" s="219">
        <v>6400000</v>
      </c>
      <c r="L113" s="218" t="s">
        <v>7781</v>
      </c>
      <c r="M113" s="218">
        <v>1</v>
      </c>
      <c r="N113" s="218" t="s">
        <v>8671</v>
      </c>
      <c r="O113" s="218" t="s">
        <v>3018</v>
      </c>
      <c r="P113" s="218">
        <v>399</v>
      </c>
      <c r="Q113" s="218" t="s">
        <v>7771</v>
      </c>
      <c r="R113" s="220">
        <v>100</v>
      </c>
    </row>
    <row r="114" spans="1:18">
      <c r="A114" s="217">
        <v>555</v>
      </c>
      <c r="B114" s="218">
        <v>650835</v>
      </c>
      <c r="C114" s="218" t="s">
        <v>7950</v>
      </c>
      <c r="D114" s="218" t="s">
        <v>7764</v>
      </c>
      <c r="E114" s="218" t="s">
        <v>8797</v>
      </c>
      <c r="F114" s="218" t="s">
        <v>8138</v>
      </c>
      <c r="G114" s="218" t="s">
        <v>7767</v>
      </c>
      <c r="H114" s="218">
        <v>512</v>
      </c>
      <c r="I114" s="219">
        <v>6400000</v>
      </c>
      <c r="J114" s="219">
        <v>0</v>
      </c>
      <c r="K114" s="219">
        <v>6400000</v>
      </c>
      <c r="L114" s="218" t="s">
        <v>7781</v>
      </c>
      <c r="M114" s="218">
        <v>1</v>
      </c>
      <c r="N114" s="218" t="s">
        <v>8798</v>
      </c>
      <c r="O114" s="218" t="s">
        <v>8796</v>
      </c>
      <c r="P114" s="218">
        <v>399</v>
      </c>
      <c r="Q114" s="218" t="s">
        <v>7771</v>
      </c>
      <c r="R114" s="220">
        <v>100</v>
      </c>
    </row>
    <row r="115" spans="1:18">
      <c r="A115" s="217">
        <v>556</v>
      </c>
      <c r="B115" s="218">
        <v>659724</v>
      </c>
      <c r="C115" s="218" t="s">
        <v>7950</v>
      </c>
      <c r="D115" s="218" t="s">
        <v>7764</v>
      </c>
      <c r="E115" s="218" t="s">
        <v>8799</v>
      </c>
      <c r="F115" s="218" t="s">
        <v>8138</v>
      </c>
      <c r="G115" s="218" t="s">
        <v>7767</v>
      </c>
      <c r="H115" s="218">
        <v>512</v>
      </c>
      <c r="I115" s="219">
        <v>6400000</v>
      </c>
      <c r="J115" s="219">
        <v>0</v>
      </c>
      <c r="K115" s="219">
        <v>6400000</v>
      </c>
      <c r="L115" s="218" t="s">
        <v>7781</v>
      </c>
      <c r="M115" s="218">
        <v>1</v>
      </c>
      <c r="N115" s="218" t="s">
        <v>8800</v>
      </c>
      <c r="O115" s="218" t="s">
        <v>8796</v>
      </c>
      <c r="P115" s="218">
        <v>399</v>
      </c>
      <c r="Q115" s="218" t="s">
        <v>7771</v>
      </c>
      <c r="R115" s="220">
        <v>100</v>
      </c>
    </row>
    <row r="116" spans="1:18">
      <c r="A116" s="217">
        <v>557</v>
      </c>
      <c r="B116" s="218">
        <v>660345</v>
      </c>
      <c r="C116" s="218" t="s">
        <v>7950</v>
      </c>
      <c r="D116" s="218" t="s">
        <v>7764</v>
      </c>
      <c r="E116" s="218" t="s">
        <v>8059</v>
      </c>
      <c r="F116" s="218" t="s">
        <v>8138</v>
      </c>
      <c r="G116" s="218" t="s">
        <v>7767</v>
      </c>
      <c r="H116" s="218">
        <v>512</v>
      </c>
      <c r="I116" s="219">
        <v>6400000</v>
      </c>
      <c r="J116" s="219">
        <v>0</v>
      </c>
      <c r="K116" s="219">
        <v>6400000</v>
      </c>
      <c r="L116" s="218" t="s">
        <v>7781</v>
      </c>
      <c r="M116" s="218">
        <v>1</v>
      </c>
      <c r="N116" s="218" t="s">
        <v>8801</v>
      </c>
      <c r="O116" s="218" t="s">
        <v>8796</v>
      </c>
      <c r="P116" s="218">
        <v>399</v>
      </c>
      <c r="Q116" s="218" t="s">
        <v>7771</v>
      </c>
      <c r="R116" s="220">
        <v>100</v>
      </c>
    </row>
    <row r="117" spans="1:18">
      <c r="A117" s="217">
        <v>558</v>
      </c>
      <c r="B117" s="218">
        <v>9702094352</v>
      </c>
      <c r="C117" s="218" t="s">
        <v>7950</v>
      </c>
      <c r="D117" s="218" t="s">
        <v>7764</v>
      </c>
      <c r="E117" s="218" t="s">
        <v>8802</v>
      </c>
      <c r="F117" s="218" t="s">
        <v>8138</v>
      </c>
      <c r="G117" s="218" t="s">
        <v>7767</v>
      </c>
      <c r="H117" s="218">
        <v>512</v>
      </c>
      <c r="I117" s="219">
        <v>6400000</v>
      </c>
      <c r="J117" s="219">
        <v>0</v>
      </c>
      <c r="K117" s="219">
        <v>6400000</v>
      </c>
      <c r="L117" s="218" t="s">
        <v>7781</v>
      </c>
      <c r="M117" s="218">
        <v>1</v>
      </c>
      <c r="N117" s="218" t="s">
        <v>8803</v>
      </c>
      <c r="O117" s="218" t="s">
        <v>8796</v>
      </c>
      <c r="P117" s="218">
        <v>399</v>
      </c>
      <c r="Q117" s="218" t="s">
        <v>7771</v>
      </c>
      <c r="R117" s="220">
        <v>100</v>
      </c>
    </row>
    <row r="118" spans="1:18">
      <c r="A118" s="217">
        <v>613</v>
      </c>
      <c r="B118" s="218">
        <v>640163</v>
      </c>
      <c r="C118" s="218" t="s">
        <v>335</v>
      </c>
      <c r="D118" s="218" t="s">
        <v>8039</v>
      </c>
      <c r="E118" s="218" t="s">
        <v>8898</v>
      </c>
      <c r="F118" s="218" t="s">
        <v>8138</v>
      </c>
      <c r="G118" s="218" t="s">
        <v>7767</v>
      </c>
      <c r="H118" s="218">
        <v>512</v>
      </c>
      <c r="I118" s="219">
        <v>6400000</v>
      </c>
      <c r="J118" s="219">
        <v>0</v>
      </c>
      <c r="K118" s="219">
        <v>6400000</v>
      </c>
      <c r="L118" s="218" t="s">
        <v>7781</v>
      </c>
      <c r="M118" s="218">
        <v>1</v>
      </c>
      <c r="N118" s="218" t="s">
        <v>8899</v>
      </c>
      <c r="O118" s="218" t="s">
        <v>3705</v>
      </c>
      <c r="P118" s="218">
        <v>399</v>
      </c>
      <c r="Q118" s="218" t="s">
        <v>7771</v>
      </c>
      <c r="R118" s="220">
        <v>100</v>
      </c>
    </row>
    <row r="119" spans="1:18">
      <c r="A119" s="217">
        <v>619</v>
      </c>
      <c r="B119" s="218">
        <v>650128</v>
      </c>
      <c r="C119" s="218" t="s">
        <v>335</v>
      </c>
      <c r="D119" s="218" t="s">
        <v>8039</v>
      </c>
      <c r="E119" s="218" t="s">
        <v>8911</v>
      </c>
      <c r="F119" s="218" t="s">
        <v>8138</v>
      </c>
      <c r="G119" s="218" t="s">
        <v>7767</v>
      </c>
      <c r="H119" s="218">
        <v>512</v>
      </c>
      <c r="I119" s="219">
        <v>6400000</v>
      </c>
      <c r="J119" s="219">
        <v>0</v>
      </c>
      <c r="K119" s="219">
        <v>6400000</v>
      </c>
      <c r="L119" s="218" t="s">
        <v>7781</v>
      </c>
      <c r="M119" s="218">
        <v>1</v>
      </c>
      <c r="N119" s="218" t="s">
        <v>8912</v>
      </c>
      <c r="O119" s="218" t="s">
        <v>3705</v>
      </c>
      <c r="P119" s="218">
        <v>399</v>
      </c>
      <c r="Q119" s="218" t="s">
        <v>7771</v>
      </c>
      <c r="R119" s="220">
        <v>100</v>
      </c>
    </row>
    <row r="120" spans="1:18">
      <c r="A120" s="217">
        <v>620</v>
      </c>
      <c r="B120" s="218">
        <v>655585</v>
      </c>
      <c r="C120" s="218" t="s">
        <v>335</v>
      </c>
      <c r="D120" s="218" t="s">
        <v>8039</v>
      </c>
      <c r="E120" s="218" t="s">
        <v>8856</v>
      </c>
      <c r="F120" s="218" t="s">
        <v>8138</v>
      </c>
      <c r="G120" s="218" t="s">
        <v>7767</v>
      </c>
      <c r="H120" s="218">
        <v>512</v>
      </c>
      <c r="I120" s="219">
        <v>6400000</v>
      </c>
      <c r="J120" s="219">
        <v>0</v>
      </c>
      <c r="K120" s="219">
        <v>6400000</v>
      </c>
      <c r="L120" s="218" t="s">
        <v>7781</v>
      </c>
      <c r="M120" s="218">
        <v>1</v>
      </c>
      <c r="N120" s="218" t="s">
        <v>8913</v>
      </c>
      <c r="O120" s="218" t="s">
        <v>3705</v>
      </c>
      <c r="P120" s="218">
        <v>399</v>
      </c>
      <c r="Q120" s="218" t="s">
        <v>7771</v>
      </c>
      <c r="R120" s="220">
        <v>100</v>
      </c>
    </row>
    <row r="121" spans="1:18">
      <c r="A121" s="217">
        <v>621</v>
      </c>
      <c r="B121" s="218">
        <v>655598</v>
      </c>
      <c r="C121" s="218" t="s">
        <v>335</v>
      </c>
      <c r="D121" s="218" t="s">
        <v>8039</v>
      </c>
      <c r="E121" s="218" t="s">
        <v>8914</v>
      </c>
      <c r="F121" s="218" t="s">
        <v>8138</v>
      </c>
      <c r="G121" s="218" t="s">
        <v>7767</v>
      </c>
      <c r="H121" s="218">
        <v>512</v>
      </c>
      <c r="I121" s="219">
        <v>6400000</v>
      </c>
      <c r="J121" s="219">
        <v>0</v>
      </c>
      <c r="K121" s="219">
        <v>6400000</v>
      </c>
      <c r="L121" s="218" t="s">
        <v>7781</v>
      </c>
      <c r="M121" s="218">
        <v>1</v>
      </c>
      <c r="N121" s="218" t="s">
        <v>8915</v>
      </c>
      <c r="O121" s="218" t="s">
        <v>3705</v>
      </c>
      <c r="P121" s="218">
        <v>399</v>
      </c>
      <c r="Q121" s="218" t="s">
        <v>7771</v>
      </c>
      <c r="R121" s="220">
        <v>100</v>
      </c>
    </row>
    <row r="122" spans="1:18">
      <c r="A122" s="217">
        <v>622</v>
      </c>
      <c r="B122" s="218">
        <v>660718</v>
      </c>
      <c r="C122" s="218" t="s">
        <v>335</v>
      </c>
      <c r="D122" s="218" t="s">
        <v>8039</v>
      </c>
      <c r="E122" s="218" t="s">
        <v>8916</v>
      </c>
      <c r="F122" s="218" t="s">
        <v>8138</v>
      </c>
      <c r="G122" s="218" t="s">
        <v>7767</v>
      </c>
      <c r="H122" s="218">
        <v>512</v>
      </c>
      <c r="I122" s="219">
        <v>6400000</v>
      </c>
      <c r="J122" s="219">
        <v>0</v>
      </c>
      <c r="K122" s="219">
        <v>6400000</v>
      </c>
      <c r="L122" s="218" t="s">
        <v>7781</v>
      </c>
      <c r="M122" s="218">
        <v>1</v>
      </c>
      <c r="N122" s="218" t="s">
        <v>8917</v>
      </c>
      <c r="O122" s="218" t="s">
        <v>3705</v>
      </c>
      <c r="P122" s="218">
        <v>399</v>
      </c>
      <c r="Q122" s="218" t="s">
        <v>7771</v>
      </c>
      <c r="R122" s="220">
        <v>100</v>
      </c>
    </row>
    <row r="123" spans="1:18">
      <c r="A123" s="217">
        <v>623</v>
      </c>
      <c r="B123" s="218">
        <v>660724</v>
      </c>
      <c r="C123" s="218" t="s">
        <v>335</v>
      </c>
      <c r="D123" s="218" t="s">
        <v>8039</v>
      </c>
      <c r="E123" s="218" t="s">
        <v>8918</v>
      </c>
      <c r="F123" s="218" t="s">
        <v>8138</v>
      </c>
      <c r="G123" s="218" t="s">
        <v>7767</v>
      </c>
      <c r="H123" s="218">
        <v>512</v>
      </c>
      <c r="I123" s="219">
        <v>6400000</v>
      </c>
      <c r="J123" s="219">
        <v>0</v>
      </c>
      <c r="K123" s="219">
        <v>6400000</v>
      </c>
      <c r="L123" s="218" t="s">
        <v>7781</v>
      </c>
      <c r="M123" s="218">
        <v>1</v>
      </c>
      <c r="N123" s="218" t="s">
        <v>8919</v>
      </c>
      <c r="O123" s="218" t="s">
        <v>3705</v>
      </c>
      <c r="P123" s="218">
        <v>399</v>
      </c>
      <c r="Q123" s="218" t="s">
        <v>7771</v>
      </c>
      <c r="R123" s="220">
        <v>100</v>
      </c>
    </row>
    <row r="124" spans="1:18">
      <c r="A124" s="217">
        <v>626</v>
      </c>
      <c r="B124" s="218">
        <v>254031114637</v>
      </c>
      <c r="C124" s="218" t="s">
        <v>335</v>
      </c>
      <c r="D124" s="218" t="s">
        <v>7764</v>
      </c>
      <c r="E124" s="218" t="s">
        <v>8923</v>
      </c>
      <c r="F124" s="218" t="s">
        <v>8138</v>
      </c>
      <c r="G124" s="218" t="s">
        <v>7767</v>
      </c>
      <c r="H124" s="218">
        <v>512</v>
      </c>
      <c r="I124" s="219">
        <v>6400000</v>
      </c>
      <c r="J124" s="219">
        <v>0</v>
      </c>
      <c r="K124" s="219">
        <v>6400000</v>
      </c>
      <c r="L124" s="218" t="s">
        <v>7781</v>
      </c>
      <c r="M124" s="218">
        <v>1</v>
      </c>
      <c r="N124" s="218" t="s">
        <v>8924</v>
      </c>
      <c r="O124" s="218" t="s">
        <v>3705</v>
      </c>
      <c r="P124" s="218">
        <v>399</v>
      </c>
      <c r="Q124" s="218" t="s">
        <v>7771</v>
      </c>
      <c r="R124" s="220">
        <v>100</v>
      </c>
    </row>
    <row r="125" spans="1:18">
      <c r="A125" s="217">
        <v>297</v>
      </c>
      <c r="B125" s="218">
        <v>40202461266</v>
      </c>
      <c r="C125" s="218" t="s">
        <v>40</v>
      </c>
      <c r="D125" s="218" t="s">
        <v>7772</v>
      </c>
      <c r="E125" s="218" t="s">
        <v>8358</v>
      </c>
      <c r="F125" s="218" t="s">
        <v>8358</v>
      </c>
      <c r="G125" s="218" t="s">
        <v>7767</v>
      </c>
      <c r="H125" s="218">
        <v>1024</v>
      </c>
      <c r="I125" s="219">
        <v>8000000</v>
      </c>
      <c r="J125" s="219">
        <v>0</v>
      </c>
      <c r="K125" s="219">
        <v>8000000</v>
      </c>
      <c r="L125" s="218" t="s">
        <v>7781</v>
      </c>
      <c r="M125" s="218">
        <v>1</v>
      </c>
      <c r="N125" s="218" t="s">
        <v>8359</v>
      </c>
      <c r="O125" s="218" t="s">
        <v>8347</v>
      </c>
      <c r="P125" s="218">
        <v>399</v>
      </c>
      <c r="Q125" s="218" t="s">
        <v>7771</v>
      </c>
      <c r="R125" s="220">
        <v>100</v>
      </c>
    </row>
    <row r="126" spans="1:18">
      <c r="A126" s="217">
        <v>383</v>
      </c>
      <c r="B126" s="218">
        <v>548316</v>
      </c>
      <c r="C126" s="218" t="s">
        <v>40</v>
      </c>
      <c r="D126" s="218" t="s">
        <v>7772</v>
      </c>
      <c r="E126" s="218" t="s">
        <v>8494</v>
      </c>
      <c r="F126" s="218" t="s">
        <v>8502</v>
      </c>
      <c r="G126" s="218" t="s">
        <v>7767</v>
      </c>
      <c r="H126" s="218">
        <v>1024</v>
      </c>
      <c r="I126" s="219">
        <v>8000000</v>
      </c>
      <c r="J126" s="219">
        <v>0</v>
      </c>
      <c r="K126" s="219">
        <v>8000000</v>
      </c>
      <c r="L126" s="218" t="s">
        <v>7781</v>
      </c>
      <c r="M126" s="218">
        <v>1</v>
      </c>
      <c r="N126" s="218" t="s">
        <v>8503</v>
      </c>
      <c r="O126" s="218" t="s">
        <v>2476</v>
      </c>
      <c r="P126" s="218">
        <v>399</v>
      </c>
      <c r="Q126" s="218" t="s">
        <v>7771</v>
      </c>
      <c r="R126" s="220">
        <v>100</v>
      </c>
    </row>
    <row r="127" spans="1:18">
      <c r="A127" s="217">
        <v>384</v>
      </c>
      <c r="B127" s="218">
        <v>548317</v>
      </c>
      <c r="C127" s="218" t="s">
        <v>40</v>
      </c>
      <c r="D127" s="218" t="s">
        <v>7772</v>
      </c>
      <c r="E127" s="218" t="s">
        <v>8494</v>
      </c>
      <c r="F127" s="218" t="s">
        <v>8049</v>
      </c>
      <c r="G127" s="218" t="s">
        <v>7767</v>
      </c>
      <c r="H127" s="218">
        <v>1024</v>
      </c>
      <c r="I127" s="219">
        <v>8000000</v>
      </c>
      <c r="J127" s="219">
        <v>0</v>
      </c>
      <c r="K127" s="219">
        <v>8000000</v>
      </c>
      <c r="L127" s="218" t="s">
        <v>7781</v>
      </c>
      <c r="M127" s="218">
        <v>1</v>
      </c>
      <c r="N127" s="218" t="s">
        <v>8504</v>
      </c>
      <c r="O127" s="218" t="s">
        <v>2476</v>
      </c>
      <c r="P127" s="218">
        <v>399</v>
      </c>
      <c r="Q127" s="218" t="s">
        <v>7771</v>
      </c>
      <c r="R127" s="220">
        <v>100</v>
      </c>
    </row>
    <row r="128" spans="1:18">
      <c r="A128" s="217">
        <v>403</v>
      </c>
      <c r="B128" s="218">
        <v>548024</v>
      </c>
      <c r="C128" s="218" t="s">
        <v>40</v>
      </c>
      <c r="D128" s="218" t="s">
        <v>7772</v>
      </c>
      <c r="E128" s="218" t="s">
        <v>8527</v>
      </c>
      <c r="F128" s="218" t="s">
        <v>8528</v>
      </c>
      <c r="G128" s="218" t="s">
        <v>7767</v>
      </c>
      <c r="H128" s="218">
        <v>1024</v>
      </c>
      <c r="I128" s="219">
        <v>8000000</v>
      </c>
      <c r="J128" s="219">
        <v>0</v>
      </c>
      <c r="K128" s="219">
        <v>8000000</v>
      </c>
      <c r="L128" s="218" t="s">
        <v>7781</v>
      </c>
      <c r="M128" s="218">
        <v>1</v>
      </c>
      <c r="N128" s="218" t="s">
        <v>8529</v>
      </c>
      <c r="O128" s="218" t="s">
        <v>8519</v>
      </c>
      <c r="P128" s="218">
        <v>399</v>
      </c>
      <c r="Q128" s="218" t="s">
        <v>7771</v>
      </c>
      <c r="R128" s="220">
        <v>100</v>
      </c>
    </row>
    <row r="129" spans="1:18">
      <c r="A129" s="217">
        <v>451</v>
      </c>
      <c r="B129" s="218">
        <v>547269</v>
      </c>
      <c r="C129" s="218" t="s">
        <v>40</v>
      </c>
      <c r="D129" s="218" t="s">
        <v>7772</v>
      </c>
      <c r="E129" s="218" t="s">
        <v>7906</v>
      </c>
      <c r="F129" s="218" t="s">
        <v>8615</v>
      </c>
      <c r="G129" s="218" t="s">
        <v>7767</v>
      </c>
      <c r="H129" s="218">
        <v>1024</v>
      </c>
      <c r="I129" s="219">
        <v>8000000</v>
      </c>
      <c r="J129" s="219">
        <v>0</v>
      </c>
      <c r="K129" s="219">
        <v>8000000</v>
      </c>
      <c r="L129" s="218" t="s">
        <v>7781</v>
      </c>
      <c r="M129" s="218">
        <v>1</v>
      </c>
      <c r="N129" s="218" t="s">
        <v>8616</v>
      </c>
      <c r="O129" s="218" t="s">
        <v>8594</v>
      </c>
      <c r="P129" s="218">
        <v>399</v>
      </c>
      <c r="Q129" s="218" t="s">
        <v>7771</v>
      </c>
      <c r="R129" s="220">
        <v>100</v>
      </c>
    </row>
    <row r="130" spans="1:18">
      <c r="A130" s="217">
        <v>463</v>
      </c>
      <c r="B130" s="218">
        <v>573393</v>
      </c>
      <c r="C130" s="218" t="s">
        <v>40</v>
      </c>
      <c r="D130" s="218" t="s">
        <v>7772</v>
      </c>
      <c r="E130" s="218" t="s">
        <v>8636</v>
      </c>
      <c r="F130" s="218" t="s">
        <v>8637</v>
      </c>
      <c r="G130" s="218" t="s">
        <v>7767</v>
      </c>
      <c r="H130" s="218">
        <v>1024</v>
      </c>
      <c r="I130" s="219">
        <v>8000000</v>
      </c>
      <c r="J130" s="219">
        <v>0</v>
      </c>
      <c r="K130" s="219">
        <v>8000000</v>
      </c>
      <c r="L130" s="218" t="s">
        <v>7781</v>
      </c>
      <c r="M130" s="218">
        <v>1</v>
      </c>
      <c r="N130" s="218" t="s">
        <v>8631</v>
      </c>
      <c r="O130" s="218" t="s">
        <v>2969</v>
      </c>
      <c r="P130" s="218">
        <v>399</v>
      </c>
      <c r="Q130" s="218" t="s">
        <v>7771</v>
      </c>
      <c r="R130" s="220">
        <v>100</v>
      </c>
    </row>
    <row r="131" spans="1:18">
      <c r="A131" s="217">
        <v>693</v>
      </c>
      <c r="B131" s="218">
        <v>540804</v>
      </c>
      <c r="C131" s="218" t="s">
        <v>40</v>
      </c>
      <c r="D131" s="218" t="s">
        <v>7772</v>
      </c>
      <c r="E131" s="218" t="s">
        <v>8521</v>
      </c>
      <c r="F131" s="218" t="s">
        <v>8496</v>
      </c>
      <c r="G131" s="218" t="s">
        <v>7767</v>
      </c>
      <c r="H131" s="218">
        <v>1024</v>
      </c>
      <c r="I131" s="219">
        <v>8000000</v>
      </c>
      <c r="J131" s="219">
        <v>0</v>
      </c>
      <c r="K131" s="219">
        <v>8000000</v>
      </c>
      <c r="L131" s="218" t="s">
        <v>7781</v>
      </c>
      <c r="M131" s="218">
        <v>1</v>
      </c>
      <c r="N131" s="218" t="s">
        <v>9035</v>
      </c>
      <c r="O131" s="218" t="s">
        <v>3742</v>
      </c>
      <c r="P131" s="218">
        <v>399</v>
      </c>
      <c r="Q131" s="218" t="s">
        <v>7771</v>
      </c>
      <c r="R131" s="220">
        <v>100</v>
      </c>
    </row>
    <row r="132" spans="1:18">
      <c r="A132" s="217">
        <v>137</v>
      </c>
      <c r="B132" s="218">
        <v>9602023853</v>
      </c>
      <c r="C132" s="218" t="s">
        <v>335</v>
      </c>
      <c r="D132" s="218" t="s">
        <v>8065</v>
      </c>
      <c r="E132" s="218" t="s">
        <v>8068</v>
      </c>
      <c r="F132" s="218" t="s">
        <v>7919</v>
      </c>
      <c r="G132" s="218" t="s">
        <v>7767</v>
      </c>
      <c r="H132" s="218">
        <v>960</v>
      </c>
      <c r="I132" s="219">
        <v>8400000</v>
      </c>
      <c r="J132" s="219">
        <v>0</v>
      </c>
      <c r="K132" s="219">
        <v>8400000</v>
      </c>
      <c r="L132" s="218" t="s">
        <v>7781</v>
      </c>
      <c r="M132" s="218">
        <v>1</v>
      </c>
      <c r="N132" s="218" t="s">
        <v>8069</v>
      </c>
      <c r="O132" s="218" t="s">
        <v>7993</v>
      </c>
      <c r="P132" s="218">
        <v>399</v>
      </c>
      <c r="Q132" s="218" t="s">
        <v>7771</v>
      </c>
      <c r="R132" s="220">
        <v>104</v>
      </c>
    </row>
    <row r="133" spans="1:18">
      <c r="A133" s="217">
        <v>141</v>
      </c>
      <c r="B133" s="218">
        <v>9602023835</v>
      </c>
      <c r="C133" s="218" t="s">
        <v>335</v>
      </c>
      <c r="D133" s="218" t="s">
        <v>8065</v>
      </c>
      <c r="E133" s="218" t="s">
        <v>8066</v>
      </c>
      <c r="F133" s="218" t="s">
        <v>7919</v>
      </c>
      <c r="G133" s="218" t="s">
        <v>7767</v>
      </c>
      <c r="H133" s="218">
        <v>960</v>
      </c>
      <c r="I133" s="219">
        <v>8400000</v>
      </c>
      <c r="J133" s="219">
        <v>0</v>
      </c>
      <c r="K133" s="219">
        <v>8400000</v>
      </c>
      <c r="L133" s="218" t="s">
        <v>7781</v>
      </c>
      <c r="M133" s="218">
        <v>1</v>
      </c>
      <c r="N133" s="218" t="s">
        <v>8076</v>
      </c>
      <c r="O133" s="218" t="s">
        <v>7993</v>
      </c>
      <c r="P133" s="218">
        <v>399</v>
      </c>
      <c r="Q133" s="218" t="s">
        <v>7771</v>
      </c>
      <c r="R133" s="220">
        <v>104</v>
      </c>
    </row>
    <row r="134" spans="1:18">
      <c r="A134" s="217">
        <v>149</v>
      </c>
      <c r="B134" s="218">
        <v>9602023865</v>
      </c>
      <c r="C134" s="218" t="s">
        <v>335</v>
      </c>
      <c r="D134" s="218" t="s">
        <v>8065</v>
      </c>
      <c r="E134" s="218" t="s">
        <v>8083</v>
      </c>
      <c r="F134" s="218" t="s">
        <v>7919</v>
      </c>
      <c r="G134" s="218" t="s">
        <v>7767</v>
      </c>
      <c r="H134" s="218">
        <v>960</v>
      </c>
      <c r="I134" s="219">
        <v>8400000</v>
      </c>
      <c r="J134" s="219">
        <v>0</v>
      </c>
      <c r="K134" s="219">
        <v>8400000</v>
      </c>
      <c r="L134" s="218" t="s">
        <v>7781</v>
      </c>
      <c r="M134" s="218">
        <v>1</v>
      </c>
      <c r="N134" s="218" t="s">
        <v>8089</v>
      </c>
      <c r="O134" s="218" t="s">
        <v>7993</v>
      </c>
      <c r="P134" s="218">
        <v>399</v>
      </c>
      <c r="Q134" s="218" t="s">
        <v>7771</v>
      </c>
      <c r="R134" s="220">
        <v>104</v>
      </c>
    </row>
    <row r="135" spans="1:18">
      <c r="A135" s="217">
        <v>150</v>
      </c>
      <c r="B135" s="218">
        <v>9602023870</v>
      </c>
      <c r="C135" s="218" t="s">
        <v>335</v>
      </c>
      <c r="D135" s="218" t="s">
        <v>8065</v>
      </c>
      <c r="E135" s="218" t="s">
        <v>8086</v>
      </c>
      <c r="F135" s="218" t="s">
        <v>7919</v>
      </c>
      <c r="G135" s="218" t="s">
        <v>7767</v>
      </c>
      <c r="H135" s="218">
        <v>960</v>
      </c>
      <c r="I135" s="219">
        <v>8400000</v>
      </c>
      <c r="J135" s="219">
        <v>0</v>
      </c>
      <c r="K135" s="219">
        <v>8400000</v>
      </c>
      <c r="L135" s="218" t="s">
        <v>7781</v>
      </c>
      <c r="M135" s="218">
        <v>1</v>
      </c>
      <c r="N135" s="218" t="s">
        <v>8090</v>
      </c>
      <c r="O135" s="218" t="s">
        <v>7993</v>
      </c>
      <c r="P135" s="218">
        <v>399</v>
      </c>
      <c r="Q135" s="218" t="s">
        <v>7771</v>
      </c>
      <c r="R135" s="220">
        <v>104</v>
      </c>
    </row>
    <row r="136" spans="1:18">
      <c r="A136" s="217">
        <v>152</v>
      </c>
      <c r="B136" s="218">
        <v>9602023876</v>
      </c>
      <c r="C136" s="218" t="s">
        <v>335</v>
      </c>
      <c r="D136" s="218" t="s">
        <v>8065</v>
      </c>
      <c r="E136" s="218" t="s">
        <v>8092</v>
      </c>
      <c r="F136" s="218" t="s">
        <v>7919</v>
      </c>
      <c r="G136" s="218" t="s">
        <v>7767</v>
      </c>
      <c r="H136" s="218">
        <v>960</v>
      </c>
      <c r="I136" s="219">
        <v>8400000</v>
      </c>
      <c r="J136" s="219">
        <v>0</v>
      </c>
      <c r="K136" s="219">
        <v>8400000</v>
      </c>
      <c r="L136" s="218" t="s">
        <v>7781</v>
      </c>
      <c r="M136" s="218">
        <v>1</v>
      </c>
      <c r="N136" s="218" t="s">
        <v>8093</v>
      </c>
      <c r="O136" s="218" t="s">
        <v>7993</v>
      </c>
      <c r="P136" s="218">
        <v>399</v>
      </c>
      <c r="Q136" s="218" t="s">
        <v>7771</v>
      </c>
      <c r="R136" s="220">
        <v>104</v>
      </c>
    </row>
    <row r="137" spans="1:18">
      <c r="A137" s="217">
        <v>161</v>
      </c>
      <c r="B137" s="218">
        <v>9602030990</v>
      </c>
      <c r="C137" s="218" t="s">
        <v>335</v>
      </c>
      <c r="D137" s="218" t="s">
        <v>7772</v>
      </c>
      <c r="E137" s="218" t="s">
        <v>8106</v>
      </c>
      <c r="F137" s="218" t="s">
        <v>8107</v>
      </c>
      <c r="G137" s="218" t="s">
        <v>7767</v>
      </c>
      <c r="H137" s="218">
        <v>960</v>
      </c>
      <c r="I137" s="219">
        <v>8400000</v>
      </c>
      <c r="J137" s="219">
        <v>0</v>
      </c>
      <c r="K137" s="219">
        <v>8400000</v>
      </c>
      <c r="L137" s="218" t="s">
        <v>7781</v>
      </c>
      <c r="M137" s="218">
        <v>1</v>
      </c>
      <c r="N137" s="218" t="s">
        <v>8108</v>
      </c>
      <c r="O137" s="218" t="s">
        <v>7993</v>
      </c>
      <c r="P137" s="218">
        <v>399</v>
      </c>
      <c r="Q137" s="218" t="s">
        <v>7771</v>
      </c>
      <c r="R137" s="220">
        <v>104</v>
      </c>
    </row>
    <row r="138" spans="1:18">
      <c r="A138" s="217">
        <v>163</v>
      </c>
      <c r="B138" s="218">
        <v>9602031009</v>
      </c>
      <c r="C138" s="218" t="s">
        <v>335</v>
      </c>
      <c r="D138" s="218" t="s">
        <v>8065</v>
      </c>
      <c r="E138" s="218" t="s">
        <v>8068</v>
      </c>
      <c r="F138" s="218" t="s">
        <v>7919</v>
      </c>
      <c r="G138" s="218" t="s">
        <v>7767</v>
      </c>
      <c r="H138" s="218">
        <v>960</v>
      </c>
      <c r="I138" s="219">
        <v>8400000</v>
      </c>
      <c r="J138" s="219">
        <v>0</v>
      </c>
      <c r="K138" s="219">
        <v>8400000</v>
      </c>
      <c r="L138" s="218" t="s">
        <v>7781</v>
      </c>
      <c r="M138" s="218">
        <v>1</v>
      </c>
      <c r="N138" s="218" t="s">
        <v>8110</v>
      </c>
      <c r="O138" s="218" t="s">
        <v>7993</v>
      </c>
      <c r="P138" s="218">
        <v>399</v>
      </c>
      <c r="Q138" s="218" t="s">
        <v>7771</v>
      </c>
      <c r="R138" s="220">
        <v>104</v>
      </c>
    </row>
    <row r="139" spans="1:18">
      <c r="A139" s="217">
        <v>7</v>
      </c>
      <c r="B139" s="218">
        <v>9702102373</v>
      </c>
      <c r="C139" s="218" t="s">
        <v>7763</v>
      </c>
      <c r="D139" s="218" t="s">
        <v>7772</v>
      </c>
      <c r="E139" s="218" t="s">
        <v>7786</v>
      </c>
      <c r="F139" s="218" t="s">
        <v>7787</v>
      </c>
      <c r="G139" s="218" t="s">
        <v>7767</v>
      </c>
      <c r="H139" s="218">
        <v>512</v>
      </c>
      <c r="I139" s="219">
        <v>8960000</v>
      </c>
      <c r="J139" s="219">
        <v>0</v>
      </c>
      <c r="K139" s="219">
        <v>8960000</v>
      </c>
      <c r="L139" s="218" t="s">
        <v>7774</v>
      </c>
      <c r="M139" s="218">
        <v>1</v>
      </c>
      <c r="N139" s="218" t="s">
        <v>7788</v>
      </c>
      <c r="O139" s="218" t="s">
        <v>267</v>
      </c>
      <c r="P139" s="218">
        <v>399</v>
      </c>
      <c r="Q139" s="218" t="s">
        <v>7771</v>
      </c>
      <c r="R139" s="220">
        <v>104</v>
      </c>
    </row>
    <row r="140" spans="1:18">
      <c r="A140" s="217">
        <v>11</v>
      </c>
      <c r="B140" s="218">
        <v>543105</v>
      </c>
      <c r="C140" s="218" t="s">
        <v>7763</v>
      </c>
      <c r="D140" s="218" t="s">
        <v>7772</v>
      </c>
      <c r="E140" s="218" t="s">
        <v>7798</v>
      </c>
      <c r="F140" s="218" t="s">
        <v>7799</v>
      </c>
      <c r="G140" s="218" t="s">
        <v>7767</v>
      </c>
      <c r="H140" s="218">
        <v>512</v>
      </c>
      <c r="I140" s="219">
        <v>8960000</v>
      </c>
      <c r="J140" s="219">
        <v>0</v>
      </c>
      <c r="K140" s="219">
        <v>8960000</v>
      </c>
      <c r="L140" s="218" t="s">
        <v>7774</v>
      </c>
      <c r="M140" s="218">
        <v>1</v>
      </c>
      <c r="N140" s="218" t="s">
        <v>7800</v>
      </c>
      <c r="O140" s="218" t="s">
        <v>267</v>
      </c>
      <c r="P140" s="218">
        <v>399</v>
      </c>
      <c r="Q140" s="218" t="s">
        <v>7771</v>
      </c>
      <c r="R140" s="220">
        <v>104</v>
      </c>
    </row>
    <row r="141" spans="1:18">
      <c r="A141" s="217">
        <v>12</v>
      </c>
      <c r="B141" s="218">
        <v>543107</v>
      </c>
      <c r="C141" s="218" t="s">
        <v>7763</v>
      </c>
      <c r="D141" s="218" t="s">
        <v>7772</v>
      </c>
      <c r="E141" s="218" t="s">
        <v>7801</v>
      </c>
      <c r="F141" s="218" t="s">
        <v>7802</v>
      </c>
      <c r="G141" s="218" t="s">
        <v>7767</v>
      </c>
      <c r="H141" s="218">
        <v>512</v>
      </c>
      <c r="I141" s="219">
        <v>8960000</v>
      </c>
      <c r="J141" s="219">
        <v>0</v>
      </c>
      <c r="K141" s="219">
        <v>8960000</v>
      </c>
      <c r="L141" s="218" t="s">
        <v>7774</v>
      </c>
      <c r="M141" s="218">
        <v>1</v>
      </c>
      <c r="N141" s="218" t="s">
        <v>7803</v>
      </c>
      <c r="O141" s="218" t="s">
        <v>267</v>
      </c>
      <c r="P141" s="218">
        <v>399</v>
      </c>
      <c r="Q141" s="218" t="s">
        <v>7771</v>
      </c>
      <c r="R141" s="220">
        <v>104</v>
      </c>
    </row>
    <row r="142" spans="1:18">
      <c r="A142" s="217">
        <v>30</v>
      </c>
      <c r="B142" s="218">
        <v>650275</v>
      </c>
      <c r="C142" s="218" t="s">
        <v>7763</v>
      </c>
      <c r="D142" s="218" t="s">
        <v>7772</v>
      </c>
      <c r="E142" s="218" t="s">
        <v>7842</v>
      </c>
      <c r="F142" s="218" t="s">
        <v>7780</v>
      </c>
      <c r="G142" s="218" t="s">
        <v>7767</v>
      </c>
      <c r="H142" s="218">
        <v>512</v>
      </c>
      <c r="I142" s="219">
        <v>8960000</v>
      </c>
      <c r="J142" s="219">
        <v>0</v>
      </c>
      <c r="K142" s="219">
        <v>8960000</v>
      </c>
      <c r="L142" s="218" t="s">
        <v>7774</v>
      </c>
      <c r="M142" s="218">
        <v>1</v>
      </c>
      <c r="N142" s="218" t="s">
        <v>7843</v>
      </c>
      <c r="O142" s="218" t="s">
        <v>7841</v>
      </c>
      <c r="P142" s="218">
        <v>399</v>
      </c>
      <c r="Q142" s="218" t="s">
        <v>7771</v>
      </c>
      <c r="R142" s="220">
        <v>104</v>
      </c>
    </row>
    <row r="143" spans="1:18">
      <c r="A143" s="217">
        <v>39</v>
      </c>
      <c r="B143" s="218">
        <v>9602029431</v>
      </c>
      <c r="C143" s="218" t="s">
        <v>7763</v>
      </c>
      <c r="D143" s="218" t="s">
        <v>7772</v>
      </c>
      <c r="E143" s="218" t="s">
        <v>7848</v>
      </c>
      <c r="F143" s="218" t="s">
        <v>7780</v>
      </c>
      <c r="G143" s="218" t="s">
        <v>7767</v>
      </c>
      <c r="H143" s="218">
        <v>512</v>
      </c>
      <c r="I143" s="219">
        <v>8960000</v>
      </c>
      <c r="J143" s="219">
        <v>0</v>
      </c>
      <c r="K143" s="219">
        <v>8960000</v>
      </c>
      <c r="L143" s="218" t="s">
        <v>7774</v>
      </c>
      <c r="M143" s="218">
        <v>1</v>
      </c>
      <c r="N143" s="218" t="s">
        <v>7849</v>
      </c>
      <c r="O143" s="218" t="s">
        <v>7841</v>
      </c>
      <c r="P143" s="218">
        <v>399</v>
      </c>
      <c r="Q143" s="218" t="s">
        <v>7771</v>
      </c>
      <c r="R143" s="220">
        <v>104</v>
      </c>
    </row>
    <row r="144" spans="1:18">
      <c r="A144" s="217">
        <v>63</v>
      </c>
      <c r="B144" s="218">
        <v>538968</v>
      </c>
      <c r="C144" s="218" t="s">
        <v>7763</v>
      </c>
      <c r="D144" s="218" t="s">
        <v>7772</v>
      </c>
      <c r="E144" s="218" t="s">
        <v>7900</v>
      </c>
      <c r="F144" s="218" t="s">
        <v>7901</v>
      </c>
      <c r="G144" s="218" t="s">
        <v>7767</v>
      </c>
      <c r="H144" s="218">
        <v>512</v>
      </c>
      <c r="I144" s="219">
        <v>8960000</v>
      </c>
      <c r="J144" s="219">
        <v>0</v>
      </c>
      <c r="K144" s="219">
        <v>8960000</v>
      </c>
      <c r="L144" s="218" t="s">
        <v>7774</v>
      </c>
      <c r="M144" s="218">
        <v>1</v>
      </c>
      <c r="N144" s="218" t="s">
        <v>7902</v>
      </c>
      <c r="O144" s="218" t="s">
        <v>376</v>
      </c>
      <c r="P144" s="218">
        <v>399</v>
      </c>
      <c r="Q144" s="218" t="s">
        <v>7771</v>
      </c>
      <c r="R144" s="220">
        <v>104</v>
      </c>
    </row>
    <row r="145" spans="1:18">
      <c r="A145" s="217">
        <v>95</v>
      </c>
      <c r="B145" s="218">
        <v>9702064413</v>
      </c>
      <c r="C145" s="218" t="s">
        <v>7763</v>
      </c>
      <c r="D145" s="218" t="s">
        <v>7772</v>
      </c>
      <c r="E145" s="218" t="s">
        <v>7971</v>
      </c>
      <c r="F145" s="218" t="s">
        <v>7802</v>
      </c>
      <c r="G145" s="218" t="s">
        <v>7767</v>
      </c>
      <c r="H145" s="218">
        <v>512</v>
      </c>
      <c r="I145" s="219">
        <v>8960000</v>
      </c>
      <c r="J145" s="219">
        <v>0</v>
      </c>
      <c r="K145" s="219">
        <v>8960000</v>
      </c>
      <c r="L145" s="218" t="s">
        <v>7774</v>
      </c>
      <c r="M145" s="218">
        <v>1</v>
      </c>
      <c r="N145" s="218" t="s">
        <v>7972</v>
      </c>
      <c r="O145" s="218" t="s">
        <v>7954</v>
      </c>
      <c r="P145" s="218">
        <v>399</v>
      </c>
      <c r="Q145" s="218" t="s">
        <v>7771</v>
      </c>
      <c r="R145" s="220">
        <v>104</v>
      </c>
    </row>
    <row r="146" spans="1:18">
      <c r="A146" s="217">
        <v>97</v>
      </c>
      <c r="B146" s="218">
        <v>538589</v>
      </c>
      <c r="C146" s="218" t="s">
        <v>7950</v>
      </c>
      <c r="D146" s="218" t="s">
        <v>7772</v>
      </c>
      <c r="E146" s="218" t="s">
        <v>7975</v>
      </c>
      <c r="F146" s="218" t="s">
        <v>7976</v>
      </c>
      <c r="G146" s="218" t="s">
        <v>7767</v>
      </c>
      <c r="H146" s="218">
        <v>1024</v>
      </c>
      <c r="I146" s="219">
        <v>8960000</v>
      </c>
      <c r="J146" s="219">
        <v>0</v>
      </c>
      <c r="K146" s="219">
        <v>8960000</v>
      </c>
      <c r="L146" s="218" t="s">
        <v>7781</v>
      </c>
      <c r="M146" s="218">
        <v>1</v>
      </c>
      <c r="N146" s="218" t="s">
        <v>7977</v>
      </c>
      <c r="O146" s="218" t="s">
        <v>7954</v>
      </c>
      <c r="P146" s="218">
        <v>399</v>
      </c>
      <c r="Q146" s="218" t="s">
        <v>7771</v>
      </c>
      <c r="R146" s="220">
        <v>100</v>
      </c>
    </row>
    <row r="147" spans="1:18">
      <c r="A147" s="217">
        <v>109</v>
      </c>
      <c r="B147" s="218">
        <v>645563</v>
      </c>
      <c r="C147" s="218" t="s">
        <v>7763</v>
      </c>
      <c r="D147" s="218" t="s">
        <v>7772</v>
      </c>
      <c r="E147" s="218" t="s">
        <v>8003</v>
      </c>
      <c r="F147" s="218" t="s">
        <v>7780</v>
      </c>
      <c r="G147" s="218" t="s">
        <v>7767</v>
      </c>
      <c r="H147" s="218">
        <v>512</v>
      </c>
      <c r="I147" s="219">
        <v>8960000</v>
      </c>
      <c r="J147" s="219">
        <v>0</v>
      </c>
      <c r="K147" s="219">
        <v>8960000</v>
      </c>
      <c r="L147" s="218" t="s">
        <v>7774</v>
      </c>
      <c r="M147" s="218">
        <v>1</v>
      </c>
      <c r="N147" s="218" t="s">
        <v>8004</v>
      </c>
      <c r="O147" s="218" t="s">
        <v>7993</v>
      </c>
      <c r="P147" s="218">
        <v>399</v>
      </c>
      <c r="Q147" s="218" t="s">
        <v>7771</v>
      </c>
      <c r="R147" s="220">
        <v>104</v>
      </c>
    </row>
    <row r="148" spans="1:18">
      <c r="A148" s="217">
        <v>112</v>
      </c>
      <c r="B148" s="218">
        <v>649613</v>
      </c>
      <c r="C148" s="218" t="s">
        <v>7763</v>
      </c>
      <c r="D148" s="218" t="s">
        <v>7772</v>
      </c>
      <c r="E148" s="218" t="s">
        <v>8009</v>
      </c>
      <c r="F148" s="218" t="s">
        <v>7780</v>
      </c>
      <c r="G148" s="218" t="s">
        <v>7767</v>
      </c>
      <c r="H148" s="218">
        <v>512</v>
      </c>
      <c r="I148" s="219">
        <v>8960000</v>
      </c>
      <c r="J148" s="219">
        <v>0</v>
      </c>
      <c r="K148" s="219">
        <v>8960000</v>
      </c>
      <c r="L148" s="218" t="s">
        <v>7774</v>
      </c>
      <c r="M148" s="218">
        <v>1</v>
      </c>
      <c r="N148" s="218" t="s">
        <v>8010</v>
      </c>
      <c r="O148" s="218" t="s">
        <v>7993</v>
      </c>
      <c r="P148" s="218">
        <v>399</v>
      </c>
      <c r="Q148" s="218" t="s">
        <v>7771</v>
      </c>
      <c r="R148" s="220">
        <v>104</v>
      </c>
    </row>
    <row r="149" spans="1:18">
      <c r="A149" s="217">
        <v>114</v>
      </c>
      <c r="B149" s="218">
        <v>649936</v>
      </c>
      <c r="C149" s="218" t="s">
        <v>7763</v>
      </c>
      <c r="D149" s="218" t="s">
        <v>7772</v>
      </c>
      <c r="E149" s="218" t="s">
        <v>8013</v>
      </c>
      <c r="F149" s="218" t="s">
        <v>7780</v>
      </c>
      <c r="G149" s="218" t="s">
        <v>7767</v>
      </c>
      <c r="H149" s="218">
        <v>512</v>
      </c>
      <c r="I149" s="219">
        <v>8960000</v>
      </c>
      <c r="J149" s="219">
        <v>0</v>
      </c>
      <c r="K149" s="219">
        <v>8960000</v>
      </c>
      <c r="L149" s="218" t="s">
        <v>7774</v>
      </c>
      <c r="M149" s="218">
        <v>1</v>
      </c>
      <c r="N149" s="218" t="s">
        <v>8014</v>
      </c>
      <c r="O149" s="218" t="s">
        <v>7993</v>
      </c>
      <c r="P149" s="218">
        <v>399</v>
      </c>
      <c r="Q149" s="218" t="s">
        <v>7771</v>
      </c>
      <c r="R149" s="220">
        <v>104</v>
      </c>
    </row>
    <row r="150" spans="1:18">
      <c r="A150" s="217">
        <v>116</v>
      </c>
      <c r="B150" s="218">
        <v>650167</v>
      </c>
      <c r="C150" s="218" t="s">
        <v>7763</v>
      </c>
      <c r="D150" s="218" t="s">
        <v>7772</v>
      </c>
      <c r="E150" s="218" t="s">
        <v>8018</v>
      </c>
      <c r="F150" s="218" t="s">
        <v>7780</v>
      </c>
      <c r="G150" s="218" t="s">
        <v>7767</v>
      </c>
      <c r="H150" s="218">
        <v>512</v>
      </c>
      <c r="I150" s="219">
        <v>8960000</v>
      </c>
      <c r="J150" s="219">
        <v>0</v>
      </c>
      <c r="K150" s="219">
        <v>8960000</v>
      </c>
      <c r="L150" s="218" t="s">
        <v>7774</v>
      </c>
      <c r="M150" s="218">
        <v>1</v>
      </c>
      <c r="N150" s="218" t="s">
        <v>8019</v>
      </c>
      <c r="O150" s="218" t="s">
        <v>7993</v>
      </c>
      <c r="P150" s="218">
        <v>399</v>
      </c>
      <c r="Q150" s="218" t="s">
        <v>7771</v>
      </c>
      <c r="R150" s="220">
        <v>104</v>
      </c>
    </row>
    <row r="151" spans="1:18">
      <c r="A151" s="217">
        <v>117</v>
      </c>
      <c r="B151" s="218">
        <v>650435</v>
      </c>
      <c r="C151" s="218" t="s">
        <v>7763</v>
      </c>
      <c r="D151" s="218" t="s">
        <v>7772</v>
      </c>
      <c r="E151" s="218" t="s">
        <v>8020</v>
      </c>
      <c r="F151" s="218" t="s">
        <v>7780</v>
      </c>
      <c r="G151" s="218" t="s">
        <v>7767</v>
      </c>
      <c r="H151" s="218">
        <v>512</v>
      </c>
      <c r="I151" s="219">
        <v>8960000</v>
      </c>
      <c r="J151" s="219">
        <v>0</v>
      </c>
      <c r="K151" s="219">
        <v>8960000</v>
      </c>
      <c r="L151" s="218" t="s">
        <v>7774</v>
      </c>
      <c r="M151" s="218">
        <v>1</v>
      </c>
      <c r="N151" s="218" t="s">
        <v>8021</v>
      </c>
      <c r="O151" s="218" t="s">
        <v>7993</v>
      </c>
      <c r="P151" s="218">
        <v>399</v>
      </c>
      <c r="Q151" s="218" t="s">
        <v>7771</v>
      </c>
      <c r="R151" s="220">
        <v>104</v>
      </c>
    </row>
    <row r="152" spans="1:18">
      <c r="A152" s="217">
        <v>118</v>
      </c>
      <c r="B152" s="218">
        <v>650437</v>
      </c>
      <c r="C152" s="218" t="s">
        <v>7763</v>
      </c>
      <c r="D152" s="218" t="s">
        <v>7772</v>
      </c>
      <c r="E152" s="218" t="s">
        <v>8022</v>
      </c>
      <c r="F152" s="218" t="s">
        <v>7780</v>
      </c>
      <c r="G152" s="218" t="s">
        <v>7767</v>
      </c>
      <c r="H152" s="218">
        <v>512</v>
      </c>
      <c r="I152" s="219">
        <v>8960000</v>
      </c>
      <c r="J152" s="219">
        <v>0</v>
      </c>
      <c r="K152" s="219">
        <v>8960000</v>
      </c>
      <c r="L152" s="218" t="s">
        <v>7774</v>
      </c>
      <c r="M152" s="218">
        <v>1</v>
      </c>
      <c r="N152" s="218" t="s">
        <v>8023</v>
      </c>
      <c r="O152" s="218" t="s">
        <v>7993</v>
      </c>
      <c r="P152" s="218">
        <v>399</v>
      </c>
      <c r="Q152" s="218" t="s">
        <v>7771</v>
      </c>
      <c r="R152" s="220">
        <v>104</v>
      </c>
    </row>
    <row r="153" spans="1:18">
      <c r="A153" s="217">
        <v>119</v>
      </c>
      <c r="B153" s="218">
        <v>650670</v>
      </c>
      <c r="C153" s="218" t="s">
        <v>7763</v>
      </c>
      <c r="D153" s="218" t="s">
        <v>7772</v>
      </c>
      <c r="E153" s="218" t="s">
        <v>8024</v>
      </c>
      <c r="F153" s="218" t="s">
        <v>7780</v>
      </c>
      <c r="G153" s="218" t="s">
        <v>7767</v>
      </c>
      <c r="H153" s="218">
        <v>512</v>
      </c>
      <c r="I153" s="219">
        <v>8960000</v>
      </c>
      <c r="J153" s="219">
        <v>0</v>
      </c>
      <c r="K153" s="219">
        <v>8960000</v>
      </c>
      <c r="L153" s="218" t="s">
        <v>7774</v>
      </c>
      <c r="M153" s="218">
        <v>1</v>
      </c>
      <c r="N153" s="218" t="s">
        <v>8025</v>
      </c>
      <c r="O153" s="218" t="s">
        <v>7993</v>
      </c>
      <c r="P153" s="218">
        <v>399</v>
      </c>
      <c r="Q153" s="218" t="s">
        <v>7771</v>
      </c>
      <c r="R153" s="220">
        <v>104</v>
      </c>
    </row>
    <row r="154" spans="1:18">
      <c r="A154" s="217">
        <v>127</v>
      </c>
      <c r="B154" s="218">
        <v>657046</v>
      </c>
      <c r="C154" s="218" t="s">
        <v>335</v>
      </c>
      <c r="D154" s="218" t="s">
        <v>7772</v>
      </c>
      <c r="E154" s="218" t="s">
        <v>8046</v>
      </c>
      <c r="F154" s="218" t="s">
        <v>8047</v>
      </c>
      <c r="G154" s="218" t="s">
        <v>7767</v>
      </c>
      <c r="H154" s="218">
        <v>1024</v>
      </c>
      <c r="I154" s="219">
        <v>8960000</v>
      </c>
      <c r="J154" s="219">
        <v>0</v>
      </c>
      <c r="K154" s="219">
        <v>8960000</v>
      </c>
      <c r="L154" s="218" t="s">
        <v>7781</v>
      </c>
      <c r="M154" s="218">
        <v>1</v>
      </c>
      <c r="N154" s="218" t="s">
        <v>8048</v>
      </c>
      <c r="O154" s="218" t="s">
        <v>7993</v>
      </c>
      <c r="P154" s="218">
        <v>399</v>
      </c>
      <c r="Q154" s="218" t="s">
        <v>7771</v>
      </c>
      <c r="R154" s="220">
        <v>104</v>
      </c>
    </row>
    <row r="155" spans="1:18">
      <c r="A155" s="217">
        <v>132</v>
      </c>
      <c r="B155" s="218">
        <v>661987</v>
      </c>
      <c r="C155" s="218" t="s">
        <v>7763</v>
      </c>
      <c r="D155" s="218" t="s">
        <v>7772</v>
      </c>
      <c r="E155" s="218" t="s">
        <v>8059</v>
      </c>
      <c r="F155" s="218" t="s">
        <v>7780</v>
      </c>
      <c r="G155" s="218" t="s">
        <v>7767</v>
      </c>
      <c r="H155" s="218">
        <v>512</v>
      </c>
      <c r="I155" s="219">
        <v>8960000</v>
      </c>
      <c r="J155" s="219">
        <v>0</v>
      </c>
      <c r="K155" s="219">
        <v>8960000</v>
      </c>
      <c r="L155" s="218" t="s">
        <v>7774</v>
      </c>
      <c r="M155" s="218">
        <v>1</v>
      </c>
      <c r="N155" s="218" t="s">
        <v>8060</v>
      </c>
      <c r="O155" s="218" t="s">
        <v>7993</v>
      </c>
      <c r="P155" s="218">
        <v>399</v>
      </c>
      <c r="Q155" s="218" t="s">
        <v>7771</v>
      </c>
      <c r="R155" s="220">
        <v>104</v>
      </c>
    </row>
    <row r="156" spans="1:18">
      <c r="A156" s="217">
        <v>133</v>
      </c>
      <c r="B156" s="218">
        <v>9602016984</v>
      </c>
      <c r="C156" s="218" t="s">
        <v>7763</v>
      </c>
      <c r="D156" s="218" t="s">
        <v>7772</v>
      </c>
      <c r="E156" s="218" t="s">
        <v>8061</v>
      </c>
      <c r="F156" s="218" t="s">
        <v>7780</v>
      </c>
      <c r="G156" s="218" t="s">
        <v>7767</v>
      </c>
      <c r="H156" s="218">
        <v>512</v>
      </c>
      <c r="I156" s="219">
        <v>8960000</v>
      </c>
      <c r="J156" s="219">
        <v>0</v>
      </c>
      <c r="K156" s="219">
        <v>8960000</v>
      </c>
      <c r="L156" s="218" t="s">
        <v>7774</v>
      </c>
      <c r="M156" s="218">
        <v>1</v>
      </c>
      <c r="N156" s="218" t="s">
        <v>8062</v>
      </c>
      <c r="O156" s="218" t="s">
        <v>7993</v>
      </c>
      <c r="P156" s="218">
        <v>399</v>
      </c>
      <c r="Q156" s="218" t="s">
        <v>7771</v>
      </c>
      <c r="R156" s="220">
        <v>104</v>
      </c>
    </row>
    <row r="157" spans="1:18">
      <c r="A157" s="217">
        <v>134</v>
      </c>
      <c r="B157" s="218">
        <v>9602018176</v>
      </c>
      <c r="C157" s="218" t="s">
        <v>7763</v>
      </c>
      <c r="D157" s="218" t="s">
        <v>7772</v>
      </c>
      <c r="E157" s="218" t="s">
        <v>8063</v>
      </c>
      <c r="F157" s="218" t="s">
        <v>7780</v>
      </c>
      <c r="G157" s="218" t="s">
        <v>7767</v>
      </c>
      <c r="H157" s="218">
        <v>512</v>
      </c>
      <c r="I157" s="219">
        <v>8960000</v>
      </c>
      <c r="J157" s="219">
        <v>0</v>
      </c>
      <c r="K157" s="219">
        <v>8960000</v>
      </c>
      <c r="L157" s="218" t="s">
        <v>7774</v>
      </c>
      <c r="M157" s="218">
        <v>1</v>
      </c>
      <c r="N157" s="218" t="s">
        <v>5388</v>
      </c>
      <c r="O157" s="218" t="s">
        <v>7993</v>
      </c>
      <c r="P157" s="218">
        <v>399</v>
      </c>
      <c r="Q157" s="218" t="s">
        <v>7771</v>
      </c>
      <c r="R157" s="220">
        <v>104</v>
      </c>
    </row>
    <row r="158" spans="1:18">
      <c r="A158" s="217">
        <v>135</v>
      </c>
      <c r="B158" s="218">
        <v>9602020166</v>
      </c>
      <c r="C158" s="218" t="s">
        <v>7763</v>
      </c>
      <c r="D158" s="218" t="s">
        <v>7772</v>
      </c>
      <c r="E158" s="218" t="s">
        <v>7923</v>
      </c>
      <c r="F158" s="218" t="s">
        <v>7780</v>
      </c>
      <c r="G158" s="218" t="s">
        <v>7767</v>
      </c>
      <c r="H158" s="218">
        <v>512</v>
      </c>
      <c r="I158" s="219">
        <v>8960000</v>
      </c>
      <c r="J158" s="219">
        <v>0</v>
      </c>
      <c r="K158" s="219">
        <v>8960000</v>
      </c>
      <c r="L158" s="218" t="s">
        <v>7774</v>
      </c>
      <c r="M158" s="218">
        <v>1</v>
      </c>
      <c r="N158" s="218" t="s">
        <v>8064</v>
      </c>
      <c r="O158" s="218" t="s">
        <v>7993</v>
      </c>
      <c r="P158" s="218">
        <v>399</v>
      </c>
      <c r="Q158" s="218" t="s">
        <v>7771</v>
      </c>
      <c r="R158" s="220">
        <v>104</v>
      </c>
    </row>
    <row r="159" spans="1:18">
      <c r="A159" s="217">
        <v>138</v>
      </c>
      <c r="B159" s="218">
        <v>9602023723</v>
      </c>
      <c r="C159" s="218" t="s">
        <v>7763</v>
      </c>
      <c r="D159" s="218" t="s">
        <v>7772</v>
      </c>
      <c r="E159" s="218" t="s">
        <v>8070</v>
      </c>
      <c r="F159" s="218" t="s">
        <v>7780</v>
      </c>
      <c r="G159" s="218" t="s">
        <v>7767</v>
      </c>
      <c r="H159" s="218">
        <v>512</v>
      </c>
      <c r="I159" s="219">
        <v>8960000</v>
      </c>
      <c r="J159" s="219">
        <v>0</v>
      </c>
      <c r="K159" s="219">
        <v>8960000</v>
      </c>
      <c r="L159" s="218" t="s">
        <v>7774</v>
      </c>
      <c r="M159" s="218">
        <v>1</v>
      </c>
      <c r="N159" s="218" t="s">
        <v>8071</v>
      </c>
      <c r="O159" s="218" t="s">
        <v>7993</v>
      </c>
      <c r="P159" s="218">
        <v>399</v>
      </c>
      <c r="Q159" s="218" t="s">
        <v>7771</v>
      </c>
      <c r="R159" s="220">
        <v>104</v>
      </c>
    </row>
    <row r="160" spans="1:18">
      <c r="A160" s="217">
        <v>144</v>
      </c>
      <c r="B160" s="218">
        <v>9602023845</v>
      </c>
      <c r="C160" s="218" t="s">
        <v>335</v>
      </c>
      <c r="D160" s="218" t="s">
        <v>8065</v>
      </c>
      <c r="E160" s="218" t="s">
        <v>8081</v>
      </c>
      <c r="F160" s="218" t="s">
        <v>8049</v>
      </c>
      <c r="G160" s="218" t="s">
        <v>7767</v>
      </c>
      <c r="H160" s="218">
        <v>1024</v>
      </c>
      <c r="I160" s="219">
        <v>8960000</v>
      </c>
      <c r="J160" s="219">
        <v>0</v>
      </c>
      <c r="K160" s="219">
        <v>8960000</v>
      </c>
      <c r="L160" s="218" t="s">
        <v>7781</v>
      </c>
      <c r="M160" s="218">
        <v>1</v>
      </c>
      <c r="N160" s="218" t="s">
        <v>8082</v>
      </c>
      <c r="O160" s="218" t="s">
        <v>7993</v>
      </c>
      <c r="P160" s="218">
        <v>399</v>
      </c>
      <c r="Q160" s="218" t="s">
        <v>7771</v>
      </c>
      <c r="R160" s="220">
        <v>104</v>
      </c>
    </row>
    <row r="161" spans="1:18">
      <c r="A161" s="217">
        <v>145</v>
      </c>
      <c r="B161" s="218">
        <v>9602023847</v>
      </c>
      <c r="C161" s="218" t="s">
        <v>335</v>
      </c>
      <c r="D161" s="218" t="s">
        <v>8065</v>
      </c>
      <c r="E161" s="218" t="s">
        <v>8083</v>
      </c>
      <c r="F161" s="218" t="s">
        <v>8049</v>
      </c>
      <c r="G161" s="218" t="s">
        <v>7767</v>
      </c>
      <c r="H161" s="218">
        <v>1024</v>
      </c>
      <c r="I161" s="219">
        <v>8960000</v>
      </c>
      <c r="J161" s="219">
        <v>0</v>
      </c>
      <c r="K161" s="219">
        <v>8960000</v>
      </c>
      <c r="L161" s="218" t="s">
        <v>7781</v>
      </c>
      <c r="M161" s="218">
        <v>1</v>
      </c>
      <c r="N161" s="218" t="s">
        <v>8084</v>
      </c>
      <c r="O161" s="218" t="s">
        <v>7993</v>
      </c>
      <c r="P161" s="218">
        <v>399</v>
      </c>
      <c r="Q161" s="218" t="s">
        <v>7771</v>
      </c>
      <c r="R161" s="220">
        <v>104</v>
      </c>
    </row>
    <row r="162" spans="1:18">
      <c r="A162" s="217">
        <v>146</v>
      </c>
      <c r="B162" s="218">
        <v>9602023856</v>
      </c>
      <c r="C162" s="218" t="s">
        <v>335</v>
      </c>
      <c r="D162" s="218" t="s">
        <v>8065</v>
      </c>
      <c r="E162" s="218" t="s">
        <v>8079</v>
      </c>
      <c r="F162" s="218" t="s">
        <v>8049</v>
      </c>
      <c r="G162" s="218" t="s">
        <v>7767</v>
      </c>
      <c r="H162" s="218">
        <v>1024</v>
      </c>
      <c r="I162" s="219">
        <v>8960000</v>
      </c>
      <c r="J162" s="219">
        <v>0</v>
      </c>
      <c r="K162" s="219">
        <v>8960000</v>
      </c>
      <c r="L162" s="218" t="s">
        <v>7781</v>
      </c>
      <c r="M162" s="218">
        <v>1</v>
      </c>
      <c r="N162" s="218" t="s">
        <v>8085</v>
      </c>
      <c r="O162" s="218" t="s">
        <v>7993</v>
      </c>
      <c r="P162" s="218">
        <v>399</v>
      </c>
      <c r="Q162" s="218" t="s">
        <v>7771</v>
      </c>
      <c r="R162" s="220">
        <v>104</v>
      </c>
    </row>
    <row r="163" spans="1:18">
      <c r="A163" s="217">
        <v>148</v>
      </c>
      <c r="B163" s="218">
        <v>9602023862</v>
      </c>
      <c r="C163" s="218" t="s">
        <v>335</v>
      </c>
      <c r="D163" s="218" t="s">
        <v>8065</v>
      </c>
      <c r="E163" s="218" t="s">
        <v>8068</v>
      </c>
      <c r="F163" s="218" t="s">
        <v>8049</v>
      </c>
      <c r="G163" s="218" t="s">
        <v>7767</v>
      </c>
      <c r="H163" s="218">
        <v>1024</v>
      </c>
      <c r="I163" s="219">
        <v>8960000</v>
      </c>
      <c r="J163" s="219">
        <v>0</v>
      </c>
      <c r="K163" s="219">
        <v>8960000</v>
      </c>
      <c r="L163" s="218" t="s">
        <v>7781</v>
      </c>
      <c r="M163" s="218">
        <v>1</v>
      </c>
      <c r="N163" s="218" t="s">
        <v>8088</v>
      </c>
      <c r="O163" s="218" t="s">
        <v>7993</v>
      </c>
      <c r="P163" s="218">
        <v>399</v>
      </c>
      <c r="Q163" s="218" t="s">
        <v>7771</v>
      </c>
      <c r="R163" s="220">
        <v>104</v>
      </c>
    </row>
    <row r="164" spans="1:18">
      <c r="A164" s="217">
        <v>151</v>
      </c>
      <c r="B164" s="218">
        <v>9602023873</v>
      </c>
      <c r="C164" s="218" t="s">
        <v>335</v>
      </c>
      <c r="D164" s="218" t="s">
        <v>8065</v>
      </c>
      <c r="E164" s="218" t="s">
        <v>8077</v>
      </c>
      <c r="F164" s="218" t="s">
        <v>8049</v>
      </c>
      <c r="G164" s="218" t="s">
        <v>7767</v>
      </c>
      <c r="H164" s="218">
        <v>1024</v>
      </c>
      <c r="I164" s="219">
        <v>8960000</v>
      </c>
      <c r="J164" s="219">
        <v>0</v>
      </c>
      <c r="K164" s="219">
        <v>8960000</v>
      </c>
      <c r="L164" s="218" t="s">
        <v>7781</v>
      </c>
      <c r="M164" s="218">
        <v>1</v>
      </c>
      <c r="N164" s="218" t="s">
        <v>8091</v>
      </c>
      <c r="O164" s="218" t="s">
        <v>7993</v>
      </c>
      <c r="P164" s="218">
        <v>399</v>
      </c>
      <c r="Q164" s="218" t="s">
        <v>7771</v>
      </c>
      <c r="R164" s="220">
        <v>104</v>
      </c>
    </row>
    <row r="165" spans="1:18">
      <c r="A165" s="217">
        <v>153</v>
      </c>
      <c r="B165" s="218">
        <v>9602023880</v>
      </c>
      <c r="C165" s="218" t="s">
        <v>335</v>
      </c>
      <c r="D165" s="218" t="s">
        <v>8065</v>
      </c>
      <c r="E165" s="218" t="s">
        <v>7923</v>
      </c>
      <c r="F165" s="218" t="s">
        <v>8049</v>
      </c>
      <c r="G165" s="218" t="s">
        <v>7767</v>
      </c>
      <c r="H165" s="218">
        <v>1024</v>
      </c>
      <c r="I165" s="219">
        <v>8960000</v>
      </c>
      <c r="J165" s="219">
        <v>0</v>
      </c>
      <c r="K165" s="219">
        <v>8960000</v>
      </c>
      <c r="L165" s="218" t="s">
        <v>7781</v>
      </c>
      <c r="M165" s="218">
        <v>1</v>
      </c>
      <c r="N165" s="218" t="s">
        <v>8094</v>
      </c>
      <c r="O165" s="218" t="s">
        <v>7993</v>
      </c>
      <c r="P165" s="218">
        <v>399</v>
      </c>
      <c r="Q165" s="218" t="s">
        <v>7771</v>
      </c>
      <c r="R165" s="220">
        <v>104</v>
      </c>
    </row>
    <row r="166" spans="1:18">
      <c r="A166" s="217">
        <v>154</v>
      </c>
      <c r="B166" s="218">
        <v>9602023883</v>
      </c>
      <c r="C166" s="218" t="s">
        <v>335</v>
      </c>
      <c r="D166" s="218" t="s">
        <v>8065</v>
      </c>
      <c r="E166" s="218" t="s">
        <v>8066</v>
      </c>
      <c r="F166" s="218" t="s">
        <v>8049</v>
      </c>
      <c r="G166" s="218" t="s">
        <v>7767</v>
      </c>
      <c r="H166" s="218">
        <v>1024</v>
      </c>
      <c r="I166" s="219">
        <v>8960000</v>
      </c>
      <c r="J166" s="219">
        <v>0</v>
      </c>
      <c r="K166" s="219">
        <v>8960000</v>
      </c>
      <c r="L166" s="218" t="s">
        <v>7781</v>
      </c>
      <c r="M166" s="218">
        <v>1</v>
      </c>
      <c r="N166" s="218" t="s">
        <v>8095</v>
      </c>
      <c r="O166" s="218" t="s">
        <v>7993</v>
      </c>
      <c r="P166" s="218">
        <v>399</v>
      </c>
      <c r="Q166" s="218" t="s">
        <v>7771</v>
      </c>
      <c r="R166" s="220">
        <v>104</v>
      </c>
    </row>
    <row r="167" spans="1:18">
      <c r="A167" s="217">
        <v>155</v>
      </c>
      <c r="B167" s="218">
        <v>9602025056</v>
      </c>
      <c r="C167" s="218" t="s">
        <v>335</v>
      </c>
      <c r="D167" s="218" t="s">
        <v>8065</v>
      </c>
      <c r="E167" s="218" t="s">
        <v>8096</v>
      </c>
      <c r="F167" s="218" t="s">
        <v>8049</v>
      </c>
      <c r="G167" s="218" t="s">
        <v>7767</v>
      </c>
      <c r="H167" s="218">
        <v>1024</v>
      </c>
      <c r="I167" s="219">
        <v>8960000</v>
      </c>
      <c r="J167" s="219">
        <v>0</v>
      </c>
      <c r="K167" s="219">
        <v>8960000</v>
      </c>
      <c r="L167" s="218" t="s">
        <v>7781</v>
      </c>
      <c r="M167" s="218">
        <v>1</v>
      </c>
      <c r="N167" s="218" t="s">
        <v>8097</v>
      </c>
      <c r="O167" s="218" t="s">
        <v>7993</v>
      </c>
      <c r="P167" s="218">
        <v>399</v>
      </c>
      <c r="Q167" s="218" t="s">
        <v>7771</v>
      </c>
      <c r="R167" s="220">
        <v>104</v>
      </c>
    </row>
    <row r="168" spans="1:18">
      <c r="A168" s="217">
        <v>156</v>
      </c>
      <c r="B168" s="218">
        <v>9602025064</v>
      </c>
      <c r="C168" s="218" t="s">
        <v>335</v>
      </c>
      <c r="D168" s="218" t="s">
        <v>7772</v>
      </c>
      <c r="E168" s="218" t="s">
        <v>8098</v>
      </c>
      <c r="F168" s="218" t="s">
        <v>8099</v>
      </c>
      <c r="G168" s="218" t="s">
        <v>7767</v>
      </c>
      <c r="H168" s="218">
        <v>1024</v>
      </c>
      <c r="I168" s="219">
        <v>8960000</v>
      </c>
      <c r="J168" s="219">
        <v>0</v>
      </c>
      <c r="K168" s="219">
        <v>8960000</v>
      </c>
      <c r="L168" s="218" t="s">
        <v>7781</v>
      </c>
      <c r="M168" s="218">
        <v>1</v>
      </c>
      <c r="N168" s="218" t="s">
        <v>8100</v>
      </c>
      <c r="O168" s="218" t="s">
        <v>7993</v>
      </c>
      <c r="P168" s="218">
        <v>399</v>
      </c>
      <c r="Q168" s="218" t="s">
        <v>7771</v>
      </c>
      <c r="R168" s="220">
        <v>104</v>
      </c>
    </row>
    <row r="169" spans="1:18">
      <c r="A169" s="217">
        <v>157</v>
      </c>
      <c r="B169" s="218">
        <v>9602025054</v>
      </c>
      <c r="C169" s="218" t="s">
        <v>335</v>
      </c>
      <c r="D169" s="218" t="s">
        <v>8065</v>
      </c>
      <c r="E169" s="218" t="s">
        <v>8079</v>
      </c>
      <c r="F169" s="218" t="s">
        <v>8049</v>
      </c>
      <c r="G169" s="218" t="s">
        <v>7767</v>
      </c>
      <c r="H169" s="218">
        <v>1024</v>
      </c>
      <c r="I169" s="219">
        <v>8960000</v>
      </c>
      <c r="J169" s="219">
        <v>0</v>
      </c>
      <c r="K169" s="219">
        <v>8960000</v>
      </c>
      <c r="L169" s="218" t="s">
        <v>7781</v>
      </c>
      <c r="M169" s="218">
        <v>1</v>
      </c>
      <c r="N169" s="218" t="s">
        <v>8101</v>
      </c>
      <c r="O169" s="218" t="s">
        <v>7993</v>
      </c>
      <c r="P169" s="218">
        <v>399</v>
      </c>
      <c r="Q169" s="218" t="s">
        <v>7771</v>
      </c>
      <c r="R169" s="220">
        <v>104</v>
      </c>
    </row>
    <row r="170" spans="1:18">
      <c r="A170" s="217">
        <v>158</v>
      </c>
      <c r="B170" s="218">
        <v>9602025061</v>
      </c>
      <c r="C170" s="218" t="s">
        <v>335</v>
      </c>
      <c r="D170" s="218" t="s">
        <v>8065</v>
      </c>
      <c r="E170" s="218" t="s">
        <v>8081</v>
      </c>
      <c r="F170" s="218" t="s">
        <v>8102</v>
      </c>
      <c r="G170" s="218" t="s">
        <v>7767</v>
      </c>
      <c r="H170" s="218">
        <v>1024</v>
      </c>
      <c r="I170" s="219">
        <v>8960000</v>
      </c>
      <c r="J170" s="219">
        <v>0</v>
      </c>
      <c r="K170" s="219">
        <v>8960000</v>
      </c>
      <c r="L170" s="218" t="s">
        <v>7781</v>
      </c>
      <c r="M170" s="218">
        <v>1</v>
      </c>
      <c r="N170" s="218" t="s">
        <v>8103</v>
      </c>
      <c r="O170" s="218" t="s">
        <v>7993</v>
      </c>
      <c r="P170" s="218">
        <v>399</v>
      </c>
      <c r="Q170" s="218" t="s">
        <v>7771</v>
      </c>
      <c r="R170" s="220">
        <v>104</v>
      </c>
    </row>
    <row r="171" spans="1:18">
      <c r="A171" s="217">
        <v>159</v>
      </c>
      <c r="B171" s="218">
        <v>9602025067</v>
      </c>
      <c r="C171" s="218" t="s">
        <v>335</v>
      </c>
      <c r="D171" s="218" t="s">
        <v>8065</v>
      </c>
      <c r="E171" s="218" t="s">
        <v>8068</v>
      </c>
      <c r="F171" s="218" t="s">
        <v>8049</v>
      </c>
      <c r="G171" s="218" t="s">
        <v>7767</v>
      </c>
      <c r="H171" s="218">
        <v>1024</v>
      </c>
      <c r="I171" s="219">
        <v>8960000</v>
      </c>
      <c r="J171" s="219">
        <v>0</v>
      </c>
      <c r="K171" s="219">
        <v>8960000</v>
      </c>
      <c r="L171" s="218" t="s">
        <v>7781</v>
      </c>
      <c r="M171" s="218">
        <v>1</v>
      </c>
      <c r="N171" s="218" t="s">
        <v>8104</v>
      </c>
      <c r="O171" s="218" t="s">
        <v>7993</v>
      </c>
      <c r="P171" s="218">
        <v>399</v>
      </c>
      <c r="Q171" s="218" t="s">
        <v>7771</v>
      </c>
      <c r="R171" s="220">
        <v>104</v>
      </c>
    </row>
    <row r="172" spans="1:18">
      <c r="A172" s="217">
        <v>160</v>
      </c>
      <c r="B172" s="218">
        <v>9602027655</v>
      </c>
      <c r="C172" s="218" t="s">
        <v>335</v>
      </c>
      <c r="D172" s="218" t="s">
        <v>8065</v>
      </c>
      <c r="E172" s="218" t="s">
        <v>7923</v>
      </c>
      <c r="F172" s="218" t="s">
        <v>8049</v>
      </c>
      <c r="G172" s="218" t="s">
        <v>7767</v>
      </c>
      <c r="H172" s="218">
        <v>1024</v>
      </c>
      <c r="I172" s="219">
        <v>8960000</v>
      </c>
      <c r="J172" s="219">
        <v>0</v>
      </c>
      <c r="K172" s="219">
        <v>8960000</v>
      </c>
      <c r="L172" s="218" t="s">
        <v>7781</v>
      </c>
      <c r="M172" s="218">
        <v>1</v>
      </c>
      <c r="N172" s="218" t="s">
        <v>8105</v>
      </c>
      <c r="O172" s="218" t="s">
        <v>7993</v>
      </c>
      <c r="P172" s="218">
        <v>399</v>
      </c>
      <c r="Q172" s="218" t="s">
        <v>7771</v>
      </c>
      <c r="R172" s="220">
        <v>104</v>
      </c>
    </row>
    <row r="173" spans="1:18">
      <c r="A173" s="217">
        <v>162</v>
      </c>
      <c r="B173" s="218">
        <v>9602031004</v>
      </c>
      <c r="C173" s="218" t="s">
        <v>335</v>
      </c>
      <c r="D173" s="218" t="s">
        <v>8065</v>
      </c>
      <c r="E173" s="218" t="s">
        <v>8086</v>
      </c>
      <c r="F173" s="218" t="s">
        <v>8049</v>
      </c>
      <c r="G173" s="218" t="s">
        <v>7767</v>
      </c>
      <c r="H173" s="218">
        <v>1024</v>
      </c>
      <c r="I173" s="219">
        <v>8960000</v>
      </c>
      <c r="J173" s="219">
        <v>0</v>
      </c>
      <c r="K173" s="219">
        <v>8960000</v>
      </c>
      <c r="L173" s="218" t="s">
        <v>7781</v>
      </c>
      <c r="M173" s="218">
        <v>1</v>
      </c>
      <c r="N173" s="218" t="s">
        <v>8109</v>
      </c>
      <c r="O173" s="218" t="s">
        <v>7993</v>
      </c>
      <c r="P173" s="218">
        <v>399</v>
      </c>
      <c r="Q173" s="218" t="s">
        <v>7771</v>
      </c>
      <c r="R173" s="220">
        <v>104</v>
      </c>
    </row>
    <row r="174" spans="1:18">
      <c r="A174" s="217">
        <v>168</v>
      </c>
      <c r="B174" s="218">
        <v>9602038222</v>
      </c>
      <c r="C174" s="218" t="s">
        <v>7763</v>
      </c>
      <c r="D174" s="218" t="s">
        <v>7772</v>
      </c>
      <c r="E174" s="218" t="s">
        <v>8117</v>
      </c>
      <c r="F174" s="218" t="s">
        <v>7780</v>
      </c>
      <c r="G174" s="218" t="s">
        <v>7767</v>
      </c>
      <c r="H174" s="218">
        <v>512</v>
      </c>
      <c r="I174" s="219">
        <v>8960000</v>
      </c>
      <c r="J174" s="219">
        <v>0</v>
      </c>
      <c r="K174" s="219">
        <v>8960000</v>
      </c>
      <c r="L174" s="218" t="s">
        <v>7774</v>
      </c>
      <c r="M174" s="218">
        <v>1</v>
      </c>
      <c r="N174" s="218" t="s">
        <v>5391</v>
      </c>
      <c r="O174" s="218" t="s">
        <v>7993</v>
      </c>
      <c r="P174" s="218">
        <v>399</v>
      </c>
      <c r="Q174" s="218" t="s">
        <v>7771</v>
      </c>
      <c r="R174" s="220">
        <v>104</v>
      </c>
    </row>
    <row r="175" spans="1:18">
      <c r="A175" s="217">
        <v>169</v>
      </c>
      <c r="B175" s="218">
        <v>9602039821</v>
      </c>
      <c r="C175" s="218" t="s">
        <v>335</v>
      </c>
      <c r="D175" s="218" t="s">
        <v>8065</v>
      </c>
      <c r="E175" s="218" t="s">
        <v>8118</v>
      </c>
      <c r="F175" s="218" t="s">
        <v>8049</v>
      </c>
      <c r="G175" s="218" t="s">
        <v>7767</v>
      </c>
      <c r="H175" s="218">
        <v>1024</v>
      </c>
      <c r="I175" s="219">
        <v>8960000</v>
      </c>
      <c r="J175" s="219">
        <v>0</v>
      </c>
      <c r="K175" s="219">
        <v>8960000</v>
      </c>
      <c r="L175" s="218" t="s">
        <v>7781</v>
      </c>
      <c r="M175" s="218">
        <v>1</v>
      </c>
      <c r="N175" s="218" t="s">
        <v>8119</v>
      </c>
      <c r="O175" s="218" t="s">
        <v>7993</v>
      </c>
      <c r="P175" s="218">
        <v>399</v>
      </c>
      <c r="Q175" s="218" t="s">
        <v>7771</v>
      </c>
      <c r="R175" s="220">
        <v>104</v>
      </c>
    </row>
    <row r="176" spans="1:18">
      <c r="A176" s="217">
        <v>170</v>
      </c>
      <c r="B176" s="218">
        <v>9602039826</v>
      </c>
      <c r="C176" s="218" t="s">
        <v>335</v>
      </c>
      <c r="D176" s="218" t="s">
        <v>8065</v>
      </c>
      <c r="E176" s="218" t="s">
        <v>8120</v>
      </c>
      <c r="F176" s="218" t="s">
        <v>8049</v>
      </c>
      <c r="G176" s="218" t="s">
        <v>7767</v>
      </c>
      <c r="H176" s="218">
        <v>1024</v>
      </c>
      <c r="I176" s="219">
        <v>8960000</v>
      </c>
      <c r="J176" s="219">
        <v>0</v>
      </c>
      <c r="K176" s="219">
        <v>8960000</v>
      </c>
      <c r="L176" s="218" t="s">
        <v>7781</v>
      </c>
      <c r="M176" s="218">
        <v>1</v>
      </c>
      <c r="N176" s="218" t="s">
        <v>8121</v>
      </c>
      <c r="O176" s="218" t="s">
        <v>7993</v>
      </c>
      <c r="P176" s="218">
        <v>399</v>
      </c>
      <c r="Q176" s="218" t="s">
        <v>7771</v>
      </c>
      <c r="R176" s="220">
        <v>104</v>
      </c>
    </row>
    <row r="177" spans="1:18">
      <c r="A177" s="217">
        <v>172</v>
      </c>
      <c r="B177" s="218">
        <v>9602051419</v>
      </c>
      <c r="C177" s="218" t="s">
        <v>335</v>
      </c>
      <c r="D177" s="218" t="s">
        <v>8065</v>
      </c>
      <c r="E177" s="218" t="s">
        <v>8125</v>
      </c>
      <c r="F177" s="218" t="s">
        <v>8049</v>
      </c>
      <c r="G177" s="218" t="s">
        <v>7767</v>
      </c>
      <c r="H177" s="218">
        <v>1024</v>
      </c>
      <c r="I177" s="219">
        <v>8960000</v>
      </c>
      <c r="J177" s="219">
        <v>0</v>
      </c>
      <c r="K177" s="219">
        <v>8960000</v>
      </c>
      <c r="L177" s="218" t="s">
        <v>7781</v>
      </c>
      <c r="M177" s="218">
        <v>1</v>
      </c>
      <c r="N177" s="218" t="s">
        <v>8126</v>
      </c>
      <c r="O177" s="218" t="s">
        <v>7993</v>
      </c>
      <c r="P177" s="218">
        <v>399</v>
      </c>
      <c r="Q177" s="218" t="s">
        <v>7771</v>
      </c>
      <c r="R177" s="220">
        <v>104</v>
      </c>
    </row>
    <row r="178" spans="1:18">
      <c r="A178" s="217">
        <v>173</v>
      </c>
      <c r="B178" s="218">
        <v>9702058760</v>
      </c>
      <c r="C178" s="218" t="s">
        <v>335</v>
      </c>
      <c r="D178" s="218" t="s">
        <v>8065</v>
      </c>
      <c r="E178" s="218" t="s">
        <v>8127</v>
      </c>
      <c r="F178" s="218" t="s">
        <v>8049</v>
      </c>
      <c r="G178" s="218" t="s">
        <v>7767</v>
      </c>
      <c r="H178" s="218">
        <v>1024</v>
      </c>
      <c r="I178" s="219">
        <v>8960000</v>
      </c>
      <c r="J178" s="219">
        <v>0</v>
      </c>
      <c r="K178" s="219">
        <v>8960000</v>
      </c>
      <c r="L178" s="218" t="s">
        <v>7781</v>
      </c>
      <c r="M178" s="218">
        <v>1</v>
      </c>
      <c r="N178" s="218" t="s">
        <v>8128</v>
      </c>
      <c r="O178" s="218" t="s">
        <v>7993</v>
      </c>
      <c r="P178" s="218">
        <v>399</v>
      </c>
      <c r="Q178" s="218" t="s">
        <v>7771</v>
      </c>
      <c r="R178" s="220">
        <v>104</v>
      </c>
    </row>
    <row r="179" spans="1:18">
      <c r="A179" s="217">
        <v>174</v>
      </c>
      <c r="B179" s="218">
        <v>9702078186</v>
      </c>
      <c r="C179" s="218" t="s">
        <v>7763</v>
      </c>
      <c r="D179" s="218" t="s">
        <v>7772</v>
      </c>
      <c r="E179" s="218" t="s">
        <v>8129</v>
      </c>
      <c r="F179" s="218" t="s">
        <v>8129</v>
      </c>
      <c r="G179" s="218" t="s">
        <v>7767</v>
      </c>
      <c r="H179" s="218">
        <v>512</v>
      </c>
      <c r="I179" s="219">
        <v>8960000</v>
      </c>
      <c r="J179" s="219">
        <v>0</v>
      </c>
      <c r="K179" s="219">
        <v>8960000</v>
      </c>
      <c r="L179" s="218" t="s">
        <v>7774</v>
      </c>
      <c r="M179" s="218">
        <v>1</v>
      </c>
      <c r="N179" s="218" t="s">
        <v>8130</v>
      </c>
      <c r="O179" s="218" t="s">
        <v>7993</v>
      </c>
      <c r="P179" s="218">
        <v>399</v>
      </c>
      <c r="Q179" s="218" t="s">
        <v>7771</v>
      </c>
      <c r="R179" s="220">
        <v>104</v>
      </c>
    </row>
    <row r="180" spans="1:18">
      <c r="A180" s="217">
        <v>175</v>
      </c>
      <c r="B180" s="218">
        <v>9702078196</v>
      </c>
      <c r="C180" s="218" t="s">
        <v>7763</v>
      </c>
      <c r="D180" s="218" t="s">
        <v>7772</v>
      </c>
      <c r="E180" s="218" t="s">
        <v>8131</v>
      </c>
      <c r="F180" s="218" t="s">
        <v>8131</v>
      </c>
      <c r="G180" s="218" t="s">
        <v>7767</v>
      </c>
      <c r="H180" s="218">
        <v>512</v>
      </c>
      <c r="I180" s="219">
        <v>8960000</v>
      </c>
      <c r="J180" s="219">
        <v>0</v>
      </c>
      <c r="K180" s="219">
        <v>8960000</v>
      </c>
      <c r="L180" s="218" t="s">
        <v>7774</v>
      </c>
      <c r="M180" s="218">
        <v>1</v>
      </c>
      <c r="N180" s="218" t="s">
        <v>8132</v>
      </c>
      <c r="O180" s="218" t="s">
        <v>7993</v>
      </c>
      <c r="P180" s="218">
        <v>399</v>
      </c>
      <c r="Q180" s="218" t="s">
        <v>7771</v>
      </c>
      <c r="R180" s="220">
        <v>104</v>
      </c>
    </row>
    <row r="181" spans="1:18">
      <c r="A181" s="217">
        <v>176</v>
      </c>
      <c r="B181" s="218">
        <v>9702078191</v>
      </c>
      <c r="C181" s="218" t="s">
        <v>7763</v>
      </c>
      <c r="D181" s="218" t="s">
        <v>7772</v>
      </c>
      <c r="E181" s="218" t="s">
        <v>8131</v>
      </c>
      <c r="F181" s="218" t="s">
        <v>8131</v>
      </c>
      <c r="G181" s="218" t="s">
        <v>7767</v>
      </c>
      <c r="H181" s="218">
        <v>512</v>
      </c>
      <c r="I181" s="219">
        <v>8960000</v>
      </c>
      <c r="J181" s="219">
        <v>0</v>
      </c>
      <c r="K181" s="219">
        <v>8960000</v>
      </c>
      <c r="L181" s="218" t="s">
        <v>7774</v>
      </c>
      <c r="M181" s="218">
        <v>1</v>
      </c>
      <c r="N181" s="218" t="s">
        <v>8133</v>
      </c>
      <c r="O181" s="218" t="s">
        <v>7993</v>
      </c>
      <c r="P181" s="218">
        <v>399</v>
      </c>
      <c r="Q181" s="218" t="s">
        <v>7771</v>
      </c>
      <c r="R181" s="220">
        <v>104</v>
      </c>
    </row>
    <row r="182" spans="1:18">
      <c r="A182" s="217">
        <v>180</v>
      </c>
      <c r="B182" s="218">
        <v>9702094488</v>
      </c>
      <c r="C182" s="218" t="s">
        <v>7763</v>
      </c>
      <c r="D182" s="218" t="s">
        <v>7772</v>
      </c>
      <c r="E182" s="218" t="s">
        <v>8073</v>
      </c>
      <c r="F182" s="218" t="s">
        <v>8123</v>
      </c>
      <c r="G182" s="218" t="s">
        <v>7767</v>
      </c>
      <c r="H182" s="218">
        <v>512</v>
      </c>
      <c r="I182" s="219">
        <v>8960000</v>
      </c>
      <c r="J182" s="219">
        <v>0</v>
      </c>
      <c r="K182" s="219">
        <v>8960000</v>
      </c>
      <c r="L182" s="218" t="s">
        <v>7774</v>
      </c>
      <c r="M182" s="218">
        <v>1</v>
      </c>
      <c r="N182" s="218" t="s">
        <v>8142</v>
      </c>
      <c r="O182" s="218" t="s">
        <v>7993</v>
      </c>
      <c r="P182" s="218">
        <v>399</v>
      </c>
      <c r="Q182" s="218" t="s">
        <v>7771</v>
      </c>
      <c r="R182" s="220">
        <v>104</v>
      </c>
    </row>
    <row r="183" spans="1:18">
      <c r="A183" s="217">
        <v>192</v>
      </c>
      <c r="B183" s="218">
        <v>9802199579</v>
      </c>
      <c r="C183" s="218" t="s">
        <v>335</v>
      </c>
      <c r="D183" s="218" t="s">
        <v>8065</v>
      </c>
      <c r="E183" s="218" t="s">
        <v>8168</v>
      </c>
      <c r="F183" s="218" t="s">
        <v>8169</v>
      </c>
      <c r="G183" s="218" t="s">
        <v>7767</v>
      </c>
      <c r="H183" s="218">
        <v>1024</v>
      </c>
      <c r="I183" s="219">
        <v>8960000</v>
      </c>
      <c r="J183" s="219">
        <v>0</v>
      </c>
      <c r="K183" s="219">
        <v>8960000</v>
      </c>
      <c r="L183" s="218" t="s">
        <v>7781</v>
      </c>
      <c r="M183" s="218">
        <v>1</v>
      </c>
      <c r="N183" s="218" t="s">
        <v>8170</v>
      </c>
      <c r="O183" s="218" t="s">
        <v>7993</v>
      </c>
      <c r="P183" s="218">
        <v>399</v>
      </c>
      <c r="Q183" s="218" t="s">
        <v>7771</v>
      </c>
      <c r="R183" s="220">
        <v>100</v>
      </c>
    </row>
    <row r="184" spans="1:18">
      <c r="A184" s="217">
        <v>235</v>
      </c>
      <c r="B184" s="218">
        <v>40102364207</v>
      </c>
      <c r="C184" s="218" t="s">
        <v>7763</v>
      </c>
      <c r="D184" s="218" t="s">
        <v>7772</v>
      </c>
      <c r="E184" s="218" t="s">
        <v>8246</v>
      </c>
      <c r="F184" s="218" t="s">
        <v>7780</v>
      </c>
      <c r="G184" s="218" t="s">
        <v>7767</v>
      </c>
      <c r="H184" s="218">
        <v>512</v>
      </c>
      <c r="I184" s="219">
        <v>8960000</v>
      </c>
      <c r="J184" s="219">
        <v>0</v>
      </c>
      <c r="K184" s="219">
        <v>8960000</v>
      </c>
      <c r="L184" s="218" t="s">
        <v>7774</v>
      </c>
      <c r="M184" s="218">
        <v>1</v>
      </c>
      <c r="N184" s="218" t="s">
        <v>8247</v>
      </c>
      <c r="O184" s="218" t="s">
        <v>7993</v>
      </c>
      <c r="P184" s="218">
        <v>399</v>
      </c>
      <c r="Q184" s="218" t="s">
        <v>7771</v>
      </c>
      <c r="R184" s="220">
        <v>104</v>
      </c>
    </row>
    <row r="185" spans="1:18">
      <c r="A185" s="217">
        <v>236</v>
      </c>
      <c r="B185" s="218">
        <v>40102364217</v>
      </c>
      <c r="C185" s="218" t="s">
        <v>7763</v>
      </c>
      <c r="D185" s="218" t="s">
        <v>7772</v>
      </c>
      <c r="E185" s="218" t="s">
        <v>8248</v>
      </c>
      <c r="F185" s="218" t="s">
        <v>7780</v>
      </c>
      <c r="G185" s="218" t="s">
        <v>7767</v>
      </c>
      <c r="H185" s="218">
        <v>512</v>
      </c>
      <c r="I185" s="219">
        <v>8960000</v>
      </c>
      <c r="J185" s="219">
        <v>0</v>
      </c>
      <c r="K185" s="219">
        <v>8960000</v>
      </c>
      <c r="L185" s="218" t="s">
        <v>7774</v>
      </c>
      <c r="M185" s="218">
        <v>1</v>
      </c>
      <c r="N185" s="218" t="s">
        <v>8249</v>
      </c>
      <c r="O185" s="218" t="s">
        <v>7993</v>
      </c>
      <c r="P185" s="218">
        <v>399</v>
      </c>
      <c r="Q185" s="218" t="s">
        <v>7771</v>
      </c>
      <c r="R185" s="220">
        <v>104</v>
      </c>
    </row>
    <row r="186" spans="1:18">
      <c r="A186" s="217">
        <v>237</v>
      </c>
      <c r="B186" s="218">
        <v>40102364223</v>
      </c>
      <c r="C186" s="218" t="s">
        <v>7763</v>
      </c>
      <c r="D186" s="218" t="s">
        <v>7772</v>
      </c>
      <c r="E186" s="218" t="s">
        <v>8250</v>
      </c>
      <c r="F186" s="218" t="s">
        <v>7780</v>
      </c>
      <c r="G186" s="218" t="s">
        <v>7767</v>
      </c>
      <c r="H186" s="218">
        <v>512</v>
      </c>
      <c r="I186" s="219">
        <v>8960000</v>
      </c>
      <c r="J186" s="219">
        <v>0</v>
      </c>
      <c r="K186" s="219">
        <v>8960000</v>
      </c>
      <c r="L186" s="218" t="s">
        <v>7774</v>
      </c>
      <c r="M186" s="218">
        <v>1</v>
      </c>
      <c r="N186" s="218" t="s">
        <v>8251</v>
      </c>
      <c r="O186" s="218" t="s">
        <v>7993</v>
      </c>
      <c r="P186" s="218">
        <v>399</v>
      </c>
      <c r="Q186" s="218" t="s">
        <v>7771</v>
      </c>
      <c r="R186" s="220">
        <v>104</v>
      </c>
    </row>
    <row r="187" spans="1:18">
      <c r="A187" s="217">
        <v>247</v>
      </c>
      <c r="B187" s="218">
        <v>381079</v>
      </c>
      <c r="C187" s="218" t="s">
        <v>7763</v>
      </c>
      <c r="D187" s="218" t="s">
        <v>7772</v>
      </c>
      <c r="E187" s="218" t="s">
        <v>8269</v>
      </c>
      <c r="F187" s="218" t="s">
        <v>7780</v>
      </c>
      <c r="G187" s="218" t="s">
        <v>7767</v>
      </c>
      <c r="H187" s="218">
        <v>512</v>
      </c>
      <c r="I187" s="219">
        <v>8960000</v>
      </c>
      <c r="J187" s="219">
        <v>0</v>
      </c>
      <c r="K187" s="219">
        <v>8960000</v>
      </c>
      <c r="L187" s="218" t="s">
        <v>7774</v>
      </c>
      <c r="M187" s="218">
        <v>1</v>
      </c>
      <c r="N187" s="218" t="s">
        <v>8270</v>
      </c>
      <c r="O187" s="218" t="s">
        <v>7993</v>
      </c>
      <c r="P187" s="218">
        <v>399</v>
      </c>
      <c r="Q187" s="218" t="s">
        <v>7771</v>
      </c>
      <c r="R187" s="220">
        <v>104</v>
      </c>
    </row>
    <row r="188" spans="1:18">
      <c r="A188" s="217">
        <v>248</v>
      </c>
      <c r="B188" s="218">
        <v>381080</v>
      </c>
      <c r="C188" s="218" t="s">
        <v>7763</v>
      </c>
      <c r="D188" s="218" t="s">
        <v>7772</v>
      </c>
      <c r="E188" s="218" t="s">
        <v>8271</v>
      </c>
      <c r="F188" s="218" t="s">
        <v>7780</v>
      </c>
      <c r="G188" s="218" t="s">
        <v>7767</v>
      </c>
      <c r="H188" s="218">
        <v>512</v>
      </c>
      <c r="I188" s="219">
        <v>8960000</v>
      </c>
      <c r="J188" s="219">
        <v>0</v>
      </c>
      <c r="K188" s="219">
        <v>8960000</v>
      </c>
      <c r="L188" s="218" t="s">
        <v>7774</v>
      </c>
      <c r="M188" s="218">
        <v>1</v>
      </c>
      <c r="N188" s="218" t="s">
        <v>8272</v>
      </c>
      <c r="O188" s="218" t="s">
        <v>7993</v>
      </c>
      <c r="P188" s="218">
        <v>399</v>
      </c>
      <c r="Q188" s="218" t="s">
        <v>7771</v>
      </c>
      <c r="R188" s="220">
        <v>104</v>
      </c>
    </row>
    <row r="189" spans="1:18">
      <c r="A189" s="217">
        <v>250</v>
      </c>
      <c r="B189" s="218">
        <v>391712</v>
      </c>
      <c r="C189" s="218" t="s">
        <v>7763</v>
      </c>
      <c r="D189" s="218" t="s">
        <v>7772</v>
      </c>
      <c r="E189" s="218" t="s">
        <v>8276</v>
      </c>
      <c r="F189" s="218" t="s">
        <v>7780</v>
      </c>
      <c r="G189" s="218" t="s">
        <v>7767</v>
      </c>
      <c r="H189" s="218">
        <v>512</v>
      </c>
      <c r="I189" s="219">
        <v>8960000</v>
      </c>
      <c r="J189" s="219">
        <v>0</v>
      </c>
      <c r="K189" s="219">
        <v>8960000</v>
      </c>
      <c r="L189" s="218" t="s">
        <v>7774</v>
      </c>
      <c r="M189" s="218">
        <v>1</v>
      </c>
      <c r="N189" s="218" t="s">
        <v>8277</v>
      </c>
      <c r="O189" s="218" t="s">
        <v>7993</v>
      </c>
      <c r="P189" s="218">
        <v>399</v>
      </c>
      <c r="Q189" s="218" t="s">
        <v>7771</v>
      </c>
      <c r="R189" s="220">
        <v>104</v>
      </c>
    </row>
    <row r="190" spans="1:18">
      <c r="A190" s="217">
        <v>251</v>
      </c>
      <c r="B190" s="218">
        <v>391730</v>
      </c>
      <c r="C190" s="218" t="s">
        <v>7763</v>
      </c>
      <c r="D190" s="218" t="s">
        <v>7772</v>
      </c>
      <c r="E190" s="218" t="s">
        <v>8276</v>
      </c>
      <c r="F190" s="218" t="s">
        <v>7780</v>
      </c>
      <c r="G190" s="218" t="s">
        <v>7767</v>
      </c>
      <c r="H190" s="218">
        <v>512</v>
      </c>
      <c r="I190" s="219">
        <v>8960000</v>
      </c>
      <c r="J190" s="219">
        <v>0</v>
      </c>
      <c r="K190" s="219">
        <v>8960000</v>
      </c>
      <c r="L190" s="218" t="s">
        <v>7774</v>
      </c>
      <c r="M190" s="218">
        <v>1</v>
      </c>
      <c r="N190" s="218" t="s">
        <v>7794</v>
      </c>
      <c r="O190" s="218" t="s">
        <v>7993</v>
      </c>
      <c r="P190" s="218">
        <v>399</v>
      </c>
      <c r="Q190" s="218" t="s">
        <v>7771</v>
      </c>
      <c r="R190" s="220">
        <v>104</v>
      </c>
    </row>
    <row r="191" spans="1:18">
      <c r="A191" s="217">
        <v>252</v>
      </c>
      <c r="B191" s="218">
        <v>391731</v>
      </c>
      <c r="C191" s="218" t="s">
        <v>7763</v>
      </c>
      <c r="D191" s="218" t="s">
        <v>7772</v>
      </c>
      <c r="E191" s="218" t="s">
        <v>8273</v>
      </c>
      <c r="F191" s="218" t="s">
        <v>7780</v>
      </c>
      <c r="G191" s="218" t="s">
        <v>7767</v>
      </c>
      <c r="H191" s="218">
        <v>512</v>
      </c>
      <c r="I191" s="219">
        <v>8960000</v>
      </c>
      <c r="J191" s="219">
        <v>0</v>
      </c>
      <c r="K191" s="219">
        <v>8960000</v>
      </c>
      <c r="L191" s="218" t="s">
        <v>7774</v>
      </c>
      <c r="M191" s="218">
        <v>1</v>
      </c>
      <c r="N191" s="218" t="s">
        <v>8278</v>
      </c>
      <c r="O191" s="218" t="s">
        <v>7993</v>
      </c>
      <c r="P191" s="218">
        <v>399</v>
      </c>
      <c r="Q191" s="218" t="s">
        <v>7771</v>
      </c>
      <c r="R191" s="220">
        <v>104</v>
      </c>
    </row>
    <row r="192" spans="1:18" s="269" customFormat="1">
      <c r="A192" s="519">
        <v>256</v>
      </c>
      <c r="B192" s="510">
        <v>521024</v>
      </c>
      <c r="C192" s="510" t="s">
        <v>7763</v>
      </c>
      <c r="D192" s="510" t="s">
        <v>7772</v>
      </c>
      <c r="E192" s="510" t="s">
        <v>8287</v>
      </c>
      <c r="F192" s="510" t="s">
        <v>8274</v>
      </c>
      <c r="G192" s="510" t="s">
        <v>7767</v>
      </c>
      <c r="H192" s="510">
        <v>512</v>
      </c>
      <c r="I192" s="348">
        <v>8960000</v>
      </c>
      <c r="J192" s="348">
        <v>0</v>
      </c>
      <c r="K192" s="348">
        <v>8960000</v>
      </c>
      <c r="L192" s="510" t="s">
        <v>7774</v>
      </c>
      <c r="M192" s="510">
        <v>1</v>
      </c>
      <c r="N192" s="510" t="s">
        <v>8288</v>
      </c>
      <c r="O192" s="510" t="s">
        <v>7993</v>
      </c>
      <c r="P192" s="510">
        <v>399</v>
      </c>
      <c r="Q192" s="510" t="s">
        <v>7771</v>
      </c>
      <c r="R192" s="520">
        <v>104</v>
      </c>
    </row>
    <row r="193" spans="1:18">
      <c r="A193" s="217">
        <v>257</v>
      </c>
      <c r="B193" s="218">
        <v>521030</v>
      </c>
      <c r="C193" s="218" t="s">
        <v>7763</v>
      </c>
      <c r="D193" s="218" t="s">
        <v>7772</v>
      </c>
      <c r="E193" s="218" t="s">
        <v>8273</v>
      </c>
      <c r="F193" s="218" t="s">
        <v>7802</v>
      </c>
      <c r="G193" s="218" t="s">
        <v>7767</v>
      </c>
      <c r="H193" s="218">
        <v>512</v>
      </c>
      <c r="I193" s="219">
        <v>8960000</v>
      </c>
      <c r="J193" s="219">
        <v>0</v>
      </c>
      <c r="K193" s="219">
        <v>8960000</v>
      </c>
      <c r="L193" s="218" t="s">
        <v>7774</v>
      </c>
      <c r="M193" s="218">
        <v>1</v>
      </c>
      <c r="N193" s="218" t="s">
        <v>8097</v>
      </c>
      <c r="O193" s="218" t="s">
        <v>7993</v>
      </c>
      <c r="P193" s="218">
        <v>399</v>
      </c>
      <c r="Q193" s="218" t="s">
        <v>7771</v>
      </c>
      <c r="R193" s="220">
        <v>104</v>
      </c>
    </row>
    <row r="194" spans="1:18">
      <c r="A194" s="217">
        <v>258</v>
      </c>
      <c r="B194" s="218">
        <v>521032</v>
      </c>
      <c r="C194" s="218" t="s">
        <v>7763</v>
      </c>
      <c r="D194" s="218" t="s">
        <v>7772</v>
      </c>
      <c r="E194" s="218" t="s">
        <v>8289</v>
      </c>
      <c r="F194" s="218" t="s">
        <v>7780</v>
      </c>
      <c r="G194" s="218" t="s">
        <v>7767</v>
      </c>
      <c r="H194" s="218">
        <v>512</v>
      </c>
      <c r="I194" s="219">
        <v>8960000</v>
      </c>
      <c r="J194" s="219">
        <v>0</v>
      </c>
      <c r="K194" s="219">
        <v>8960000</v>
      </c>
      <c r="L194" s="218" t="s">
        <v>7774</v>
      </c>
      <c r="M194" s="218">
        <v>1</v>
      </c>
      <c r="N194" s="218" t="s">
        <v>8290</v>
      </c>
      <c r="O194" s="218" t="s">
        <v>7993</v>
      </c>
      <c r="P194" s="218">
        <v>399</v>
      </c>
      <c r="Q194" s="218" t="s">
        <v>7771</v>
      </c>
      <c r="R194" s="220">
        <v>104</v>
      </c>
    </row>
    <row r="195" spans="1:18">
      <c r="A195" s="217">
        <v>259</v>
      </c>
      <c r="B195" s="218">
        <v>521033</v>
      </c>
      <c r="C195" s="218" t="s">
        <v>7763</v>
      </c>
      <c r="D195" s="218" t="s">
        <v>7772</v>
      </c>
      <c r="E195" s="218" t="s">
        <v>8273</v>
      </c>
      <c r="F195" s="218" t="s">
        <v>7780</v>
      </c>
      <c r="G195" s="218" t="s">
        <v>7767</v>
      </c>
      <c r="H195" s="218">
        <v>512</v>
      </c>
      <c r="I195" s="219">
        <v>8960000</v>
      </c>
      <c r="J195" s="219">
        <v>0</v>
      </c>
      <c r="K195" s="219">
        <v>8960000</v>
      </c>
      <c r="L195" s="218" t="s">
        <v>7774</v>
      </c>
      <c r="M195" s="218">
        <v>1</v>
      </c>
      <c r="N195" s="218" t="s">
        <v>8291</v>
      </c>
      <c r="O195" s="218" t="s">
        <v>7993</v>
      </c>
      <c r="P195" s="218">
        <v>399</v>
      </c>
      <c r="Q195" s="218" t="s">
        <v>7771</v>
      </c>
      <c r="R195" s="220">
        <v>104</v>
      </c>
    </row>
    <row r="196" spans="1:18">
      <c r="A196" s="217">
        <v>260</v>
      </c>
      <c r="B196" s="218">
        <v>521035</v>
      </c>
      <c r="C196" s="218" t="s">
        <v>7763</v>
      </c>
      <c r="D196" s="218" t="s">
        <v>7772</v>
      </c>
      <c r="E196" s="218" t="s">
        <v>8292</v>
      </c>
      <c r="F196" s="218" t="s">
        <v>7780</v>
      </c>
      <c r="G196" s="218" t="s">
        <v>7767</v>
      </c>
      <c r="H196" s="218">
        <v>512</v>
      </c>
      <c r="I196" s="219">
        <v>8960000</v>
      </c>
      <c r="J196" s="219">
        <v>0</v>
      </c>
      <c r="K196" s="219">
        <v>8960000</v>
      </c>
      <c r="L196" s="218" t="s">
        <v>7774</v>
      </c>
      <c r="M196" s="218">
        <v>1</v>
      </c>
      <c r="N196" s="218" t="s">
        <v>8293</v>
      </c>
      <c r="O196" s="218" t="s">
        <v>7993</v>
      </c>
      <c r="P196" s="218">
        <v>399</v>
      </c>
      <c r="Q196" s="218" t="s">
        <v>7771</v>
      </c>
      <c r="R196" s="220">
        <v>104</v>
      </c>
    </row>
    <row r="197" spans="1:18">
      <c r="A197" s="217">
        <v>272</v>
      </c>
      <c r="B197" s="218">
        <v>545288</v>
      </c>
      <c r="C197" s="218" t="s">
        <v>7763</v>
      </c>
      <c r="D197" s="218" t="s">
        <v>7772</v>
      </c>
      <c r="E197" s="218" t="s">
        <v>8313</v>
      </c>
      <c r="F197" s="218" t="s">
        <v>7780</v>
      </c>
      <c r="G197" s="218" t="s">
        <v>7767</v>
      </c>
      <c r="H197" s="218">
        <v>512</v>
      </c>
      <c r="I197" s="219">
        <v>8960000</v>
      </c>
      <c r="J197" s="219">
        <v>0</v>
      </c>
      <c r="K197" s="219">
        <v>8960000</v>
      </c>
      <c r="L197" s="218" t="s">
        <v>7774</v>
      </c>
      <c r="M197" s="218">
        <v>1</v>
      </c>
      <c r="N197" s="218" t="s">
        <v>8314</v>
      </c>
      <c r="O197" s="218" t="s">
        <v>7993</v>
      </c>
      <c r="P197" s="218">
        <v>399</v>
      </c>
      <c r="Q197" s="218" t="s">
        <v>7771</v>
      </c>
      <c r="R197" s="220">
        <v>104</v>
      </c>
    </row>
    <row r="198" spans="1:18">
      <c r="A198" s="217">
        <v>273</v>
      </c>
      <c r="B198" s="218">
        <v>550008</v>
      </c>
      <c r="C198" s="218" t="s">
        <v>7763</v>
      </c>
      <c r="D198" s="218" t="s">
        <v>7772</v>
      </c>
      <c r="E198" s="218" t="s">
        <v>8315</v>
      </c>
      <c r="F198" s="218" t="s">
        <v>7780</v>
      </c>
      <c r="G198" s="218" t="s">
        <v>7767</v>
      </c>
      <c r="H198" s="218">
        <v>512</v>
      </c>
      <c r="I198" s="219">
        <v>8960000</v>
      </c>
      <c r="J198" s="219">
        <v>0</v>
      </c>
      <c r="K198" s="219">
        <v>8960000</v>
      </c>
      <c r="L198" s="218" t="s">
        <v>7774</v>
      </c>
      <c r="M198" s="218">
        <v>1</v>
      </c>
      <c r="N198" s="218" t="s">
        <v>8316</v>
      </c>
      <c r="O198" s="218" t="s">
        <v>7993</v>
      </c>
      <c r="P198" s="218">
        <v>399</v>
      </c>
      <c r="Q198" s="218" t="s">
        <v>7771</v>
      </c>
      <c r="R198" s="220">
        <v>104</v>
      </c>
    </row>
    <row r="199" spans="1:18">
      <c r="A199" s="217">
        <v>274</v>
      </c>
      <c r="B199" s="218">
        <v>550011</v>
      </c>
      <c r="C199" s="218" t="s">
        <v>7763</v>
      </c>
      <c r="D199" s="218" t="s">
        <v>7772</v>
      </c>
      <c r="E199" s="218" t="s">
        <v>8317</v>
      </c>
      <c r="F199" s="218" t="s">
        <v>8123</v>
      </c>
      <c r="G199" s="218" t="s">
        <v>7767</v>
      </c>
      <c r="H199" s="218">
        <v>512</v>
      </c>
      <c r="I199" s="219">
        <v>8960000</v>
      </c>
      <c r="J199" s="219">
        <v>0</v>
      </c>
      <c r="K199" s="219">
        <v>8960000</v>
      </c>
      <c r="L199" s="218" t="s">
        <v>7774</v>
      </c>
      <c r="M199" s="218">
        <v>1</v>
      </c>
      <c r="N199" s="218" t="s">
        <v>8318</v>
      </c>
      <c r="O199" s="218" t="s">
        <v>7993</v>
      </c>
      <c r="P199" s="218">
        <v>399</v>
      </c>
      <c r="Q199" s="218" t="s">
        <v>7771</v>
      </c>
      <c r="R199" s="220">
        <v>104</v>
      </c>
    </row>
    <row r="200" spans="1:18">
      <c r="A200" s="217">
        <v>275</v>
      </c>
      <c r="B200" s="218">
        <v>550012</v>
      </c>
      <c r="C200" s="218" t="s">
        <v>7763</v>
      </c>
      <c r="D200" s="218" t="s">
        <v>7772</v>
      </c>
      <c r="E200" s="218" t="s">
        <v>8315</v>
      </c>
      <c r="F200" s="218" t="s">
        <v>8199</v>
      </c>
      <c r="G200" s="218" t="s">
        <v>7767</v>
      </c>
      <c r="H200" s="218">
        <v>512</v>
      </c>
      <c r="I200" s="219">
        <v>8960000</v>
      </c>
      <c r="J200" s="219">
        <v>0</v>
      </c>
      <c r="K200" s="219">
        <v>8960000</v>
      </c>
      <c r="L200" s="218" t="s">
        <v>7774</v>
      </c>
      <c r="M200" s="218">
        <v>1</v>
      </c>
      <c r="N200" s="218" t="s">
        <v>8319</v>
      </c>
      <c r="O200" s="218" t="s">
        <v>7993</v>
      </c>
      <c r="P200" s="218">
        <v>399</v>
      </c>
      <c r="Q200" s="218" t="s">
        <v>7771</v>
      </c>
      <c r="R200" s="220">
        <v>104</v>
      </c>
    </row>
    <row r="201" spans="1:18">
      <c r="A201" s="217">
        <v>276</v>
      </c>
      <c r="B201" s="218">
        <v>550013</v>
      </c>
      <c r="C201" s="218" t="s">
        <v>7763</v>
      </c>
      <c r="D201" s="218" t="s">
        <v>7772</v>
      </c>
      <c r="E201" s="218" t="s">
        <v>8320</v>
      </c>
      <c r="F201" s="218" t="s">
        <v>7780</v>
      </c>
      <c r="G201" s="218" t="s">
        <v>7767</v>
      </c>
      <c r="H201" s="218">
        <v>512</v>
      </c>
      <c r="I201" s="219">
        <v>8960000</v>
      </c>
      <c r="J201" s="219">
        <v>0</v>
      </c>
      <c r="K201" s="219">
        <v>8960000</v>
      </c>
      <c r="L201" s="218" t="s">
        <v>7774</v>
      </c>
      <c r="M201" s="218">
        <v>1</v>
      </c>
      <c r="N201" s="218" t="s">
        <v>8321</v>
      </c>
      <c r="O201" s="218" t="s">
        <v>7993</v>
      </c>
      <c r="P201" s="218">
        <v>399</v>
      </c>
      <c r="Q201" s="218" t="s">
        <v>7771</v>
      </c>
      <c r="R201" s="220">
        <v>104</v>
      </c>
    </row>
    <row r="202" spans="1:18">
      <c r="A202" s="217">
        <v>277</v>
      </c>
      <c r="B202" s="218">
        <v>550014</v>
      </c>
      <c r="C202" s="218" t="s">
        <v>7763</v>
      </c>
      <c r="D202" s="218" t="s">
        <v>7772</v>
      </c>
      <c r="E202" s="218" t="s">
        <v>8322</v>
      </c>
      <c r="F202" s="218" t="s">
        <v>8323</v>
      </c>
      <c r="G202" s="218" t="s">
        <v>7767</v>
      </c>
      <c r="H202" s="218">
        <v>512</v>
      </c>
      <c r="I202" s="219">
        <v>8960000</v>
      </c>
      <c r="J202" s="219">
        <v>0</v>
      </c>
      <c r="K202" s="219">
        <v>8960000</v>
      </c>
      <c r="L202" s="218" t="s">
        <v>7774</v>
      </c>
      <c r="M202" s="218">
        <v>1</v>
      </c>
      <c r="N202" s="218" t="s">
        <v>8324</v>
      </c>
      <c r="O202" s="218" t="s">
        <v>7993</v>
      </c>
      <c r="P202" s="218">
        <v>399</v>
      </c>
      <c r="Q202" s="218" t="s">
        <v>7771</v>
      </c>
      <c r="R202" s="220">
        <v>104</v>
      </c>
    </row>
    <row r="203" spans="1:18">
      <c r="A203" s="217">
        <v>278</v>
      </c>
      <c r="B203" s="218">
        <v>550016</v>
      </c>
      <c r="C203" s="218" t="s">
        <v>7763</v>
      </c>
      <c r="D203" s="218" t="s">
        <v>7772</v>
      </c>
      <c r="E203" s="218" t="s">
        <v>8322</v>
      </c>
      <c r="F203" s="218" t="s">
        <v>7780</v>
      </c>
      <c r="G203" s="218" t="s">
        <v>7767</v>
      </c>
      <c r="H203" s="218">
        <v>512</v>
      </c>
      <c r="I203" s="219">
        <v>8960000</v>
      </c>
      <c r="J203" s="219">
        <v>0</v>
      </c>
      <c r="K203" s="219">
        <v>8960000</v>
      </c>
      <c r="L203" s="218" t="s">
        <v>7774</v>
      </c>
      <c r="M203" s="218">
        <v>1</v>
      </c>
      <c r="N203" s="218" t="s">
        <v>8245</v>
      </c>
      <c r="O203" s="218" t="s">
        <v>7993</v>
      </c>
      <c r="P203" s="218">
        <v>399</v>
      </c>
      <c r="Q203" s="218" t="s">
        <v>7771</v>
      </c>
      <c r="R203" s="220">
        <v>104</v>
      </c>
    </row>
    <row r="204" spans="1:18">
      <c r="A204" s="217">
        <v>279</v>
      </c>
      <c r="B204" s="218">
        <v>550017</v>
      </c>
      <c r="C204" s="218" t="s">
        <v>7763</v>
      </c>
      <c r="D204" s="218" t="s">
        <v>7772</v>
      </c>
      <c r="E204" s="218" t="s">
        <v>8325</v>
      </c>
      <c r="F204" s="218" t="s">
        <v>7780</v>
      </c>
      <c r="G204" s="218" t="s">
        <v>7767</v>
      </c>
      <c r="H204" s="218">
        <v>512</v>
      </c>
      <c r="I204" s="219">
        <v>8960000</v>
      </c>
      <c r="J204" s="219">
        <v>0</v>
      </c>
      <c r="K204" s="219">
        <v>8960000</v>
      </c>
      <c r="L204" s="218" t="s">
        <v>7774</v>
      </c>
      <c r="M204" s="218">
        <v>1</v>
      </c>
      <c r="N204" s="218" t="s">
        <v>8326</v>
      </c>
      <c r="O204" s="218" t="s">
        <v>7993</v>
      </c>
      <c r="P204" s="218">
        <v>399</v>
      </c>
      <c r="Q204" s="218" t="s">
        <v>7771</v>
      </c>
      <c r="R204" s="220">
        <v>104</v>
      </c>
    </row>
    <row r="205" spans="1:18">
      <c r="A205" s="217">
        <v>280</v>
      </c>
      <c r="B205" s="218">
        <v>550359</v>
      </c>
      <c r="C205" s="218" t="s">
        <v>7763</v>
      </c>
      <c r="D205" s="218" t="s">
        <v>7772</v>
      </c>
      <c r="E205" s="218" t="s">
        <v>8327</v>
      </c>
      <c r="F205" s="218" t="s">
        <v>7802</v>
      </c>
      <c r="G205" s="218" t="s">
        <v>7767</v>
      </c>
      <c r="H205" s="218">
        <v>512</v>
      </c>
      <c r="I205" s="219">
        <v>8960000</v>
      </c>
      <c r="J205" s="219">
        <v>0</v>
      </c>
      <c r="K205" s="219">
        <v>8960000</v>
      </c>
      <c r="L205" s="218" t="s">
        <v>7774</v>
      </c>
      <c r="M205" s="218">
        <v>1</v>
      </c>
      <c r="N205" s="218" t="s">
        <v>8104</v>
      </c>
      <c r="O205" s="218" t="s">
        <v>7993</v>
      </c>
      <c r="P205" s="218">
        <v>399</v>
      </c>
      <c r="Q205" s="218" t="s">
        <v>7771</v>
      </c>
      <c r="R205" s="220">
        <v>104</v>
      </c>
    </row>
    <row r="206" spans="1:18">
      <c r="A206" s="217">
        <v>281</v>
      </c>
      <c r="B206" s="218">
        <v>550498</v>
      </c>
      <c r="C206" s="218" t="s">
        <v>7763</v>
      </c>
      <c r="D206" s="218" t="s">
        <v>7772</v>
      </c>
      <c r="E206" s="218" t="s">
        <v>8328</v>
      </c>
      <c r="F206" s="218" t="s">
        <v>7780</v>
      </c>
      <c r="G206" s="218" t="s">
        <v>7767</v>
      </c>
      <c r="H206" s="218">
        <v>512</v>
      </c>
      <c r="I206" s="219">
        <v>8960000</v>
      </c>
      <c r="J206" s="219">
        <v>0</v>
      </c>
      <c r="K206" s="219">
        <v>8960000</v>
      </c>
      <c r="L206" s="218" t="s">
        <v>7774</v>
      </c>
      <c r="M206" s="218">
        <v>1</v>
      </c>
      <c r="N206" s="218" t="s">
        <v>8329</v>
      </c>
      <c r="O206" s="218" t="s">
        <v>7993</v>
      </c>
      <c r="P206" s="218">
        <v>399</v>
      </c>
      <c r="Q206" s="218" t="s">
        <v>7771</v>
      </c>
      <c r="R206" s="220">
        <v>104</v>
      </c>
    </row>
    <row r="207" spans="1:18">
      <c r="A207" s="217">
        <v>282</v>
      </c>
      <c r="B207" s="218">
        <v>551360</v>
      </c>
      <c r="C207" s="218" t="s">
        <v>7763</v>
      </c>
      <c r="D207" s="218" t="s">
        <v>7772</v>
      </c>
      <c r="E207" s="218" t="s">
        <v>8330</v>
      </c>
      <c r="F207" s="218" t="s">
        <v>7780</v>
      </c>
      <c r="G207" s="218" t="s">
        <v>7767</v>
      </c>
      <c r="H207" s="218">
        <v>512</v>
      </c>
      <c r="I207" s="219">
        <v>8960000</v>
      </c>
      <c r="J207" s="219">
        <v>0</v>
      </c>
      <c r="K207" s="219">
        <v>8960000</v>
      </c>
      <c r="L207" s="218" t="s">
        <v>7774</v>
      </c>
      <c r="M207" s="218">
        <v>1</v>
      </c>
      <c r="N207" s="218" t="s">
        <v>8331</v>
      </c>
      <c r="O207" s="218" t="s">
        <v>7993</v>
      </c>
      <c r="P207" s="218">
        <v>399</v>
      </c>
      <c r="Q207" s="218" t="s">
        <v>7771</v>
      </c>
      <c r="R207" s="220">
        <v>104</v>
      </c>
    </row>
    <row r="208" spans="1:18">
      <c r="A208" s="217">
        <v>352</v>
      </c>
      <c r="B208" s="218">
        <v>9902221783</v>
      </c>
      <c r="C208" s="218" t="s">
        <v>7763</v>
      </c>
      <c r="D208" s="218" t="s">
        <v>7772</v>
      </c>
      <c r="E208" s="218" t="s">
        <v>8443</v>
      </c>
      <c r="F208" s="218" t="s">
        <v>8446</v>
      </c>
      <c r="G208" s="218" t="s">
        <v>7767</v>
      </c>
      <c r="H208" s="218">
        <v>512</v>
      </c>
      <c r="I208" s="219">
        <v>8960000</v>
      </c>
      <c r="J208" s="219">
        <v>0</v>
      </c>
      <c r="K208" s="219">
        <v>8960000</v>
      </c>
      <c r="L208" s="218" t="s">
        <v>7774</v>
      </c>
      <c r="M208" s="218">
        <v>1</v>
      </c>
      <c r="N208" s="218" t="s">
        <v>8447</v>
      </c>
      <c r="O208" s="218" t="s">
        <v>2449</v>
      </c>
      <c r="P208" s="218">
        <v>399</v>
      </c>
      <c r="Q208" s="218" t="s">
        <v>7771</v>
      </c>
      <c r="R208" s="220">
        <v>104</v>
      </c>
    </row>
    <row r="209" spans="1:18">
      <c r="A209" s="217">
        <v>422</v>
      </c>
      <c r="B209" s="218">
        <v>9802208178</v>
      </c>
      <c r="C209" s="218" t="s">
        <v>335</v>
      </c>
      <c r="D209" s="218" t="s">
        <v>7772</v>
      </c>
      <c r="E209" s="218" t="s">
        <v>8216</v>
      </c>
      <c r="F209" s="218" t="s">
        <v>8556</v>
      </c>
      <c r="G209" s="218" t="s">
        <v>7767</v>
      </c>
      <c r="H209" s="218">
        <v>1024</v>
      </c>
      <c r="I209" s="219">
        <v>8960000</v>
      </c>
      <c r="J209" s="219">
        <v>0</v>
      </c>
      <c r="K209" s="219">
        <v>8960000</v>
      </c>
      <c r="L209" s="218" t="s">
        <v>7781</v>
      </c>
      <c r="M209" s="218">
        <v>1</v>
      </c>
      <c r="N209" s="218" t="s">
        <v>8557</v>
      </c>
      <c r="O209" s="218" t="s">
        <v>2592</v>
      </c>
      <c r="P209" s="218">
        <v>399</v>
      </c>
      <c r="Q209" s="218" t="s">
        <v>7771</v>
      </c>
      <c r="R209" s="220">
        <v>100</v>
      </c>
    </row>
    <row r="210" spans="1:18">
      <c r="A210" s="217">
        <v>465</v>
      </c>
      <c r="B210" s="218">
        <v>535798</v>
      </c>
      <c r="C210" s="218" t="s">
        <v>7763</v>
      </c>
      <c r="D210" s="218" t="s">
        <v>7772</v>
      </c>
      <c r="E210" s="218" t="s">
        <v>8640</v>
      </c>
      <c r="F210" s="218" t="s">
        <v>7780</v>
      </c>
      <c r="G210" s="218" t="s">
        <v>7767</v>
      </c>
      <c r="H210" s="218">
        <v>512</v>
      </c>
      <c r="I210" s="219">
        <v>8960000</v>
      </c>
      <c r="J210" s="219">
        <v>0</v>
      </c>
      <c r="K210" s="219">
        <v>8960000</v>
      </c>
      <c r="L210" s="218" t="s">
        <v>7774</v>
      </c>
      <c r="M210" s="218">
        <v>1</v>
      </c>
      <c r="N210" s="218" t="s">
        <v>8641</v>
      </c>
      <c r="O210" s="218" t="s">
        <v>3001</v>
      </c>
      <c r="P210" s="218">
        <v>399</v>
      </c>
      <c r="Q210" s="218" t="s">
        <v>7771</v>
      </c>
      <c r="R210" s="220">
        <v>104</v>
      </c>
    </row>
    <row r="211" spans="1:18">
      <c r="A211" s="217">
        <v>473</v>
      </c>
      <c r="B211" s="218">
        <v>627724</v>
      </c>
      <c r="C211" s="218" t="s">
        <v>335</v>
      </c>
      <c r="D211" s="218" t="s">
        <v>8065</v>
      </c>
      <c r="E211" s="218" t="s">
        <v>8656</v>
      </c>
      <c r="F211" s="218" t="s">
        <v>8657</v>
      </c>
      <c r="G211" s="218" t="s">
        <v>7767</v>
      </c>
      <c r="H211" s="218">
        <v>1024</v>
      </c>
      <c r="I211" s="219">
        <v>8960000</v>
      </c>
      <c r="J211" s="219">
        <v>0</v>
      </c>
      <c r="K211" s="219">
        <v>8960000</v>
      </c>
      <c r="L211" s="218" t="s">
        <v>7781</v>
      </c>
      <c r="M211" s="218">
        <v>1</v>
      </c>
      <c r="N211" s="218" t="s">
        <v>8658</v>
      </c>
      <c r="O211" s="218" t="s">
        <v>3018</v>
      </c>
      <c r="P211" s="218">
        <v>399</v>
      </c>
      <c r="Q211" s="218" t="s">
        <v>7771</v>
      </c>
      <c r="R211" s="220">
        <v>100</v>
      </c>
    </row>
    <row r="212" spans="1:18">
      <c r="A212" s="217">
        <v>487</v>
      </c>
      <c r="B212" s="218">
        <v>541749</v>
      </c>
      <c r="C212" s="218" t="s">
        <v>7763</v>
      </c>
      <c r="D212" s="218" t="s">
        <v>7772</v>
      </c>
      <c r="E212" s="218" t="s">
        <v>8678</v>
      </c>
      <c r="F212" s="218" t="s">
        <v>7802</v>
      </c>
      <c r="G212" s="218" t="s">
        <v>7767</v>
      </c>
      <c r="H212" s="218">
        <v>512</v>
      </c>
      <c r="I212" s="219">
        <v>8960000</v>
      </c>
      <c r="J212" s="219">
        <v>0</v>
      </c>
      <c r="K212" s="219">
        <v>8960000</v>
      </c>
      <c r="L212" s="218" t="s">
        <v>7774</v>
      </c>
      <c r="M212" s="218">
        <v>1</v>
      </c>
      <c r="N212" s="218" t="s">
        <v>8631</v>
      </c>
      <c r="O212" s="218" t="s">
        <v>3018</v>
      </c>
      <c r="P212" s="218">
        <v>399</v>
      </c>
      <c r="Q212" s="218" t="s">
        <v>7771</v>
      </c>
      <c r="R212" s="220">
        <v>104</v>
      </c>
    </row>
    <row r="213" spans="1:18">
      <c r="A213" s="217">
        <v>488</v>
      </c>
      <c r="B213" s="218">
        <v>541751</v>
      </c>
      <c r="C213" s="218" t="s">
        <v>7763</v>
      </c>
      <c r="D213" s="218" t="s">
        <v>7772</v>
      </c>
      <c r="E213" s="218" t="s">
        <v>8678</v>
      </c>
      <c r="F213" s="218" t="s">
        <v>7802</v>
      </c>
      <c r="G213" s="218" t="s">
        <v>7767</v>
      </c>
      <c r="H213" s="218">
        <v>512</v>
      </c>
      <c r="I213" s="219">
        <v>8960000</v>
      </c>
      <c r="J213" s="219">
        <v>0</v>
      </c>
      <c r="K213" s="219">
        <v>8960000</v>
      </c>
      <c r="L213" s="218" t="s">
        <v>7774</v>
      </c>
      <c r="M213" s="218">
        <v>1</v>
      </c>
      <c r="N213" s="218" t="s">
        <v>8680</v>
      </c>
      <c r="O213" s="218" t="s">
        <v>3018</v>
      </c>
      <c r="P213" s="218">
        <v>399</v>
      </c>
      <c r="Q213" s="218" t="s">
        <v>7771</v>
      </c>
      <c r="R213" s="220">
        <v>104</v>
      </c>
    </row>
    <row r="214" spans="1:18">
      <c r="A214" s="217">
        <v>509</v>
      </c>
      <c r="B214" s="218">
        <v>536244</v>
      </c>
      <c r="C214" s="218" t="s">
        <v>7763</v>
      </c>
      <c r="D214" s="218" t="s">
        <v>7772</v>
      </c>
      <c r="E214" s="218" t="s">
        <v>8608</v>
      </c>
      <c r="F214" s="218" t="s">
        <v>8711</v>
      </c>
      <c r="G214" s="218" t="s">
        <v>7767</v>
      </c>
      <c r="H214" s="218">
        <v>512</v>
      </c>
      <c r="I214" s="219">
        <v>8960000</v>
      </c>
      <c r="J214" s="219">
        <v>0</v>
      </c>
      <c r="K214" s="219">
        <v>8960000</v>
      </c>
      <c r="L214" s="218" t="s">
        <v>7774</v>
      </c>
      <c r="M214" s="218">
        <v>1</v>
      </c>
      <c r="N214" s="218" t="s">
        <v>8712</v>
      </c>
      <c r="O214" s="218" t="s">
        <v>235</v>
      </c>
      <c r="P214" s="218">
        <v>399</v>
      </c>
      <c r="Q214" s="218" t="s">
        <v>7771</v>
      </c>
      <c r="R214" s="220">
        <v>104</v>
      </c>
    </row>
    <row r="215" spans="1:18">
      <c r="A215" s="217">
        <v>517</v>
      </c>
      <c r="B215" s="218">
        <v>609856</v>
      </c>
      <c r="C215" s="218" t="s">
        <v>7763</v>
      </c>
      <c r="D215" s="218" t="s">
        <v>7772</v>
      </c>
      <c r="E215" s="218" t="s">
        <v>8726</v>
      </c>
      <c r="F215" s="218" t="s">
        <v>8715</v>
      </c>
      <c r="G215" s="218" t="s">
        <v>7767</v>
      </c>
      <c r="H215" s="218">
        <v>512</v>
      </c>
      <c r="I215" s="219">
        <v>8960000</v>
      </c>
      <c r="J215" s="219">
        <v>0</v>
      </c>
      <c r="K215" s="219">
        <v>8960000</v>
      </c>
      <c r="L215" s="218" t="s">
        <v>7774</v>
      </c>
      <c r="M215" s="218">
        <v>1</v>
      </c>
      <c r="N215" s="218" t="s">
        <v>8721</v>
      </c>
      <c r="O215" s="218" t="s">
        <v>235</v>
      </c>
      <c r="P215" s="218">
        <v>399</v>
      </c>
      <c r="Q215" s="218" t="s">
        <v>7771</v>
      </c>
      <c r="R215" s="220">
        <v>104</v>
      </c>
    </row>
    <row r="216" spans="1:18">
      <c r="A216" s="217">
        <v>629</v>
      </c>
      <c r="B216" s="218">
        <v>536391</v>
      </c>
      <c r="C216" s="218" t="s">
        <v>7763</v>
      </c>
      <c r="D216" s="218" t="s">
        <v>7772</v>
      </c>
      <c r="E216" s="218" t="s">
        <v>8928</v>
      </c>
      <c r="F216" s="218" t="s">
        <v>7802</v>
      </c>
      <c r="G216" s="218" t="s">
        <v>7767</v>
      </c>
      <c r="H216" s="218">
        <v>512</v>
      </c>
      <c r="I216" s="219">
        <v>8960000</v>
      </c>
      <c r="J216" s="219">
        <v>0</v>
      </c>
      <c r="K216" s="219">
        <v>8960000</v>
      </c>
      <c r="L216" s="218" t="s">
        <v>7774</v>
      </c>
      <c r="M216" s="218">
        <v>1</v>
      </c>
      <c r="N216" s="218" t="s">
        <v>8929</v>
      </c>
      <c r="O216" s="218" t="s">
        <v>3705</v>
      </c>
      <c r="P216" s="218">
        <v>399</v>
      </c>
      <c r="Q216" s="218" t="s">
        <v>7771</v>
      </c>
      <c r="R216" s="220">
        <v>104</v>
      </c>
    </row>
    <row r="217" spans="1:18">
      <c r="A217" s="217">
        <v>664</v>
      </c>
      <c r="B217" s="218">
        <v>535115</v>
      </c>
      <c r="C217" s="218" t="s">
        <v>7763</v>
      </c>
      <c r="D217" s="218" t="s">
        <v>7772</v>
      </c>
      <c r="E217" s="218" t="s">
        <v>8992</v>
      </c>
      <c r="F217" s="218" t="s">
        <v>8994</v>
      </c>
      <c r="G217" s="218" t="s">
        <v>7767</v>
      </c>
      <c r="H217" s="218">
        <v>512</v>
      </c>
      <c r="I217" s="219">
        <v>8960000</v>
      </c>
      <c r="J217" s="219">
        <v>0</v>
      </c>
      <c r="K217" s="219">
        <v>8960000</v>
      </c>
      <c r="L217" s="218" t="s">
        <v>7774</v>
      </c>
      <c r="M217" s="218">
        <v>1</v>
      </c>
      <c r="N217" s="218" t="s">
        <v>8995</v>
      </c>
      <c r="O217" s="218" t="s">
        <v>8989</v>
      </c>
      <c r="P217" s="218">
        <v>399</v>
      </c>
      <c r="Q217" s="218" t="s">
        <v>7771</v>
      </c>
      <c r="R217" s="220">
        <v>104</v>
      </c>
    </row>
    <row r="218" spans="1:18">
      <c r="A218" s="217">
        <v>666</v>
      </c>
      <c r="B218" s="218">
        <v>548447</v>
      </c>
      <c r="C218" s="218" t="s">
        <v>7763</v>
      </c>
      <c r="D218" s="218" t="s">
        <v>7772</v>
      </c>
      <c r="E218" s="218" t="s">
        <v>8325</v>
      </c>
      <c r="F218" s="218" t="s">
        <v>8998</v>
      </c>
      <c r="G218" s="218" t="s">
        <v>7767</v>
      </c>
      <c r="H218" s="218">
        <v>512</v>
      </c>
      <c r="I218" s="219">
        <v>8960000</v>
      </c>
      <c r="J218" s="219">
        <v>0</v>
      </c>
      <c r="K218" s="219">
        <v>8960000</v>
      </c>
      <c r="L218" s="218" t="s">
        <v>7774</v>
      </c>
      <c r="M218" s="218">
        <v>1</v>
      </c>
      <c r="N218" s="218" t="s">
        <v>8999</v>
      </c>
      <c r="O218" s="218" t="s">
        <v>8989</v>
      </c>
      <c r="P218" s="218">
        <v>399</v>
      </c>
      <c r="Q218" s="218" t="s">
        <v>7771</v>
      </c>
      <c r="R218" s="220">
        <v>104</v>
      </c>
    </row>
    <row r="219" spans="1:18">
      <c r="A219" s="217">
        <v>676</v>
      </c>
      <c r="B219" s="218">
        <v>613784</v>
      </c>
      <c r="C219" s="218" t="s">
        <v>7763</v>
      </c>
      <c r="D219" s="218" t="s">
        <v>7772</v>
      </c>
      <c r="E219" s="218" t="s">
        <v>9012</v>
      </c>
      <c r="F219" s="218" t="s">
        <v>9013</v>
      </c>
      <c r="G219" s="218" t="s">
        <v>7767</v>
      </c>
      <c r="H219" s="218">
        <v>512</v>
      </c>
      <c r="I219" s="219">
        <v>8960000</v>
      </c>
      <c r="J219" s="219">
        <v>0</v>
      </c>
      <c r="K219" s="219">
        <v>8960000</v>
      </c>
      <c r="L219" s="218" t="s">
        <v>7774</v>
      </c>
      <c r="M219" s="218">
        <v>1</v>
      </c>
      <c r="N219" s="218" t="s">
        <v>9014</v>
      </c>
      <c r="O219" s="218" t="s">
        <v>8989</v>
      </c>
      <c r="P219" s="218">
        <v>399</v>
      </c>
      <c r="Q219" s="218" t="s">
        <v>7771</v>
      </c>
      <c r="R219" s="220">
        <v>104</v>
      </c>
    </row>
    <row r="220" spans="1:18">
      <c r="A220" s="217">
        <v>706</v>
      </c>
      <c r="B220" s="218">
        <v>589038</v>
      </c>
      <c r="C220" s="218" t="s">
        <v>7950</v>
      </c>
      <c r="D220" s="218" t="s">
        <v>7772</v>
      </c>
      <c r="E220" s="218" t="s">
        <v>9051</v>
      </c>
      <c r="F220" s="218" t="s">
        <v>9053</v>
      </c>
      <c r="G220" s="218" t="s">
        <v>7767</v>
      </c>
      <c r="H220" s="218">
        <v>1024</v>
      </c>
      <c r="I220" s="219">
        <v>8960000</v>
      </c>
      <c r="J220" s="219">
        <v>0</v>
      </c>
      <c r="K220" s="219">
        <v>8960000</v>
      </c>
      <c r="L220" s="218" t="s">
        <v>7781</v>
      </c>
      <c r="M220" s="218">
        <v>1</v>
      </c>
      <c r="N220" s="218" t="s">
        <v>9056</v>
      </c>
      <c r="O220" s="218" t="s">
        <v>9043</v>
      </c>
      <c r="P220" s="218">
        <v>399</v>
      </c>
      <c r="Q220" s="218" t="s">
        <v>7771</v>
      </c>
      <c r="R220" s="220">
        <v>100</v>
      </c>
    </row>
    <row r="221" spans="1:18">
      <c r="A221" s="217">
        <v>76</v>
      </c>
      <c r="B221" s="218">
        <v>40202475630</v>
      </c>
      <c r="C221" s="218" t="s">
        <v>335</v>
      </c>
      <c r="D221" s="218" t="s">
        <v>7778</v>
      </c>
      <c r="E221" s="218" t="s">
        <v>7929</v>
      </c>
      <c r="F221" s="218" t="s">
        <v>7929</v>
      </c>
      <c r="G221" s="218" t="s">
        <v>7767</v>
      </c>
      <c r="H221" s="218">
        <v>512</v>
      </c>
      <c r="I221" s="219">
        <v>10400000</v>
      </c>
      <c r="J221" s="219">
        <v>0</v>
      </c>
      <c r="K221" s="219">
        <v>10400000</v>
      </c>
      <c r="L221" s="218" t="s">
        <v>7781</v>
      </c>
      <c r="M221" s="218">
        <v>1</v>
      </c>
      <c r="N221" s="218" t="s">
        <v>7930</v>
      </c>
      <c r="O221" s="218" t="s">
        <v>423</v>
      </c>
      <c r="P221" s="218">
        <v>399</v>
      </c>
      <c r="Q221" s="218" t="s">
        <v>7771</v>
      </c>
      <c r="R221" s="220">
        <v>100</v>
      </c>
    </row>
    <row r="222" spans="1:18">
      <c r="A222" s="217">
        <v>105</v>
      </c>
      <c r="B222" s="218">
        <v>639183</v>
      </c>
      <c r="C222" s="218" t="s">
        <v>107</v>
      </c>
      <c r="D222" s="218" t="s">
        <v>7778</v>
      </c>
      <c r="E222" s="218" t="s">
        <v>7994</v>
      </c>
      <c r="F222" s="218" t="s">
        <v>7790</v>
      </c>
      <c r="G222" s="218" t="s">
        <v>7767</v>
      </c>
      <c r="H222" s="218">
        <v>512</v>
      </c>
      <c r="I222" s="219">
        <v>10400000</v>
      </c>
      <c r="J222" s="219">
        <v>0</v>
      </c>
      <c r="K222" s="219">
        <v>10400000</v>
      </c>
      <c r="L222" s="218" t="s">
        <v>7791</v>
      </c>
      <c r="M222" s="218">
        <v>1</v>
      </c>
      <c r="N222" s="218" t="s">
        <v>7995</v>
      </c>
      <c r="O222" s="218" t="s">
        <v>7993</v>
      </c>
      <c r="P222" s="218">
        <v>399</v>
      </c>
      <c r="Q222" s="218" t="s">
        <v>7771</v>
      </c>
      <c r="R222" s="220">
        <v>100</v>
      </c>
    </row>
    <row r="223" spans="1:18">
      <c r="A223" s="217">
        <v>286</v>
      </c>
      <c r="B223" s="218">
        <v>590266</v>
      </c>
      <c r="C223" s="218" t="s">
        <v>107</v>
      </c>
      <c r="D223" s="218" t="s">
        <v>7778</v>
      </c>
      <c r="E223" s="218" t="s">
        <v>8337</v>
      </c>
      <c r="F223" s="218" t="s">
        <v>7790</v>
      </c>
      <c r="G223" s="218" t="s">
        <v>7767</v>
      </c>
      <c r="H223" s="218">
        <v>512</v>
      </c>
      <c r="I223" s="219">
        <v>10400000</v>
      </c>
      <c r="J223" s="219">
        <v>0</v>
      </c>
      <c r="K223" s="219">
        <v>10400000</v>
      </c>
      <c r="L223" s="218" t="s">
        <v>7791</v>
      </c>
      <c r="M223" s="218">
        <v>1</v>
      </c>
      <c r="N223" s="218" t="s">
        <v>8338</v>
      </c>
      <c r="O223" s="218" t="s">
        <v>7993</v>
      </c>
      <c r="P223" s="218">
        <v>399</v>
      </c>
      <c r="Q223" s="218" t="s">
        <v>7771</v>
      </c>
      <c r="R223" s="220">
        <v>104</v>
      </c>
    </row>
    <row r="224" spans="1:18">
      <c r="A224" s="217">
        <v>409</v>
      </c>
      <c r="B224" s="218">
        <v>648429</v>
      </c>
      <c r="C224" s="218" t="s">
        <v>107</v>
      </c>
      <c r="D224" s="218" t="s">
        <v>7778</v>
      </c>
      <c r="E224" s="218" t="s">
        <v>8536</v>
      </c>
      <c r="F224" s="218" t="s">
        <v>7790</v>
      </c>
      <c r="G224" s="218" t="s">
        <v>7767</v>
      </c>
      <c r="H224" s="218">
        <v>512</v>
      </c>
      <c r="I224" s="219">
        <v>10400000</v>
      </c>
      <c r="J224" s="219">
        <v>0</v>
      </c>
      <c r="K224" s="219">
        <v>10400000</v>
      </c>
      <c r="L224" s="218" t="s">
        <v>7791</v>
      </c>
      <c r="M224" s="218">
        <v>1</v>
      </c>
      <c r="N224" s="218" t="s">
        <v>8537</v>
      </c>
      <c r="O224" s="218" t="s">
        <v>2592</v>
      </c>
      <c r="P224" s="218">
        <v>399</v>
      </c>
      <c r="Q224" s="218" t="s">
        <v>7771</v>
      </c>
      <c r="R224" s="220">
        <v>100</v>
      </c>
    </row>
    <row r="225" spans="1:18">
      <c r="A225" s="217">
        <v>411</v>
      </c>
      <c r="B225" s="218">
        <v>650606</v>
      </c>
      <c r="C225" s="218" t="s">
        <v>107</v>
      </c>
      <c r="D225" s="218" t="s">
        <v>7778</v>
      </c>
      <c r="E225" s="218" t="s">
        <v>8026</v>
      </c>
      <c r="F225" s="218" t="s">
        <v>7790</v>
      </c>
      <c r="G225" s="218" t="s">
        <v>7767</v>
      </c>
      <c r="H225" s="218">
        <v>512</v>
      </c>
      <c r="I225" s="219">
        <v>10400000</v>
      </c>
      <c r="J225" s="219">
        <v>0</v>
      </c>
      <c r="K225" s="219">
        <v>10400000</v>
      </c>
      <c r="L225" s="218" t="s">
        <v>7791</v>
      </c>
      <c r="M225" s="218">
        <v>1</v>
      </c>
      <c r="N225" s="218" t="s">
        <v>8539</v>
      </c>
      <c r="O225" s="218" t="s">
        <v>2592</v>
      </c>
      <c r="P225" s="218">
        <v>399</v>
      </c>
      <c r="Q225" s="218" t="s">
        <v>7771</v>
      </c>
      <c r="R225" s="220">
        <v>100</v>
      </c>
    </row>
    <row r="226" spans="1:18">
      <c r="A226" s="217">
        <v>412</v>
      </c>
      <c r="B226" s="218">
        <v>650607</v>
      </c>
      <c r="C226" s="218" t="s">
        <v>107</v>
      </c>
      <c r="D226" s="218" t="s">
        <v>7778</v>
      </c>
      <c r="E226" s="218" t="s">
        <v>8032</v>
      </c>
      <c r="F226" s="218" t="s">
        <v>7790</v>
      </c>
      <c r="G226" s="218" t="s">
        <v>7767</v>
      </c>
      <c r="H226" s="218">
        <v>512</v>
      </c>
      <c r="I226" s="219">
        <v>10400000</v>
      </c>
      <c r="J226" s="219">
        <v>0</v>
      </c>
      <c r="K226" s="219">
        <v>10400000</v>
      </c>
      <c r="L226" s="218" t="s">
        <v>7791</v>
      </c>
      <c r="M226" s="218">
        <v>1</v>
      </c>
      <c r="N226" s="218" t="s">
        <v>8540</v>
      </c>
      <c r="O226" s="218" t="s">
        <v>2592</v>
      </c>
      <c r="P226" s="218">
        <v>399</v>
      </c>
      <c r="Q226" s="218" t="s">
        <v>7771</v>
      </c>
      <c r="R226" s="220">
        <v>100</v>
      </c>
    </row>
    <row r="227" spans="1:18">
      <c r="A227" s="217">
        <v>414</v>
      </c>
      <c r="B227" s="218">
        <v>651552</v>
      </c>
      <c r="C227" s="218" t="s">
        <v>107</v>
      </c>
      <c r="D227" s="218" t="s">
        <v>7778</v>
      </c>
      <c r="E227" s="218" t="s">
        <v>8543</v>
      </c>
      <c r="F227" s="218" t="s">
        <v>7790</v>
      </c>
      <c r="G227" s="218" t="s">
        <v>7767</v>
      </c>
      <c r="H227" s="218">
        <v>512</v>
      </c>
      <c r="I227" s="219">
        <v>10400000</v>
      </c>
      <c r="J227" s="219">
        <v>0</v>
      </c>
      <c r="K227" s="219">
        <v>10400000</v>
      </c>
      <c r="L227" s="218" t="s">
        <v>7791</v>
      </c>
      <c r="M227" s="218">
        <v>1</v>
      </c>
      <c r="N227" s="218" t="s">
        <v>8544</v>
      </c>
      <c r="O227" s="218" t="s">
        <v>2592</v>
      </c>
      <c r="P227" s="218">
        <v>399</v>
      </c>
      <c r="Q227" s="218" t="s">
        <v>7771</v>
      </c>
      <c r="R227" s="220">
        <v>100</v>
      </c>
    </row>
    <row r="228" spans="1:18">
      <c r="A228" s="217">
        <v>415</v>
      </c>
      <c r="B228" s="218">
        <v>651554</v>
      </c>
      <c r="C228" s="218" t="s">
        <v>107</v>
      </c>
      <c r="D228" s="218" t="s">
        <v>7778</v>
      </c>
      <c r="E228" s="218" t="s">
        <v>8059</v>
      </c>
      <c r="F228" s="218" t="s">
        <v>7790</v>
      </c>
      <c r="G228" s="218" t="s">
        <v>7767</v>
      </c>
      <c r="H228" s="218">
        <v>512</v>
      </c>
      <c r="I228" s="219">
        <v>10400000</v>
      </c>
      <c r="J228" s="219">
        <v>0</v>
      </c>
      <c r="K228" s="219">
        <v>10400000</v>
      </c>
      <c r="L228" s="218" t="s">
        <v>7791</v>
      </c>
      <c r="M228" s="218">
        <v>1</v>
      </c>
      <c r="N228" s="218" t="s">
        <v>8545</v>
      </c>
      <c r="O228" s="218" t="s">
        <v>2592</v>
      </c>
      <c r="P228" s="218">
        <v>399</v>
      </c>
      <c r="Q228" s="218" t="s">
        <v>7771</v>
      </c>
      <c r="R228" s="220">
        <v>100</v>
      </c>
    </row>
    <row r="229" spans="1:18">
      <c r="A229" s="217">
        <v>416</v>
      </c>
      <c r="B229" s="218">
        <v>652850</v>
      </c>
      <c r="C229" s="218" t="s">
        <v>107</v>
      </c>
      <c r="D229" s="218" t="s">
        <v>7778</v>
      </c>
      <c r="E229" s="218" t="s">
        <v>8546</v>
      </c>
      <c r="F229" s="218" t="s">
        <v>7790</v>
      </c>
      <c r="G229" s="218" t="s">
        <v>7767</v>
      </c>
      <c r="H229" s="218">
        <v>512</v>
      </c>
      <c r="I229" s="219">
        <v>10400000</v>
      </c>
      <c r="J229" s="219">
        <v>0</v>
      </c>
      <c r="K229" s="219">
        <v>10400000</v>
      </c>
      <c r="L229" s="218" t="s">
        <v>7791</v>
      </c>
      <c r="M229" s="218">
        <v>1</v>
      </c>
      <c r="N229" s="218" t="s">
        <v>8547</v>
      </c>
      <c r="O229" s="218" t="s">
        <v>2592</v>
      </c>
      <c r="P229" s="218">
        <v>399</v>
      </c>
      <c r="Q229" s="218" t="s">
        <v>7771</v>
      </c>
      <c r="R229" s="220">
        <v>100</v>
      </c>
    </row>
    <row r="230" spans="1:18">
      <c r="A230" s="217">
        <v>417</v>
      </c>
      <c r="B230" s="218">
        <v>655938</v>
      </c>
      <c r="C230" s="218" t="s">
        <v>107</v>
      </c>
      <c r="D230" s="218" t="s">
        <v>7778</v>
      </c>
      <c r="E230" s="218" t="s">
        <v>8548</v>
      </c>
      <c r="F230" s="218" t="s">
        <v>7790</v>
      </c>
      <c r="G230" s="218" t="s">
        <v>7767</v>
      </c>
      <c r="H230" s="218">
        <v>512</v>
      </c>
      <c r="I230" s="219">
        <v>10400000</v>
      </c>
      <c r="J230" s="219">
        <v>0</v>
      </c>
      <c r="K230" s="219">
        <v>10400000</v>
      </c>
      <c r="L230" s="218" t="s">
        <v>7791</v>
      </c>
      <c r="M230" s="218">
        <v>1</v>
      </c>
      <c r="N230" s="218" t="s">
        <v>8549</v>
      </c>
      <c r="O230" s="218" t="s">
        <v>2592</v>
      </c>
      <c r="P230" s="218">
        <v>399</v>
      </c>
      <c r="Q230" s="218" t="s">
        <v>7771</v>
      </c>
      <c r="R230" s="220">
        <v>100</v>
      </c>
    </row>
    <row r="231" spans="1:18">
      <c r="A231" s="217">
        <v>418</v>
      </c>
      <c r="B231" s="218">
        <v>656867</v>
      </c>
      <c r="C231" s="218" t="s">
        <v>107</v>
      </c>
      <c r="D231" s="218" t="s">
        <v>7778</v>
      </c>
      <c r="E231" s="218" t="s">
        <v>8030</v>
      </c>
      <c r="F231" s="218" t="s">
        <v>7790</v>
      </c>
      <c r="G231" s="218" t="s">
        <v>7767</v>
      </c>
      <c r="H231" s="218">
        <v>512</v>
      </c>
      <c r="I231" s="219">
        <v>10400000</v>
      </c>
      <c r="J231" s="219">
        <v>0</v>
      </c>
      <c r="K231" s="219">
        <v>10400000</v>
      </c>
      <c r="L231" s="218" t="s">
        <v>7791</v>
      </c>
      <c r="M231" s="218">
        <v>1</v>
      </c>
      <c r="N231" s="218" t="s">
        <v>8550</v>
      </c>
      <c r="O231" s="218" t="s">
        <v>2592</v>
      </c>
      <c r="P231" s="218">
        <v>399</v>
      </c>
      <c r="Q231" s="218" t="s">
        <v>7771</v>
      </c>
      <c r="R231" s="220">
        <v>100</v>
      </c>
    </row>
    <row r="232" spans="1:18">
      <c r="A232" s="217">
        <v>440</v>
      </c>
      <c r="B232" s="218">
        <v>591234</v>
      </c>
      <c r="C232" s="218" t="s">
        <v>107</v>
      </c>
      <c r="D232" s="218" t="s">
        <v>7778</v>
      </c>
      <c r="E232" s="218" t="s">
        <v>8591</v>
      </c>
      <c r="F232" s="218" t="s">
        <v>7790</v>
      </c>
      <c r="G232" s="218" t="s">
        <v>7767</v>
      </c>
      <c r="H232" s="218">
        <v>512</v>
      </c>
      <c r="I232" s="219">
        <v>10400000</v>
      </c>
      <c r="J232" s="219">
        <v>0</v>
      </c>
      <c r="K232" s="219">
        <v>10400000</v>
      </c>
      <c r="L232" s="218" t="s">
        <v>7791</v>
      </c>
      <c r="M232" s="218">
        <v>1</v>
      </c>
      <c r="N232" s="218" t="s">
        <v>2641</v>
      </c>
      <c r="O232" s="218" t="s">
        <v>2592</v>
      </c>
      <c r="P232" s="218">
        <v>399</v>
      </c>
      <c r="Q232" s="218" t="s">
        <v>7771</v>
      </c>
      <c r="R232" s="220">
        <v>100</v>
      </c>
    </row>
    <row r="233" spans="1:18">
      <c r="A233" s="217">
        <v>515</v>
      </c>
      <c r="B233" s="218">
        <v>594740</v>
      </c>
      <c r="C233" s="218" t="s">
        <v>107</v>
      </c>
      <c r="D233" s="218" t="s">
        <v>7778</v>
      </c>
      <c r="E233" s="218" t="s">
        <v>8724</v>
      </c>
      <c r="F233" s="218" t="s">
        <v>7790</v>
      </c>
      <c r="G233" s="218" t="s">
        <v>7767</v>
      </c>
      <c r="H233" s="218">
        <v>512</v>
      </c>
      <c r="I233" s="219">
        <v>10400000</v>
      </c>
      <c r="J233" s="219">
        <v>0</v>
      </c>
      <c r="K233" s="219">
        <v>10400000</v>
      </c>
      <c r="L233" s="218" t="s">
        <v>7791</v>
      </c>
      <c r="M233" s="218">
        <v>1</v>
      </c>
      <c r="N233" s="218" t="s">
        <v>8712</v>
      </c>
      <c r="O233" s="218" t="s">
        <v>235</v>
      </c>
      <c r="P233" s="218">
        <v>399</v>
      </c>
      <c r="Q233" s="218" t="s">
        <v>7771</v>
      </c>
      <c r="R233" s="220">
        <v>100</v>
      </c>
    </row>
    <row r="234" spans="1:18">
      <c r="A234" s="217">
        <v>588</v>
      </c>
      <c r="B234" s="218">
        <v>609615</v>
      </c>
      <c r="C234" s="218" t="s">
        <v>107</v>
      </c>
      <c r="D234" s="218" t="s">
        <v>7778</v>
      </c>
      <c r="E234" s="218" t="s">
        <v>8854</v>
      </c>
      <c r="F234" s="218" t="s">
        <v>8457</v>
      </c>
      <c r="G234" s="218" t="s">
        <v>7767</v>
      </c>
      <c r="H234" s="218">
        <v>512</v>
      </c>
      <c r="I234" s="219">
        <v>10400000</v>
      </c>
      <c r="J234" s="219">
        <v>0</v>
      </c>
      <c r="K234" s="219">
        <v>10400000</v>
      </c>
      <c r="L234" s="218" t="s">
        <v>7791</v>
      </c>
      <c r="M234" s="218">
        <v>1</v>
      </c>
      <c r="N234" s="218" t="s">
        <v>8855</v>
      </c>
      <c r="O234" s="218" t="s">
        <v>8796</v>
      </c>
      <c r="P234" s="218">
        <v>399</v>
      </c>
      <c r="Q234" s="218" t="s">
        <v>7771</v>
      </c>
      <c r="R234" s="220">
        <v>100</v>
      </c>
    </row>
    <row r="235" spans="1:18">
      <c r="A235" s="217">
        <v>593</v>
      </c>
      <c r="B235" s="218">
        <v>650801</v>
      </c>
      <c r="C235" s="218" t="s">
        <v>107</v>
      </c>
      <c r="D235" s="218" t="s">
        <v>7778</v>
      </c>
      <c r="E235" s="218" t="s">
        <v>8864</v>
      </c>
      <c r="F235" s="218" t="s">
        <v>7790</v>
      </c>
      <c r="G235" s="218" t="s">
        <v>7767</v>
      </c>
      <c r="H235" s="218">
        <v>512</v>
      </c>
      <c r="I235" s="219">
        <v>10400000</v>
      </c>
      <c r="J235" s="219">
        <v>0</v>
      </c>
      <c r="K235" s="219">
        <v>10400000</v>
      </c>
      <c r="L235" s="218" t="s">
        <v>7791</v>
      </c>
      <c r="M235" s="218">
        <v>1</v>
      </c>
      <c r="N235" s="218" t="s">
        <v>3514</v>
      </c>
      <c r="O235" s="218" t="s">
        <v>3467</v>
      </c>
      <c r="P235" s="218">
        <v>399</v>
      </c>
      <c r="Q235" s="218" t="s">
        <v>7771</v>
      </c>
      <c r="R235" s="220">
        <v>100</v>
      </c>
    </row>
    <row r="236" spans="1:18">
      <c r="A236" s="217">
        <v>605</v>
      </c>
      <c r="B236" s="218">
        <v>592058</v>
      </c>
      <c r="C236" s="218" t="s">
        <v>107</v>
      </c>
      <c r="D236" s="218" t="s">
        <v>7778</v>
      </c>
      <c r="E236" s="218" t="s">
        <v>8882</v>
      </c>
      <c r="F236" s="218" t="s">
        <v>7790</v>
      </c>
      <c r="G236" s="218" t="s">
        <v>7767</v>
      </c>
      <c r="H236" s="218">
        <v>512</v>
      </c>
      <c r="I236" s="219">
        <v>10400000</v>
      </c>
      <c r="J236" s="219">
        <v>0</v>
      </c>
      <c r="K236" s="219">
        <v>10400000</v>
      </c>
      <c r="L236" s="218" t="s">
        <v>7791</v>
      </c>
      <c r="M236" s="218">
        <v>1</v>
      </c>
      <c r="N236" s="218" t="s">
        <v>8883</v>
      </c>
      <c r="O236" s="218" t="s">
        <v>3467</v>
      </c>
      <c r="P236" s="218">
        <v>399</v>
      </c>
      <c r="Q236" s="218" t="s">
        <v>7771</v>
      </c>
      <c r="R236" s="220">
        <v>100</v>
      </c>
    </row>
    <row r="237" spans="1:18">
      <c r="A237" s="217">
        <v>606</v>
      </c>
      <c r="B237" s="218">
        <v>592059</v>
      </c>
      <c r="C237" s="218" t="s">
        <v>107</v>
      </c>
      <c r="D237" s="218" t="s">
        <v>7778</v>
      </c>
      <c r="E237" s="218" t="s">
        <v>8884</v>
      </c>
      <c r="F237" s="218" t="s">
        <v>7790</v>
      </c>
      <c r="G237" s="218" t="s">
        <v>7767</v>
      </c>
      <c r="H237" s="218">
        <v>512</v>
      </c>
      <c r="I237" s="219">
        <v>10400000</v>
      </c>
      <c r="J237" s="219">
        <v>0</v>
      </c>
      <c r="K237" s="219">
        <v>10400000</v>
      </c>
      <c r="L237" s="218" t="s">
        <v>7791</v>
      </c>
      <c r="M237" s="218">
        <v>1</v>
      </c>
      <c r="N237" s="218" t="s">
        <v>8885</v>
      </c>
      <c r="O237" s="218" t="s">
        <v>3467</v>
      </c>
      <c r="P237" s="218">
        <v>399</v>
      </c>
      <c r="Q237" s="218" t="s">
        <v>7771</v>
      </c>
      <c r="R237" s="220">
        <v>100</v>
      </c>
    </row>
    <row r="238" spans="1:18">
      <c r="A238" s="217">
        <v>607</v>
      </c>
      <c r="B238" s="218">
        <v>592061</v>
      </c>
      <c r="C238" s="218" t="s">
        <v>107</v>
      </c>
      <c r="D238" s="218" t="s">
        <v>7778</v>
      </c>
      <c r="E238" s="218" t="s">
        <v>8886</v>
      </c>
      <c r="F238" s="218" t="s">
        <v>7790</v>
      </c>
      <c r="G238" s="218" t="s">
        <v>7767</v>
      </c>
      <c r="H238" s="218">
        <v>512</v>
      </c>
      <c r="I238" s="219">
        <v>10400000</v>
      </c>
      <c r="J238" s="219">
        <v>0</v>
      </c>
      <c r="K238" s="219">
        <v>10400000</v>
      </c>
      <c r="L238" s="218" t="s">
        <v>7791</v>
      </c>
      <c r="M238" s="218">
        <v>1</v>
      </c>
      <c r="N238" s="218" t="s">
        <v>8887</v>
      </c>
      <c r="O238" s="218" t="s">
        <v>3467</v>
      </c>
      <c r="P238" s="218">
        <v>399</v>
      </c>
      <c r="Q238" s="218" t="s">
        <v>7771</v>
      </c>
      <c r="R238" s="220">
        <v>100</v>
      </c>
    </row>
    <row r="239" spans="1:18">
      <c r="A239" s="217">
        <v>608</v>
      </c>
      <c r="B239" s="218">
        <v>592063</v>
      </c>
      <c r="C239" s="218" t="s">
        <v>107</v>
      </c>
      <c r="D239" s="218" t="s">
        <v>7778</v>
      </c>
      <c r="E239" s="218" t="s">
        <v>8888</v>
      </c>
      <c r="F239" s="218" t="s">
        <v>7790</v>
      </c>
      <c r="G239" s="218" t="s">
        <v>7767</v>
      </c>
      <c r="H239" s="218">
        <v>512</v>
      </c>
      <c r="I239" s="219">
        <v>10400000</v>
      </c>
      <c r="J239" s="219">
        <v>0</v>
      </c>
      <c r="K239" s="219">
        <v>10400000</v>
      </c>
      <c r="L239" s="218" t="s">
        <v>7791</v>
      </c>
      <c r="M239" s="218">
        <v>1</v>
      </c>
      <c r="N239" s="218" t="s">
        <v>8889</v>
      </c>
      <c r="O239" s="218" t="s">
        <v>3467</v>
      </c>
      <c r="P239" s="218">
        <v>399</v>
      </c>
      <c r="Q239" s="218" t="s">
        <v>7771</v>
      </c>
      <c r="R239" s="220">
        <v>100</v>
      </c>
    </row>
    <row r="240" spans="1:18">
      <c r="A240" s="217">
        <v>609</v>
      </c>
      <c r="B240" s="218">
        <v>592065</v>
      </c>
      <c r="C240" s="218" t="s">
        <v>107</v>
      </c>
      <c r="D240" s="218" t="s">
        <v>7778</v>
      </c>
      <c r="E240" s="218" t="s">
        <v>8890</v>
      </c>
      <c r="F240" s="218" t="s">
        <v>7790</v>
      </c>
      <c r="G240" s="218" t="s">
        <v>7767</v>
      </c>
      <c r="H240" s="218">
        <v>512</v>
      </c>
      <c r="I240" s="219">
        <v>10400000</v>
      </c>
      <c r="J240" s="219">
        <v>0</v>
      </c>
      <c r="K240" s="219">
        <v>10400000</v>
      </c>
      <c r="L240" s="218" t="s">
        <v>7791</v>
      </c>
      <c r="M240" s="218">
        <v>1</v>
      </c>
      <c r="N240" s="218" t="s">
        <v>8891</v>
      </c>
      <c r="O240" s="218" t="s">
        <v>3467</v>
      </c>
      <c r="P240" s="218">
        <v>399</v>
      </c>
      <c r="Q240" s="218" t="s">
        <v>7771</v>
      </c>
      <c r="R240" s="220">
        <v>100</v>
      </c>
    </row>
    <row r="241" spans="1:18">
      <c r="A241" s="217">
        <v>610</v>
      </c>
      <c r="B241" s="218">
        <v>592066</v>
      </c>
      <c r="C241" s="218" t="s">
        <v>107</v>
      </c>
      <c r="D241" s="218" t="s">
        <v>7778</v>
      </c>
      <c r="E241" s="218" t="s">
        <v>8882</v>
      </c>
      <c r="F241" s="218" t="s">
        <v>7790</v>
      </c>
      <c r="G241" s="218" t="s">
        <v>7767</v>
      </c>
      <c r="H241" s="218">
        <v>512</v>
      </c>
      <c r="I241" s="219">
        <v>10400000</v>
      </c>
      <c r="J241" s="219">
        <v>0</v>
      </c>
      <c r="K241" s="219">
        <v>10400000</v>
      </c>
      <c r="L241" s="218" t="s">
        <v>7791</v>
      </c>
      <c r="M241" s="218">
        <v>1</v>
      </c>
      <c r="N241" s="218" t="s">
        <v>8892</v>
      </c>
      <c r="O241" s="218" t="s">
        <v>3467</v>
      </c>
      <c r="P241" s="218">
        <v>399</v>
      </c>
      <c r="Q241" s="218" t="s">
        <v>7771</v>
      </c>
      <c r="R241" s="220">
        <v>100</v>
      </c>
    </row>
    <row r="242" spans="1:18">
      <c r="A242" s="217">
        <v>645</v>
      </c>
      <c r="B242" s="218">
        <v>607191</v>
      </c>
      <c r="C242" s="218" t="s">
        <v>107</v>
      </c>
      <c r="D242" s="218" t="s">
        <v>7778</v>
      </c>
      <c r="E242" s="218" t="s">
        <v>7946</v>
      </c>
      <c r="F242" s="218" t="s">
        <v>7790</v>
      </c>
      <c r="G242" s="218" t="s">
        <v>7767</v>
      </c>
      <c r="H242" s="218">
        <v>512</v>
      </c>
      <c r="I242" s="219">
        <v>10400000</v>
      </c>
      <c r="J242" s="219">
        <v>0</v>
      </c>
      <c r="K242" s="219">
        <v>10400000</v>
      </c>
      <c r="L242" s="218" t="s">
        <v>7791</v>
      </c>
      <c r="M242" s="218">
        <v>1</v>
      </c>
      <c r="N242" s="218" t="s">
        <v>8960</v>
      </c>
      <c r="O242" s="218" t="s">
        <v>3705</v>
      </c>
      <c r="P242" s="218">
        <v>399</v>
      </c>
      <c r="Q242" s="218" t="s">
        <v>7771</v>
      </c>
      <c r="R242" s="220">
        <v>100</v>
      </c>
    </row>
    <row r="243" spans="1:18">
      <c r="A243" s="217">
        <v>327</v>
      </c>
      <c r="B243" s="218">
        <v>535875</v>
      </c>
      <c r="C243" s="218" t="s">
        <v>40</v>
      </c>
      <c r="D243" s="218" t="s">
        <v>7764</v>
      </c>
      <c r="E243" s="218" t="s">
        <v>8401</v>
      </c>
      <c r="F243" s="218" t="s">
        <v>8402</v>
      </c>
      <c r="G243" s="218" t="s">
        <v>7767</v>
      </c>
      <c r="H243" s="218">
        <v>1024</v>
      </c>
      <c r="I243" s="219">
        <v>12000000</v>
      </c>
      <c r="J243" s="219">
        <v>0</v>
      </c>
      <c r="K243" s="219">
        <v>12000000</v>
      </c>
      <c r="L243" s="218" t="s">
        <v>7781</v>
      </c>
      <c r="M243" s="218">
        <v>1</v>
      </c>
      <c r="N243" s="218" t="s">
        <v>1609</v>
      </c>
      <c r="O243" s="218" t="s">
        <v>1609</v>
      </c>
      <c r="P243" s="218">
        <v>399</v>
      </c>
      <c r="Q243" s="218" t="s">
        <v>7771</v>
      </c>
      <c r="R243" s="220">
        <v>100</v>
      </c>
    </row>
    <row r="244" spans="1:18">
      <c r="A244" s="217">
        <v>329</v>
      </c>
      <c r="B244" s="218">
        <v>540392</v>
      </c>
      <c r="C244" s="218" t="s">
        <v>40</v>
      </c>
      <c r="D244" s="218" t="s">
        <v>7764</v>
      </c>
      <c r="E244" s="218" t="s">
        <v>8406</v>
      </c>
      <c r="F244" s="218" t="s">
        <v>8407</v>
      </c>
      <c r="G244" s="218" t="s">
        <v>7767</v>
      </c>
      <c r="H244" s="218">
        <v>1024</v>
      </c>
      <c r="I244" s="219">
        <v>12000000</v>
      </c>
      <c r="J244" s="219">
        <v>0</v>
      </c>
      <c r="K244" s="219">
        <v>12000000</v>
      </c>
      <c r="L244" s="218" t="s">
        <v>7781</v>
      </c>
      <c r="M244" s="218">
        <v>1</v>
      </c>
      <c r="N244" s="218" t="s">
        <v>8408</v>
      </c>
      <c r="O244" s="218" t="s">
        <v>1609</v>
      </c>
      <c r="P244" s="218">
        <v>399</v>
      </c>
      <c r="Q244" s="218" t="s">
        <v>7771</v>
      </c>
      <c r="R244" s="220">
        <v>100</v>
      </c>
    </row>
    <row r="245" spans="1:18">
      <c r="A245" s="217">
        <v>331</v>
      </c>
      <c r="B245" s="218">
        <v>540394</v>
      </c>
      <c r="C245" s="218" t="s">
        <v>40</v>
      </c>
      <c r="D245" s="218" t="s">
        <v>7764</v>
      </c>
      <c r="E245" s="218" t="s">
        <v>8406</v>
      </c>
      <c r="F245" s="218" t="s">
        <v>8404</v>
      </c>
      <c r="G245" s="218" t="s">
        <v>7767</v>
      </c>
      <c r="H245" s="218">
        <v>1024</v>
      </c>
      <c r="I245" s="219">
        <v>12000000</v>
      </c>
      <c r="J245" s="219">
        <v>0</v>
      </c>
      <c r="K245" s="219">
        <v>12000000</v>
      </c>
      <c r="L245" s="218" t="s">
        <v>7781</v>
      </c>
      <c r="M245" s="218">
        <v>1</v>
      </c>
      <c r="N245" s="218" t="s">
        <v>8411</v>
      </c>
      <c r="O245" s="218" t="s">
        <v>1609</v>
      </c>
      <c r="P245" s="218">
        <v>399</v>
      </c>
      <c r="Q245" s="218" t="s">
        <v>7771</v>
      </c>
      <c r="R245" s="220">
        <v>100</v>
      </c>
    </row>
    <row r="246" spans="1:18">
      <c r="A246" s="217">
        <v>379</v>
      </c>
      <c r="B246" s="218">
        <v>548291</v>
      </c>
      <c r="C246" s="218" t="s">
        <v>40</v>
      </c>
      <c r="D246" s="218" t="s">
        <v>7764</v>
      </c>
      <c r="E246" s="218" t="s">
        <v>8494</v>
      </c>
      <c r="F246" s="218" t="s">
        <v>8496</v>
      </c>
      <c r="G246" s="218" t="s">
        <v>7767</v>
      </c>
      <c r="H246" s="218">
        <v>1024</v>
      </c>
      <c r="I246" s="219">
        <v>12000000</v>
      </c>
      <c r="J246" s="219">
        <v>0</v>
      </c>
      <c r="K246" s="219">
        <v>12000000</v>
      </c>
      <c r="L246" s="218" t="s">
        <v>7781</v>
      </c>
      <c r="M246" s="218">
        <v>1</v>
      </c>
      <c r="N246" s="218" t="s">
        <v>8497</v>
      </c>
      <c r="O246" s="218" t="s">
        <v>2476</v>
      </c>
      <c r="P246" s="218">
        <v>399</v>
      </c>
      <c r="Q246" s="218" t="s">
        <v>7771</v>
      </c>
      <c r="R246" s="220">
        <v>100</v>
      </c>
    </row>
    <row r="247" spans="1:18">
      <c r="A247" s="217">
        <v>380</v>
      </c>
      <c r="B247" s="218">
        <v>548292</v>
      </c>
      <c r="C247" s="218" t="s">
        <v>40</v>
      </c>
      <c r="D247" s="218" t="s">
        <v>7764</v>
      </c>
      <c r="E247" s="218" t="s">
        <v>8494</v>
      </c>
      <c r="F247" s="218" t="s">
        <v>8496</v>
      </c>
      <c r="G247" s="218" t="s">
        <v>7767</v>
      </c>
      <c r="H247" s="218">
        <v>1024</v>
      </c>
      <c r="I247" s="219">
        <v>12000000</v>
      </c>
      <c r="J247" s="219">
        <v>0</v>
      </c>
      <c r="K247" s="219">
        <v>12000000</v>
      </c>
      <c r="L247" s="218" t="s">
        <v>7781</v>
      </c>
      <c r="M247" s="218">
        <v>1</v>
      </c>
      <c r="N247" s="218" t="s">
        <v>8498</v>
      </c>
      <c r="O247" s="218" t="s">
        <v>2476</v>
      </c>
      <c r="P247" s="218">
        <v>399</v>
      </c>
      <c r="Q247" s="218" t="s">
        <v>7771</v>
      </c>
      <c r="R247" s="220">
        <v>100</v>
      </c>
    </row>
    <row r="248" spans="1:18">
      <c r="A248" s="217">
        <v>381</v>
      </c>
      <c r="B248" s="218">
        <v>548293</v>
      </c>
      <c r="C248" s="218" t="s">
        <v>40</v>
      </c>
      <c r="D248" s="218" t="s">
        <v>7764</v>
      </c>
      <c r="E248" s="218" t="s">
        <v>8494</v>
      </c>
      <c r="F248" s="218" t="s">
        <v>8499</v>
      </c>
      <c r="G248" s="218" t="s">
        <v>7767</v>
      </c>
      <c r="H248" s="218">
        <v>1024</v>
      </c>
      <c r="I248" s="219">
        <v>12000000</v>
      </c>
      <c r="J248" s="219">
        <v>0</v>
      </c>
      <c r="K248" s="219">
        <v>12000000</v>
      </c>
      <c r="L248" s="218" t="s">
        <v>7781</v>
      </c>
      <c r="M248" s="218">
        <v>1</v>
      </c>
      <c r="N248" s="218" t="s">
        <v>8500</v>
      </c>
      <c r="O248" s="218" t="s">
        <v>2476</v>
      </c>
      <c r="P248" s="218">
        <v>399</v>
      </c>
      <c r="Q248" s="218" t="s">
        <v>7771</v>
      </c>
      <c r="R248" s="220">
        <v>100</v>
      </c>
    </row>
    <row r="249" spans="1:18">
      <c r="A249" s="217">
        <v>382</v>
      </c>
      <c r="B249" s="218">
        <v>548294</v>
      </c>
      <c r="C249" s="218" t="s">
        <v>40</v>
      </c>
      <c r="D249" s="218" t="s">
        <v>7764</v>
      </c>
      <c r="E249" s="218" t="s">
        <v>8494</v>
      </c>
      <c r="F249" s="218" t="s">
        <v>8501</v>
      </c>
      <c r="G249" s="218" t="s">
        <v>7767</v>
      </c>
      <c r="H249" s="218">
        <v>1024</v>
      </c>
      <c r="I249" s="219">
        <v>12000000</v>
      </c>
      <c r="J249" s="219">
        <v>0</v>
      </c>
      <c r="K249" s="219">
        <v>12000000</v>
      </c>
      <c r="L249" s="218" t="s">
        <v>7781</v>
      </c>
      <c r="M249" s="218">
        <v>1</v>
      </c>
      <c r="N249" s="218" t="s">
        <v>2501</v>
      </c>
      <c r="O249" s="218" t="s">
        <v>2476</v>
      </c>
      <c r="P249" s="218">
        <v>399</v>
      </c>
      <c r="Q249" s="218" t="s">
        <v>7771</v>
      </c>
      <c r="R249" s="220">
        <v>100</v>
      </c>
    </row>
    <row r="250" spans="1:18">
      <c r="A250" s="217">
        <v>385</v>
      </c>
      <c r="B250" s="218">
        <v>548319</v>
      </c>
      <c r="C250" s="218" t="s">
        <v>40</v>
      </c>
      <c r="D250" s="218" t="s">
        <v>7764</v>
      </c>
      <c r="E250" s="218" t="s">
        <v>8494</v>
      </c>
      <c r="F250" s="218" t="s">
        <v>8496</v>
      </c>
      <c r="G250" s="218" t="s">
        <v>7767</v>
      </c>
      <c r="H250" s="218">
        <v>1024</v>
      </c>
      <c r="I250" s="219">
        <v>12000000</v>
      </c>
      <c r="J250" s="219">
        <v>0</v>
      </c>
      <c r="K250" s="219">
        <v>12000000</v>
      </c>
      <c r="L250" s="218" t="s">
        <v>7781</v>
      </c>
      <c r="M250" s="218">
        <v>1</v>
      </c>
      <c r="N250" s="218" t="s">
        <v>8505</v>
      </c>
      <c r="O250" s="218" t="s">
        <v>2476</v>
      </c>
      <c r="P250" s="218">
        <v>399</v>
      </c>
      <c r="Q250" s="218" t="s">
        <v>7771</v>
      </c>
      <c r="R250" s="220">
        <v>100</v>
      </c>
    </row>
    <row r="251" spans="1:18">
      <c r="A251" s="217">
        <v>402</v>
      </c>
      <c r="B251" s="218">
        <v>548023</v>
      </c>
      <c r="C251" s="218" t="s">
        <v>40</v>
      </c>
      <c r="D251" s="218" t="s">
        <v>7764</v>
      </c>
      <c r="E251" s="218" t="s">
        <v>8525</v>
      </c>
      <c r="F251" s="218" t="s">
        <v>8526</v>
      </c>
      <c r="G251" s="218" t="s">
        <v>7767</v>
      </c>
      <c r="H251" s="218">
        <v>1024</v>
      </c>
      <c r="I251" s="219">
        <v>12000000</v>
      </c>
      <c r="J251" s="219">
        <v>0</v>
      </c>
      <c r="K251" s="219">
        <v>12000000</v>
      </c>
      <c r="L251" s="218" t="s">
        <v>7781</v>
      </c>
      <c r="M251" s="218">
        <v>1</v>
      </c>
      <c r="N251" s="218" t="s">
        <v>2570</v>
      </c>
      <c r="O251" s="218" t="s">
        <v>8519</v>
      </c>
      <c r="P251" s="218">
        <v>399</v>
      </c>
      <c r="Q251" s="218" t="s">
        <v>7771</v>
      </c>
      <c r="R251" s="220">
        <v>100</v>
      </c>
    </row>
    <row r="252" spans="1:18">
      <c r="A252" s="217">
        <v>452</v>
      </c>
      <c r="B252" s="218">
        <v>547270</v>
      </c>
      <c r="C252" s="218" t="s">
        <v>40</v>
      </c>
      <c r="D252" s="218" t="s">
        <v>7764</v>
      </c>
      <c r="E252" s="218" t="s">
        <v>7811</v>
      </c>
      <c r="F252" s="218" t="s">
        <v>8615</v>
      </c>
      <c r="G252" s="218" t="s">
        <v>7767</v>
      </c>
      <c r="H252" s="218">
        <v>1024</v>
      </c>
      <c r="I252" s="219">
        <v>12000000</v>
      </c>
      <c r="J252" s="219">
        <v>0</v>
      </c>
      <c r="K252" s="219">
        <v>12000000</v>
      </c>
      <c r="L252" s="218" t="s">
        <v>7781</v>
      </c>
      <c r="M252" s="218">
        <v>1</v>
      </c>
      <c r="N252" s="218" t="s">
        <v>8617</v>
      </c>
      <c r="O252" s="218" t="s">
        <v>8594</v>
      </c>
      <c r="P252" s="218">
        <v>399</v>
      </c>
      <c r="Q252" s="218" t="s">
        <v>7771</v>
      </c>
      <c r="R252" s="220">
        <v>100</v>
      </c>
    </row>
    <row r="253" spans="1:18">
      <c r="A253" s="217">
        <v>534</v>
      </c>
      <c r="B253" s="218">
        <v>548482</v>
      </c>
      <c r="C253" s="218" t="s">
        <v>40</v>
      </c>
      <c r="D253" s="218" t="s">
        <v>7764</v>
      </c>
      <c r="E253" s="218" t="s">
        <v>8759</v>
      </c>
      <c r="F253" s="218" t="s">
        <v>8762</v>
      </c>
      <c r="G253" s="218" t="s">
        <v>7767</v>
      </c>
      <c r="H253" s="218">
        <v>1024</v>
      </c>
      <c r="I253" s="219">
        <v>12000000</v>
      </c>
      <c r="J253" s="219">
        <v>0</v>
      </c>
      <c r="K253" s="219">
        <v>12000000</v>
      </c>
      <c r="L253" s="218" t="s">
        <v>7781</v>
      </c>
      <c r="M253" s="218">
        <v>1</v>
      </c>
      <c r="N253" s="218" t="s">
        <v>8763</v>
      </c>
      <c r="O253" s="218" t="s">
        <v>933</v>
      </c>
      <c r="P253" s="218">
        <v>399</v>
      </c>
      <c r="Q253" s="218" t="s">
        <v>7771</v>
      </c>
      <c r="R253" s="220">
        <v>100</v>
      </c>
    </row>
    <row r="254" spans="1:18">
      <c r="A254" s="217">
        <v>535</v>
      </c>
      <c r="B254" s="218">
        <v>548486</v>
      </c>
      <c r="C254" s="218" t="s">
        <v>40</v>
      </c>
      <c r="D254" s="218" t="s">
        <v>7764</v>
      </c>
      <c r="E254" s="218" t="s">
        <v>8759</v>
      </c>
      <c r="F254" s="218" t="s">
        <v>8764</v>
      </c>
      <c r="G254" s="218" t="s">
        <v>7767</v>
      </c>
      <c r="H254" s="218">
        <v>1024</v>
      </c>
      <c r="I254" s="219">
        <v>12000000</v>
      </c>
      <c r="J254" s="219">
        <v>0</v>
      </c>
      <c r="K254" s="219">
        <v>12000000</v>
      </c>
      <c r="L254" s="218" t="s">
        <v>7781</v>
      </c>
      <c r="M254" s="218">
        <v>1</v>
      </c>
      <c r="N254" s="218" t="s">
        <v>8765</v>
      </c>
      <c r="O254" s="218" t="s">
        <v>933</v>
      </c>
      <c r="P254" s="218">
        <v>399</v>
      </c>
      <c r="Q254" s="218" t="s">
        <v>7771</v>
      </c>
      <c r="R254" s="220">
        <v>100</v>
      </c>
    </row>
    <row r="255" spans="1:18">
      <c r="A255" s="217">
        <v>538</v>
      </c>
      <c r="B255" s="218">
        <v>548506</v>
      </c>
      <c r="C255" s="218" t="s">
        <v>40</v>
      </c>
      <c r="D255" s="218" t="s">
        <v>7764</v>
      </c>
      <c r="E255" s="218" t="s">
        <v>8768</v>
      </c>
      <c r="F255" s="218" t="s">
        <v>8764</v>
      </c>
      <c r="G255" s="218" t="s">
        <v>7767</v>
      </c>
      <c r="H255" s="218">
        <v>1024</v>
      </c>
      <c r="I255" s="219">
        <v>12000000</v>
      </c>
      <c r="J255" s="219">
        <v>0</v>
      </c>
      <c r="K255" s="219">
        <v>12000000</v>
      </c>
      <c r="L255" s="218" t="s">
        <v>7781</v>
      </c>
      <c r="M255" s="218">
        <v>1</v>
      </c>
      <c r="N255" s="218" t="s">
        <v>8771</v>
      </c>
      <c r="O255" s="218" t="s">
        <v>933</v>
      </c>
      <c r="P255" s="218">
        <v>399</v>
      </c>
      <c r="Q255" s="218" t="s">
        <v>7771</v>
      </c>
      <c r="R255" s="220">
        <v>100</v>
      </c>
    </row>
    <row r="256" spans="1:18">
      <c r="A256" s="217">
        <v>611</v>
      </c>
      <c r="B256" s="218">
        <v>600010</v>
      </c>
      <c r="C256" s="218" t="s">
        <v>40</v>
      </c>
      <c r="D256" s="218" t="s">
        <v>7764</v>
      </c>
      <c r="E256" s="218" t="s">
        <v>8893</v>
      </c>
      <c r="F256" s="218" t="s">
        <v>8813</v>
      </c>
      <c r="G256" s="218" t="s">
        <v>7767</v>
      </c>
      <c r="H256" s="218">
        <v>1024</v>
      </c>
      <c r="I256" s="219">
        <v>12000000</v>
      </c>
      <c r="J256" s="219">
        <v>0</v>
      </c>
      <c r="K256" s="219">
        <v>12000000</v>
      </c>
      <c r="L256" s="218" t="s">
        <v>7781</v>
      </c>
      <c r="M256" s="218">
        <v>1</v>
      </c>
      <c r="N256" s="218" t="s">
        <v>8894</v>
      </c>
      <c r="O256" s="218" t="s">
        <v>3467</v>
      </c>
      <c r="P256" s="218">
        <v>399</v>
      </c>
      <c r="Q256" s="218" t="s">
        <v>7771</v>
      </c>
      <c r="R256" s="220">
        <v>100</v>
      </c>
    </row>
    <row r="257" spans="1:18">
      <c r="A257" s="217">
        <v>668</v>
      </c>
      <c r="B257" s="218">
        <v>548451</v>
      </c>
      <c r="C257" s="218" t="s">
        <v>40</v>
      </c>
      <c r="D257" s="218" t="s">
        <v>7764</v>
      </c>
      <c r="E257" s="218" t="s">
        <v>8996</v>
      </c>
      <c r="F257" s="218" t="s">
        <v>9002</v>
      </c>
      <c r="G257" s="218" t="s">
        <v>7767</v>
      </c>
      <c r="H257" s="218">
        <v>1024</v>
      </c>
      <c r="I257" s="219">
        <v>12000000</v>
      </c>
      <c r="J257" s="219">
        <v>0</v>
      </c>
      <c r="K257" s="219">
        <v>12000000</v>
      </c>
      <c r="L257" s="218" t="s">
        <v>7781</v>
      </c>
      <c r="M257" s="218">
        <v>1</v>
      </c>
      <c r="N257" s="218" t="s">
        <v>9003</v>
      </c>
      <c r="O257" s="218" t="s">
        <v>8989</v>
      </c>
      <c r="P257" s="218">
        <v>399</v>
      </c>
      <c r="Q257" s="218" t="s">
        <v>7771</v>
      </c>
      <c r="R257" s="220">
        <v>100</v>
      </c>
    </row>
    <row r="258" spans="1:18">
      <c r="A258" s="217">
        <v>684</v>
      </c>
      <c r="B258" s="218">
        <v>25402767713</v>
      </c>
      <c r="C258" s="218" t="s">
        <v>40</v>
      </c>
      <c r="D258" s="218" t="s">
        <v>7764</v>
      </c>
      <c r="E258" s="218" t="s">
        <v>9026</v>
      </c>
      <c r="F258" s="218" t="s">
        <v>9026</v>
      </c>
      <c r="G258" s="218" t="s">
        <v>7767</v>
      </c>
      <c r="H258" s="218">
        <v>1024</v>
      </c>
      <c r="I258" s="219">
        <v>12000000</v>
      </c>
      <c r="J258" s="219">
        <v>0</v>
      </c>
      <c r="K258" s="219">
        <v>12000000</v>
      </c>
      <c r="L258" s="218" t="s">
        <v>7781</v>
      </c>
      <c r="M258" s="218">
        <v>1</v>
      </c>
      <c r="N258" s="218" t="s">
        <v>9027</v>
      </c>
      <c r="O258" s="218" t="s">
        <v>3873</v>
      </c>
      <c r="P258" s="218">
        <v>399</v>
      </c>
      <c r="Q258" s="218" t="s">
        <v>7771</v>
      </c>
      <c r="R258" s="220">
        <v>100</v>
      </c>
    </row>
    <row r="259" spans="1:18">
      <c r="A259" s="217">
        <v>694</v>
      </c>
      <c r="B259" s="218">
        <v>546769</v>
      </c>
      <c r="C259" s="218" t="s">
        <v>40</v>
      </c>
      <c r="D259" s="218" t="s">
        <v>7764</v>
      </c>
      <c r="E259" s="218" t="s">
        <v>9036</v>
      </c>
      <c r="F259" s="218" t="s">
        <v>8496</v>
      </c>
      <c r="G259" s="218" t="s">
        <v>7767</v>
      </c>
      <c r="H259" s="218">
        <v>1024</v>
      </c>
      <c r="I259" s="219">
        <v>12000000</v>
      </c>
      <c r="J259" s="219">
        <v>0</v>
      </c>
      <c r="K259" s="219">
        <v>12000000</v>
      </c>
      <c r="L259" s="218" t="s">
        <v>7781</v>
      </c>
      <c r="M259" s="218">
        <v>1</v>
      </c>
      <c r="N259" s="218" t="s">
        <v>9037</v>
      </c>
      <c r="O259" s="218" t="s">
        <v>3742</v>
      </c>
      <c r="P259" s="218">
        <v>399</v>
      </c>
      <c r="Q259" s="218" t="s">
        <v>7771</v>
      </c>
      <c r="R259" s="220">
        <v>100</v>
      </c>
    </row>
    <row r="260" spans="1:18">
      <c r="A260" s="217">
        <v>13</v>
      </c>
      <c r="B260" s="218">
        <v>543108</v>
      </c>
      <c r="C260" s="218" t="s">
        <v>7763</v>
      </c>
      <c r="D260" s="218" t="s">
        <v>7764</v>
      </c>
      <c r="E260" s="218" t="s">
        <v>7804</v>
      </c>
      <c r="F260" s="218" t="s">
        <v>7805</v>
      </c>
      <c r="G260" s="218" t="s">
        <v>7767</v>
      </c>
      <c r="H260" s="218">
        <v>512</v>
      </c>
      <c r="I260" s="219">
        <v>12800000</v>
      </c>
      <c r="J260" s="219">
        <v>0</v>
      </c>
      <c r="K260" s="219">
        <v>12800000</v>
      </c>
      <c r="L260" s="218" t="s">
        <v>7774</v>
      </c>
      <c r="M260" s="218">
        <v>1</v>
      </c>
      <c r="N260" s="218" t="s">
        <v>7806</v>
      </c>
      <c r="O260" s="218" t="s">
        <v>267</v>
      </c>
      <c r="P260" s="218">
        <v>399</v>
      </c>
      <c r="Q260" s="218" t="s">
        <v>7771</v>
      </c>
      <c r="R260" s="220">
        <v>104</v>
      </c>
    </row>
    <row r="261" spans="1:18">
      <c r="A261" s="217">
        <v>14</v>
      </c>
      <c r="B261" s="218">
        <v>543109</v>
      </c>
      <c r="C261" s="218" t="s">
        <v>7763</v>
      </c>
      <c r="D261" s="218" t="s">
        <v>7764</v>
      </c>
      <c r="E261" s="218" t="s">
        <v>7801</v>
      </c>
      <c r="F261" s="218" t="s">
        <v>7802</v>
      </c>
      <c r="G261" s="218" t="s">
        <v>7767</v>
      </c>
      <c r="H261" s="218">
        <v>512</v>
      </c>
      <c r="I261" s="219">
        <v>12800000</v>
      </c>
      <c r="J261" s="219">
        <v>0</v>
      </c>
      <c r="K261" s="219">
        <v>12800000</v>
      </c>
      <c r="L261" s="218" t="s">
        <v>7774</v>
      </c>
      <c r="M261" s="218">
        <v>1</v>
      </c>
      <c r="N261" s="218" t="s">
        <v>7807</v>
      </c>
      <c r="O261" s="218" t="s">
        <v>267</v>
      </c>
      <c r="P261" s="218">
        <v>399</v>
      </c>
      <c r="Q261" s="218" t="s">
        <v>7771</v>
      </c>
      <c r="R261" s="220">
        <v>104</v>
      </c>
    </row>
    <row r="262" spans="1:18">
      <c r="A262" s="217">
        <v>64</v>
      </c>
      <c r="B262" s="218">
        <v>540634</v>
      </c>
      <c r="C262" s="218" t="s">
        <v>7763</v>
      </c>
      <c r="D262" s="218" t="s">
        <v>7764</v>
      </c>
      <c r="E262" s="218" t="s">
        <v>7903</v>
      </c>
      <c r="F262" s="218" t="s">
        <v>7904</v>
      </c>
      <c r="G262" s="218" t="s">
        <v>7767</v>
      </c>
      <c r="H262" s="218">
        <v>512</v>
      </c>
      <c r="I262" s="219">
        <v>12800000</v>
      </c>
      <c r="J262" s="219">
        <v>0</v>
      </c>
      <c r="K262" s="219">
        <v>12800000</v>
      </c>
      <c r="L262" s="218" t="s">
        <v>7774</v>
      </c>
      <c r="M262" s="218">
        <v>1</v>
      </c>
      <c r="N262" s="218" t="s">
        <v>7905</v>
      </c>
      <c r="O262" s="218" t="s">
        <v>376</v>
      </c>
      <c r="P262" s="218">
        <v>399</v>
      </c>
      <c r="Q262" s="218" t="s">
        <v>7771</v>
      </c>
      <c r="R262" s="220">
        <v>104</v>
      </c>
    </row>
    <row r="263" spans="1:18">
      <c r="A263" s="217">
        <v>65</v>
      </c>
      <c r="B263" s="218">
        <v>546782</v>
      </c>
      <c r="C263" s="218" t="s">
        <v>7763</v>
      </c>
      <c r="D263" s="218" t="s">
        <v>7764</v>
      </c>
      <c r="E263" s="218" t="s">
        <v>7906</v>
      </c>
      <c r="F263" s="218" t="s">
        <v>7907</v>
      </c>
      <c r="G263" s="218" t="s">
        <v>7767</v>
      </c>
      <c r="H263" s="218">
        <v>512</v>
      </c>
      <c r="I263" s="219">
        <v>12800000</v>
      </c>
      <c r="J263" s="219">
        <v>0</v>
      </c>
      <c r="K263" s="219">
        <v>12800000</v>
      </c>
      <c r="L263" s="218" t="s">
        <v>7774</v>
      </c>
      <c r="M263" s="218">
        <v>1</v>
      </c>
      <c r="N263" s="218" t="s">
        <v>7908</v>
      </c>
      <c r="O263" s="218" t="s">
        <v>376</v>
      </c>
      <c r="P263" s="218">
        <v>399</v>
      </c>
      <c r="Q263" s="218" t="s">
        <v>7771</v>
      </c>
      <c r="R263" s="220">
        <v>104</v>
      </c>
    </row>
    <row r="264" spans="1:18">
      <c r="A264" s="217">
        <v>80</v>
      </c>
      <c r="B264" s="218">
        <v>645217</v>
      </c>
      <c r="C264" s="218" t="s">
        <v>7763</v>
      </c>
      <c r="D264" s="218" t="s">
        <v>7764</v>
      </c>
      <c r="E264" s="218" t="s">
        <v>7938</v>
      </c>
      <c r="F264" s="218" t="s">
        <v>7780</v>
      </c>
      <c r="G264" s="218" t="s">
        <v>7767</v>
      </c>
      <c r="H264" s="218">
        <v>512</v>
      </c>
      <c r="I264" s="219">
        <v>12800000</v>
      </c>
      <c r="J264" s="219">
        <v>0</v>
      </c>
      <c r="K264" s="219">
        <v>12800000</v>
      </c>
      <c r="L264" s="218" t="s">
        <v>7774</v>
      </c>
      <c r="M264" s="218">
        <v>1</v>
      </c>
      <c r="N264" s="218" t="s">
        <v>7939</v>
      </c>
      <c r="O264" s="218" t="s">
        <v>7940</v>
      </c>
      <c r="P264" s="218">
        <v>399</v>
      </c>
      <c r="Q264" s="218" t="s">
        <v>7771</v>
      </c>
      <c r="R264" s="220">
        <v>104</v>
      </c>
    </row>
    <row r="265" spans="1:18">
      <c r="A265" s="217">
        <v>84</v>
      </c>
      <c r="B265" s="218">
        <v>550611</v>
      </c>
      <c r="C265" s="218" t="s">
        <v>7763</v>
      </c>
      <c r="D265" s="218" t="s">
        <v>7764</v>
      </c>
      <c r="E265" s="218" t="s">
        <v>7945</v>
      </c>
      <c r="F265" s="218" t="s">
        <v>7943</v>
      </c>
      <c r="G265" s="218" t="s">
        <v>7767</v>
      </c>
      <c r="H265" s="218">
        <v>512</v>
      </c>
      <c r="I265" s="219">
        <v>12800000</v>
      </c>
      <c r="J265" s="219">
        <v>0</v>
      </c>
      <c r="K265" s="219">
        <v>12800000</v>
      </c>
      <c r="L265" s="218" t="s">
        <v>7774</v>
      </c>
      <c r="M265" s="218">
        <v>1</v>
      </c>
      <c r="N265" s="218" t="s">
        <v>1513</v>
      </c>
      <c r="O265" s="218" t="s">
        <v>7940</v>
      </c>
      <c r="P265" s="218">
        <v>399</v>
      </c>
      <c r="Q265" s="218" t="s">
        <v>7771</v>
      </c>
      <c r="R265" s="220">
        <v>104</v>
      </c>
    </row>
    <row r="266" spans="1:18">
      <c r="A266" s="217">
        <v>93</v>
      </c>
      <c r="B266" s="218">
        <v>9702064325</v>
      </c>
      <c r="C266" s="218" t="s">
        <v>7763</v>
      </c>
      <c r="D266" s="218" t="s">
        <v>7764</v>
      </c>
      <c r="E266" s="218" t="s">
        <v>7966</v>
      </c>
      <c r="F266" s="218" t="s">
        <v>7961</v>
      </c>
      <c r="G266" s="218" t="s">
        <v>7767</v>
      </c>
      <c r="H266" s="218">
        <v>512</v>
      </c>
      <c r="I266" s="219">
        <v>12800000</v>
      </c>
      <c r="J266" s="219">
        <v>0</v>
      </c>
      <c r="K266" s="219">
        <v>12800000</v>
      </c>
      <c r="L266" s="218" t="s">
        <v>7774</v>
      </c>
      <c r="M266" s="218">
        <v>1</v>
      </c>
      <c r="N266" s="218" t="s">
        <v>7967</v>
      </c>
      <c r="O266" s="218" t="s">
        <v>7954</v>
      </c>
      <c r="P266" s="218">
        <v>399</v>
      </c>
      <c r="Q266" s="218" t="s">
        <v>7771</v>
      </c>
      <c r="R266" s="220">
        <v>104</v>
      </c>
    </row>
    <row r="267" spans="1:18">
      <c r="A267" s="217">
        <v>94</v>
      </c>
      <c r="B267" s="218">
        <v>9702064326</v>
      </c>
      <c r="C267" s="218" t="s">
        <v>7763</v>
      </c>
      <c r="D267" s="218" t="s">
        <v>7764</v>
      </c>
      <c r="E267" s="218" t="s">
        <v>7968</v>
      </c>
      <c r="F267" s="218" t="s">
        <v>7969</v>
      </c>
      <c r="G267" s="218" t="s">
        <v>7767</v>
      </c>
      <c r="H267" s="218">
        <v>512</v>
      </c>
      <c r="I267" s="219">
        <v>12800000</v>
      </c>
      <c r="J267" s="219">
        <v>0</v>
      </c>
      <c r="K267" s="219">
        <v>12800000</v>
      </c>
      <c r="L267" s="218" t="s">
        <v>7774</v>
      </c>
      <c r="M267" s="218">
        <v>1</v>
      </c>
      <c r="N267" s="218" t="s">
        <v>7970</v>
      </c>
      <c r="O267" s="218" t="s">
        <v>7954</v>
      </c>
      <c r="P267" s="218">
        <v>399</v>
      </c>
      <c r="Q267" s="218" t="s">
        <v>7771</v>
      </c>
      <c r="R267" s="220">
        <v>104</v>
      </c>
    </row>
    <row r="268" spans="1:18">
      <c r="A268" s="217">
        <v>106</v>
      </c>
      <c r="B268" s="218">
        <v>642712</v>
      </c>
      <c r="C268" s="218" t="s">
        <v>7763</v>
      </c>
      <c r="D268" s="218" t="s">
        <v>7764</v>
      </c>
      <c r="E268" s="218" t="s">
        <v>7996</v>
      </c>
      <c r="F268" s="218" t="s">
        <v>7780</v>
      </c>
      <c r="G268" s="218" t="s">
        <v>7767</v>
      </c>
      <c r="H268" s="218">
        <v>512</v>
      </c>
      <c r="I268" s="219">
        <v>12800000</v>
      </c>
      <c r="J268" s="219">
        <v>0</v>
      </c>
      <c r="K268" s="219">
        <v>12800000</v>
      </c>
      <c r="L268" s="218" t="s">
        <v>7774</v>
      </c>
      <c r="M268" s="218">
        <v>1</v>
      </c>
      <c r="N268" s="218" t="s">
        <v>7997</v>
      </c>
      <c r="O268" s="218" t="s">
        <v>7993</v>
      </c>
      <c r="P268" s="218">
        <v>399</v>
      </c>
      <c r="Q268" s="218" t="s">
        <v>7771</v>
      </c>
      <c r="R268" s="220">
        <v>104</v>
      </c>
    </row>
    <row r="269" spans="1:18">
      <c r="A269" s="217">
        <v>107</v>
      </c>
      <c r="B269" s="218">
        <v>642836</v>
      </c>
      <c r="C269" s="218" t="s">
        <v>7763</v>
      </c>
      <c r="D269" s="218" t="s">
        <v>7764</v>
      </c>
      <c r="E269" s="218" t="s">
        <v>7998</v>
      </c>
      <c r="F269" s="218" t="s">
        <v>7780</v>
      </c>
      <c r="G269" s="218" t="s">
        <v>7767</v>
      </c>
      <c r="H269" s="218">
        <v>512</v>
      </c>
      <c r="I269" s="219">
        <v>12800000</v>
      </c>
      <c r="J269" s="219">
        <v>0</v>
      </c>
      <c r="K269" s="219">
        <v>12800000</v>
      </c>
      <c r="L269" s="218" t="s">
        <v>7774</v>
      </c>
      <c r="M269" s="218">
        <v>1</v>
      </c>
      <c r="N269" s="218" t="s">
        <v>7999</v>
      </c>
      <c r="O269" s="218" t="s">
        <v>7993</v>
      </c>
      <c r="P269" s="218">
        <v>399</v>
      </c>
      <c r="Q269" s="218" t="s">
        <v>7771</v>
      </c>
      <c r="R269" s="220">
        <v>104</v>
      </c>
    </row>
    <row r="270" spans="1:18">
      <c r="A270" s="217">
        <v>110</v>
      </c>
      <c r="B270" s="218">
        <v>646798</v>
      </c>
      <c r="C270" s="218" t="s">
        <v>7763</v>
      </c>
      <c r="D270" s="218" t="s">
        <v>7764</v>
      </c>
      <c r="E270" s="218" t="s">
        <v>8005</v>
      </c>
      <c r="F270" s="218" t="s">
        <v>7780</v>
      </c>
      <c r="G270" s="218" t="s">
        <v>7767</v>
      </c>
      <c r="H270" s="218">
        <v>512</v>
      </c>
      <c r="I270" s="219">
        <v>12800000</v>
      </c>
      <c r="J270" s="219">
        <v>0</v>
      </c>
      <c r="K270" s="219">
        <v>12800000</v>
      </c>
      <c r="L270" s="218" t="s">
        <v>7774</v>
      </c>
      <c r="M270" s="218">
        <v>1</v>
      </c>
      <c r="N270" s="218" t="s">
        <v>8006</v>
      </c>
      <c r="O270" s="218" t="s">
        <v>7993</v>
      </c>
      <c r="P270" s="218">
        <v>399</v>
      </c>
      <c r="Q270" s="218" t="s">
        <v>7771</v>
      </c>
      <c r="R270" s="220">
        <v>104</v>
      </c>
    </row>
    <row r="271" spans="1:18">
      <c r="A271" s="217">
        <v>111</v>
      </c>
      <c r="B271" s="218">
        <v>648438</v>
      </c>
      <c r="C271" s="218" t="s">
        <v>7763</v>
      </c>
      <c r="D271" s="218" t="s">
        <v>7764</v>
      </c>
      <c r="E271" s="218" t="s">
        <v>8007</v>
      </c>
      <c r="F271" s="218" t="s">
        <v>7780</v>
      </c>
      <c r="G271" s="218" t="s">
        <v>7767</v>
      </c>
      <c r="H271" s="218">
        <v>512</v>
      </c>
      <c r="I271" s="219">
        <v>12800000</v>
      </c>
      <c r="J271" s="219">
        <v>0</v>
      </c>
      <c r="K271" s="219">
        <v>12800000</v>
      </c>
      <c r="L271" s="218" t="s">
        <v>7774</v>
      </c>
      <c r="M271" s="218">
        <v>1</v>
      </c>
      <c r="N271" s="218" t="s">
        <v>8008</v>
      </c>
      <c r="O271" s="218" t="s">
        <v>7993</v>
      </c>
      <c r="P271" s="218">
        <v>399</v>
      </c>
      <c r="Q271" s="218" t="s">
        <v>7771</v>
      </c>
      <c r="R271" s="220">
        <v>104</v>
      </c>
    </row>
    <row r="272" spans="1:18">
      <c r="A272" s="217">
        <v>113</v>
      </c>
      <c r="B272" s="218">
        <v>649737</v>
      </c>
      <c r="C272" s="218" t="s">
        <v>7763</v>
      </c>
      <c r="D272" s="218" t="s">
        <v>7764</v>
      </c>
      <c r="E272" s="218" t="s">
        <v>8011</v>
      </c>
      <c r="F272" s="218" t="s">
        <v>7780</v>
      </c>
      <c r="G272" s="218" t="s">
        <v>7767</v>
      </c>
      <c r="H272" s="218">
        <v>512</v>
      </c>
      <c r="I272" s="219">
        <v>12800000</v>
      </c>
      <c r="J272" s="219">
        <v>0</v>
      </c>
      <c r="K272" s="219">
        <v>12800000</v>
      </c>
      <c r="L272" s="218" t="s">
        <v>7774</v>
      </c>
      <c r="M272" s="218">
        <v>1</v>
      </c>
      <c r="N272" s="218" t="s">
        <v>8012</v>
      </c>
      <c r="O272" s="218" t="s">
        <v>7993</v>
      </c>
      <c r="P272" s="218">
        <v>399</v>
      </c>
      <c r="Q272" s="218" t="s">
        <v>7771</v>
      </c>
      <c r="R272" s="220">
        <v>104</v>
      </c>
    </row>
    <row r="273" spans="1:18">
      <c r="A273" s="217">
        <v>122</v>
      </c>
      <c r="B273" s="218">
        <v>655443</v>
      </c>
      <c r="C273" s="218" t="s">
        <v>335</v>
      </c>
      <c r="D273" s="218" t="s">
        <v>7764</v>
      </c>
      <c r="E273" s="218" t="s">
        <v>8032</v>
      </c>
      <c r="F273" s="218" t="s">
        <v>8033</v>
      </c>
      <c r="G273" s="218" t="s">
        <v>7767</v>
      </c>
      <c r="H273" s="218">
        <v>1024</v>
      </c>
      <c r="I273" s="219">
        <v>12800000</v>
      </c>
      <c r="J273" s="219">
        <v>0</v>
      </c>
      <c r="K273" s="219">
        <v>12800000</v>
      </c>
      <c r="L273" s="218" t="s">
        <v>7781</v>
      </c>
      <c r="M273" s="218">
        <v>1</v>
      </c>
      <c r="N273" s="218" t="s">
        <v>8034</v>
      </c>
      <c r="O273" s="218" t="s">
        <v>7993</v>
      </c>
      <c r="P273" s="218">
        <v>399</v>
      </c>
      <c r="Q273" s="218" t="s">
        <v>7771</v>
      </c>
      <c r="R273" s="220">
        <v>104</v>
      </c>
    </row>
    <row r="274" spans="1:18">
      <c r="A274" s="217">
        <v>124</v>
      </c>
      <c r="B274" s="218">
        <v>657018</v>
      </c>
      <c r="C274" s="218" t="s">
        <v>7763</v>
      </c>
      <c r="D274" s="218" t="s">
        <v>7764</v>
      </c>
      <c r="E274" s="218" t="s">
        <v>8037</v>
      </c>
      <c r="F274" s="218" t="s">
        <v>7780</v>
      </c>
      <c r="G274" s="218" t="s">
        <v>7767</v>
      </c>
      <c r="H274" s="218">
        <v>512</v>
      </c>
      <c r="I274" s="219">
        <v>12800000</v>
      </c>
      <c r="J274" s="219">
        <v>0</v>
      </c>
      <c r="K274" s="219">
        <v>12800000</v>
      </c>
      <c r="L274" s="218" t="s">
        <v>7774</v>
      </c>
      <c r="M274" s="218">
        <v>1</v>
      </c>
      <c r="N274" s="218" t="s">
        <v>8038</v>
      </c>
      <c r="O274" s="218" t="s">
        <v>7993</v>
      </c>
      <c r="P274" s="218">
        <v>399</v>
      </c>
      <c r="Q274" s="218" t="s">
        <v>7771</v>
      </c>
      <c r="R274" s="220">
        <v>104</v>
      </c>
    </row>
    <row r="275" spans="1:18">
      <c r="A275" s="217">
        <v>130</v>
      </c>
      <c r="B275" s="218">
        <v>657407</v>
      </c>
      <c r="C275" s="218" t="s">
        <v>335</v>
      </c>
      <c r="D275" s="218" t="s">
        <v>7764</v>
      </c>
      <c r="E275" s="218" t="s">
        <v>8054</v>
      </c>
      <c r="F275" s="218" t="s">
        <v>8055</v>
      </c>
      <c r="G275" s="218" t="s">
        <v>7767</v>
      </c>
      <c r="H275" s="218">
        <v>1024</v>
      </c>
      <c r="I275" s="219">
        <v>12800000</v>
      </c>
      <c r="J275" s="219">
        <v>0</v>
      </c>
      <c r="K275" s="219">
        <v>12800000</v>
      </c>
      <c r="L275" s="218" t="s">
        <v>7781</v>
      </c>
      <c r="M275" s="218">
        <v>1</v>
      </c>
      <c r="N275" s="218" t="s">
        <v>8056</v>
      </c>
      <c r="O275" s="218" t="s">
        <v>7993</v>
      </c>
      <c r="P275" s="218">
        <v>399</v>
      </c>
      <c r="Q275" s="218" t="s">
        <v>7771</v>
      </c>
      <c r="R275" s="220">
        <v>104</v>
      </c>
    </row>
    <row r="276" spans="1:18">
      <c r="A276" s="217">
        <v>131</v>
      </c>
      <c r="B276" s="218">
        <v>657411</v>
      </c>
      <c r="C276" s="218" t="s">
        <v>335</v>
      </c>
      <c r="D276" s="218" t="s">
        <v>8039</v>
      </c>
      <c r="E276" s="218" t="s">
        <v>8057</v>
      </c>
      <c r="F276" s="218" t="s">
        <v>8047</v>
      </c>
      <c r="G276" s="218" t="s">
        <v>7767</v>
      </c>
      <c r="H276" s="218">
        <v>1024</v>
      </c>
      <c r="I276" s="219">
        <v>12800000</v>
      </c>
      <c r="J276" s="219">
        <v>0</v>
      </c>
      <c r="K276" s="219">
        <v>12800000</v>
      </c>
      <c r="L276" s="218" t="s">
        <v>7781</v>
      </c>
      <c r="M276" s="218">
        <v>1</v>
      </c>
      <c r="N276" s="218" t="s">
        <v>8058</v>
      </c>
      <c r="O276" s="218" t="s">
        <v>7993</v>
      </c>
      <c r="P276" s="218">
        <v>399</v>
      </c>
      <c r="Q276" s="218" t="s">
        <v>7771</v>
      </c>
      <c r="R276" s="220">
        <v>104</v>
      </c>
    </row>
    <row r="277" spans="1:18">
      <c r="A277" s="217">
        <v>179</v>
      </c>
      <c r="B277" s="218">
        <v>9702094492</v>
      </c>
      <c r="C277" s="218" t="s">
        <v>7763</v>
      </c>
      <c r="D277" s="218" t="s">
        <v>7764</v>
      </c>
      <c r="E277" s="218" t="s">
        <v>8140</v>
      </c>
      <c r="F277" s="218" t="s">
        <v>8123</v>
      </c>
      <c r="G277" s="218" t="s">
        <v>7767</v>
      </c>
      <c r="H277" s="218">
        <v>512</v>
      </c>
      <c r="I277" s="219">
        <v>12800000</v>
      </c>
      <c r="J277" s="219">
        <v>0</v>
      </c>
      <c r="K277" s="219">
        <v>12800000</v>
      </c>
      <c r="L277" s="218" t="s">
        <v>7774</v>
      </c>
      <c r="M277" s="218">
        <v>1</v>
      </c>
      <c r="N277" s="218" t="s">
        <v>8141</v>
      </c>
      <c r="O277" s="218" t="s">
        <v>7993</v>
      </c>
      <c r="P277" s="218">
        <v>399</v>
      </c>
      <c r="Q277" s="218" t="s">
        <v>7771</v>
      </c>
      <c r="R277" s="220">
        <v>104</v>
      </c>
    </row>
    <row r="278" spans="1:18">
      <c r="A278" s="217">
        <v>182</v>
      </c>
      <c r="B278" s="218">
        <v>9702144286</v>
      </c>
      <c r="C278" s="218" t="s">
        <v>335</v>
      </c>
      <c r="D278" s="218" t="s">
        <v>8039</v>
      </c>
      <c r="E278" s="218" t="s">
        <v>8146</v>
      </c>
      <c r="F278" s="218" t="s">
        <v>8146</v>
      </c>
      <c r="G278" s="218" t="s">
        <v>7767</v>
      </c>
      <c r="H278" s="218">
        <v>1024</v>
      </c>
      <c r="I278" s="219">
        <v>12800000</v>
      </c>
      <c r="J278" s="219">
        <v>0</v>
      </c>
      <c r="K278" s="219">
        <v>12800000</v>
      </c>
      <c r="L278" s="218" t="s">
        <v>7781</v>
      </c>
      <c r="M278" s="218">
        <v>1</v>
      </c>
      <c r="N278" s="218" t="s">
        <v>8147</v>
      </c>
      <c r="O278" s="218" t="s">
        <v>7993</v>
      </c>
      <c r="P278" s="218">
        <v>399</v>
      </c>
      <c r="Q278" s="218" t="s">
        <v>7771</v>
      </c>
      <c r="R278" s="220">
        <v>100</v>
      </c>
    </row>
    <row r="279" spans="1:18">
      <c r="A279" s="217">
        <v>183</v>
      </c>
      <c r="B279" s="218">
        <v>9702144337</v>
      </c>
      <c r="C279" s="218" t="s">
        <v>335</v>
      </c>
      <c r="D279" s="218" t="s">
        <v>8039</v>
      </c>
      <c r="E279" s="218" t="s">
        <v>8148</v>
      </c>
      <c r="F279" s="218" t="s">
        <v>8149</v>
      </c>
      <c r="G279" s="218" t="s">
        <v>7767</v>
      </c>
      <c r="H279" s="218">
        <v>1024</v>
      </c>
      <c r="I279" s="219">
        <v>12800000</v>
      </c>
      <c r="J279" s="219">
        <v>0</v>
      </c>
      <c r="K279" s="219">
        <v>12800000</v>
      </c>
      <c r="L279" s="218" t="s">
        <v>7781</v>
      </c>
      <c r="M279" s="218">
        <v>1</v>
      </c>
      <c r="N279" s="218" t="s">
        <v>8150</v>
      </c>
      <c r="O279" s="218" t="s">
        <v>7993</v>
      </c>
      <c r="P279" s="218">
        <v>399</v>
      </c>
      <c r="Q279" s="218" t="s">
        <v>7771</v>
      </c>
      <c r="R279" s="220">
        <v>100</v>
      </c>
    </row>
    <row r="280" spans="1:18" s="269" customFormat="1">
      <c r="A280" s="519">
        <v>185</v>
      </c>
      <c r="B280" s="510">
        <v>9702144350</v>
      </c>
      <c r="C280" s="510" t="s">
        <v>335</v>
      </c>
      <c r="D280" s="510" t="s">
        <v>8039</v>
      </c>
      <c r="E280" s="510" t="s">
        <v>8151</v>
      </c>
      <c r="F280" s="510" t="s">
        <v>8151</v>
      </c>
      <c r="G280" s="510" t="s">
        <v>7767</v>
      </c>
      <c r="H280" s="510">
        <v>1024</v>
      </c>
      <c r="I280" s="348">
        <v>12800000</v>
      </c>
      <c r="J280" s="348">
        <v>0</v>
      </c>
      <c r="K280" s="348">
        <v>12800000</v>
      </c>
      <c r="L280" s="510" t="s">
        <v>7781</v>
      </c>
      <c r="M280" s="510">
        <v>1</v>
      </c>
      <c r="N280" s="510" t="s">
        <v>8154</v>
      </c>
      <c r="O280" s="510" t="s">
        <v>7993</v>
      </c>
      <c r="P280" s="510">
        <v>399</v>
      </c>
      <c r="Q280" s="510" t="s">
        <v>7771</v>
      </c>
      <c r="R280" s="520">
        <v>100</v>
      </c>
    </row>
    <row r="281" spans="1:18">
      <c r="A281" s="217">
        <v>186</v>
      </c>
      <c r="B281" s="218">
        <v>9702144354</v>
      </c>
      <c r="C281" s="218" t="s">
        <v>335</v>
      </c>
      <c r="D281" s="218" t="s">
        <v>8039</v>
      </c>
      <c r="E281" s="218" t="s">
        <v>8155</v>
      </c>
      <c r="F281" s="218" t="s">
        <v>8155</v>
      </c>
      <c r="G281" s="218" t="s">
        <v>7767</v>
      </c>
      <c r="H281" s="218">
        <v>1024</v>
      </c>
      <c r="I281" s="219">
        <v>12800000</v>
      </c>
      <c r="J281" s="219">
        <v>0</v>
      </c>
      <c r="K281" s="219">
        <v>12800000</v>
      </c>
      <c r="L281" s="218" t="s">
        <v>7781</v>
      </c>
      <c r="M281" s="218">
        <v>1</v>
      </c>
      <c r="N281" s="218" t="s">
        <v>8156</v>
      </c>
      <c r="O281" s="218" t="s">
        <v>7993</v>
      </c>
      <c r="P281" s="218">
        <v>399</v>
      </c>
      <c r="Q281" s="218" t="s">
        <v>7771</v>
      </c>
      <c r="R281" s="220">
        <v>100</v>
      </c>
    </row>
    <row r="282" spans="1:18" s="269" customFormat="1">
      <c r="A282" s="519">
        <v>254</v>
      </c>
      <c r="B282" s="510">
        <v>521051</v>
      </c>
      <c r="C282" s="510" t="s">
        <v>7763</v>
      </c>
      <c r="D282" s="510" t="s">
        <v>7764</v>
      </c>
      <c r="E282" s="510" t="s">
        <v>8282</v>
      </c>
      <c r="F282" s="510" t="s">
        <v>7780</v>
      </c>
      <c r="G282" s="510" t="s">
        <v>7767</v>
      </c>
      <c r="H282" s="510">
        <v>512</v>
      </c>
      <c r="I282" s="348">
        <v>12800000</v>
      </c>
      <c r="J282" s="348">
        <v>0</v>
      </c>
      <c r="K282" s="348">
        <v>12800000</v>
      </c>
      <c r="L282" s="510" t="s">
        <v>7774</v>
      </c>
      <c r="M282" s="510">
        <v>1</v>
      </c>
      <c r="N282" s="510" t="s">
        <v>8283</v>
      </c>
      <c r="O282" s="510" t="s">
        <v>7993</v>
      </c>
      <c r="P282" s="510">
        <v>399</v>
      </c>
      <c r="Q282" s="510" t="s">
        <v>7771</v>
      </c>
      <c r="R282" s="520">
        <v>104</v>
      </c>
    </row>
    <row r="283" spans="1:18" s="269" customFormat="1">
      <c r="A283" s="519">
        <v>255</v>
      </c>
      <c r="B283" s="510">
        <v>521056</v>
      </c>
      <c r="C283" s="510" t="s">
        <v>7763</v>
      </c>
      <c r="D283" s="510" t="s">
        <v>7764</v>
      </c>
      <c r="E283" s="510" t="s">
        <v>8284</v>
      </c>
      <c r="F283" s="510" t="s">
        <v>8285</v>
      </c>
      <c r="G283" s="510" t="s">
        <v>7767</v>
      </c>
      <c r="H283" s="510">
        <v>512</v>
      </c>
      <c r="I283" s="348">
        <v>12800000</v>
      </c>
      <c r="J283" s="348">
        <v>0</v>
      </c>
      <c r="K283" s="348">
        <v>12800000</v>
      </c>
      <c r="L283" s="510" t="s">
        <v>7774</v>
      </c>
      <c r="M283" s="510">
        <v>1</v>
      </c>
      <c r="N283" s="510" t="s">
        <v>8286</v>
      </c>
      <c r="O283" s="510" t="s">
        <v>7993</v>
      </c>
      <c r="P283" s="510">
        <v>399</v>
      </c>
      <c r="Q283" s="510" t="s">
        <v>7771</v>
      </c>
      <c r="R283" s="520">
        <v>104</v>
      </c>
    </row>
    <row r="284" spans="1:18">
      <c r="A284" s="217">
        <v>261</v>
      </c>
      <c r="B284" s="218">
        <v>521036</v>
      </c>
      <c r="C284" s="218" t="s">
        <v>7763</v>
      </c>
      <c r="D284" s="218" t="s">
        <v>7764</v>
      </c>
      <c r="E284" s="218" t="s">
        <v>8294</v>
      </c>
      <c r="F284" s="218" t="s">
        <v>7780</v>
      </c>
      <c r="G284" s="218" t="s">
        <v>7767</v>
      </c>
      <c r="H284" s="218">
        <v>512</v>
      </c>
      <c r="I284" s="219">
        <v>12800000</v>
      </c>
      <c r="J284" s="219">
        <v>0</v>
      </c>
      <c r="K284" s="219">
        <v>12800000</v>
      </c>
      <c r="L284" s="218" t="s">
        <v>7774</v>
      </c>
      <c r="M284" s="218">
        <v>1</v>
      </c>
      <c r="N284" s="218" t="s">
        <v>8295</v>
      </c>
      <c r="O284" s="218" t="s">
        <v>7993</v>
      </c>
      <c r="P284" s="218">
        <v>399</v>
      </c>
      <c r="Q284" s="218" t="s">
        <v>7771</v>
      </c>
      <c r="R284" s="220">
        <v>104</v>
      </c>
    </row>
    <row r="285" spans="1:18">
      <c r="A285" s="217">
        <v>262</v>
      </c>
      <c r="B285" s="218">
        <v>521038</v>
      </c>
      <c r="C285" s="218" t="s">
        <v>7763</v>
      </c>
      <c r="D285" s="218" t="s">
        <v>7764</v>
      </c>
      <c r="E285" s="218" t="s">
        <v>8296</v>
      </c>
      <c r="F285" s="218" t="s">
        <v>7780</v>
      </c>
      <c r="G285" s="218" t="s">
        <v>7767</v>
      </c>
      <c r="H285" s="218">
        <v>512</v>
      </c>
      <c r="I285" s="219">
        <v>12800000</v>
      </c>
      <c r="J285" s="219">
        <v>0</v>
      </c>
      <c r="K285" s="219">
        <v>12800000</v>
      </c>
      <c r="L285" s="218" t="s">
        <v>7774</v>
      </c>
      <c r="M285" s="218">
        <v>1</v>
      </c>
      <c r="N285" s="218" t="s">
        <v>8297</v>
      </c>
      <c r="O285" s="218" t="s">
        <v>7993</v>
      </c>
      <c r="P285" s="218">
        <v>399</v>
      </c>
      <c r="Q285" s="218" t="s">
        <v>7771</v>
      </c>
      <c r="R285" s="220">
        <v>104</v>
      </c>
    </row>
    <row r="286" spans="1:18">
      <c r="A286" s="217">
        <v>263</v>
      </c>
      <c r="B286" s="218">
        <v>521040</v>
      </c>
      <c r="C286" s="218" t="s">
        <v>7763</v>
      </c>
      <c r="D286" s="218" t="s">
        <v>7764</v>
      </c>
      <c r="E286" s="218" t="s">
        <v>8298</v>
      </c>
      <c r="F286" s="218" t="s">
        <v>7780</v>
      </c>
      <c r="G286" s="218" t="s">
        <v>7767</v>
      </c>
      <c r="H286" s="218">
        <v>512</v>
      </c>
      <c r="I286" s="219">
        <v>12800000</v>
      </c>
      <c r="J286" s="219">
        <v>0</v>
      </c>
      <c r="K286" s="219">
        <v>12800000</v>
      </c>
      <c r="L286" s="218" t="s">
        <v>7774</v>
      </c>
      <c r="M286" s="218">
        <v>1</v>
      </c>
      <c r="N286" s="218" t="s">
        <v>8299</v>
      </c>
      <c r="O286" s="218" t="s">
        <v>7993</v>
      </c>
      <c r="P286" s="218">
        <v>399</v>
      </c>
      <c r="Q286" s="218" t="s">
        <v>7771</v>
      </c>
      <c r="R286" s="220">
        <v>104</v>
      </c>
    </row>
    <row r="287" spans="1:18">
      <c r="A287" s="217">
        <v>264</v>
      </c>
      <c r="B287" s="218">
        <v>521041</v>
      </c>
      <c r="C287" s="218" t="s">
        <v>7763</v>
      </c>
      <c r="D287" s="218" t="s">
        <v>7764</v>
      </c>
      <c r="E287" s="218" t="s">
        <v>8300</v>
      </c>
      <c r="F287" s="218" t="s">
        <v>7802</v>
      </c>
      <c r="G287" s="218" t="s">
        <v>7767</v>
      </c>
      <c r="H287" s="218">
        <v>512</v>
      </c>
      <c r="I287" s="219">
        <v>12800000</v>
      </c>
      <c r="J287" s="219">
        <v>0</v>
      </c>
      <c r="K287" s="219">
        <v>12800000</v>
      </c>
      <c r="L287" s="218" t="s">
        <v>7774</v>
      </c>
      <c r="M287" s="218">
        <v>1</v>
      </c>
      <c r="N287" s="218" t="s">
        <v>8301</v>
      </c>
      <c r="O287" s="218" t="s">
        <v>7993</v>
      </c>
      <c r="P287" s="218">
        <v>399</v>
      </c>
      <c r="Q287" s="218" t="s">
        <v>7771</v>
      </c>
      <c r="R287" s="220">
        <v>104</v>
      </c>
    </row>
    <row r="288" spans="1:18">
      <c r="A288" s="217">
        <v>265</v>
      </c>
      <c r="B288" s="218">
        <v>521042</v>
      </c>
      <c r="C288" s="218" t="s">
        <v>7763</v>
      </c>
      <c r="D288" s="218" t="s">
        <v>7764</v>
      </c>
      <c r="E288" s="218" t="s">
        <v>8302</v>
      </c>
      <c r="F288" s="218" t="s">
        <v>8303</v>
      </c>
      <c r="G288" s="218" t="s">
        <v>7767</v>
      </c>
      <c r="H288" s="218">
        <v>512</v>
      </c>
      <c r="I288" s="219">
        <v>12800000</v>
      </c>
      <c r="J288" s="219">
        <v>0</v>
      </c>
      <c r="K288" s="219">
        <v>12800000</v>
      </c>
      <c r="L288" s="218" t="s">
        <v>7774</v>
      </c>
      <c r="M288" s="218">
        <v>1</v>
      </c>
      <c r="N288" s="218" t="s">
        <v>8304</v>
      </c>
      <c r="O288" s="218" t="s">
        <v>7993</v>
      </c>
      <c r="P288" s="218">
        <v>399</v>
      </c>
      <c r="Q288" s="218" t="s">
        <v>7771</v>
      </c>
      <c r="R288" s="220">
        <v>104</v>
      </c>
    </row>
    <row r="289" spans="1:18">
      <c r="A289" s="217">
        <v>266</v>
      </c>
      <c r="B289" s="218">
        <v>521044</v>
      </c>
      <c r="C289" s="218" t="s">
        <v>7763</v>
      </c>
      <c r="D289" s="218" t="s">
        <v>7764</v>
      </c>
      <c r="E289" s="218" t="s">
        <v>8305</v>
      </c>
      <c r="F289" s="218" t="s">
        <v>7802</v>
      </c>
      <c r="G289" s="218" t="s">
        <v>7767</v>
      </c>
      <c r="H289" s="218">
        <v>512</v>
      </c>
      <c r="I289" s="219">
        <v>12800000</v>
      </c>
      <c r="J289" s="219">
        <v>0</v>
      </c>
      <c r="K289" s="219">
        <v>12800000</v>
      </c>
      <c r="L289" s="218" t="s">
        <v>7774</v>
      </c>
      <c r="M289" s="218">
        <v>1</v>
      </c>
      <c r="N289" s="218" t="s">
        <v>8306</v>
      </c>
      <c r="O289" s="218" t="s">
        <v>7993</v>
      </c>
      <c r="P289" s="218">
        <v>399</v>
      </c>
      <c r="Q289" s="218" t="s">
        <v>7771</v>
      </c>
      <c r="R289" s="220">
        <v>104</v>
      </c>
    </row>
    <row r="290" spans="1:18">
      <c r="A290" s="217">
        <v>267</v>
      </c>
      <c r="B290" s="218">
        <v>521046</v>
      </c>
      <c r="C290" s="218" t="s">
        <v>7763</v>
      </c>
      <c r="D290" s="218" t="s">
        <v>7764</v>
      </c>
      <c r="E290" s="218" t="s">
        <v>8287</v>
      </c>
      <c r="F290" s="218" t="s">
        <v>8307</v>
      </c>
      <c r="G290" s="218" t="s">
        <v>7767</v>
      </c>
      <c r="H290" s="218">
        <v>512</v>
      </c>
      <c r="I290" s="219">
        <v>12800000</v>
      </c>
      <c r="J290" s="219">
        <v>0</v>
      </c>
      <c r="K290" s="219">
        <v>12800000</v>
      </c>
      <c r="L290" s="218" t="s">
        <v>7774</v>
      </c>
      <c r="M290" s="218">
        <v>1</v>
      </c>
      <c r="N290" s="218" t="s">
        <v>8308</v>
      </c>
      <c r="O290" s="218" t="s">
        <v>7993</v>
      </c>
      <c r="P290" s="218">
        <v>399</v>
      </c>
      <c r="Q290" s="218" t="s">
        <v>7771</v>
      </c>
      <c r="R290" s="220">
        <v>104</v>
      </c>
    </row>
    <row r="291" spans="1:18">
      <c r="A291" s="217">
        <v>268</v>
      </c>
      <c r="B291" s="218">
        <v>521053</v>
      </c>
      <c r="C291" s="218" t="s">
        <v>7763</v>
      </c>
      <c r="D291" s="218" t="s">
        <v>7764</v>
      </c>
      <c r="E291" s="218" t="s">
        <v>7860</v>
      </c>
      <c r="F291" s="218" t="s">
        <v>7780</v>
      </c>
      <c r="G291" s="218" t="s">
        <v>7767</v>
      </c>
      <c r="H291" s="218">
        <v>512</v>
      </c>
      <c r="I291" s="219">
        <v>12800000</v>
      </c>
      <c r="J291" s="219">
        <v>0</v>
      </c>
      <c r="K291" s="219">
        <v>12800000</v>
      </c>
      <c r="L291" s="218" t="s">
        <v>7774</v>
      </c>
      <c r="M291" s="218">
        <v>1</v>
      </c>
      <c r="N291" s="218" t="s">
        <v>8309</v>
      </c>
      <c r="O291" s="218" t="s">
        <v>7993</v>
      </c>
      <c r="P291" s="218">
        <v>399</v>
      </c>
      <c r="Q291" s="218" t="s">
        <v>7771</v>
      </c>
      <c r="R291" s="220">
        <v>104</v>
      </c>
    </row>
    <row r="292" spans="1:18">
      <c r="A292" s="217">
        <v>269</v>
      </c>
      <c r="B292" s="218">
        <v>521054</v>
      </c>
      <c r="C292" s="218" t="s">
        <v>7763</v>
      </c>
      <c r="D292" s="218" t="s">
        <v>7764</v>
      </c>
      <c r="E292" s="218" t="s">
        <v>8282</v>
      </c>
      <c r="F292" s="218" t="s">
        <v>7780</v>
      </c>
      <c r="G292" s="218" t="s">
        <v>7767</v>
      </c>
      <c r="H292" s="218">
        <v>512</v>
      </c>
      <c r="I292" s="219">
        <v>12800000</v>
      </c>
      <c r="J292" s="219">
        <v>0</v>
      </c>
      <c r="K292" s="219">
        <v>12800000</v>
      </c>
      <c r="L292" s="218" t="s">
        <v>7774</v>
      </c>
      <c r="M292" s="218">
        <v>1</v>
      </c>
      <c r="N292" s="218" t="s">
        <v>8045</v>
      </c>
      <c r="O292" s="218" t="s">
        <v>7993</v>
      </c>
      <c r="P292" s="218">
        <v>399</v>
      </c>
      <c r="Q292" s="218" t="s">
        <v>7771</v>
      </c>
      <c r="R292" s="220">
        <v>104</v>
      </c>
    </row>
    <row r="293" spans="1:18">
      <c r="A293" s="217">
        <v>270</v>
      </c>
      <c r="B293" s="218">
        <v>521055</v>
      </c>
      <c r="C293" s="218" t="s">
        <v>7763</v>
      </c>
      <c r="D293" s="218" t="s">
        <v>7764</v>
      </c>
      <c r="E293" s="218" t="s">
        <v>8287</v>
      </c>
      <c r="F293" s="218" t="s">
        <v>7780</v>
      </c>
      <c r="G293" s="218" t="s">
        <v>7767</v>
      </c>
      <c r="H293" s="218">
        <v>512</v>
      </c>
      <c r="I293" s="219">
        <v>12800000</v>
      </c>
      <c r="J293" s="219">
        <v>0</v>
      </c>
      <c r="K293" s="219">
        <v>12800000</v>
      </c>
      <c r="L293" s="218" t="s">
        <v>7774</v>
      </c>
      <c r="M293" s="218">
        <v>1</v>
      </c>
      <c r="N293" s="218" t="s">
        <v>8310</v>
      </c>
      <c r="O293" s="218" t="s">
        <v>7993</v>
      </c>
      <c r="P293" s="218">
        <v>399</v>
      </c>
      <c r="Q293" s="218" t="s">
        <v>7771</v>
      </c>
      <c r="R293" s="220">
        <v>104</v>
      </c>
    </row>
    <row r="294" spans="1:18">
      <c r="A294" s="217">
        <v>290</v>
      </c>
      <c r="B294" s="218">
        <v>647227</v>
      </c>
      <c r="C294" s="218" t="s">
        <v>7763</v>
      </c>
      <c r="D294" s="218" t="s">
        <v>7764</v>
      </c>
      <c r="E294" s="218" t="s">
        <v>8344</v>
      </c>
      <c r="F294" s="218" t="s">
        <v>8345</v>
      </c>
      <c r="G294" s="218" t="s">
        <v>7767</v>
      </c>
      <c r="H294" s="218">
        <v>512</v>
      </c>
      <c r="I294" s="219">
        <v>12800000</v>
      </c>
      <c r="J294" s="219">
        <v>0</v>
      </c>
      <c r="K294" s="219">
        <v>12800000</v>
      </c>
      <c r="L294" s="218" t="s">
        <v>7774</v>
      </c>
      <c r="M294" s="218">
        <v>1</v>
      </c>
      <c r="N294" s="218" t="s">
        <v>8346</v>
      </c>
      <c r="O294" s="218" t="s">
        <v>8347</v>
      </c>
      <c r="P294" s="218">
        <v>399</v>
      </c>
      <c r="Q294" s="218" t="s">
        <v>7771</v>
      </c>
      <c r="R294" s="220">
        <v>104</v>
      </c>
    </row>
    <row r="295" spans="1:18">
      <c r="A295" s="217">
        <v>294</v>
      </c>
      <c r="B295" s="218">
        <v>9702143920</v>
      </c>
      <c r="C295" s="218" t="s">
        <v>7763</v>
      </c>
      <c r="D295" s="218" t="s">
        <v>7764</v>
      </c>
      <c r="E295" s="218" t="s">
        <v>8159</v>
      </c>
      <c r="F295" s="218" t="s">
        <v>7780</v>
      </c>
      <c r="G295" s="218" t="s">
        <v>7767</v>
      </c>
      <c r="H295" s="218">
        <v>512</v>
      </c>
      <c r="I295" s="219">
        <v>12800000</v>
      </c>
      <c r="J295" s="219">
        <v>0</v>
      </c>
      <c r="K295" s="219">
        <v>12800000</v>
      </c>
      <c r="L295" s="218" t="s">
        <v>7774</v>
      </c>
      <c r="M295" s="218">
        <v>1</v>
      </c>
      <c r="N295" s="218" t="s">
        <v>8353</v>
      </c>
      <c r="O295" s="218" t="s">
        <v>8347</v>
      </c>
      <c r="P295" s="218">
        <v>399</v>
      </c>
      <c r="Q295" s="218" t="s">
        <v>7771</v>
      </c>
      <c r="R295" s="220">
        <v>104</v>
      </c>
    </row>
    <row r="296" spans="1:18">
      <c r="A296" s="217">
        <v>296</v>
      </c>
      <c r="B296" s="218">
        <v>40002276959</v>
      </c>
      <c r="C296" s="218" t="s">
        <v>7763</v>
      </c>
      <c r="D296" s="218" t="s">
        <v>7764</v>
      </c>
      <c r="E296" s="218" t="s">
        <v>8356</v>
      </c>
      <c r="F296" s="218" t="s">
        <v>8345</v>
      </c>
      <c r="G296" s="218" t="s">
        <v>7767</v>
      </c>
      <c r="H296" s="218">
        <v>512</v>
      </c>
      <c r="I296" s="219">
        <v>12800000</v>
      </c>
      <c r="J296" s="219">
        <v>0</v>
      </c>
      <c r="K296" s="219">
        <v>12800000</v>
      </c>
      <c r="L296" s="218" t="s">
        <v>7774</v>
      </c>
      <c r="M296" s="218">
        <v>1</v>
      </c>
      <c r="N296" s="218" t="s">
        <v>8357</v>
      </c>
      <c r="O296" s="218" t="s">
        <v>8347</v>
      </c>
      <c r="P296" s="218">
        <v>399</v>
      </c>
      <c r="Q296" s="218" t="s">
        <v>7771</v>
      </c>
      <c r="R296" s="220">
        <v>104</v>
      </c>
    </row>
    <row r="297" spans="1:18">
      <c r="A297" s="217">
        <v>300</v>
      </c>
      <c r="B297" s="218">
        <v>524018</v>
      </c>
      <c r="C297" s="218" t="s">
        <v>7763</v>
      </c>
      <c r="D297" s="218" t="s">
        <v>7764</v>
      </c>
      <c r="E297" s="218" t="s">
        <v>8364</v>
      </c>
      <c r="F297" s="218" t="s">
        <v>8365</v>
      </c>
      <c r="G297" s="218" t="s">
        <v>7767</v>
      </c>
      <c r="H297" s="218">
        <v>512</v>
      </c>
      <c r="I297" s="219">
        <v>12800000</v>
      </c>
      <c r="J297" s="219">
        <v>0</v>
      </c>
      <c r="K297" s="219">
        <v>12800000</v>
      </c>
      <c r="L297" s="218" t="s">
        <v>7774</v>
      </c>
      <c r="M297" s="218">
        <v>1</v>
      </c>
      <c r="N297" s="218" t="s">
        <v>8366</v>
      </c>
      <c r="O297" s="218" t="s">
        <v>8347</v>
      </c>
      <c r="P297" s="218">
        <v>399</v>
      </c>
      <c r="Q297" s="218" t="s">
        <v>7771</v>
      </c>
      <c r="R297" s="220">
        <v>104</v>
      </c>
    </row>
    <row r="298" spans="1:18">
      <c r="A298" s="217">
        <v>301</v>
      </c>
      <c r="B298" s="218">
        <v>524019</v>
      </c>
      <c r="C298" s="218" t="s">
        <v>7763</v>
      </c>
      <c r="D298" s="218" t="s">
        <v>7764</v>
      </c>
      <c r="E298" s="218" t="s">
        <v>7934</v>
      </c>
      <c r="F298" s="218" t="s">
        <v>8365</v>
      </c>
      <c r="G298" s="218" t="s">
        <v>7767</v>
      </c>
      <c r="H298" s="218">
        <v>512</v>
      </c>
      <c r="I298" s="219">
        <v>12800000</v>
      </c>
      <c r="J298" s="219">
        <v>0</v>
      </c>
      <c r="K298" s="219">
        <v>12800000</v>
      </c>
      <c r="L298" s="218" t="s">
        <v>7774</v>
      </c>
      <c r="M298" s="218">
        <v>1</v>
      </c>
      <c r="N298" s="218" t="s">
        <v>8367</v>
      </c>
      <c r="O298" s="218" t="s">
        <v>8347</v>
      </c>
      <c r="P298" s="218">
        <v>399</v>
      </c>
      <c r="Q298" s="218" t="s">
        <v>7771</v>
      </c>
      <c r="R298" s="220">
        <v>104</v>
      </c>
    </row>
    <row r="299" spans="1:18">
      <c r="A299" s="217">
        <v>304</v>
      </c>
      <c r="B299" s="218">
        <v>529753</v>
      </c>
      <c r="C299" s="218" t="s">
        <v>7763</v>
      </c>
      <c r="D299" s="218" t="s">
        <v>7764</v>
      </c>
      <c r="E299" s="218" t="s">
        <v>8371</v>
      </c>
      <c r="F299" s="218" t="s">
        <v>8365</v>
      </c>
      <c r="G299" s="218" t="s">
        <v>7767</v>
      </c>
      <c r="H299" s="218">
        <v>512</v>
      </c>
      <c r="I299" s="219">
        <v>12800000</v>
      </c>
      <c r="J299" s="219">
        <v>0</v>
      </c>
      <c r="K299" s="219">
        <v>12800000</v>
      </c>
      <c r="L299" s="218" t="s">
        <v>7774</v>
      </c>
      <c r="M299" s="218">
        <v>1</v>
      </c>
      <c r="N299" s="218" t="s">
        <v>8372</v>
      </c>
      <c r="O299" s="218" t="s">
        <v>8347</v>
      </c>
      <c r="P299" s="218">
        <v>399</v>
      </c>
      <c r="Q299" s="218" t="s">
        <v>7771</v>
      </c>
      <c r="R299" s="220">
        <v>104</v>
      </c>
    </row>
    <row r="300" spans="1:18">
      <c r="A300" s="217">
        <v>353</v>
      </c>
      <c r="B300" s="218">
        <v>9902221785</v>
      </c>
      <c r="C300" s="218" t="s">
        <v>7763</v>
      </c>
      <c r="D300" s="218" t="s">
        <v>7764</v>
      </c>
      <c r="E300" s="218" t="s">
        <v>8448</v>
      </c>
      <c r="F300" s="218" t="s">
        <v>8446</v>
      </c>
      <c r="G300" s="218" t="s">
        <v>7767</v>
      </c>
      <c r="H300" s="218">
        <v>512</v>
      </c>
      <c r="I300" s="219">
        <v>12800000</v>
      </c>
      <c r="J300" s="219">
        <v>0</v>
      </c>
      <c r="K300" s="219">
        <v>12800000</v>
      </c>
      <c r="L300" s="218" t="s">
        <v>7774</v>
      </c>
      <c r="M300" s="218">
        <v>1</v>
      </c>
      <c r="N300" s="218" t="s">
        <v>8449</v>
      </c>
      <c r="O300" s="218" t="s">
        <v>2449</v>
      </c>
      <c r="P300" s="218">
        <v>399</v>
      </c>
      <c r="Q300" s="218" t="s">
        <v>7771</v>
      </c>
      <c r="R300" s="220">
        <v>104</v>
      </c>
    </row>
    <row r="301" spans="1:18">
      <c r="A301" s="217">
        <v>354</v>
      </c>
      <c r="B301" s="218">
        <v>9902221825</v>
      </c>
      <c r="C301" s="218" t="s">
        <v>7763</v>
      </c>
      <c r="D301" s="218" t="s">
        <v>7764</v>
      </c>
      <c r="E301" s="218" t="s">
        <v>8443</v>
      </c>
      <c r="F301" s="218" t="s">
        <v>8446</v>
      </c>
      <c r="G301" s="218" t="s">
        <v>7767</v>
      </c>
      <c r="H301" s="218">
        <v>512</v>
      </c>
      <c r="I301" s="219">
        <v>12800000</v>
      </c>
      <c r="J301" s="219">
        <v>0</v>
      </c>
      <c r="K301" s="219">
        <v>12800000</v>
      </c>
      <c r="L301" s="218" t="s">
        <v>7774</v>
      </c>
      <c r="M301" s="218">
        <v>1</v>
      </c>
      <c r="N301" s="218" t="s">
        <v>8450</v>
      </c>
      <c r="O301" s="218" t="s">
        <v>2449</v>
      </c>
      <c r="P301" s="218">
        <v>399</v>
      </c>
      <c r="Q301" s="218" t="s">
        <v>7771</v>
      </c>
      <c r="R301" s="220">
        <v>104</v>
      </c>
    </row>
    <row r="302" spans="1:18">
      <c r="A302" s="217">
        <v>377</v>
      </c>
      <c r="B302" s="218">
        <v>538210</v>
      </c>
      <c r="C302" s="218" t="s">
        <v>7763</v>
      </c>
      <c r="D302" s="218" t="s">
        <v>7764</v>
      </c>
      <c r="E302" s="218" t="s">
        <v>8492</v>
      </c>
      <c r="F302" s="218" t="s">
        <v>7802</v>
      </c>
      <c r="G302" s="218" t="s">
        <v>7767</v>
      </c>
      <c r="H302" s="218">
        <v>512</v>
      </c>
      <c r="I302" s="219">
        <v>12800000</v>
      </c>
      <c r="J302" s="219">
        <v>0</v>
      </c>
      <c r="K302" s="219">
        <v>12800000</v>
      </c>
      <c r="L302" s="218" t="s">
        <v>7774</v>
      </c>
      <c r="M302" s="218">
        <v>1</v>
      </c>
      <c r="N302" s="218" t="s">
        <v>8493</v>
      </c>
      <c r="O302" s="218" t="s">
        <v>2476</v>
      </c>
      <c r="P302" s="218">
        <v>399</v>
      </c>
      <c r="Q302" s="218" t="s">
        <v>7771</v>
      </c>
      <c r="R302" s="220">
        <v>104</v>
      </c>
    </row>
    <row r="303" spans="1:18">
      <c r="A303" s="217">
        <v>466</v>
      </c>
      <c r="B303" s="218">
        <v>535801</v>
      </c>
      <c r="C303" s="218" t="s">
        <v>7763</v>
      </c>
      <c r="D303" s="218" t="s">
        <v>7764</v>
      </c>
      <c r="E303" s="218" t="s">
        <v>8642</v>
      </c>
      <c r="F303" s="218" t="s">
        <v>8643</v>
      </c>
      <c r="G303" s="218" t="s">
        <v>7767</v>
      </c>
      <c r="H303" s="218">
        <v>512</v>
      </c>
      <c r="I303" s="219">
        <v>12800000</v>
      </c>
      <c r="J303" s="219">
        <v>0</v>
      </c>
      <c r="K303" s="219">
        <v>12800000</v>
      </c>
      <c r="L303" s="218" t="s">
        <v>7774</v>
      </c>
      <c r="M303" s="218">
        <v>1</v>
      </c>
      <c r="N303" s="218" t="s">
        <v>8644</v>
      </c>
      <c r="O303" s="218" t="s">
        <v>3001</v>
      </c>
      <c r="P303" s="218">
        <v>399</v>
      </c>
      <c r="Q303" s="218" t="s">
        <v>7771</v>
      </c>
      <c r="R303" s="220">
        <v>104</v>
      </c>
    </row>
    <row r="304" spans="1:18">
      <c r="A304" s="217">
        <v>470</v>
      </c>
      <c r="B304" s="218">
        <v>627729</v>
      </c>
      <c r="C304" s="218" t="s">
        <v>335</v>
      </c>
      <c r="D304" s="218" t="s">
        <v>7764</v>
      </c>
      <c r="E304" s="218" t="s">
        <v>8649</v>
      </c>
      <c r="F304" s="218" t="s">
        <v>8651</v>
      </c>
      <c r="G304" s="218" t="s">
        <v>7767</v>
      </c>
      <c r="H304" s="218">
        <v>1024</v>
      </c>
      <c r="I304" s="219">
        <v>12800000</v>
      </c>
      <c r="J304" s="219">
        <v>0</v>
      </c>
      <c r="K304" s="219">
        <v>12800000</v>
      </c>
      <c r="L304" s="218" t="s">
        <v>7781</v>
      </c>
      <c r="M304" s="218">
        <v>1</v>
      </c>
      <c r="N304" s="218" t="s">
        <v>8652</v>
      </c>
      <c r="O304" s="218" t="s">
        <v>3018</v>
      </c>
      <c r="P304" s="218">
        <v>399</v>
      </c>
      <c r="Q304" s="218" t="s">
        <v>7771</v>
      </c>
      <c r="R304" s="220">
        <v>100</v>
      </c>
    </row>
    <row r="305" spans="1:18">
      <c r="A305" s="217">
        <v>477</v>
      </c>
      <c r="B305" s="218">
        <v>627734</v>
      </c>
      <c r="C305" s="218" t="s">
        <v>335</v>
      </c>
      <c r="D305" s="218" t="s">
        <v>8039</v>
      </c>
      <c r="E305" s="218" t="s">
        <v>8649</v>
      </c>
      <c r="F305" s="218" t="s">
        <v>8491</v>
      </c>
      <c r="G305" s="218" t="s">
        <v>7767</v>
      </c>
      <c r="H305" s="218">
        <v>1024</v>
      </c>
      <c r="I305" s="219">
        <v>12800000</v>
      </c>
      <c r="J305" s="219">
        <v>0</v>
      </c>
      <c r="K305" s="219">
        <v>12800000</v>
      </c>
      <c r="L305" s="218" t="s">
        <v>7781</v>
      </c>
      <c r="M305" s="218">
        <v>1</v>
      </c>
      <c r="N305" s="218" t="s">
        <v>8665</v>
      </c>
      <c r="O305" s="218" t="s">
        <v>3018</v>
      </c>
      <c r="P305" s="218">
        <v>399</v>
      </c>
      <c r="Q305" s="218" t="s">
        <v>7771</v>
      </c>
      <c r="R305" s="220">
        <v>100</v>
      </c>
    </row>
    <row r="306" spans="1:18">
      <c r="A306" s="217">
        <v>489</v>
      </c>
      <c r="B306" s="218">
        <v>541752</v>
      </c>
      <c r="C306" s="218" t="s">
        <v>7763</v>
      </c>
      <c r="D306" s="218" t="s">
        <v>7764</v>
      </c>
      <c r="E306" s="218" t="s">
        <v>8678</v>
      </c>
      <c r="F306" s="218" t="s">
        <v>8404</v>
      </c>
      <c r="G306" s="218" t="s">
        <v>7767</v>
      </c>
      <c r="H306" s="218">
        <v>512</v>
      </c>
      <c r="I306" s="219">
        <v>12800000</v>
      </c>
      <c r="J306" s="219">
        <v>0</v>
      </c>
      <c r="K306" s="219">
        <v>12800000</v>
      </c>
      <c r="L306" s="218" t="s">
        <v>7774</v>
      </c>
      <c r="M306" s="218">
        <v>1</v>
      </c>
      <c r="N306" s="218" t="s">
        <v>8681</v>
      </c>
      <c r="O306" s="218" t="s">
        <v>3018</v>
      </c>
      <c r="P306" s="218">
        <v>399</v>
      </c>
      <c r="Q306" s="218" t="s">
        <v>7771</v>
      </c>
      <c r="R306" s="220">
        <v>104</v>
      </c>
    </row>
    <row r="307" spans="1:18">
      <c r="A307" s="217">
        <v>504</v>
      </c>
      <c r="B307" s="218">
        <v>656329</v>
      </c>
      <c r="C307" s="218" t="s">
        <v>7763</v>
      </c>
      <c r="D307" s="218" t="s">
        <v>7764</v>
      </c>
      <c r="E307" s="218" t="s">
        <v>8701</v>
      </c>
      <c r="F307" s="218" t="s">
        <v>7780</v>
      </c>
      <c r="G307" s="218" t="s">
        <v>7767</v>
      </c>
      <c r="H307" s="218">
        <v>512</v>
      </c>
      <c r="I307" s="219">
        <v>12800000</v>
      </c>
      <c r="J307" s="219">
        <v>0</v>
      </c>
      <c r="K307" s="219">
        <v>12800000</v>
      </c>
      <c r="L307" s="218" t="s">
        <v>7774</v>
      </c>
      <c r="M307" s="218">
        <v>1</v>
      </c>
      <c r="N307" s="218" t="s">
        <v>8702</v>
      </c>
      <c r="O307" s="218" t="s">
        <v>235</v>
      </c>
      <c r="P307" s="218">
        <v>399</v>
      </c>
      <c r="Q307" s="218" t="s">
        <v>7771</v>
      </c>
      <c r="R307" s="220">
        <v>104</v>
      </c>
    </row>
    <row r="308" spans="1:18">
      <c r="A308" s="217">
        <v>512</v>
      </c>
      <c r="B308" s="218">
        <v>583116</v>
      </c>
      <c r="C308" s="218" t="s">
        <v>7763</v>
      </c>
      <c r="D308" s="218" t="s">
        <v>7764</v>
      </c>
      <c r="E308" s="218" t="s">
        <v>8718</v>
      </c>
      <c r="F308" s="218" t="s">
        <v>7802</v>
      </c>
      <c r="G308" s="218" t="s">
        <v>7767</v>
      </c>
      <c r="H308" s="218">
        <v>512</v>
      </c>
      <c r="I308" s="219">
        <v>12800000</v>
      </c>
      <c r="J308" s="219">
        <v>0</v>
      </c>
      <c r="K308" s="219">
        <v>12800000</v>
      </c>
      <c r="L308" s="218" t="s">
        <v>7774</v>
      </c>
      <c r="M308" s="218">
        <v>1</v>
      </c>
      <c r="N308" s="218" t="s">
        <v>8719</v>
      </c>
      <c r="O308" s="218" t="s">
        <v>235</v>
      </c>
      <c r="P308" s="218">
        <v>399</v>
      </c>
      <c r="Q308" s="218" t="s">
        <v>7771</v>
      </c>
      <c r="R308" s="220">
        <v>104</v>
      </c>
    </row>
    <row r="309" spans="1:18">
      <c r="A309" s="217">
        <v>521</v>
      </c>
      <c r="B309" s="218">
        <v>40202463794</v>
      </c>
      <c r="C309" s="218" t="s">
        <v>335</v>
      </c>
      <c r="D309" s="218" t="s">
        <v>7764</v>
      </c>
      <c r="E309" s="218" t="s">
        <v>8734</v>
      </c>
      <c r="F309" s="218" t="s">
        <v>8734</v>
      </c>
      <c r="G309" s="218" t="s">
        <v>7767</v>
      </c>
      <c r="H309" s="218">
        <v>1024</v>
      </c>
      <c r="I309" s="219">
        <v>12800000</v>
      </c>
      <c r="J309" s="219">
        <v>0</v>
      </c>
      <c r="K309" s="219">
        <v>12800000</v>
      </c>
      <c r="L309" s="218" t="s">
        <v>7781</v>
      </c>
      <c r="M309" s="218">
        <v>1</v>
      </c>
      <c r="N309" s="218" t="s">
        <v>8735</v>
      </c>
      <c r="O309" s="218" t="s">
        <v>8729</v>
      </c>
      <c r="P309" s="218">
        <v>399</v>
      </c>
      <c r="Q309" s="218" t="s">
        <v>7771</v>
      </c>
      <c r="R309" s="220">
        <v>100</v>
      </c>
    </row>
    <row r="310" spans="1:18">
      <c r="A310" s="217">
        <v>525</v>
      </c>
      <c r="B310" s="218">
        <v>657174</v>
      </c>
      <c r="C310" s="218" t="s">
        <v>7763</v>
      </c>
      <c r="D310" s="218" t="s">
        <v>7764</v>
      </c>
      <c r="E310" s="218" t="s">
        <v>8741</v>
      </c>
      <c r="F310" s="218" t="s">
        <v>7780</v>
      </c>
      <c r="G310" s="218" t="s">
        <v>7767</v>
      </c>
      <c r="H310" s="218">
        <v>512</v>
      </c>
      <c r="I310" s="219">
        <v>12800000</v>
      </c>
      <c r="J310" s="219">
        <v>0</v>
      </c>
      <c r="K310" s="219">
        <v>12800000</v>
      </c>
      <c r="L310" s="218" t="s">
        <v>7774</v>
      </c>
      <c r="M310" s="218">
        <v>1</v>
      </c>
      <c r="N310" s="218" t="s">
        <v>8742</v>
      </c>
      <c r="O310" s="218" t="s">
        <v>933</v>
      </c>
      <c r="P310" s="218">
        <v>399</v>
      </c>
      <c r="Q310" s="218" t="s">
        <v>7771</v>
      </c>
      <c r="R310" s="220">
        <v>104</v>
      </c>
    </row>
    <row r="311" spans="1:18">
      <c r="A311" s="217">
        <v>561</v>
      </c>
      <c r="B311" s="218">
        <v>534453</v>
      </c>
      <c r="C311" s="218" t="s">
        <v>7763</v>
      </c>
      <c r="D311" s="218" t="s">
        <v>7764</v>
      </c>
      <c r="E311" s="218" t="s">
        <v>8807</v>
      </c>
      <c r="F311" s="218" t="s">
        <v>8808</v>
      </c>
      <c r="G311" s="218" t="s">
        <v>7767</v>
      </c>
      <c r="H311" s="218">
        <v>512</v>
      </c>
      <c r="I311" s="219">
        <v>12800000</v>
      </c>
      <c r="J311" s="219">
        <v>0</v>
      </c>
      <c r="K311" s="219">
        <v>12800000</v>
      </c>
      <c r="L311" s="218" t="s">
        <v>7774</v>
      </c>
      <c r="M311" s="218">
        <v>1</v>
      </c>
      <c r="N311" s="218" t="s">
        <v>8809</v>
      </c>
      <c r="O311" s="218" t="s">
        <v>8796</v>
      </c>
      <c r="P311" s="218">
        <v>399</v>
      </c>
      <c r="Q311" s="218" t="s">
        <v>7771</v>
      </c>
      <c r="R311" s="220">
        <v>104</v>
      </c>
    </row>
    <row r="312" spans="1:18">
      <c r="A312" s="217">
        <v>568</v>
      </c>
      <c r="B312" s="218">
        <v>547618</v>
      </c>
      <c r="C312" s="218" t="s">
        <v>7763</v>
      </c>
      <c r="D312" s="218" t="s">
        <v>7764</v>
      </c>
      <c r="E312" s="218" t="s">
        <v>8822</v>
      </c>
      <c r="F312" s="218" t="s">
        <v>8144</v>
      </c>
      <c r="G312" s="218" t="s">
        <v>7767</v>
      </c>
      <c r="H312" s="218">
        <v>512</v>
      </c>
      <c r="I312" s="219">
        <v>12800000</v>
      </c>
      <c r="J312" s="219">
        <v>0</v>
      </c>
      <c r="K312" s="219">
        <v>12800000</v>
      </c>
      <c r="L312" s="218" t="s">
        <v>7774</v>
      </c>
      <c r="M312" s="218">
        <v>1</v>
      </c>
      <c r="N312" s="218" t="s">
        <v>8823</v>
      </c>
      <c r="O312" s="218" t="s">
        <v>8796</v>
      </c>
      <c r="P312" s="218">
        <v>399</v>
      </c>
      <c r="Q312" s="218" t="s">
        <v>7771</v>
      </c>
      <c r="R312" s="220">
        <v>104</v>
      </c>
    </row>
    <row r="313" spans="1:18">
      <c r="A313" s="217">
        <v>570</v>
      </c>
      <c r="B313" s="218">
        <v>547620</v>
      </c>
      <c r="C313" s="218" t="s">
        <v>7763</v>
      </c>
      <c r="D313" s="218" t="s">
        <v>7764</v>
      </c>
      <c r="E313" s="218" t="s">
        <v>8825</v>
      </c>
      <c r="F313" s="218" t="s">
        <v>8144</v>
      </c>
      <c r="G313" s="218" t="s">
        <v>7767</v>
      </c>
      <c r="H313" s="218">
        <v>512</v>
      </c>
      <c r="I313" s="219">
        <v>12800000</v>
      </c>
      <c r="J313" s="219">
        <v>0</v>
      </c>
      <c r="K313" s="219">
        <v>12800000</v>
      </c>
      <c r="L313" s="218" t="s">
        <v>7774</v>
      </c>
      <c r="M313" s="218">
        <v>1</v>
      </c>
      <c r="N313" s="218" t="s">
        <v>8826</v>
      </c>
      <c r="O313" s="218" t="s">
        <v>8796</v>
      </c>
      <c r="P313" s="218">
        <v>399</v>
      </c>
      <c r="Q313" s="218" t="s">
        <v>7771</v>
      </c>
      <c r="R313" s="220">
        <v>104</v>
      </c>
    </row>
    <row r="314" spans="1:18">
      <c r="A314" s="217">
        <v>574</v>
      </c>
      <c r="B314" s="218">
        <v>547624</v>
      </c>
      <c r="C314" s="218" t="s">
        <v>7763</v>
      </c>
      <c r="D314" s="218" t="s">
        <v>7764</v>
      </c>
      <c r="E314" s="218" t="s">
        <v>8831</v>
      </c>
      <c r="F314" s="218" t="s">
        <v>8144</v>
      </c>
      <c r="G314" s="218" t="s">
        <v>7767</v>
      </c>
      <c r="H314" s="218">
        <v>512</v>
      </c>
      <c r="I314" s="219">
        <v>12800000</v>
      </c>
      <c r="J314" s="219">
        <v>0</v>
      </c>
      <c r="K314" s="219">
        <v>12800000</v>
      </c>
      <c r="L314" s="218" t="s">
        <v>7774</v>
      </c>
      <c r="M314" s="218">
        <v>1</v>
      </c>
      <c r="N314" s="218" t="s">
        <v>8832</v>
      </c>
      <c r="O314" s="218" t="s">
        <v>8796</v>
      </c>
      <c r="P314" s="218">
        <v>399</v>
      </c>
      <c r="Q314" s="218" t="s">
        <v>7771</v>
      </c>
      <c r="R314" s="220">
        <v>104</v>
      </c>
    </row>
    <row r="315" spans="1:18">
      <c r="A315" s="217">
        <v>591</v>
      </c>
      <c r="B315" s="218">
        <v>644563</v>
      </c>
      <c r="C315" s="218" t="s">
        <v>7763</v>
      </c>
      <c r="D315" s="218" t="s">
        <v>7764</v>
      </c>
      <c r="E315" s="218" t="s">
        <v>8859</v>
      </c>
      <c r="F315" s="218" t="s">
        <v>7780</v>
      </c>
      <c r="G315" s="218" t="s">
        <v>7767</v>
      </c>
      <c r="H315" s="218">
        <v>512</v>
      </c>
      <c r="I315" s="219">
        <v>12800000</v>
      </c>
      <c r="J315" s="219">
        <v>0</v>
      </c>
      <c r="K315" s="219">
        <v>12800000</v>
      </c>
      <c r="L315" s="218" t="s">
        <v>7774</v>
      </c>
      <c r="M315" s="218">
        <v>1</v>
      </c>
      <c r="N315" s="218" t="s">
        <v>8860</v>
      </c>
      <c r="O315" s="218" t="s">
        <v>3467</v>
      </c>
      <c r="P315" s="218">
        <v>399</v>
      </c>
      <c r="Q315" s="218" t="s">
        <v>7771</v>
      </c>
      <c r="R315" s="220">
        <v>104</v>
      </c>
    </row>
    <row r="316" spans="1:18">
      <c r="A316" s="217">
        <v>601</v>
      </c>
      <c r="B316" s="218">
        <v>543647</v>
      </c>
      <c r="C316" s="218" t="s">
        <v>7763</v>
      </c>
      <c r="D316" s="218" t="s">
        <v>7764</v>
      </c>
      <c r="E316" s="218" t="s">
        <v>8757</v>
      </c>
      <c r="F316" s="218" t="s">
        <v>8875</v>
      </c>
      <c r="G316" s="218" t="s">
        <v>7767</v>
      </c>
      <c r="H316" s="218">
        <v>512</v>
      </c>
      <c r="I316" s="219">
        <v>12800000</v>
      </c>
      <c r="J316" s="219">
        <v>0</v>
      </c>
      <c r="K316" s="219">
        <v>12800000</v>
      </c>
      <c r="L316" s="218" t="s">
        <v>7774</v>
      </c>
      <c r="M316" s="218">
        <v>1</v>
      </c>
      <c r="N316" s="218" t="s">
        <v>8876</v>
      </c>
      <c r="O316" s="218" t="s">
        <v>3467</v>
      </c>
      <c r="P316" s="218">
        <v>399</v>
      </c>
      <c r="Q316" s="218" t="s">
        <v>7771</v>
      </c>
      <c r="R316" s="220">
        <v>104</v>
      </c>
    </row>
    <row r="317" spans="1:18">
      <c r="A317" s="217">
        <v>602</v>
      </c>
      <c r="B317" s="218">
        <v>547456</v>
      </c>
      <c r="C317" s="218" t="s">
        <v>7763</v>
      </c>
      <c r="D317" s="218" t="s">
        <v>7764</v>
      </c>
      <c r="E317" s="218" t="s">
        <v>8877</v>
      </c>
      <c r="F317" s="218" t="s">
        <v>8878</v>
      </c>
      <c r="G317" s="218" t="s">
        <v>7767</v>
      </c>
      <c r="H317" s="218">
        <v>512</v>
      </c>
      <c r="I317" s="219">
        <v>12800000</v>
      </c>
      <c r="J317" s="219">
        <v>0</v>
      </c>
      <c r="K317" s="219">
        <v>12800000</v>
      </c>
      <c r="L317" s="218" t="s">
        <v>7774</v>
      </c>
      <c r="M317" s="218">
        <v>1</v>
      </c>
      <c r="N317" s="218" t="s">
        <v>8879</v>
      </c>
      <c r="O317" s="218" t="s">
        <v>3467</v>
      </c>
      <c r="P317" s="218">
        <v>399</v>
      </c>
      <c r="Q317" s="218" t="s">
        <v>7771</v>
      </c>
      <c r="R317" s="220">
        <v>104</v>
      </c>
    </row>
    <row r="318" spans="1:18">
      <c r="A318" s="217">
        <v>603</v>
      </c>
      <c r="B318" s="218">
        <v>547458</v>
      </c>
      <c r="C318" s="218" t="s">
        <v>7763</v>
      </c>
      <c r="D318" s="218" t="s">
        <v>7764</v>
      </c>
      <c r="E318" s="218" t="s">
        <v>8880</v>
      </c>
      <c r="F318" s="218" t="s">
        <v>8881</v>
      </c>
      <c r="G318" s="218" t="s">
        <v>7767</v>
      </c>
      <c r="H318" s="218">
        <v>512</v>
      </c>
      <c r="I318" s="219">
        <v>12800000</v>
      </c>
      <c r="J318" s="219">
        <v>0</v>
      </c>
      <c r="K318" s="219">
        <v>12800000</v>
      </c>
      <c r="L318" s="218" t="s">
        <v>7774</v>
      </c>
      <c r="M318" s="218">
        <v>1</v>
      </c>
      <c r="N318" s="218" t="s">
        <v>3499</v>
      </c>
      <c r="O318" s="218" t="s">
        <v>3467</v>
      </c>
      <c r="P318" s="218">
        <v>399</v>
      </c>
      <c r="Q318" s="218" t="s">
        <v>7771</v>
      </c>
      <c r="R318" s="220">
        <v>104</v>
      </c>
    </row>
    <row r="319" spans="1:18">
      <c r="A319" s="217">
        <v>628</v>
      </c>
      <c r="B319" s="218">
        <v>536385</v>
      </c>
      <c r="C319" s="218" t="s">
        <v>7763</v>
      </c>
      <c r="D319" s="218" t="s">
        <v>7764</v>
      </c>
      <c r="E319" s="218" t="s">
        <v>8588</v>
      </c>
      <c r="F319" s="218" t="s">
        <v>8123</v>
      </c>
      <c r="G319" s="218" t="s">
        <v>7767</v>
      </c>
      <c r="H319" s="218">
        <v>512</v>
      </c>
      <c r="I319" s="219">
        <v>12800000</v>
      </c>
      <c r="J319" s="219">
        <v>0</v>
      </c>
      <c r="K319" s="219">
        <v>12800000</v>
      </c>
      <c r="L319" s="218" t="s">
        <v>7774</v>
      </c>
      <c r="M319" s="218">
        <v>1</v>
      </c>
      <c r="N319" s="218" t="s">
        <v>8927</v>
      </c>
      <c r="O319" s="218" t="s">
        <v>3705</v>
      </c>
      <c r="P319" s="218">
        <v>399</v>
      </c>
      <c r="Q319" s="218" t="s">
        <v>7771</v>
      </c>
      <c r="R319" s="220">
        <v>104</v>
      </c>
    </row>
    <row r="320" spans="1:18">
      <c r="A320" s="217">
        <v>631</v>
      </c>
      <c r="B320" s="218">
        <v>536383</v>
      </c>
      <c r="C320" s="218" t="s">
        <v>7763</v>
      </c>
      <c r="D320" s="218" t="s">
        <v>7764</v>
      </c>
      <c r="E320" s="218" t="s">
        <v>8931</v>
      </c>
      <c r="F320" s="218" t="s">
        <v>7802</v>
      </c>
      <c r="G320" s="218" t="s">
        <v>7767</v>
      </c>
      <c r="H320" s="218">
        <v>512</v>
      </c>
      <c r="I320" s="219">
        <v>12800000</v>
      </c>
      <c r="J320" s="219">
        <v>0</v>
      </c>
      <c r="K320" s="219">
        <v>12800000</v>
      </c>
      <c r="L320" s="218" t="s">
        <v>7774</v>
      </c>
      <c r="M320" s="218">
        <v>1</v>
      </c>
      <c r="N320" s="218" t="s">
        <v>8932</v>
      </c>
      <c r="O320" s="218" t="s">
        <v>3705</v>
      </c>
      <c r="P320" s="218">
        <v>399</v>
      </c>
      <c r="Q320" s="218" t="s">
        <v>7771</v>
      </c>
      <c r="R320" s="220">
        <v>104</v>
      </c>
    </row>
    <row r="321" spans="1:18">
      <c r="A321" s="217">
        <v>634</v>
      </c>
      <c r="B321" s="218">
        <v>536410</v>
      </c>
      <c r="C321" s="218" t="s">
        <v>7763</v>
      </c>
      <c r="D321" s="218" t="s">
        <v>7764</v>
      </c>
      <c r="E321" s="218" t="s">
        <v>8936</v>
      </c>
      <c r="F321" s="218" t="s">
        <v>7802</v>
      </c>
      <c r="G321" s="218" t="s">
        <v>7767</v>
      </c>
      <c r="H321" s="218">
        <v>512</v>
      </c>
      <c r="I321" s="219">
        <v>12800000</v>
      </c>
      <c r="J321" s="219">
        <v>0</v>
      </c>
      <c r="K321" s="219">
        <v>12800000</v>
      </c>
      <c r="L321" s="218" t="s">
        <v>7774</v>
      </c>
      <c r="M321" s="218">
        <v>1</v>
      </c>
      <c r="N321" s="218" t="s">
        <v>8937</v>
      </c>
      <c r="O321" s="218" t="s">
        <v>3705</v>
      </c>
      <c r="P321" s="218">
        <v>399</v>
      </c>
      <c r="Q321" s="218" t="s">
        <v>7771</v>
      </c>
      <c r="R321" s="220">
        <v>104</v>
      </c>
    </row>
    <row r="322" spans="1:18">
      <c r="A322" s="217">
        <v>635</v>
      </c>
      <c r="B322" s="218">
        <v>536426</v>
      </c>
      <c r="C322" s="218" t="s">
        <v>7763</v>
      </c>
      <c r="D322" s="218" t="s">
        <v>7764</v>
      </c>
      <c r="E322" s="218" t="s">
        <v>8938</v>
      </c>
      <c r="F322" s="218" t="s">
        <v>8939</v>
      </c>
      <c r="G322" s="218" t="s">
        <v>7767</v>
      </c>
      <c r="H322" s="218">
        <v>512</v>
      </c>
      <c r="I322" s="219">
        <v>12800000</v>
      </c>
      <c r="J322" s="219">
        <v>0</v>
      </c>
      <c r="K322" s="219">
        <v>12800000</v>
      </c>
      <c r="L322" s="218" t="s">
        <v>7774</v>
      </c>
      <c r="M322" s="218">
        <v>1</v>
      </c>
      <c r="N322" s="218" t="s">
        <v>8940</v>
      </c>
      <c r="O322" s="218" t="s">
        <v>3705</v>
      </c>
      <c r="P322" s="218">
        <v>399</v>
      </c>
      <c r="Q322" s="218" t="s">
        <v>7771</v>
      </c>
      <c r="R322" s="220">
        <v>104</v>
      </c>
    </row>
    <row r="323" spans="1:18">
      <c r="A323" s="217">
        <v>637</v>
      </c>
      <c r="B323" s="218">
        <v>536436</v>
      </c>
      <c r="C323" s="218" t="s">
        <v>7763</v>
      </c>
      <c r="D323" s="218" t="s">
        <v>7764</v>
      </c>
      <c r="E323" s="218" t="s">
        <v>8942</v>
      </c>
      <c r="F323" s="218" t="s">
        <v>7802</v>
      </c>
      <c r="G323" s="218" t="s">
        <v>7767</v>
      </c>
      <c r="H323" s="218">
        <v>512</v>
      </c>
      <c r="I323" s="219">
        <v>12800000</v>
      </c>
      <c r="J323" s="219">
        <v>0</v>
      </c>
      <c r="K323" s="219">
        <v>12800000</v>
      </c>
      <c r="L323" s="218" t="s">
        <v>7774</v>
      </c>
      <c r="M323" s="218">
        <v>1</v>
      </c>
      <c r="N323" s="218" t="s">
        <v>8943</v>
      </c>
      <c r="O323" s="218" t="s">
        <v>3705</v>
      </c>
      <c r="P323" s="218">
        <v>399</v>
      </c>
      <c r="Q323" s="218" t="s">
        <v>7771</v>
      </c>
      <c r="R323" s="220">
        <v>104</v>
      </c>
    </row>
    <row r="324" spans="1:18">
      <c r="A324" s="217">
        <v>638</v>
      </c>
      <c r="B324" s="218">
        <v>538363</v>
      </c>
      <c r="C324" s="218" t="s">
        <v>7763</v>
      </c>
      <c r="D324" s="218" t="s">
        <v>7764</v>
      </c>
      <c r="E324" s="218" t="s">
        <v>8944</v>
      </c>
      <c r="F324" s="218" t="s">
        <v>8123</v>
      </c>
      <c r="G324" s="218" t="s">
        <v>7767</v>
      </c>
      <c r="H324" s="218">
        <v>512</v>
      </c>
      <c r="I324" s="219">
        <v>12800000</v>
      </c>
      <c r="J324" s="219">
        <v>0</v>
      </c>
      <c r="K324" s="219">
        <v>12800000</v>
      </c>
      <c r="L324" s="218" t="s">
        <v>7774</v>
      </c>
      <c r="M324" s="218">
        <v>1</v>
      </c>
      <c r="N324" s="218" t="s">
        <v>8945</v>
      </c>
      <c r="O324" s="218" t="s">
        <v>3705</v>
      </c>
      <c r="P324" s="218">
        <v>399</v>
      </c>
      <c r="Q324" s="218" t="s">
        <v>7771</v>
      </c>
      <c r="R324" s="220">
        <v>104</v>
      </c>
    </row>
    <row r="325" spans="1:18">
      <c r="A325" s="217">
        <v>639</v>
      </c>
      <c r="B325" s="218">
        <v>538365</v>
      </c>
      <c r="C325" s="218" t="s">
        <v>7763</v>
      </c>
      <c r="D325" s="218" t="s">
        <v>7764</v>
      </c>
      <c r="E325" s="218" t="s">
        <v>8946</v>
      </c>
      <c r="F325" s="218" t="s">
        <v>8947</v>
      </c>
      <c r="G325" s="218" t="s">
        <v>7767</v>
      </c>
      <c r="H325" s="218">
        <v>512</v>
      </c>
      <c r="I325" s="219">
        <v>12800000</v>
      </c>
      <c r="J325" s="219">
        <v>0</v>
      </c>
      <c r="K325" s="219">
        <v>12800000</v>
      </c>
      <c r="L325" s="218" t="s">
        <v>7774</v>
      </c>
      <c r="M325" s="218">
        <v>1</v>
      </c>
      <c r="N325" s="218" t="s">
        <v>8948</v>
      </c>
      <c r="O325" s="218" t="s">
        <v>3705</v>
      </c>
      <c r="P325" s="218">
        <v>399</v>
      </c>
      <c r="Q325" s="218" t="s">
        <v>7771</v>
      </c>
      <c r="R325" s="220">
        <v>104</v>
      </c>
    </row>
    <row r="326" spans="1:18">
      <c r="A326" s="217">
        <v>641</v>
      </c>
      <c r="B326" s="218">
        <v>538368</v>
      </c>
      <c r="C326" s="218" t="s">
        <v>7763</v>
      </c>
      <c r="D326" s="218" t="s">
        <v>7764</v>
      </c>
      <c r="E326" s="218" t="s">
        <v>8951</v>
      </c>
      <c r="F326" s="218" t="s">
        <v>8952</v>
      </c>
      <c r="G326" s="218" t="s">
        <v>7767</v>
      </c>
      <c r="H326" s="218">
        <v>512</v>
      </c>
      <c r="I326" s="219">
        <v>12800000</v>
      </c>
      <c r="J326" s="219">
        <v>0</v>
      </c>
      <c r="K326" s="219">
        <v>12800000</v>
      </c>
      <c r="L326" s="218" t="s">
        <v>7774</v>
      </c>
      <c r="M326" s="218">
        <v>1</v>
      </c>
      <c r="N326" s="218" t="s">
        <v>8953</v>
      </c>
      <c r="O326" s="218" t="s">
        <v>3705</v>
      </c>
      <c r="P326" s="218">
        <v>399</v>
      </c>
      <c r="Q326" s="218" t="s">
        <v>7771</v>
      </c>
      <c r="R326" s="220">
        <v>104</v>
      </c>
    </row>
    <row r="327" spans="1:18">
      <c r="A327" s="217">
        <v>90</v>
      </c>
      <c r="B327" s="218">
        <v>662357</v>
      </c>
      <c r="C327" s="218" t="s">
        <v>7950</v>
      </c>
      <c r="D327" s="218" t="s">
        <v>7772</v>
      </c>
      <c r="E327" s="218" t="s">
        <v>7958</v>
      </c>
      <c r="F327" s="218" t="s">
        <v>7831</v>
      </c>
      <c r="G327" s="218" t="s">
        <v>7767</v>
      </c>
      <c r="H327" s="218">
        <v>2048</v>
      </c>
      <c r="I327" s="219">
        <v>15680000</v>
      </c>
      <c r="J327" s="219">
        <v>0</v>
      </c>
      <c r="K327" s="219">
        <v>15680000</v>
      </c>
      <c r="L327" s="218" t="s">
        <v>7781</v>
      </c>
      <c r="M327" s="218">
        <v>1</v>
      </c>
      <c r="N327" s="218" t="s">
        <v>7959</v>
      </c>
      <c r="O327" s="218" t="s">
        <v>7954</v>
      </c>
      <c r="P327" s="218">
        <v>399</v>
      </c>
      <c r="Q327" s="218" t="s">
        <v>7771</v>
      </c>
      <c r="R327" s="220">
        <v>100</v>
      </c>
    </row>
    <row r="328" spans="1:18" s="525" customFormat="1">
      <c r="A328" s="521">
        <v>136</v>
      </c>
      <c r="B328" s="522">
        <v>9602023850</v>
      </c>
      <c r="C328" s="522" t="s">
        <v>335</v>
      </c>
      <c r="D328" s="522" t="s">
        <v>8065</v>
      </c>
      <c r="E328" s="522" t="s">
        <v>8066</v>
      </c>
      <c r="F328" s="522" t="s">
        <v>7780</v>
      </c>
      <c r="G328" s="522" t="s">
        <v>7767</v>
      </c>
      <c r="H328" s="522">
        <v>2048</v>
      </c>
      <c r="I328" s="523">
        <v>15680000</v>
      </c>
      <c r="J328" s="523">
        <v>0</v>
      </c>
      <c r="K328" s="523">
        <v>15680000</v>
      </c>
      <c r="L328" s="522" t="s">
        <v>7781</v>
      </c>
      <c r="M328" s="522">
        <v>1</v>
      </c>
      <c r="N328" s="522" t="s">
        <v>8067</v>
      </c>
      <c r="O328" s="522" t="s">
        <v>7993</v>
      </c>
      <c r="P328" s="522">
        <v>399</v>
      </c>
      <c r="Q328" s="522" t="s">
        <v>7771</v>
      </c>
      <c r="R328" s="524">
        <v>104</v>
      </c>
    </row>
    <row r="329" spans="1:18">
      <c r="A329" s="217">
        <v>142</v>
      </c>
      <c r="B329" s="218">
        <v>9602023837</v>
      </c>
      <c r="C329" s="218" t="s">
        <v>335</v>
      </c>
      <c r="D329" s="218" t="s">
        <v>8065</v>
      </c>
      <c r="E329" s="218" t="s">
        <v>8077</v>
      </c>
      <c r="F329" s="218" t="s">
        <v>7866</v>
      </c>
      <c r="G329" s="218" t="s">
        <v>7767</v>
      </c>
      <c r="H329" s="218">
        <v>2048</v>
      </c>
      <c r="I329" s="219">
        <v>15680000</v>
      </c>
      <c r="J329" s="219">
        <v>0</v>
      </c>
      <c r="K329" s="219">
        <v>15680000</v>
      </c>
      <c r="L329" s="218" t="s">
        <v>7781</v>
      </c>
      <c r="M329" s="218">
        <v>1</v>
      </c>
      <c r="N329" s="218" t="s">
        <v>8078</v>
      </c>
      <c r="O329" s="218" t="s">
        <v>7993</v>
      </c>
      <c r="P329" s="218">
        <v>399</v>
      </c>
      <c r="Q329" s="218" t="s">
        <v>7771</v>
      </c>
      <c r="R329" s="220">
        <v>104</v>
      </c>
    </row>
    <row r="330" spans="1:18">
      <c r="A330" s="217">
        <v>143</v>
      </c>
      <c r="B330" s="218">
        <v>9602023839</v>
      </c>
      <c r="C330" s="218" t="s">
        <v>335</v>
      </c>
      <c r="D330" s="218" t="s">
        <v>8065</v>
      </c>
      <c r="E330" s="218" t="s">
        <v>8079</v>
      </c>
      <c r="F330" s="218" t="s">
        <v>7780</v>
      </c>
      <c r="G330" s="218" t="s">
        <v>7767</v>
      </c>
      <c r="H330" s="218">
        <v>2048</v>
      </c>
      <c r="I330" s="219">
        <v>15680000</v>
      </c>
      <c r="J330" s="219">
        <v>0</v>
      </c>
      <c r="K330" s="219">
        <v>15680000</v>
      </c>
      <c r="L330" s="218" t="s">
        <v>7781</v>
      </c>
      <c r="M330" s="218">
        <v>1</v>
      </c>
      <c r="N330" s="218" t="s">
        <v>8080</v>
      </c>
      <c r="O330" s="218" t="s">
        <v>7993</v>
      </c>
      <c r="P330" s="218">
        <v>399</v>
      </c>
      <c r="Q330" s="218" t="s">
        <v>7771</v>
      </c>
      <c r="R330" s="220">
        <v>104</v>
      </c>
    </row>
    <row r="331" spans="1:18">
      <c r="A331" s="217">
        <v>147</v>
      </c>
      <c r="B331" s="218">
        <v>9602023858</v>
      </c>
      <c r="C331" s="218" t="s">
        <v>335</v>
      </c>
      <c r="D331" s="218" t="s">
        <v>8065</v>
      </c>
      <c r="E331" s="218" t="s">
        <v>8086</v>
      </c>
      <c r="F331" s="218" t="s">
        <v>7780</v>
      </c>
      <c r="G331" s="218" t="s">
        <v>7767</v>
      </c>
      <c r="H331" s="218">
        <v>2048</v>
      </c>
      <c r="I331" s="219">
        <v>15680000</v>
      </c>
      <c r="J331" s="219">
        <v>0</v>
      </c>
      <c r="K331" s="219">
        <v>15680000</v>
      </c>
      <c r="L331" s="218" t="s">
        <v>7781</v>
      </c>
      <c r="M331" s="218">
        <v>1</v>
      </c>
      <c r="N331" s="218" t="s">
        <v>8087</v>
      </c>
      <c r="O331" s="218" t="s">
        <v>7993</v>
      </c>
      <c r="P331" s="218">
        <v>399</v>
      </c>
      <c r="Q331" s="218" t="s">
        <v>7771</v>
      </c>
      <c r="R331" s="220">
        <v>104</v>
      </c>
    </row>
    <row r="332" spans="1:18">
      <c r="A332" s="217">
        <v>165</v>
      </c>
      <c r="B332" s="218">
        <v>9602031127</v>
      </c>
      <c r="C332" s="218" t="s">
        <v>335</v>
      </c>
      <c r="D332" s="218" t="s">
        <v>8065</v>
      </c>
      <c r="E332" s="218" t="s">
        <v>8113</v>
      </c>
      <c r="F332" s="218" t="s">
        <v>7780</v>
      </c>
      <c r="G332" s="218" t="s">
        <v>7767</v>
      </c>
      <c r="H332" s="218">
        <v>2048</v>
      </c>
      <c r="I332" s="219">
        <v>15680000</v>
      </c>
      <c r="J332" s="219">
        <v>0</v>
      </c>
      <c r="K332" s="219">
        <v>15680000</v>
      </c>
      <c r="L332" s="218" t="s">
        <v>7781</v>
      </c>
      <c r="M332" s="218">
        <v>1</v>
      </c>
      <c r="N332" s="218" t="s">
        <v>8114</v>
      </c>
      <c r="O332" s="218" t="s">
        <v>7993</v>
      </c>
      <c r="P332" s="218">
        <v>399</v>
      </c>
      <c r="Q332" s="218" t="s">
        <v>7771</v>
      </c>
      <c r="R332" s="220">
        <v>104</v>
      </c>
    </row>
    <row r="333" spans="1:18">
      <c r="A333" s="217">
        <v>166</v>
      </c>
      <c r="B333" s="218">
        <v>9602031137</v>
      </c>
      <c r="C333" s="218" t="s">
        <v>335</v>
      </c>
      <c r="D333" s="218" t="s">
        <v>8065</v>
      </c>
      <c r="E333" s="218" t="s">
        <v>8083</v>
      </c>
      <c r="F333" s="218" t="s">
        <v>7780</v>
      </c>
      <c r="G333" s="218" t="s">
        <v>7767</v>
      </c>
      <c r="H333" s="218">
        <v>2048</v>
      </c>
      <c r="I333" s="219">
        <v>15680000</v>
      </c>
      <c r="J333" s="219">
        <v>0</v>
      </c>
      <c r="K333" s="219">
        <v>15680000</v>
      </c>
      <c r="L333" s="218" t="s">
        <v>7781</v>
      </c>
      <c r="M333" s="218">
        <v>1</v>
      </c>
      <c r="N333" s="218" t="s">
        <v>8115</v>
      </c>
      <c r="O333" s="218" t="s">
        <v>7993</v>
      </c>
      <c r="P333" s="218">
        <v>399</v>
      </c>
      <c r="Q333" s="218" t="s">
        <v>7771</v>
      </c>
      <c r="R333" s="220">
        <v>104</v>
      </c>
    </row>
    <row r="334" spans="1:18">
      <c r="A334" s="217">
        <v>167</v>
      </c>
      <c r="B334" s="218">
        <v>9602032627</v>
      </c>
      <c r="C334" s="218" t="s">
        <v>335</v>
      </c>
      <c r="D334" s="218" t="s">
        <v>8065</v>
      </c>
      <c r="E334" s="218" t="s">
        <v>8077</v>
      </c>
      <c r="F334" s="218" t="s">
        <v>7780</v>
      </c>
      <c r="G334" s="218" t="s">
        <v>7767</v>
      </c>
      <c r="H334" s="218">
        <v>2048</v>
      </c>
      <c r="I334" s="219">
        <v>15680000</v>
      </c>
      <c r="J334" s="219">
        <v>0</v>
      </c>
      <c r="K334" s="219">
        <v>15680000</v>
      </c>
      <c r="L334" s="218" t="s">
        <v>7781</v>
      </c>
      <c r="M334" s="218">
        <v>1</v>
      </c>
      <c r="N334" s="218" t="s">
        <v>8116</v>
      </c>
      <c r="O334" s="218" t="s">
        <v>7993</v>
      </c>
      <c r="P334" s="218">
        <v>399</v>
      </c>
      <c r="Q334" s="218" t="s">
        <v>7771</v>
      </c>
      <c r="R334" s="220">
        <v>104</v>
      </c>
    </row>
    <row r="335" spans="1:18" s="525" customFormat="1">
      <c r="A335" s="521">
        <v>171</v>
      </c>
      <c r="B335" s="522">
        <v>9602051405</v>
      </c>
      <c r="C335" s="522" t="s">
        <v>335</v>
      </c>
      <c r="D335" s="522" t="s">
        <v>8065</v>
      </c>
      <c r="E335" s="522" t="s">
        <v>8122</v>
      </c>
      <c r="F335" s="522" t="s">
        <v>8123</v>
      </c>
      <c r="G335" s="522" t="s">
        <v>7767</v>
      </c>
      <c r="H335" s="522">
        <v>2048</v>
      </c>
      <c r="I335" s="523">
        <v>15680000</v>
      </c>
      <c r="J335" s="523">
        <v>0</v>
      </c>
      <c r="K335" s="523">
        <v>15680000</v>
      </c>
      <c r="L335" s="522" t="s">
        <v>7781</v>
      </c>
      <c r="M335" s="522">
        <v>1</v>
      </c>
      <c r="N335" s="522" t="s">
        <v>8124</v>
      </c>
      <c r="O335" s="522" t="s">
        <v>7993</v>
      </c>
      <c r="P335" s="522">
        <v>399</v>
      </c>
      <c r="Q335" s="522" t="s">
        <v>7771</v>
      </c>
      <c r="R335" s="524">
        <v>104</v>
      </c>
    </row>
    <row r="336" spans="1:18">
      <c r="A336" s="217">
        <v>233</v>
      </c>
      <c r="B336" s="218">
        <v>40002270771</v>
      </c>
      <c r="C336" s="218" t="s">
        <v>335</v>
      </c>
      <c r="D336" s="218" t="s">
        <v>7772</v>
      </c>
      <c r="E336" s="218" t="s">
        <v>8241</v>
      </c>
      <c r="F336" s="218" t="s">
        <v>8242</v>
      </c>
      <c r="G336" s="218" t="s">
        <v>7767</v>
      </c>
      <c r="H336" s="218">
        <v>2048</v>
      </c>
      <c r="I336" s="219">
        <v>15680000</v>
      </c>
      <c r="J336" s="219">
        <v>0</v>
      </c>
      <c r="K336" s="219">
        <v>15680000</v>
      </c>
      <c r="L336" s="218" t="s">
        <v>7781</v>
      </c>
      <c r="M336" s="218">
        <v>1</v>
      </c>
      <c r="N336" s="218" t="s">
        <v>8243</v>
      </c>
      <c r="O336" s="218" t="s">
        <v>7993</v>
      </c>
      <c r="P336" s="218">
        <v>399</v>
      </c>
      <c r="Q336" s="218" t="s">
        <v>7771</v>
      </c>
      <c r="R336" s="220">
        <v>100</v>
      </c>
    </row>
    <row r="337" spans="1:18" s="269" customFormat="1">
      <c r="A337" s="519">
        <v>245</v>
      </c>
      <c r="B337" s="510">
        <v>254045127275</v>
      </c>
      <c r="C337" s="510" t="s">
        <v>335</v>
      </c>
      <c r="D337" s="510" t="s">
        <v>7772</v>
      </c>
      <c r="E337" s="510" t="s">
        <v>8264</v>
      </c>
      <c r="F337" s="510" t="s">
        <v>8264</v>
      </c>
      <c r="G337" s="510" t="s">
        <v>7767</v>
      </c>
      <c r="H337" s="510">
        <v>2048</v>
      </c>
      <c r="I337" s="348">
        <v>15680000</v>
      </c>
      <c r="J337" s="348">
        <v>0</v>
      </c>
      <c r="K337" s="348">
        <v>15680000</v>
      </c>
      <c r="L337" s="510" t="s">
        <v>7781</v>
      </c>
      <c r="M337" s="510">
        <v>1</v>
      </c>
      <c r="N337" s="510" t="s">
        <v>8265</v>
      </c>
      <c r="O337" s="510" t="s">
        <v>7993</v>
      </c>
      <c r="P337" s="510">
        <v>399</v>
      </c>
      <c r="Q337" s="510" t="s">
        <v>7771</v>
      </c>
      <c r="R337" s="520">
        <v>104</v>
      </c>
    </row>
    <row r="338" spans="1:18">
      <c r="A338" s="217">
        <v>461</v>
      </c>
      <c r="B338" s="218">
        <v>507689</v>
      </c>
      <c r="C338" s="218" t="s">
        <v>335</v>
      </c>
      <c r="D338" s="218" t="s">
        <v>7772</v>
      </c>
      <c r="E338" s="218" t="s">
        <v>8632</v>
      </c>
      <c r="F338" s="218" t="s">
        <v>7780</v>
      </c>
      <c r="G338" s="218" t="s">
        <v>7767</v>
      </c>
      <c r="H338" s="218">
        <v>2048</v>
      </c>
      <c r="I338" s="219">
        <v>15680000</v>
      </c>
      <c r="J338" s="219">
        <v>0</v>
      </c>
      <c r="K338" s="219">
        <v>15680000</v>
      </c>
      <c r="L338" s="218" t="s">
        <v>7781</v>
      </c>
      <c r="M338" s="218">
        <v>1</v>
      </c>
      <c r="N338" s="218" t="s">
        <v>8633</v>
      </c>
      <c r="O338" s="218" t="s">
        <v>2969</v>
      </c>
      <c r="P338" s="218">
        <v>399</v>
      </c>
      <c r="Q338" s="218" t="s">
        <v>7771</v>
      </c>
      <c r="R338" s="220">
        <v>100</v>
      </c>
    </row>
    <row r="339" spans="1:18">
      <c r="A339" s="217">
        <v>520</v>
      </c>
      <c r="B339" s="218">
        <v>40102442258</v>
      </c>
      <c r="C339" s="218" t="s">
        <v>335</v>
      </c>
      <c r="D339" s="218" t="s">
        <v>7772</v>
      </c>
      <c r="E339" s="218" t="s">
        <v>8732</v>
      </c>
      <c r="F339" s="218" t="s">
        <v>8732</v>
      </c>
      <c r="G339" s="218" t="s">
        <v>7767</v>
      </c>
      <c r="H339" s="218">
        <v>2048</v>
      </c>
      <c r="I339" s="219">
        <v>15680000</v>
      </c>
      <c r="J339" s="219">
        <v>0</v>
      </c>
      <c r="K339" s="219">
        <v>15680000</v>
      </c>
      <c r="L339" s="218" t="s">
        <v>7781</v>
      </c>
      <c r="M339" s="218">
        <v>1</v>
      </c>
      <c r="N339" s="218" t="s">
        <v>8733</v>
      </c>
      <c r="O339" s="218" t="s">
        <v>8729</v>
      </c>
      <c r="P339" s="218">
        <v>399</v>
      </c>
      <c r="Q339" s="218" t="s">
        <v>7771</v>
      </c>
      <c r="R339" s="220">
        <v>100</v>
      </c>
    </row>
    <row r="340" spans="1:18">
      <c r="A340" s="217">
        <v>554</v>
      </c>
      <c r="B340" s="218">
        <v>645893</v>
      </c>
      <c r="C340" s="218" t="s">
        <v>7950</v>
      </c>
      <c r="D340" s="218" t="s">
        <v>7772</v>
      </c>
      <c r="E340" s="218" t="s">
        <v>8794</v>
      </c>
      <c r="F340" s="218" t="s">
        <v>8049</v>
      </c>
      <c r="G340" s="218" t="s">
        <v>7767</v>
      </c>
      <c r="H340" s="218">
        <v>2048</v>
      </c>
      <c r="I340" s="219">
        <v>15680000</v>
      </c>
      <c r="J340" s="219">
        <v>0</v>
      </c>
      <c r="K340" s="219">
        <v>15680000</v>
      </c>
      <c r="L340" s="218" t="s">
        <v>7781</v>
      </c>
      <c r="M340" s="218">
        <v>1</v>
      </c>
      <c r="N340" s="218" t="s">
        <v>8795</v>
      </c>
      <c r="O340" s="218" t="s">
        <v>8796</v>
      </c>
      <c r="P340" s="218">
        <v>399</v>
      </c>
      <c r="Q340" s="218" t="s">
        <v>7771</v>
      </c>
      <c r="R340" s="220">
        <v>100</v>
      </c>
    </row>
    <row r="341" spans="1:18">
      <c r="A341" s="217">
        <v>615</v>
      </c>
      <c r="B341" s="218">
        <v>641026</v>
      </c>
      <c r="C341" s="218" t="s">
        <v>335</v>
      </c>
      <c r="D341" s="218" t="s">
        <v>7772</v>
      </c>
      <c r="E341" s="218" t="s">
        <v>8898</v>
      </c>
      <c r="F341" s="218" t="s">
        <v>8903</v>
      </c>
      <c r="G341" s="218" t="s">
        <v>7767</v>
      </c>
      <c r="H341" s="218">
        <v>2048</v>
      </c>
      <c r="I341" s="219">
        <v>15680000</v>
      </c>
      <c r="J341" s="219">
        <v>0</v>
      </c>
      <c r="K341" s="219">
        <v>15680000</v>
      </c>
      <c r="L341" s="218" t="s">
        <v>7781</v>
      </c>
      <c r="M341" s="218">
        <v>1</v>
      </c>
      <c r="N341" s="218" t="s">
        <v>8904</v>
      </c>
      <c r="O341" s="218" t="s">
        <v>3705</v>
      </c>
      <c r="P341" s="218">
        <v>399</v>
      </c>
      <c r="Q341" s="218" t="s">
        <v>7771</v>
      </c>
      <c r="R341" s="220">
        <v>100</v>
      </c>
    </row>
    <row r="342" spans="1:18">
      <c r="A342" s="217">
        <v>703</v>
      </c>
      <c r="B342" s="218">
        <v>589013</v>
      </c>
      <c r="C342" s="218" t="s">
        <v>7950</v>
      </c>
      <c r="D342" s="218" t="s">
        <v>7772</v>
      </c>
      <c r="E342" s="218" t="s">
        <v>9051</v>
      </c>
      <c r="F342" s="218" t="s">
        <v>9052</v>
      </c>
      <c r="G342" s="218" t="s">
        <v>7767</v>
      </c>
      <c r="H342" s="218">
        <v>2048</v>
      </c>
      <c r="I342" s="219">
        <v>15680000</v>
      </c>
      <c r="J342" s="219">
        <v>0</v>
      </c>
      <c r="K342" s="219">
        <v>15680000</v>
      </c>
      <c r="L342" s="218" t="s">
        <v>7781</v>
      </c>
      <c r="M342" s="218">
        <v>1</v>
      </c>
      <c r="N342" s="218" t="s">
        <v>8593</v>
      </c>
      <c r="O342" s="218" t="s">
        <v>9043</v>
      </c>
      <c r="P342" s="218">
        <v>399</v>
      </c>
      <c r="Q342" s="218" t="s">
        <v>7771</v>
      </c>
      <c r="R342" s="220">
        <v>100</v>
      </c>
    </row>
    <row r="343" spans="1:18">
      <c r="A343" s="217">
        <v>305</v>
      </c>
      <c r="B343" s="218">
        <v>591060</v>
      </c>
      <c r="C343" s="218" t="s">
        <v>40</v>
      </c>
      <c r="D343" s="218" t="s">
        <v>7764</v>
      </c>
      <c r="E343" s="218" t="s">
        <v>8373</v>
      </c>
      <c r="F343" s="218" t="s">
        <v>8374</v>
      </c>
      <c r="G343" s="218" t="s">
        <v>7767</v>
      </c>
      <c r="H343" s="218">
        <v>1472</v>
      </c>
      <c r="I343" s="219">
        <v>15937500</v>
      </c>
      <c r="J343" s="219">
        <v>0</v>
      </c>
      <c r="K343" s="219">
        <v>15937500</v>
      </c>
      <c r="L343" s="218" t="s">
        <v>7781</v>
      </c>
      <c r="M343" s="218">
        <v>1</v>
      </c>
      <c r="N343" s="218" t="s">
        <v>8375</v>
      </c>
      <c r="O343" s="218" t="s">
        <v>8347</v>
      </c>
      <c r="P343" s="218">
        <v>399</v>
      </c>
      <c r="Q343" s="218" t="s">
        <v>7771</v>
      </c>
      <c r="R343" s="220">
        <v>100</v>
      </c>
    </row>
    <row r="344" spans="1:18">
      <c r="A344" s="217">
        <v>632</v>
      </c>
      <c r="B344" s="218">
        <v>536388</v>
      </c>
      <c r="C344" s="218" t="s">
        <v>7763</v>
      </c>
      <c r="D344" s="218" t="s">
        <v>7764</v>
      </c>
      <c r="E344" s="218" t="s">
        <v>8928</v>
      </c>
      <c r="F344" s="218" t="s">
        <v>8280</v>
      </c>
      <c r="G344" s="218" t="s">
        <v>7767</v>
      </c>
      <c r="H344" s="218">
        <v>704</v>
      </c>
      <c r="I344" s="219">
        <v>17600000</v>
      </c>
      <c r="J344" s="219">
        <v>0</v>
      </c>
      <c r="K344" s="219">
        <v>17600000</v>
      </c>
      <c r="L344" s="218" t="s">
        <v>7774</v>
      </c>
      <c r="M344" s="218">
        <v>1</v>
      </c>
      <c r="N344" s="218" t="s">
        <v>8933</v>
      </c>
      <c r="O344" s="218" t="s">
        <v>3705</v>
      </c>
      <c r="P344" s="218">
        <v>399</v>
      </c>
      <c r="Q344" s="218" t="s">
        <v>7771</v>
      </c>
      <c r="R344" s="220">
        <v>104</v>
      </c>
    </row>
    <row r="345" spans="1:18">
      <c r="A345" s="217">
        <v>633</v>
      </c>
      <c r="B345" s="218">
        <v>536389</v>
      </c>
      <c r="C345" s="218" t="s">
        <v>7763</v>
      </c>
      <c r="D345" s="218" t="s">
        <v>7764</v>
      </c>
      <c r="E345" s="218" t="s">
        <v>8934</v>
      </c>
      <c r="F345" s="218" t="s">
        <v>8280</v>
      </c>
      <c r="G345" s="218" t="s">
        <v>7767</v>
      </c>
      <c r="H345" s="218">
        <v>704</v>
      </c>
      <c r="I345" s="219">
        <v>17600000</v>
      </c>
      <c r="J345" s="219">
        <v>0</v>
      </c>
      <c r="K345" s="219">
        <v>17600000</v>
      </c>
      <c r="L345" s="218" t="s">
        <v>7774</v>
      </c>
      <c r="M345" s="218">
        <v>1</v>
      </c>
      <c r="N345" s="218" t="s">
        <v>8935</v>
      </c>
      <c r="O345" s="218" t="s">
        <v>3705</v>
      </c>
      <c r="P345" s="218">
        <v>399</v>
      </c>
      <c r="Q345" s="218" t="s">
        <v>7771</v>
      </c>
      <c r="R345" s="220">
        <v>104</v>
      </c>
    </row>
    <row r="346" spans="1:18">
      <c r="A346" s="217">
        <v>2</v>
      </c>
      <c r="B346" s="218">
        <v>40002282244</v>
      </c>
      <c r="C346" s="218" t="s">
        <v>7763</v>
      </c>
      <c r="D346" s="218" t="s">
        <v>7772</v>
      </c>
      <c r="E346" s="218" t="s">
        <v>7765</v>
      </c>
      <c r="F346" s="218" t="s">
        <v>7773</v>
      </c>
      <c r="G346" s="218" t="s">
        <v>7767</v>
      </c>
      <c r="H346" s="218">
        <v>1024</v>
      </c>
      <c r="I346" s="219">
        <v>17920000</v>
      </c>
      <c r="J346" s="219">
        <v>0</v>
      </c>
      <c r="K346" s="219">
        <v>17920000</v>
      </c>
      <c r="L346" s="218" t="s">
        <v>7774</v>
      </c>
      <c r="M346" s="218">
        <v>1</v>
      </c>
      <c r="N346" s="218" t="s">
        <v>7775</v>
      </c>
      <c r="O346" s="218" t="s">
        <v>7770</v>
      </c>
      <c r="P346" s="218">
        <v>399</v>
      </c>
      <c r="Q346" s="218" t="s">
        <v>7771</v>
      </c>
      <c r="R346" s="220">
        <v>104</v>
      </c>
    </row>
    <row r="347" spans="1:18">
      <c r="A347" s="217">
        <v>15</v>
      </c>
      <c r="B347" s="218">
        <v>547571</v>
      </c>
      <c r="C347" s="218" t="s">
        <v>7763</v>
      </c>
      <c r="D347" s="218" t="s">
        <v>7772</v>
      </c>
      <c r="E347" s="218" t="s">
        <v>7808</v>
      </c>
      <c r="F347" s="218" t="s">
        <v>7809</v>
      </c>
      <c r="G347" s="218" t="s">
        <v>7767</v>
      </c>
      <c r="H347" s="218">
        <v>1024</v>
      </c>
      <c r="I347" s="219">
        <v>17920000</v>
      </c>
      <c r="J347" s="219">
        <v>0</v>
      </c>
      <c r="K347" s="219">
        <v>17920000</v>
      </c>
      <c r="L347" s="218" t="s">
        <v>7774</v>
      </c>
      <c r="M347" s="218">
        <v>1</v>
      </c>
      <c r="N347" s="218" t="s">
        <v>7810</v>
      </c>
      <c r="O347" s="218" t="s">
        <v>267</v>
      </c>
      <c r="P347" s="218">
        <v>399</v>
      </c>
      <c r="Q347" s="218" t="s">
        <v>7771</v>
      </c>
      <c r="R347" s="220">
        <v>104</v>
      </c>
    </row>
    <row r="348" spans="1:18">
      <c r="A348" s="217">
        <v>16</v>
      </c>
      <c r="B348" s="218">
        <v>547572</v>
      </c>
      <c r="C348" s="218" t="s">
        <v>7763</v>
      </c>
      <c r="D348" s="218" t="s">
        <v>7772</v>
      </c>
      <c r="E348" s="218" t="s">
        <v>7811</v>
      </c>
      <c r="F348" s="218" t="s">
        <v>7812</v>
      </c>
      <c r="G348" s="218" t="s">
        <v>7767</v>
      </c>
      <c r="H348" s="218">
        <v>1024</v>
      </c>
      <c r="I348" s="219">
        <v>17920000</v>
      </c>
      <c r="J348" s="219">
        <v>0</v>
      </c>
      <c r="K348" s="219">
        <v>17920000</v>
      </c>
      <c r="L348" s="218" t="s">
        <v>7774</v>
      </c>
      <c r="M348" s="218">
        <v>1</v>
      </c>
      <c r="N348" s="218" t="s">
        <v>7813</v>
      </c>
      <c r="O348" s="218" t="s">
        <v>267</v>
      </c>
      <c r="P348" s="218">
        <v>399</v>
      </c>
      <c r="Q348" s="218" t="s">
        <v>7771</v>
      </c>
      <c r="R348" s="220">
        <v>104</v>
      </c>
    </row>
    <row r="349" spans="1:18">
      <c r="A349" s="217">
        <v>27</v>
      </c>
      <c r="B349" s="218">
        <v>540651</v>
      </c>
      <c r="C349" s="218" t="s">
        <v>7763</v>
      </c>
      <c r="D349" s="218" t="s">
        <v>7772</v>
      </c>
      <c r="E349" s="218" t="s">
        <v>7832</v>
      </c>
      <c r="F349" s="218" t="s">
        <v>7833</v>
      </c>
      <c r="G349" s="218" t="s">
        <v>7767</v>
      </c>
      <c r="H349" s="218">
        <v>1024</v>
      </c>
      <c r="I349" s="219">
        <v>17920000</v>
      </c>
      <c r="J349" s="219">
        <v>0</v>
      </c>
      <c r="K349" s="219">
        <v>17920000</v>
      </c>
      <c r="L349" s="218" t="s">
        <v>7774</v>
      </c>
      <c r="M349" s="218">
        <v>1</v>
      </c>
      <c r="N349" s="218" t="s">
        <v>7834</v>
      </c>
      <c r="O349" s="218" t="s">
        <v>7828</v>
      </c>
      <c r="P349" s="218">
        <v>399</v>
      </c>
      <c r="Q349" s="218" t="s">
        <v>7771</v>
      </c>
      <c r="R349" s="220">
        <v>104</v>
      </c>
    </row>
    <row r="350" spans="1:18">
      <c r="A350" s="217">
        <v>41</v>
      </c>
      <c r="B350" s="218">
        <v>9702099034</v>
      </c>
      <c r="C350" s="218" t="s">
        <v>7763</v>
      </c>
      <c r="D350" s="218" t="s">
        <v>7772</v>
      </c>
      <c r="E350" s="218" t="s">
        <v>7852</v>
      </c>
      <c r="F350" s="218" t="s">
        <v>7853</v>
      </c>
      <c r="G350" s="218" t="s">
        <v>7767</v>
      </c>
      <c r="H350" s="218">
        <v>1024</v>
      </c>
      <c r="I350" s="219">
        <v>17920000</v>
      </c>
      <c r="J350" s="219">
        <v>0</v>
      </c>
      <c r="K350" s="219">
        <v>17920000</v>
      </c>
      <c r="L350" s="218" t="s">
        <v>7774</v>
      </c>
      <c r="M350" s="218">
        <v>1</v>
      </c>
      <c r="N350" s="218" t="s">
        <v>7854</v>
      </c>
      <c r="O350" s="218" t="s">
        <v>7841</v>
      </c>
      <c r="P350" s="218">
        <v>399</v>
      </c>
      <c r="Q350" s="218" t="s">
        <v>7771</v>
      </c>
      <c r="R350" s="220">
        <v>104</v>
      </c>
    </row>
    <row r="351" spans="1:18">
      <c r="A351" s="217">
        <v>46</v>
      </c>
      <c r="B351" s="218">
        <v>543160</v>
      </c>
      <c r="C351" s="218" t="s">
        <v>7763</v>
      </c>
      <c r="D351" s="218" t="s">
        <v>7772</v>
      </c>
      <c r="E351" s="218" t="s">
        <v>7863</v>
      </c>
      <c r="F351" s="218" t="s">
        <v>7839</v>
      </c>
      <c r="G351" s="218" t="s">
        <v>7767</v>
      </c>
      <c r="H351" s="218">
        <v>1024</v>
      </c>
      <c r="I351" s="219">
        <v>17920000</v>
      </c>
      <c r="J351" s="219">
        <v>0</v>
      </c>
      <c r="K351" s="219">
        <v>17920000</v>
      </c>
      <c r="L351" s="218" t="s">
        <v>7774</v>
      </c>
      <c r="M351" s="218">
        <v>1</v>
      </c>
      <c r="N351" s="218" t="s">
        <v>7865</v>
      </c>
      <c r="O351" s="218" t="s">
        <v>7841</v>
      </c>
      <c r="P351" s="218">
        <v>399</v>
      </c>
      <c r="Q351" s="218" t="s">
        <v>7771</v>
      </c>
      <c r="R351" s="220">
        <v>104</v>
      </c>
    </row>
    <row r="352" spans="1:18">
      <c r="A352" s="217">
        <v>47</v>
      </c>
      <c r="B352" s="218">
        <v>543162</v>
      </c>
      <c r="C352" s="218" t="s">
        <v>7763</v>
      </c>
      <c r="D352" s="218" t="s">
        <v>7772</v>
      </c>
      <c r="E352" s="218" t="s">
        <v>7863</v>
      </c>
      <c r="F352" s="218" t="s">
        <v>7866</v>
      </c>
      <c r="G352" s="218" t="s">
        <v>7767</v>
      </c>
      <c r="H352" s="218">
        <v>1024</v>
      </c>
      <c r="I352" s="219">
        <v>17920000</v>
      </c>
      <c r="J352" s="219">
        <v>0</v>
      </c>
      <c r="K352" s="219">
        <v>17920000</v>
      </c>
      <c r="L352" s="218" t="s">
        <v>7774</v>
      </c>
      <c r="M352" s="218">
        <v>1</v>
      </c>
      <c r="N352" s="218" t="s">
        <v>7867</v>
      </c>
      <c r="O352" s="218" t="s">
        <v>7841</v>
      </c>
      <c r="P352" s="218">
        <v>399</v>
      </c>
      <c r="Q352" s="218" t="s">
        <v>7771</v>
      </c>
      <c r="R352" s="220">
        <v>104</v>
      </c>
    </row>
    <row r="353" spans="1:18">
      <c r="A353" s="217">
        <v>48</v>
      </c>
      <c r="B353" s="218">
        <v>543174</v>
      </c>
      <c r="C353" s="218" t="s">
        <v>7763</v>
      </c>
      <c r="D353" s="218" t="s">
        <v>7772</v>
      </c>
      <c r="E353" s="218" t="s">
        <v>7863</v>
      </c>
      <c r="F353" s="218" t="s">
        <v>7868</v>
      </c>
      <c r="G353" s="218" t="s">
        <v>7767</v>
      </c>
      <c r="H353" s="218">
        <v>1024</v>
      </c>
      <c r="I353" s="219">
        <v>17920000</v>
      </c>
      <c r="J353" s="219">
        <v>0</v>
      </c>
      <c r="K353" s="219">
        <v>17920000</v>
      </c>
      <c r="L353" s="218" t="s">
        <v>7774</v>
      </c>
      <c r="M353" s="218">
        <v>1</v>
      </c>
      <c r="N353" s="218" t="s">
        <v>7869</v>
      </c>
      <c r="O353" s="218" t="s">
        <v>7841</v>
      </c>
      <c r="P353" s="218">
        <v>399</v>
      </c>
      <c r="Q353" s="218" t="s">
        <v>7771</v>
      </c>
      <c r="R353" s="220">
        <v>104</v>
      </c>
    </row>
    <row r="354" spans="1:18">
      <c r="A354" s="217">
        <v>191</v>
      </c>
      <c r="B354" s="218">
        <v>9802165719</v>
      </c>
      <c r="C354" s="218" t="s">
        <v>7763</v>
      </c>
      <c r="D354" s="218" t="s">
        <v>7772</v>
      </c>
      <c r="E354" s="218" t="s">
        <v>8165</v>
      </c>
      <c r="F354" s="218" t="s">
        <v>8166</v>
      </c>
      <c r="G354" s="218" t="s">
        <v>7767</v>
      </c>
      <c r="H354" s="218">
        <v>1024</v>
      </c>
      <c r="I354" s="219">
        <v>17920000</v>
      </c>
      <c r="J354" s="219">
        <v>0</v>
      </c>
      <c r="K354" s="219">
        <v>17920000</v>
      </c>
      <c r="L354" s="218" t="s">
        <v>7774</v>
      </c>
      <c r="M354" s="218">
        <v>1</v>
      </c>
      <c r="N354" s="218" t="s">
        <v>8167</v>
      </c>
      <c r="O354" s="218" t="s">
        <v>7993</v>
      </c>
      <c r="P354" s="218">
        <v>399</v>
      </c>
      <c r="Q354" s="218" t="s">
        <v>7771</v>
      </c>
      <c r="R354" s="220">
        <v>104</v>
      </c>
    </row>
    <row r="355" spans="1:18">
      <c r="A355" s="217">
        <v>303</v>
      </c>
      <c r="B355" s="218">
        <v>524017</v>
      </c>
      <c r="C355" s="218" t="s">
        <v>7763</v>
      </c>
      <c r="D355" s="218" t="s">
        <v>7772</v>
      </c>
      <c r="E355" s="218" t="s">
        <v>8362</v>
      </c>
      <c r="F355" s="218" t="s">
        <v>8365</v>
      </c>
      <c r="G355" s="218" t="s">
        <v>7767</v>
      </c>
      <c r="H355" s="218">
        <v>1024</v>
      </c>
      <c r="I355" s="219">
        <v>17920000</v>
      </c>
      <c r="J355" s="219">
        <v>0</v>
      </c>
      <c r="K355" s="219">
        <v>17920000</v>
      </c>
      <c r="L355" s="218" t="s">
        <v>7774</v>
      </c>
      <c r="M355" s="218">
        <v>1</v>
      </c>
      <c r="N355" s="218" t="s">
        <v>8370</v>
      </c>
      <c r="O355" s="218" t="s">
        <v>8347</v>
      </c>
      <c r="P355" s="218">
        <v>399</v>
      </c>
      <c r="Q355" s="218" t="s">
        <v>7771</v>
      </c>
      <c r="R355" s="220">
        <v>104</v>
      </c>
    </row>
    <row r="356" spans="1:18">
      <c r="A356" s="217">
        <v>318</v>
      </c>
      <c r="B356" s="218">
        <v>40102372013</v>
      </c>
      <c r="C356" s="218" t="s">
        <v>7763</v>
      </c>
      <c r="D356" s="218" t="s">
        <v>7772</v>
      </c>
      <c r="E356" s="218" t="s">
        <v>8394</v>
      </c>
      <c r="F356" s="218" t="s">
        <v>8394</v>
      </c>
      <c r="G356" s="218" t="s">
        <v>7767</v>
      </c>
      <c r="H356" s="218">
        <v>1024</v>
      </c>
      <c r="I356" s="219">
        <v>17920000</v>
      </c>
      <c r="J356" s="219">
        <v>0</v>
      </c>
      <c r="K356" s="219">
        <v>17920000</v>
      </c>
      <c r="L356" s="218" t="s">
        <v>7774</v>
      </c>
      <c r="M356" s="218">
        <v>1</v>
      </c>
      <c r="N356" s="218" t="s">
        <v>2326</v>
      </c>
      <c r="O356" s="218" t="s">
        <v>1609</v>
      </c>
      <c r="P356" s="218">
        <v>399</v>
      </c>
      <c r="Q356" s="218" t="s">
        <v>7771</v>
      </c>
      <c r="R356" s="220">
        <v>104</v>
      </c>
    </row>
    <row r="357" spans="1:18">
      <c r="A357" s="217">
        <v>376</v>
      </c>
      <c r="B357" s="218">
        <v>534460</v>
      </c>
      <c r="C357" s="218" t="s">
        <v>7763</v>
      </c>
      <c r="D357" s="218" t="s">
        <v>7772</v>
      </c>
      <c r="E357" s="218" t="s">
        <v>8489</v>
      </c>
      <c r="F357" s="218" t="s">
        <v>8491</v>
      </c>
      <c r="G357" s="218" t="s">
        <v>7767</v>
      </c>
      <c r="H357" s="218">
        <v>1024</v>
      </c>
      <c r="I357" s="219">
        <v>17920000</v>
      </c>
      <c r="J357" s="219">
        <v>0</v>
      </c>
      <c r="K357" s="219">
        <v>17920000</v>
      </c>
      <c r="L357" s="218" t="s">
        <v>7774</v>
      </c>
      <c r="M357" s="218">
        <v>1</v>
      </c>
      <c r="N357" s="218" t="s">
        <v>2476</v>
      </c>
      <c r="O357" s="218" t="s">
        <v>2476</v>
      </c>
      <c r="P357" s="218">
        <v>399</v>
      </c>
      <c r="Q357" s="218" t="s">
        <v>7771</v>
      </c>
      <c r="R357" s="220">
        <v>104</v>
      </c>
    </row>
    <row r="358" spans="1:18">
      <c r="A358" s="217">
        <v>531</v>
      </c>
      <c r="B358" s="218">
        <v>541015</v>
      </c>
      <c r="C358" s="218" t="s">
        <v>7763</v>
      </c>
      <c r="D358" s="218" t="s">
        <v>7772</v>
      </c>
      <c r="E358" s="218" t="s">
        <v>8755</v>
      </c>
      <c r="F358" s="218" t="s">
        <v>7853</v>
      </c>
      <c r="G358" s="218" t="s">
        <v>7767</v>
      </c>
      <c r="H358" s="218">
        <v>1024</v>
      </c>
      <c r="I358" s="219">
        <v>17920000</v>
      </c>
      <c r="J358" s="219">
        <v>0</v>
      </c>
      <c r="K358" s="219">
        <v>17920000</v>
      </c>
      <c r="L358" s="218" t="s">
        <v>7774</v>
      </c>
      <c r="M358" s="218">
        <v>1</v>
      </c>
      <c r="N358" s="218" t="s">
        <v>8756</v>
      </c>
      <c r="O358" s="218" t="s">
        <v>933</v>
      </c>
      <c r="P358" s="218">
        <v>399</v>
      </c>
      <c r="Q358" s="218" t="s">
        <v>7771</v>
      </c>
      <c r="R358" s="220">
        <v>104</v>
      </c>
    </row>
    <row r="359" spans="1:18">
      <c r="A359" s="217">
        <v>537</v>
      </c>
      <c r="B359" s="218">
        <v>548502</v>
      </c>
      <c r="C359" s="218" t="s">
        <v>7763</v>
      </c>
      <c r="D359" s="218" t="s">
        <v>7772</v>
      </c>
      <c r="E359" s="218" t="s">
        <v>8768</v>
      </c>
      <c r="F359" s="218" t="s">
        <v>8769</v>
      </c>
      <c r="G359" s="218" t="s">
        <v>7767</v>
      </c>
      <c r="H359" s="218">
        <v>1024</v>
      </c>
      <c r="I359" s="219">
        <v>17920000</v>
      </c>
      <c r="J359" s="219">
        <v>0</v>
      </c>
      <c r="K359" s="219">
        <v>17920000</v>
      </c>
      <c r="L359" s="218" t="s">
        <v>7774</v>
      </c>
      <c r="M359" s="218">
        <v>1</v>
      </c>
      <c r="N359" s="218" t="s">
        <v>8770</v>
      </c>
      <c r="O359" s="218" t="s">
        <v>933</v>
      </c>
      <c r="P359" s="218">
        <v>399</v>
      </c>
      <c r="Q359" s="218" t="s">
        <v>7771</v>
      </c>
      <c r="R359" s="220">
        <v>104</v>
      </c>
    </row>
    <row r="360" spans="1:18">
      <c r="A360" s="217">
        <v>540</v>
      </c>
      <c r="B360" s="218">
        <v>548629</v>
      </c>
      <c r="C360" s="218" t="s">
        <v>7763</v>
      </c>
      <c r="D360" s="218" t="s">
        <v>7772</v>
      </c>
      <c r="E360" s="218" t="s">
        <v>8774</v>
      </c>
      <c r="F360" s="218" t="s">
        <v>7853</v>
      </c>
      <c r="G360" s="218" t="s">
        <v>7767</v>
      </c>
      <c r="H360" s="218">
        <v>1024</v>
      </c>
      <c r="I360" s="219">
        <v>17920000</v>
      </c>
      <c r="J360" s="219">
        <v>0</v>
      </c>
      <c r="K360" s="219">
        <v>17920000</v>
      </c>
      <c r="L360" s="218" t="s">
        <v>7774</v>
      </c>
      <c r="M360" s="218">
        <v>1</v>
      </c>
      <c r="N360" s="218" t="s">
        <v>3372</v>
      </c>
      <c r="O360" s="218" t="s">
        <v>933</v>
      </c>
      <c r="P360" s="218">
        <v>399</v>
      </c>
      <c r="Q360" s="218" t="s">
        <v>7771</v>
      </c>
      <c r="R360" s="220">
        <v>104</v>
      </c>
    </row>
    <row r="361" spans="1:18">
      <c r="A361" s="217">
        <v>541</v>
      </c>
      <c r="B361" s="218">
        <v>548665</v>
      </c>
      <c r="C361" s="218" t="s">
        <v>7763</v>
      </c>
      <c r="D361" s="218" t="s">
        <v>7772</v>
      </c>
      <c r="E361" s="218" t="s">
        <v>8522</v>
      </c>
      <c r="F361" s="218" t="s">
        <v>8775</v>
      </c>
      <c r="G361" s="218" t="s">
        <v>7767</v>
      </c>
      <c r="H361" s="218">
        <v>1024</v>
      </c>
      <c r="I361" s="219">
        <v>17920000</v>
      </c>
      <c r="J361" s="219">
        <v>0</v>
      </c>
      <c r="K361" s="219">
        <v>17920000</v>
      </c>
      <c r="L361" s="218" t="s">
        <v>7774</v>
      </c>
      <c r="M361" s="218">
        <v>1</v>
      </c>
      <c r="N361" s="218" t="s">
        <v>8776</v>
      </c>
      <c r="O361" s="218" t="s">
        <v>933</v>
      </c>
      <c r="P361" s="218">
        <v>399</v>
      </c>
      <c r="Q361" s="218" t="s">
        <v>7771</v>
      </c>
      <c r="R361" s="220">
        <v>104</v>
      </c>
    </row>
    <row r="362" spans="1:18">
      <c r="A362" s="217">
        <v>565</v>
      </c>
      <c r="B362" s="218">
        <v>547614</v>
      </c>
      <c r="C362" s="218" t="s">
        <v>7763</v>
      </c>
      <c r="D362" s="218" t="s">
        <v>7772</v>
      </c>
      <c r="E362" s="218" t="s">
        <v>8525</v>
      </c>
      <c r="F362" s="218" t="s">
        <v>8811</v>
      </c>
      <c r="G362" s="218" t="s">
        <v>7767</v>
      </c>
      <c r="H362" s="218">
        <v>1024</v>
      </c>
      <c r="I362" s="219">
        <v>17920000</v>
      </c>
      <c r="J362" s="219">
        <v>0</v>
      </c>
      <c r="K362" s="219">
        <v>17920000</v>
      </c>
      <c r="L362" s="218" t="s">
        <v>7774</v>
      </c>
      <c r="M362" s="218">
        <v>1</v>
      </c>
      <c r="N362" s="218" t="s">
        <v>8817</v>
      </c>
      <c r="O362" s="218" t="s">
        <v>8796</v>
      </c>
      <c r="P362" s="218">
        <v>399</v>
      </c>
      <c r="Q362" s="218" t="s">
        <v>7771</v>
      </c>
      <c r="R362" s="220">
        <v>104</v>
      </c>
    </row>
    <row r="363" spans="1:18">
      <c r="A363" s="217">
        <v>572</v>
      </c>
      <c r="B363" s="218">
        <v>547622</v>
      </c>
      <c r="C363" s="218" t="s">
        <v>7763</v>
      </c>
      <c r="D363" s="218" t="s">
        <v>7772</v>
      </c>
      <c r="E363" s="218" t="s">
        <v>8828</v>
      </c>
      <c r="F363" s="218" t="s">
        <v>8811</v>
      </c>
      <c r="G363" s="218" t="s">
        <v>7767</v>
      </c>
      <c r="H363" s="218">
        <v>1024</v>
      </c>
      <c r="I363" s="219">
        <v>17920000</v>
      </c>
      <c r="J363" s="219">
        <v>0</v>
      </c>
      <c r="K363" s="219">
        <v>17920000</v>
      </c>
      <c r="L363" s="218" t="s">
        <v>7774</v>
      </c>
      <c r="M363" s="218">
        <v>1</v>
      </c>
      <c r="N363" s="218" t="s">
        <v>8829</v>
      </c>
      <c r="O363" s="218" t="s">
        <v>8796</v>
      </c>
      <c r="P363" s="218">
        <v>399</v>
      </c>
      <c r="Q363" s="218" t="s">
        <v>7771</v>
      </c>
      <c r="R363" s="220">
        <v>104</v>
      </c>
    </row>
    <row r="364" spans="1:18">
      <c r="A364" s="217">
        <v>640</v>
      </c>
      <c r="B364" s="218">
        <v>538367</v>
      </c>
      <c r="C364" s="218" t="s">
        <v>7763</v>
      </c>
      <c r="D364" s="218" t="s">
        <v>7764</v>
      </c>
      <c r="E364" s="218" t="s">
        <v>8944</v>
      </c>
      <c r="F364" s="218" t="s">
        <v>8949</v>
      </c>
      <c r="G364" s="218" t="s">
        <v>7767</v>
      </c>
      <c r="H364" s="218">
        <v>768</v>
      </c>
      <c r="I364" s="219">
        <v>19200000</v>
      </c>
      <c r="J364" s="219">
        <v>0</v>
      </c>
      <c r="K364" s="219">
        <v>19200000</v>
      </c>
      <c r="L364" s="218" t="s">
        <v>7774</v>
      </c>
      <c r="M364" s="218">
        <v>1</v>
      </c>
      <c r="N364" s="218" t="s">
        <v>8950</v>
      </c>
      <c r="O364" s="218" t="s">
        <v>3705</v>
      </c>
      <c r="P364" s="218">
        <v>399</v>
      </c>
      <c r="Q364" s="218" t="s">
        <v>7771</v>
      </c>
      <c r="R364" s="220">
        <v>104</v>
      </c>
    </row>
    <row r="365" spans="1:18">
      <c r="A365" s="217">
        <v>302</v>
      </c>
      <c r="B365" s="218">
        <v>524015</v>
      </c>
      <c r="C365" s="218" t="s">
        <v>107</v>
      </c>
      <c r="D365" s="218" t="s">
        <v>7778</v>
      </c>
      <c r="E365" s="218" t="s">
        <v>8362</v>
      </c>
      <c r="F365" s="218" t="s">
        <v>8368</v>
      </c>
      <c r="G365" s="218" t="s">
        <v>7767</v>
      </c>
      <c r="H365" s="218">
        <v>960</v>
      </c>
      <c r="I365" s="219">
        <v>19500000</v>
      </c>
      <c r="J365" s="219">
        <v>0</v>
      </c>
      <c r="K365" s="219">
        <v>19500000</v>
      </c>
      <c r="L365" s="218" t="s">
        <v>7791</v>
      </c>
      <c r="M365" s="218">
        <v>1</v>
      </c>
      <c r="N365" s="218" t="s">
        <v>8369</v>
      </c>
      <c r="O365" s="218" t="s">
        <v>8347</v>
      </c>
      <c r="P365" s="218">
        <v>399</v>
      </c>
      <c r="Q365" s="218" t="s">
        <v>7771</v>
      </c>
      <c r="R365" s="220">
        <v>104</v>
      </c>
    </row>
    <row r="366" spans="1:18">
      <c r="A366" s="217">
        <v>82</v>
      </c>
      <c r="B366" s="218">
        <v>542136</v>
      </c>
      <c r="C366" s="218" t="s">
        <v>7763</v>
      </c>
      <c r="D366" s="218" t="s">
        <v>7772</v>
      </c>
      <c r="E366" s="218" t="s">
        <v>7942</v>
      </c>
      <c r="F366" s="218" t="s">
        <v>7943</v>
      </c>
      <c r="G366" s="218" t="s">
        <v>7767</v>
      </c>
      <c r="H366" s="218">
        <v>1152</v>
      </c>
      <c r="I366" s="219">
        <v>19600000</v>
      </c>
      <c r="J366" s="219">
        <v>0</v>
      </c>
      <c r="K366" s="219">
        <v>19600000</v>
      </c>
      <c r="L366" s="218" t="s">
        <v>7774</v>
      </c>
      <c r="M366" s="218">
        <v>1</v>
      </c>
      <c r="N366" s="218" t="s">
        <v>7896</v>
      </c>
      <c r="O366" s="218" t="s">
        <v>7940</v>
      </c>
      <c r="P366" s="218">
        <v>399</v>
      </c>
      <c r="Q366" s="218" t="s">
        <v>7771</v>
      </c>
      <c r="R366" s="220">
        <v>104</v>
      </c>
    </row>
    <row r="367" spans="1:18">
      <c r="A367" s="217">
        <v>8</v>
      </c>
      <c r="B367" s="218">
        <v>9702105125</v>
      </c>
      <c r="C367" s="218" t="s">
        <v>107</v>
      </c>
      <c r="D367" s="218" t="s">
        <v>7778</v>
      </c>
      <c r="E367" s="218" t="s">
        <v>7789</v>
      </c>
      <c r="F367" s="218" t="s">
        <v>7790</v>
      </c>
      <c r="G367" s="218" t="s">
        <v>7767</v>
      </c>
      <c r="H367" s="218">
        <v>1024</v>
      </c>
      <c r="I367" s="219">
        <v>20800000</v>
      </c>
      <c r="J367" s="219">
        <v>0</v>
      </c>
      <c r="K367" s="219">
        <v>20800000</v>
      </c>
      <c r="L367" s="218" t="s">
        <v>7791</v>
      </c>
      <c r="M367" s="218">
        <v>1</v>
      </c>
      <c r="N367" s="218" t="s">
        <v>7792</v>
      </c>
      <c r="O367" s="218" t="s">
        <v>267</v>
      </c>
      <c r="P367" s="218">
        <v>399</v>
      </c>
      <c r="Q367" s="218" t="s">
        <v>7771</v>
      </c>
      <c r="R367" s="220">
        <v>100</v>
      </c>
    </row>
    <row r="368" spans="1:18">
      <c r="A368" s="217">
        <v>17</v>
      </c>
      <c r="B368" s="218">
        <v>587528</v>
      </c>
      <c r="C368" s="218" t="s">
        <v>107</v>
      </c>
      <c r="D368" s="218" t="s">
        <v>7778</v>
      </c>
      <c r="E368" s="218" t="s">
        <v>7814</v>
      </c>
      <c r="F368" s="218" t="s">
        <v>7790</v>
      </c>
      <c r="G368" s="218" t="s">
        <v>7767</v>
      </c>
      <c r="H368" s="218">
        <v>1024</v>
      </c>
      <c r="I368" s="219">
        <v>20800000</v>
      </c>
      <c r="J368" s="219">
        <v>0</v>
      </c>
      <c r="K368" s="219">
        <v>20800000</v>
      </c>
      <c r="L368" s="218" t="s">
        <v>7791</v>
      </c>
      <c r="M368" s="218">
        <v>1</v>
      </c>
      <c r="N368" s="218" t="s">
        <v>7815</v>
      </c>
      <c r="O368" s="218" t="s">
        <v>267</v>
      </c>
      <c r="P368" s="218">
        <v>399</v>
      </c>
      <c r="Q368" s="218" t="s">
        <v>7771</v>
      </c>
      <c r="R368" s="220">
        <v>100</v>
      </c>
    </row>
    <row r="369" spans="1:18">
      <c r="A369" s="217">
        <v>18</v>
      </c>
      <c r="B369" s="218">
        <v>587529</v>
      </c>
      <c r="C369" s="218" t="s">
        <v>107</v>
      </c>
      <c r="D369" s="218" t="s">
        <v>7778</v>
      </c>
      <c r="E369" s="218" t="s">
        <v>7816</v>
      </c>
      <c r="F369" s="218" t="s">
        <v>7790</v>
      </c>
      <c r="G369" s="218" t="s">
        <v>7767</v>
      </c>
      <c r="H369" s="218">
        <v>1024</v>
      </c>
      <c r="I369" s="219">
        <v>20800000</v>
      </c>
      <c r="J369" s="219">
        <v>0</v>
      </c>
      <c r="K369" s="219">
        <v>20800000</v>
      </c>
      <c r="L369" s="218" t="s">
        <v>7791</v>
      </c>
      <c r="M369" s="218">
        <v>1</v>
      </c>
      <c r="N369" s="218" t="s">
        <v>7817</v>
      </c>
      <c r="O369" s="218" t="s">
        <v>267</v>
      </c>
      <c r="P369" s="218">
        <v>399</v>
      </c>
      <c r="Q369" s="218" t="s">
        <v>7771</v>
      </c>
      <c r="R369" s="220">
        <v>100</v>
      </c>
    </row>
    <row r="370" spans="1:18">
      <c r="A370" s="217">
        <v>19</v>
      </c>
      <c r="B370" s="218">
        <v>587530</v>
      </c>
      <c r="C370" s="218" t="s">
        <v>107</v>
      </c>
      <c r="D370" s="218" t="s">
        <v>7778</v>
      </c>
      <c r="E370" s="218" t="s">
        <v>7816</v>
      </c>
      <c r="F370" s="218" t="s">
        <v>7790</v>
      </c>
      <c r="G370" s="218" t="s">
        <v>7767</v>
      </c>
      <c r="H370" s="218">
        <v>1024</v>
      </c>
      <c r="I370" s="219">
        <v>20800000</v>
      </c>
      <c r="J370" s="219">
        <v>0</v>
      </c>
      <c r="K370" s="219">
        <v>20800000</v>
      </c>
      <c r="L370" s="218" t="s">
        <v>7791</v>
      </c>
      <c r="M370" s="218">
        <v>1</v>
      </c>
      <c r="N370" s="218" t="s">
        <v>7818</v>
      </c>
      <c r="O370" s="218" t="s">
        <v>267</v>
      </c>
      <c r="P370" s="218">
        <v>399</v>
      </c>
      <c r="Q370" s="218" t="s">
        <v>7771</v>
      </c>
      <c r="R370" s="220">
        <v>100</v>
      </c>
    </row>
    <row r="371" spans="1:18">
      <c r="A371" s="217">
        <v>20</v>
      </c>
      <c r="B371" s="218">
        <v>587535</v>
      </c>
      <c r="C371" s="218" t="s">
        <v>107</v>
      </c>
      <c r="D371" s="218" t="s">
        <v>7778</v>
      </c>
      <c r="E371" s="218" t="s">
        <v>7819</v>
      </c>
      <c r="F371" s="218" t="s">
        <v>7790</v>
      </c>
      <c r="G371" s="218" t="s">
        <v>7767</v>
      </c>
      <c r="H371" s="218">
        <v>1024</v>
      </c>
      <c r="I371" s="219">
        <v>20800000</v>
      </c>
      <c r="J371" s="219">
        <v>0</v>
      </c>
      <c r="K371" s="219">
        <v>20800000</v>
      </c>
      <c r="L371" s="218" t="s">
        <v>7791</v>
      </c>
      <c r="M371" s="218">
        <v>1</v>
      </c>
      <c r="N371" s="218" t="s">
        <v>7810</v>
      </c>
      <c r="O371" s="218" t="s">
        <v>267</v>
      </c>
      <c r="P371" s="218">
        <v>399</v>
      </c>
      <c r="Q371" s="218" t="s">
        <v>7771</v>
      </c>
      <c r="R371" s="220">
        <v>100</v>
      </c>
    </row>
    <row r="372" spans="1:18">
      <c r="A372" s="217">
        <v>21</v>
      </c>
      <c r="B372" s="218">
        <v>610913</v>
      </c>
      <c r="C372" s="218" t="s">
        <v>107</v>
      </c>
      <c r="D372" s="218" t="s">
        <v>7778</v>
      </c>
      <c r="E372" s="218" t="s">
        <v>7820</v>
      </c>
      <c r="F372" s="218" t="s">
        <v>7790</v>
      </c>
      <c r="G372" s="218" t="s">
        <v>7767</v>
      </c>
      <c r="H372" s="218">
        <v>1024</v>
      </c>
      <c r="I372" s="219">
        <v>20800000</v>
      </c>
      <c r="J372" s="219">
        <v>0</v>
      </c>
      <c r="K372" s="219">
        <v>20800000</v>
      </c>
      <c r="L372" s="218" t="s">
        <v>7791</v>
      </c>
      <c r="M372" s="218">
        <v>1</v>
      </c>
      <c r="N372" s="218" t="s">
        <v>7821</v>
      </c>
      <c r="O372" s="218" t="s">
        <v>267</v>
      </c>
      <c r="P372" s="218">
        <v>399</v>
      </c>
      <c r="Q372" s="218" t="s">
        <v>7771</v>
      </c>
      <c r="R372" s="220">
        <v>100</v>
      </c>
    </row>
    <row r="373" spans="1:18">
      <c r="A373" s="217">
        <v>22</v>
      </c>
      <c r="B373" s="218">
        <v>610914</v>
      </c>
      <c r="C373" s="218" t="s">
        <v>107</v>
      </c>
      <c r="D373" s="218" t="s">
        <v>7778</v>
      </c>
      <c r="E373" s="218" t="s">
        <v>7822</v>
      </c>
      <c r="F373" s="218" t="s">
        <v>7790</v>
      </c>
      <c r="G373" s="218" t="s">
        <v>7767</v>
      </c>
      <c r="H373" s="218">
        <v>1024</v>
      </c>
      <c r="I373" s="219">
        <v>20800000</v>
      </c>
      <c r="J373" s="219">
        <v>0</v>
      </c>
      <c r="K373" s="219">
        <v>20800000</v>
      </c>
      <c r="L373" s="218" t="s">
        <v>7791</v>
      </c>
      <c r="M373" s="218">
        <v>1</v>
      </c>
      <c r="N373" s="218" t="s">
        <v>7823</v>
      </c>
      <c r="O373" s="218" t="s">
        <v>267</v>
      </c>
      <c r="P373" s="218">
        <v>399</v>
      </c>
      <c r="Q373" s="218" t="s">
        <v>7771</v>
      </c>
      <c r="R373" s="220">
        <v>100</v>
      </c>
    </row>
    <row r="374" spans="1:18">
      <c r="A374" s="217">
        <v>24</v>
      </c>
      <c r="B374" s="218">
        <v>9902218058</v>
      </c>
      <c r="C374" s="218" t="s">
        <v>107</v>
      </c>
      <c r="D374" s="218" t="s">
        <v>7778</v>
      </c>
      <c r="E374" s="218" t="s">
        <v>7826</v>
      </c>
      <c r="F374" s="218" t="s">
        <v>7790</v>
      </c>
      <c r="G374" s="218" t="s">
        <v>7767</v>
      </c>
      <c r="H374" s="218">
        <v>1024</v>
      </c>
      <c r="I374" s="219">
        <v>20800000</v>
      </c>
      <c r="J374" s="219">
        <v>0</v>
      </c>
      <c r="K374" s="219">
        <v>20800000</v>
      </c>
      <c r="L374" s="218" t="s">
        <v>7791</v>
      </c>
      <c r="M374" s="218">
        <v>1</v>
      </c>
      <c r="N374" s="218" t="s">
        <v>7827</v>
      </c>
      <c r="O374" s="218" t="s">
        <v>7828</v>
      </c>
      <c r="P374" s="218">
        <v>399</v>
      </c>
      <c r="Q374" s="218" t="s">
        <v>7771</v>
      </c>
      <c r="R374" s="220">
        <v>100</v>
      </c>
    </row>
    <row r="375" spans="1:18">
      <c r="A375" s="217">
        <v>25</v>
      </c>
      <c r="B375" s="218">
        <v>9902218060</v>
      </c>
      <c r="C375" s="218" t="s">
        <v>107</v>
      </c>
      <c r="D375" s="218" t="s">
        <v>7778</v>
      </c>
      <c r="E375" s="218" t="s">
        <v>7826</v>
      </c>
      <c r="F375" s="218" t="s">
        <v>7790</v>
      </c>
      <c r="G375" s="218" t="s">
        <v>7767</v>
      </c>
      <c r="H375" s="218">
        <v>1024</v>
      </c>
      <c r="I375" s="219">
        <v>20800000</v>
      </c>
      <c r="J375" s="219">
        <v>0</v>
      </c>
      <c r="K375" s="219">
        <v>20800000</v>
      </c>
      <c r="L375" s="218" t="s">
        <v>7791</v>
      </c>
      <c r="M375" s="218">
        <v>1</v>
      </c>
      <c r="N375" s="218" t="s">
        <v>7829</v>
      </c>
      <c r="O375" s="218" t="s">
        <v>7828</v>
      </c>
      <c r="P375" s="218">
        <v>399</v>
      </c>
      <c r="Q375" s="218" t="s">
        <v>7771</v>
      </c>
      <c r="R375" s="220">
        <v>100</v>
      </c>
    </row>
    <row r="376" spans="1:18">
      <c r="A376" s="217">
        <v>32</v>
      </c>
      <c r="B376" s="218">
        <v>4134771419</v>
      </c>
      <c r="C376" s="218" t="s">
        <v>107</v>
      </c>
      <c r="D376" s="218" t="s">
        <v>7778</v>
      </c>
      <c r="E376" s="218" t="s">
        <v>7844</v>
      </c>
      <c r="F376" s="218" t="s">
        <v>7790</v>
      </c>
      <c r="G376" s="218" t="s">
        <v>7767</v>
      </c>
      <c r="H376" s="218">
        <v>1024</v>
      </c>
      <c r="I376" s="219">
        <v>20800000</v>
      </c>
      <c r="J376" s="219">
        <v>0</v>
      </c>
      <c r="K376" s="219">
        <v>20800000</v>
      </c>
      <c r="L376" s="218" t="s">
        <v>7791</v>
      </c>
      <c r="M376" s="218">
        <v>1</v>
      </c>
      <c r="N376" s="218" t="s">
        <v>258</v>
      </c>
      <c r="O376" s="218" t="s">
        <v>7841</v>
      </c>
      <c r="P376" s="218">
        <v>399</v>
      </c>
      <c r="Q376" s="218" t="s">
        <v>7771</v>
      </c>
      <c r="R376" s="220">
        <v>100</v>
      </c>
    </row>
    <row r="377" spans="1:18">
      <c r="A377" s="217">
        <v>33</v>
      </c>
      <c r="B377" s="218">
        <v>4135560085</v>
      </c>
      <c r="C377" s="218" t="s">
        <v>107</v>
      </c>
      <c r="D377" s="218" t="s">
        <v>7778</v>
      </c>
      <c r="E377" s="218" t="s">
        <v>7844</v>
      </c>
      <c r="F377" s="218" t="s">
        <v>7790</v>
      </c>
      <c r="G377" s="218" t="s">
        <v>7767</v>
      </c>
      <c r="H377" s="218">
        <v>1024</v>
      </c>
      <c r="I377" s="219">
        <v>20800000</v>
      </c>
      <c r="J377" s="219">
        <v>0</v>
      </c>
      <c r="K377" s="219">
        <v>20800000</v>
      </c>
      <c r="L377" s="218" t="s">
        <v>7791</v>
      </c>
      <c r="M377" s="218">
        <v>1</v>
      </c>
      <c r="N377" s="218" t="s">
        <v>7846</v>
      </c>
      <c r="O377" s="218" t="s">
        <v>7841</v>
      </c>
      <c r="P377" s="218">
        <v>399</v>
      </c>
      <c r="Q377" s="218" t="s">
        <v>7771</v>
      </c>
      <c r="R377" s="220">
        <v>100</v>
      </c>
    </row>
    <row r="378" spans="1:18">
      <c r="A378" s="217">
        <v>34</v>
      </c>
      <c r="B378" s="218">
        <v>4135572988</v>
      </c>
      <c r="C378" s="218" t="s">
        <v>107</v>
      </c>
      <c r="D378" s="218" t="s">
        <v>7778</v>
      </c>
      <c r="E378" s="218" t="s">
        <v>7844</v>
      </c>
      <c r="F378" s="218" t="s">
        <v>7790</v>
      </c>
      <c r="G378" s="218" t="s">
        <v>7767</v>
      </c>
      <c r="H378" s="218">
        <v>1024</v>
      </c>
      <c r="I378" s="219">
        <v>20800000</v>
      </c>
      <c r="J378" s="219">
        <v>0</v>
      </c>
      <c r="K378" s="219">
        <v>20800000</v>
      </c>
      <c r="L378" s="218" t="s">
        <v>7791</v>
      </c>
      <c r="M378" s="218">
        <v>1</v>
      </c>
      <c r="N378" s="218" t="s">
        <v>7794</v>
      </c>
      <c r="O378" s="218" t="s">
        <v>7841</v>
      </c>
      <c r="P378" s="218">
        <v>399</v>
      </c>
      <c r="Q378" s="218" t="s">
        <v>7771</v>
      </c>
      <c r="R378" s="220">
        <v>100</v>
      </c>
    </row>
    <row r="379" spans="1:18">
      <c r="A379" s="217">
        <v>35</v>
      </c>
      <c r="B379" s="218">
        <v>4136570018</v>
      </c>
      <c r="C379" s="218" t="s">
        <v>107</v>
      </c>
      <c r="D379" s="218" t="s">
        <v>7778</v>
      </c>
      <c r="E379" s="218" t="s">
        <v>7844</v>
      </c>
      <c r="F379" s="218" t="s">
        <v>7790</v>
      </c>
      <c r="G379" s="218" t="s">
        <v>7767</v>
      </c>
      <c r="H379" s="218">
        <v>1024</v>
      </c>
      <c r="I379" s="219">
        <v>20800000</v>
      </c>
      <c r="J379" s="219">
        <v>0</v>
      </c>
      <c r="K379" s="219">
        <v>20800000</v>
      </c>
      <c r="L379" s="218" t="s">
        <v>7791</v>
      </c>
      <c r="M379" s="218">
        <v>1</v>
      </c>
      <c r="N379" s="218" t="s">
        <v>950</v>
      </c>
      <c r="O379" s="218" t="s">
        <v>7841</v>
      </c>
      <c r="P379" s="218">
        <v>399</v>
      </c>
      <c r="Q379" s="218" t="s">
        <v>7771</v>
      </c>
      <c r="R379" s="220">
        <v>100</v>
      </c>
    </row>
    <row r="380" spans="1:18">
      <c r="A380" s="217">
        <v>36</v>
      </c>
      <c r="B380" s="218">
        <v>4137221710</v>
      </c>
      <c r="C380" s="218" t="s">
        <v>107</v>
      </c>
      <c r="D380" s="218" t="s">
        <v>7778</v>
      </c>
      <c r="E380" s="218" t="s">
        <v>7844</v>
      </c>
      <c r="F380" s="218" t="s">
        <v>7790</v>
      </c>
      <c r="G380" s="218" t="s">
        <v>7767</v>
      </c>
      <c r="H380" s="218">
        <v>1024</v>
      </c>
      <c r="I380" s="219">
        <v>20800000</v>
      </c>
      <c r="J380" s="219">
        <v>0</v>
      </c>
      <c r="K380" s="219">
        <v>20800000</v>
      </c>
      <c r="L380" s="218" t="s">
        <v>7791</v>
      </c>
      <c r="M380" s="218">
        <v>1</v>
      </c>
      <c r="N380" s="218" t="s">
        <v>1539</v>
      </c>
      <c r="O380" s="218" t="s">
        <v>7841</v>
      </c>
      <c r="P380" s="218">
        <v>399</v>
      </c>
      <c r="Q380" s="218" t="s">
        <v>7771</v>
      </c>
      <c r="R380" s="220">
        <v>100</v>
      </c>
    </row>
    <row r="381" spans="1:18">
      <c r="A381" s="217">
        <v>37</v>
      </c>
      <c r="B381" s="218">
        <v>4142233166</v>
      </c>
      <c r="C381" s="218" t="s">
        <v>107</v>
      </c>
      <c r="D381" s="218" t="s">
        <v>7778</v>
      </c>
      <c r="E381" s="218" t="s">
        <v>7844</v>
      </c>
      <c r="F381" s="218" t="s">
        <v>7790</v>
      </c>
      <c r="G381" s="218" t="s">
        <v>7767</v>
      </c>
      <c r="H381" s="218">
        <v>1024</v>
      </c>
      <c r="I381" s="219">
        <v>20800000</v>
      </c>
      <c r="J381" s="219">
        <v>0</v>
      </c>
      <c r="K381" s="219">
        <v>20800000</v>
      </c>
      <c r="L381" s="218" t="s">
        <v>7791</v>
      </c>
      <c r="M381" s="218">
        <v>1</v>
      </c>
      <c r="N381" s="218" t="s">
        <v>7847</v>
      </c>
      <c r="O381" s="218" t="s">
        <v>7841</v>
      </c>
      <c r="P381" s="218">
        <v>399</v>
      </c>
      <c r="Q381" s="218" t="s">
        <v>7771</v>
      </c>
      <c r="R381" s="220">
        <v>100</v>
      </c>
    </row>
    <row r="382" spans="1:18">
      <c r="A382" s="217">
        <v>38</v>
      </c>
      <c r="B382" s="218">
        <v>4143237218</v>
      </c>
      <c r="C382" s="218" t="s">
        <v>107</v>
      </c>
      <c r="D382" s="218" t="s">
        <v>7778</v>
      </c>
      <c r="E382" s="218" t="s">
        <v>7844</v>
      </c>
      <c r="F382" s="218" t="s">
        <v>7790</v>
      </c>
      <c r="G382" s="218" t="s">
        <v>7767</v>
      </c>
      <c r="H382" s="218">
        <v>1024</v>
      </c>
      <c r="I382" s="219">
        <v>20800000</v>
      </c>
      <c r="J382" s="219">
        <v>0</v>
      </c>
      <c r="K382" s="219">
        <v>20800000</v>
      </c>
      <c r="L382" s="218" t="s">
        <v>7791</v>
      </c>
      <c r="M382" s="218">
        <v>1</v>
      </c>
      <c r="N382" s="218" t="s">
        <v>171</v>
      </c>
      <c r="O382" s="218" t="s">
        <v>7841</v>
      </c>
      <c r="P382" s="218">
        <v>399</v>
      </c>
      <c r="Q382" s="218" t="s">
        <v>7771</v>
      </c>
      <c r="R382" s="220">
        <v>100</v>
      </c>
    </row>
    <row r="383" spans="1:18">
      <c r="A383" s="217">
        <v>53</v>
      </c>
      <c r="B383" s="218">
        <v>605639</v>
      </c>
      <c r="C383" s="218" t="s">
        <v>107</v>
      </c>
      <c r="D383" s="218" t="s">
        <v>7778</v>
      </c>
      <c r="E383" s="218" t="s">
        <v>7880</v>
      </c>
      <c r="F383" s="218" t="s">
        <v>7790</v>
      </c>
      <c r="G383" s="218" t="s">
        <v>7767</v>
      </c>
      <c r="H383" s="218">
        <v>1024</v>
      </c>
      <c r="I383" s="219">
        <v>20800000</v>
      </c>
      <c r="J383" s="219">
        <v>0</v>
      </c>
      <c r="K383" s="219">
        <v>20800000</v>
      </c>
      <c r="L383" s="218" t="s">
        <v>7791</v>
      </c>
      <c r="M383" s="218">
        <v>1</v>
      </c>
      <c r="N383" s="218" t="s">
        <v>114</v>
      </c>
      <c r="O383" s="218" t="s">
        <v>7879</v>
      </c>
      <c r="P383" s="218">
        <v>399</v>
      </c>
      <c r="Q383" s="218" t="s">
        <v>7771</v>
      </c>
      <c r="R383" s="220">
        <v>100</v>
      </c>
    </row>
    <row r="384" spans="1:18">
      <c r="A384" s="217">
        <v>54</v>
      </c>
      <c r="B384" s="218">
        <v>608163</v>
      </c>
      <c r="C384" s="218" t="s">
        <v>107</v>
      </c>
      <c r="D384" s="218" t="s">
        <v>7778</v>
      </c>
      <c r="E384" s="218" t="s">
        <v>7881</v>
      </c>
      <c r="F384" s="218" t="s">
        <v>7790</v>
      </c>
      <c r="G384" s="218" t="s">
        <v>7767</v>
      </c>
      <c r="H384" s="218">
        <v>1024</v>
      </c>
      <c r="I384" s="219">
        <v>20800000</v>
      </c>
      <c r="J384" s="219">
        <v>0</v>
      </c>
      <c r="K384" s="219">
        <v>20800000</v>
      </c>
      <c r="L384" s="218" t="s">
        <v>7791</v>
      </c>
      <c r="M384" s="218">
        <v>1</v>
      </c>
      <c r="N384" s="218" t="s">
        <v>7882</v>
      </c>
      <c r="O384" s="218" t="s">
        <v>7879</v>
      </c>
      <c r="P384" s="218">
        <v>399</v>
      </c>
      <c r="Q384" s="218" t="s">
        <v>7771</v>
      </c>
      <c r="R384" s="220">
        <v>100</v>
      </c>
    </row>
    <row r="385" spans="1:18">
      <c r="A385" s="217">
        <v>55</v>
      </c>
      <c r="B385" s="218">
        <v>608164</v>
      </c>
      <c r="C385" s="218" t="s">
        <v>107</v>
      </c>
      <c r="D385" s="218" t="s">
        <v>7778</v>
      </c>
      <c r="E385" s="218" t="s">
        <v>7883</v>
      </c>
      <c r="F385" s="218" t="s">
        <v>7790</v>
      </c>
      <c r="G385" s="218" t="s">
        <v>7767</v>
      </c>
      <c r="H385" s="218">
        <v>1024</v>
      </c>
      <c r="I385" s="219">
        <v>20800000</v>
      </c>
      <c r="J385" s="219">
        <v>0</v>
      </c>
      <c r="K385" s="219">
        <v>20800000</v>
      </c>
      <c r="L385" s="218" t="s">
        <v>7791</v>
      </c>
      <c r="M385" s="218">
        <v>1</v>
      </c>
      <c r="N385" s="218" t="s">
        <v>120</v>
      </c>
      <c r="O385" s="218" t="s">
        <v>7879</v>
      </c>
      <c r="P385" s="218">
        <v>399</v>
      </c>
      <c r="Q385" s="218" t="s">
        <v>7771</v>
      </c>
      <c r="R385" s="220">
        <v>100</v>
      </c>
    </row>
    <row r="386" spans="1:18">
      <c r="A386" s="217">
        <v>56</v>
      </c>
      <c r="B386" s="218">
        <v>608166</v>
      </c>
      <c r="C386" s="218" t="s">
        <v>107</v>
      </c>
      <c r="D386" s="218" t="s">
        <v>7778</v>
      </c>
      <c r="E386" s="218" t="s">
        <v>7884</v>
      </c>
      <c r="F386" s="218" t="s">
        <v>7790</v>
      </c>
      <c r="G386" s="218" t="s">
        <v>7767</v>
      </c>
      <c r="H386" s="218">
        <v>1024</v>
      </c>
      <c r="I386" s="219">
        <v>20800000</v>
      </c>
      <c r="J386" s="219">
        <v>0</v>
      </c>
      <c r="K386" s="219">
        <v>20800000</v>
      </c>
      <c r="L386" s="218" t="s">
        <v>7791</v>
      </c>
      <c r="M386" s="218">
        <v>1</v>
      </c>
      <c r="N386" s="218" t="s">
        <v>7885</v>
      </c>
      <c r="O386" s="218" t="s">
        <v>7879</v>
      </c>
      <c r="P386" s="218">
        <v>399</v>
      </c>
      <c r="Q386" s="218" t="s">
        <v>7771</v>
      </c>
      <c r="R386" s="220">
        <v>100</v>
      </c>
    </row>
    <row r="387" spans="1:18">
      <c r="A387" s="217">
        <v>57</v>
      </c>
      <c r="B387" s="218">
        <v>629881</v>
      </c>
      <c r="C387" s="218" t="s">
        <v>107</v>
      </c>
      <c r="D387" s="218" t="s">
        <v>7778</v>
      </c>
      <c r="E387" s="218" t="s">
        <v>7886</v>
      </c>
      <c r="F387" s="218" t="s">
        <v>7790</v>
      </c>
      <c r="G387" s="218" t="s">
        <v>7767</v>
      </c>
      <c r="H387" s="218">
        <v>1024</v>
      </c>
      <c r="I387" s="219">
        <v>20800000</v>
      </c>
      <c r="J387" s="219">
        <v>0</v>
      </c>
      <c r="K387" s="219">
        <v>20800000</v>
      </c>
      <c r="L387" s="218" t="s">
        <v>7791</v>
      </c>
      <c r="M387" s="218">
        <v>1</v>
      </c>
      <c r="N387" s="218" t="s">
        <v>1519</v>
      </c>
      <c r="O387" s="218" t="s">
        <v>376</v>
      </c>
      <c r="P387" s="218">
        <v>399</v>
      </c>
      <c r="Q387" s="218" t="s">
        <v>7771</v>
      </c>
      <c r="R387" s="220">
        <v>100</v>
      </c>
    </row>
    <row r="388" spans="1:18">
      <c r="A388" s="217">
        <v>67</v>
      </c>
      <c r="B388" s="218">
        <v>592015</v>
      </c>
      <c r="C388" s="218" t="s">
        <v>107</v>
      </c>
      <c r="D388" s="218" t="s">
        <v>7778</v>
      </c>
      <c r="E388" s="218" t="s">
        <v>7912</v>
      </c>
      <c r="F388" s="218" t="s">
        <v>7790</v>
      </c>
      <c r="G388" s="218" t="s">
        <v>7767</v>
      </c>
      <c r="H388" s="218">
        <v>1024</v>
      </c>
      <c r="I388" s="219">
        <v>20800000</v>
      </c>
      <c r="J388" s="219">
        <v>0</v>
      </c>
      <c r="K388" s="219">
        <v>20800000</v>
      </c>
      <c r="L388" s="218" t="s">
        <v>7791</v>
      </c>
      <c r="M388" s="218">
        <v>1</v>
      </c>
      <c r="N388" s="218" t="s">
        <v>376</v>
      </c>
      <c r="O388" s="218" t="s">
        <v>376</v>
      </c>
      <c r="P388" s="218">
        <v>399</v>
      </c>
      <c r="Q388" s="218" t="s">
        <v>7771</v>
      </c>
      <c r="R388" s="220">
        <v>100</v>
      </c>
    </row>
    <row r="389" spans="1:18">
      <c r="A389" s="217">
        <v>68</v>
      </c>
      <c r="B389" s="218">
        <v>592016</v>
      </c>
      <c r="C389" s="218" t="s">
        <v>107</v>
      </c>
      <c r="D389" s="218" t="s">
        <v>7778</v>
      </c>
      <c r="E389" s="218" t="s">
        <v>7912</v>
      </c>
      <c r="F389" s="218" t="s">
        <v>7790</v>
      </c>
      <c r="G389" s="218" t="s">
        <v>7767</v>
      </c>
      <c r="H389" s="218">
        <v>1024</v>
      </c>
      <c r="I389" s="219">
        <v>20800000</v>
      </c>
      <c r="J389" s="219">
        <v>0</v>
      </c>
      <c r="K389" s="219">
        <v>20800000</v>
      </c>
      <c r="L389" s="218" t="s">
        <v>7791</v>
      </c>
      <c r="M389" s="218">
        <v>1</v>
      </c>
      <c r="N389" s="218" t="s">
        <v>7913</v>
      </c>
      <c r="O389" s="218" t="s">
        <v>376</v>
      </c>
      <c r="P389" s="218">
        <v>399</v>
      </c>
      <c r="Q389" s="218" t="s">
        <v>7771</v>
      </c>
      <c r="R389" s="220">
        <v>100</v>
      </c>
    </row>
    <row r="390" spans="1:18">
      <c r="A390" s="217">
        <v>69</v>
      </c>
      <c r="B390" s="218">
        <v>592017</v>
      </c>
      <c r="C390" s="218" t="s">
        <v>107</v>
      </c>
      <c r="D390" s="218" t="s">
        <v>7778</v>
      </c>
      <c r="E390" s="218" t="s">
        <v>7914</v>
      </c>
      <c r="F390" s="218" t="s">
        <v>7790</v>
      </c>
      <c r="G390" s="218" t="s">
        <v>7767</v>
      </c>
      <c r="H390" s="218">
        <v>1024</v>
      </c>
      <c r="I390" s="219">
        <v>20800000</v>
      </c>
      <c r="J390" s="219">
        <v>0</v>
      </c>
      <c r="K390" s="219">
        <v>20800000</v>
      </c>
      <c r="L390" s="218" t="s">
        <v>7791</v>
      </c>
      <c r="M390" s="218">
        <v>1</v>
      </c>
      <c r="N390" s="218" t="s">
        <v>396</v>
      </c>
      <c r="O390" s="218" t="s">
        <v>376</v>
      </c>
      <c r="P390" s="218">
        <v>399</v>
      </c>
      <c r="Q390" s="218" t="s">
        <v>7771</v>
      </c>
      <c r="R390" s="220">
        <v>100</v>
      </c>
    </row>
    <row r="391" spans="1:18">
      <c r="A391" s="217">
        <v>70</v>
      </c>
      <c r="B391" s="218">
        <v>592019</v>
      </c>
      <c r="C391" s="218" t="s">
        <v>107</v>
      </c>
      <c r="D391" s="218" t="s">
        <v>7778</v>
      </c>
      <c r="E391" s="218" t="s">
        <v>7915</v>
      </c>
      <c r="F391" s="218" t="s">
        <v>7790</v>
      </c>
      <c r="G391" s="218" t="s">
        <v>7767</v>
      </c>
      <c r="H391" s="218">
        <v>1024</v>
      </c>
      <c r="I391" s="219">
        <v>20800000</v>
      </c>
      <c r="J391" s="219">
        <v>0</v>
      </c>
      <c r="K391" s="219">
        <v>20800000</v>
      </c>
      <c r="L391" s="218" t="s">
        <v>7791</v>
      </c>
      <c r="M391" s="218">
        <v>1</v>
      </c>
      <c r="N391" s="218" t="s">
        <v>7899</v>
      </c>
      <c r="O391" s="218" t="s">
        <v>376</v>
      </c>
      <c r="P391" s="218">
        <v>399</v>
      </c>
      <c r="Q391" s="218" t="s">
        <v>7771</v>
      </c>
      <c r="R391" s="220">
        <v>100</v>
      </c>
    </row>
    <row r="392" spans="1:18">
      <c r="A392" s="217">
        <v>71</v>
      </c>
      <c r="B392" s="218">
        <v>592020</v>
      </c>
      <c r="C392" s="218" t="s">
        <v>107</v>
      </c>
      <c r="D392" s="218" t="s">
        <v>7778</v>
      </c>
      <c r="E392" s="218" t="s">
        <v>7916</v>
      </c>
      <c r="F392" s="218" t="s">
        <v>7790</v>
      </c>
      <c r="G392" s="218" t="s">
        <v>7767</v>
      </c>
      <c r="H392" s="218">
        <v>1024</v>
      </c>
      <c r="I392" s="219">
        <v>20800000</v>
      </c>
      <c r="J392" s="219">
        <v>0</v>
      </c>
      <c r="K392" s="219">
        <v>20800000</v>
      </c>
      <c r="L392" s="218" t="s">
        <v>7791</v>
      </c>
      <c r="M392" s="218">
        <v>1</v>
      </c>
      <c r="N392" s="218" t="s">
        <v>404</v>
      </c>
      <c r="O392" s="218" t="s">
        <v>376</v>
      </c>
      <c r="P392" s="218">
        <v>399</v>
      </c>
      <c r="Q392" s="218" t="s">
        <v>7771</v>
      </c>
      <c r="R392" s="220">
        <v>100</v>
      </c>
    </row>
    <row r="393" spans="1:18">
      <c r="A393" s="217">
        <v>85</v>
      </c>
      <c r="B393" s="218">
        <v>607214</v>
      </c>
      <c r="C393" s="218" t="s">
        <v>107</v>
      </c>
      <c r="D393" s="218" t="s">
        <v>7778</v>
      </c>
      <c r="E393" s="218" t="s">
        <v>7946</v>
      </c>
      <c r="F393" s="218" t="s">
        <v>7790</v>
      </c>
      <c r="G393" s="218" t="s">
        <v>7767</v>
      </c>
      <c r="H393" s="218">
        <v>1024</v>
      </c>
      <c r="I393" s="219">
        <v>20800000</v>
      </c>
      <c r="J393" s="219">
        <v>0</v>
      </c>
      <c r="K393" s="219">
        <v>20800000</v>
      </c>
      <c r="L393" s="218" t="s">
        <v>7791</v>
      </c>
      <c r="M393" s="218">
        <v>1</v>
      </c>
      <c r="N393" s="218" t="s">
        <v>1507</v>
      </c>
      <c r="O393" s="218" t="s">
        <v>7940</v>
      </c>
      <c r="P393" s="218">
        <v>399</v>
      </c>
      <c r="Q393" s="218" t="s">
        <v>7771</v>
      </c>
      <c r="R393" s="220">
        <v>100</v>
      </c>
    </row>
    <row r="394" spans="1:18">
      <c r="A394" s="217">
        <v>86</v>
      </c>
      <c r="B394" s="218">
        <v>607217</v>
      </c>
      <c r="C394" s="218" t="s">
        <v>107</v>
      </c>
      <c r="D394" s="218" t="s">
        <v>7778</v>
      </c>
      <c r="E394" s="218" t="s">
        <v>7947</v>
      </c>
      <c r="F394" s="218" t="s">
        <v>7790</v>
      </c>
      <c r="G394" s="218" t="s">
        <v>7767</v>
      </c>
      <c r="H394" s="218">
        <v>1024</v>
      </c>
      <c r="I394" s="219">
        <v>20800000</v>
      </c>
      <c r="J394" s="219">
        <v>0</v>
      </c>
      <c r="K394" s="219">
        <v>20800000</v>
      </c>
      <c r="L394" s="218" t="s">
        <v>7791</v>
      </c>
      <c r="M394" s="218">
        <v>1</v>
      </c>
      <c r="N394" s="218" t="s">
        <v>1513</v>
      </c>
      <c r="O394" s="218" t="s">
        <v>7940</v>
      </c>
      <c r="P394" s="218">
        <v>399</v>
      </c>
      <c r="Q394" s="218" t="s">
        <v>7771</v>
      </c>
      <c r="R394" s="220">
        <v>100</v>
      </c>
    </row>
    <row r="395" spans="1:18">
      <c r="A395" s="217">
        <v>87</v>
      </c>
      <c r="B395" s="218">
        <v>611971</v>
      </c>
      <c r="C395" s="218" t="s">
        <v>107</v>
      </c>
      <c r="D395" s="218" t="s">
        <v>7778</v>
      </c>
      <c r="E395" s="218" t="s">
        <v>7948</v>
      </c>
      <c r="F395" s="218" t="s">
        <v>7790</v>
      </c>
      <c r="G395" s="218" t="s">
        <v>7767</v>
      </c>
      <c r="H395" s="218">
        <v>1024</v>
      </c>
      <c r="I395" s="219">
        <v>20800000</v>
      </c>
      <c r="J395" s="219">
        <v>0</v>
      </c>
      <c r="K395" s="219">
        <v>20800000</v>
      </c>
      <c r="L395" s="218" t="s">
        <v>7791</v>
      </c>
      <c r="M395" s="218">
        <v>1</v>
      </c>
      <c r="N395" s="218" t="s">
        <v>7949</v>
      </c>
      <c r="O395" s="218" t="s">
        <v>7940</v>
      </c>
      <c r="P395" s="218">
        <v>399</v>
      </c>
      <c r="Q395" s="218" t="s">
        <v>7771</v>
      </c>
      <c r="R395" s="220">
        <v>100</v>
      </c>
    </row>
    <row r="396" spans="1:18">
      <c r="A396" s="217">
        <v>98</v>
      </c>
      <c r="B396" s="218">
        <v>594798</v>
      </c>
      <c r="C396" s="218" t="s">
        <v>107</v>
      </c>
      <c r="D396" s="218" t="s">
        <v>7778</v>
      </c>
      <c r="E396" s="218" t="s">
        <v>7978</v>
      </c>
      <c r="F396" s="218" t="s">
        <v>7790</v>
      </c>
      <c r="G396" s="218" t="s">
        <v>7767</v>
      </c>
      <c r="H396" s="218">
        <v>1024</v>
      </c>
      <c r="I396" s="219">
        <v>20800000</v>
      </c>
      <c r="J396" s="219">
        <v>0</v>
      </c>
      <c r="K396" s="219">
        <v>20800000</v>
      </c>
      <c r="L396" s="218" t="s">
        <v>7791</v>
      </c>
      <c r="M396" s="218">
        <v>1</v>
      </c>
      <c r="N396" s="218" t="s">
        <v>7979</v>
      </c>
      <c r="O396" s="218" t="s">
        <v>7954</v>
      </c>
      <c r="P396" s="218">
        <v>399</v>
      </c>
      <c r="Q396" s="218" t="s">
        <v>7771</v>
      </c>
      <c r="R396" s="220">
        <v>100</v>
      </c>
    </row>
    <row r="397" spans="1:18">
      <c r="A397" s="217">
        <v>99</v>
      </c>
      <c r="B397" s="218">
        <v>594799</v>
      </c>
      <c r="C397" s="218" t="s">
        <v>107</v>
      </c>
      <c r="D397" s="218" t="s">
        <v>7778</v>
      </c>
      <c r="E397" s="218" t="s">
        <v>7980</v>
      </c>
      <c r="F397" s="218" t="s">
        <v>7790</v>
      </c>
      <c r="G397" s="218" t="s">
        <v>7767</v>
      </c>
      <c r="H397" s="218">
        <v>1024</v>
      </c>
      <c r="I397" s="219">
        <v>20800000</v>
      </c>
      <c r="J397" s="219">
        <v>0</v>
      </c>
      <c r="K397" s="219">
        <v>20800000</v>
      </c>
      <c r="L397" s="218" t="s">
        <v>7791</v>
      </c>
      <c r="M397" s="218">
        <v>1</v>
      </c>
      <c r="N397" s="218" t="s">
        <v>7981</v>
      </c>
      <c r="O397" s="218" t="s">
        <v>7954</v>
      </c>
      <c r="P397" s="218">
        <v>399</v>
      </c>
      <c r="Q397" s="218" t="s">
        <v>7771</v>
      </c>
      <c r="R397" s="220">
        <v>100</v>
      </c>
    </row>
    <row r="398" spans="1:18">
      <c r="A398" s="217">
        <v>100</v>
      </c>
      <c r="B398" s="218">
        <v>596859</v>
      </c>
      <c r="C398" s="218" t="s">
        <v>107</v>
      </c>
      <c r="D398" s="218" t="s">
        <v>7778</v>
      </c>
      <c r="E398" s="218" t="s">
        <v>7982</v>
      </c>
      <c r="F398" s="218" t="s">
        <v>7790</v>
      </c>
      <c r="G398" s="218" t="s">
        <v>7767</v>
      </c>
      <c r="H398" s="218">
        <v>1024</v>
      </c>
      <c r="I398" s="219">
        <v>20800000</v>
      </c>
      <c r="J398" s="219">
        <v>0</v>
      </c>
      <c r="K398" s="219">
        <v>20800000</v>
      </c>
      <c r="L398" s="218" t="s">
        <v>7791</v>
      </c>
      <c r="M398" s="218">
        <v>1</v>
      </c>
      <c r="N398" s="218" t="s">
        <v>7983</v>
      </c>
      <c r="O398" s="218" t="s">
        <v>7954</v>
      </c>
      <c r="P398" s="218">
        <v>399</v>
      </c>
      <c r="Q398" s="218" t="s">
        <v>7771</v>
      </c>
      <c r="R398" s="220">
        <v>100</v>
      </c>
    </row>
    <row r="399" spans="1:18">
      <c r="A399" s="217">
        <v>101</v>
      </c>
      <c r="B399" s="218">
        <v>596861</v>
      </c>
      <c r="C399" s="218" t="s">
        <v>107</v>
      </c>
      <c r="D399" s="218" t="s">
        <v>7778</v>
      </c>
      <c r="E399" s="218" t="s">
        <v>7984</v>
      </c>
      <c r="F399" s="218" t="s">
        <v>7790</v>
      </c>
      <c r="G399" s="218" t="s">
        <v>7767</v>
      </c>
      <c r="H399" s="218">
        <v>1024</v>
      </c>
      <c r="I399" s="219">
        <v>20800000</v>
      </c>
      <c r="J399" s="219">
        <v>0</v>
      </c>
      <c r="K399" s="219">
        <v>20800000</v>
      </c>
      <c r="L399" s="218" t="s">
        <v>7791</v>
      </c>
      <c r="M399" s="218">
        <v>1</v>
      </c>
      <c r="N399" s="218" t="s">
        <v>7985</v>
      </c>
      <c r="O399" s="218" t="s">
        <v>7954</v>
      </c>
      <c r="P399" s="218">
        <v>399</v>
      </c>
      <c r="Q399" s="218" t="s">
        <v>7771</v>
      </c>
      <c r="R399" s="220">
        <v>100</v>
      </c>
    </row>
    <row r="400" spans="1:18">
      <c r="A400" s="217">
        <v>102</v>
      </c>
      <c r="B400" s="218">
        <v>596923</v>
      </c>
      <c r="C400" s="218" t="s">
        <v>107</v>
      </c>
      <c r="D400" s="218" t="s">
        <v>7778</v>
      </c>
      <c r="E400" s="218" t="s">
        <v>7986</v>
      </c>
      <c r="F400" s="218" t="s">
        <v>7790</v>
      </c>
      <c r="G400" s="218" t="s">
        <v>7767</v>
      </c>
      <c r="H400" s="218">
        <v>1024</v>
      </c>
      <c r="I400" s="219">
        <v>20800000</v>
      </c>
      <c r="J400" s="219">
        <v>0</v>
      </c>
      <c r="K400" s="219">
        <v>20800000</v>
      </c>
      <c r="L400" s="218" t="s">
        <v>7791</v>
      </c>
      <c r="M400" s="218">
        <v>1</v>
      </c>
      <c r="N400" s="218" t="s">
        <v>7987</v>
      </c>
      <c r="O400" s="218" t="s">
        <v>7954</v>
      </c>
      <c r="P400" s="218">
        <v>399</v>
      </c>
      <c r="Q400" s="218" t="s">
        <v>7771</v>
      </c>
      <c r="R400" s="220">
        <v>100</v>
      </c>
    </row>
    <row r="401" spans="1:18">
      <c r="A401" s="217">
        <v>196</v>
      </c>
      <c r="B401" s="218">
        <v>9902215976</v>
      </c>
      <c r="C401" s="218" t="s">
        <v>107</v>
      </c>
      <c r="D401" s="218" t="s">
        <v>7778</v>
      </c>
      <c r="E401" s="218" t="s">
        <v>8176</v>
      </c>
      <c r="F401" s="218" t="s">
        <v>7790</v>
      </c>
      <c r="G401" s="218" t="s">
        <v>7767</v>
      </c>
      <c r="H401" s="218">
        <v>1024</v>
      </c>
      <c r="I401" s="219">
        <v>20800000</v>
      </c>
      <c r="J401" s="219">
        <v>0</v>
      </c>
      <c r="K401" s="219">
        <v>20800000</v>
      </c>
      <c r="L401" s="218" t="s">
        <v>7791</v>
      </c>
      <c r="M401" s="218">
        <v>1</v>
      </c>
      <c r="N401" s="218" t="s">
        <v>8177</v>
      </c>
      <c r="O401" s="218" t="s">
        <v>7993</v>
      </c>
      <c r="P401" s="218">
        <v>399</v>
      </c>
      <c r="Q401" s="218" t="s">
        <v>7771</v>
      </c>
      <c r="R401" s="220">
        <v>100</v>
      </c>
    </row>
    <row r="402" spans="1:18">
      <c r="A402" s="217">
        <v>197</v>
      </c>
      <c r="B402" s="218">
        <v>9902216030</v>
      </c>
      <c r="C402" s="218" t="s">
        <v>107</v>
      </c>
      <c r="D402" s="218" t="s">
        <v>7778</v>
      </c>
      <c r="E402" s="218" t="s">
        <v>8178</v>
      </c>
      <c r="F402" s="218" t="s">
        <v>7790</v>
      </c>
      <c r="G402" s="218" t="s">
        <v>7767</v>
      </c>
      <c r="H402" s="218">
        <v>1024</v>
      </c>
      <c r="I402" s="219">
        <v>20800000</v>
      </c>
      <c r="J402" s="219">
        <v>0</v>
      </c>
      <c r="K402" s="219">
        <v>20800000</v>
      </c>
      <c r="L402" s="218" t="s">
        <v>7791</v>
      </c>
      <c r="M402" s="218">
        <v>1</v>
      </c>
      <c r="N402" s="218" t="s">
        <v>8179</v>
      </c>
      <c r="O402" s="218" t="s">
        <v>7993</v>
      </c>
      <c r="P402" s="218">
        <v>399</v>
      </c>
      <c r="Q402" s="218" t="s">
        <v>7771</v>
      </c>
      <c r="R402" s="220">
        <v>100</v>
      </c>
    </row>
    <row r="403" spans="1:18">
      <c r="A403" s="217">
        <v>198</v>
      </c>
      <c r="B403" s="218">
        <v>9902216039</v>
      </c>
      <c r="C403" s="218" t="s">
        <v>107</v>
      </c>
      <c r="D403" s="218" t="s">
        <v>7778</v>
      </c>
      <c r="E403" s="218" t="s">
        <v>8180</v>
      </c>
      <c r="F403" s="218" t="s">
        <v>7790</v>
      </c>
      <c r="G403" s="218" t="s">
        <v>7767</v>
      </c>
      <c r="H403" s="218">
        <v>1024</v>
      </c>
      <c r="I403" s="219">
        <v>20800000</v>
      </c>
      <c r="J403" s="219">
        <v>0</v>
      </c>
      <c r="K403" s="219">
        <v>20800000</v>
      </c>
      <c r="L403" s="218" t="s">
        <v>7791</v>
      </c>
      <c r="M403" s="218">
        <v>1</v>
      </c>
      <c r="N403" s="218" t="s">
        <v>8181</v>
      </c>
      <c r="O403" s="218" t="s">
        <v>7993</v>
      </c>
      <c r="P403" s="218">
        <v>399</v>
      </c>
      <c r="Q403" s="218" t="s">
        <v>7771</v>
      </c>
      <c r="R403" s="220">
        <v>100</v>
      </c>
    </row>
    <row r="404" spans="1:18">
      <c r="A404" s="217">
        <v>199</v>
      </c>
      <c r="B404" s="218">
        <v>9902216041</v>
      </c>
      <c r="C404" s="218" t="s">
        <v>107</v>
      </c>
      <c r="D404" s="218" t="s">
        <v>7778</v>
      </c>
      <c r="E404" s="218" t="s">
        <v>8182</v>
      </c>
      <c r="F404" s="218" t="s">
        <v>7790</v>
      </c>
      <c r="G404" s="218" t="s">
        <v>7767</v>
      </c>
      <c r="H404" s="218">
        <v>1024</v>
      </c>
      <c r="I404" s="219">
        <v>20800000</v>
      </c>
      <c r="J404" s="219">
        <v>0</v>
      </c>
      <c r="K404" s="219">
        <v>20800000</v>
      </c>
      <c r="L404" s="218" t="s">
        <v>7791</v>
      </c>
      <c r="M404" s="218">
        <v>1</v>
      </c>
      <c r="N404" s="218" t="s">
        <v>8183</v>
      </c>
      <c r="O404" s="218" t="s">
        <v>7993</v>
      </c>
      <c r="P404" s="218">
        <v>399</v>
      </c>
      <c r="Q404" s="218" t="s">
        <v>7771</v>
      </c>
      <c r="R404" s="220">
        <v>100</v>
      </c>
    </row>
    <row r="405" spans="1:18">
      <c r="A405" s="217">
        <v>200</v>
      </c>
      <c r="B405" s="218">
        <v>9902216046</v>
      </c>
      <c r="C405" s="218" t="s">
        <v>107</v>
      </c>
      <c r="D405" s="218" t="s">
        <v>7778</v>
      </c>
      <c r="E405" s="218" t="s">
        <v>8184</v>
      </c>
      <c r="F405" s="218" t="s">
        <v>7790</v>
      </c>
      <c r="G405" s="218" t="s">
        <v>7767</v>
      </c>
      <c r="H405" s="218">
        <v>1024</v>
      </c>
      <c r="I405" s="219">
        <v>20800000</v>
      </c>
      <c r="J405" s="219">
        <v>0</v>
      </c>
      <c r="K405" s="219">
        <v>20800000</v>
      </c>
      <c r="L405" s="218" t="s">
        <v>7791</v>
      </c>
      <c r="M405" s="218">
        <v>1</v>
      </c>
      <c r="N405" s="218" t="s">
        <v>8185</v>
      </c>
      <c r="O405" s="218" t="s">
        <v>7993</v>
      </c>
      <c r="P405" s="218">
        <v>399</v>
      </c>
      <c r="Q405" s="218" t="s">
        <v>7771</v>
      </c>
      <c r="R405" s="220">
        <v>100</v>
      </c>
    </row>
    <row r="406" spans="1:18">
      <c r="A406" s="217">
        <v>201</v>
      </c>
      <c r="B406" s="218">
        <v>9902216051</v>
      </c>
      <c r="C406" s="218" t="s">
        <v>107</v>
      </c>
      <c r="D406" s="218" t="s">
        <v>7778</v>
      </c>
      <c r="E406" s="218" t="s">
        <v>8186</v>
      </c>
      <c r="F406" s="218" t="s">
        <v>7790</v>
      </c>
      <c r="G406" s="218" t="s">
        <v>7767</v>
      </c>
      <c r="H406" s="218">
        <v>1024</v>
      </c>
      <c r="I406" s="219">
        <v>20800000</v>
      </c>
      <c r="J406" s="219">
        <v>0</v>
      </c>
      <c r="K406" s="219">
        <v>20800000</v>
      </c>
      <c r="L406" s="218" t="s">
        <v>7791</v>
      </c>
      <c r="M406" s="218">
        <v>1</v>
      </c>
      <c r="N406" s="218" t="s">
        <v>8187</v>
      </c>
      <c r="O406" s="218" t="s">
        <v>7993</v>
      </c>
      <c r="P406" s="218">
        <v>399</v>
      </c>
      <c r="Q406" s="218" t="s">
        <v>7771</v>
      </c>
      <c r="R406" s="220">
        <v>100</v>
      </c>
    </row>
    <row r="407" spans="1:18">
      <c r="A407" s="217">
        <v>202</v>
      </c>
      <c r="B407" s="218">
        <v>9902216057</v>
      </c>
      <c r="C407" s="218" t="s">
        <v>107</v>
      </c>
      <c r="D407" s="218" t="s">
        <v>7778</v>
      </c>
      <c r="E407" s="218" t="s">
        <v>8188</v>
      </c>
      <c r="F407" s="218" t="s">
        <v>7790</v>
      </c>
      <c r="G407" s="218" t="s">
        <v>7767</v>
      </c>
      <c r="H407" s="218">
        <v>1024</v>
      </c>
      <c r="I407" s="219">
        <v>20800000</v>
      </c>
      <c r="J407" s="219">
        <v>0</v>
      </c>
      <c r="K407" s="219">
        <v>20800000</v>
      </c>
      <c r="L407" s="218" t="s">
        <v>7791</v>
      </c>
      <c r="M407" s="218">
        <v>1</v>
      </c>
      <c r="N407" s="218" t="s">
        <v>8189</v>
      </c>
      <c r="O407" s="218" t="s">
        <v>7993</v>
      </c>
      <c r="P407" s="218">
        <v>399</v>
      </c>
      <c r="Q407" s="218" t="s">
        <v>7771</v>
      </c>
      <c r="R407" s="220">
        <v>100</v>
      </c>
    </row>
    <row r="408" spans="1:18">
      <c r="A408" s="217">
        <v>203</v>
      </c>
      <c r="B408" s="218">
        <v>9902215984</v>
      </c>
      <c r="C408" s="218" t="s">
        <v>107</v>
      </c>
      <c r="D408" s="218" t="s">
        <v>7778</v>
      </c>
      <c r="E408" s="218" t="s">
        <v>8190</v>
      </c>
      <c r="F408" s="218" t="s">
        <v>7790</v>
      </c>
      <c r="G408" s="218" t="s">
        <v>7767</v>
      </c>
      <c r="H408" s="218">
        <v>1024</v>
      </c>
      <c r="I408" s="219">
        <v>20800000</v>
      </c>
      <c r="J408" s="219">
        <v>0</v>
      </c>
      <c r="K408" s="219">
        <v>20800000</v>
      </c>
      <c r="L408" s="218" t="s">
        <v>7791</v>
      </c>
      <c r="M408" s="218">
        <v>1</v>
      </c>
      <c r="N408" s="218" t="s">
        <v>8191</v>
      </c>
      <c r="O408" s="218" t="s">
        <v>7993</v>
      </c>
      <c r="P408" s="218">
        <v>399</v>
      </c>
      <c r="Q408" s="218" t="s">
        <v>7771</v>
      </c>
      <c r="R408" s="220">
        <v>100</v>
      </c>
    </row>
    <row r="409" spans="1:18">
      <c r="A409" s="217">
        <v>204</v>
      </c>
      <c r="B409" s="218">
        <v>9902215991</v>
      </c>
      <c r="C409" s="218" t="s">
        <v>107</v>
      </c>
      <c r="D409" s="218" t="s">
        <v>7778</v>
      </c>
      <c r="E409" s="218" t="s">
        <v>8186</v>
      </c>
      <c r="F409" s="218" t="s">
        <v>7790</v>
      </c>
      <c r="G409" s="218" t="s">
        <v>7767</v>
      </c>
      <c r="H409" s="218">
        <v>1024</v>
      </c>
      <c r="I409" s="219">
        <v>20800000</v>
      </c>
      <c r="J409" s="219">
        <v>0</v>
      </c>
      <c r="K409" s="219">
        <v>20800000</v>
      </c>
      <c r="L409" s="218" t="s">
        <v>7791</v>
      </c>
      <c r="M409" s="218">
        <v>1</v>
      </c>
      <c r="N409" s="218" t="s">
        <v>8192</v>
      </c>
      <c r="O409" s="218" t="s">
        <v>7993</v>
      </c>
      <c r="P409" s="218">
        <v>399</v>
      </c>
      <c r="Q409" s="218" t="s">
        <v>7771</v>
      </c>
      <c r="R409" s="220">
        <v>100</v>
      </c>
    </row>
    <row r="410" spans="1:18">
      <c r="A410" s="217">
        <v>205</v>
      </c>
      <c r="B410" s="218">
        <v>9902216016</v>
      </c>
      <c r="C410" s="218" t="s">
        <v>107</v>
      </c>
      <c r="D410" s="218" t="s">
        <v>7778</v>
      </c>
      <c r="E410" s="218" t="s">
        <v>8193</v>
      </c>
      <c r="F410" s="218" t="s">
        <v>7790</v>
      </c>
      <c r="G410" s="218" t="s">
        <v>7767</v>
      </c>
      <c r="H410" s="218">
        <v>1024</v>
      </c>
      <c r="I410" s="219">
        <v>20800000</v>
      </c>
      <c r="J410" s="219">
        <v>0</v>
      </c>
      <c r="K410" s="219">
        <v>20800000</v>
      </c>
      <c r="L410" s="218" t="s">
        <v>7791</v>
      </c>
      <c r="M410" s="218">
        <v>1</v>
      </c>
      <c r="N410" s="218" t="s">
        <v>8194</v>
      </c>
      <c r="O410" s="218" t="s">
        <v>7993</v>
      </c>
      <c r="P410" s="218">
        <v>399</v>
      </c>
      <c r="Q410" s="218" t="s">
        <v>7771</v>
      </c>
      <c r="R410" s="220">
        <v>100</v>
      </c>
    </row>
    <row r="411" spans="1:18">
      <c r="A411" s="217">
        <v>206</v>
      </c>
      <c r="B411" s="218">
        <v>9902216065</v>
      </c>
      <c r="C411" s="218" t="s">
        <v>107</v>
      </c>
      <c r="D411" s="218" t="s">
        <v>7778</v>
      </c>
      <c r="E411" s="218" t="s">
        <v>8195</v>
      </c>
      <c r="F411" s="218" t="s">
        <v>7790</v>
      </c>
      <c r="G411" s="218" t="s">
        <v>7767</v>
      </c>
      <c r="H411" s="218">
        <v>1024</v>
      </c>
      <c r="I411" s="219">
        <v>20800000</v>
      </c>
      <c r="J411" s="219">
        <v>0</v>
      </c>
      <c r="K411" s="219">
        <v>20800000</v>
      </c>
      <c r="L411" s="218" t="s">
        <v>7791</v>
      </c>
      <c r="M411" s="218">
        <v>1</v>
      </c>
      <c r="N411" s="218" t="s">
        <v>8196</v>
      </c>
      <c r="O411" s="218" t="s">
        <v>7993</v>
      </c>
      <c r="P411" s="218">
        <v>399</v>
      </c>
      <c r="Q411" s="218" t="s">
        <v>7771</v>
      </c>
      <c r="R411" s="220">
        <v>100</v>
      </c>
    </row>
    <row r="412" spans="1:18">
      <c r="A412" s="217">
        <v>207</v>
      </c>
      <c r="B412" s="218">
        <v>9902216067</v>
      </c>
      <c r="C412" s="218" t="s">
        <v>107</v>
      </c>
      <c r="D412" s="218" t="s">
        <v>7778</v>
      </c>
      <c r="E412" s="218" t="s">
        <v>8197</v>
      </c>
      <c r="F412" s="218" t="s">
        <v>7790</v>
      </c>
      <c r="G412" s="218" t="s">
        <v>7767</v>
      </c>
      <c r="H412" s="218">
        <v>1024</v>
      </c>
      <c r="I412" s="219">
        <v>20800000</v>
      </c>
      <c r="J412" s="219">
        <v>0</v>
      </c>
      <c r="K412" s="219">
        <v>20800000</v>
      </c>
      <c r="L412" s="218" t="s">
        <v>7791</v>
      </c>
      <c r="M412" s="218">
        <v>1</v>
      </c>
      <c r="N412" s="218" t="s">
        <v>8198</v>
      </c>
      <c r="O412" s="218" t="s">
        <v>7993</v>
      </c>
      <c r="P412" s="218">
        <v>399</v>
      </c>
      <c r="Q412" s="218" t="s">
        <v>7771</v>
      </c>
      <c r="R412" s="220">
        <v>100</v>
      </c>
    </row>
    <row r="413" spans="1:18">
      <c r="A413" s="217">
        <v>208</v>
      </c>
      <c r="B413" s="218">
        <v>9902216083</v>
      </c>
      <c r="C413" s="218" t="s">
        <v>107</v>
      </c>
      <c r="D413" s="218" t="s">
        <v>7778</v>
      </c>
      <c r="E413" s="218" t="s">
        <v>8199</v>
      </c>
      <c r="F413" s="218" t="s">
        <v>7790</v>
      </c>
      <c r="G413" s="218" t="s">
        <v>7767</v>
      </c>
      <c r="H413" s="218">
        <v>1024</v>
      </c>
      <c r="I413" s="219">
        <v>20800000</v>
      </c>
      <c r="J413" s="219">
        <v>0</v>
      </c>
      <c r="K413" s="219">
        <v>20800000</v>
      </c>
      <c r="L413" s="218" t="s">
        <v>7791</v>
      </c>
      <c r="M413" s="218">
        <v>1</v>
      </c>
      <c r="N413" s="218" t="s">
        <v>8200</v>
      </c>
      <c r="O413" s="218" t="s">
        <v>7993</v>
      </c>
      <c r="P413" s="218">
        <v>399</v>
      </c>
      <c r="Q413" s="218" t="s">
        <v>7771</v>
      </c>
      <c r="R413" s="220">
        <v>100</v>
      </c>
    </row>
    <row r="414" spans="1:18">
      <c r="A414" s="217">
        <v>209</v>
      </c>
      <c r="B414" s="218">
        <v>9902216084</v>
      </c>
      <c r="C414" s="218" t="s">
        <v>107</v>
      </c>
      <c r="D414" s="218" t="s">
        <v>7778</v>
      </c>
      <c r="E414" s="218" t="s">
        <v>8201</v>
      </c>
      <c r="F414" s="218" t="s">
        <v>7790</v>
      </c>
      <c r="G414" s="218" t="s">
        <v>7767</v>
      </c>
      <c r="H414" s="218">
        <v>1024</v>
      </c>
      <c r="I414" s="219">
        <v>20800000</v>
      </c>
      <c r="J414" s="219">
        <v>0</v>
      </c>
      <c r="K414" s="219">
        <v>20800000</v>
      </c>
      <c r="L414" s="218" t="s">
        <v>7791</v>
      </c>
      <c r="M414" s="218">
        <v>1</v>
      </c>
      <c r="N414" s="218" t="s">
        <v>8202</v>
      </c>
      <c r="O414" s="218" t="s">
        <v>7993</v>
      </c>
      <c r="P414" s="218">
        <v>399</v>
      </c>
      <c r="Q414" s="218" t="s">
        <v>7771</v>
      </c>
      <c r="R414" s="220">
        <v>100</v>
      </c>
    </row>
    <row r="415" spans="1:18">
      <c r="A415" s="217">
        <v>210</v>
      </c>
      <c r="B415" s="218">
        <v>9902216085</v>
      </c>
      <c r="C415" s="218" t="s">
        <v>107</v>
      </c>
      <c r="D415" s="218" t="s">
        <v>7778</v>
      </c>
      <c r="E415" s="218" t="s">
        <v>8203</v>
      </c>
      <c r="F415" s="218" t="s">
        <v>7790</v>
      </c>
      <c r="G415" s="218" t="s">
        <v>7767</v>
      </c>
      <c r="H415" s="218">
        <v>1024</v>
      </c>
      <c r="I415" s="219">
        <v>20800000</v>
      </c>
      <c r="J415" s="219">
        <v>0</v>
      </c>
      <c r="K415" s="219">
        <v>20800000</v>
      </c>
      <c r="L415" s="218" t="s">
        <v>7791</v>
      </c>
      <c r="M415" s="218">
        <v>1</v>
      </c>
      <c r="N415" s="218" t="s">
        <v>8100</v>
      </c>
      <c r="O415" s="218" t="s">
        <v>7993</v>
      </c>
      <c r="P415" s="218">
        <v>399</v>
      </c>
      <c r="Q415" s="218" t="s">
        <v>7771</v>
      </c>
      <c r="R415" s="220">
        <v>100</v>
      </c>
    </row>
    <row r="416" spans="1:18">
      <c r="A416" s="217">
        <v>211</v>
      </c>
      <c r="B416" s="218">
        <v>9902216092</v>
      </c>
      <c r="C416" s="218" t="s">
        <v>107</v>
      </c>
      <c r="D416" s="218" t="s">
        <v>7778</v>
      </c>
      <c r="E416" s="218" t="s">
        <v>8204</v>
      </c>
      <c r="F416" s="218" t="s">
        <v>7790</v>
      </c>
      <c r="G416" s="218" t="s">
        <v>7767</v>
      </c>
      <c r="H416" s="218">
        <v>1024</v>
      </c>
      <c r="I416" s="219">
        <v>20800000</v>
      </c>
      <c r="J416" s="219">
        <v>0</v>
      </c>
      <c r="K416" s="219">
        <v>20800000</v>
      </c>
      <c r="L416" s="218" t="s">
        <v>7791</v>
      </c>
      <c r="M416" s="218">
        <v>1</v>
      </c>
      <c r="N416" s="218" t="s">
        <v>8205</v>
      </c>
      <c r="O416" s="218" t="s">
        <v>7993</v>
      </c>
      <c r="P416" s="218">
        <v>399</v>
      </c>
      <c r="Q416" s="218" t="s">
        <v>7771</v>
      </c>
      <c r="R416" s="220">
        <v>100</v>
      </c>
    </row>
    <row r="417" spans="1:18">
      <c r="A417" s="217">
        <v>212</v>
      </c>
      <c r="B417" s="218">
        <v>9902216095</v>
      </c>
      <c r="C417" s="218" t="s">
        <v>107</v>
      </c>
      <c r="D417" s="218" t="s">
        <v>7778</v>
      </c>
      <c r="E417" s="218" t="s">
        <v>8206</v>
      </c>
      <c r="F417" s="218" t="s">
        <v>7790</v>
      </c>
      <c r="G417" s="218" t="s">
        <v>7767</v>
      </c>
      <c r="H417" s="218">
        <v>1024</v>
      </c>
      <c r="I417" s="219">
        <v>20800000</v>
      </c>
      <c r="J417" s="219">
        <v>0</v>
      </c>
      <c r="K417" s="219">
        <v>20800000</v>
      </c>
      <c r="L417" s="218" t="s">
        <v>7791</v>
      </c>
      <c r="M417" s="218">
        <v>1</v>
      </c>
      <c r="N417" s="218" t="s">
        <v>8207</v>
      </c>
      <c r="O417" s="218" t="s">
        <v>7993</v>
      </c>
      <c r="P417" s="218">
        <v>399</v>
      </c>
      <c r="Q417" s="218" t="s">
        <v>7771</v>
      </c>
      <c r="R417" s="220">
        <v>100</v>
      </c>
    </row>
    <row r="418" spans="1:18">
      <c r="A418" s="217">
        <v>213</v>
      </c>
      <c r="B418" s="218">
        <v>9902216101</v>
      </c>
      <c r="C418" s="218" t="s">
        <v>107</v>
      </c>
      <c r="D418" s="218" t="s">
        <v>7778</v>
      </c>
      <c r="E418" s="218" t="s">
        <v>8208</v>
      </c>
      <c r="F418" s="218" t="s">
        <v>7790</v>
      </c>
      <c r="G418" s="218" t="s">
        <v>7767</v>
      </c>
      <c r="H418" s="218">
        <v>1024</v>
      </c>
      <c r="I418" s="219">
        <v>20800000</v>
      </c>
      <c r="J418" s="219">
        <v>0</v>
      </c>
      <c r="K418" s="219">
        <v>20800000</v>
      </c>
      <c r="L418" s="218" t="s">
        <v>7791</v>
      </c>
      <c r="M418" s="218">
        <v>1</v>
      </c>
      <c r="N418" s="218" t="s">
        <v>8209</v>
      </c>
      <c r="O418" s="218" t="s">
        <v>7993</v>
      </c>
      <c r="P418" s="218">
        <v>399</v>
      </c>
      <c r="Q418" s="218" t="s">
        <v>7771</v>
      </c>
      <c r="R418" s="220">
        <v>100</v>
      </c>
    </row>
    <row r="419" spans="1:18">
      <c r="A419" s="217">
        <v>214</v>
      </c>
      <c r="B419" s="218">
        <v>9902216106</v>
      </c>
      <c r="C419" s="218" t="s">
        <v>107</v>
      </c>
      <c r="D419" s="218" t="s">
        <v>7778</v>
      </c>
      <c r="E419" s="218" t="s">
        <v>8178</v>
      </c>
      <c r="F419" s="218" t="s">
        <v>7790</v>
      </c>
      <c r="G419" s="218" t="s">
        <v>7767</v>
      </c>
      <c r="H419" s="218">
        <v>1024</v>
      </c>
      <c r="I419" s="219">
        <v>20800000</v>
      </c>
      <c r="J419" s="219">
        <v>0</v>
      </c>
      <c r="K419" s="219">
        <v>20800000</v>
      </c>
      <c r="L419" s="218" t="s">
        <v>7791</v>
      </c>
      <c r="M419" s="218">
        <v>1</v>
      </c>
      <c r="N419" s="218" t="s">
        <v>8210</v>
      </c>
      <c r="O419" s="218" t="s">
        <v>7993</v>
      </c>
      <c r="P419" s="218">
        <v>399</v>
      </c>
      <c r="Q419" s="218" t="s">
        <v>7771</v>
      </c>
      <c r="R419" s="220">
        <v>100</v>
      </c>
    </row>
    <row r="420" spans="1:18">
      <c r="A420" s="217">
        <v>215</v>
      </c>
      <c r="B420" s="218">
        <v>9902216118</v>
      </c>
      <c r="C420" s="218" t="s">
        <v>107</v>
      </c>
      <c r="D420" s="218" t="s">
        <v>7778</v>
      </c>
      <c r="E420" s="218" t="s">
        <v>8211</v>
      </c>
      <c r="F420" s="218" t="s">
        <v>7790</v>
      </c>
      <c r="G420" s="218" t="s">
        <v>7767</v>
      </c>
      <c r="H420" s="218">
        <v>1024</v>
      </c>
      <c r="I420" s="219">
        <v>20800000</v>
      </c>
      <c r="J420" s="219">
        <v>0</v>
      </c>
      <c r="K420" s="219">
        <v>20800000</v>
      </c>
      <c r="L420" s="218" t="s">
        <v>7791</v>
      </c>
      <c r="M420" s="218">
        <v>1</v>
      </c>
      <c r="N420" s="218" t="s">
        <v>8212</v>
      </c>
      <c r="O420" s="218" t="s">
        <v>7993</v>
      </c>
      <c r="P420" s="218">
        <v>399</v>
      </c>
      <c r="Q420" s="218" t="s">
        <v>7771</v>
      </c>
      <c r="R420" s="220">
        <v>100</v>
      </c>
    </row>
    <row r="421" spans="1:18">
      <c r="A421" s="217">
        <v>216</v>
      </c>
      <c r="B421" s="218">
        <v>9902216128</v>
      </c>
      <c r="C421" s="218" t="s">
        <v>107</v>
      </c>
      <c r="D421" s="218" t="s">
        <v>7778</v>
      </c>
      <c r="E421" s="218" t="s">
        <v>8204</v>
      </c>
      <c r="F421" s="218" t="s">
        <v>7790</v>
      </c>
      <c r="G421" s="218" t="s">
        <v>7767</v>
      </c>
      <c r="H421" s="218">
        <v>1024</v>
      </c>
      <c r="I421" s="219">
        <v>20800000</v>
      </c>
      <c r="J421" s="219">
        <v>0</v>
      </c>
      <c r="K421" s="219">
        <v>20800000</v>
      </c>
      <c r="L421" s="218" t="s">
        <v>7791</v>
      </c>
      <c r="M421" s="218">
        <v>1</v>
      </c>
      <c r="N421" s="218" t="s">
        <v>8213</v>
      </c>
      <c r="O421" s="218" t="s">
        <v>7993</v>
      </c>
      <c r="P421" s="218">
        <v>399</v>
      </c>
      <c r="Q421" s="218" t="s">
        <v>7771</v>
      </c>
      <c r="R421" s="220">
        <v>100</v>
      </c>
    </row>
    <row r="422" spans="1:18">
      <c r="A422" s="217">
        <v>217</v>
      </c>
      <c r="B422" s="218">
        <v>9902216141</v>
      </c>
      <c r="C422" s="218" t="s">
        <v>107</v>
      </c>
      <c r="D422" s="218" t="s">
        <v>7778</v>
      </c>
      <c r="E422" s="218" t="s">
        <v>8214</v>
      </c>
      <c r="F422" s="218" t="s">
        <v>7790</v>
      </c>
      <c r="G422" s="218" t="s">
        <v>7767</v>
      </c>
      <c r="H422" s="218">
        <v>1024</v>
      </c>
      <c r="I422" s="219">
        <v>20800000</v>
      </c>
      <c r="J422" s="219">
        <v>0</v>
      </c>
      <c r="K422" s="219">
        <v>20800000</v>
      </c>
      <c r="L422" s="218" t="s">
        <v>7791</v>
      </c>
      <c r="M422" s="218">
        <v>1</v>
      </c>
      <c r="N422" s="218" t="s">
        <v>8215</v>
      </c>
      <c r="O422" s="218" t="s">
        <v>7993</v>
      </c>
      <c r="P422" s="218">
        <v>399</v>
      </c>
      <c r="Q422" s="218" t="s">
        <v>7771</v>
      </c>
      <c r="R422" s="220">
        <v>100</v>
      </c>
    </row>
    <row r="423" spans="1:18" s="269" customFormat="1">
      <c r="A423" s="519">
        <v>218</v>
      </c>
      <c r="B423" s="510">
        <v>9902216154</v>
      </c>
      <c r="C423" s="510" t="s">
        <v>107</v>
      </c>
      <c r="D423" s="510" t="s">
        <v>7778</v>
      </c>
      <c r="E423" s="510" t="s">
        <v>8216</v>
      </c>
      <c r="F423" s="510" t="s">
        <v>7790</v>
      </c>
      <c r="G423" s="510" t="s">
        <v>7767</v>
      </c>
      <c r="H423" s="510">
        <v>1024</v>
      </c>
      <c r="I423" s="348">
        <v>20800000</v>
      </c>
      <c r="J423" s="348">
        <v>0</v>
      </c>
      <c r="K423" s="348">
        <v>20800000</v>
      </c>
      <c r="L423" s="510" t="s">
        <v>7791</v>
      </c>
      <c r="M423" s="510">
        <v>1</v>
      </c>
      <c r="N423" s="510" t="s">
        <v>8217</v>
      </c>
      <c r="O423" s="510" t="s">
        <v>7993</v>
      </c>
      <c r="P423" s="510">
        <v>399</v>
      </c>
      <c r="Q423" s="510" t="s">
        <v>7771</v>
      </c>
      <c r="R423" s="520">
        <v>100</v>
      </c>
    </row>
    <row r="424" spans="1:18">
      <c r="A424" s="217">
        <v>219</v>
      </c>
      <c r="B424" s="218">
        <v>9902216162</v>
      </c>
      <c r="C424" s="218" t="s">
        <v>107</v>
      </c>
      <c r="D424" s="218" t="s">
        <v>7778</v>
      </c>
      <c r="E424" s="218" t="s">
        <v>8218</v>
      </c>
      <c r="F424" s="218" t="s">
        <v>7790</v>
      </c>
      <c r="G424" s="218" t="s">
        <v>7767</v>
      </c>
      <c r="H424" s="218">
        <v>1024</v>
      </c>
      <c r="I424" s="219">
        <v>20800000</v>
      </c>
      <c r="J424" s="219">
        <v>0</v>
      </c>
      <c r="K424" s="219">
        <v>20800000</v>
      </c>
      <c r="L424" s="218" t="s">
        <v>7791</v>
      </c>
      <c r="M424" s="218">
        <v>1</v>
      </c>
      <c r="N424" s="218" t="s">
        <v>8219</v>
      </c>
      <c r="O424" s="218" t="s">
        <v>7993</v>
      </c>
      <c r="P424" s="218">
        <v>399</v>
      </c>
      <c r="Q424" s="218" t="s">
        <v>7771</v>
      </c>
      <c r="R424" s="220">
        <v>100</v>
      </c>
    </row>
    <row r="425" spans="1:18">
      <c r="A425" s="217">
        <v>220</v>
      </c>
      <c r="B425" s="218">
        <v>9902216165</v>
      </c>
      <c r="C425" s="218" t="s">
        <v>107</v>
      </c>
      <c r="D425" s="218" t="s">
        <v>7778</v>
      </c>
      <c r="E425" s="218" t="s">
        <v>8193</v>
      </c>
      <c r="F425" s="218" t="s">
        <v>7790</v>
      </c>
      <c r="G425" s="218" t="s">
        <v>7767</v>
      </c>
      <c r="H425" s="218">
        <v>1024</v>
      </c>
      <c r="I425" s="219">
        <v>20800000</v>
      </c>
      <c r="J425" s="219">
        <v>0</v>
      </c>
      <c r="K425" s="219">
        <v>20800000</v>
      </c>
      <c r="L425" s="218" t="s">
        <v>7791</v>
      </c>
      <c r="M425" s="218">
        <v>1</v>
      </c>
      <c r="N425" s="218" t="s">
        <v>8220</v>
      </c>
      <c r="O425" s="218" t="s">
        <v>7993</v>
      </c>
      <c r="P425" s="218">
        <v>399</v>
      </c>
      <c r="Q425" s="218" t="s">
        <v>7771</v>
      </c>
      <c r="R425" s="220">
        <v>100</v>
      </c>
    </row>
    <row r="426" spans="1:18">
      <c r="A426" s="217">
        <v>221</v>
      </c>
      <c r="B426" s="218">
        <v>9902216178</v>
      </c>
      <c r="C426" s="218" t="s">
        <v>107</v>
      </c>
      <c r="D426" s="218" t="s">
        <v>7778</v>
      </c>
      <c r="E426" s="218" t="s">
        <v>8206</v>
      </c>
      <c r="F426" s="218" t="s">
        <v>7790</v>
      </c>
      <c r="G426" s="218" t="s">
        <v>7767</v>
      </c>
      <c r="H426" s="218">
        <v>1024</v>
      </c>
      <c r="I426" s="219">
        <v>20800000</v>
      </c>
      <c r="J426" s="219">
        <v>0</v>
      </c>
      <c r="K426" s="219">
        <v>20800000</v>
      </c>
      <c r="L426" s="218" t="s">
        <v>7791</v>
      </c>
      <c r="M426" s="218">
        <v>1</v>
      </c>
      <c r="N426" s="218" t="s">
        <v>8221</v>
      </c>
      <c r="O426" s="218" t="s">
        <v>7993</v>
      </c>
      <c r="P426" s="218">
        <v>399</v>
      </c>
      <c r="Q426" s="218" t="s">
        <v>7771</v>
      </c>
      <c r="R426" s="220">
        <v>100</v>
      </c>
    </row>
    <row r="427" spans="1:18">
      <c r="A427" s="217">
        <v>222</v>
      </c>
      <c r="B427" s="218">
        <v>9902216210</v>
      </c>
      <c r="C427" s="218" t="s">
        <v>107</v>
      </c>
      <c r="D427" s="218" t="s">
        <v>7778</v>
      </c>
      <c r="E427" s="218" t="s">
        <v>8222</v>
      </c>
      <c r="F427" s="218" t="s">
        <v>7790</v>
      </c>
      <c r="G427" s="218" t="s">
        <v>7767</v>
      </c>
      <c r="H427" s="218">
        <v>1024</v>
      </c>
      <c r="I427" s="219">
        <v>20800000</v>
      </c>
      <c r="J427" s="219">
        <v>0</v>
      </c>
      <c r="K427" s="219">
        <v>20800000</v>
      </c>
      <c r="L427" s="218" t="s">
        <v>7791</v>
      </c>
      <c r="M427" s="218">
        <v>1</v>
      </c>
      <c r="N427" s="218" t="s">
        <v>8223</v>
      </c>
      <c r="O427" s="218" t="s">
        <v>7993</v>
      </c>
      <c r="P427" s="218">
        <v>399</v>
      </c>
      <c r="Q427" s="218" t="s">
        <v>7771</v>
      </c>
      <c r="R427" s="220">
        <v>100</v>
      </c>
    </row>
    <row r="428" spans="1:18">
      <c r="A428" s="217">
        <v>223</v>
      </c>
      <c r="B428" s="218">
        <v>9902216212</v>
      </c>
      <c r="C428" s="218" t="s">
        <v>107</v>
      </c>
      <c r="D428" s="218" t="s">
        <v>7778</v>
      </c>
      <c r="E428" s="218" t="s">
        <v>8224</v>
      </c>
      <c r="F428" s="218" t="s">
        <v>7790</v>
      </c>
      <c r="G428" s="218" t="s">
        <v>7767</v>
      </c>
      <c r="H428" s="218">
        <v>1024</v>
      </c>
      <c r="I428" s="219">
        <v>20800000</v>
      </c>
      <c r="J428" s="219">
        <v>0</v>
      </c>
      <c r="K428" s="219">
        <v>20800000</v>
      </c>
      <c r="L428" s="218" t="s">
        <v>7791</v>
      </c>
      <c r="M428" s="218">
        <v>1</v>
      </c>
      <c r="N428" s="218" t="s">
        <v>8225</v>
      </c>
      <c r="O428" s="218" t="s">
        <v>7993</v>
      </c>
      <c r="P428" s="218">
        <v>399</v>
      </c>
      <c r="Q428" s="218" t="s">
        <v>7771</v>
      </c>
      <c r="R428" s="220">
        <v>100</v>
      </c>
    </row>
    <row r="429" spans="1:18">
      <c r="A429" s="217">
        <v>224</v>
      </c>
      <c r="B429" s="218">
        <v>9902216213</v>
      </c>
      <c r="C429" s="218" t="s">
        <v>107</v>
      </c>
      <c r="D429" s="218" t="s">
        <v>7778</v>
      </c>
      <c r="E429" s="218" t="s">
        <v>8226</v>
      </c>
      <c r="F429" s="218" t="s">
        <v>7790</v>
      </c>
      <c r="G429" s="218" t="s">
        <v>7767</v>
      </c>
      <c r="H429" s="218">
        <v>1024</v>
      </c>
      <c r="I429" s="219">
        <v>20800000</v>
      </c>
      <c r="J429" s="219">
        <v>0</v>
      </c>
      <c r="K429" s="219">
        <v>20800000</v>
      </c>
      <c r="L429" s="218" t="s">
        <v>7791</v>
      </c>
      <c r="M429" s="218">
        <v>1</v>
      </c>
      <c r="N429" s="218" t="s">
        <v>8227</v>
      </c>
      <c r="O429" s="218" t="s">
        <v>7993</v>
      </c>
      <c r="P429" s="218">
        <v>399</v>
      </c>
      <c r="Q429" s="218" t="s">
        <v>7771</v>
      </c>
      <c r="R429" s="220">
        <v>100</v>
      </c>
    </row>
    <row r="430" spans="1:18">
      <c r="A430" s="217">
        <v>225</v>
      </c>
      <c r="B430" s="218">
        <v>9902216214</v>
      </c>
      <c r="C430" s="218" t="s">
        <v>107</v>
      </c>
      <c r="D430" s="218" t="s">
        <v>7778</v>
      </c>
      <c r="E430" s="218" t="s">
        <v>8228</v>
      </c>
      <c r="F430" s="218" t="s">
        <v>7790</v>
      </c>
      <c r="G430" s="218" t="s">
        <v>7767</v>
      </c>
      <c r="H430" s="218">
        <v>1024</v>
      </c>
      <c r="I430" s="219">
        <v>20800000</v>
      </c>
      <c r="J430" s="219">
        <v>0</v>
      </c>
      <c r="K430" s="219">
        <v>20800000</v>
      </c>
      <c r="L430" s="218" t="s">
        <v>7791</v>
      </c>
      <c r="M430" s="218">
        <v>1</v>
      </c>
      <c r="N430" s="218" t="s">
        <v>8229</v>
      </c>
      <c r="O430" s="218" t="s">
        <v>7993</v>
      </c>
      <c r="P430" s="218">
        <v>399</v>
      </c>
      <c r="Q430" s="218" t="s">
        <v>7771</v>
      </c>
      <c r="R430" s="220">
        <v>100</v>
      </c>
    </row>
    <row r="431" spans="1:18">
      <c r="A431" s="217">
        <v>226</v>
      </c>
      <c r="B431" s="218">
        <v>9902216215</v>
      </c>
      <c r="C431" s="218" t="s">
        <v>107</v>
      </c>
      <c r="D431" s="218" t="s">
        <v>7778</v>
      </c>
      <c r="E431" s="218" t="s">
        <v>8230</v>
      </c>
      <c r="F431" s="218" t="s">
        <v>7790</v>
      </c>
      <c r="G431" s="218" t="s">
        <v>7767</v>
      </c>
      <c r="H431" s="218">
        <v>1024</v>
      </c>
      <c r="I431" s="219">
        <v>20800000</v>
      </c>
      <c r="J431" s="219">
        <v>0</v>
      </c>
      <c r="K431" s="219">
        <v>20800000</v>
      </c>
      <c r="L431" s="218" t="s">
        <v>7791</v>
      </c>
      <c r="M431" s="218">
        <v>1</v>
      </c>
      <c r="N431" s="218" t="s">
        <v>8231</v>
      </c>
      <c r="O431" s="218" t="s">
        <v>7993</v>
      </c>
      <c r="P431" s="218">
        <v>399</v>
      </c>
      <c r="Q431" s="218" t="s">
        <v>7771</v>
      </c>
      <c r="R431" s="220">
        <v>100</v>
      </c>
    </row>
    <row r="432" spans="1:18">
      <c r="A432" s="217">
        <v>227</v>
      </c>
      <c r="B432" s="218">
        <v>9902216216</v>
      </c>
      <c r="C432" s="218" t="s">
        <v>107</v>
      </c>
      <c r="D432" s="218" t="s">
        <v>7778</v>
      </c>
      <c r="E432" s="218" t="s">
        <v>8214</v>
      </c>
      <c r="F432" s="218" t="s">
        <v>7790</v>
      </c>
      <c r="G432" s="218" t="s">
        <v>7767</v>
      </c>
      <c r="H432" s="218">
        <v>1024</v>
      </c>
      <c r="I432" s="219">
        <v>20800000</v>
      </c>
      <c r="J432" s="219">
        <v>0</v>
      </c>
      <c r="K432" s="219">
        <v>20800000</v>
      </c>
      <c r="L432" s="218" t="s">
        <v>7791</v>
      </c>
      <c r="M432" s="218">
        <v>1</v>
      </c>
      <c r="N432" s="218" t="s">
        <v>8232</v>
      </c>
      <c r="O432" s="218" t="s">
        <v>7993</v>
      </c>
      <c r="P432" s="218">
        <v>399</v>
      </c>
      <c r="Q432" s="218" t="s">
        <v>7771</v>
      </c>
      <c r="R432" s="220">
        <v>100</v>
      </c>
    </row>
    <row r="433" spans="1:18">
      <c r="A433" s="217">
        <v>228</v>
      </c>
      <c r="B433" s="218">
        <v>9902216217</v>
      </c>
      <c r="C433" s="218" t="s">
        <v>107</v>
      </c>
      <c r="D433" s="218" t="s">
        <v>7778</v>
      </c>
      <c r="E433" s="218" t="s">
        <v>8214</v>
      </c>
      <c r="F433" s="218" t="s">
        <v>7790</v>
      </c>
      <c r="G433" s="218" t="s">
        <v>7767</v>
      </c>
      <c r="H433" s="218">
        <v>1024</v>
      </c>
      <c r="I433" s="219">
        <v>20800000</v>
      </c>
      <c r="J433" s="219">
        <v>0</v>
      </c>
      <c r="K433" s="219">
        <v>20800000</v>
      </c>
      <c r="L433" s="218" t="s">
        <v>7791</v>
      </c>
      <c r="M433" s="218">
        <v>1</v>
      </c>
      <c r="N433" s="218" t="s">
        <v>8233</v>
      </c>
      <c r="O433" s="218" t="s">
        <v>7993</v>
      </c>
      <c r="P433" s="218">
        <v>399</v>
      </c>
      <c r="Q433" s="218" t="s">
        <v>7771</v>
      </c>
      <c r="R433" s="220">
        <v>100</v>
      </c>
    </row>
    <row r="434" spans="1:18">
      <c r="A434" s="217">
        <v>229</v>
      </c>
      <c r="B434" s="218">
        <v>9902258596</v>
      </c>
      <c r="C434" s="218" t="s">
        <v>107</v>
      </c>
      <c r="D434" s="218" t="s">
        <v>7778</v>
      </c>
      <c r="E434" s="218" t="s">
        <v>8234</v>
      </c>
      <c r="F434" s="218" t="s">
        <v>7790</v>
      </c>
      <c r="G434" s="218" t="s">
        <v>7767</v>
      </c>
      <c r="H434" s="218">
        <v>1024</v>
      </c>
      <c r="I434" s="219">
        <v>20800000</v>
      </c>
      <c r="J434" s="219">
        <v>0</v>
      </c>
      <c r="K434" s="219">
        <v>20800000</v>
      </c>
      <c r="L434" s="218" t="s">
        <v>7791</v>
      </c>
      <c r="M434" s="218">
        <v>1</v>
      </c>
      <c r="N434" s="218" t="s">
        <v>8235</v>
      </c>
      <c r="O434" s="218" t="s">
        <v>7993</v>
      </c>
      <c r="P434" s="218">
        <v>399</v>
      </c>
      <c r="Q434" s="218" t="s">
        <v>7771</v>
      </c>
      <c r="R434" s="220">
        <v>100</v>
      </c>
    </row>
    <row r="435" spans="1:18">
      <c r="A435" s="217">
        <v>230</v>
      </c>
      <c r="B435" s="218">
        <v>9902258599</v>
      </c>
      <c r="C435" s="218" t="s">
        <v>107</v>
      </c>
      <c r="D435" s="218" t="s">
        <v>7778</v>
      </c>
      <c r="E435" s="218" t="s">
        <v>8228</v>
      </c>
      <c r="F435" s="218" t="s">
        <v>7790</v>
      </c>
      <c r="G435" s="218" t="s">
        <v>7767</v>
      </c>
      <c r="H435" s="218">
        <v>1024</v>
      </c>
      <c r="I435" s="219">
        <v>20800000</v>
      </c>
      <c r="J435" s="219">
        <v>0</v>
      </c>
      <c r="K435" s="219">
        <v>20800000</v>
      </c>
      <c r="L435" s="218" t="s">
        <v>7791</v>
      </c>
      <c r="M435" s="218">
        <v>1</v>
      </c>
      <c r="N435" s="218" t="s">
        <v>8236</v>
      </c>
      <c r="O435" s="218" t="s">
        <v>7993</v>
      </c>
      <c r="P435" s="218">
        <v>399</v>
      </c>
      <c r="Q435" s="218" t="s">
        <v>7771</v>
      </c>
      <c r="R435" s="220">
        <v>100</v>
      </c>
    </row>
    <row r="436" spans="1:18">
      <c r="A436" s="217">
        <v>231</v>
      </c>
      <c r="B436" s="218">
        <v>40002266335</v>
      </c>
      <c r="C436" s="218" t="s">
        <v>107</v>
      </c>
      <c r="D436" s="218" t="s">
        <v>7778</v>
      </c>
      <c r="E436" s="218" t="s">
        <v>8237</v>
      </c>
      <c r="F436" s="218" t="s">
        <v>7790</v>
      </c>
      <c r="G436" s="218" t="s">
        <v>7767</v>
      </c>
      <c r="H436" s="218">
        <v>1024</v>
      </c>
      <c r="I436" s="219">
        <v>20800000</v>
      </c>
      <c r="J436" s="219">
        <v>0</v>
      </c>
      <c r="K436" s="219">
        <v>20800000</v>
      </c>
      <c r="L436" s="218" t="s">
        <v>7791</v>
      </c>
      <c r="M436" s="218">
        <v>1</v>
      </c>
      <c r="N436" s="218" t="s">
        <v>8238</v>
      </c>
      <c r="O436" s="218" t="s">
        <v>7993</v>
      </c>
      <c r="P436" s="218">
        <v>399</v>
      </c>
      <c r="Q436" s="218" t="s">
        <v>7771</v>
      </c>
      <c r="R436" s="220">
        <v>100</v>
      </c>
    </row>
    <row r="437" spans="1:18">
      <c r="A437" s="217">
        <v>232</v>
      </c>
      <c r="B437" s="218">
        <v>40002266336</v>
      </c>
      <c r="C437" s="218" t="s">
        <v>107</v>
      </c>
      <c r="D437" s="218" t="s">
        <v>7778</v>
      </c>
      <c r="E437" s="218" t="s">
        <v>8239</v>
      </c>
      <c r="F437" s="218" t="s">
        <v>7790</v>
      </c>
      <c r="G437" s="218" t="s">
        <v>7767</v>
      </c>
      <c r="H437" s="218">
        <v>1024</v>
      </c>
      <c r="I437" s="219">
        <v>20800000</v>
      </c>
      <c r="J437" s="219">
        <v>0</v>
      </c>
      <c r="K437" s="219">
        <v>20800000</v>
      </c>
      <c r="L437" s="218" t="s">
        <v>7791</v>
      </c>
      <c r="M437" s="218">
        <v>1</v>
      </c>
      <c r="N437" s="218" t="s">
        <v>8240</v>
      </c>
      <c r="O437" s="218" t="s">
        <v>7993</v>
      </c>
      <c r="P437" s="218">
        <v>399</v>
      </c>
      <c r="Q437" s="218" t="s">
        <v>7771</v>
      </c>
      <c r="R437" s="220">
        <v>100</v>
      </c>
    </row>
    <row r="438" spans="1:18">
      <c r="A438" s="217">
        <v>238</v>
      </c>
      <c r="B438" s="218">
        <v>40102364231</v>
      </c>
      <c r="C438" s="218" t="s">
        <v>107</v>
      </c>
      <c r="D438" s="218" t="s">
        <v>7778</v>
      </c>
      <c r="E438" s="218" t="s">
        <v>8252</v>
      </c>
      <c r="F438" s="218" t="s">
        <v>7790</v>
      </c>
      <c r="G438" s="218" t="s">
        <v>7767</v>
      </c>
      <c r="H438" s="218">
        <v>1024</v>
      </c>
      <c r="I438" s="219">
        <v>20800000</v>
      </c>
      <c r="J438" s="219">
        <v>0</v>
      </c>
      <c r="K438" s="219">
        <v>20800000</v>
      </c>
      <c r="L438" s="218" t="s">
        <v>7791</v>
      </c>
      <c r="M438" s="218">
        <v>1</v>
      </c>
      <c r="N438" s="218" t="s">
        <v>8253</v>
      </c>
      <c r="O438" s="218" t="s">
        <v>7993</v>
      </c>
      <c r="P438" s="218">
        <v>399</v>
      </c>
      <c r="Q438" s="218" t="s">
        <v>7771</v>
      </c>
      <c r="R438" s="220">
        <v>100</v>
      </c>
    </row>
    <row r="439" spans="1:18">
      <c r="A439" s="217">
        <v>240</v>
      </c>
      <c r="B439" s="218">
        <v>40102424045</v>
      </c>
      <c r="C439" s="218" t="s">
        <v>107</v>
      </c>
      <c r="D439" s="218" t="s">
        <v>7778</v>
      </c>
      <c r="E439" s="218" t="s">
        <v>8256</v>
      </c>
      <c r="F439" s="218" t="s">
        <v>7790</v>
      </c>
      <c r="G439" s="218" t="s">
        <v>7767</v>
      </c>
      <c r="H439" s="218">
        <v>1024</v>
      </c>
      <c r="I439" s="219">
        <v>20800000</v>
      </c>
      <c r="J439" s="219">
        <v>0</v>
      </c>
      <c r="K439" s="219">
        <v>20800000</v>
      </c>
      <c r="L439" s="218" t="s">
        <v>7791</v>
      </c>
      <c r="M439" s="218">
        <v>1</v>
      </c>
      <c r="N439" s="218" t="s">
        <v>8257</v>
      </c>
      <c r="O439" s="218" t="s">
        <v>7993</v>
      </c>
      <c r="P439" s="218">
        <v>399</v>
      </c>
      <c r="Q439" s="218" t="s">
        <v>7771</v>
      </c>
      <c r="R439" s="220">
        <v>100</v>
      </c>
    </row>
    <row r="440" spans="1:18">
      <c r="A440" s="217">
        <v>244</v>
      </c>
      <c r="B440" s="218">
        <v>254035126149</v>
      </c>
      <c r="C440" s="218" t="s">
        <v>107</v>
      </c>
      <c r="D440" s="218" t="s">
        <v>7778</v>
      </c>
      <c r="E440" s="218" t="s">
        <v>8262</v>
      </c>
      <c r="F440" s="218" t="s">
        <v>7790</v>
      </c>
      <c r="G440" s="218" t="s">
        <v>7767</v>
      </c>
      <c r="H440" s="218">
        <v>1024</v>
      </c>
      <c r="I440" s="219">
        <v>20800000</v>
      </c>
      <c r="J440" s="219">
        <v>0</v>
      </c>
      <c r="K440" s="219">
        <v>20800000</v>
      </c>
      <c r="L440" s="218" t="s">
        <v>7791</v>
      </c>
      <c r="M440" s="218">
        <v>1</v>
      </c>
      <c r="N440" s="218" t="s">
        <v>8263</v>
      </c>
      <c r="O440" s="218" t="s">
        <v>7993</v>
      </c>
      <c r="P440" s="218">
        <v>399</v>
      </c>
      <c r="Q440" s="218" t="s">
        <v>7771</v>
      </c>
      <c r="R440" s="220">
        <v>100</v>
      </c>
    </row>
    <row r="441" spans="1:18">
      <c r="A441" s="217">
        <v>284</v>
      </c>
      <c r="B441" s="218">
        <v>589549</v>
      </c>
      <c r="C441" s="218" t="s">
        <v>107</v>
      </c>
      <c r="D441" s="218" t="s">
        <v>7778</v>
      </c>
      <c r="E441" s="218" t="s">
        <v>8333</v>
      </c>
      <c r="F441" s="218" t="s">
        <v>7790</v>
      </c>
      <c r="G441" s="218" t="s">
        <v>7767</v>
      </c>
      <c r="H441" s="218">
        <v>1024</v>
      </c>
      <c r="I441" s="219">
        <v>20800000</v>
      </c>
      <c r="J441" s="219">
        <v>0</v>
      </c>
      <c r="K441" s="219">
        <v>20800000</v>
      </c>
      <c r="L441" s="218" t="s">
        <v>7791</v>
      </c>
      <c r="M441" s="218">
        <v>1</v>
      </c>
      <c r="N441" s="218" t="s">
        <v>8334</v>
      </c>
      <c r="O441" s="218" t="s">
        <v>7993</v>
      </c>
      <c r="P441" s="218">
        <v>399</v>
      </c>
      <c r="Q441" s="218" t="s">
        <v>7771</v>
      </c>
      <c r="R441" s="220">
        <v>104</v>
      </c>
    </row>
    <row r="442" spans="1:18">
      <c r="A442" s="217">
        <v>285</v>
      </c>
      <c r="B442" s="218">
        <v>590264</v>
      </c>
      <c r="C442" s="218" t="s">
        <v>107</v>
      </c>
      <c r="D442" s="218" t="s">
        <v>7778</v>
      </c>
      <c r="E442" s="218" t="s">
        <v>8335</v>
      </c>
      <c r="F442" s="218" t="s">
        <v>7790</v>
      </c>
      <c r="G442" s="218" t="s">
        <v>7767</v>
      </c>
      <c r="H442" s="218">
        <v>1024</v>
      </c>
      <c r="I442" s="219">
        <v>20800000</v>
      </c>
      <c r="J442" s="219">
        <v>0</v>
      </c>
      <c r="K442" s="219">
        <v>20800000</v>
      </c>
      <c r="L442" s="218" t="s">
        <v>7791</v>
      </c>
      <c r="M442" s="218">
        <v>1</v>
      </c>
      <c r="N442" s="218" t="s">
        <v>8336</v>
      </c>
      <c r="O442" s="218" t="s">
        <v>7993</v>
      </c>
      <c r="P442" s="218">
        <v>399</v>
      </c>
      <c r="Q442" s="218" t="s">
        <v>7771</v>
      </c>
      <c r="R442" s="220">
        <v>104</v>
      </c>
    </row>
    <row r="443" spans="1:18">
      <c r="A443" s="217">
        <v>287</v>
      </c>
      <c r="B443" s="218">
        <v>593872</v>
      </c>
      <c r="C443" s="218" t="s">
        <v>107</v>
      </c>
      <c r="D443" s="218" t="s">
        <v>7778</v>
      </c>
      <c r="E443" s="218" t="s">
        <v>8339</v>
      </c>
      <c r="F443" s="218" t="s">
        <v>7790</v>
      </c>
      <c r="G443" s="218" t="s">
        <v>7767</v>
      </c>
      <c r="H443" s="218">
        <v>1024</v>
      </c>
      <c r="I443" s="219">
        <v>20800000</v>
      </c>
      <c r="J443" s="219">
        <v>0</v>
      </c>
      <c r="K443" s="219">
        <v>20800000</v>
      </c>
      <c r="L443" s="218" t="s">
        <v>7791</v>
      </c>
      <c r="M443" s="218">
        <v>1</v>
      </c>
      <c r="N443" s="218" t="s">
        <v>8340</v>
      </c>
      <c r="O443" s="218" t="s">
        <v>7993</v>
      </c>
      <c r="P443" s="218">
        <v>399</v>
      </c>
      <c r="Q443" s="218" t="s">
        <v>7771</v>
      </c>
      <c r="R443" s="220">
        <v>100</v>
      </c>
    </row>
    <row r="444" spans="1:18">
      <c r="A444" s="217">
        <v>288</v>
      </c>
      <c r="B444" s="218">
        <v>595841</v>
      </c>
      <c r="C444" s="218" t="s">
        <v>107</v>
      </c>
      <c r="D444" s="218" t="s">
        <v>7778</v>
      </c>
      <c r="E444" s="218" t="s">
        <v>8341</v>
      </c>
      <c r="F444" s="218" t="s">
        <v>7790</v>
      </c>
      <c r="G444" s="218" t="s">
        <v>7767</v>
      </c>
      <c r="H444" s="218">
        <v>1024</v>
      </c>
      <c r="I444" s="219">
        <v>20800000</v>
      </c>
      <c r="J444" s="219">
        <v>0</v>
      </c>
      <c r="K444" s="219">
        <v>20800000</v>
      </c>
      <c r="L444" s="218" t="s">
        <v>7791</v>
      </c>
      <c r="M444" s="218">
        <v>1</v>
      </c>
      <c r="N444" s="218" t="s">
        <v>8342</v>
      </c>
      <c r="O444" s="218" t="s">
        <v>7993</v>
      </c>
      <c r="P444" s="218">
        <v>399</v>
      </c>
      <c r="Q444" s="218" t="s">
        <v>7771</v>
      </c>
      <c r="R444" s="220">
        <v>104</v>
      </c>
    </row>
    <row r="445" spans="1:18">
      <c r="A445" s="217">
        <v>289</v>
      </c>
      <c r="B445" s="218">
        <v>597217</v>
      </c>
      <c r="C445" s="218" t="s">
        <v>107</v>
      </c>
      <c r="D445" s="218" t="s">
        <v>7778</v>
      </c>
      <c r="E445" s="218" t="s">
        <v>7982</v>
      </c>
      <c r="F445" s="218" t="s">
        <v>7790</v>
      </c>
      <c r="G445" s="218" t="s">
        <v>7767</v>
      </c>
      <c r="H445" s="218">
        <v>1024</v>
      </c>
      <c r="I445" s="219">
        <v>20800000</v>
      </c>
      <c r="J445" s="219">
        <v>0</v>
      </c>
      <c r="K445" s="219">
        <v>20800000</v>
      </c>
      <c r="L445" s="218" t="s">
        <v>7791</v>
      </c>
      <c r="M445" s="218">
        <v>1</v>
      </c>
      <c r="N445" s="218" t="s">
        <v>8343</v>
      </c>
      <c r="O445" s="218" t="s">
        <v>7993</v>
      </c>
      <c r="P445" s="218">
        <v>399</v>
      </c>
      <c r="Q445" s="218" t="s">
        <v>7771</v>
      </c>
      <c r="R445" s="220">
        <v>100</v>
      </c>
    </row>
    <row r="446" spans="1:18">
      <c r="A446" s="217">
        <v>307</v>
      </c>
      <c r="B446" s="218">
        <v>609143</v>
      </c>
      <c r="C446" s="218" t="s">
        <v>107</v>
      </c>
      <c r="D446" s="218" t="s">
        <v>7778</v>
      </c>
      <c r="E446" s="218" t="s">
        <v>7883</v>
      </c>
      <c r="F446" s="218" t="s">
        <v>7790</v>
      </c>
      <c r="G446" s="218" t="s">
        <v>7767</v>
      </c>
      <c r="H446" s="218">
        <v>1024</v>
      </c>
      <c r="I446" s="219">
        <v>20800000</v>
      </c>
      <c r="J446" s="219">
        <v>0</v>
      </c>
      <c r="K446" s="219">
        <v>20800000</v>
      </c>
      <c r="L446" s="218" t="s">
        <v>7791</v>
      </c>
      <c r="M446" s="218">
        <v>1</v>
      </c>
      <c r="N446" s="218" t="s">
        <v>1606</v>
      </c>
      <c r="O446" s="218" t="s">
        <v>8347</v>
      </c>
      <c r="P446" s="218">
        <v>399</v>
      </c>
      <c r="Q446" s="218" t="s">
        <v>7771</v>
      </c>
      <c r="R446" s="220">
        <v>100</v>
      </c>
    </row>
    <row r="447" spans="1:18">
      <c r="A447" s="217">
        <v>308</v>
      </c>
      <c r="B447" s="218">
        <v>609144</v>
      </c>
      <c r="C447" s="218" t="s">
        <v>107</v>
      </c>
      <c r="D447" s="218" t="s">
        <v>7778</v>
      </c>
      <c r="E447" s="218" t="s">
        <v>8376</v>
      </c>
      <c r="F447" s="218" t="s">
        <v>7790</v>
      </c>
      <c r="G447" s="218" t="s">
        <v>7767</v>
      </c>
      <c r="H447" s="218">
        <v>1024</v>
      </c>
      <c r="I447" s="219">
        <v>20800000</v>
      </c>
      <c r="J447" s="219">
        <v>0</v>
      </c>
      <c r="K447" s="219">
        <v>20800000</v>
      </c>
      <c r="L447" s="218" t="s">
        <v>7791</v>
      </c>
      <c r="M447" s="218">
        <v>1</v>
      </c>
      <c r="N447" s="218" t="s">
        <v>1605</v>
      </c>
      <c r="O447" s="218" t="s">
        <v>8347</v>
      </c>
      <c r="P447" s="218">
        <v>399</v>
      </c>
      <c r="Q447" s="218" t="s">
        <v>7771</v>
      </c>
      <c r="R447" s="220">
        <v>100</v>
      </c>
    </row>
    <row r="448" spans="1:18">
      <c r="A448" s="217">
        <v>309</v>
      </c>
      <c r="B448" s="218">
        <v>609145</v>
      </c>
      <c r="C448" s="218" t="s">
        <v>107</v>
      </c>
      <c r="D448" s="218" t="s">
        <v>7778</v>
      </c>
      <c r="E448" s="218" t="s">
        <v>7883</v>
      </c>
      <c r="F448" s="218" t="s">
        <v>7790</v>
      </c>
      <c r="G448" s="218" t="s">
        <v>7767</v>
      </c>
      <c r="H448" s="218">
        <v>1024</v>
      </c>
      <c r="I448" s="219">
        <v>20800000</v>
      </c>
      <c r="J448" s="219">
        <v>0</v>
      </c>
      <c r="K448" s="219">
        <v>20800000</v>
      </c>
      <c r="L448" s="218" t="s">
        <v>7791</v>
      </c>
      <c r="M448" s="218">
        <v>1</v>
      </c>
      <c r="N448" s="218" t="s">
        <v>1607</v>
      </c>
      <c r="O448" s="218" t="s">
        <v>8347</v>
      </c>
      <c r="P448" s="218">
        <v>399</v>
      </c>
      <c r="Q448" s="218" t="s">
        <v>7771</v>
      </c>
      <c r="R448" s="220">
        <v>100</v>
      </c>
    </row>
    <row r="449" spans="1:18">
      <c r="A449" s="217">
        <v>312</v>
      </c>
      <c r="B449" s="218">
        <v>9902217956</v>
      </c>
      <c r="C449" s="218" t="s">
        <v>107</v>
      </c>
      <c r="D449" s="218" t="s">
        <v>7778</v>
      </c>
      <c r="E449" s="218" t="s">
        <v>8382</v>
      </c>
      <c r="F449" s="218" t="s">
        <v>7790</v>
      </c>
      <c r="G449" s="218" t="s">
        <v>7767</v>
      </c>
      <c r="H449" s="218">
        <v>1024</v>
      </c>
      <c r="I449" s="219">
        <v>20800000</v>
      </c>
      <c r="J449" s="219">
        <v>0</v>
      </c>
      <c r="K449" s="219">
        <v>20800000</v>
      </c>
      <c r="L449" s="218" t="s">
        <v>7791</v>
      </c>
      <c r="M449" s="218">
        <v>1</v>
      </c>
      <c r="N449" s="218" t="s">
        <v>8383</v>
      </c>
      <c r="O449" s="218" t="s">
        <v>1609</v>
      </c>
      <c r="P449" s="218">
        <v>399</v>
      </c>
      <c r="Q449" s="218" t="s">
        <v>7771</v>
      </c>
      <c r="R449" s="220">
        <v>100</v>
      </c>
    </row>
    <row r="450" spans="1:18">
      <c r="A450" s="217">
        <v>313</v>
      </c>
      <c r="B450" s="218">
        <v>9902217968</v>
      </c>
      <c r="C450" s="218" t="s">
        <v>107</v>
      </c>
      <c r="D450" s="218" t="s">
        <v>7778</v>
      </c>
      <c r="E450" s="218" t="s">
        <v>8384</v>
      </c>
      <c r="F450" s="218" t="s">
        <v>7790</v>
      </c>
      <c r="G450" s="218" t="s">
        <v>7767</v>
      </c>
      <c r="H450" s="218">
        <v>1024</v>
      </c>
      <c r="I450" s="219">
        <v>20800000</v>
      </c>
      <c r="J450" s="219">
        <v>0</v>
      </c>
      <c r="K450" s="219">
        <v>20800000</v>
      </c>
      <c r="L450" s="218" t="s">
        <v>7791</v>
      </c>
      <c r="M450" s="218">
        <v>1</v>
      </c>
      <c r="N450" s="218" t="s">
        <v>8385</v>
      </c>
      <c r="O450" s="218" t="s">
        <v>1609</v>
      </c>
      <c r="P450" s="218">
        <v>399</v>
      </c>
      <c r="Q450" s="218" t="s">
        <v>7771</v>
      </c>
      <c r="R450" s="220">
        <v>100</v>
      </c>
    </row>
    <row r="451" spans="1:18">
      <c r="A451" s="217">
        <v>314</v>
      </c>
      <c r="B451" s="218">
        <v>9902217977</v>
      </c>
      <c r="C451" s="218" t="s">
        <v>107</v>
      </c>
      <c r="D451" s="218" t="s">
        <v>7778</v>
      </c>
      <c r="E451" s="218" t="s">
        <v>8384</v>
      </c>
      <c r="F451" s="218" t="s">
        <v>7790</v>
      </c>
      <c r="G451" s="218" t="s">
        <v>7767</v>
      </c>
      <c r="H451" s="218">
        <v>1024</v>
      </c>
      <c r="I451" s="219">
        <v>20800000</v>
      </c>
      <c r="J451" s="219">
        <v>0</v>
      </c>
      <c r="K451" s="219">
        <v>20800000</v>
      </c>
      <c r="L451" s="218" t="s">
        <v>7791</v>
      </c>
      <c r="M451" s="218">
        <v>1</v>
      </c>
      <c r="N451" s="218" t="s">
        <v>8386</v>
      </c>
      <c r="O451" s="218" t="s">
        <v>1609</v>
      </c>
      <c r="P451" s="218">
        <v>399</v>
      </c>
      <c r="Q451" s="218" t="s">
        <v>7771</v>
      </c>
      <c r="R451" s="220">
        <v>100</v>
      </c>
    </row>
    <row r="452" spans="1:18">
      <c r="A452" s="217">
        <v>315</v>
      </c>
      <c r="B452" s="218">
        <v>9902218266</v>
      </c>
      <c r="C452" s="218" t="s">
        <v>107</v>
      </c>
      <c r="D452" s="218" t="s">
        <v>7778</v>
      </c>
      <c r="E452" s="218" t="s">
        <v>8387</v>
      </c>
      <c r="F452" s="218" t="s">
        <v>7790</v>
      </c>
      <c r="G452" s="218" t="s">
        <v>7767</v>
      </c>
      <c r="H452" s="218">
        <v>1024</v>
      </c>
      <c r="I452" s="219">
        <v>20800000</v>
      </c>
      <c r="J452" s="219">
        <v>0</v>
      </c>
      <c r="K452" s="219">
        <v>20800000</v>
      </c>
      <c r="L452" s="218" t="s">
        <v>7791</v>
      </c>
      <c r="M452" s="218">
        <v>1</v>
      </c>
      <c r="N452" s="218" t="s">
        <v>8388</v>
      </c>
      <c r="O452" s="218" t="s">
        <v>1609</v>
      </c>
      <c r="P452" s="218">
        <v>399</v>
      </c>
      <c r="Q452" s="218" t="s">
        <v>7771</v>
      </c>
      <c r="R452" s="220">
        <v>100</v>
      </c>
    </row>
    <row r="453" spans="1:18">
      <c r="A453" s="217">
        <v>316</v>
      </c>
      <c r="B453" s="218">
        <v>9902235645</v>
      </c>
      <c r="C453" s="218" t="s">
        <v>107</v>
      </c>
      <c r="D453" s="218" t="s">
        <v>7778</v>
      </c>
      <c r="E453" s="218" t="s">
        <v>8389</v>
      </c>
      <c r="F453" s="218" t="s">
        <v>7790</v>
      </c>
      <c r="G453" s="218" t="s">
        <v>7767</v>
      </c>
      <c r="H453" s="218">
        <v>1024</v>
      </c>
      <c r="I453" s="219">
        <v>20800000</v>
      </c>
      <c r="J453" s="219">
        <v>0</v>
      </c>
      <c r="K453" s="219">
        <v>20800000</v>
      </c>
      <c r="L453" s="218" t="s">
        <v>7791</v>
      </c>
      <c r="M453" s="218">
        <v>1</v>
      </c>
      <c r="N453" s="218" t="s">
        <v>8390</v>
      </c>
      <c r="O453" s="218" t="s">
        <v>1609</v>
      </c>
      <c r="P453" s="218">
        <v>399</v>
      </c>
      <c r="Q453" s="218" t="s">
        <v>7771</v>
      </c>
      <c r="R453" s="220">
        <v>100</v>
      </c>
    </row>
    <row r="454" spans="1:18">
      <c r="A454" s="217">
        <v>338</v>
      </c>
      <c r="B454" s="218">
        <v>587773</v>
      </c>
      <c r="C454" s="218" t="s">
        <v>107</v>
      </c>
      <c r="D454" s="218" t="s">
        <v>7778</v>
      </c>
      <c r="E454" s="218" t="s">
        <v>8425</v>
      </c>
      <c r="F454" s="218" t="s">
        <v>7790</v>
      </c>
      <c r="G454" s="218" t="s">
        <v>7767</v>
      </c>
      <c r="H454" s="218">
        <v>1024</v>
      </c>
      <c r="I454" s="219">
        <v>20800000</v>
      </c>
      <c r="J454" s="219">
        <v>0</v>
      </c>
      <c r="K454" s="219">
        <v>20800000</v>
      </c>
      <c r="L454" s="218" t="s">
        <v>7791</v>
      </c>
      <c r="M454" s="218">
        <v>1</v>
      </c>
      <c r="N454" s="218" t="s">
        <v>8408</v>
      </c>
      <c r="O454" s="218" t="s">
        <v>1609</v>
      </c>
      <c r="P454" s="218">
        <v>399</v>
      </c>
      <c r="Q454" s="218" t="s">
        <v>7771</v>
      </c>
      <c r="R454" s="220">
        <v>100</v>
      </c>
    </row>
    <row r="455" spans="1:18">
      <c r="A455" s="217">
        <v>339</v>
      </c>
      <c r="B455" s="218">
        <v>587774</v>
      </c>
      <c r="C455" s="218" t="s">
        <v>107</v>
      </c>
      <c r="D455" s="218" t="s">
        <v>7778</v>
      </c>
      <c r="E455" s="218" t="s">
        <v>8425</v>
      </c>
      <c r="F455" s="218" t="s">
        <v>7790</v>
      </c>
      <c r="G455" s="218" t="s">
        <v>7767</v>
      </c>
      <c r="H455" s="218">
        <v>1024</v>
      </c>
      <c r="I455" s="219">
        <v>20800000</v>
      </c>
      <c r="J455" s="219">
        <v>0</v>
      </c>
      <c r="K455" s="219">
        <v>20800000</v>
      </c>
      <c r="L455" s="218" t="s">
        <v>7791</v>
      </c>
      <c r="M455" s="218">
        <v>1</v>
      </c>
      <c r="N455" s="218" t="s">
        <v>2371</v>
      </c>
      <c r="O455" s="218" t="s">
        <v>1609</v>
      </c>
      <c r="P455" s="218">
        <v>399</v>
      </c>
      <c r="Q455" s="218" t="s">
        <v>7771</v>
      </c>
      <c r="R455" s="220">
        <v>100</v>
      </c>
    </row>
    <row r="456" spans="1:18">
      <c r="A456" s="217">
        <v>340</v>
      </c>
      <c r="B456" s="218">
        <v>587775</v>
      </c>
      <c r="C456" s="218" t="s">
        <v>107</v>
      </c>
      <c r="D456" s="218" t="s">
        <v>7778</v>
      </c>
      <c r="E456" s="218" t="s">
        <v>8425</v>
      </c>
      <c r="F456" s="218" t="s">
        <v>7790</v>
      </c>
      <c r="G456" s="218" t="s">
        <v>7767</v>
      </c>
      <c r="H456" s="218">
        <v>1024</v>
      </c>
      <c r="I456" s="219">
        <v>20800000</v>
      </c>
      <c r="J456" s="219">
        <v>0</v>
      </c>
      <c r="K456" s="219">
        <v>20800000</v>
      </c>
      <c r="L456" s="218" t="s">
        <v>7791</v>
      </c>
      <c r="M456" s="218">
        <v>1</v>
      </c>
      <c r="N456" s="218" t="s">
        <v>8426</v>
      </c>
      <c r="O456" s="218" t="s">
        <v>1609</v>
      </c>
      <c r="P456" s="218">
        <v>399</v>
      </c>
      <c r="Q456" s="218" t="s">
        <v>7771</v>
      </c>
      <c r="R456" s="220">
        <v>100</v>
      </c>
    </row>
    <row r="457" spans="1:18">
      <c r="A457" s="217">
        <v>341</v>
      </c>
      <c r="B457" s="218">
        <v>587776</v>
      </c>
      <c r="C457" s="218" t="s">
        <v>107</v>
      </c>
      <c r="D457" s="218" t="s">
        <v>7778</v>
      </c>
      <c r="E457" s="218" t="s">
        <v>8427</v>
      </c>
      <c r="F457" s="218" t="s">
        <v>7790</v>
      </c>
      <c r="G457" s="218" t="s">
        <v>7767</v>
      </c>
      <c r="H457" s="218">
        <v>1024</v>
      </c>
      <c r="I457" s="219">
        <v>20800000</v>
      </c>
      <c r="J457" s="219">
        <v>0</v>
      </c>
      <c r="K457" s="219">
        <v>20800000</v>
      </c>
      <c r="L457" s="218" t="s">
        <v>7791</v>
      </c>
      <c r="M457" s="218">
        <v>1</v>
      </c>
      <c r="N457" s="218" t="s">
        <v>8428</v>
      </c>
      <c r="O457" s="218" t="s">
        <v>1609</v>
      </c>
      <c r="P457" s="218">
        <v>399</v>
      </c>
      <c r="Q457" s="218" t="s">
        <v>7771</v>
      </c>
      <c r="R457" s="220">
        <v>100</v>
      </c>
    </row>
    <row r="458" spans="1:18">
      <c r="A458" s="217">
        <v>343</v>
      </c>
      <c r="B458" s="218">
        <v>589680</v>
      </c>
      <c r="C458" s="218" t="s">
        <v>107</v>
      </c>
      <c r="D458" s="218" t="s">
        <v>7778</v>
      </c>
      <c r="E458" s="218" t="s">
        <v>8430</v>
      </c>
      <c r="F458" s="218" t="s">
        <v>7790</v>
      </c>
      <c r="G458" s="218" t="s">
        <v>7767</v>
      </c>
      <c r="H458" s="218">
        <v>1024</v>
      </c>
      <c r="I458" s="219">
        <v>20800000</v>
      </c>
      <c r="J458" s="219">
        <v>0</v>
      </c>
      <c r="K458" s="219">
        <v>20800000</v>
      </c>
      <c r="L458" s="218" t="s">
        <v>7791</v>
      </c>
      <c r="M458" s="218">
        <v>1</v>
      </c>
      <c r="N458" s="218" t="s">
        <v>8431</v>
      </c>
      <c r="O458" s="218" t="s">
        <v>1609</v>
      </c>
      <c r="P458" s="218">
        <v>399</v>
      </c>
      <c r="Q458" s="218" t="s">
        <v>7771</v>
      </c>
      <c r="R458" s="220">
        <v>100</v>
      </c>
    </row>
    <row r="459" spans="1:18">
      <c r="A459" s="217">
        <v>344</v>
      </c>
      <c r="B459" s="218">
        <v>589681</v>
      </c>
      <c r="C459" s="218" t="s">
        <v>107</v>
      </c>
      <c r="D459" s="218" t="s">
        <v>7778</v>
      </c>
      <c r="E459" s="218" t="s">
        <v>8432</v>
      </c>
      <c r="F459" s="218" t="s">
        <v>7790</v>
      </c>
      <c r="G459" s="218" t="s">
        <v>7767</v>
      </c>
      <c r="H459" s="218">
        <v>1024</v>
      </c>
      <c r="I459" s="219">
        <v>20800000</v>
      </c>
      <c r="J459" s="219">
        <v>0</v>
      </c>
      <c r="K459" s="219">
        <v>20800000</v>
      </c>
      <c r="L459" s="218" t="s">
        <v>7791</v>
      </c>
      <c r="M459" s="218">
        <v>1</v>
      </c>
      <c r="N459" s="218" t="s">
        <v>8433</v>
      </c>
      <c r="O459" s="218" t="s">
        <v>1609</v>
      </c>
      <c r="P459" s="218">
        <v>399</v>
      </c>
      <c r="Q459" s="218" t="s">
        <v>7771</v>
      </c>
      <c r="R459" s="220">
        <v>100</v>
      </c>
    </row>
    <row r="460" spans="1:18">
      <c r="A460" s="217">
        <v>345</v>
      </c>
      <c r="B460" s="218">
        <v>589683</v>
      </c>
      <c r="C460" s="218" t="s">
        <v>107</v>
      </c>
      <c r="D460" s="218" t="s">
        <v>7778</v>
      </c>
      <c r="E460" s="218" t="s">
        <v>8434</v>
      </c>
      <c r="F460" s="218" t="s">
        <v>7790</v>
      </c>
      <c r="G460" s="218" t="s">
        <v>7767</v>
      </c>
      <c r="H460" s="218">
        <v>1024</v>
      </c>
      <c r="I460" s="219">
        <v>20800000</v>
      </c>
      <c r="J460" s="219">
        <v>0</v>
      </c>
      <c r="K460" s="219">
        <v>20800000</v>
      </c>
      <c r="L460" s="218" t="s">
        <v>7791</v>
      </c>
      <c r="M460" s="218">
        <v>1</v>
      </c>
      <c r="N460" s="218" t="s">
        <v>933</v>
      </c>
      <c r="O460" s="218" t="s">
        <v>1609</v>
      </c>
      <c r="P460" s="218">
        <v>399</v>
      </c>
      <c r="Q460" s="218" t="s">
        <v>7771</v>
      </c>
      <c r="R460" s="220">
        <v>100</v>
      </c>
    </row>
    <row r="461" spans="1:18">
      <c r="A461" s="217">
        <v>346</v>
      </c>
      <c r="B461" s="218">
        <v>589688</v>
      </c>
      <c r="C461" s="218" t="s">
        <v>107</v>
      </c>
      <c r="D461" s="218" t="s">
        <v>7778</v>
      </c>
      <c r="E461" s="218" t="s">
        <v>8435</v>
      </c>
      <c r="F461" s="218" t="s">
        <v>7790</v>
      </c>
      <c r="G461" s="218" t="s">
        <v>7767</v>
      </c>
      <c r="H461" s="218">
        <v>1024</v>
      </c>
      <c r="I461" s="219">
        <v>20800000</v>
      </c>
      <c r="J461" s="219">
        <v>0</v>
      </c>
      <c r="K461" s="219">
        <v>20800000</v>
      </c>
      <c r="L461" s="218" t="s">
        <v>7791</v>
      </c>
      <c r="M461" s="218">
        <v>1</v>
      </c>
      <c r="N461" s="218" t="s">
        <v>2411</v>
      </c>
      <c r="O461" s="218" t="s">
        <v>1609</v>
      </c>
      <c r="P461" s="218">
        <v>399</v>
      </c>
      <c r="Q461" s="218" t="s">
        <v>7771</v>
      </c>
      <c r="R461" s="220">
        <v>100</v>
      </c>
    </row>
    <row r="462" spans="1:18">
      <c r="A462" s="217">
        <v>347</v>
      </c>
      <c r="B462" s="218">
        <v>589684</v>
      </c>
      <c r="C462" s="218" t="s">
        <v>107</v>
      </c>
      <c r="D462" s="218" t="s">
        <v>7778</v>
      </c>
      <c r="E462" s="218" t="s">
        <v>8436</v>
      </c>
      <c r="F462" s="218" t="s">
        <v>7790</v>
      </c>
      <c r="G462" s="218" t="s">
        <v>7767</v>
      </c>
      <c r="H462" s="218">
        <v>1024</v>
      </c>
      <c r="I462" s="219">
        <v>20800000</v>
      </c>
      <c r="J462" s="219">
        <v>0</v>
      </c>
      <c r="K462" s="219">
        <v>20800000</v>
      </c>
      <c r="L462" s="218" t="s">
        <v>7791</v>
      </c>
      <c r="M462" s="218">
        <v>1</v>
      </c>
      <c r="N462" s="218" t="s">
        <v>8437</v>
      </c>
      <c r="O462" s="218" t="s">
        <v>1609</v>
      </c>
      <c r="P462" s="218">
        <v>399</v>
      </c>
      <c r="Q462" s="218" t="s">
        <v>7771</v>
      </c>
      <c r="R462" s="220">
        <v>100</v>
      </c>
    </row>
    <row r="463" spans="1:18">
      <c r="A463" s="217">
        <v>348</v>
      </c>
      <c r="B463" s="218">
        <v>589686</v>
      </c>
      <c r="C463" s="218" t="s">
        <v>107</v>
      </c>
      <c r="D463" s="218" t="s">
        <v>7778</v>
      </c>
      <c r="E463" s="218" t="s">
        <v>8430</v>
      </c>
      <c r="F463" s="218" t="s">
        <v>7790</v>
      </c>
      <c r="G463" s="218" t="s">
        <v>7767</v>
      </c>
      <c r="H463" s="218">
        <v>1024</v>
      </c>
      <c r="I463" s="219">
        <v>20800000</v>
      </c>
      <c r="J463" s="219">
        <v>0</v>
      </c>
      <c r="K463" s="219">
        <v>20800000</v>
      </c>
      <c r="L463" s="218" t="s">
        <v>7791</v>
      </c>
      <c r="M463" s="218">
        <v>1</v>
      </c>
      <c r="N463" s="218" t="s">
        <v>8438</v>
      </c>
      <c r="O463" s="218" t="s">
        <v>1609</v>
      </c>
      <c r="P463" s="218">
        <v>399</v>
      </c>
      <c r="Q463" s="218" t="s">
        <v>7771</v>
      </c>
      <c r="R463" s="220">
        <v>100</v>
      </c>
    </row>
    <row r="464" spans="1:18">
      <c r="A464" s="217">
        <v>349</v>
      </c>
      <c r="B464" s="218">
        <v>589687</v>
      </c>
      <c r="C464" s="218" t="s">
        <v>107</v>
      </c>
      <c r="D464" s="218" t="s">
        <v>7778</v>
      </c>
      <c r="E464" s="218" t="s">
        <v>8439</v>
      </c>
      <c r="F464" s="218" t="s">
        <v>7790</v>
      </c>
      <c r="G464" s="218" t="s">
        <v>7767</v>
      </c>
      <c r="H464" s="218">
        <v>1024</v>
      </c>
      <c r="I464" s="219">
        <v>20800000</v>
      </c>
      <c r="J464" s="219">
        <v>0</v>
      </c>
      <c r="K464" s="219">
        <v>20800000</v>
      </c>
      <c r="L464" s="218" t="s">
        <v>7791</v>
      </c>
      <c r="M464" s="218">
        <v>1</v>
      </c>
      <c r="N464" s="218" t="s">
        <v>8440</v>
      </c>
      <c r="O464" s="218" t="s">
        <v>1609</v>
      </c>
      <c r="P464" s="218">
        <v>399</v>
      </c>
      <c r="Q464" s="218" t="s">
        <v>7771</v>
      </c>
      <c r="R464" s="220">
        <v>100</v>
      </c>
    </row>
    <row r="465" spans="1:18">
      <c r="A465" s="217">
        <v>350</v>
      </c>
      <c r="B465" s="218">
        <v>593170</v>
      </c>
      <c r="C465" s="218" t="s">
        <v>107</v>
      </c>
      <c r="D465" s="218" t="s">
        <v>7778</v>
      </c>
      <c r="E465" s="218" t="s">
        <v>8441</v>
      </c>
      <c r="F465" s="218" t="s">
        <v>7790</v>
      </c>
      <c r="G465" s="218" t="s">
        <v>7767</v>
      </c>
      <c r="H465" s="218">
        <v>1024</v>
      </c>
      <c r="I465" s="219">
        <v>20800000</v>
      </c>
      <c r="J465" s="219">
        <v>0</v>
      </c>
      <c r="K465" s="219">
        <v>20800000</v>
      </c>
      <c r="L465" s="218" t="s">
        <v>7791</v>
      </c>
      <c r="M465" s="218">
        <v>1</v>
      </c>
      <c r="N465" s="218" t="s">
        <v>8442</v>
      </c>
      <c r="O465" s="218" t="s">
        <v>1609</v>
      </c>
      <c r="P465" s="218">
        <v>399</v>
      </c>
      <c r="Q465" s="218" t="s">
        <v>7771</v>
      </c>
      <c r="R465" s="220">
        <v>100</v>
      </c>
    </row>
    <row r="466" spans="1:18">
      <c r="A466" s="217">
        <v>356</v>
      </c>
      <c r="B466" s="218">
        <v>591113</v>
      </c>
      <c r="C466" s="218" t="s">
        <v>107</v>
      </c>
      <c r="D466" s="218" t="s">
        <v>7778</v>
      </c>
      <c r="E466" s="218" t="s">
        <v>8454</v>
      </c>
      <c r="F466" s="218" t="s">
        <v>7790</v>
      </c>
      <c r="G466" s="218" t="s">
        <v>7767</v>
      </c>
      <c r="H466" s="218">
        <v>1024</v>
      </c>
      <c r="I466" s="219">
        <v>20800000</v>
      </c>
      <c r="J466" s="219">
        <v>0</v>
      </c>
      <c r="K466" s="219">
        <v>20800000</v>
      </c>
      <c r="L466" s="218" t="s">
        <v>7791</v>
      </c>
      <c r="M466" s="218">
        <v>1</v>
      </c>
      <c r="N466" s="218" t="s">
        <v>8455</v>
      </c>
      <c r="O466" s="218" t="s">
        <v>2449</v>
      </c>
      <c r="P466" s="218">
        <v>399</v>
      </c>
      <c r="Q466" s="218" t="s">
        <v>7771</v>
      </c>
      <c r="R466" s="220">
        <v>100</v>
      </c>
    </row>
    <row r="467" spans="1:18">
      <c r="A467" s="217">
        <v>358</v>
      </c>
      <c r="B467" s="218">
        <v>591110</v>
      </c>
      <c r="C467" s="218" t="s">
        <v>107</v>
      </c>
      <c r="D467" s="218" t="s">
        <v>7778</v>
      </c>
      <c r="E467" s="218" t="s">
        <v>8458</v>
      </c>
      <c r="F467" s="218" t="s">
        <v>7790</v>
      </c>
      <c r="G467" s="218" t="s">
        <v>7767</v>
      </c>
      <c r="H467" s="218">
        <v>1024</v>
      </c>
      <c r="I467" s="219">
        <v>20800000</v>
      </c>
      <c r="J467" s="219">
        <v>0</v>
      </c>
      <c r="K467" s="219">
        <v>20800000</v>
      </c>
      <c r="L467" s="218" t="s">
        <v>7791</v>
      </c>
      <c r="M467" s="218">
        <v>1</v>
      </c>
      <c r="N467" s="218" t="s">
        <v>8459</v>
      </c>
      <c r="O467" s="218" t="s">
        <v>2449</v>
      </c>
      <c r="P467" s="218">
        <v>399</v>
      </c>
      <c r="Q467" s="218" t="s">
        <v>7771</v>
      </c>
      <c r="R467" s="220">
        <v>100</v>
      </c>
    </row>
    <row r="468" spans="1:18">
      <c r="A468" s="217">
        <v>360</v>
      </c>
      <c r="B468" s="218">
        <v>591112</v>
      </c>
      <c r="C468" s="218" t="s">
        <v>107</v>
      </c>
      <c r="D468" s="218" t="s">
        <v>7778</v>
      </c>
      <c r="E468" s="218" t="s">
        <v>8460</v>
      </c>
      <c r="F468" s="218" t="s">
        <v>7790</v>
      </c>
      <c r="G468" s="218" t="s">
        <v>7767</v>
      </c>
      <c r="H468" s="218">
        <v>1024</v>
      </c>
      <c r="I468" s="219">
        <v>20800000</v>
      </c>
      <c r="J468" s="219">
        <v>0</v>
      </c>
      <c r="K468" s="219">
        <v>20800000</v>
      </c>
      <c r="L468" s="218" t="s">
        <v>7791</v>
      </c>
      <c r="M468" s="218">
        <v>1</v>
      </c>
      <c r="N468" s="218" t="s">
        <v>8461</v>
      </c>
      <c r="O468" s="218" t="s">
        <v>2449</v>
      </c>
      <c r="P468" s="218">
        <v>399</v>
      </c>
      <c r="Q468" s="218" t="s">
        <v>7771</v>
      </c>
      <c r="R468" s="220">
        <v>100</v>
      </c>
    </row>
    <row r="469" spans="1:18">
      <c r="A469" s="217">
        <v>388</v>
      </c>
      <c r="B469" s="218">
        <v>587596</v>
      </c>
      <c r="C469" s="218" t="s">
        <v>107</v>
      </c>
      <c r="D469" s="218" t="s">
        <v>7778</v>
      </c>
      <c r="E469" s="218" t="s">
        <v>8508</v>
      </c>
      <c r="F469" s="218" t="s">
        <v>7790</v>
      </c>
      <c r="G469" s="218" t="s">
        <v>7767</v>
      </c>
      <c r="H469" s="218">
        <v>1024</v>
      </c>
      <c r="I469" s="219">
        <v>20800000</v>
      </c>
      <c r="J469" s="219">
        <v>0</v>
      </c>
      <c r="K469" s="219">
        <v>20800000</v>
      </c>
      <c r="L469" s="218" t="s">
        <v>7791</v>
      </c>
      <c r="M469" s="218">
        <v>1</v>
      </c>
      <c r="N469" s="218" t="s">
        <v>8510</v>
      </c>
      <c r="O469" s="218" t="s">
        <v>2476</v>
      </c>
      <c r="P469" s="218">
        <v>399</v>
      </c>
      <c r="Q469" s="218" t="s">
        <v>7771</v>
      </c>
      <c r="R469" s="220">
        <v>100</v>
      </c>
    </row>
    <row r="470" spans="1:18">
      <c r="A470" s="217">
        <v>389</v>
      </c>
      <c r="B470" s="218">
        <v>587597</v>
      </c>
      <c r="C470" s="218" t="s">
        <v>107</v>
      </c>
      <c r="D470" s="218" t="s">
        <v>7778</v>
      </c>
      <c r="E470" s="218" t="s">
        <v>8508</v>
      </c>
      <c r="F470" s="218" t="s">
        <v>7790</v>
      </c>
      <c r="G470" s="218" t="s">
        <v>7767</v>
      </c>
      <c r="H470" s="218">
        <v>1024</v>
      </c>
      <c r="I470" s="219">
        <v>20800000</v>
      </c>
      <c r="J470" s="219">
        <v>0</v>
      </c>
      <c r="K470" s="219">
        <v>20800000</v>
      </c>
      <c r="L470" s="218" t="s">
        <v>7791</v>
      </c>
      <c r="M470" s="218">
        <v>1</v>
      </c>
      <c r="N470" s="218" t="s">
        <v>8511</v>
      </c>
      <c r="O470" s="218" t="s">
        <v>2476</v>
      </c>
      <c r="P470" s="218">
        <v>399</v>
      </c>
      <c r="Q470" s="218" t="s">
        <v>7771</v>
      </c>
      <c r="R470" s="220">
        <v>100</v>
      </c>
    </row>
    <row r="471" spans="1:18">
      <c r="A471" s="217">
        <v>390</v>
      </c>
      <c r="B471" s="218">
        <v>587600</v>
      </c>
      <c r="C471" s="218" t="s">
        <v>107</v>
      </c>
      <c r="D471" s="218" t="s">
        <v>7778</v>
      </c>
      <c r="E471" s="218" t="s">
        <v>8508</v>
      </c>
      <c r="F471" s="218" t="s">
        <v>7790</v>
      </c>
      <c r="G471" s="218" t="s">
        <v>7767</v>
      </c>
      <c r="H471" s="218">
        <v>1024</v>
      </c>
      <c r="I471" s="219">
        <v>20800000</v>
      </c>
      <c r="J471" s="219">
        <v>0</v>
      </c>
      <c r="K471" s="219">
        <v>20800000</v>
      </c>
      <c r="L471" s="218" t="s">
        <v>7791</v>
      </c>
      <c r="M471" s="218">
        <v>1</v>
      </c>
      <c r="N471" s="218" t="s">
        <v>8498</v>
      </c>
      <c r="O471" s="218" t="s">
        <v>2476</v>
      </c>
      <c r="P471" s="218">
        <v>399</v>
      </c>
      <c r="Q471" s="218" t="s">
        <v>7771</v>
      </c>
      <c r="R471" s="220">
        <v>100</v>
      </c>
    </row>
    <row r="472" spans="1:18">
      <c r="A472" s="217">
        <v>391</v>
      </c>
      <c r="B472" s="218">
        <v>587601</v>
      </c>
      <c r="C472" s="218" t="s">
        <v>107</v>
      </c>
      <c r="D472" s="218" t="s">
        <v>7778</v>
      </c>
      <c r="E472" s="218" t="s">
        <v>8508</v>
      </c>
      <c r="F472" s="218" t="s">
        <v>7790</v>
      </c>
      <c r="G472" s="218" t="s">
        <v>7767</v>
      </c>
      <c r="H472" s="218">
        <v>1024</v>
      </c>
      <c r="I472" s="219">
        <v>20800000</v>
      </c>
      <c r="J472" s="219">
        <v>0</v>
      </c>
      <c r="K472" s="219">
        <v>20800000</v>
      </c>
      <c r="L472" s="218" t="s">
        <v>7791</v>
      </c>
      <c r="M472" s="218">
        <v>1</v>
      </c>
      <c r="N472" s="218" t="s">
        <v>8512</v>
      </c>
      <c r="O472" s="218" t="s">
        <v>2476</v>
      </c>
      <c r="P472" s="218">
        <v>399</v>
      </c>
      <c r="Q472" s="218" t="s">
        <v>7771</v>
      </c>
      <c r="R472" s="220">
        <v>100</v>
      </c>
    </row>
    <row r="473" spans="1:18">
      <c r="A473" s="217">
        <v>392</v>
      </c>
      <c r="B473" s="218">
        <v>587602</v>
      </c>
      <c r="C473" s="218" t="s">
        <v>107</v>
      </c>
      <c r="D473" s="218" t="s">
        <v>7778</v>
      </c>
      <c r="E473" s="218" t="s">
        <v>8508</v>
      </c>
      <c r="F473" s="218" t="s">
        <v>7790</v>
      </c>
      <c r="G473" s="218" t="s">
        <v>7767</v>
      </c>
      <c r="H473" s="218">
        <v>1024</v>
      </c>
      <c r="I473" s="219">
        <v>20800000</v>
      </c>
      <c r="J473" s="219">
        <v>0</v>
      </c>
      <c r="K473" s="219">
        <v>20800000</v>
      </c>
      <c r="L473" s="218" t="s">
        <v>7791</v>
      </c>
      <c r="M473" s="218">
        <v>1</v>
      </c>
      <c r="N473" s="218" t="s">
        <v>2501</v>
      </c>
      <c r="O473" s="218" t="s">
        <v>2476</v>
      </c>
      <c r="P473" s="218">
        <v>399</v>
      </c>
      <c r="Q473" s="218" t="s">
        <v>7771</v>
      </c>
      <c r="R473" s="220">
        <v>100</v>
      </c>
    </row>
    <row r="474" spans="1:18">
      <c r="A474" s="217">
        <v>393</v>
      </c>
      <c r="B474" s="218">
        <v>587603</v>
      </c>
      <c r="C474" s="218" t="s">
        <v>107</v>
      </c>
      <c r="D474" s="218" t="s">
        <v>7778</v>
      </c>
      <c r="E474" s="218" t="s">
        <v>8508</v>
      </c>
      <c r="F474" s="218" t="s">
        <v>7790</v>
      </c>
      <c r="G474" s="218" t="s">
        <v>7767</v>
      </c>
      <c r="H474" s="218">
        <v>1024</v>
      </c>
      <c r="I474" s="219">
        <v>20800000</v>
      </c>
      <c r="J474" s="219">
        <v>0</v>
      </c>
      <c r="K474" s="219">
        <v>20800000</v>
      </c>
      <c r="L474" s="218" t="s">
        <v>7791</v>
      </c>
      <c r="M474" s="218">
        <v>1</v>
      </c>
      <c r="N474" s="218" t="s">
        <v>2505</v>
      </c>
      <c r="O474" s="218" t="s">
        <v>2476</v>
      </c>
      <c r="P474" s="218">
        <v>399</v>
      </c>
      <c r="Q474" s="218" t="s">
        <v>7771</v>
      </c>
      <c r="R474" s="220">
        <v>100</v>
      </c>
    </row>
    <row r="475" spans="1:18">
      <c r="A475" s="217">
        <v>394</v>
      </c>
      <c r="B475" s="218">
        <v>587604</v>
      </c>
      <c r="C475" s="218" t="s">
        <v>107</v>
      </c>
      <c r="D475" s="218" t="s">
        <v>7778</v>
      </c>
      <c r="E475" s="218" t="s">
        <v>8508</v>
      </c>
      <c r="F475" s="218" t="s">
        <v>7790</v>
      </c>
      <c r="G475" s="218" t="s">
        <v>7767</v>
      </c>
      <c r="H475" s="218">
        <v>1024</v>
      </c>
      <c r="I475" s="219">
        <v>20800000</v>
      </c>
      <c r="J475" s="219">
        <v>0</v>
      </c>
      <c r="K475" s="219">
        <v>20800000</v>
      </c>
      <c r="L475" s="218" t="s">
        <v>7791</v>
      </c>
      <c r="M475" s="218">
        <v>1</v>
      </c>
      <c r="N475" s="218" t="s">
        <v>8513</v>
      </c>
      <c r="O475" s="218" t="s">
        <v>2476</v>
      </c>
      <c r="P475" s="218">
        <v>399</v>
      </c>
      <c r="Q475" s="218" t="s">
        <v>7771</v>
      </c>
      <c r="R475" s="220">
        <v>100</v>
      </c>
    </row>
    <row r="476" spans="1:18">
      <c r="A476" s="217">
        <v>395</v>
      </c>
      <c r="B476" s="218">
        <v>587606</v>
      </c>
      <c r="C476" s="218" t="s">
        <v>107</v>
      </c>
      <c r="D476" s="218" t="s">
        <v>7778</v>
      </c>
      <c r="E476" s="218" t="s">
        <v>8508</v>
      </c>
      <c r="F476" s="218" t="s">
        <v>7790</v>
      </c>
      <c r="G476" s="218" t="s">
        <v>7767</v>
      </c>
      <c r="H476" s="218">
        <v>1024</v>
      </c>
      <c r="I476" s="219">
        <v>20800000</v>
      </c>
      <c r="J476" s="219">
        <v>0</v>
      </c>
      <c r="K476" s="219">
        <v>20800000</v>
      </c>
      <c r="L476" s="218" t="s">
        <v>7791</v>
      </c>
      <c r="M476" s="218">
        <v>1</v>
      </c>
      <c r="N476" s="218" t="s">
        <v>8507</v>
      </c>
      <c r="O476" s="218" t="s">
        <v>2476</v>
      </c>
      <c r="P476" s="218">
        <v>399</v>
      </c>
      <c r="Q476" s="218" t="s">
        <v>7771</v>
      </c>
      <c r="R476" s="220">
        <v>100</v>
      </c>
    </row>
    <row r="477" spans="1:18">
      <c r="A477" s="217">
        <v>396</v>
      </c>
      <c r="B477" s="218">
        <v>587536</v>
      </c>
      <c r="C477" s="218" t="s">
        <v>107</v>
      </c>
      <c r="D477" s="218" t="s">
        <v>7778</v>
      </c>
      <c r="E477" s="218" t="s">
        <v>8514</v>
      </c>
      <c r="F477" s="218" t="s">
        <v>7790</v>
      </c>
      <c r="G477" s="218" t="s">
        <v>7767</v>
      </c>
      <c r="H477" s="218">
        <v>1024</v>
      </c>
      <c r="I477" s="219">
        <v>20800000</v>
      </c>
      <c r="J477" s="219">
        <v>0</v>
      </c>
      <c r="K477" s="219">
        <v>20800000</v>
      </c>
      <c r="L477" s="218" t="s">
        <v>7791</v>
      </c>
      <c r="M477" s="218">
        <v>1</v>
      </c>
      <c r="N477" s="218" t="s">
        <v>8503</v>
      </c>
      <c r="O477" s="218" t="s">
        <v>2476</v>
      </c>
      <c r="P477" s="218">
        <v>399</v>
      </c>
      <c r="Q477" s="218" t="s">
        <v>7771</v>
      </c>
      <c r="R477" s="220">
        <v>100</v>
      </c>
    </row>
    <row r="478" spans="1:18">
      <c r="A478" s="217">
        <v>405</v>
      </c>
      <c r="B478" s="218">
        <v>593923</v>
      </c>
      <c r="C478" s="218" t="s">
        <v>107</v>
      </c>
      <c r="D478" s="218" t="s">
        <v>7778</v>
      </c>
      <c r="E478" s="218" t="s">
        <v>8531</v>
      </c>
      <c r="F478" s="218" t="s">
        <v>7790</v>
      </c>
      <c r="G478" s="218" t="s">
        <v>7767</v>
      </c>
      <c r="H478" s="218">
        <v>1024</v>
      </c>
      <c r="I478" s="219">
        <v>20800000</v>
      </c>
      <c r="J478" s="219">
        <v>0</v>
      </c>
      <c r="K478" s="219">
        <v>20800000</v>
      </c>
      <c r="L478" s="218" t="s">
        <v>7791</v>
      </c>
      <c r="M478" s="218">
        <v>1</v>
      </c>
      <c r="N478" s="218" t="s">
        <v>8524</v>
      </c>
      <c r="O478" s="218" t="s">
        <v>8519</v>
      </c>
      <c r="P478" s="218">
        <v>399</v>
      </c>
      <c r="Q478" s="218" t="s">
        <v>7771</v>
      </c>
      <c r="R478" s="220">
        <v>100</v>
      </c>
    </row>
    <row r="479" spans="1:18">
      <c r="A479" s="217">
        <v>406</v>
      </c>
      <c r="B479" s="218">
        <v>593924</v>
      </c>
      <c r="C479" s="218" t="s">
        <v>107</v>
      </c>
      <c r="D479" s="218" t="s">
        <v>7778</v>
      </c>
      <c r="E479" s="218" t="s">
        <v>8531</v>
      </c>
      <c r="F479" s="218" t="s">
        <v>7790</v>
      </c>
      <c r="G479" s="218" t="s">
        <v>7767</v>
      </c>
      <c r="H479" s="218">
        <v>1024</v>
      </c>
      <c r="I479" s="219">
        <v>20800000</v>
      </c>
      <c r="J479" s="219">
        <v>0</v>
      </c>
      <c r="K479" s="219">
        <v>20800000</v>
      </c>
      <c r="L479" s="218" t="s">
        <v>7791</v>
      </c>
      <c r="M479" s="218">
        <v>1</v>
      </c>
      <c r="N479" s="218" t="s">
        <v>8532</v>
      </c>
      <c r="O479" s="218" t="s">
        <v>8519</v>
      </c>
      <c r="P479" s="218">
        <v>399</v>
      </c>
      <c r="Q479" s="218" t="s">
        <v>7771</v>
      </c>
      <c r="R479" s="220">
        <v>100</v>
      </c>
    </row>
    <row r="480" spans="1:18">
      <c r="A480" s="217">
        <v>407</v>
      </c>
      <c r="B480" s="218">
        <v>593925</v>
      </c>
      <c r="C480" s="218" t="s">
        <v>107</v>
      </c>
      <c r="D480" s="218" t="s">
        <v>7778</v>
      </c>
      <c r="E480" s="218" t="s">
        <v>8531</v>
      </c>
      <c r="F480" s="218" t="s">
        <v>7790</v>
      </c>
      <c r="G480" s="218" t="s">
        <v>7767</v>
      </c>
      <c r="H480" s="218">
        <v>1024</v>
      </c>
      <c r="I480" s="219">
        <v>20800000</v>
      </c>
      <c r="J480" s="219">
        <v>0</v>
      </c>
      <c r="K480" s="219">
        <v>20800000</v>
      </c>
      <c r="L480" s="218" t="s">
        <v>7791</v>
      </c>
      <c r="M480" s="218">
        <v>1</v>
      </c>
      <c r="N480" s="218" t="s">
        <v>8533</v>
      </c>
      <c r="O480" s="218" t="s">
        <v>8519</v>
      </c>
      <c r="P480" s="218">
        <v>399</v>
      </c>
      <c r="Q480" s="218" t="s">
        <v>7771</v>
      </c>
      <c r="R480" s="220">
        <v>100</v>
      </c>
    </row>
    <row r="481" spans="1:18">
      <c r="A481" s="217">
        <v>413</v>
      </c>
      <c r="B481" s="218">
        <v>651138</v>
      </c>
      <c r="C481" s="218" t="s">
        <v>107</v>
      </c>
      <c r="D481" s="218" t="s">
        <v>7778</v>
      </c>
      <c r="E481" s="218" t="s">
        <v>8541</v>
      </c>
      <c r="F481" s="218" t="s">
        <v>7790</v>
      </c>
      <c r="G481" s="218" t="s">
        <v>7767</v>
      </c>
      <c r="H481" s="218">
        <v>1024</v>
      </c>
      <c r="I481" s="219">
        <v>20800000</v>
      </c>
      <c r="J481" s="219">
        <v>0</v>
      </c>
      <c r="K481" s="219">
        <v>20800000</v>
      </c>
      <c r="L481" s="218" t="s">
        <v>7791</v>
      </c>
      <c r="M481" s="218">
        <v>1</v>
      </c>
      <c r="N481" s="218" t="s">
        <v>8542</v>
      </c>
      <c r="O481" s="218" t="s">
        <v>2592</v>
      </c>
      <c r="P481" s="218">
        <v>399</v>
      </c>
      <c r="Q481" s="218" t="s">
        <v>7771</v>
      </c>
      <c r="R481" s="220">
        <v>100</v>
      </c>
    </row>
    <row r="482" spans="1:18">
      <c r="A482" s="217">
        <v>426</v>
      </c>
      <c r="B482" s="218">
        <v>9902218481</v>
      </c>
      <c r="C482" s="218" t="s">
        <v>107</v>
      </c>
      <c r="D482" s="218" t="s">
        <v>7778</v>
      </c>
      <c r="E482" s="218" t="s">
        <v>8565</v>
      </c>
      <c r="F482" s="218" t="s">
        <v>7790</v>
      </c>
      <c r="G482" s="218" t="s">
        <v>7767</v>
      </c>
      <c r="H482" s="218">
        <v>1024</v>
      </c>
      <c r="I482" s="219">
        <v>20800000</v>
      </c>
      <c r="J482" s="219">
        <v>0</v>
      </c>
      <c r="K482" s="219">
        <v>20800000</v>
      </c>
      <c r="L482" s="218" t="s">
        <v>7791</v>
      </c>
      <c r="M482" s="218">
        <v>1</v>
      </c>
      <c r="N482" s="218" t="s">
        <v>8566</v>
      </c>
      <c r="O482" s="218" t="s">
        <v>2592</v>
      </c>
      <c r="P482" s="218">
        <v>399</v>
      </c>
      <c r="Q482" s="218" t="s">
        <v>7771</v>
      </c>
      <c r="R482" s="220">
        <v>100</v>
      </c>
    </row>
    <row r="483" spans="1:18">
      <c r="A483" s="217">
        <v>427</v>
      </c>
      <c r="B483" s="218">
        <v>9902228141</v>
      </c>
      <c r="C483" s="218" t="s">
        <v>107</v>
      </c>
      <c r="D483" s="218" t="s">
        <v>7778</v>
      </c>
      <c r="E483" s="218" t="s">
        <v>8567</v>
      </c>
      <c r="F483" s="218" t="s">
        <v>7790</v>
      </c>
      <c r="G483" s="218" t="s">
        <v>7767</v>
      </c>
      <c r="H483" s="218">
        <v>1024</v>
      </c>
      <c r="I483" s="219">
        <v>20800000</v>
      </c>
      <c r="J483" s="219">
        <v>0</v>
      </c>
      <c r="K483" s="219">
        <v>20800000</v>
      </c>
      <c r="L483" s="218" t="s">
        <v>7791</v>
      </c>
      <c r="M483" s="218">
        <v>1</v>
      </c>
      <c r="N483" s="218" t="s">
        <v>8564</v>
      </c>
      <c r="O483" s="218" t="s">
        <v>2592</v>
      </c>
      <c r="P483" s="218">
        <v>399</v>
      </c>
      <c r="Q483" s="218" t="s">
        <v>7771</v>
      </c>
      <c r="R483" s="220">
        <v>100</v>
      </c>
    </row>
    <row r="484" spans="1:18">
      <c r="A484" s="217">
        <v>428</v>
      </c>
      <c r="B484" s="218">
        <v>9902228101</v>
      </c>
      <c r="C484" s="218" t="s">
        <v>107</v>
      </c>
      <c r="D484" s="218" t="s">
        <v>7778</v>
      </c>
      <c r="E484" s="218" t="s">
        <v>8554</v>
      </c>
      <c r="F484" s="218" t="s">
        <v>7790</v>
      </c>
      <c r="G484" s="218" t="s">
        <v>7767</v>
      </c>
      <c r="H484" s="218">
        <v>1024</v>
      </c>
      <c r="I484" s="219">
        <v>20800000</v>
      </c>
      <c r="J484" s="219">
        <v>0</v>
      </c>
      <c r="K484" s="219">
        <v>20800000</v>
      </c>
      <c r="L484" s="218" t="s">
        <v>7791</v>
      </c>
      <c r="M484" s="218">
        <v>1</v>
      </c>
      <c r="N484" s="218" t="s">
        <v>8568</v>
      </c>
      <c r="O484" s="218" t="s">
        <v>2592</v>
      </c>
      <c r="P484" s="218">
        <v>399</v>
      </c>
      <c r="Q484" s="218" t="s">
        <v>7771</v>
      </c>
      <c r="R484" s="220">
        <v>100</v>
      </c>
    </row>
    <row r="485" spans="1:18">
      <c r="A485" s="217">
        <v>429</v>
      </c>
      <c r="B485" s="218">
        <v>9902228103</v>
      </c>
      <c r="C485" s="218" t="s">
        <v>107</v>
      </c>
      <c r="D485" s="218" t="s">
        <v>7778</v>
      </c>
      <c r="E485" s="218" t="s">
        <v>8569</v>
      </c>
      <c r="F485" s="218" t="s">
        <v>7790</v>
      </c>
      <c r="G485" s="218" t="s">
        <v>7767</v>
      </c>
      <c r="H485" s="218">
        <v>1024</v>
      </c>
      <c r="I485" s="219">
        <v>20800000</v>
      </c>
      <c r="J485" s="219">
        <v>0</v>
      </c>
      <c r="K485" s="219">
        <v>20800000</v>
      </c>
      <c r="L485" s="218" t="s">
        <v>7791</v>
      </c>
      <c r="M485" s="218">
        <v>1</v>
      </c>
      <c r="N485" s="218" t="s">
        <v>8570</v>
      </c>
      <c r="O485" s="218" t="s">
        <v>2592</v>
      </c>
      <c r="P485" s="218">
        <v>399</v>
      </c>
      <c r="Q485" s="218" t="s">
        <v>7771</v>
      </c>
      <c r="R485" s="220">
        <v>100</v>
      </c>
    </row>
    <row r="486" spans="1:18">
      <c r="A486" s="217">
        <v>430</v>
      </c>
      <c r="B486" s="218">
        <v>9902228114</v>
      </c>
      <c r="C486" s="218" t="s">
        <v>107</v>
      </c>
      <c r="D486" s="218" t="s">
        <v>7778</v>
      </c>
      <c r="E486" s="218" t="s">
        <v>8571</v>
      </c>
      <c r="F486" s="218" t="s">
        <v>7790</v>
      </c>
      <c r="G486" s="218" t="s">
        <v>7767</v>
      </c>
      <c r="H486" s="218">
        <v>1024</v>
      </c>
      <c r="I486" s="219">
        <v>20800000</v>
      </c>
      <c r="J486" s="219">
        <v>0</v>
      </c>
      <c r="K486" s="219">
        <v>20800000</v>
      </c>
      <c r="L486" s="218" t="s">
        <v>7791</v>
      </c>
      <c r="M486" s="218">
        <v>1</v>
      </c>
      <c r="N486" s="218" t="s">
        <v>8572</v>
      </c>
      <c r="O486" s="218" t="s">
        <v>2592</v>
      </c>
      <c r="P486" s="218">
        <v>399</v>
      </c>
      <c r="Q486" s="218" t="s">
        <v>7771</v>
      </c>
      <c r="R486" s="220">
        <v>100</v>
      </c>
    </row>
    <row r="487" spans="1:18">
      <c r="A487" s="217">
        <v>431</v>
      </c>
      <c r="B487" s="218">
        <v>9902228118</v>
      </c>
      <c r="C487" s="218" t="s">
        <v>107</v>
      </c>
      <c r="D487" s="218" t="s">
        <v>7778</v>
      </c>
      <c r="E487" s="218" t="s">
        <v>8571</v>
      </c>
      <c r="F487" s="218" t="s">
        <v>7790</v>
      </c>
      <c r="G487" s="218" t="s">
        <v>7767</v>
      </c>
      <c r="H487" s="218">
        <v>1024</v>
      </c>
      <c r="I487" s="219">
        <v>20800000</v>
      </c>
      <c r="J487" s="219">
        <v>0</v>
      </c>
      <c r="K487" s="219">
        <v>20800000</v>
      </c>
      <c r="L487" s="218" t="s">
        <v>7791</v>
      </c>
      <c r="M487" s="218">
        <v>1</v>
      </c>
      <c r="N487" s="218" t="s">
        <v>8573</v>
      </c>
      <c r="O487" s="218" t="s">
        <v>2592</v>
      </c>
      <c r="P487" s="218">
        <v>399</v>
      </c>
      <c r="Q487" s="218" t="s">
        <v>7771</v>
      </c>
      <c r="R487" s="220">
        <v>100</v>
      </c>
    </row>
    <row r="488" spans="1:18">
      <c r="A488" s="217">
        <v>432</v>
      </c>
      <c r="B488" s="218">
        <v>9902228133</v>
      </c>
      <c r="C488" s="218" t="s">
        <v>107</v>
      </c>
      <c r="D488" s="218" t="s">
        <v>7778</v>
      </c>
      <c r="E488" s="218" t="s">
        <v>8561</v>
      </c>
      <c r="F488" s="218" t="s">
        <v>7790</v>
      </c>
      <c r="G488" s="218" t="s">
        <v>7767</v>
      </c>
      <c r="H488" s="218">
        <v>1024</v>
      </c>
      <c r="I488" s="219">
        <v>20800000</v>
      </c>
      <c r="J488" s="219">
        <v>0</v>
      </c>
      <c r="K488" s="219">
        <v>20800000</v>
      </c>
      <c r="L488" s="218" t="s">
        <v>7791</v>
      </c>
      <c r="M488" s="218">
        <v>1</v>
      </c>
      <c r="N488" s="218" t="s">
        <v>8574</v>
      </c>
      <c r="O488" s="218" t="s">
        <v>2592</v>
      </c>
      <c r="P488" s="218">
        <v>399</v>
      </c>
      <c r="Q488" s="218" t="s">
        <v>7771</v>
      </c>
      <c r="R488" s="220">
        <v>100</v>
      </c>
    </row>
    <row r="489" spans="1:18">
      <c r="A489" s="217">
        <v>441</v>
      </c>
      <c r="B489" s="218">
        <v>621852</v>
      </c>
      <c r="C489" s="218" t="s">
        <v>107</v>
      </c>
      <c r="D489" s="218" t="s">
        <v>7778</v>
      </c>
      <c r="E489" s="218" t="s">
        <v>8592</v>
      </c>
      <c r="F489" s="218" t="s">
        <v>7790</v>
      </c>
      <c r="G489" s="218" t="s">
        <v>7767</v>
      </c>
      <c r="H489" s="218">
        <v>1024</v>
      </c>
      <c r="I489" s="219">
        <v>20800000</v>
      </c>
      <c r="J489" s="219">
        <v>0</v>
      </c>
      <c r="K489" s="219">
        <v>20800000</v>
      </c>
      <c r="L489" s="218" t="s">
        <v>7791</v>
      </c>
      <c r="M489" s="218">
        <v>1</v>
      </c>
      <c r="N489" s="218" t="s">
        <v>8593</v>
      </c>
      <c r="O489" s="218" t="s">
        <v>8594</v>
      </c>
      <c r="P489" s="218">
        <v>399</v>
      </c>
      <c r="Q489" s="218" t="s">
        <v>7771</v>
      </c>
      <c r="R489" s="220">
        <v>100</v>
      </c>
    </row>
    <row r="490" spans="1:18">
      <c r="A490" s="217">
        <v>453</v>
      </c>
      <c r="B490" s="218">
        <v>595211</v>
      </c>
      <c r="C490" s="218" t="s">
        <v>107</v>
      </c>
      <c r="D490" s="218" t="s">
        <v>7778</v>
      </c>
      <c r="E490" s="218" t="s">
        <v>8618</v>
      </c>
      <c r="F490" s="218" t="s">
        <v>7790</v>
      </c>
      <c r="G490" s="218" t="s">
        <v>7767</v>
      </c>
      <c r="H490" s="218">
        <v>1024</v>
      </c>
      <c r="I490" s="219">
        <v>20800000</v>
      </c>
      <c r="J490" s="219">
        <v>0</v>
      </c>
      <c r="K490" s="219">
        <v>20800000</v>
      </c>
      <c r="L490" s="218" t="s">
        <v>7791</v>
      </c>
      <c r="M490" s="218">
        <v>1</v>
      </c>
      <c r="N490" s="218" t="s">
        <v>8619</v>
      </c>
      <c r="O490" s="218" t="s">
        <v>8594</v>
      </c>
      <c r="P490" s="218">
        <v>399</v>
      </c>
      <c r="Q490" s="218" t="s">
        <v>7771</v>
      </c>
      <c r="R490" s="220">
        <v>100</v>
      </c>
    </row>
    <row r="491" spans="1:18">
      <c r="A491" s="217">
        <v>455</v>
      </c>
      <c r="B491" s="218">
        <v>595214</v>
      </c>
      <c r="C491" s="218" t="s">
        <v>107</v>
      </c>
      <c r="D491" s="218" t="s">
        <v>7778</v>
      </c>
      <c r="E491" s="218" t="s">
        <v>8622</v>
      </c>
      <c r="F491" s="218" t="s">
        <v>7790</v>
      </c>
      <c r="G491" s="218" t="s">
        <v>7767</v>
      </c>
      <c r="H491" s="218">
        <v>1024</v>
      </c>
      <c r="I491" s="219">
        <v>20800000</v>
      </c>
      <c r="J491" s="219">
        <v>0</v>
      </c>
      <c r="K491" s="219">
        <v>20800000</v>
      </c>
      <c r="L491" s="218" t="s">
        <v>7791</v>
      </c>
      <c r="M491" s="218">
        <v>1</v>
      </c>
      <c r="N491" s="218" t="s">
        <v>8623</v>
      </c>
      <c r="O491" s="218" t="s">
        <v>8594</v>
      </c>
      <c r="P491" s="218">
        <v>399</v>
      </c>
      <c r="Q491" s="218" t="s">
        <v>7771</v>
      </c>
      <c r="R491" s="220">
        <v>100</v>
      </c>
    </row>
    <row r="492" spans="1:18">
      <c r="A492" s="217">
        <v>456</v>
      </c>
      <c r="B492" s="218">
        <v>595215</v>
      </c>
      <c r="C492" s="218" t="s">
        <v>107</v>
      </c>
      <c r="D492" s="218" t="s">
        <v>7778</v>
      </c>
      <c r="E492" s="218" t="s">
        <v>8624</v>
      </c>
      <c r="F492" s="218" t="s">
        <v>7790</v>
      </c>
      <c r="G492" s="218" t="s">
        <v>7767</v>
      </c>
      <c r="H492" s="218">
        <v>1024</v>
      </c>
      <c r="I492" s="219">
        <v>20800000</v>
      </c>
      <c r="J492" s="219">
        <v>0</v>
      </c>
      <c r="K492" s="219">
        <v>20800000</v>
      </c>
      <c r="L492" s="218" t="s">
        <v>7791</v>
      </c>
      <c r="M492" s="218">
        <v>1</v>
      </c>
      <c r="N492" s="218" t="s">
        <v>8625</v>
      </c>
      <c r="O492" s="218" t="s">
        <v>8594</v>
      </c>
      <c r="P492" s="218">
        <v>399</v>
      </c>
      <c r="Q492" s="218" t="s">
        <v>7771</v>
      </c>
      <c r="R492" s="220">
        <v>100</v>
      </c>
    </row>
    <row r="493" spans="1:18">
      <c r="A493" s="217">
        <v>457</v>
      </c>
      <c r="B493" s="218">
        <v>595216</v>
      </c>
      <c r="C493" s="218" t="s">
        <v>107</v>
      </c>
      <c r="D493" s="218" t="s">
        <v>7778</v>
      </c>
      <c r="E493" s="218" t="s">
        <v>8626</v>
      </c>
      <c r="F493" s="218" t="s">
        <v>7790</v>
      </c>
      <c r="G493" s="218" t="s">
        <v>7767</v>
      </c>
      <c r="H493" s="218">
        <v>1024</v>
      </c>
      <c r="I493" s="219">
        <v>20800000</v>
      </c>
      <c r="J493" s="219">
        <v>0</v>
      </c>
      <c r="K493" s="219">
        <v>20800000</v>
      </c>
      <c r="L493" s="218" t="s">
        <v>7791</v>
      </c>
      <c r="M493" s="218">
        <v>1</v>
      </c>
      <c r="N493" s="218" t="s">
        <v>8627</v>
      </c>
      <c r="O493" s="218" t="s">
        <v>8594</v>
      </c>
      <c r="P493" s="218">
        <v>399</v>
      </c>
      <c r="Q493" s="218" t="s">
        <v>7771</v>
      </c>
      <c r="R493" s="220">
        <v>100</v>
      </c>
    </row>
    <row r="494" spans="1:18">
      <c r="A494" s="217">
        <v>458</v>
      </c>
      <c r="B494" s="218">
        <v>595218</v>
      </c>
      <c r="C494" s="218" t="s">
        <v>107</v>
      </c>
      <c r="D494" s="218" t="s">
        <v>7778</v>
      </c>
      <c r="E494" s="218" t="s">
        <v>8620</v>
      </c>
      <c r="F494" s="218" t="s">
        <v>7790</v>
      </c>
      <c r="G494" s="218" t="s">
        <v>7767</v>
      </c>
      <c r="H494" s="218">
        <v>1024</v>
      </c>
      <c r="I494" s="219">
        <v>20800000</v>
      </c>
      <c r="J494" s="219">
        <v>0</v>
      </c>
      <c r="K494" s="219">
        <v>20800000</v>
      </c>
      <c r="L494" s="218" t="s">
        <v>7791</v>
      </c>
      <c r="M494" s="218">
        <v>1</v>
      </c>
      <c r="N494" s="218" t="s">
        <v>8612</v>
      </c>
      <c r="O494" s="218" t="s">
        <v>8594</v>
      </c>
      <c r="P494" s="218">
        <v>399</v>
      </c>
      <c r="Q494" s="218" t="s">
        <v>7771</v>
      </c>
      <c r="R494" s="220">
        <v>100</v>
      </c>
    </row>
    <row r="495" spans="1:18">
      <c r="A495" s="217">
        <v>459</v>
      </c>
      <c r="B495" s="218">
        <v>619720</v>
      </c>
      <c r="C495" s="218" t="s">
        <v>107</v>
      </c>
      <c r="D495" s="218" t="s">
        <v>7778</v>
      </c>
      <c r="E495" s="218" t="s">
        <v>8628</v>
      </c>
      <c r="F495" s="218" t="s">
        <v>7790</v>
      </c>
      <c r="G495" s="218" t="s">
        <v>7767</v>
      </c>
      <c r="H495" s="218">
        <v>1024</v>
      </c>
      <c r="I495" s="219">
        <v>20800000</v>
      </c>
      <c r="J495" s="219">
        <v>0</v>
      </c>
      <c r="K495" s="219">
        <v>20800000</v>
      </c>
      <c r="L495" s="218" t="s">
        <v>7791</v>
      </c>
      <c r="M495" s="218">
        <v>1</v>
      </c>
      <c r="N495" s="218" t="s">
        <v>8629</v>
      </c>
      <c r="O495" s="218" t="s">
        <v>2969</v>
      </c>
      <c r="P495" s="218">
        <v>399</v>
      </c>
      <c r="Q495" s="218" t="s">
        <v>7771</v>
      </c>
      <c r="R495" s="220">
        <v>100</v>
      </c>
    </row>
    <row r="496" spans="1:18">
      <c r="A496" s="217">
        <v>460</v>
      </c>
      <c r="B496" s="218">
        <v>620236</v>
      </c>
      <c r="C496" s="218" t="s">
        <v>107</v>
      </c>
      <c r="D496" s="218" t="s">
        <v>7778</v>
      </c>
      <c r="E496" s="218" t="s">
        <v>8630</v>
      </c>
      <c r="F496" s="218" t="s">
        <v>7790</v>
      </c>
      <c r="G496" s="218" t="s">
        <v>7767</v>
      </c>
      <c r="H496" s="218">
        <v>1024</v>
      </c>
      <c r="I496" s="219">
        <v>20800000</v>
      </c>
      <c r="J496" s="219">
        <v>0</v>
      </c>
      <c r="K496" s="219">
        <v>20800000</v>
      </c>
      <c r="L496" s="218" t="s">
        <v>7791</v>
      </c>
      <c r="M496" s="218">
        <v>1</v>
      </c>
      <c r="N496" s="218" t="s">
        <v>8631</v>
      </c>
      <c r="O496" s="218" t="s">
        <v>2969</v>
      </c>
      <c r="P496" s="218">
        <v>399</v>
      </c>
      <c r="Q496" s="218" t="s">
        <v>7771</v>
      </c>
      <c r="R496" s="220">
        <v>100</v>
      </c>
    </row>
    <row r="497" spans="1:18">
      <c r="A497" s="217">
        <v>464</v>
      </c>
      <c r="B497" s="218">
        <v>518543</v>
      </c>
      <c r="C497" s="218" t="s">
        <v>335</v>
      </c>
      <c r="D497" s="218" t="s">
        <v>7778</v>
      </c>
      <c r="E497" s="218" t="s">
        <v>8638</v>
      </c>
      <c r="F497" s="218" t="s">
        <v>7780</v>
      </c>
      <c r="G497" s="218" t="s">
        <v>7767</v>
      </c>
      <c r="H497" s="218">
        <v>1024</v>
      </c>
      <c r="I497" s="219">
        <v>20800000</v>
      </c>
      <c r="J497" s="219">
        <v>0</v>
      </c>
      <c r="K497" s="219">
        <v>20800000</v>
      </c>
      <c r="L497" s="218" t="s">
        <v>7781</v>
      </c>
      <c r="M497" s="218">
        <v>1</v>
      </c>
      <c r="N497" s="218" t="s">
        <v>8639</v>
      </c>
      <c r="O497" s="218" t="s">
        <v>3001</v>
      </c>
      <c r="P497" s="218">
        <v>399</v>
      </c>
      <c r="Q497" s="218" t="s">
        <v>7771</v>
      </c>
      <c r="R497" s="220">
        <v>100</v>
      </c>
    </row>
    <row r="498" spans="1:18">
      <c r="A498" s="217">
        <v>467</v>
      </c>
      <c r="B498" s="218">
        <v>593572</v>
      </c>
      <c r="C498" s="218" t="s">
        <v>107</v>
      </c>
      <c r="D498" s="218" t="s">
        <v>7778</v>
      </c>
      <c r="E498" s="218" t="s">
        <v>8645</v>
      </c>
      <c r="F498" s="218" t="s">
        <v>7790</v>
      </c>
      <c r="G498" s="218" t="s">
        <v>7767</v>
      </c>
      <c r="H498" s="218">
        <v>1024</v>
      </c>
      <c r="I498" s="219">
        <v>20800000</v>
      </c>
      <c r="J498" s="219">
        <v>0</v>
      </c>
      <c r="K498" s="219">
        <v>20800000</v>
      </c>
      <c r="L498" s="218" t="s">
        <v>7791</v>
      </c>
      <c r="M498" s="218">
        <v>1</v>
      </c>
      <c r="N498" s="218" t="s">
        <v>8646</v>
      </c>
      <c r="O498" s="218" t="s">
        <v>3001</v>
      </c>
      <c r="P498" s="218">
        <v>399</v>
      </c>
      <c r="Q498" s="218" t="s">
        <v>7771</v>
      </c>
      <c r="R498" s="220">
        <v>100</v>
      </c>
    </row>
    <row r="499" spans="1:18">
      <c r="A499" s="217">
        <v>468</v>
      </c>
      <c r="B499" s="218">
        <v>612786</v>
      </c>
      <c r="C499" s="218" t="s">
        <v>107</v>
      </c>
      <c r="D499" s="218" t="s">
        <v>7778</v>
      </c>
      <c r="E499" s="218" t="s">
        <v>8647</v>
      </c>
      <c r="F499" s="218" t="s">
        <v>7790</v>
      </c>
      <c r="G499" s="218" t="s">
        <v>7767</v>
      </c>
      <c r="H499" s="218">
        <v>1024</v>
      </c>
      <c r="I499" s="219">
        <v>20800000</v>
      </c>
      <c r="J499" s="219">
        <v>0</v>
      </c>
      <c r="K499" s="219">
        <v>20800000</v>
      </c>
      <c r="L499" s="218" t="s">
        <v>7791</v>
      </c>
      <c r="M499" s="218">
        <v>1</v>
      </c>
      <c r="N499" s="218" t="s">
        <v>8648</v>
      </c>
      <c r="O499" s="218" t="s">
        <v>3001</v>
      </c>
      <c r="P499" s="218">
        <v>399</v>
      </c>
      <c r="Q499" s="218" t="s">
        <v>7771</v>
      </c>
      <c r="R499" s="220">
        <v>100</v>
      </c>
    </row>
    <row r="500" spans="1:18">
      <c r="A500" s="217">
        <v>484</v>
      </c>
      <c r="B500" s="218">
        <v>9902217226</v>
      </c>
      <c r="C500" s="218" t="s">
        <v>107</v>
      </c>
      <c r="D500" s="218" t="s">
        <v>7778</v>
      </c>
      <c r="E500" s="218" t="s">
        <v>8675</v>
      </c>
      <c r="F500" s="218" t="s">
        <v>7790</v>
      </c>
      <c r="G500" s="218" t="s">
        <v>7767</v>
      </c>
      <c r="H500" s="218">
        <v>1024</v>
      </c>
      <c r="I500" s="219">
        <v>20800000</v>
      </c>
      <c r="J500" s="219">
        <v>0</v>
      </c>
      <c r="K500" s="219">
        <v>20800000</v>
      </c>
      <c r="L500" s="218" t="s">
        <v>7791</v>
      </c>
      <c r="M500" s="218">
        <v>1</v>
      </c>
      <c r="N500" s="218" t="s">
        <v>8676</v>
      </c>
      <c r="O500" s="218" t="s">
        <v>3018</v>
      </c>
      <c r="P500" s="218">
        <v>399</v>
      </c>
      <c r="Q500" s="218" t="s">
        <v>7771</v>
      </c>
      <c r="R500" s="220">
        <v>100</v>
      </c>
    </row>
    <row r="501" spans="1:18">
      <c r="A501" s="217">
        <v>490</v>
      </c>
      <c r="B501" s="218">
        <v>583355</v>
      </c>
      <c r="C501" s="218" t="s">
        <v>107</v>
      </c>
      <c r="D501" s="218" t="s">
        <v>7778</v>
      </c>
      <c r="E501" s="218" t="s">
        <v>8682</v>
      </c>
      <c r="F501" s="218" t="s">
        <v>7790</v>
      </c>
      <c r="G501" s="218" t="s">
        <v>7767</v>
      </c>
      <c r="H501" s="218">
        <v>1024</v>
      </c>
      <c r="I501" s="219">
        <v>20800000</v>
      </c>
      <c r="J501" s="219">
        <v>0</v>
      </c>
      <c r="K501" s="219">
        <v>20800000</v>
      </c>
      <c r="L501" s="218" t="s">
        <v>7791</v>
      </c>
      <c r="M501" s="218">
        <v>1</v>
      </c>
      <c r="N501" s="218" t="s">
        <v>8683</v>
      </c>
      <c r="O501" s="218" t="s">
        <v>3018</v>
      </c>
      <c r="P501" s="218">
        <v>399</v>
      </c>
      <c r="Q501" s="218" t="s">
        <v>7771</v>
      </c>
      <c r="R501" s="220">
        <v>100</v>
      </c>
    </row>
    <row r="502" spans="1:18">
      <c r="A502" s="217">
        <v>491</v>
      </c>
      <c r="B502" s="218">
        <v>583356</v>
      </c>
      <c r="C502" s="218" t="s">
        <v>107</v>
      </c>
      <c r="D502" s="218" t="s">
        <v>7778</v>
      </c>
      <c r="E502" s="218" t="s">
        <v>8682</v>
      </c>
      <c r="F502" s="218" t="s">
        <v>7790</v>
      </c>
      <c r="G502" s="218" t="s">
        <v>7767</v>
      </c>
      <c r="H502" s="218">
        <v>1024</v>
      </c>
      <c r="I502" s="219">
        <v>20800000</v>
      </c>
      <c r="J502" s="219">
        <v>0</v>
      </c>
      <c r="K502" s="219">
        <v>20800000</v>
      </c>
      <c r="L502" s="218" t="s">
        <v>7791</v>
      </c>
      <c r="M502" s="218">
        <v>1</v>
      </c>
      <c r="N502" s="218" t="s">
        <v>8684</v>
      </c>
      <c r="O502" s="218" t="s">
        <v>3018</v>
      </c>
      <c r="P502" s="218">
        <v>399</v>
      </c>
      <c r="Q502" s="218" t="s">
        <v>7771</v>
      </c>
      <c r="R502" s="220">
        <v>100</v>
      </c>
    </row>
    <row r="503" spans="1:18">
      <c r="A503" s="217">
        <v>492</v>
      </c>
      <c r="B503" s="218">
        <v>583358</v>
      </c>
      <c r="C503" s="218" t="s">
        <v>107</v>
      </c>
      <c r="D503" s="218" t="s">
        <v>7778</v>
      </c>
      <c r="E503" s="218" t="s">
        <v>8682</v>
      </c>
      <c r="F503" s="218" t="s">
        <v>7790</v>
      </c>
      <c r="G503" s="218" t="s">
        <v>7767</v>
      </c>
      <c r="H503" s="218">
        <v>1024</v>
      </c>
      <c r="I503" s="219">
        <v>20800000</v>
      </c>
      <c r="J503" s="219">
        <v>0</v>
      </c>
      <c r="K503" s="219">
        <v>20800000</v>
      </c>
      <c r="L503" s="218" t="s">
        <v>7791</v>
      </c>
      <c r="M503" s="218">
        <v>1</v>
      </c>
      <c r="N503" s="218" t="s">
        <v>8685</v>
      </c>
      <c r="O503" s="218" t="s">
        <v>3018</v>
      </c>
      <c r="P503" s="218">
        <v>399</v>
      </c>
      <c r="Q503" s="218" t="s">
        <v>7771</v>
      </c>
      <c r="R503" s="220">
        <v>100</v>
      </c>
    </row>
    <row r="504" spans="1:18">
      <c r="A504" s="217">
        <v>493</v>
      </c>
      <c r="B504" s="218">
        <v>583359</v>
      </c>
      <c r="C504" s="218" t="s">
        <v>107</v>
      </c>
      <c r="D504" s="218" t="s">
        <v>7778</v>
      </c>
      <c r="E504" s="218" t="s">
        <v>8682</v>
      </c>
      <c r="F504" s="218" t="s">
        <v>7790</v>
      </c>
      <c r="G504" s="218" t="s">
        <v>7767</v>
      </c>
      <c r="H504" s="218">
        <v>1024</v>
      </c>
      <c r="I504" s="219">
        <v>20800000</v>
      </c>
      <c r="J504" s="219">
        <v>0</v>
      </c>
      <c r="K504" s="219">
        <v>20800000</v>
      </c>
      <c r="L504" s="218" t="s">
        <v>7791</v>
      </c>
      <c r="M504" s="218">
        <v>1</v>
      </c>
      <c r="N504" s="218" t="s">
        <v>8686</v>
      </c>
      <c r="O504" s="218" t="s">
        <v>3018</v>
      </c>
      <c r="P504" s="218">
        <v>399</v>
      </c>
      <c r="Q504" s="218" t="s">
        <v>7771</v>
      </c>
      <c r="R504" s="220">
        <v>100</v>
      </c>
    </row>
    <row r="505" spans="1:18">
      <c r="A505" s="217">
        <v>494</v>
      </c>
      <c r="B505" s="218">
        <v>583361</v>
      </c>
      <c r="C505" s="218" t="s">
        <v>107</v>
      </c>
      <c r="D505" s="218" t="s">
        <v>7778</v>
      </c>
      <c r="E505" s="218" t="s">
        <v>8682</v>
      </c>
      <c r="F505" s="218" t="s">
        <v>7790</v>
      </c>
      <c r="G505" s="218" t="s">
        <v>7767</v>
      </c>
      <c r="H505" s="218">
        <v>1024</v>
      </c>
      <c r="I505" s="219">
        <v>20800000</v>
      </c>
      <c r="J505" s="219">
        <v>0</v>
      </c>
      <c r="K505" s="219">
        <v>20800000</v>
      </c>
      <c r="L505" s="218" t="s">
        <v>7791</v>
      </c>
      <c r="M505" s="218">
        <v>1</v>
      </c>
      <c r="N505" s="218" t="s">
        <v>8687</v>
      </c>
      <c r="O505" s="218" t="s">
        <v>3018</v>
      </c>
      <c r="P505" s="218">
        <v>399</v>
      </c>
      <c r="Q505" s="218" t="s">
        <v>7771</v>
      </c>
      <c r="R505" s="220">
        <v>100</v>
      </c>
    </row>
    <row r="506" spans="1:18">
      <c r="A506" s="217">
        <v>495</v>
      </c>
      <c r="B506" s="218">
        <v>583363</v>
      </c>
      <c r="C506" s="218" t="s">
        <v>107</v>
      </c>
      <c r="D506" s="218" t="s">
        <v>7778</v>
      </c>
      <c r="E506" s="218" t="s">
        <v>8682</v>
      </c>
      <c r="F506" s="218" t="s">
        <v>7790</v>
      </c>
      <c r="G506" s="218" t="s">
        <v>7767</v>
      </c>
      <c r="H506" s="218">
        <v>1024</v>
      </c>
      <c r="I506" s="219">
        <v>20800000</v>
      </c>
      <c r="J506" s="219">
        <v>0</v>
      </c>
      <c r="K506" s="219">
        <v>20800000</v>
      </c>
      <c r="L506" s="218" t="s">
        <v>7791</v>
      </c>
      <c r="M506" s="218">
        <v>1</v>
      </c>
      <c r="N506" s="218" t="s">
        <v>8688</v>
      </c>
      <c r="O506" s="218" t="s">
        <v>3018</v>
      </c>
      <c r="P506" s="218">
        <v>399</v>
      </c>
      <c r="Q506" s="218" t="s">
        <v>7771</v>
      </c>
      <c r="R506" s="220">
        <v>100</v>
      </c>
    </row>
    <row r="507" spans="1:18">
      <c r="A507" s="217">
        <v>496</v>
      </c>
      <c r="B507" s="218">
        <v>583364</v>
      </c>
      <c r="C507" s="218" t="s">
        <v>107</v>
      </c>
      <c r="D507" s="218" t="s">
        <v>7778</v>
      </c>
      <c r="E507" s="218" t="s">
        <v>8682</v>
      </c>
      <c r="F507" s="218" t="s">
        <v>7790</v>
      </c>
      <c r="G507" s="218" t="s">
        <v>7767</v>
      </c>
      <c r="H507" s="218">
        <v>1024</v>
      </c>
      <c r="I507" s="219">
        <v>20800000</v>
      </c>
      <c r="J507" s="219">
        <v>0</v>
      </c>
      <c r="K507" s="219">
        <v>20800000</v>
      </c>
      <c r="L507" s="218" t="s">
        <v>7791</v>
      </c>
      <c r="M507" s="218">
        <v>1</v>
      </c>
      <c r="N507" s="218" t="s">
        <v>8689</v>
      </c>
      <c r="O507" s="218" t="s">
        <v>3018</v>
      </c>
      <c r="P507" s="218">
        <v>399</v>
      </c>
      <c r="Q507" s="218" t="s">
        <v>7771</v>
      </c>
      <c r="R507" s="220">
        <v>100</v>
      </c>
    </row>
    <row r="508" spans="1:18">
      <c r="A508" s="217">
        <v>497</v>
      </c>
      <c r="B508" s="218">
        <v>585923</v>
      </c>
      <c r="C508" s="218" t="s">
        <v>107</v>
      </c>
      <c r="D508" s="218" t="s">
        <v>7778</v>
      </c>
      <c r="E508" s="218" t="s">
        <v>8690</v>
      </c>
      <c r="F508" s="218" t="s">
        <v>7790</v>
      </c>
      <c r="G508" s="218" t="s">
        <v>7767</v>
      </c>
      <c r="H508" s="218">
        <v>1024</v>
      </c>
      <c r="I508" s="219">
        <v>20800000</v>
      </c>
      <c r="J508" s="219">
        <v>0</v>
      </c>
      <c r="K508" s="219">
        <v>20800000</v>
      </c>
      <c r="L508" s="218" t="s">
        <v>7791</v>
      </c>
      <c r="M508" s="218">
        <v>1</v>
      </c>
      <c r="N508" s="218" t="s">
        <v>8691</v>
      </c>
      <c r="O508" s="218" t="s">
        <v>3018</v>
      </c>
      <c r="P508" s="218">
        <v>399</v>
      </c>
      <c r="Q508" s="218" t="s">
        <v>7771</v>
      </c>
      <c r="R508" s="220">
        <v>100</v>
      </c>
    </row>
    <row r="509" spans="1:18">
      <c r="A509" s="217">
        <v>499</v>
      </c>
      <c r="B509" s="218">
        <v>592465</v>
      </c>
      <c r="C509" s="218" t="s">
        <v>107</v>
      </c>
      <c r="D509" s="218" t="s">
        <v>7778</v>
      </c>
      <c r="E509" s="218" t="s">
        <v>8692</v>
      </c>
      <c r="F509" s="218" t="s">
        <v>7790</v>
      </c>
      <c r="G509" s="218" t="s">
        <v>7767</v>
      </c>
      <c r="H509" s="218">
        <v>1024</v>
      </c>
      <c r="I509" s="219">
        <v>20800000</v>
      </c>
      <c r="J509" s="219">
        <v>0</v>
      </c>
      <c r="K509" s="219">
        <v>20800000</v>
      </c>
      <c r="L509" s="218" t="s">
        <v>7791</v>
      </c>
      <c r="M509" s="218">
        <v>1</v>
      </c>
      <c r="N509" s="218" t="s">
        <v>8694</v>
      </c>
      <c r="O509" s="218" t="s">
        <v>3018</v>
      </c>
      <c r="P509" s="218">
        <v>399</v>
      </c>
      <c r="Q509" s="218" t="s">
        <v>7771</v>
      </c>
      <c r="R509" s="220">
        <v>100</v>
      </c>
    </row>
    <row r="510" spans="1:18">
      <c r="A510" s="217">
        <v>500</v>
      </c>
      <c r="B510" s="218">
        <v>592467</v>
      </c>
      <c r="C510" s="218" t="s">
        <v>107</v>
      </c>
      <c r="D510" s="218" t="s">
        <v>7778</v>
      </c>
      <c r="E510" s="218" t="s">
        <v>8692</v>
      </c>
      <c r="F510" s="218" t="s">
        <v>7790</v>
      </c>
      <c r="G510" s="218" t="s">
        <v>7767</v>
      </c>
      <c r="H510" s="218">
        <v>1024</v>
      </c>
      <c r="I510" s="219">
        <v>20800000</v>
      </c>
      <c r="J510" s="219">
        <v>0</v>
      </c>
      <c r="K510" s="219">
        <v>20800000</v>
      </c>
      <c r="L510" s="218" t="s">
        <v>7791</v>
      </c>
      <c r="M510" s="218">
        <v>1</v>
      </c>
      <c r="N510" s="218" t="s">
        <v>8695</v>
      </c>
      <c r="O510" s="218" t="s">
        <v>3018</v>
      </c>
      <c r="P510" s="218">
        <v>399</v>
      </c>
      <c r="Q510" s="218" t="s">
        <v>7771</v>
      </c>
      <c r="R510" s="220">
        <v>100</v>
      </c>
    </row>
    <row r="511" spans="1:18">
      <c r="A511" s="217">
        <v>501</v>
      </c>
      <c r="B511" s="218">
        <v>592471</v>
      </c>
      <c r="C511" s="218" t="s">
        <v>107</v>
      </c>
      <c r="D511" s="218" t="s">
        <v>7778</v>
      </c>
      <c r="E511" s="218" t="s">
        <v>8692</v>
      </c>
      <c r="F511" s="218" t="s">
        <v>7790</v>
      </c>
      <c r="G511" s="218" t="s">
        <v>7767</v>
      </c>
      <c r="H511" s="218">
        <v>1024</v>
      </c>
      <c r="I511" s="219">
        <v>20800000</v>
      </c>
      <c r="J511" s="219">
        <v>0</v>
      </c>
      <c r="K511" s="219">
        <v>20800000</v>
      </c>
      <c r="L511" s="218" t="s">
        <v>7791</v>
      </c>
      <c r="M511" s="218">
        <v>1</v>
      </c>
      <c r="N511" s="218" t="s">
        <v>8696</v>
      </c>
      <c r="O511" s="218" t="s">
        <v>3018</v>
      </c>
      <c r="P511" s="218">
        <v>399</v>
      </c>
      <c r="Q511" s="218" t="s">
        <v>7771</v>
      </c>
      <c r="R511" s="220">
        <v>100</v>
      </c>
    </row>
    <row r="512" spans="1:18">
      <c r="A512" s="217">
        <v>507</v>
      </c>
      <c r="B512" s="218">
        <v>9702120051</v>
      </c>
      <c r="C512" s="218" t="s">
        <v>107</v>
      </c>
      <c r="D512" s="218" t="s">
        <v>7778</v>
      </c>
      <c r="E512" s="218" t="s">
        <v>8706</v>
      </c>
      <c r="F512" s="218" t="s">
        <v>7790</v>
      </c>
      <c r="G512" s="218" t="s">
        <v>7767</v>
      </c>
      <c r="H512" s="218">
        <v>1024</v>
      </c>
      <c r="I512" s="219">
        <v>20800000</v>
      </c>
      <c r="J512" s="219">
        <v>0</v>
      </c>
      <c r="K512" s="219">
        <v>20800000</v>
      </c>
      <c r="L512" s="218" t="s">
        <v>7791</v>
      </c>
      <c r="M512" s="218">
        <v>1</v>
      </c>
      <c r="N512" s="218" t="s">
        <v>8708</v>
      </c>
      <c r="O512" s="218" t="s">
        <v>235</v>
      </c>
      <c r="P512" s="218">
        <v>399</v>
      </c>
      <c r="Q512" s="218" t="s">
        <v>7771</v>
      </c>
      <c r="R512" s="220">
        <v>100</v>
      </c>
    </row>
    <row r="513" spans="1:18">
      <c r="A513" s="217">
        <v>513</v>
      </c>
      <c r="B513" s="218">
        <v>590202</v>
      </c>
      <c r="C513" s="218" t="s">
        <v>107</v>
      </c>
      <c r="D513" s="218" t="s">
        <v>7778</v>
      </c>
      <c r="E513" s="218" t="s">
        <v>8720</v>
      </c>
      <c r="F513" s="218" t="s">
        <v>7790</v>
      </c>
      <c r="G513" s="218" t="s">
        <v>7767</v>
      </c>
      <c r="H513" s="218">
        <v>1024</v>
      </c>
      <c r="I513" s="219">
        <v>20800000</v>
      </c>
      <c r="J513" s="219">
        <v>0</v>
      </c>
      <c r="K513" s="219">
        <v>20800000</v>
      </c>
      <c r="L513" s="218" t="s">
        <v>7791</v>
      </c>
      <c r="M513" s="218">
        <v>1</v>
      </c>
      <c r="N513" s="218" t="s">
        <v>8721</v>
      </c>
      <c r="O513" s="218" t="s">
        <v>235</v>
      </c>
      <c r="P513" s="218">
        <v>399</v>
      </c>
      <c r="Q513" s="218" t="s">
        <v>7771</v>
      </c>
      <c r="R513" s="220">
        <v>100</v>
      </c>
    </row>
    <row r="514" spans="1:18">
      <c r="A514" s="217">
        <v>514</v>
      </c>
      <c r="B514" s="218">
        <v>593970</v>
      </c>
      <c r="C514" s="218" t="s">
        <v>107</v>
      </c>
      <c r="D514" s="218" t="s">
        <v>7778</v>
      </c>
      <c r="E514" s="218" t="s">
        <v>8722</v>
      </c>
      <c r="F514" s="218" t="s">
        <v>7790</v>
      </c>
      <c r="G514" s="218" t="s">
        <v>7767</v>
      </c>
      <c r="H514" s="218">
        <v>1024</v>
      </c>
      <c r="I514" s="219">
        <v>20800000</v>
      </c>
      <c r="J514" s="219">
        <v>0</v>
      </c>
      <c r="K514" s="219">
        <v>20800000</v>
      </c>
      <c r="L514" s="218" t="s">
        <v>7791</v>
      </c>
      <c r="M514" s="218">
        <v>1</v>
      </c>
      <c r="N514" s="218" t="s">
        <v>8723</v>
      </c>
      <c r="O514" s="218" t="s">
        <v>235</v>
      </c>
      <c r="P514" s="218">
        <v>399</v>
      </c>
      <c r="Q514" s="218" t="s">
        <v>7771</v>
      </c>
      <c r="R514" s="220">
        <v>100</v>
      </c>
    </row>
    <row r="515" spans="1:18">
      <c r="A515" s="217">
        <v>518</v>
      </c>
      <c r="B515" s="218">
        <v>631542</v>
      </c>
      <c r="C515" s="218" t="s">
        <v>107</v>
      </c>
      <c r="D515" s="218" t="s">
        <v>7778</v>
      </c>
      <c r="E515" s="218" t="s">
        <v>8727</v>
      </c>
      <c r="F515" s="218" t="s">
        <v>7790</v>
      </c>
      <c r="G515" s="218" t="s">
        <v>7767</v>
      </c>
      <c r="H515" s="218">
        <v>1024</v>
      </c>
      <c r="I515" s="219">
        <v>20800000</v>
      </c>
      <c r="J515" s="219">
        <v>0</v>
      </c>
      <c r="K515" s="219">
        <v>20800000</v>
      </c>
      <c r="L515" s="218" t="s">
        <v>7791</v>
      </c>
      <c r="M515" s="218">
        <v>1</v>
      </c>
      <c r="N515" s="218" t="s">
        <v>8728</v>
      </c>
      <c r="O515" s="218" t="s">
        <v>8729</v>
      </c>
      <c r="P515" s="218">
        <v>399</v>
      </c>
      <c r="Q515" s="218" t="s">
        <v>7771</v>
      </c>
      <c r="R515" s="220">
        <v>104</v>
      </c>
    </row>
    <row r="516" spans="1:18">
      <c r="A516" s="217">
        <v>519</v>
      </c>
      <c r="B516" s="218">
        <v>9602046490</v>
      </c>
      <c r="C516" s="218" t="s">
        <v>107</v>
      </c>
      <c r="D516" s="218" t="s">
        <v>7778</v>
      </c>
      <c r="E516" s="218" t="s">
        <v>8730</v>
      </c>
      <c r="F516" s="218" t="s">
        <v>7790</v>
      </c>
      <c r="G516" s="218" t="s">
        <v>7767</v>
      </c>
      <c r="H516" s="218">
        <v>1024</v>
      </c>
      <c r="I516" s="219">
        <v>20800000</v>
      </c>
      <c r="J516" s="219">
        <v>0</v>
      </c>
      <c r="K516" s="219">
        <v>20800000</v>
      </c>
      <c r="L516" s="218" t="s">
        <v>7791</v>
      </c>
      <c r="M516" s="218">
        <v>1</v>
      </c>
      <c r="N516" s="218" t="s">
        <v>8731</v>
      </c>
      <c r="O516" s="218" t="s">
        <v>8729</v>
      </c>
      <c r="P516" s="218">
        <v>399</v>
      </c>
      <c r="Q516" s="218" t="s">
        <v>7771</v>
      </c>
      <c r="R516" s="220">
        <v>104</v>
      </c>
    </row>
    <row r="517" spans="1:18">
      <c r="A517" s="217">
        <v>528</v>
      </c>
      <c r="B517" s="218">
        <v>25403176055</v>
      </c>
      <c r="C517" s="218" t="s">
        <v>107</v>
      </c>
      <c r="D517" s="218" t="s">
        <v>7778</v>
      </c>
      <c r="E517" s="218" t="s">
        <v>8749</v>
      </c>
      <c r="F517" s="218" t="s">
        <v>7790</v>
      </c>
      <c r="G517" s="218" t="s">
        <v>7767</v>
      </c>
      <c r="H517" s="218">
        <v>1024</v>
      </c>
      <c r="I517" s="219">
        <v>20800000</v>
      </c>
      <c r="J517" s="219">
        <v>0</v>
      </c>
      <c r="K517" s="219">
        <v>20800000</v>
      </c>
      <c r="L517" s="218" t="s">
        <v>7791</v>
      </c>
      <c r="M517" s="218">
        <v>1</v>
      </c>
      <c r="N517" s="218" t="s">
        <v>8750</v>
      </c>
      <c r="O517" s="218" t="s">
        <v>933</v>
      </c>
      <c r="P517" s="218">
        <v>399</v>
      </c>
      <c r="Q517" s="218" t="s">
        <v>7771</v>
      </c>
      <c r="R517" s="220">
        <v>100</v>
      </c>
    </row>
    <row r="518" spans="1:18">
      <c r="A518" s="217">
        <v>543</v>
      </c>
      <c r="B518" s="218">
        <v>605784</v>
      </c>
      <c r="C518" s="218" t="s">
        <v>107</v>
      </c>
      <c r="D518" s="218" t="s">
        <v>7778</v>
      </c>
      <c r="E518" s="218" t="s">
        <v>8778</v>
      </c>
      <c r="F518" s="218" t="s">
        <v>8457</v>
      </c>
      <c r="G518" s="218" t="s">
        <v>7767</v>
      </c>
      <c r="H518" s="218">
        <v>1024</v>
      </c>
      <c r="I518" s="219">
        <v>20800000</v>
      </c>
      <c r="J518" s="219">
        <v>0</v>
      </c>
      <c r="K518" s="219">
        <v>20800000</v>
      </c>
      <c r="L518" s="218" t="s">
        <v>7791</v>
      </c>
      <c r="M518" s="218">
        <v>1</v>
      </c>
      <c r="N518" s="218" t="s">
        <v>8779</v>
      </c>
      <c r="O518" s="218" t="s">
        <v>933</v>
      </c>
      <c r="P518" s="218">
        <v>399</v>
      </c>
      <c r="Q518" s="218" t="s">
        <v>7771</v>
      </c>
      <c r="R518" s="220">
        <v>100</v>
      </c>
    </row>
    <row r="519" spans="1:18">
      <c r="A519" s="217">
        <v>545</v>
      </c>
      <c r="B519" s="218">
        <v>608121</v>
      </c>
      <c r="C519" s="218" t="s">
        <v>107</v>
      </c>
      <c r="D519" s="218" t="s">
        <v>7778</v>
      </c>
      <c r="E519" s="218" t="s">
        <v>8780</v>
      </c>
      <c r="F519" s="218" t="s">
        <v>7790</v>
      </c>
      <c r="G519" s="218" t="s">
        <v>7767</v>
      </c>
      <c r="H519" s="218">
        <v>1024</v>
      </c>
      <c r="I519" s="219">
        <v>20800000</v>
      </c>
      <c r="J519" s="219">
        <v>0</v>
      </c>
      <c r="K519" s="219">
        <v>20800000</v>
      </c>
      <c r="L519" s="218" t="s">
        <v>7791</v>
      </c>
      <c r="M519" s="218">
        <v>1</v>
      </c>
      <c r="N519" s="218" t="s">
        <v>8782</v>
      </c>
      <c r="O519" s="218" t="s">
        <v>933</v>
      </c>
      <c r="P519" s="218">
        <v>399</v>
      </c>
      <c r="Q519" s="218" t="s">
        <v>7771</v>
      </c>
      <c r="R519" s="220">
        <v>100</v>
      </c>
    </row>
    <row r="520" spans="1:18">
      <c r="A520" s="217">
        <v>546</v>
      </c>
      <c r="B520" s="218">
        <v>608424</v>
      </c>
      <c r="C520" s="218" t="s">
        <v>107</v>
      </c>
      <c r="D520" s="218" t="s">
        <v>7778</v>
      </c>
      <c r="E520" s="218" t="s">
        <v>8783</v>
      </c>
      <c r="F520" s="218" t="s">
        <v>7790</v>
      </c>
      <c r="G520" s="218" t="s">
        <v>7767</v>
      </c>
      <c r="H520" s="218">
        <v>1024</v>
      </c>
      <c r="I520" s="219">
        <v>20800000</v>
      </c>
      <c r="J520" s="219">
        <v>0</v>
      </c>
      <c r="K520" s="219">
        <v>20800000</v>
      </c>
      <c r="L520" s="218" t="s">
        <v>7791</v>
      </c>
      <c r="M520" s="218">
        <v>1</v>
      </c>
      <c r="N520" s="218" t="s">
        <v>8784</v>
      </c>
      <c r="O520" s="218" t="s">
        <v>933</v>
      </c>
      <c r="P520" s="218">
        <v>399</v>
      </c>
      <c r="Q520" s="218" t="s">
        <v>7771</v>
      </c>
      <c r="R520" s="220">
        <v>100</v>
      </c>
    </row>
    <row r="521" spans="1:18">
      <c r="A521" s="217">
        <v>547</v>
      </c>
      <c r="B521" s="218">
        <v>608426</v>
      </c>
      <c r="C521" s="218" t="s">
        <v>107</v>
      </c>
      <c r="D521" s="218" t="s">
        <v>7778</v>
      </c>
      <c r="E521" s="218" t="s">
        <v>8780</v>
      </c>
      <c r="F521" s="218" t="s">
        <v>7790</v>
      </c>
      <c r="G521" s="218" t="s">
        <v>7767</v>
      </c>
      <c r="H521" s="218">
        <v>1024</v>
      </c>
      <c r="I521" s="219">
        <v>20800000</v>
      </c>
      <c r="J521" s="219">
        <v>0</v>
      </c>
      <c r="K521" s="219">
        <v>20800000</v>
      </c>
      <c r="L521" s="218" t="s">
        <v>7791</v>
      </c>
      <c r="M521" s="218">
        <v>1</v>
      </c>
      <c r="N521" s="218" t="s">
        <v>8785</v>
      </c>
      <c r="O521" s="218" t="s">
        <v>933</v>
      </c>
      <c r="P521" s="218">
        <v>399</v>
      </c>
      <c r="Q521" s="218" t="s">
        <v>7771</v>
      </c>
      <c r="R521" s="220">
        <v>100</v>
      </c>
    </row>
    <row r="522" spans="1:18">
      <c r="A522" s="217">
        <v>548</v>
      </c>
      <c r="B522" s="218">
        <v>608427</v>
      </c>
      <c r="C522" s="218" t="s">
        <v>107</v>
      </c>
      <c r="D522" s="218" t="s">
        <v>7778</v>
      </c>
      <c r="E522" s="218" t="s">
        <v>8780</v>
      </c>
      <c r="F522" s="218" t="s">
        <v>7790</v>
      </c>
      <c r="G522" s="218" t="s">
        <v>7767</v>
      </c>
      <c r="H522" s="218">
        <v>1024</v>
      </c>
      <c r="I522" s="219">
        <v>20800000</v>
      </c>
      <c r="J522" s="219">
        <v>0</v>
      </c>
      <c r="K522" s="219">
        <v>20800000</v>
      </c>
      <c r="L522" s="218" t="s">
        <v>7791</v>
      </c>
      <c r="M522" s="218">
        <v>1</v>
      </c>
      <c r="N522" s="218" t="s">
        <v>8786</v>
      </c>
      <c r="O522" s="218" t="s">
        <v>933</v>
      </c>
      <c r="P522" s="218">
        <v>399</v>
      </c>
      <c r="Q522" s="218" t="s">
        <v>7771</v>
      </c>
      <c r="R522" s="220">
        <v>100</v>
      </c>
    </row>
    <row r="523" spans="1:18">
      <c r="A523" s="217">
        <v>549</v>
      </c>
      <c r="B523" s="218">
        <v>608429</v>
      </c>
      <c r="C523" s="218" t="s">
        <v>107</v>
      </c>
      <c r="D523" s="218" t="s">
        <v>7778</v>
      </c>
      <c r="E523" s="218" t="s">
        <v>8787</v>
      </c>
      <c r="F523" s="218" t="s">
        <v>7790</v>
      </c>
      <c r="G523" s="218" t="s">
        <v>7767</v>
      </c>
      <c r="H523" s="218">
        <v>1024</v>
      </c>
      <c r="I523" s="219">
        <v>20800000</v>
      </c>
      <c r="J523" s="219">
        <v>0</v>
      </c>
      <c r="K523" s="219">
        <v>20800000</v>
      </c>
      <c r="L523" s="218" t="s">
        <v>7791</v>
      </c>
      <c r="M523" s="218">
        <v>1</v>
      </c>
      <c r="N523" s="218" t="s">
        <v>8788</v>
      </c>
      <c r="O523" s="218" t="s">
        <v>933</v>
      </c>
      <c r="P523" s="218">
        <v>399</v>
      </c>
      <c r="Q523" s="218" t="s">
        <v>7771</v>
      </c>
      <c r="R523" s="220">
        <v>100</v>
      </c>
    </row>
    <row r="524" spans="1:18">
      <c r="A524" s="217">
        <v>550</v>
      </c>
      <c r="B524" s="218">
        <v>608432</v>
      </c>
      <c r="C524" s="218" t="s">
        <v>107</v>
      </c>
      <c r="D524" s="218" t="s">
        <v>7778</v>
      </c>
      <c r="E524" s="218" t="s">
        <v>8783</v>
      </c>
      <c r="F524" s="218" t="s">
        <v>7790</v>
      </c>
      <c r="G524" s="218" t="s">
        <v>7767</v>
      </c>
      <c r="H524" s="218">
        <v>1024</v>
      </c>
      <c r="I524" s="219">
        <v>20800000</v>
      </c>
      <c r="J524" s="219">
        <v>0</v>
      </c>
      <c r="K524" s="219">
        <v>20800000</v>
      </c>
      <c r="L524" s="218" t="s">
        <v>7791</v>
      </c>
      <c r="M524" s="218">
        <v>1</v>
      </c>
      <c r="N524" s="218" t="s">
        <v>8789</v>
      </c>
      <c r="O524" s="218" t="s">
        <v>933</v>
      </c>
      <c r="P524" s="218">
        <v>399</v>
      </c>
      <c r="Q524" s="218" t="s">
        <v>7771</v>
      </c>
      <c r="R524" s="220">
        <v>100</v>
      </c>
    </row>
    <row r="525" spans="1:18">
      <c r="A525" s="217">
        <v>551</v>
      </c>
      <c r="B525" s="218">
        <v>608433</v>
      </c>
      <c r="C525" s="218" t="s">
        <v>107</v>
      </c>
      <c r="D525" s="218" t="s">
        <v>7778</v>
      </c>
      <c r="E525" s="218" t="s">
        <v>8783</v>
      </c>
      <c r="F525" s="218" t="s">
        <v>7790</v>
      </c>
      <c r="G525" s="218" t="s">
        <v>7767</v>
      </c>
      <c r="H525" s="218">
        <v>1024</v>
      </c>
      <c r="I525" s="219">
        <v>20800000</v>
      </c>
      <c r="J525" s="219">
        <v>0</v>
      </c>
      <c r="K525" s="219">
        <v>20800000</v>
      </c>
      <c r="L525" s="218" t="s">
        <v>7791</v>
      </c>
      <c r="M525" s="218">
        <v>1</v>
      </c>
      <c r="N525" s="218" t="s">
        <v>8758</v>
      </c>
      <c r="O525" s="218" t="s">
        <v>933</v>
      </c>
      <c r="P525" s="218">
        <v>399</v>
      </c>
      <c r="Q525" s="218" t="s">
        <v>7771</v>
      </c>
      <c r="R525" s="220">
        <v>100</v>
      </c>
    </row>
    <row r="526" spans="1:18">
      <c r="A526" s="217">
        <v>552</v>
      </c>
      <c r="B526" s="218">
        <v>608434</v>
      </c>
      <c r="C526" s="218" t="s">
        <v>107</v>
      </c>
      <c r="D526" s="218" t="s">
        <v>7778</v>
      </c>
      <c r="E526" s="218" t="s">
        <v>8780</v>
      </c>
      <c r="F526" s="218" t="s">
        <v>8790</v>
      </c>
      <c r="G526" s="218" t="s">
        <v>7767</v>
      </c>
      <c r="H526" s="218">
        <v>1024</v>
      </c>
      <c r="I526" s="219">
        <v>20800000</v>
      </c>
      <c r="J526" s="219">
        <v>0</v>
      </c>
      <c r="K526" s="219">
        <v>20800000</v>
      </c>
      <c r="L526" s="218" t="s">
        <v>7791</v>
      </c>
      <c r="M526" s="218">
        <v>1</v>
      </c>
      <c r="N526" s="218" t="s">
        <v>8791</v>
      </c>
      <c r="O526" s="218" t="s">
        <v>933</v>
      </c>
      <c r="P526" s="218">
        <v>399</v>
      </c>
      <c r="Q526" s="218" t="s">
        <v>7771</v>
      </c>
      <c r="R526" s="220">
        <v>100</v>
      </c>
    </row>
    <row r="527" spans="1:18">
      <c r="A527" s="217">
        <v>553</v>
      </c>
      <c r="B527" s="218">
        <v>611853</v>
      </c>
      <c r="C527" s="218" t="s">
        <v>107</v>
      </c>
      <c r="D527" s="218" t="s">
        <v>7778</v>
      </c>
      <c r="E527" s="218" t="s">
        <v>8792</v>
      </c>
      <c r="F527" s="218" t="s">
        <v>7790</v>
      </c>
      <c r="G527" s="218" t="s">
        <v>7767</v>
      </c>
      <c r="H527" s="218">
        <v>1024</v>
      </c>
      <c r="I527" s="219">
        <v>20800000</v>
      </c>
      <c r="J527" s="219">
        <v>0</v>
      </c>
      <c r="K527" s="219">
        <v>20800000</v>
      </c>
      <c r="L527" s="218" t="s">
        <v>7791</v>
      </c>
      <c r="M527" s="218">
        <v>1</v>
      </c>
      <c r="N527" s="218" t="s">
        <v>8793</v>
      </c>
      <c r="O527" s="218" t="s">
        <v>933</v>
      </c>
      <c r="P527" s="218">
        <v>399</v>
      </c>
      <c r="Q527" s="218" t="s">
        <v>7771</v>
      </c>
      <c r="R527" s="220">
        <v>100</v>
      </c>
    </row>
    <row r="528" spans="1:18">
      <c r="A528" s="217">
        <v>559</v>
      </c>
      <c r="B528" s="218">
        <v>9902217902</v>
      </c>
      <c r="C528" s="218" t="s">
        <v>107</v>
      </c>
      <c r="D528" s="218" t="s">
        <v>7778</v>
      </c>
      <c r="E528" s="218" t="s">
        <v>8804</v>
      </c>
      <c r="F528" s="218" t="s">
        <v>7790</v>
      </c>
      <c r="G528" s="218" t="s">
        <v>7767</v>
      </c>
      <c r="H528" s="218">
        <v>1024</v>
      </c>
      <c r="I528" s="219">
        <v>20800000</v>
      </c>
      <c r="J528" s="219">
        <v>0</v>
      </c>
      <c r="K528" s="219">
        <v>20800000</v>
      </c>
      <c r="L528" s="218" t="s">
        <v>7791</v>
      </c>
      <c r="M528" s="218">
        <v>1</v>
      </c>
      <c r="N528" s="218" t="s">
        <v>8805</v>
      </c>
      <c r="O528" s="218" t="s">
        <v>8796</v>
      </c>
      <c r="P528" s="218">
        <v>399</v>
      </c>
      <c r="Q528" s="218" t="s">
        <v>7771</v>
      </c>
      <c r="R528" s="220">
        <v>100</v>
      </c>
    </row>
    <row r="529" spans="1:18">
      <c r="A529" s="217">
        <v>577</v>
      </c>
      <c r="B529" s="218">
        <v>609603</v>
      </c>
      <c r="C529" s="218" t="s">
        <v>107</v>
      </c>
      <c r="D529" s="218" t="s">
        <v>7778</v>
      </c>
      <c r="E529" s="218" t="s">
        <v>8838</v>
      </c>
      <c r="F529" s="218" t="s">
        <v>7790</v>
      </c>
      <c r="G529" s="218" t="s">
        <v>7767</v>
      </c>
      <c r="H529" s="218">
        <v>1024</v>
      </c>
      <c r="I529" s="219">
        <v>20800000</v>
      </c>
      <c r="J529" s="219">
        <v>0</v>
      </c>
      <c r="K529" s="219">
        <v>20800000</v>
      </c>
      <c r="L529" s="218" t="s">
        <v>7791</v>
      </c>
      <c r="M529" s="218">
        <v>1</v>
      </c>
      <c r="N529" s="218" t="s">
        <v>8839</v>
      </c>
      <c r="O529" s="218" t="s">
        <v>8796</v>
      </c>
      <c r="P529" s="218">
        <v>399</v>
      </c>
      <c r="Q529" s="218" t="s">
        <v>7771</v>
      </c>
      <c r="R529" s="220">
        <v>100</v>
      </c>
    </row>
    <row r="530" spans="1:18">
      <c r="A530" s="217">
        <v>578</v>
      </c>
      <c r="B530" s="218">
        <v>609604</v>
      </c>
      <c r="C530" s="218" t="s">
        <v>107</v>
      </c>
      <c r="D530" s="218" t="s">
        <v>7778</v>
      </c>
      <c r="E530" s="218" t="s">
        <v>8840</v>
      </c>
      <c r="F530" s="218" t="s">
        <v>7790</v>
      </c>
      <c r="G530" s="218" t="s">
        <v>7767</v>
      </c>
      <c r="H530" s="218">
        <v>1024</v>
      </c>
      <c r="I530" s="219">
        <v>20800000</v>
      </c>
      <c r="J530" s="219">
        <v>0</v>
      </c>
      <c r="K530" s="219">
        <v>20800000</v>
      </c>
      <c r="L530" s="218" t="s">
        <v>7791</v>
      </c>
      <c r="M530" s="218">
        <v>1</v>
      </c>
      <c r="N530" s="218" t="s">
        <v>3237</v>
      </c>
      <c r="O530" s="218" t="s">
        <v>8796</v>
      </c>
      <c r="P530" s="218">
        <v>399</v>
      </c>
      <c r="Q530" s="218" t="s">
        <v>7771</v>
      </c>
      <c r="R530" s="220">
        <v>100</v>
      </c>
    </row>
    <row r="531" spans="1:18">
      <c r="A531" s="217">
        <v>579</v>
      </c>
      <c r="B531" s="218">
        <v>609606</v>
      </c>
      <c r="C531" s="218" t="s">
        <v>107</v>
      </c>
      <c r="D531" s="218" t="s">
        <v>7778</v>
      </c>
      <c r="E531" s="218" t="s">
        <v>8841</v>
      </c>
      <c r="F531" s="218" t="s">
        <v>7790</v>
      </c>
      <c r="G531" s="218" t="s">
        <v>7767</v>
      </c>
      <c r="H531" s="218">
        <v>1024</v>
      </c>
      <c r="I531" s="219">
        <v>20800000</v>
      </c>
      <c r="J531" s="219">
        <v>0</v>
      </c>
      <c r="K531" s="219">
        <v>20800000</v>
      </c>
      <c r="L531" s="218" t="s">
        <v>7791</v>
      </c>
      <c r="M531" s="218">
        <v>1</v>
      </c>
      <c r="N531" s="218" t="s">
        <v>8842</v>
      </c>
      <c r="O531" s="218" t="s">
        <v>8796</v>
      </c>
      <c r="P531" s="218">
        <v>399</v>
      </c>
      <c r="Q531" s="218" t="s">
        <v>7771</v>
      </c>
      <c r="R531" s="220">
        <v>100</v>
      </c>
    </row>
    <row r="532" spans="1:18">
      <c r="A532" s="217">
        <v>580</v>
      </c>
      <c r="B532" s="218">
        <v>609607</v>
      </c>
      <c r="C532" s="218" t="s">
        <v>107</v>
      </c>
      <c r="D532" s="218" t="s">
        <v>7778</v>
      </c>
      <c r="E532" s="218" t="s">
        <v>8838</v>
      </c>
      <c r="F532" s="218" t="s">
        <v>7790</v>
      </c>
      <c r="G532" s="218" t="s">
        <v>7767</v>
      </c>
      <c r="H532" s="218">
        <v>1024</v>
      </c>
      <c r="I532" s="219">
        <v>20800000</v>
      </c>
      <c r="J532" s="219">
        <v>0</v>
      </c>
      <c r="K532" s="219">
        <v>20800000</v>
      </c>
      <c r="L532" s="218" t="s">
        <v>7791</v>
      </c>
      <c r="M532" s="218">
        <v>1</v>
      </c>
      <c r="N532" s="218" t="s">
        <v>8843</v>
      </c>
      <c r="O532" s="218" t="s">
        <v>8796</v>
      </c>
      <c r="P532" s="218">
        <v>399</v>
      </c>
      <c r="Q532" s="218" t="s">
        <v>7771</v>
      </c>
      <c r="R532" s="220">
        <v>100</v>
      </c>
    </row>
    <row r="533" spans="1:18">
      <c r="A533" s="217">
        <v>581</v>
      </c>
      <c r="B533" s="218">
        <v>609608</v>
      </c>
      <c r="C533" s="218" t="s">
        <v>107</v>
      </c>
      <c r="D533" s="218" t="s">
        <v>7778</v>
      </c>
      <c r="E533" s="218" t="s">
        <v>8844</v>
      </c>
      <c r="F533" s="218" t="s">
        <v>7790</v>
      </c>
      <c r="G533" s="218" t="s">
        <v>7767</v>
      </c>
      <c r="H533" s="218">
        <v>1024</v>
      </c>
      <c r="I533" s="219">
        <v>20800000</v>
      </c>
      <c r="J533" s="219">
        <v>0</v>
      </c>
      <c r="K533" s="219">
        <v>20800000</v>
      </c>
      <c r="L533" s="218" t="s">
        <v>7791</v>
      </c>
      <c r="M533" s="218">
        <v>1</v>
      </c>
      <c r="N533" s="218" t="s">
        <v>8845</v>
      </c>
      <c r="O533" s="218" t="s">
        <v>8796</v>
      </c>
      <c r="P533" s="218">
        <v>399</v>
      </c>
      <c r="Q533" s="218" t="s">
        <v>7771</v>
      </c>
      <c r="R533" s="220">
        <v>100</v>
      </c>
    </row>
    <row r="534" spans="1:18">
      <c r="A534" s="217">
        <v>582</v>
      </c>
      <c r="B534" s="218">
        <v>609609</v>
      </c>
      <c r="C534" s="218" t="s">
        <v>107</v>
      </c>
      <c r="D534" s="218" t="s">
        <v>7778</v>
      </c>
      <c r="E534" s="218" t="s">
        <v>8840</v>
      </c>
      <c r="F534" s="218" t="s">
        <v>7790</v>
      </c>
      <c r="G534" s="218" t="s">
        <v>7767</v>
      </c>
      <c r="H534" s="218">
        <v>1024</v>
      </c>
      <c r="I534" s="219">
        <v>20800000</v>
      </c>
      <c r="J534" s="219">
        <v>0</v>
      </c>
      <c r="K534" s="219">
        <v>20800000</v>
      </c>
      <c r="L534" s="218" t="s">
        <v>7791</v>
      </c>
      <c r="M534" s="218">
        <v>1</v>
      </c>
      <c r="N534" s="218" t="s">
        <v>3262</v>
      </c>
      <c r="O534" s="218" t="s">
        <v>8796</v>
      </c>
      <c r="P534" s="218">
        <v>399</v>
      </c>
      <c r="Q534" s="218" t="s">
        <v>7771</v>
      </c>
      <c r="R534" s="220">
        <v>100</v>
      </c>
    </row>
    <row r="535" spans="1:18">
      <c r="A535" s="217">
        <v>583</v>
      </c>
      <c r="B535" s="218">
        <v>609610</v>
      </c>
      <c r="C535" s="218" t="s">
        <v>107</v>
      </c>
      <c r="D535" s="218" t="s">
        <v>7778</v>
      </c>
      <c r="E535" s="218" t="s">
        <v>8846</v>
      </c>
      <c r="F535" s="218" t="s">
        <v>7790</v>
      </c>
      <c r="G535" s="218" t="s">
        <v>7767</v>
      </c>
      <c r="H535" s="218">
        <v>1024</v>
      </c>
      <c r="I535" s="219">
        <v>20800000</v>
      </c>
      <c r="J535" s="219">
        <v>0</v>
      </c>
      <c r="K535" s="219">
        <v>20800000</v>
      </c>
      <c r="L535" s="218" t="s">
        <v>7791</v>
      </c>
      <c r="M535" s="218">
        <v>1</v>
      </c>
      <c r="N535" s="218" t="s">
        <v>8847</v>
      </c>
      <c r="O535" s="218" t="s">
        <v>8796</v>
      </c>
      <c r="P535" s="218">
        <v>399</v>
      </c>
      <c r="Q535" s="218" t="s">
        <v>7771</v>
      </c>
      <c r="R535" s="220">
        <v>100</v>
      </c>
    </row>
    <row r="536" spans="1:18">
      <c r="A536" s="217">
        <v>584</v>
      </c>
      <c r="B536" s="218">
        <v>609611</v>
      </c>
      <c r="C536" s="218" t="s">
        <v>107</v>
      </c>
      <c r="D536" s="218" t="s">
        <v>7778</v>
      </c>
      <c r="E536" s="218" t="s">
        <v>8848</v>
      </c>
      <c r="F536" s="218" t="s">
        <v>7790</v>
      </c>
      <c r="G536" s="218" t="s">
        <v>7767</v>
      </c>
      <c r="H536" s="218">
        <v>1024</v>
      </c>
      <c r="I536" s="219">
        <v>20800000</v>
      </c>
      <c r="J536" s="219">
        <v>0</v>
      </c>
      <c r="K536" s="219">
        <v>20800000</v>
      </c>
      <c r="L536" s="218" t="s">
        <v>7791</v>
      </c>
      <c r="M536" s="218">
        <v>1</v>
      </c>
      <c r="N536" s="218" t="s">
        <v>3268</v>
      </c>
      <c r="O536" s="218" t="s">
        <v>8796</v>
      </c>
      <c r="P536" s="218">
        <v>399</v>
      </c>
      <c r="Q536" s="218" t="s">
        <v>7771</v>
      </c>
      <c r="R536" s="220">
        <v>100</v>
      </c>
    </row>
    <row r="537" spans="1:18">
      <c r="A537" s="217">
        <v>585</v>
      </c>
      <c r="B537" s="218">
        <v>609612</v>
      </c>
      <c r="C537" s="218" t="s">
        <v>107</v>
      </c>
      <c r="D537" s="218" t="s">
        <v>7778</v>
      </c>
      <c r="E537" s="218" t="s">
        <v>8849</v>
      </c>
      <c r="F537" s="218" t="s">
        <v>7790</v>
      </c>
      <c r="G537" s="218" t="s">
        <v>7767</v>
      </c>
      <c r="H537" s="218">
        <v>1024</v>
      </c>
      <c r="I537" s="219">
        <v>20800000</v>
      </c>
      <c r="J537" s="219">
        <v>0</v>
      </c>
      <c r="K537" s="219">
        <v>20800000</v>
      </c>
      <c r="L537" s="218" t="s">
        <v>7791</v>
      </c>
      <c r="M537" s="218">
        <v>1</v>
      </c>
      <c r="N537" s="218" t="s">
        <v>3271</v>
      </c>
      <c r="O537" s="218" t="s">
        <v>8796</v>
      </c>
      <c r="P537" s="218">
        <v>399</v>
      </c>
      <c r="Q537" s="218" t="s">
        <v>7771</v>
      </c>
      <c r="R537" s="220">
        <v>100</v>
      </c>
    </row>
    <row r="538" spans="1:18">
      <c r="A538" s="217">
        <v>586</v>
      </c>
      <c r="B538" s="218">
        <v>609613</v>
      </c>
      <c r="C538" s="218" t="s">
        <v>107</v>
      </c>
      <c r="D538" s="218" t="s">
        <v>7778</v>
      </c>
      <c r="E538" s="218" t="s">
        <v>8850</v>
      </c>
      <c r="F538" s="218" t="s">
        <v>7790</v>
      </c>
      <c r="G538" s="218" t="s">
        <v>7767</v>
      </c>
      <c r="H538" s="218">
        <v>1024</v>
      </c>
      <c r="I538" s="219">
        <v>20800000</v>
      </c>
      <c r="J538" s="219">
        <v>0</v>
      </c>
      <c r="K538" s="219">
        <v>20800000</v>
      </c>
      <c r="L538" s="218" t="s">
        <v>7791</v>
      </c>
      <c r="M538" s="218">
        <v>1</v>
      </c>
      <c r="N538" s="218" t="s">
        <v>8851</v>
      </c>
      <c r="O538" s="218" t="s">
        <v>8796</v>
      </c>
      <c r="P538" s="218">
        <v>399</v>
      </c>
      <c r="Q538" s="218" t="s">
        <v>7771</v>
      </c>
      <c r="R538" s="220">
        <v>100</v>
      </c>
    </row>
    <row r="539" spans="1:18">
      <c r="A539" s="217">
        <v>587</v>
      </c>
      <c r="B539" s="218">
        <v>609614</v>
      </c>
      <c r="C539" s="218" t="s">
        <v>107</v>
      </c>
      <c r="D539" s="218" t="s">
        <v>7778</v>
      </c>
      <c r="E539" s="218" t="s">
        <v>8852</v>
      </c>
      <c r="F539" s="218" t="s">
        <v>7790</v>
      </c>
      <c r="G539" s="218" t="s">
        <v>7767</v>
      </c>
      <c r="H539" s="218">
        <v>1024</v>
      </c>
      <c r="I539" s="219">
        <v>20800000</v>
      </c>
      <c r="J539" s="219">
        <v>0</v>
      </c>
      <c r="K539" s="219">
        <v>20800000</v>
      </c>
      <c r="L539" s="218" t="s">
        <v>7791</v>
      </c>
      <c r="M539" s="218">
        <v>1</v>
      </c>
      <c r="N539" s="218" t="s">
        <v>8853</v>
      </c>
      <c r="O539" s="218" t="s">
        <v>8796</v>
      </c>
      <c r="P539" s="218">
        <v>399</v>
      </c>
      <c r="Q539" s="218" t="s">
        <v>7771</v>
      </c>
      <c r="R539" s="220">
        <v>100</v>
      </c>
    </row>
    <row r="540" spans="1:18">
      <c r="A540" s="217">
        <v>589</v>
      </c>
      <c r="B540" s="218">
        <v>609616</v>
      </c>
      <c r="C540" s="218" t="s">
        <v>107</v>
      </c>
      <c r="D540" s="218" t="s">
        <v>7778</v>
      </c>
      <c r="E540" s="218" t="s">
        <v>8856</v>
      </c>
      <c r="F540" s="218" t="s">
        <v>7790</v>
      </c>
      <c r="G540" s="218" t="s">
        <v>7767</v>
      </c>
      <c r="H540" s="218">
        <v>1024</v>
      </c>
      <c r="I540" s="219">
        <v>20800000</v>
      </c>
      <c r="J540" s="219">
        <v>0</v>
      </c>
      <c r="K540" s="219">
        <v>20800000</v>
      </c>
      <c r="L540" s="218" t="s">
        <v>7791</v>
      </c>
      <c r="M540" s="218">
        <v>1</v>
      </c>
      <c r="N540" s="218" t="s">
        <v>8857</v>
      </c>
      <c r="O540" s="218" t="s">
        <v>8796</v>
      </c>
      <c r="P540" s="218">
        <v>399</v>
      </c>
      <c r="Q540" s="218" t="s">
        <v>7771</v>
      </c>
      <c r="R540" s="220">
        <v>100</v>
      </c>
    </row>
    <row r="541" spans="1:18">
      <c r="A541" s="217">
        <v>644</v>
      </c>
      <c r="B541" s="218">
        <v>592668</v>
      </c>
      <c r="C541" s="218" t="s">
        <v>107</v>
      </c>
      <c r="D541" s="218" t="s">
        <v>7778</v>
      </c>
      <c r="E541" s="218" t="s">
        <v>8958</v>
      </c>
      <c r="F541" s="218" t="s">
        <v>7790</v>
      </c>
      <c r="G541" s="218" t="s">
        <v>7767</v>
      </c>
      <c r="H541" s="218">
        <v>1024</v>
      </c>
      <c r="I541" s="219">
        <v>20800000</v>
      </c>
      <c r="J541" s="219">
        <v>0</v>
      </c>
      <c r="K541" s="219">
        <v>20800000</v>
      </c>
      <c r="L541" s="218" t="s">
        <v>7791</v>
      </c>
      <c r="M541" s="218">
        <v>1</v>
      </c>
      <c r="N541" s="218" t="s">
        <v>8959</v>
      </c>
      <c r="O541" s="218" t="s">
        <v>3705</v>
      </c>
      <c r="P541" s="218">
        <v>399</v>
      </c>
      <c r="Q541" s="218" t="s">
        <v>7771</v>
      </c>
      <c r="R541" s="220">
        <v>100</v>
      </c>
    </row>
    <row r="542" spans="1:18">
      <c r="A542" s="217">
        <v>646</v>
      </c>
      <c r="B542" s="218">
        <v>607192</v>
      </c>
      <c r="C542" s="218" t="s">
        <v>107</v>
      </c>
      <c r="D542" s="218" t="s">
        <v>7778</v>
      </c>
      <c r="E542" s="218" t="s">
        <v>7946</v>
      </c>
      <c r="F542" s="218" t="s">
        <v>7790</v>
      </c>
      <c r="G542" s="218" t="s">
        <v>7767</v>
      </c>
      <c r="H542" s="218">
        <v>1024</v>
      </c>
      <c r="I542" s="219">
        <v>20800000</v>
      </c>
      <c r="J542" s="219">
        <v>0</v>
      </c>
      <c r="K542" s="219">
        <v>20800000</v>
      </c>
      <c r="L542" s="218" t="s">
        <v>7791</v>
      </c>
      <c r="M542" s="218">
        <v>1</v>
      </c>
      <c r="N542" s="218" t="s">
        <v>8961</v>
      </c>
      <c r="O542" s="218" t="s">
        <v>3705</v>
      </c>
      <c r="P542" s="218">
        <v>399</v>
      </c>
      <c r="Q542" s="218" t="s">
        <v>7771</v>
      </c>
      <c r="R542" s="220">
        <v>100</v>
      </c>
    </row>
    <row r="543" spans="1:18">
      <c r="A543" s="217">
        <v>647</v>
      </c>
      <c r="B543" s="218">
        <v>607195</v>
      </c>
      <c r="C543" s="218" t="s">
        <v>107</v>
      </c>
      <c r="D543" s="218" t="s">
        <v>7778</v>
      </c>
      <c r="E543" s="218" t="s">
        <v>8962</v>
      </c>
      <c r="F543" s="218" t="s">
        <v>7790</v>
      </c>
      <c r="G543" s="218" t="s">
        <v>7767</v>
      </c>
      <c r="H543" s="218">
        <v>1024</v>
      </c>
      <c r="I543" s="219">
        <v>20800000</v>
      </c>
      <c r="J543" s="219">
        <v>0</v>
      </c>
      <c r="K543" s="219">
        <v>20800000</v>
      </c>
      <c r="L543" s="218" t="s">
        <v>7791</v>
      </c>
      <c r="M543" s="218">
        <v>1</v>
      </c>
      <c r="N543" s="218" t="s">
        <v>8963</v>
      </c>
      <c r="O543" s="218" t="s">
        <v>3705</v>
      </c>
      <c r="P543" s="218">
        <v>399</v>
      </c>
      <c r="Q543" s="218" t="s">
        <v>7771</v>
      </c>
      <c r="R543" s="220">
        <v>100</v>
      </c>
    </row>
    <row r="544" spans="1:18">
      <c r="A544" s="217">
        <v>648</v>
      </c>
      <c r="B544" s="218">
        <v>607197</v>
      </c>
      <c r="C544" s="218" t="s">
        <v>107</v>
      </c>
      <c r="D544" s="218" t="s">
        <v>7778</v>
      </c>
      <c r="E544" s="218" t="s">
        <v>8964</v>
      </c>
      <c r="F544" s="218" t="s">
        <v>7790</v>
      </c>
      <c r="G544" s="218" t="s">
        <v>7767</v>
      </c>
      <c r="H544" s="218">
        <v>1024</v>
      </c>
      <c r="I544" s="219">
        <v>20800000</v>
      </c>
      <c r="J544" s="219">
        <v>0</v>
      </c>
      <c r="K544" s="219">
        <v>20800000</v>
      </c>
      <c r="L544" s="218" t="s">
        <v>7791</v>
      </c>
      <c r="M544" s="218">
        <v>1</v>
      </c>
      <c r="N544" s="218" t="s">
        <v>8965</v>
      </c>
      <c r="O544" s="218" t="s">
        <v>3705</v>
      </c>
      <c r="P544" s="218">
        <v>399</v>
      </c>
      <c r="Q544" s="218" t="s">
        <v>7771</v>
      </c>
      <c r="R544" s="220">
        <v>100</v>
      </c>
    </row>
    <row r="545" spans="1:18">
      <c r="A545" s="217">
        <v>649</v>
      </c>
      <c r="B545" s="218">
        <v>607198</v>
      </c>
      <c r="C545" s="218" t="s">
        <v>107</v>
      </c>
      <c r="D545" s="218" t="s">
        <v>7778</v>
      </c>
      <c r="E545" s="218" t="s">
        <v>8966</v>
      </c>
      <c r="F545" s="218" t="s">
        <v>7790</v>
      </c>
      <c r="G545" s="218" t="s">
        <v>7767</v>
      </c>
      <c r="H545" s="218">
        <v>1024</v>
      </c>
      <c r="I545" s="219">
        <v>20800000</v>
      </c>
      <c r="J545" s="219">
        <v>0</v>
      </c>
      <c r="K545" s="219">
        <v>20800000</v>
      </c>
      <c r="L545" s="218" t="s">
        <v>7791</v>
      </c>
      <c r="M545" s="218">
        <v>1</v>
      </c>
      <c r="N545" s="218" t="s">
        <v>8967</v>
      </c>
      <c r="O545" s="218" t="s">
        <v>3705</v>
      </c>
      <c r="P545" s="218">
        <v>399</v>
      </c>
      <c r="Q545" s="218" t="s">
        <v>7771</v>
      </c>
      <c r="R545" s="220">
        <v>100</v>
      </c>
    </row>
    <row r="546" spans="1:18">
      <c r="A546" s="217">
        <v>650</v>
      </c>
      <c r="B546" s="218">
        <v>607199</v>
      </c>
      <c r="C546" s="218" t="s">
        <v>107</v>
      </c>
      <c r="D546" s="218" t="s">
        <v>7778</v>
      </c>
      <c r="E546" s="218" t="s">
        <v>8968</v>
      </c>
      <c r="F546" s="218" t="s">
        <v>7790</v>
      </c>
      <c r="G546" s="218" t="s">
        <v>7767</v>
      </c>
      <c r="H546" s="218">
        <v>1024</v>
      </c>
      <c r="I546" s="219">
        <v>20800000</v>
      </c>
      <c r="J546" s="219">
        <v>0</v>
      </c>
      <c r="K546" s="219">
        <v>20800000</v>
      </c>
      <c r="L546" s="218" t="s">
        <v>7791</v>
      </c>
      <c r="M546" s="218">
        <v>1</v>
      </c>
      <c r="N546" s="218" t="s">
        <v>8969</v>
      </c>
      <c r="O546" s="218" t="s">
        <v>3705</v>
      </c>
      <c r="P546" s="218">
        <v>399</v>
      </c>
      <c r="Q546" s="218" t="s">
        <v>7771</v>
      </c>
      <c r="R546" s="220">
        <v>100</v>
      </c>
    </row>
    <row r="547" spans="1:18">
      <c r="A547" s="217">
        <v>651</v>
      </c>
      <c r="B547" s="218">
        <v>607219</v>
      </c>
      <c r="C547" s="218" t="s">
        <v>107</v>
      </c>
      <c r="D547" s="218" t="s">
        <v>7778</v>
      </c>
      <c r="E547" s="218" t="s">
        <v>8970</v>
      </c>
      <c r="F547" s="218" t="s">
        <v>7790</v>
      </c>
      <c r="G547" s="218" t="s">
        <v>7767</v>
      </c>
      <c r="H547" s="218">
        <v>1024</v>
      </c>
      <c r="I547" s="219">
        <v>20800000</v>
      </c>
      <c r="J547" s="219">
        <v>0</v>
      </c>
      <c r="K547" s="219">
        <v>20800000</v>
      </c>
      <c r="L547" s="218" t="s">
        <v>7791</v>
      </c>
      <c r="M547" s="218">
        <v>1</v>
      </c>
      <c r="N547" s="218" t="s">
        <v>8971</v>
      </c>
      <c r="O547" s="218" t="s">
        <v>3705</v>
      </c>
      <c r="P547" s="218">
        <v>399</v>
      </c>
      <c r="Q547" s="218" t="s">
        <v>7771</v>
      </c>
      <c r="R547" s="220">
        <v>100</v>
      </c>
    </row>
    <row r="548" spans="1:18">
      <c r="A548" s="217">
        <v>652</v>
      </c>
      <c r="B548" s="218">
        <v>607224</v>
      </c>
      <c r="C548" s="218" t="s">
        <v>107</v>
      </c>
      <c r="D548" s="218" t="s">
        <v>7778</v>
      </c>
      <c r="E548" s="218" t="s">
        <v>8962</v>
      </c>
      <c r="F548" s="218" t="s">
        <v>7790</v>
      </c>
      <c r="G548" s="218" t="s">
        <v>7767</v>
      </c>
      <c r="H548" s="218">
        <v>1024</v>
      </c>
      <c r="I548" s="219">
        <v>20800000</v>
      </c>
      <c r="J548" s="219">
        <v>0</v>
      </c>
      <c r="K548" s="219">
        <v>20800000</v>
      </c>
      <c r="L548" s="218" t="s">
        <v>7791</v>
      </c>
      <c r="M548" s="218">
        <v>1</v>
      </c>
      <c r="N548" s="218" t="s">
        <v>8972</v>
      </c>
      <c r="O548" s="218" t="s">
        <v>3705</v>
      </c>
      <c r="P548" s="218">
        <v>399</v>
      </c>
      <c r="Q548" s="218" t="s">
        <v>7771</v>
      </c>
      <c r="R548" s="220">
        <v>100</v>
      </c>
    </row>
    <row r="549" spans="1:18">
      <c r="A549" s="217">
        <v>653</v>
      </c>
      <c r="B549" s="218">
        <v>607226</v>
      </c>
      <c r="C549" s="218" t="s">
        <v>107</v>
      </c>
      <c r="D549" s="218" t="s">
        <v>7778</v>
      </c>
      <c r="E549" s="218" t="s">
        <v>8970</v>
      </c>
      <c r="F549" s="218" t="s">
        <v>7790</v>
      </c>
      <c r="G549" s="218" t="s">
        <v>7767</v>
      </c>
      <c r="H549" s="218">
        <v>1024</v>
      </c>
      <c r="I549" s="219">
        <v>20800000</v>
      </c>
      <c r="J549" s="219">
        <v>0</v>
      </c>
      <c r="K549" s="219">
        <v>20800000</v>
      </c>
      <c r="L549" s="218" t="s">
        <v>7791</v>
      </c>
      <c r="M549" s="218">
        <v>1</v>
      </c>
      <c r="N549" s="218" t="s">
        <v>8973</v>
      </c>
      <c r="O549" s="218" t="s">
        <v>3705</v>
      </c>
      <c r="P549" s="218">
        <v>399</v>
      </c>
      <c r="Q549" s="218" t="s">
        <v>7771</v>
      </c>
      <c r="R549" s="220">
        <v>100</v>
      </c>
    </row>
    <row r="550" spans="1:18">
      <c r="A550" s="217">
        <v>654</v>
      </c>
      <c r="B550" s="218">
        <v>607229</v>
      </c>
      <c r="C550" s="218" t="s">
        <v>107</v>
      </c>
      <c r="D550" s="218" t="s">
        <v>7778</v>
      </c>
      <c r="E550" s="218" t="s">
        <v>8974</v>
      </c>
      <c r="F550" s="218" t="s">
        <v>7790</v>
      </c>
      <c r="G550" s="218" t="s">
        <v>7767</v>
      </c>
      <c r="H550" s="218">
        <v>1024</v>
      </c>
      <c r="I550" s="219">
        <v>20800000</v>
      </c>
      <c r="J550" s="219">
        <v>0</v>
      </c>
      <c r="K550" s="219">
        <v>20800000</v>
      </c>
      <c r="L550" s="218" t="s">
        <v>7791</v>
      </c>
      <c r="M550" s="218">
        <v>1</v>
      </c>
      <c r="N550" s="218" t="s">
        <v>8975</v>
      </c>
      <c r="O550" s="218" t="s">
        <v>3705</v>
      </c>
      <c r="P550" s="218">
        <v>399</v>
      </c>
      <c r="Q550" s="218" t="s">
        <v>7771</v>
      </c>
      <c r="R550" s="220">
        <v>100</v>
      </c>
    </row>
    <row r="551" spans="1:18">
      <c r="A551" s="217">
        <v>655</v>
      </c>
      <c r="B551" s="218">
        <v>607230</v>
      </c>
      <c r="C551" s="218" t="s">
        <v>107</v>
      </c>
      <c r="D551" s="218" t="s">
        <v>7778</v>
      </c>
      <c r="E551" s="218" t="s">
        <v>8976</v>
      </c>
      <c r="F551" s="218" t="s">
        <v>7790</v>
      </c>
      <c r="G551" s="218" t="s">
        <v>7767</v>
      </c>
      <c r="H551" s="218">
        <v>1024</v>
      </c>
      <c r="I551" s="219">
        <v>20800000</v>
      </c>
      <c r="J551" s="219">
        <v>0</v>
      </c>
      <c r="K551" s="219">
        <v>20800000</v>
      </c>
      <c r="L551" s="218" t="s">
        <v>7791</v>
      </c>
      <c r="M551" s="218">
        <v>1</v>
      </c>
      <c r="N551" s="218" t="s">
        <v>8977</v>
      </c>
      <c r="O551" s="218" t="s">
        <v>3705</v>
      </c>
      <c r="P551" s="218">
        <v>399</v>
      </c>
      <c r="Q551" s="218" t="s">
        <v>7771</v>
      </c>
      <c r="R551" s="220">
        <v>100</v>
      </c>
    </row>
    <row r="552" spans="1:18">
      <c r="A552" s="217">
        <v>656</v>
      </c>
      <c r="B552" s="218">
        <v>607234</v>
      </c>
      <c r="C552" s="218" t="s">
        <v>107</v>
      </c>
      <c r="D552" s="218" t="s">
        <v>7778</v>
      </c>
      <c r="E552" s="218" t="s">
        <v>8978</v>
      </c>
      <c r="F552" s="218" t="s">
        <v>7790</v>
      </c>
      <c r="G552" s="218" t="s">
        <v>7767</v>
      </c>
      <c r="H552" s="218">
        <v>1024</v>
      </c>
      <c r="I552" s="219">
        <v>20800000</v>
      </c>
      <c r="J552" s="219">
        <v>0</v>
      </c>
      <c r="K552" s="219">
        <v>20800000</v>
      </c>
      <c r="L552" s="218" t="s">
        <v>7791</v>
      </c>
      <c r="M552" s="218">
        <v>1</v>
      </c>
      <c r="N552" s="218" t="s">
        <v>8979</v>
      </c>
      <c r="O552" s="218" t="s">
        <v>3705</v>
      </c>
      <c r="P552" s="218">
        <v>399</v>
      </c>
      <c r="Q552" s="218" t="s">
        <v>7771</v>
      </c>
      <c r="R552" s="220">
        <v>100</v>
      </c>
    </row>
    <row r="553" spans="1:18">
      <c r="A553" s="217">
        <v>657</v>
      </c>
      <c r="B553" s="218">
        <v>607240</v>
      </c>
      <c r="C553" s="218" t="s">
        <v>107</v>
      </c>
      <c r="D553" s="218" t="s">
        <v>7778</v>
      </c>
      <c r="E553" s="218" t="s">
        <v>7946</v>
      </c>
      <c r="F553" s="218" t="s">
        <v>7790</v>
      </c>
      <c r="G553" s="218" t="s">
        <v>7767</v>
      </c>
      <c r="H553" s="218">
        <v>1024</v>
      </c>
      <c r="I553" s="219">
        <v>20800000</v>
      </c>
      <c r="J553" s="219">
        <v>0</v>
      </c>
      <c r="K553" s="219">
        <v>20800000</v>
      </c>
      <c r="L553" s="218" t="s">
        <v>7791</v>
      </c>
      <c r="M553" s="218">
        <v>1</v>
      </c>
      <c r="N553" s="218" t="s">
        <v>8980</v>
      </c>
      <c r="O553" s="218" t="s">
        <v>3705</v>
      </c>
      <c r="P553" s="218">
        <v>399</v>
      </c>
      <c r="Q553" s="218" t="s">
        <v>7771</v>
      </c>
      <c r="R553" s="220">
        <v>100</v>
      </c>
    </row>
    <row r="554" spans="1:18">
      <c r="A554" s="217">
        <v>660</v>
      </c>
      <c r="B554" s="218">
        <v>627735</v>
      </c>
      <c r="C554" s="218" t="s">
        <v>107</v>
      </c>
      <c r="D554" s="218" t="s">
        <v>7778</v>
      </c>
      <c r="E554" s="218" t="s">
        <v>8987</v>
      </c>
      <c r="F554" s="218" t="s">
        <v>7790</v>
      </c>
      <c r="G554" s="218" t="s">
        <v>7767</v>
      </c>
      <c r="H554" s="218">
        <v>1024</v>
      </c>
      <c r="I554" s="219">
        <v>20800000</v>
      </c>
      <c r="J554" s="219">
        <v>0</v>
      </c>
      <c r="K554" s="219">
        <v>20800000</v>
      </c>
      <c r="L554" s="218" t="s">
        <v>7791</v>
      </c>
      <c r="M554" s="218">
        <v>1</v>
      </c>
      <c r="N554" s="218" t="s">
        <v>8988</v>
      </c>
      <c r="O554" s="218" t="s">
        <v>8989</v>
      </c>
      <c r="P554" s="218">
        <v>399</v>
      </c>
      <c r="Q554" s="218" t="s">
        <v>7771</v>
      </c>
      <c r="R554" s="220">
        <v>100</v>
      </c>
    </row>
    <row r="555" spans="1:18">
      <c r="A555" s="217">
        <v>670</v>
      </c>
      <c r="B555" s="218">
        <v>607614</v>
      </c>
      <c r="C555" s="218" t="s">
        <v>107</v>
      </c>
      <c r="D555" s="218" t="s">
        <v>7778</v>
      </c>
      <c r="E555" s="218" t="s">
        <v>9005</v>
      </c>
      <c r="F555" s="218" t="s">
        <v>7790</v>
      </c>
      <c r="G555" s="218" t="s">
        <v>7767</v>
      </c>
      <c r="H555" s="218">
        <v>1024</v>
      </c>
      <c r="I555" s="219">
        <v>20800000</v>
      </c>
      <c r="J555" s="219">
        <v>0</v>
      </c>
      <c r="K555" s="219">
        <v>20800000</v>
      </c>
      <c r="L555" s="218" t="s">
        <v>7791</v>
      </c>
      <c r="M555" s="218">
        <v>1</v>
      </c>
      <c r="N555" s="218" t="s">
        <v>8999</v>
      </c>
      <c r="O555" s="218" t="s">
        <v>8989</v>
      </c>
      <c r="P555" s="218">
        <v>399</v>
      </c>
      <c r="Q555" s="218" t="s">
        <v>7771</v>
      </c>
      <c r="R555" s="220">
        <v>100</v>
      </c>
    </row>
    <row r="556" spans="1:18">
      <c r="A556" s="217">
        <v>671</v>
      </c>
      <c r="B556" s="218">
        <v>607615</v>
      </c>
      <c r="C556" s="218" t="s">
        <v>107</v>
      </c>
      <c r="D556" s="218" t="s">
        <v>7778</v>
      </c>
      <c r="E556" s="218" t="s">
        <v>9006</v>
      </c>
      <c r="F556" s="218" t="s">
        <v>7790</v>
      </c>
      <c r="G556" s="218" t="s">
        <v>7767</v>
      </c>
      <c r="H556" s="218">
        <v>1024</v>
      </c>
      <c r="I556" s="219">
        <v>20800000</v>
      </c>
      <c r="J556" s="219">
        <v>0</v>
      </c>
      <c r="K556" s="219">
        <v>20800000</v>
      </c>
      <c r="L556" s="218" t="s">
        <v>7791</v>
      </c>
      <c r="M556" s="218">
        <v>1</v>
      </c>
      <c r="N556" s="218" t="s">
        <v>9003</v>
      </c>
      <c r="O556" s="218" t="s">
        <v>8989</v>
      </c>
      <c r="P556" s="218">
        <v>399</v>
      </c>
      <c r="Q556" s="218" t="s">
        <v>7771</v>
      </c>
      <c r="R556" s="220">
        <v>100</v>
      </c>
    </row>
    <row r="557" spans="1:18">
      <c r="A557" s="217">
        <v>672</v>
      </c>
      <c r="B557" s="218">
        <v>607616</v>
      </c>
      <c r="C557" s="218" t="s">
        <v>107</v>
      </c>
      <c r="D557" s="218" t="s">
        <v>7778</v>
      </c>
      <c r="E557" s="218" t="s">
        <v>8978</v>
      </c>
      <c r="F557" s="218" t="s">
        <v>7790</v>
      </c>
      <c r="G557" s="218" t="s">
        <v>7767</v>
      </c>
      <c r="H557" s="218">
        <v>1024</v>
      </c>
      <c r="I557" s="219">
        <v>20800000</v>
      </c>
      <c r="J557" s="219">
        <v>0</v>
      </c>
      <c r="K557" s="219">
        <v>20800000</v>
      </c>
      <c r="L557" s="218" t="s">
        <v>7791</v>
      </c>
      <c r="M557" s="218">
        <v>1</v>
      </c>
      <c r="N557" s="218" t="s">
        <v>9004</v>
      </c>
      <c r="O557" s="218" t="s">
        <v>8989</v>
      </c>
      <c r="P557" s="218">
        <v>399</v>
      </c>
      <c r="Q557" s="218" t="s">
        <v>7771</v>
      </c>
      <c r="R557" s="220">
        <v>100</v>
      </c>
    </row>
    <row r="558" spans="1:18">
      <c r="A558" s="217">
        <v>673</v>
      </c>
      <c r="B558" s="218">
        <v>607617</v>
      </c>
      <c r="C558" s="218" t="s">
        <v>107</v>
      </c>
      <c r="D558" s="218" t="s">
        <v>7778</v>
      </c>
      <c r="E558" s="218" t="s">
        <v>9005</v>
      </c>
      <c r="F558" s="218" t="s">
        <v>7790</v>
      </c>
      <c r="G558" s="218" t="s">
        <v>7767</v>
      </c>
      <c r="H558" s="218">
        <v>1024</v>
      </c>
      <c r="I558" s="219">
        <v>20800000</v>
      </c>
      <c r="J558" s="219">
        <v>0</v>
      </c>
      <c r="K558" s="219">
        <v>20800000</v>
      </c>
      <c r="L558" s="218" t="s">
        <v>7791</v>
      </c>
      <c r="M558" s="218">
        <v>1</v>
      </c>
      <c r="N558" s="218" t="s">
        <v>9007</v>
      </c>
      <c r="O558" s="218" t="s">
        <v>8989</v>
      </c>
      <c r="P558" s="218">
        <v>399</v>
      </c>
      <c r="Q558" s="218" t="s">
        <v>7771</v>
      </c>
      <c r="R558" s="220">
        <v>100</v>
      </c>
    </row>
    <row r="559" spans="1:18">
      <c r="A559" s="217">
        <v>675</v>
      </c>
      <c r="B559" s="218">
        <v>613180</v>
      </c>
      <c r="C559" s="218" t="s">
        <v>107</v>
      </c>
      <c r="D559" s="218" t="s">
        <v>7778</v>
      </c>
      <c r="E559" s="218" t="s">
        <v>9010</v>
      </c>
      <c r="F559" s="218" t="s">
        <v>7790</v>
      </c>
      <c r="G559" s="218" t="s">
        <v>7767</v>
      </c>
      <c r="H559" s="218">
        <v>1024</v>
      </c>
      <c r="I559" s="219">
        <v>20800000</v>
      </c>
      <c r="J559" s="219">
        <v>0</v>
      </c>
      <c r="K559" s="219">
        <v>20800000</v>
      </c>
      <c r="L559" s="218" t="s">
        <v>7791</v>
      </c>
      <c r="M559" s="218">
        <v>1</v>
      </c>
      <c r="N559" s="218" t="s">
        <v>9011</v>
      </c>
      <c r="O559" s="218" t="s">
        <v>8989</v>
      </c>
      <c r="P559" s="218">
        <v>399</v>
      </c>
      <c r="Q559" s="218" t="s">
        <v>7771</v>
      </c>
      <c r="R559" s="220">
        <v>100</v>
      </c>
    </row>
    <row r="560" spans="1:18">
      <c r="A560" s="217">
        <v>679</v>
      </c>
      <c r="B560" s="218">
        <v>662174</v>
      </c>
      <c r="C560" s="218" t="s">
        <v>107</v>
      </c>
      <c r="D560" s="218" t="s">
        <v>7778</v>
      </c>
      <c r="E560" s="218" t="s">
        <v>9019</v>
      </c>
      <c r="F560" s="218" t="s">
        <v>7790</v>
      </c>
      <c r="G560" s="218" t="s">
        <v>7767</v>
      </c>
      <c r="H560" s="218">
        <v>1024</v>
      </c>
      <c r="I560" s="219">
        <v>20800000</v>
      </c>
      <c r="J560" s="219">
        <v>0</v>
      </c>
      <c r="K560" s="219">
        <v>20800000</v>
      </c>
      <c r="L560" s="218" t="s">
        <v>7791</v>
      </c>
      <c r="M560" s="218">
        <v>1</v>
      </c>
      <c r="N560" s="218" t="s">
        <v>9018</v>
      </c>
      <c r="O560" s="218" t="s">
        <v>3873</v>
      </c>
      <c r="P560" s="218">
        <v>399</v>
      </c>
      <c r="Q560" s="218" t="s">
        <v>7771</v>
      </c>
      <c r="R560" s="220">
        <v>100</v>
      </c>
    </row>
    <row r="561" spans="1:18">
      <c r="A561" s="217">
        <v>681</v>
      </c>
      <c r="B561" s="218">
        <v>9802169525</v>
      </c>
      <c r="C561" s="218" t="s">
        <v>107</v>
      </c>
      <c r="D561" s="218" t="s">
        <v>7778</v>
      </c>
      <c r="E561" s="218" t="s">
        <v>9023</v>
      </c>
      <c r="F561" s="218" t="s">
        <v>7790</v>
      </c>
      <c r="G561" s="218" t="s">
        <v>7767</v>
      </c>
      <c r="H561" s="218">
        <v>1024</v>
      </c>
      <c r="I561" s="219">
        <v>20800000</v>
      </c>
      <c r="J561" s="219">
        <v>0</v>
      </c>
      <c r="K561" s="219">
        <v>20800000</v>
      </c>
      <c r="L561" s="218" t="s">
        <v>7791</v>
      </c>
      <c r="M561" s="218">
        <v>1</v>
      </c>
      <c r="N561" s="218" t="s">
        <v>9022</v>
      </c>
      <c r="O561" s="218" t="s">
        <v>3873</v>
      </c>
      <c r="P561" s="218">
        <v>399</v>
      </c>
      <c r="Q561" s="218" t="s">
        <v>7771</v>
      </c>
      <c r="R561" s="220">
        <v>100</v>
      </c>
    </row>
    <row r="562" spans="1:18">
      <c r="A562" s="217">
        <v>683</v>
      </c>
      <c r="B562" s="218">
        <v>9802176520</v>
      </c>
      <c r="C562" s="218" t="s">
        <v>107</v>
      </c>
      <c r="D562" s="218" t="s">
        <v>7778</v>
      </c>
      <c r="E562" s="218" t="s">
        <v>9024</v>
      </c>
      <c r="F562" s="218" t="s">
        <v>7790</v>
      </c>
      <c r="G562" s="218" t="s">
        <v>7767</v>
      </c>
      <c r="H562" s="218">
        <v>1024</v>
      </c>
      <c r="I562" s="219">
        <v>20800000</v>
      </c>
      <c r="J562" s="219">
        <v>0</v>
      </c>
      <c r="K562" s="219">
        <v>20800000</v>
      </c>
      <c r="L562" s="218" t="s">
        <v>7791</v>
      </c>
      <c r="M562" s="218">
        <v>1</v>
      </c>
      <c r="N562" s="218" t="s">
        <v>9025</v>
      </c>
      <c r="O562" s="218" t="s">
        <v>3873</v>
      </c>
      <c r="P562" s="218">
        <v>399</v>
      </c>
      <c r="Q562" s="218" t="s">
        <v>7771</v>
      </c>
      <c r="R562" s="220">
        <v>100</v>
      </c>
    </row>
    <row r="563" spans="1:18">
      <c r="A563" s="217">
        <v>690</v>
      </c>
      <c r="B563" s="218">
        <v>9702076264</v>
      </c>
      <c r="C563" s="218" t="s">
        <v>107</v>
      </c>
      <c r="D563" s="218" t="s">
        <v>7778</v>
      </c>
      <c r="E563" s="218" t="s">
        <v>9032</v>
      </c>
      <c r="F563" s="218" t="s">
        <v>7790</v>
      </c>
      <c r="G563" s="218" t="s">
        <v>7767</v>
      </c>
      <c r="H563" s="218">
        <v>1024</v>
      </c>
      <c r="I563" s="219">
        <v>20800000</v>
      </c>
      <c r="J563" s="219">
        <v>0</v>
      </c>
      <c r="K563" s="219">
        <v>20800000</v>
      </c>
      <c r="L563" s="218" t="s">
        <v>7791</v>
      </c>
      <c r="M563" s="218">
        <v>1</v>
      </c>
      <c r="N563" s="218" t="s">
        <v>4780</v>
      </c>
      <c r="O563" s="218" t="s">
        <v>3742</v>
      </c>
      <c r="P563" s="218">
        <v>399</v>
      </c>
      <c r="Q563" s="218" t="s">
        <v>7771</v>
      </c>
      <c r="R563" s="220">
        <v>100</v>
      </c>
    </row>
    <row r="564" spans="1:18">
      <c r="A564" s="217">
        <v>695</v>
      </c>
      <c r="B564" s="218">
        <v>597162</v>
      </c>
      <c r="C564" s="218" t="s">
        <v>107</v>
      </c>
      <c r="D564" s="218" t="s">
        <v>7778</v>
      </c>
      <c r="E564" s="218" t="s">
        <v>9038</v>
      </c>
      <c r="F564" s="218" t="s">
        <v>7790</v>
      </c>
      <c r="G564" s="218" t="s">
        <v>7767</v>
      </c>
      <c r="H564" s="218">
        <v>1024</v>
      </c>
      <c r="I564" s="219">
        <v>20800000</v>
      </c>
      <c r="J564" s="219">
        <v>0</v>
      </c>
      <c r="K564" s="219">
        <v>20800000</v>
      </c>
      <c r="L564" s="218" t="s">
        <v>7791</v>
      </c>
      <c r="M564" s="218">
        <v>1</v>
      </c>
      <c r="N564" s="218" t="s">
        <v>9039</v>
      </c>
      <c r="O564" s="218" t="s">
        <v>3742</v>
      </c>
      <c r="P564" s="218">
        <v>399</v>
      </c>
      <c r="Q564" s="218" t="s">
        <v>7771</v>
      </c>
      <c r="R564" s="220">
        <v>100</v>
      </c>
    </row>
    <row r="565" spans="1:18">
      <c r="A565" s="217">
        <v>696</v>
      </c>
      <c r="B565" s="218">
        <v>597168</v>
      </c>
      <c r="C565" s="218" t="s">
        <v>107</v>
      </c>
      <c r="D565" s="218" t="s">
        <v>7778</v>
      </c>
      <c r="E565" s="218" t="s">
        <v>9040</v>
      </c>
      <c r="F565" s="218" t="s">
        <v>7790</v>
      </c>
      <c r="G565" s="218" t="s">
        <v>7767</v>
      </c>
      <c r="H565" s="218">
        <v>1024</v>
      </c>
      <c r="I565" s="219">
        <v>20800000</v>
      </c>
      <c r="J565" s="219">
        <v>0</v>
      </c>
      <c r="K565" s="219">
        <v>20800000</v>
      </c>
      <c r="L565" s="218" t="s">
        <v>7791</v>
      </c>
      <c r="M565" s="218">
        <v>1</v>
      </c>
      <c r="N565" s="218" t="s">
        <v>9037</v>
      </c>
      <c r="O565" s="218" t="s">
        <v>3742</v>
      </c>
      <c r="P565" s="218">
        <v>399</v>
      </c>
      <c r="Q565" s="218" t="s">
        <v>7771</v>
      </c>
      <c r="R565" s="220">
        <v>100</v>
      </c>
    </row>
    <row r="566" spans="1:18">
      <c r="A566" s="217">
        <v>698</v>
      </c>
      <c r="B566" s="218">
        <v>612448</v>
      </c>
      <c r="C566" s="218" t="s">
        <v>107</v>
      </c>
      <c r="D566" s="218" t="s">
        <v>7778</v>
      </c>
      <c r="E566" s="218" t="s">
        <v>9042</v>
      </c>
      <c r="F566" s="218" t="s">
        <v>7790</v>
      </c>
      <c r="G566" s="218" t="s">
        <v>7767</v>
      </c>
      <c r="H566" s="218">
        <v>1024</v>
      </c>
      <c r="I566" s="219">
        <v>20800000</v>
      </c>
      <c r="J566" s="219">
        <v>0</v>
      </c>
      <c r="K566" s="219">
        <v>20800000</v>
      </c>
      <c r="L566" s="218" t="s">
        <v>7791</v>
      </c>
      <c r="M566" s="218">
        <v>1</v>
      </c>
      <c r="N566" s="218" t="s">
        <v>7944</v>
      </c>
      <c r="O566" s="218" t="s">
        <v>3742</v>
      </c>
      <c r="P566" s="218">
        <v>399</v>
      </c>
      <c r="Q566" s="218" t="s">
        <v>7771</v>
      </c>
      <c r="R566" s="220">
        <v>100</v>
      </c>
    </row>
    <row r="567" spans="1:18">
      <c r="A567" s="217">
        <v>707</v>
      </c>
      <c r="B567" s="218">
        <v>607947</v>
      </c>
      <c r="C567" s="218" t="s">
        <v>107</v>
      </c>
      <c r="D567" s="218" t="s">
        <v>7778</v>
      </c>
      <c r="E567" s="218" t="s">
        <v>8376</v>
      </c>
      <c r="F567" s="218" t="s">
        <v>7790</v>
      </c>
      <c r="G567" s="218" t="s">
        <v>7767</v>
      </c>
      <c r="H567" s="218">
        <v>1024</v>
      </c>
      <c r="I567" s="219">
        <v>20800000</v>
      </c>
      <c r="J567" s="219">
        <v>0</v>
      </c>
      <c r="K567" s="219">
        <v>20800000</v>
      </c>
      <c r="L567" s="218" t="s">
        <v>7791</v>
      </c>
      <c r="M567" s="218">
        <v>1</v>
      </c>
      <c r="N567" s="218" t="s">
        <v>9057</v>
      </c>
      <c r="O567" s="218" t="s">
        <v>9043</v>
      </c>
      <c r="P567" s="218">
        <v>399</v>
      </c>
      <c r="Q567" s="218" t="s">
        <v>7771</v>
      </c>
      <c r="R567" s="220">
        <v>100</v>
      </c>
    </row>
    <row r="568" spans="1:18">
      <c r="A568" s="217">
        <v>708</v>
      </c>
      <c r="B568" s="218">
        <v>609501</v>
      </c>
      <c r="C568" s="218" t="s">
        <v>107</v>
      </c>
      <c r="D568" s="218" t="s">
        <v>7778</v>
      </c>
      <c r="E568" s="218" t="s">
        <v>9058</v>
      </c>
      <c r="F568" s="218" t="s">
        <v>7790</v>
      </c>
      <c r="G568" s="218" t="s">
        <v>7767</v>
      </c>
      <c r="H568" s="218">
        <v>1024</v>
      </c>
      <c r="I568" s="219">
        <v>20800000</v>
      </c>
      <c r="J568" s="219">
        <v>0</v>
      </c>
      <c r="K568" s="219">
        <v>20800000</v>
      </c>
      <c r="L568" s="218" t="s">
        <v>7791</v>
      </c>
      <c r="M568" s="218">
        <v>1</v>
      </c>
      <c r="N568" s="218" t="s">
        <v>9059</v>
      </c>
      <c r="O568" s="218" t="s">
        <v>9043</v>
      </c>
      <c r="P568" s="218">
        <v>399</v>
      </c>
      <c r="Q568" s="218" t="s">
        <v>7771</v>
      </c>
      <c r="R568" s="220">
        <v>100</v>
      </c>
    </row>
    <row r="569" spans="1:18">
      <c r="A569" s="217">
        <v>709</v>
      </c>
      <c r="B569" s="218">
        <v>612671</v>
      </c>
      <c r="C569" s="218" t="s">
        <v>107</v>
      </c>
      <c r="D569" s="218" t="s">
        <v>7778</v>
      </c>
      <c r="E569" s="218" t="s">
        <v>9060</v>
      </c>
      <c r="F569" s="218" t="s">
        <v>7790</v>
      </c>
      <c r="G569" s="218" t="s">
        <v>7767</v>
      </c>
      <c r="H569" s="218">
        <v>1024</v>
      </c>
      <c r="I569" s="219">
        <v>20800000</v>
      </c>
      <c r="J569" s="219">
        <v>0</v>
      </c>
      <c r="K569" s="219">
        <v>20800000</v>
      </c>
      <c r="L569" s="218" t="s">
        <v>7791</v>
      </c>
      <c r="M569" s="218">
        <v>1</v>
      </c>
      <c r="N569" s="218" t="s">
        <v>9061</v>
      </c>
      <c r="O569" s="218" t="s">
        <v>9043</v>
      </c>
      <c r="P569" s="218">
        <v>399</v>
      </c>
      <c r="Q569" s="218" t="s">
        <v>7771</v>
      </c>
      <c r="R569" s="220">
        <v>100</v>
      </c>
    </row>
    <row r="570" spans="1:18">
      <c r="A570" s="217">
        <v>685</v>
      </c>
      <c r="B570" s="218">
        <v>25403767806</v>
      </c>
      <c r="C570" s="218" t="s">
        <v>40</v>
      </c>
      <c r="D570" s="218" t="s">
        <v>7764</v>
      </c>
      <c r="E570" s="218" t="s">
        <v>8651</v>
      </c>
      <c r="F570" s="218" t="s">
        <v>8651</v>
      </c>
      <c r="G570" s="218" t="s">
        <v>7767</v>
      </c>
      <c r="H570" s="218">
        <v>2048</v>
      </c>
      <c r="I570" s="219">
        <v>21000000</v>
      </c>
      <c r="J570" s="219">
        <v>0</v>
      </c>
      <c r="K570" s="219">
        <v>21000000</v>
      </c>
      <c r="L570" s="218" t="s">
        <v>7781</v>
      </c>
      <c r="M570" s="218">
        <v>1</v>
      </c>
      <c r="N570" s="218" t="s">
        <v>5005</v>
      </c>
      <c r="O570" s="218" t="s">
        <v>3873</v>
      </c>
      <c r="P570" s="218">
        <v>399</v>
      </c>
      <c r="Q570" s="218" t="s">
        <v>7771</v>
      </c>
      <c r="R570" s="220">
        <v>100</v>
      </c>
    </row>
    <row r="571" spans="1:18">
      <c r="A571" s="217">
        <v>125</v>
      </c>
      <c r="B571" s="218">
        <v>657023</v>
      </c>
      <c r="C571" s="218" t="s">
        <v>335</v>
      </c>
      <c r="D571" s="218" t="s">
        <v>8039</v>
      </c>
      <c r="E571" s="218" t="s">
        <v>8040</v>
      </c>
      <c r="F571" s="218" t="s">
        <v>8041</v>
      </c>
      <c r="G571" s="218" t="s">
        <v>7767</v>
      </c>
      <c r="H571" s="218">
        <v>2048</v>
      </c>
      <c r="I571" s="219">
        <v>22400000</v>
      </c>
      <c r="J571" s="219">
        <v>0</v>
      </c>
      <c r="K571" s="219">
        <v>22400000</v>
      </c>
      <c r="L571" s="218" t="s">
        <v>7781</v>
      </c>
      <c r="M571" s="218">
        <v>1</v>
      </c>
      <c r="N571" s="218" t="s">
        <v>8042</v>
      </c>
      <c r="O571" s="218" t="s">
        <v>7993</v>
      </c>
      <c r="P571" s="218">
        <v>399</v>
      </c>
      <c r="Q571" s="218" t="s">
        <v>7771</v>
      </c>
      <c r="R571" s="220">
        <v>104</v>
      </c>
    </row>
    <row r="572" spans="1:18">
      <c r="A572" s="217">
        <v>126</v>
      </c>
      <c r="B572" s="218">
        <v>657032</v>
      </c>
      <c r="C572" s="218" t="s">
        <v>335</v>
      </c>
      <c r="D572" s="218" t="s">
        <v>7764</v>
      </c>
      <c r="E572" s="218" t="s">
        <v>8043</v>
      </c>
      <c r="F572" s="218" t="s">
        <v>8044</v>
      </c>
      <c r="G572" s="218" t="s">
        <v>7767</v>
      </c>
      <c r="H572" s="218">
        <v>2048</v>
      </c>
      <c r="I572" s="219">
        <v>22400000</v>
      </c>
      <c r="J572" s="219">
        <v>0</v>
      </c>
      <c r="K572" s="219">
        <v>22400000</v>
      </c>
      <c r="L572" s="218" t="s">
        <v>7781</v>
      </c>
      <c r="M572" s="218">
        <v>1</v>
      </c>
      <c r="N572" s="218" t="s">
        <v>8045</v>
      </c>
      <c r="O572" s="218" t="s">
        <v>7993</v>
      </c>
      <c r="P572" s="218">
        <v>399</v>
      </c>
      <c r="Q572" s="218" t="s">
        <v>7771</v>
      </c>
      <c r="R572" s="220">
        <v>104</v>
      </c>
    </row>
    <row r="573" spans="1:18">
      <c r="A573" s="217">
        <v>128</v>
      </c>
      <c r="B573" s="218">
        <v>657048</v>
      </c>
      <c r="C573" s="218" t="s">
        <v>335</v>
      </c>
      <c r="D573" s="218" t="s">
        <v>7764</v>
      </c>
      <c r="E573" s="218" t="s">
        <v>8043</v>
      </c>
      <c r="F573" s="218" t="s">
        <v>8049</v>
      </c>
      <c r="G573" s="218" t="s">
        <v>7767</v>
      </c>
      <c r="H573" s="218">
        <v>2048</v>
      </c>
      <c r="I573" s="219">
        <v>22400000</v>
      </c>
      <c r="J573" s="219">
        <v>0</v>
      </c>
      <c r="K573" s="219">
        <v>22400000</v>
      </c>
      <c r="L573" s="218" t="s">
        <v>7781</v>
      </c>
      <c r="M573" s="218">
        <v>1</v>
      </c>
      <c r="N573" s="218" t="s">
        <v>8050</v>
      </c>
      <c r="O573" s="218" t="s">
        <v>7993</v>
      </c>
      <c r="P573" s="218">
        <v>399</v>
      </c>
      <c r="Q573" s="218" t="s">
        <v>7771</v>
      </c>
      <c r="R573" s="220">
        <v>104</v>
      </c>
    </row>
    <row r="574" spans="1:18">
      <c r="A574" s="217">
        <v>129</v>
      </c>
      <c r="B574" s="218">
        <v>657404</v>
      </c>
      <c r="C574" s="218" t="s">
        <v>335</v>
      </c>
      <c r="D574" s="218" t="s">
        <v>7764</v>
      </c>
      <c r="E574" s="218" t="s">
        <v>8051</v>
      </c>
      <c r="F574" s="218" t="s">
        <v>8052</v>
      </c>
      <c r="G574" s="218" t="s">
        <v>7767</v>
      </c>
      <c r="H574" s="218">
        <v>2048</v>
      </c>
      <c r="I574" s="219">
        <v>22400000</v>
      </c>
      <c r="J574" s="219">
        <v>0</v>
      </c>
      <c r="K574" s="219">
        <v>22400000</v>
      </c>
      <c r="L574" s="218" t="s">
        <v>7781</v>
      </c>
      <c r="M574" s="218">
        <v>1</v>
      </c>
      <c r="N574" s="218" t="s">
        <v>8053</v>
      </c>
      <c r="O574" s="218" t="s">
        <v>7993</v>
      </c>
      <c r="P574" s="218">
        <v>399</v>
      </c>
      <c r="Q574" s="218" t="s">
        <v>7771</v>
      </c>
      <c r="R574" s="220">
        <v>104</v>
      </c>
    </row>
    <row r="575" spans="1:18">
      <c r="A575" s="217">
        <v>184</v>
      </c>
      <c r="B575" s="218">
        <v>9702144342</v>
      </c>
      <c r="C575" s="218" t="s">
        <v>335</v>
      </c>
      <c r="D575" s="218" t="s">
        <v>8039</v>
      </c>
      <c r="E575" s="218" t="s">
        <v>8151</v>
      </c>
      <c r="F575" s="218" t="s">
        <v>8152</v>
      </c>
      <c r="G575" s="218" t="s">
        <v>7767</v>
      </c>
      <c r="H575" s="218">
        <v>2048</v>
      </c>
      <c r="I575" s="219">
        <v>22400000</v>
      </c>
      <c r="J575" s="219">
        <v>0</v>
      </c>
      <c r="K575" s="219">
        <v>22400000</v>
      </c>
      <c r="L575" s="218" t="s">
        <v>7781</v>
      </c>
      <c r="M575" s="218">
        <v>1</v>
      </c>
      <c r="N575" s="218" t="s">
        <v>8153</v>
      </c>
      <c r="O575" s="218" t="s">
        <v>7993</v>
      </c>
      <c r="P575" s="218">
        <v>399</v>
      </c>
      <c r="Q575" s="218" t="s">
        <v>7771</v>
      </c>
      <c r="R575" s="220">
        <v>100</v>
      </c>
    </row>
    <row r="576" spans="1:18">
      <c r="A576" s="217">
        <v>187</v>
      </c>
      <c r="B576" s="218">
        <v>9702144365</v>
      </c>
      <c r="C576" s="218" t="s">
        <v>335</v>
      </c>
      <c r="D576" s="218" t="s">
        <v>8039</v>
      </c>
      <c r="E576" s="218" t="s">
        <v>8157</v>
      </c>
      <c r="F576" s="218" t="s">
        <v>7866</v>
      </c>
      <c r="G576" s="218" t="s">
        <v>7767</v>
      </c>
      <c r="H576" s="218">
        <v>2048</v>
      </c>
      <c r="I576" s="219">
        <v>22400000</v>
      </c>
      <c r="J576" s="219">
        <v>0</v>
      </c>
      <c r="K576" s="219">
        <v>22400000</v>
      </c>
      <c r="L576" s="218" t="s">
        <v>7781</v>
      </c>
      <c r="M576" s="218">
        <v>1</v>
      </c>
      <c r="N576" s="218" t="s">
        <v>8158</v>
      </c>
      <c r="O576" s="218" t="s">
        <v>7993</v>
      </c>
      <c r="P576" s="218">
        <v>399</v>
      </c>
      <c r="Q576" s="218" t="s">
        <v>7771</v>
      </c>
      <c r="R576" s="220">
        <v>100</v>
      </c>
    </row>
    <row r="577" spans="1:18">
      <c r="A577" s="217">
        <v>469</v>
      </c>
      <c r="B577" s="218">
        <v>627719</v>
      </c>
      <c r="C577" s="218" t="s">
        <v>335</v>
      </c>
      <c r="D577" s="218" t="s">
        <v>8065</v>
      </c>
      <c r="E577" s="218" t="s">
        <v>8649</v>
      </c>
      <c r="F577" s="218" t="s">
        <v>7919</v>
      </c>
      <c r="G577" s="218" t="s">
        <v>7767</v>
      </c>
      <c r="H577" s="218">
        <v>4096</v>
      </c>
      <c r="I577" s="219">
        <v>22400000</v>
      </c>
      <c r="J577" s="219">
        <v>0</v>
      </c>
      <c r="K577" s="219">
        <v>22400000</v>
      </c>
      <c r="L577" s="218" t="s">
        <v>7781</v>
      </c>
      <c r="M577" s="218">
        <v>1</v>
      </c>
      <c r="N577" s="218" t="s">
        <v>8650</v>
      </c>
      <c r="O577" s="218" t="s">
        <v>3018</v>
      </c>
      <c r="P577" s="218">
        <v>399</v>
      </c>
      <c r="Q577" s="218" t="s">
        <v>7771</v>
      </c>
      <c r="R577" s="220">
        <v>100</v>
      </c>
    </row>
    <row r="578" spans="1:18">
      <c r="A578" s="217">
        <v>503</v>
      </c>
      <c r="B578" s="218">
        <v>654649</v>
      </c>
      <c r="C578" s="218" t="s">
        <v>7763</v>
      </c>
      <c r="D578" s="218" t="s">
        <v>7764</v>
      </c>
      <c r="E578" s="218" t="s">
        <v>8037</v>
      </c>
      <c r="F578" s="218" t="s">
        <v>8699</v>
      </c>
      <c r="G578" s="218" t="s">
        <v>7767</v>
      </c>
      <c r="H578" s="218">
        <v>896</v>
      </c>
      <c r="I578" s="219">
        <v>22400000</v>
      </c>
      <c r="J578" s="219">
        <v>0</v>
      </c>
      <c r="K578" s="219">
        <v>22400000</v>
      </c>
      <c r="L578" s="218" t="s">
        <v>7774</v>
      </c>
      <c r="M578" s="218">
        <v>1</v>
      </c>
      <c r="N578" s="218" t="s">
        <v>8700</v>
      </c>
      <c r="O578" s="218" t="s">
        <v>235</v>
      </c>
      <c r="P578" s="218">
        <v>399</v>
      </c>
      <c r="Q578" s="218" t="s">
        <v>7771</v>
      </c>
      <c r="R578" s="220">
        <v>104</v>
      </c>
    </row>
    <row r="579" spans="1:18">
      <c r="A579" s="217">
        <v>40</v>
      </c>
      <c r="B579" s="218">
        <v>9602043009</v>
      </c>
      <c r="C579" s="218" t="s">
        <v>7763</v>
      </c>
      <c r="D579" s="218" t="s">
        <v>7772</v>
      </c>
      <c r="E579" s="218" t="s">
        <v>7850</v>
      </c>
      <c r="F579" s="218" t="s">
        <v>7839</v>
      </c>
      <c r="G579" s="218" t="s">
        <v>7767</v>
      </c>
      <c r="H579" s="218">
        <v>1536</v>
      </c>
      <c r="I579" s="219">
        <v>24640000</v>
      </c>
      <c r="J579" s="219">
        <v>0</v>
      </c>
      <c r="K579" s="219">
        <v>24640000</v>
      </c>
      <c r="L579" s="218" t="s">
        <v>7774</v>
      </c>
      <c r="M579" s="218">
        <v>1</v>
      </c>
      <c r="N579" s="218" t="s">
        <v>7851</v>
      </c>
      <c r="O579" s="218" t="s">
        <v>7841</v>
      </c>
      <c r="P579" s="218">
        <v>399</v>
      </c>
      <c r="Q579" s="218" t="s">
        <v>7771</v>
      </c>
      <c r="R579" s="220">
        <v>104</v>
      </c>
    </row>
    <row r="580" spans="1:18">
      <c r="A580" s="217">
        <v>663</v>
      </c>
      <c r="B580" s="218">
        <v>535114</v>
      </c>
      <c r="C580" s="218" t="s">
        <v>7763</v>
      </c>
      <c r="D580" s="218" t="s">
        <v>7772</v>
      </c>
      <c r="E580" s="218" t="s">
        <v>8992</v>
      </c>
      <c r="F580" s="218" t="s">
        <v>8201</v>
      </c>
      <c r="G580" s="218" t="s">
        <v>7767</v>
      </c>
      <c r="H580" s="218">
        <v>1536</v>
      </c>
      <c r="I580" s="219">
        <v>24640000</v>
      </c>
      <c r="J580" s="219">
        <v>0</v>
      </c>
      <c r="K580" s="219">
        <v>24640000</v>
      </c>
      <c r="L580" s="218" t="s">
        <v>7774</v>
      </c>
      <c r="M580" s="218">
        <v>1</v>
      </c>
      <c r="N580" s="218" t="s">
        <v>8993</v>
      </c>
      <c r="O580" s="218" t="s">
        <v>8989</v>
      </c>
      <c r="P580" s="218">
        <v>399</v>
      </c>
      <c r="Q580" s="218" t="s">
        <v>7771</v>
      </c>
      <c r="R580" s="220">
        <v>104</v>
      </c>
    </row>
    <row r="581" spans="1:18">
      <c r="A581" s="217">
        <v>188</v>
      </c>
      <c r="B581" s="218">
        <v>9702146904</v>
      </c>
      <c r="C581" s="218" t="s">
        <v>335</v>
      </c>
      <c r="D581" s="218" t="s">
        <v>8065</v>
      </c>
      <c r="E581" s="218" t="s">
        <v>8159</v>
      </c>
      <c r="F581" s="218" t="s">
        <v>7919</v>
      </c>
      <c r="G581" s="218" t="s">
        <v>7767</v>
      </c>
      <c r="H581" s="218">
        <v>5120</v>
      </c>
      <c r="I581" s="219">
        <v>25200000</v>
      </c>
      <c r="J581" s="219">
        <v>0</v>
      </c>
      <c r="K581" s="219">
        <v>25200000</v>
      </c>
      <c r="L581" s="218" t="s">
        <v>7781</v>
      </c>
      <c r="M581" s="218">
        <v>1</v>
      </c>
      <c r="N581" s="218" t="s">
        <v>8160</v>
      </c>
      <c r="O581" s="218" t="s">
        <v>7993</v>
      </c>
      <c r="P581" s="218">
        <v>399</v>
      </c>
      <c r="Q581" s="218" t="s">
        <v>7771</v>
      </c>
      <c r="R581" s="220">
        <v>100</v>
      </c>
    </row>
    <row r="582" spans="1:18">
      <c r="A582" s="217">
        <v>3</v>
      </c>
      <c r="B582" s="218">
        <v>40002282269</v>
      </c>
      <c r="C582" s="218" t="s">
        <v>7763</v>
      </c>
      <c r="D582" s="218" t="s">
        <v>7764</v>
      </c>
      <c r="E582" s="218" t="s">
        <v>7765</v>
      </c>
      <c r="F582" s="218" t="s">
        <v>7776</v>
      </c>
      <c r="G582" s="218" t="s">
        <v>7767</v>
      </c>
      <c r="H582" s="218">
        <v>1024</v>
      </c>
      <c r="I582" s="219">
        <v>25600000</v>
      </c>
      <c r="J582" s="219">
        <v>0</v>
      </c>
      <c r="K582" s="219">
        <v>25600000</v>
      </c>
      <c r="L582" s="218" t="s">
        <v>7774</v>
      </c>
      <c r="M582" s="218">
        <v>1</v>
      </c>
      <c r="N582" s="218" t="s">
        <v>7777</v>
      </c>
      <c r="O582" s="218" t="s">
        <v>7770</v>
      </c>
      <c r="P582" s="218">
        <v>399</v>
      </c>
      <c r="Q582" s="218" t="s">
        <v>7771</v>
      </c>
      <c r="R582" s="220">
        <v>104</v>
      </c>
    </row>
    <row r="583" spans="1:18">
      <c r="A583" s="217">
        <v>4</v>
      </c>
      <c r="B583" s="218">
        <v>40002282326</v>
      </c>
      <c r="C583" s="218" t="s">
        <v>7763</v>
      </c>
      <c r="D583" s="218" t="s">
        <v>7764</v>
      </c>
      <c r="E583" s="218" t="s">
        <v>7765</v>
      </c>
      <c r="F583" s="218" t="s">
        <v>7776</v>
      </c>
      <c r="G583" s="218" t="s">
        <v>7767</v>
      </c>
      <c r="H583" s="218">
        <v>1024</v>
      </c>
      <c r="I583" s="219">
        <v>25600000</v>
      </c>
      <c r="J583" s="219">
        <v>0</v>
      </c>
      <c r="K583" s="219">
        <v>25600000</v>
      </c>
      <c r="L583" s="218" t="s">
        <v>7774</v>
      </c>
      <c r="M583" s="218">
        <v>1</v>
      </c>
      <c r="N583" s="218" t="s">
        <v>76</v>
      </c>
      <c r="O583" s="218" t="s">
        <v>7770</v>
      </c>
      <c r="P583" s="218">
        <v>399</v>
      </c>
      <c r="Q583" s="218" t="s">
        <v>7771</v>
      </c>
      <c r="R583" s="220">
        <v>104</v>
      </c>
    </row>
    <row r="584" spans="1:18">
      <c r="A584" s="217">
        <v>49</v>
      </c>
      <c r="B584" s="218">
        <v>545139</v>
      </c>
      <c r="C584" s="218" t="s">
        <v>7763</v>
      </c>
      <c r="D584" s="218" t="s">
        <v>7764</v>
      </c>
      <c r="E584" s="218" t="s">
        <v>7870</v>
      </c>
      <c r="F584" s="218" t="s">
        <v>7839</v>
      </c>
      <c r="G584" s="218" t="s">
        <v>7767</v>
      </c>
      <c r="H584" s="218">
        <v>1024</v>
      </c>
      <c r="I584" s="219">
        <v>25600000</v>
      </c>
      <c r="J584" s="219">
        <v>0</v>
      </c>
      <c r="K584" s="219">
        <v>25600000</v>
      </c>
      <c r="L584" s="218" t="s">
        <v>7774</v>
      </c>
      <c r="M584" s="218">
        <v>1</v>
      </c>
      <c r="N584" s="218" t="s">
        <v>7871</v>
      </c>
      <c r="O584" s="218" t="s">
        <v>7841</v>
      </c>
      <c r="P584" s="218">
        <v>399</v>
      </c>
      <c r="Q584" s="218" t="s">
        <v>7771</v>
      </c>
      <c r="R584" s="220">
        <v>104</v>
      </c>
    </row>
    <row r="585" spans="1:18">
      <c r="A585" s="217">
        <v>50</v>
      </c>
      <c r="B585" s="218">
        <v>545140</v>
      </c>
      <c r="C585" s="218" t="s">
        <v>7763</v>
      </c>
      <c r="D585" s="218" t="s">
        <v>7764</v>
      </c>
      <c r="E585" s="218" t="s">
        <v>7872</v>
      </c>
      <c r="F585" s="218" t="s">
        <v>7866</v>
      </c>
      <c r="G585" s="218" t="s">
        <v>7767</v>
      </c>
      <c r="H585" s="218">
        <v>1024</v>
      </c>
      <c r="I585" s="219">
        <v>25600000</v>
      </c>
      <c r="J585" s="219">
        <v>0</v>
      </c>
      <c r="K585" s="219">
        <v>25600000</v>
      </c>
      <c r="L585" s="218" t="s">
        <v>7774</v>
      </c>
      <c r="M585" s="218">
        <v>1</v>
      </c>
      <c r="N585" s="218" t="s">
        <v>7873</v>
      </c>
      <c r="O585" s="218" t="s">
        <v>7841</v>
      </c>
      <c r="P585" s="218">
        <v>399</v>
      </c>
      <c r="Q585" s="218" t="s">
        <v>7771</v>
      </c>
      <c r="R585" s="220">
        <v>104</v>
      </c>
    </row>
    <row r="586" spans="1:18">
      <c r="A586" s="217">
        <v>51</v>
      </c>
      <c r="B586" s="218">
        <v>545141</v>
      </c>
      <c r="C586" s="218" t="s">
        <v>7763</v>
      </c>
      <c r="D586" s="218" t="s">
        <v>7764</v>
      </c>
      <c r="E586" s="218" t="s">
        <v>7874</v>
      </c>
      <c r="F586" s="218" t="s">
        <v>7875</v>
      </c>
      <c r="G586" s="218" t="s">
        <v>7767</v>
      </c>
      <c r="H586" s="218">
        <v>1024</v>
      </c>
      <c r="I586" s="219">
        <v>25600000</v>
      </c>
      <c r="J586" s="219">
        <v>0</v>
      </c>
      <c r="K586" s="219">
        <v>25600000</v>
      </c>
      <c r="L586" s="218" t="s">
        <v>7774</v>
      </c>
      <c r="M586" s="218">
        <v>1</v>
      </c>
      <c r="N586" s="218" t="s">
        <v>7876</v>
      </c>
      <c r="O586" s="218" t="s">
        <v>7841</v>
      </c>
      <c r="P586" s="218">
        <v>399</v>
      </c>
      <c r="Q586" s="218" t="s">
        <v>7771</v>
      </c>
      <c r="R586" s="220">
        <v>104</v>
      </c>
    </row>
    <row r="587" spans="1:18">
      <c r="A587" s="217">
        <v>62</v>
      </c>
      <c r="B587" s="218">
        <v>535639</v>
      </c>
      <c r="C587" s="218" t="s">
        <v>7763</v>
      </c>
      <c r="D587" s="218" t="s">
        <v>7764</v>
      </c>
      <c r="E587" s="218" t="s">
        <v>7897</v>
      </c>
      <c r="F587" s="218" t="s">
        <v>7898</v>
      </c>
      <c r="G587" s="218" t="s">
        <v>7767</v>
      </c>
      <c r="H587" s="218">
        <v>1024</v>
      </c>
      <c r="I587" s="219">
        <v>25600000</v>
      </c>
      <c r="J587" s="219">
        <v>0</v>
      </c>
      <c r="K587" s="219">
        <v>25600000</v>
      </c>
      <c r="L587" s="218" t="s">
        <v>7774</v>
      </c>
      <c r="M587" s="218">
        <v>1</v>
      </c>
      <c r="N587" s="218" t="s">
        <v>7899</v>
      </c>
      <c r="O587" s="218" t="s">
        <v>376</v>
      </c>
      <c r="P587" s="218">
        <v>399</v>
      </c>
      <c r="Q587" s="218" t="s">
        <v>7771</v>
      </c>
      <c r="R587" s="220">
        <v>104</v>
      </c>
    </row>
    <row r="588" spans="1:18">
      <c r="A588" s="217">
        <v>92</v>
      </c>
      <c r="B588" s="218">
        <v>9702064323</v>
      </c>
      <c r="C588" s="218" t="s">
        <v>7763</v>
      </c>
      <c r="D588" s="218" t="s">
        <v>7764</v>
      </c>
      <c r="E588" s="218" t="s">
        <v>7963</v>
      </c>
      <c r="F588" s="218" t="s">
        <v>7964</v>
      </c>
      <c r="G588" s="218" t="s">
        <v>7767</v>
      </c>
      <c r="H588" s="218">
        <v>1024</v>
      </c>
      <c r="I588" s="219">
        <v>25600000</v>
      </c>
      <c r="J588" s="219">
        <v>0</v>
      </c>
      <c r="K588" s="219">
        <v>25600000</v>
      </c>
      <c r="L588" s="218" t="s">
        <v>7774</v>
      </c>
      <c r="M588" s="218">
        <v>1</v>
      </c>
      <c r="N588" s="218" t="s">
        <v>7965</v>
      </c>
      <c r="O588" s="218" t="s">
        <v>7954</v>
      </c>
      <c r="P588" s="218">
        <v>399</v>
      </c>
      <c r="Q588" s="218" t="s">
        <v>7771</v>
      </c>
      <c r="R588" s="220">
        <v>104</v>
      </c>
    </row>
    <row r="589" spans="1:18">
      <c r="A589" s="217">
        <v>319</v>
      </c>
      <c r="B589" s="218">
        <v>40102372014</v>
      </c>
      <c r="C589" s="218" t="s">
        <v>7763</v>
      </c>
      <c r="D589" s="218" t="s">
        <v>7764</v>
      </c>
      <c r="E589" s="218" t="s">
        <v>8395</v>
      </c>
      <c r="F589" s="218" t="s">
        <v>8395</v>
      </c>
      <c r="G589" s="218" t="s">
        <v>7767</v>
      </c>
      <c r="H589" s="218">
        <v>1024</v>
      </c>
      <c r="I589" s="219">
        <v>25600000</v>
      </c>
      <c r="J589" s="219">
        <v>0</v>
      </c>
      <c r="K589" s="219">
        <v>25600000</v>
      </c>
      <c r="L589" s="218" t="s">
        <v>7774</v>
      </c>
      <c r="M589" s="218">
        <v>1</v>
      </c>
      <c r="N589" s="218" t="s">
        <v>2364</v>
      </c>
      <c r="O589" s="218" t="s">
        <v>1609</v>
      </c>
      <c r="P589" s="218">
        <v>399</v>
      </c>
      <c r="Q589" s="218" t="s">
        <v>7771</v>
      </c>
      <c r="R589" s="220">
        <v>104</v>
      </c>
    </row>
    <row r="590" spans="1:18">
      <c r="A590" s="217">
        <v>320</v>
      </c>
      <c r="B590" s="218">
        <v>40102372017</v>
      </c>
      <c r="C590" s="218" t="s">
        <v>7763</v>
      </c>
      <c r="D590" s="218" t="s">
        <v>7764</v>
      </c>
      <c r="E590" s="218" t="s">
        <v>8396</v>
      </c>
      <c r="F590" s="218" t="s">
        <v>8396</v>
      </c>
      <c r="G590" s="218" t="s">
        <v>7767</v>
      </c>
      <c r="H590" s="218">
        <v>1024</v>
      </c>
      <c r="I590" s="219">
        <v>25600000</v>
      </c>
      <c r="J590" s="219">
        <v>0</v>
      </c>
      <c r="K590" s="219">
        <v>25600000</v>
      </c>
      <c r="L590" s="218" t="s">
        <v>7774</v>
      </c>
      <c r="M590" s="218">
        <v>1</v>
      </c>
      <c r="N590" s="218" t="s">
        <v>2378</v>
      </c>
      <c r="O590" s="218" t="s">
        <v>1609</v>
      </c>
      <c r="P590" s="218">
        <v>399</v>
      </c>
      <c r="Q590" s="218" t="s">
        <v>7771</v>
      </c>
      <c r="R590" s="220">
        <v>104</v>
      </c>
    </row>
    <row r="591" spans="1:18">
      <c r="A591" s="217">
        <v>321</v>
      </c>
      <c r="B591" s="218">
        <v>40102372019</v>
      </c>
      <c r="C591" s="218" t="s">
        <v>7763</v>
      </c>
      <c r="D591" s="218" t="s">
        <v>7764</v>
      </c>
      <c r="E591" s="218" t="s">
        <v>8397</v>
      </c>
      <c r="F591" s="218" t="s">
        <v>8397</v>
      </c>
      <c r="G591" s="218" t="s">
        <v>7767</v>
      </c>
      <c r="H591" s="218">
        <v>1024</v>
      </c>
      <c r="I591" s="219">
        <v>25600000</v>
      </c>
      <c r="J591" s="219">
        <v>0</v>
      </c>
      <c r="K591" s="219">
        <v>25600000</v>
      </c>
      <c r="L591" s="218" t="s">
        <v>7774</v>
      </c>
      <c r="M591" s="218">
        <v>1</v>
      </c>
      <c r="N591" s="218" t="s">
        <v>2388</v>
      </c>
      <c r="O591" s="218" t="s">
        <v>1609</v>
      </c>
      <c r="P591" s="218">
        <v>399</v>
      </c>
      <c r="Q591" s="218" t="s">
        <v>7771</v>
      </c>
      <c r="R591" s="220">
        <v>104</v>
      </c>
    </row>
    <row r="592" spans="1:18">
      <c r="A592" s="217">
        <v>322</v>
      </c>
      <c r="B592" s="218">
        <v>40102372026</v>
      </c>
      <c r="C592" s="218" t="s">
        <v>7763</v>
      </c>
      <c r="D592" s="218" t="s">
        <v>7764</v>
      </c>
      <c r="E592" s="218" t="s">
        <v>8396</v>
      </c>
      <c r="F592" s="218" t="s">
        <v>8396</v>
      </c>
      <c r="G592" s="218" t="s">
        <v>7767</v>
      </c>
      <c r="H592" s="218">
        <v>1024</v>
      </c>
      <c r="I592" s="219">
        <v>25600000</v>
      </c>
      <c r="J592" s="219">
        <v>0</v>
      </c>
      <c r="K592" s="219">
        <v>25600000</v>
      </c>
      <c r="L592" s="218" t="s">
        <v>7774</v>
      </c>
      <c r="M592" s="218">
        <v>1</v>
      </c>
      <c r="N592" s="218" t="s">
        <v>2420</v>
      </c>
      <c r="O592" s="218" t="s">
        <v>1609</v>
      </c>
      <c r="P592" s="218">
        <v>399</v>
      </c>
      <c r="Q592" s="218" t="s">
        <v>7771</v>
      </c>
      <c r="R592" s="220">
        <v>104</v>
      </c>
    </row>
    <row r="593" spans="1:18">
      <c r="A593" s="217">
        <v>323</v>
      </c>
      <c r="B593" s="218">
        <v>40102372027</v>
      </c>
      <c r="C593" s="218" t="s">
        <v>7763</v>
      </c>
      <c r="D593" s="218" t="s">
        <v>7764</v>
      </c>
      <c r="E593" s="218" t="s">
        <v>8396</v>
      </c>
      <c r="F593" s="218" t="s">
        <v>8398</v>
      </c>
      <c r="G593" s="218" t="s">
        <v>7767</v>
      </c>
      <c r="H593" s="218">
        <v>1024</v>
      </c>
      <c r="I593" s="219">
        <v>25600000</v>
      </c>
      <c r="J593" s="219">
        <v>0</v>
      </c>
      <c r="K593" s="219">
        <v>25600000</v>
      </c>
      <c r="L593" s="218" t="s">
        <v>7774</v>
      </c>
      <c r="M593" s="218">
        <v>1</v>
      </c>
      <c r="N593" s="218" t="s">
        <v>2428</v>
      </c>
      <c r="O593" s="218" t="s">
        <v>1609</v>
      </c>
      <c r="P593" s="218">
        <v>399</v>
      </c>
      <c r="Q593" s="218" t="s">
        <v>7771</v>
      </c>
      <c r="R593" s="220">
        <v>104</v>
      </c>
    </row>
    <row r="594" spans="1:18">
      <c r="A594" s="217">
        <v>324</v>
      </c>
      <c r="B594" s="218">
        <v>40102372028</v>
      </c>
      <c r="C594" s="218" t="s">
        <v>7763</v>
      </c>
      <c r="D594" s="218" t="s">
        <v>7764</v>
      </c>
      <c r="E594" s="218" t="s">
        <v>8395</v>
      </c>
      <c r="F594" s="218" t="s">
        <v>8395</v>
      </c>
      <c r="G594" s="218" t="s">
        <v>7767</v>
      </c>
      <c r="H594" s="218">
        <v>1024</v>
      </c>
      <c r="I594" s="219">
        <v>25600000</v>
      </c>
      <c r="J594" s="219">
        <v>0</v>
      </c>
      <c r="K594" s="219">
        <v>25600000</v>
      </c>
      <c r="L594" s="218" t="s">
        <v>7774</v>
      </c>
      <c r="M594" s="218">
        <v>1</v>
      </c>
      <c r="N594" s="218" t="s">
        <v>2432</v>
      </c>
      <c r="O594" s="218" t="s">
        <v>1609</v>
      </c>
      <c r="P594" s="218">
        <v>399</v>
      </c>
      <c r="Q594" s="218" t="s">
        <v>7771</v>
      </c>
      <c r="R594" s="220">
        <v>104</v>
      </c>
    </row>
    <row r="595" spans="1:18">
      <c r="A595" s="217">
        <v>325</v>
      </c>
      <c r="B595" s="218">
        <v>40102372029</v>
      </c>
      <c r="C595" s="218" t="s">
        <v>7763</v>
      </c>
      <c r="D595" s="218" t="s">
        <v>7764</v>
      </c>
      <c r="E595" s="218" t="s">
        <v>8396</v>
      </c>
      <c r="F595" s="218" t="s">
        <v>8396</v>
      </c>
      <c r="G595" s="218" t="s">
        <v>7767</v>
      </c>
      <c r="H595" s="218">
        <v>1024</v>
      </c>
      <c r="I595" s="219">
        <v>25600000</v>
      </c>
      <c r="J595" s="219">
        <v>0</v>
      </c>
      <c r="K595" s="219">
        <v>25600000</v>
      </c>
      <c r="L595" s="218" t="s">
        <v>7774</v>
      </c>
      <c r="M595" s="218">
        <v>1</v>
      </c>
      <c r="N595" s="218" t="s">
        <v>2438</v>
      </c>
      <c r="O595" s="218" t="s">
        <v>1609</v>
      </c>
      <c r="P595" s="218">
        <v>399</v>
      </c>
      <c r="Q595" s="218" t="s">
        <v>7771</v>
      </c>
      <c r="R595" s="220">
        <v>104</v>
      </c>
    </row>
    <row r="596" spans="1:18">
      <c r="A596" s="217">
        <v>375</v>
      </c>
      <c r="B596" s="218">
        <v>534458</v>
      </c>
      <c r="C596" s="218" t="s">
        <v>7763</v>
      </c>
      <c r="D596" s="218" t="s">
        <v>7764</v>
      </c>
      <c r="E596" s="218" t="s">
        <v>8489</v>
      </c>
      <c r="F596" s="218" t="s">
        <v>8490</v>
      </c>
      <c r="G596" s="218" t="s">
        <v>7767</v>
      </c>
      <c r="H596" s="218">
        <v>1024</v>
      </c>
      <c r="I596" s="219">
        <v>25600000</v>
      </c>
      <c r="J596" s="219">
        <v>0</v>
      </c>
      <c r="K596" s="219">
        <v>25600000</v>
      </c>
      <c r="L596" s="218" t="s">
        <v>7774</v>
      </c>
      <c r="M596" s="218">
        <v>1</v>
      </c>
      <c r="N596" s="218" t="s">
        <v>7896</v>
      </c>
      <c r="O596" s="218" t="s">
        <v>2476</v>
      </c>
      <c r="P596" s="218">
        <v>399</v>
      </c>
      <c r="Q596" s="218" t="s">
        <v>7771</v>
      </c>
      <c r="R596" s="220">
        <v>104</v>
      </c>
    </row>
    <row r="597" spans="1:18">
      <c r="A597" s="217">
        <v>506</v>
      </c>
      <c r="B597" s="218">
        <v>9702120019</v>
      </c>
      <c r="C597" s="218" t="s">
        <v>7763</v>
      </c>
      <c r="D597" s="218" t="s">
        <v>7764</v>
      </c>
      <c r="E597" s="218" t="s">
        <v>8706</v>
      </c>
      <c r="F597" s="218" t="s">
        <v>8707</v>
      </c>
      <c r="G597" s="218" t="s">
        <v>7767</v>
      </c>
      <c r="H597" s="218">
        <v>1024</v>
      </c>
      <c r="I597" s="219">
        <v>25600000</v>
      </c>
      <c r="J597" s="219">
        <v>0</v>
      </c>
      <c r="K597" s="219">
        <v>25600000</v>
      </c>
      <c r="L597" s="218" t="s">
        <v>7774</v>
      </c>
      <c r="M597" s="218">
        <v>1</v>
      </c>
      <c r="N597" s="218" t="s">
        <v>8708</v>
      </c>
      <c r="O597" s="218" t="s">
        <v>235</v>
      </c>
      <c r="P597" s="218">
        <v>399</v>
      </c>
      <c r="Q597" s="218" t="s">
        <v>7771</v>
      </c>
      <c r="R597" s="220">
        <v>104</v>
      </c>
    </row>
    <row r="598" spans="1:18">
      <c r="A598" s="217">
        <v>533</v>
      </c>
      <c r="B598" s="218">
        <v>548478</v>
      </c>
      <c r="C598" s="218" t="s">
        <v>7763</v>
      </c>
      <c r="D598" s="218" t="s">
        <v>7764</v>
      </c>
      <c r="E598" s="218" t="s">
        <v>8759</v>
      </c>
      <c r="F598" s="218" t="s">
        <v>8760</v>
      </c>
      <c r="G598" s="218" t="s">
        <v>7767</v>
      </c>
      <c r="H598" s="218">
        <v>1024</v>
      </c>
      <c r="I598" s="219">
        <v>25600000</v>
      </c>
      <c r="J598" s="219">
        <v>0</v>
      </c>
      <c r="K598" s="219">
        <v>25600000</v>
      </c>
      <c r="L598" s="218" t="s">
        <v>7774</v>
      </c>
      <c r="M598" s="218">
        <v>1</v>
      </c>
      <c r="N598" s="218" t="s">
        <v>8761</v>
      </c>
      <c r="O598" s="218" t="s">
        <v>933</v>
      </c>
      <c r="P598" s="218">
        <v>399</v>
      </c>
      <c r="Q598" s="218" t="s">
        <v>7771</v>
      </c>
      <c r="R598" s="220">
        <v>104</v>
      </c>
    </row>
    <row r="599" spans="1:18">
      <c r="A599" s="217">
        <v>536</v>
      </c>
      <c r="B599" s="218">
        <v>548498</v>
      </c>
      <c r="C599" s="218" t="s">
        <v>7763</v>
      </c>
      <c r="D599" s="218" t="s">
        <v>7764</v>
      </c>
      <c r="E599" s="218" t="s">
        <v>8766</v>
      </c>
      <c r="F599" s="218" t="s">
        <v>8767</v>
      </c>
      <c r="G599" s="218" t="s">
        <v>7767</v>
      </c>
      <c r="H599" s="218">
        <v>1024</v>
      </c>
      <c r="I599" s="219">
        <v>25600000</v>
      </c>
      <c r="J599" s="219">
        <v>0</v>
      </c>
      <c r="K599" s="219">
        <v>25600000</v>
      </c>
      <c r="L599" s="218" t="s">
        <v>7774</v>
      </c>
      <c r="M599" s="218">
        <v>1</v>
      </c>
      <c r="N599" s="218" t="s">
        <v>3373</v>
      </c>
      <c r="O599" s="218" t="s">
        <v>933</v>
      </c>
      <c r="P599" s="218">
        <v>399</v>
      </c>
      <c r="Q599" s="218" t="s">
        <v>7771</v>
      </c>
      <c r="R599" s="220">
        <v>104</v>
      </c>
    </row>
    <row r="600" spans="1:18">
      <c r="A600" s="217">
        <v>562</v>
      </c>
      <c r="B600" s="218">
        <v>547611</v>
      </c>
      <c r="C600" s="218" t="s">
        <v>7763</v>
      </c>
      <c r="D600" s="218" t="s">
        <v>7764</v>
      </c>
      <c r="E600" s="218" t="s">
        <v>8810</v>
      </c>
      <c r="F600" s="218" t="s">
        <v>8811</v>
      </c>
      <c r="G600" s="218" t="s">
        <v>7767</v>
      </c>
      <c r="H600" s="218">
        <v>1024</v>
      </c>
      <c r="I600" s="219">
        <v>25600000</v>
      </c>
      <c r="J600" s="219">
        <v>0</v>
      </c>
      <c r="K600" s="219">
        <v>25600000</v>
      </c>
      <c r="L600" s="218" t="s">
        <v>7774</v>
      </c>
      <c r="M600" s="218">
        <v>1</v>
      </c>
      <c r="N600" s="218" t="s">
        <v>8812</v>
      </c>
      <c r="O600" s="218" t="s">
        <v>8796</v>
      </c>
      <c r="P600" s="218">
        <v>399</v>
      </c>
      <c r="Q600" s="218" t="s">
        <v>7771</v>
      </c>
      <c r="R600" s="220">
        <v>104</v>
      </c>
    </row>
    <row r="601" spans="1:18">
      <c r="A601" s="217">
        <v>563</v>
      </c>
      <c r="B601" s="218">
        <v>547612</v>
      </c>
      <c r="C601" s="218" t="s">
        <v>7763</v>
      </c>
      <c r="D601" s="218" t="s">
        <v>7764</v>
      </c>
      <c r="E601" s="218" t="s">
        <v>8525</v>
      </c>
      <c r="F601" s="218" t="s">
        <v>8813</v>
      </c>
      <c r="G601" s="218" t="s">
        <v>7767</v>
      </c>
      <c r="H601" s="218">
        <v>1024</v>
      </c>
      <c r="I601" s="219">
        <v>25600000</v>
      </c>
      <c r="J601" s="219">
        <v>0</v>
      </c>
      <c r="K601" s="219">
        <v>25600000</v>
      </c>
      <c r="L601" s="218" t="s">
        <v>7774</v>
      </c>
      <c r="M601" s="218">
        <v>1</v>
      </c>
      <c r="N601" s="218" t="s">
        <v>8814</v>
      </c>
      <c r="O601" s="218" t="s">
        <v>8796</v>
      </c>
      <c r="P601" s="218">
        <v>399</v>
      </c>
      <c r="Q601" s="218" t="s">
        <v>7771</v>
      </c>
      <c r="R601" s="220">
        <v>104</v>
      </c>
    </row>
    <row r="602" spans="1:18">
      <c r="A602" s="217">
        <v>566</v>
      </c>
      <c r="B602" s="218">
        <v>547615</v>
      </c>
      <c r="C602" s="218" t="s">
        <v>7763</v>
      </c>
      <c r="D602" s="218" t="s">
        <v>7764</v>
      </c>
      <c r="E602" s="218" t="s">
        <v>8818</v>
      </c>
      <c r="F602" s="218" t="s">
        <v>8819</v>
      </c>
      <c r="G602" s="218" t="s">
        <v>7767</v>
      </c>
      <c r="H602" s="218">
        <v>1024</v>
      </c>
      <c r="I602" s="219">
        <v>25600000</v>
      </c>
      <c r="J602" s="219">
        <v>0</v>
      </c>
      <c r="K602" s="219">
        <v>25600000</v>
      </c>
      <c r="L602" s="218" t="s">
        <v>7774</v>
      </c>
      <c r="M602" s="218">
        <v>1</v>
      </c>
      <c r="N602" s="218" t="s">
        <v>8820</v>
      </c>
      <c r="O602" s="218" t="s">
        <v>8796</v>
      </c>
      <c r="P602" s="218">
        <v>399</v>
      </c>
      <c r="Q602" s="218" t="s">
        <v>7771</v>
      </c>
      <c r="R602" s="220">
        <v>104</v>
      </c>
    </row>
    <row r="603" spans="1:18">
      <c r="A603" s="217">
        <v>569</v>
      </c>
      <c r="B603" s="218">
        <v>547619</v>
      </c>
      <c r="C603" s="218" t="s">
        <v>7763</v>
      </c>
      <c r="D603" s="218" t="s">
        <v>7764</v>
      </c>
      <c r="E603" s="218" t="s">
        <v>8818</v>
      </c>
      <c r="F603" s="218" t="s">
        <v>8811</v>
      </c>
      <c r="G603" s="218" t="s">
        <v>7767</v>
      </c>
      <c r="H603" s="218">
        <v>1024</v>
      </c>
      <c r="I603" s="219">
        <v>25600000</v>
      </c>
      <c r="J603" s="219">
        <v>0</v>
      </c>
      <c r="K603" s="219">
        <v>25600000</v>
      </c>
      <c r="L603" s="218" t="s">
        <v>7774</v>
      </c>
      <c r="M603" s="218">
        <v>1</v>
      </c>
      <c r="N603" s="218" t="s">
        <v>8824</v>
      </c>
      <c r="O603" s="218" t="s">
        <v>8796</v>
      </c>
      <c r="P603" s="218">
        <v>399</v>
      </c>
      <c r="Q603" s="218" t="s">
        <v>7771</v>
      </c>
      <c r="R603" s="220">
        <v>104</v>
      </c>
    </row>
    <row r="604" spans="1:18">
      <c r="A604" s="217">
        <v>571</v>
      </c>
      <c r="B604" s="218">
        <v>547621</v>
      </c>
      <c r="C604" s="218" t="s">
        <v>7763</v>
      </c>
      <c r="D604" s="218" t="s">
        <v>7764</v>
      </c>
      <c r="E604" s="218" t="s">
        <v>8525</v>
      </c>
      <c r="F604" s="218" t="s">
        <v>8811</v>
      </c>
      <c r="G604" s="218" t="s">
        <v>7767</v>
      </c>
      <c r="H604" s="218">
        <v>1024</v>
      </c>
      <c r="I604" s="219">
        <v>25600000</v>
      </c>
      <c r="J604" s="219">
        <v>0</v>
      </c>
      <c r="K604" s="219">
        <v>25600000</v>
      </c>
      <c r="L604" s="218" t="s">
        <v>7774</v>
      </c>
      <c r="M604" s="218">
        <v>1</v>
      </c>
      <c r="N604" s="218" t="s">
        <v>8827</v>
      </c>
      <c r="O604" s="218" t="s">
        <v>8796</v>
      </c>
      <c r="P604" s="218">
        <v>399</v>
      </c>
      <c r="Q604" s="218" t="s">
        <v>7771</v>
      </c>
      <c r="R604" s="220">
        <v>104</v>
      </c>
    </row>
    <row r="605" spans="1:18">
      <c r="A605" s="217">
        <v>573</v>
      </c>
      <c r="B605" s="218">
        <v>547623</v>
      </c>
      <c r="C605" s="218" t="s">
        <v>7763</v>
      </c>
      <c r="D605" s="218" t="s">
        <v>7764</v>
      </c>
      <c r="E605" s="218" t="s">
        <v>8818</v>
      </c>
      <c r="F605" s="218" t="s">
        <v>8208</v>
      </c>
      <c r="G605" s="218" t="s">
        <v>7767</v>
      </c>
      <c r="H605" s="218">
        <v>1024</v>
      </c>
      <c r="I605" s="219">
        <v>25600000</v>
      </c>
      <c r="J605" s="219">
        <v>0</v>
      </c>
      <c r="K605" s="219">
        <v>25600000</v>
      </c>
      <c r="L605" s="218" t="s">
        <v>7774</v>
      </c>
      <c r="M605" s="218">
        <v>1</v>
      </c>
      <c r="N605" s="218" t="s">
        <v>8830</v>
      </c>
      <c r="O605" s="218" t="s">
        <v>8796</v>
      </c>
      <c r="P605" s="218">
        <v>399</v>
      </c>
      <c r="Q605" s="218" t="s">
        <v>7771</v>
      </c>
      <c r="R605" s="220">
        <v>104</v>
      </c>
    </row>
    <row r="606" spans="1:18">
      <c r="A606" s="217">
        <v>600</v>
      </c>
      <c r="B606" s="218">
        <v>543145</v>
      </c>
      <c r="C606" s="218" t="s">
        <v>7763</v>
      </c>
      <c r="D606" s="218" t="s">
        <v>7764</v>
      </c>
      <c r="E606" s="218" t="s">
        <v>8874</v>
      </c>
      <c r="F606" s="218" t="s">
        <v>8811</v>
      </c>
      <c r="G606" s="218" t="s">
        <v>7767</v>
      </c>
      <c r="H606" s="218">
        <v>1024</v>
      </c>
      <c r="I606" s="219">
        <v>25600000</v>
      </c>
      <c r="J606" s="219">
        <v>0</v>
      </c>
      <c r="K606" s="219">
        <v>25600000</v>
      </c>
      <c r="L606" s="218" t="s">
        <v>7774</v>
      </c>
      <c r="M606" s="218">
        <v>1</v>
      </c>
      <c r="N606" s="218" t="s">
        <v>3496</v>
      </c>
      <c r="O606" s="218" t="s">
        <v>3467</v>
      </c>
      <c r="P606" s="218">
        <v>399</v>
      </c>
      <c r="Q606" s="218" t="s">
        <v>7771</v>
      </c>
      <c r="R606" s="220">
        <v>104</v>
      </c>
    </row>
    <row r="607" spans="1:18">
      <c r="A607" s="217">
        <v>604</v>
      </c>
      <c r="B607" s="218">
        <v>550845</v>
      </c>
      <c r="C607" s="218" t="s">
        <v>7763</v>
      </c>
      <c r="D607" s="218" t="s">
        <v>7764</v>
      </c>
      <c r="E607" s="218" t="s">
        <v>8325</v>
      </c>
      <c r="F607" s="218" t="s">
        <v>8811</v>
      </c>
      <c r="G607" s="218" t="s">
        <v>7767</v>
      </c>
      <c r="H607" s="218">
        <v>1024</v>
      </c>
      <c r="I607" s="219">
        <v>25600000</v>
      </c>
      <c r="J607" s="219">
        <v>0</v>
      </c>
      <c r="K607" s="219">
        <v>25600000</v>
      </c>
      <c r="L607" s="218" t="s">
        <v>7774</v>
      </c>
      <c r="M607" s="218">
        <v>1</v>
      </c>
      <c r="N607" s="218" t="s">
        <v>7587</v>
      </c>
      <c r="O607" s="218" t="s">
        <v>3467</v>
      </c>
      <c r="P607" s="218">
        <v>399</v>
      </c>
      <c r="Q607" s="218" t="s">
        <v>7771</v>
      </c>
      <c r="R607" s="220">
        <v>104</v>
      </c>
    </row>
    <row r="608" spans="1:18">
      <c r="A608" s="217">
        <v>423</v>
      </c>
      <c r="B608" s="218">
        <v>9802208155</v>
      </c>
      <c r="C608" s="218" t="s">
        <v>335</v>
      </c>
      <c r="D608" s="218" t="s">
        <v>8065</v>
      </c>
      <c r="E608" s="218" t="s">
        <v>8558</v>
      </c>
      <c r="F608" s="218" t="s">
        <v>8559</v>
      </c>
      <c r="G608" s="218" t="s">
        <v>7767</v>
      </c>
      <c r="H608" s="218">
        <v>6144</v>
      </c>
      <c r="I608" s="219">
        <v>28000000</v>
      </c>
      <c r="J608" s="219">
        <v>0</v>
      </c>
      <c r="K608" s="219">
        <v>28000000</v>
      </c>
      <c r="L608" s="218" t="s">
        <v>7781</v>
      </c>
      <c r="M608" s="218">
        <v>1</v>
      </c>
      <c r="N608" s="218" t="s">
        <v>8560</v>
      </c>
      <c r="O608" s="218" t="s">
        <v>2592</v>
      </c>
      <c r="P608" s="218">
        <v>399</v>
      </c>
      <c r="Q608" s="218" t="s">
        <v>7771</v>
      </c>
      <c r="R608" s="220">
        <v>100</v>
      </c>
    </row>
    <row r="609" spans="1:18">
      <c r="A609" s="217">
        <v>42</v>
      </c>
      <c r="B609" s="218">
        <v>40002351944</v>
      </c>
      <c r="C609" s="218" t="s">
        <v>7763</v>
      </c>
      <c r="D609" s="218" t="s">
        <v>7772</v>
      </c>
      <c r="E609" s="218" t="s">
        <v>7855</v>
      </c>
      <c r="F609" s="218" t="s">
        <v>7855</v>
      </c>
      <c r="G609" s="218" t="s">
        <v>7767</v>
      </c>
      <c r="H609" s="218">
        <v>2048</v>
      </c>
      <c r="I609" s="219">
        <v>31360000</v>
      </c>
      <c r="J609" s="219">
        <v>0</v>
      </c>
      <c r="K609" s="219">
        <v>31360000</v>
      </c>
      <c r="L609" s="218" t="s">
        <v>7774</v>
      </c>
      <c r="M609" s="218">
        <v>1</v>
      </c>
      <c r="N609" s="218" t="s">
        <v>7856</v>
      </c>
      <c r="O609" s="218" t="s">
        <v>7841</v>
      </c>
      <c r="P609" s="218">
        <v>399</v>
      </c>
      <c r="Q609" s="218" t="s">
        <v>7771</v>
      </c>
      <c r="R609" s="220">
        <v>104</v>
      </c>
    </row>
    <row r="610" spans="1:18">
      <c r="A610" s="217">
        <v>368</v>
      </c>
      <c r="B610" s="218">
        <v>9802191928</v>
      </c>
      <c r="C610" s="218" t="s">
        <v>4474</v>
      </c>
      <c r="D610" s="218" t="s">
        <v>7772</v>
      </c>
      <c r="E610" s="218" t="s">
        <v>8477</v>
      </c>
      <c r="F610" s="218" t="s">
        <v>8477</v>
      </c>
      <c r="G610" s="218" t="s">
        <v>7767</v>
      </c>
      <c r="H610" s="218">
        <v>10240</v>
      </c>
      <c r="I610" s="219">
        <v>34286000</v>
      </c>
      <c r="J610" s="219">
        <v>0</v>
      </c>
      <c r="K610" s="219">
        <v>34286000</v>
      </c>
      <c r="L610" s="218" t="s">
        <v>8475</v>
      </c>
      <c r="M610" s="218">
        <v>1</v>
      </c>
      <c r="N610" s="218" t="s">
        <v>8478</v>
      </c>
      <c r="O610" s="218" t="s">
        <v>2476</v>
      </c>
      <c r="P610" s="218">
        <v>399</v>
      </c>
      <c r="Q610" s="218" t="s">
        <v>7771</v>
      </c>
      <c r="R610" s="220">
        <v>100</v>
      </c>
    </row>
    <row r="611" spans="1:18">
      <c r="A611" s="217">
        <v>351</v>
      </c>
      <c r="B611" s="218">
        <v>9902221766</v>
      </c>
      <c r="C611" s="218" t="s">
        <v>7763</v>
      </c>
      <c r="D611" s="218" t="s">
        <v>7764</v>
      </c>
      <c r="E611" s="218" t="s">
        <v>8443</v>
      </c>
      <c r="F611" s="218" t="s">
        <v>8444</v>
      </c>
      <c r="G611" s="218" t="s">
        <v>7767</v>
      </c>
      <c r="H611" s="218">
        <v>1536</v>
      </c>
      <c r="I611" s="219">
        <v>35200000</v>
      </c>
      <c r="J611" s="219">
        <v>0</v>
      </c>
      <c r="K611" s="219">
        <v>35200000</v>
      </c>
      <c r="L611" s="218" t="s">
        <v>7774</v>
      </c>
      <c r="M611" s="218">
        <v>1</v>
      </c>
      <c r="N611" s="218" t="s">
        <v>8445</v>
      </c>
      <c r="O611" s="218" t="s">
        <v>2449</v>
      </c>
      <c r="P611" s="218">
        <v>399</v>
      </c>
      <c r="Q611" s="218" t="s">
        <v>7771</v>
      </c>
      <c r="R611" s="220">
        <v>104</v>
      </c>
    </row>
    <row r="612" spans="1:18">
      <c r="A612" s="217">
        <v>630</v>
      </c>
      <c r="B612" s="218">
        <v>536382</v>
      </c>
      <c r="C612" s="218" t="s">
        <v>7763</v>
      </c>
      <c r="D612" s="218" t="s">
        <v>7764</v>
      </c>
      <c r="E612" s="218" t="s">
        <v>7830</v>
      </c>
      <c r="F612" s="218" t="s">
        <v>8901</v>
      </c>
      <c r="G612" s="218" t="s">
        <v>7767</v>
      </c>
      <c r="H612" s="218">
        <v>1536</v>
      </c>
      <c r="I612" s="219">
        <v>35200000</v>
      </c>
      <c r="J612" s="219">
        <v>0</v>
      </c>
      <c r="K612" s="219">
        <v>35200000</v>
      </c>
      <c r="L612" s="218" t="s">
        <v>7774</v>
      </c>
      <c r="M612" s="218">
        <v>1</v>
      </c>
      <c r="N612" s="218" t="s">
        <v>8930</v>
      </c>
      <c r="O612" s="218" t="s">
        <v>3705</v>
      </c>
      <c r="P612" s="218">
        <v>399</v>
      </c>
      <c r="Q612" s="218" t="s">
        <v>7771</v>
      </c>
      <c r="R612" s="220">
        <v>104</v>
      </c>
    </row>
    <row r="613" spans="1:18">
      <c r="A613" s="217">
        <v>643</v>
      </c>
      <c r="B613" s="218">
        <v>573004</v>
      </c>
      <c r="C613" s="218" t="s">
        <v>7763</v>
      </c>
      <c r="D613" s="218" t="s">
        <v>7764</v>
      </c>
      <c r="E613" s="218" t="s">
        <v>8956</v>
      </c>
      <c r="F613" s="218" t="s">
        <v>8901</v>
      </c>
      <c r="G613" s="218" t="s">
        <v>7767</v>
      </c>
      <c r="H613" s="218">
        <v>1536</v>
      </c>
      <c r="I613" s="219">
        <v>35200000</v>
      </c>
      <c r="J613" s="219">
        <v>0</v>
      </c>
      <c r="K613" s="219">
        <v>35200000</v>
      </c>
      <c r="L613" s="218" t="s">
        <v>7774</v>
      </c>
      <c r="M613" s="218">
        <v>1</v>
      </c>
      <c r="N613" s="218" t="s">
        <v>8957</v>
      </c>
      <c r="O613" s="218" t="s">
        <v>3705</v>
      </c>
      <c r="P613" s="218">
        <v>399</v>
      </c>
      <c r="Q613" s="218" t="s">
        <v>7771</v>
      </c>
      <c r="R613" s="220">
        <v>104</v>
      </c>
    </row>
    <row r="614" spans="1:18">
      <c r="A614" s="217">
        <v>23</v>
      </c>
      <c r="B614" s="218">
        <v>612093</v>
      </c>
      <c r="C614" s="218" t="s">
        <v>107</v>
      </c>
      <c r="D614" s="218" t="s">
        <v>7778</v>
      </c>
      <c r="E614" s="218" t="s">
        <v>7824</v>
      </c>
      <c r="F614" s="218" t="s">
        <v>7790</v>
      </c>
      <c r="G614" s="218" t="s">
        <v>7767</v>
      </c>
      <c r="H614" s="218">
        <v>2048</v>
      </c>
      <c r="I614" s="219">
        <v>36400000</v>
      </c>
      <c r="J614" s="219">
        <v>0</v>
      </c>
      <c r="K614" s="219">
        <v>36400000</v>
      </c>
      <c r="L614" s="218" t="s">
        <v>7791</v>
      </c>
      <c r="M614" s="218">
        <v>1</v>
      </c>
      <c r="N614" s="218" t="s">
        <v>7825</v>
      </c>
      <c r="O614" s="218" t="s">
        <v>267</v>
      </c>
      <c r="P614" s="218">
        <v>399</v>
      </c>
      <c r="Q614" s="218" t="s">
        <v>7771</v>
      </c>
      <c r="R614" s="220">
        <v>100</v>
      </c>
    </row>
    <row r="615" spans="1:18">
      <c r="A615" s="217">
        <v>26</v>
      </c>
      <c r="B615" s="218">
        <v>531061</v>
      </c>
      <c r="C615" s="218" t="s">
        <v>335</v>
      </c>
      <c r="D615" s="218" t="s">
        <v>7778</v>
      </c>
      <c r="E615" s="218" t="s">
        <v>7830</v>
      </c>
      <c r="F615" s="218" t="s">
        <v>7831</v>
      </c>
      <c r="G615" s="218" t="s">
        <v>7767</v>
      </c>
      <c r="H615" s="218">
        <v>2048</v>
      </c>
      <c r="I615" s="219">
        <v>36400000</v>
      </c>
      <c r="J615" s="219">
        <v>0</v>
      </c>
      <c r="K615" s="219">
        <v>36400000</v>
      </c>
      <c r="L615" s="218" t="s">
        <v>7781</v>
      </c>
      <c r="M615" s="218">
        <v>1</v>
      </c>
      <c r="N615" s="218" t="s">
        <v>7794</v>
      </c>
      <c r="O615" s="218" t="s">
        <v>7828</v>
      </c>
      <c r="P615" s="218">
        <v>399</v>
      </c>
      <c r="Q615" s="218" t="s">
        <v>7771</v>
      </c>
      <c r="R615" s="220">
        <v>104</v>
      </c>
    </row>
    <row r="616" spans="1:18">
      <c r="A616" s="217">
        <v>31</v>
      </c>
      <c r="B616" s="218">
        <v>4133374888</v>
      </c>
      <c r="C616" s="218" t="s">
        <v>107</v>
      </c>
      <c r="D616" s="218" t="s">
        <v>7778</v>
      </c>
      <c r="E616" s="218" t="s">
        <v>7844</v>
      </c>
      <c r="F616" s="218" t="s">
        <v>7790</v>
      </c>
      <c r="G616" s="218" t="s">
        <v>7767</v>
      </c>
      <c r="H616" s="218">
        <v>2048</v>
      </c>
      <c r="I616" s="219">
        <v>36400000</v>
      </c>
      <c r="J616" s="219">
        <v>0</v>
      </c>
      <c r="K616" s="219">
        <v>36400000</v>
      </c>
      <c r="L616" s="218" t="s">
        <v>7791</v>
      </c>
      <c r="M616" s="218">
        <v>1</v>
      </c>
      <c r="N616" s="218" t="s">
        <v>7845</v>
      </c>
      <c r="O616" s="218" t="s">
        <v>7841</v>
      </c>
      <c r="P616" s="218">
        <v>399</v>
      </c>
      <c r="Q616" s="218" t="s">
        <v>7771</v>
      </c>
      <c r="R616" s="220">
        <v>100</v>
      </c>
    </row>
    <row r="617" spans="1:18">
      <c r="A617" s="217">
        <v>52</v>
      </c>
      <c r="B617" s="218">
        <v>507694</v>
      </c>
      <c r="C617" s="218" t="s">
        <v>335</v>
      </c>
      <c r="D617" s="218" t="s">
        <v>7778</v>
      </c>
      <c r="E617" s="218" t="s">
        <v>7877</v>
      </c>
      <c r="F617" s="218" t="s">
        <v>7878</v>
      </c>
      <c r="G617" s="218" t="s">
        <v>7767</v>
      </c>
      <c r="H617" s="218">
        <v>2048</v>
      </c>
      <c r="I617" s="219">
        <v>36400000</v>
      </c>
      <c r="J617" s="219">
        <v>0</v>
      </c>
      <c r="K617" s="219">
        <v>36400000</v>
      </c>
      <c r="L617" s="218" t="s">
        <v>7781</v>
      </c>
      <c r="M617" s="218">
        <v>1</v>
      </c>
      <c r="N617" s="218" t="s">
        <v>7794</v>
      </c>
      <c r="O617" s="218" t="s">
        <v>7879</v>
      </c>
      <c r="P617" s="218">
        <v>399</v>
      </c>
      <c r="Q617" s="218" t="s">
        <v>7771</v>
      </c>
      <c r="R617" s="220">
        <v>100</v>
      </c>
    </row>
    <row r="618" spans="1:18">
      <c r="A618" s="217">
        <v>60</v>
      </c>
      <c r="B618" s="218">
        <v>531054</v>
      </c>
      <c r="C618" s="218" t="s">
        <v>335</v>
      </c>
      <c r="D618" s="218" t="s">
        <v>7778</v>
      </c>
      <c r="E618" s="218" t="s">
        <v>7892</v>
      </c>
      <c r="F618" s="218" t="s">
        <v>7893</v>
      </c>
      <c r="G618" s="218" t="s">
        <v>7767</v>
      </c>
      <c r="H618" s="218">
        <v>2048</v>
      </c>
      <c r="I618" s="219">
        <v>36400000</v>
      </c>
      <c r="J618" s="219">
        <v>0</v>
      </c>
      <c r="K618" s="219">
        <v>36400000</v>
      </c>
      <c r="L618" s="218" t="s">
        <v>7781</v>
      </c>
      <c r="M618" s="218">
        <v>1</v>
      </c>
      <c r="N618" s="218" t="s">
        <v>7894</v>
      </c>
      <c r="O618" s="218" t="s">
        <v>376</v>
      </c>
      <c r="P618" s="218">
        <v>399</v>
      </c>
      <c r="Q618" s="218" t="s">
        <v>7771</v>
      </c>
      <c r="R618" s="220">
        <v>100</v>
      </c>
    </row>
    <row r="619" spans="1:18">
      <c r="A619" s="217">
        <v>81</v>
      </c>
      <c r="B619" s="218">
        <v>507692</v>
      </c>
      <c r="C619" s="218" t="s">
        <v>335</v>
      </c>
      <c r="D619" s="218" t="s">
        <v>7778</v>
      </c>
      <c r="E619" s="218" t="s">
        <v>7941</v>
      </c>
      <c r="F619" s="218" t="s">
        <v>7831</v>
      </c>
      <c r="G619" s="218" t="s">
        <v>7767</v>
      </c>
      <c r="H619" s="218">
        <v>2048</v>
      </c>
      <c r="I619" s="219">
        <v>36400000</v>
      </c>
      <c r="J619" s="219">
        <v>0</v>
      </c>
      <c r="K619" s="219">
        <v>36400000</v>
      </c>
      <c r="L619" s="218" t="s">
        <v>7781</v>
      </c>
      <c r="M619" s="218">
        <v>1</v>
      </c>
      <c r="N619" s="218" t="s">
        <v>7794</v>
      </c>
      <c r="O619" s="218" t="s">
        <v>7940</v>
      </c>
      <c r="P619" s="218">
        <v>399</v>
      </c>
      <c r="Q619" s="218" t="s">
        <v>7771</v>
      </c>
      <c r="R619" s="220">
        <v>104</v>
      </c>
    </row>
    <row r="620" spans="1:18">
      <c r="A620" s="217">
        <v>103</v>
      </c>
      <c r="B620" s="218">
        <v>613514</v>
      </c>
      <c r="C620" s="218" t="s">
        <v>107</v>
      </c>
      <c r="D620" s="218" t="s">
        <v>7778</v>
      </c>
      <c r="E620" s="218" t="s">
        <v>7988</v>
      </c>
      <c r="F620" s="218" t="s">
        <v>7790</v>
      </c>
      <c r="G620" s="218" t="s">
        <v>7767</v>
      </c>
      <c r="H620" s="218">
        <v>2048</v>
      </c>
      <c r="I620" s="219">
        <v>36400000</v>
      </c>
      <c r="J620" s="219">
        <v>0</v>
      </c>
      <c r="K620" s="219">
        <v>36400000</v>
      </c>
      <c r="L620" s="218" t="s">
        <v>7791</v>
      </c>
      <c r="M620" s="218">
        <v>1</v>
      </c>
      <c r="N620" s="218" t="s">
        <v>7989</v>
      </c>
      <c r="O620" s="218" t="s">
        <v>7954</v>
      </c>
      <c r="P620" s="218">
        <v>399</v>
      </c>
      <c r="Q620" s="218" t="s">
        <v>7771</v>
      </c>
      <c r="R620" s="220">
        <v>100</v>
      </c>
    </row>
    <row r="621" spans="1:18">
      <c r="A621" s="217">
        <v>193</v>
      </c>
      <c r="B621" s="218">
        <v>9802199583</v>
      </c>
      <c r="C621" s="218" t="s">
        <v>107</v>
      </c>
      <c r="D621" s="218" t="s">
        <v>7778</v>
      </c>
      <c r="E621" s="218" t="s">
        <v>8171</v>
      </c>
      <c r="F621" s="218" t="s">
        <v>7790</v>
      </c>
      <c r="G621" s="218" t="s">
        <v>7767</v>
      </c>
      <c r="H621" s="218">
        <v>2048</v>
      </c>
      <c r="I621" s="219">
        <v>36400000</v>
      </c>
      <c r="J621" s="219">
        <v>0</v>
      </c>
      <c r="K621" s="219">
        <v>36400000</v>
      </c>
      <c r="L621" s="218" t="s">
        <v>7791</v>
      </c>
      <c r="M621" s="218">
        <v>1</v>
      </c>
      <c r="N621" s="218" t="s">
        <v>8170</v>
      </c>
      <c r="O621" s="218" t="s">
        <v>7993</v>
      </c>
      <c r="P621" s="218">
        <v>399</v>
      </c>
      <c r="Q621" s="218" t="s">
        <v>7771</v>
      </c>
      <c r="R621" s="220">
        <v>100</v>
      </c>
    </row>
    <row r="622" spans="1:18">
      <c r="A622" s="217">
        <v>194</v>
      </c>
      <c r="B622" s="218">
        <v>9802205796</v>
      </c>
      <c r="C622" s="218" t="s">
        <v>107</v>
      </c>
      <c r="D622" s="218" t="s">
        <v>7778</v>
      </c>
      <c r="E622" s="218" t="s">
        <v>8172</v>
      </c>
      <c r="F622" s="218" t="s">
        <v>7790</v>
      </c>
      <c r="G622" s="218" t="s">
        <v>7767</v>
      </c>
      <c r="H622" s="218">
        <v>2048</v>
      </c>
      <c r="I622" s="219">
        <v>36400000</v>
      </c>
      <c r="J622" s="219">
        <v>0</v>
      </c>
      <c r="K622" s="219">
        <v>36400000</v>
      </c>
      <c r="L622" s="218" t="s">
        <v>7791</v>
      </c>
      <c r="M622" s="218">
        <v>1</v>
      </c>
      <c r="N622" s="218" t="s">
        <v>8173</v>
      </c>
      <c r="O622" s="218" t="s">
        <v>7993</v>
      </c>
      <c r="P622" s="218">
        <v>399</v>
      </c>
      <c r="Q622" s="218" t="s">
        <v>7771</v>
      </c>
      <c r="R622" s="220">
        <v>100</v>
      </c>
    </row>
    <row r="623" spans="1:18" ht="15.75" customHeight="1">
      <c r="A623" s="217">
        <v>234</v>
      </c>
      <c r="B623" s="218">
        <v>40002270782</v>
      </c>
      <c r="C623" s="218" t="s">
        <v>107</v>
      </c>
      <c r="D623" s="218" t="s">
        <v>7778</v>
      </c>
      <c r="E623" s="218" t="s">
        <v>8244</v>
      </c>
      <c r="F623" s="218" t="s">
        <v>7790</v>
      </c>
      <c r="G623" s="218" t="s">
        <v>7767</v>
      </c>
      <c r="H623" s="218">
        <v>2048</v>
      </c>
      <c r="I623" s="219">
        <v>36400000</v>
      </c>
      <c r="J623" s="219">
        <v>0</v>
      </c>
      <c r="K623" s="219">
        <v>36400000</v>
      </c>
      <c r="L623" s="218" t="s">
        <v>7791</v>
      </c>
      <c r="M623" s="218">
        <v>1</v>
      </c>
      <c r="N623" s="218" t="s">
        <v>8245</v>
      </c>
      <c r="O623" s="218" t="s">
        <v>7993</v>
      </c>
      <c r="P623" s="218">
        <v>399</v>
      </c>
      <c r="Q623" s="218" t="s">
        <v>7771</v>
      </c>
      <c r="R623" s="220">
        <v>100</v>
      </c>
    </row>
    <row r="624" spans="1:18">
      <c r="A624" s="217">
        <v>306</v>
      </c>
      <c r="B624" s="218">
        <v>609142</v>
      </c>
      <c r="C624" s="218" t="s">
        <v>107</v>
      </c>
      <c r="D624" s="218" t="s">
        <v>7778</v>
      </c>
      <c r="E624" s="218" t="s">
        <v>8376</v>
      </c>
      <c r="F624" s="218" t="s">
        <v>7790</v>
      </c>
      <c r="G624" s="218" t="s">
        <v>7767</v>
      </c>
      <c r="H624" s="218">
        <v>2048</v>
      </c>
      <c r="I624" s="219">
        <v>36400000</v>
      </c>
      <c r="J624" s="219">
        <v>0</v>
      </c>
      <c r="K624" s="219">
        <v>36400000</v>
      </c>
      <c r="L624" s="218" t="s">
        <v>7791</v>
      </c>
      <c r="M624" s="218">
        <v>1</v>
      </c>
      <c r="N624" s="218" t="s">
        <v>8377</v>
      </c>
      <c r="O624" s="218" t="s">
        <v>8347</v>
      </c>
      <c r="P624" s="218">
        <v>399</v>
      </c>
      <c r="Q624" s="218" t="s">
        <v>7771</v>
      </c>
      <c r="R624" s="220">
        <v>100</v>
      </c>
    </row>
    <row r="625" spans="1:18">
      <c r="A625" s="217">
        <v>310</v>
      </c>
      <c r="B625" s="218">
        <v>613014</v>
      </c>
      <c r="C625" s="218" t="s">
        <v>107</v>
      </c>
      <c r="D625" s="218" t="s">
        <v>7778</v>
      </c>
      <c r="E625" s="218" t="s">
        <v>8378</v>
      </c>
      <c r="F625" s="218" t="s">
        <v>7790</v>
      </c>
      <c r="G625" s="218" t="s">
        <v>7767</v>
      </c>
      <c r="H625" s="218">
        <v>2048</v>
      </c>
      <c r="I625" s="219">
        <v>36400000</v>
      </c>
      <c r="J625" s="219">
        <v>0</v>
      </c>
      <c r="K625" s="219">
        <v>36400000</v>
      </c>
      <c r="L625" s="218" t="s">
        <v>7791</v>
      </c>
      <c r="M625" s="218">
        <v>1</v>
      </c>
      <c r="N625" s="218" t="s">
        <v>8379</v>
      </c>
      <c r="O625" s="218" t="s">
        <v>8347</v>
      </c>
      <c r="P625" s="218">
        <v>399</v>
      </c>
      <c r="Q625" s="218" t="s">
        <v>7771</v>
      </c>
      <c r="R625" s="220">
        <v>100</v>
      </c>
    </row>
    <row r="626" spans="1:18">
      <c r="A626" s="217">
        <v>355</v>
      </c>
      <c r="B626" s="218">
        <v>518541</v>
      </c>
      <c r="C626" s="218" t="s">
        <v>335</v>
      </c>
      <c r="D626" s="218" t="s">
        <v>7778</v>
      </c>
      <c r="E626" s="218" t="s">
        <v>8451</v>
      </c>
      <c r="F626" s="218" t="s">
        <v>8452</v>
      </c>
      <c r="G626" s="218" t="s">
        <v>7767</v>
      </c>
      <c r="H626" s="218">
        <v>2048</v>
      </c>
      <c r="I626" s="219">
        <v>36400000</v>
      </c>
      <c r="J626" s="219">
        <v>0</v>
      </c>
      <c r="K626" s="219">
        <v>36400000</v>
      </c>
      <c r="L626" s="218" t="s">
        <v>7781</v>
      </c>
      <c r="M626" s="218">
        <v>1</v>
      </c>
      <c r="N626" s="218" t="s">
        <v>8453</v>
      </c>
      <c r="O626" s="218" t="s">
        <v>2449</v>
      </c>
      <c r="P626" s="218">
        <v>399</v>
      </c>
      <c r="Q626" s="218" t="s">
        <v>7771</v>
      </c>
      <c r="R626" s="220">
        <v>100</v>
      </c>
    </row>
    <row r="627" spans="1:18">
      <c r="A627" s="217">
        <v>357</v>
      </c>
      <c r="B627" s="218">
        <v>591109</v>
      </c>
      <c r="C627" s="218" t="s">
        <v>107</v>
      </c>
      <c r="D627" s="218" t="s">
        <v>7778</v>
      </c>
      <c r="E627" s="218" t="s">
        <v>8456</v>
      </c>
      <c r="F627" s="218" t="s">
        <v>8457</v>
      </c>
      <c r="G627" s="218" t="s">
        <v>7767</v>
      </c>
      <c r="H627" s="218">
        <v>2048</v>
      </c>
      <c r="I627" s="219">
        <v>36400000</v>
      </c>
      <c r="J627" s="219">
        <v>0</v>
      </c>
      <c r="K627" s="219">
        <v>36400000</v>
      </c>
      <c r="L627" s="218" t="s">
        <v>7791</v>
      </c>
      <c r="M627" s="218">
        <v>1</v>
      </c>
      <c r="N627" s="218" t="s">
        <v>2449</v>
      </c>
      <c r="O627" s="218" t="s">
        <v>2449</v>
      </c>
      <c r="P627" s="218">
        <v>399</v>
      </c>
      <c r="Q627" s="218" t="s">
        <v>7771</v>
      </c>
      <c r="R627" s="220">
        <v>100</v>
      </c>
    </row>
    <row r="628" spans="1:18">
      <c r="A628" s="217">
        <v>359</v>
      </c>
      <c r="B628" s="218">
        <v>591111</v>
      </c>
      <c r="C628" s="218" t="s">
        <v>107</v>
      </c>
      <c r="D628" s="218" t="s">
        <v>7778</v>
      </c>
      <c r="E628" s="218" t="s">
        <v>8458</v>
      </c>
      <c r="F628" s="218" t="s">
        <v>7790</v>
      </c>
      <c r="G628" s="218" t="s">
        <v>7767</v>
      </c>
      <c r="H628" s="218">
        <v>2048</v>
      </c>
      <c r="I628" s="219">
        <v>36400000</v>
      </c>
      <c r="J628" s="219">
        <v>0</v>
      </c>
      <c r="K628" s="219">
        <v>36400000</v>
      </c>
      <c r="L628" s="218" t="s">
        <v>7791</v>
      </c>
      <c r="M628" s="218">
        <v>1</v>
      </c>
      <c r="N628" s="218" t="s">
        <v>2449</v>
      </c>
      <c r="O628" s="218" t="s">
        <v>2449</v>
      </c>
      <c r="P628" s="218">
        <v>399</v>
      </c>
      <c r="Q628" s="218" t="s">
        <v>7771</v>
      </c>
      <c r="R628" s="220">
        <v>100</v>
      </c>
    </row>
    <row r="629" spans="1:18">
      <c r="A629" s="217">
        <v>387</v>
      </c>
      <c r="B629" s="218">
        <v>587595</v>
      </c>
      <c r="C629" s="218" t="s">
        <v>107</v>
      </c>
      <c r="D629" s="218" t="s">
        <v>7778</v>
      </c>
      <c r="E629" s="218" t="s">
        <v>8508</v>
      </c>
      <c r="F629" s="218" t="s">
        <v>7790</v>
      </c>
      <c r="G629" s="218" t="s">
        <v>7767</v>
      </c>
      <c r="H629" s="218">
        <v>2048</v>
      </c>
      <c r="I629" s="219">
        <v>36400000</v>
      </c>
      <c r="J629" s="219">
        <v>0</v>
      </c>
      <c r="K629" s="219">
        <v>36400000</v>
      </c>
      <c r="L629" s="218" t="s">
        <v>7791</v>
      </c>
      <c r="M629" s="218">
        <v>1</v>
      </c>
      <c r="N629" s="218" t="s">
        <v>8509</v>
      </c>
      <c r="O629" s="218" t="s">
        <v>2476</v>
      </c>
      <c r="P629" s="218">
        <v>399</v>
      </c>
      <c r="Q629" s="218" t="s">
        <v>7771</v>
      </c>
      <c r="R629" s="220">
        <v>100</v>
      </c>
    </row>
    <row r="630" spans="1:18">
      <c r="A630" s="217">
        <v>397</v>
      </c>
      <c r="B630" s="218">
        <v>612525</v>
      </c>
      <c r="C630" s="218" t="s">
        <v>107</v>
      </c>
      <c r="D630" s="218" t="s">
        <v>7778</v>
      </c>
      <c r="E630" s="218" t="s">
        <v>8515</v>
      </c>
      <c r="F630" s="218" t="s">
        <v>7790</v>
      </c>
      <c r="G630" s="218" t="s">
        <v>7767</v>
      </c>
      <c r="H630" s="218">
        <v>2048</v>
      </c>
      <c r="I630" s="219">
        <v>36400000</v>
      </c>
      <c r="J630" s="219">
        <v>0</v>
      </c>
      <c r="K630" s="219">
        <v>36400000</v>
      </c>
      <c r="L630" s="218" t="s">
        <v>7791</v>
      </c>
      <c r="M630" s="218">
        <v>1</v>
      </c>
      <c r="N630" s="218" t="s">
        <v>8516</v>
      </c>
      <c r="O630" s="218" t="s">
        <v>2476</v>
      </c>
      <c r="P630" s="218">
        <v>399</v>
      </c>
      <c r="Q630" s="218" t="s">
        <v>7771</v>
      </c>
      <c r="R630" s="220">
        <v>100</v>
      </c>
    </row>
    <row r="631" spans="1:18">
      <c r="A631" s="217">
        <v>399</v>
      </c>
      <c r="B631" s="218">
        <v>40102368933</v>
      </c>
      <c r="C631" s="218" t="s">
        <v>107</v>
      </c>
      <c r="D631" s="218" t="s">
        <v>7778</v>
      </c>
      <c r="E631" s="218" t="s">
        <v>7857</v>
      </c>
      <c r="F631" s="218" t="s">
        <v>7790</v>
      </c>
      <c r="G631" s="218" t="s">
        <v>7767</v>
      </c>
      <c r="H631" s="218">
        <v>2048</v>
      </c>
      <c r="I631" s="219">
        <v>36400000</v>
      </c>
      <c r="J631" s="219">
        <v>0</v>
      </c>
      <c r="K631" s="219">
        <v>36400000</v>
      </c>
      <c r="L631" s="218" t="s">
        <v>7791</v>
      </c>
      <c r="M631" s="218">
        <v>1</v>
      </c>
      <c r="N631" s="218" t="s">
        <v>8520</v>
      </c>
      <c r="O631" s="218" t="s">
        <v>8519</v>
      </c>
      <c r="P631" s="218">
        <v>399</v>
      </c>
      <c r="Q631" s="218" t="s">
        <v>7771</v>
      </c>
      <c r="R631" s="220">
        <v>100</v>
      </c>
    </row>
    <row r="632" spans="1:18">
      <c r="A632" s="217">
        <v>400</v>
      </c>
      <c r="B632" s="218">
        <v>531067</v>
      </c>
      <c r="C632" s="218" t="s">
        <v>335</v>
      </c>
      <c r="D632" s="218" t="s">
        <v>7778</v>
      </c>
      <c r="E632" s="218" t="s">
        <v>8521</v>
      </c>
      <c r="F632" s="218" t="s">
        <v>7831</v>
      </c>
      <c r="G632" s="218" t="s">
        <v>7767</v>
      </c>
      <c r="H632" s="218">
        <v>2048</v>
      </c>
      <c r="I632" s="219">
        <v>36400000</v>
      </c>
      <c r="J632" s="219">
        <v>0</v>
      </c>
      <c r="K632" s="219">
        <v>36400000</v>
      </c>
      <c r="L632" s="218" t="s">
        <v>7781</v>
      </c>
      <c r="M632" s="218">
        <v>1</v>
      </c>
      <c r="N632" s="218" t="s">
        <v>7794</v>
      </c>
      <c r="O632" s="218" t="s">
        <v>8519</v>
      </c>
      <c r="P632" s="218">
        <v>399</v>
      </c>
      <c r="Q632" s="218" t="s">
        <v>7771</v>
      </c>
      <c r="R632" s="220">
        <v>100</v>
      </c>
    </row>
    <row r="633" spans="1:18">
      <c r="A633" s="217">
        <v>419</v>
      </c>
      <c r="B633" s="218">
        <v>9702101779</v>
      </c>
      <c r="C633" s="218" t="s">
        <v>107</v>
      </c>
      <c r="D633" s="218" t="s">
        <v>7778</v>
      </c>
      <c r="E633" s="218" t="s">
        <v>7787</v>
      </c>
      <c r="F633" s="218" t="s">
        <v>7790</v>
      </c>
      <c r="G633" s="218" t="s">
        <v>7767</v>
      </c>
      <c r="H633" s="218">
        <v>2048</v>
      </c>
      <c r="I633" s="219">
        <v>36400000</v>
      </c>
      <c r="J633" s="219">
        <v>0</v>
      </c>
      <c r="K633" s="219">
        <v>36400000</v>
      </c>
      <c r="L633" s="218" t="s">
        <v>7791</v>
      </c>
      <c r="M633" s="218">
        <v>1</v>
      </c>
      <c r="N633" s="218" t="s">
        <v>8551</v>
      </c>
      <c r="O633" s="218" t="s">
        <v>2592</v>
      </c>
      <c r="P633" s="218">
        <v>399</v>
      </c>
      <c r="Q633" s="218" t="s">
        <v>7771</v>
      </c>
      <c r="R633" s="220">
        <v>100</v>
      </c>
    </row>
    <row r="634" spans="1:18">
      <c r="A634" s="217">
        <v>420</v>
      </c>
      <c r="B634" s="218">
        <v>9802181369</v>
      </c>
      <c r="C634" s="218" t="s">
        <v>107</v>
      </c>
      <c r="D634" s="218" t="s">
        <v>7778</v>
      </c>
      <c r="E634" s="218" t="s">
        <v>8552</v>
      </c>
      <c r="F634" s="218" t="s">
        <v>7790</v>
      </c>
      <c r="G634" s="218" t="s">
        <v>7767</v>
      </c>
      <c r="H634" s="218">
        <v>2048</v>
      </c>
      <c r="I634" s="219">
        <v>36400000</v>
      </c>
      <c r="J634" s="219">
        <v>0</v>
      </c>
      <c r="K634" s="219">
        <v>36400000</v>
      </c>
      <c r="L634" s="218" t="s">
        <v>7791</v>
      </c>
      <c r="M634" s="218">
        <v>1</v>
      </c>
      <c r="N634" s="218" t="s">
        <v>8553</v>
      </c>
      <c r="O634" s="218" t="s">
        <v>2592</v>
      </c>
      <c r="P634" s="218">
        <v>399</v>
      </c>
      <c r="Q634" s="218" t="s">
        <v>7771</v>
      </c>
      <c r="R634" s="220">
        <v>100</v>
      </c>
    </row>
    <row r="635" spans="1:18">
      <c r="A635" s="217">
        <v>454</v>
      </c>
      <c r="B635" s="218">
        <v>595212</v>
      </c>
      <c r="C635" s="218" t="s">
        <v>107</v>
      </c>
      <c r="D635" s="218" t="s">
        <v>7778</v>
      </c>
      <c r="E635" s="218" t="s">
        <v>8620</v>
      </c>
      <c r="F635" s="218" t="s">
        <v>7790</v>
      </c>
      <c r="G635" s="218" t="s">
        <v>7767</v>
      </c>
      <c r="H635" s="218">
        <v>2048</v>
      </c>
      <c r="I635" s="219">
        <v>36400000</v>
      </c>
      <c r="J635" s="219">
        <v>0</v>
      </c>
      <c r="K635" s="219">
        <v>36400000</v>
      </c>
      <c r="L635" s="218" t="s">
        <v>7791</v>
      </c>
      <c r="M635" s="218">
        <v>1</v>
      </c>
      <c r="N635" s="218" t="s">
        <v>8621</v>
      </c>
      <c r="O635" s="218" t="s">
        <v>8594</v>
      </c>
      <c r="P635" s="218">
        <v>399</v>
      </c>
      <c r="Q635" s="218" t="s">
        <v>7771</v>
      </c>
      <c r="R635" s="220">
        <v>100</v>
      </c>
    </row>
    <row r="636" spans="1:18">
      <c r="A636" s="217">
        <v>508</v>
      </c>
      <c r="B636" s="218">
        <v>518545</v>
      </c>
      <c r="C636" s="218" t="s">
        <v>335</v>
      </c>
      <c r="D636" s="218" t="s">
        <v>7778</v>
      </c>
      <c r="E636" s="218" t="s">
        <v>8709</v>
      </c>
      <c r="F636" s="218" t="s">
        <v>7831</v>
      </c>
      <c r="G636" s="218" t="s">
        <v>7767</v>
      </c>
      <c r="H636" s="218">
        <v>2048</v>
      </c>
      <c r="I636" s="219">
        <v>36400000</v>
      </c>
      <c r="J636" s="219">
        <v>0</v>
      </c>
      <c r="K636" s="219">
        <v>36400000</v>
      </c>
      <c r="L636" s="218" t="s">
        <v>7781</v>
      </c>
      <c r="M636" s="218">
        <v>1</v>
      </c>
      <c r="N636" s="218" t="s">
        <v>8710</v>
      </c>
      <c r="O636" s="218" t="s">
        <v>235</v>
      </c>
      <c r="P636" s="218">
        <v>399</v>
      </c>
      <c r="Q636" s="218" t="s">
        <v>7771</v>
      </c>
      <c r="R636" s="220">
        <v>100</v>
      </c>
    </row>
    <row r="637" spans="1:18">
      <c r="A637" s="217">
        <v>516</v>
      </c>
      <c r="B637" s="218">
        <v>600361</v>
      </c>
      <c r="C637" s="218" t="s">
        <v>107</v>
      </c>
      <c r="D637" s="218" t="s">
        <v>7778</v>
      </c>
      <c r="E637" s="218" t="s">
        <v>8725</v>
      </c>
      <c r="F637" s="218" t="s">
        <v>7790</v>
      </c>
      <c r="G637" s="218" t="s">
        <v>7767</v>
      </c>
      <c r="H637" s="218">
        <v>2048</v>
      </c>
      <c r="I637" s="219">
        <v>36400000</v>
      </c>
      <c r="J637" s="219">
        <v>0</v>
      </c>
      <c r="K637" s="219">
        <v>36400000</v>
      </c>
      <c r="L637" s="218" t="s">
        <v>7791</v>
      </c>
      <c r="M637" s="218">
        <v>1</v>
      </c>
      <c r="N637" s="218" t="s">
        <v>8717</v>
      </c>
      <c r="O637" s="218" t="s">
        <v>235</v>
      </c>
      <c r="P637" s="218">
        <v>399</v>
      </c>
      <c r="Q637" s="218" t="s">
        <v>7771</v>
      </c>
      <c r="R637" s="220">
        <v>100</v>
      </c>
    </row>
    <row r="638" spans="1:18">
      <c r="A638" s="217">
        <v>522</v>
      </c>
      <c r="B638" s="218">
        <v>531056</v>
      </c>
      <c r="C638" s="218" t="s">
        <v>335</v>
      </c>
      <c r="D638" s="218" t="s">
        <v>7778</v>
      </c>
      <c r="E638" s="218" t="s">
        <v>8736</v>
      </c>
      <c r="F638" s="218" t="s">
        <v>7831</v>
      </c>
      <c r="G638" s="218" t="s">
        <v>7767</v>
      </c>
      <c r="H638" s="218">
        <v>2048</v>
      </c>
      <c r="I638" s="219">
        <v>36400000</v>
      </c>
      <c r="J638" s="219">
        <v>0</v>
      </c>
      <c r="K638" s="219">
        <v>36400000</v>
      </c>
      <c r="L638" s="218" t="s">
        <v>7781</v>
      </c>
      <c r="M638" s="218">
        <v>1</v>
      </c>
      <c r="N638" s="218" t="s">
        <v>43</v>
      </c>
      <c r="O638" s="218" t="s">
        <v>8729</v>
      </c>
      <c r="P638" s="218">
        <v>399</v>
      </c>
      <c r="Q638" s="218" t="s">
        <v>7771</v>
      </c>
      <c r="R638" s="220">
        <v>100</v>
      </c>
    </row>
    <row r="639" spans="1:18">
      <c r="A639" s="217">
        <v>544</v>
      </c>
      <c r="B639" s="218">
        <v>608120</v>
      </c>
      <c r="C639" s="218" t="s">
        <v>107</v>
      </c>
      <c r="D639" s="218" t="s">
        <v>7778</v>
      </c>
      <c r="E639" s="218" t="s">
        <v>8780</v>
      </c>
      <c r="F639" s="218" t="s">
        <v>7790</v>
      </c>
      <c r="G639" s="218" t="s">
        <v>7767</v>
      </c>
      <c r="H639" s="218">
        <v>2048</v>
      </c>
      <c r="I639" s="219">
        <v>36400000</v>
      </c>
      <c r="J639" s="219">
        <v>0</v>
      </c>
      <c r="K639" s="219">
        <v>36400000</v>
      </c>
      <c r="L639" s="218" t="s">
        <v>7791</v>
      </c>
      <c r="M639" s="218">
        <v>1</v>
      </c>
      <c r="N639" s="218" t="s">
        <v>8781</v>
      </c>
      <c r="O639" s="218" t="s">
        <v>933</v>
      </c>
      <c r="P639" s="218">
        <v>399</v>
      </c>
      <c r="Q639" s="218" t="s">
        <v>7771</v>
      </c>
      <c r="R639" s="220">
        <v>100</v>
      </c>
    </row>
    <row r="640" spans="1:18">
      <c r="A640" s="217">
        <v>576</v>
      </c>
      <c r="B640" s="218">
        <v>609602</v>
      </c>
      <c r="C640" s="218" t="s">
        <v>107</v>
      </c>
      <c r="D640" s="218" t="s">
        <v>7778</v>
      </c>
      <c r="E640" s="218" t="s">
        <v>8836</v>
      </c>
      <c r="F640" s="218" t="s">
        <v>7790</v>
      </c>
      <c r="G640" s="218" t="s">
        <v>7767</v>
      </c>
      <c r="H640" s="218">
        <v>2048</v>
      </c>
      <c r="I640" s="219">
        <v>36400000</v>
      </c>
      <c r="J640" s="219">
        <v>0</v>
      </c>
      <c r="K640" s="219">
        <v>36400000</v>
      </c>
      <c r="L640" s="218" t="s">
        <v>7791</v>
      </c>
      <c r="M640" s="218">
        <v>1</v>
      </c>
      <c r="N640" s="218" t="s">
        <v>8837</v>
      </c>
      <c r="O640" s="218" t="s">
        <v>8796</v>
      </c>
      <c r="P640" s="218">
        <v>399</v>
      </c>
      <c r="Q640" s="218" t="s">
        <v>7771</v>
      </c>
      <c r="R640" s="220">
        <v>100</v>
      </c>
    </row>
    <row r="641" spans="1:18">
      <c r="A641" s="217">
        <v>590</v>
      </c>
      <c r="B641" s="218">
        <v>630564</v>
      </c>
      <c r="C641" s="218" t="s">
        <v>107</v>
      </c>
      <c r="D641" s="218" t="s">
        <v>7778</v>
      </c>
      <c r="E641" s="218" t="s">
        <v>8858</v>
      </c>
      <c r="F641" s="218" t="s">
        <v>7790</v>
      </c>
      <c r="G641" s="218" t="s">
        <v>7767</v>
      </c>
      <c r="H641" s="218">
        <v>2048</v>
      </c>
      <c r="I641" s="219">
        <v>36400000</v>
      </c>
      <c r="J641" s="219">
        <v>0</v>
      </c>
      <c r="K641" s="219">
        <v>36400000</v>
      </c>
      <c r="L641" s="218" t="s">
        <v>7791</v>
      </c>
      <c r="M641" s="218">
        <v>1</v>
      </c>
      <c r="N641" s="218" t="s">
        <v>4</v>
      </c>
      <c r="O641" s="218" t="s">
        <v>3467</v>
      </c>
      <c r="P641" s="218">
        <v>399</v>
      </c>
      <c r="Q641" s="218" t="s">
        <v>7771</v>
      </c>
      <c r="R641" s="220">
        <v>100</v>
      </c>
    </row>
    <row r="642" spans="1:18">
      <c r="A642" s="217">
        <v>658</v>
      </c>
      <c r="B642" s="218">
        <v>613432</v>
      </c>
      <c r="C642" s="218" t="s">
        <v>107</v>
      </c>
      <c r="D642" s="218" t="s">
        <v>7778</v>
      </c>
      <c r="E642" s="218" t="s">
        <v>8966</v>
      </c>
      <c r="F642" s="218" t="s">
        <v>7790</v>
      </c>
      <c r="G642" s="218" t="s">
        <v>7767</v>
      </c>
      <c r="H642" s="218">
        <v>2048</v>
      </c>
      <c r="I642" s="219">
        <v>36400000</v>
      </c>
      <c r="J642" s="219">
        <v>0</v>
      </c>
      <c r="K642" s="219">
        <v>36400000</v>
      </c>
      <c r="L642" s="218" t="s">
        <v>7791</v>
      </c>
      <c r="M642" s="218">
        <v>1</v>
      </c>
      <c r="N642" s="218" t="s">
        <v>8981</v>
      </c>
      <c r="O642" s="218" t="s">
        <v>3705</v>
      </c>
      <c r="P642" s="218">
        <v>399</v>
      </c>
      <c r="Q642" s="218" t="s">
        <v>7771</v>
      </c>
      <c r="R642" s="220">
        <v>100</v>
      </c>
    </row>
    <row r="643" spans="1:18">
      <c r="A643" s="217">
        <v>662</v>
      </c>
      <c r="B643" s="218">
        <v>507693</v>
      </c>
      <c r="C643" s="218" t="s">
        <v>335</v>
      </c>
      <c r="D643" s="218" t="s">
        <v>7778</v>
      </c>
      <c r="E643" s="218" t="s">
        <v>8360</v>
      </c>
      <c r="F643" s="218" t="s">
        <v>7831</v>
      </c>
      <c r="G643" s="218" t="s">
        <v>7767</v>
      </c>
      <c r="H643" s="218">
        <v>2048</v>
      </c>
      <c r="I643" s="219">
        <v>36400000</v>
      </c>
      <c r="J643" s="219">
        <v>0</v>
      </c>
      <c r="K643" s="219">
        <v>36400000</v>
      </c>
      <c r="L643" s="218" t="s">
        <v>7781</v>
      </c>
      <c r="M643" s="218">
        <v>1</v>
      </c>
      <c r="N643" s="218" t="s">
        <v>7794</v>
      </c>
      <c r="O643" s="218" t="s">
        <v>8989</v>
      </c>
      <c r="P643" s="218">
        <v>399</v>
      </c>
      <c r="Q643" s="218" t="s">
        <v>7771</v>
      </c>
      <c r="R643" s="220">
        <v>100</v>
      </c>
    </row>
    <row r="644" spans="1:18">
      <c r="A644" s="217">
        <v>674</v>
      </c>
      <c r="B644" s="218">
        <v>612366</v>
      </c>
      <c r="C644" s="218" t="s">
        <v>107</v>
      </c>
      <c r="D644" s="218" t="s">
        <v>7778</v>
      </c>
      <c r="E644" s="218" t="s">
        <v>9008</v>
      </c>
      <c r="F644" s="218" t="s">
        <v>7790</v>
      </c>
      <c r="G644" s="218" t="s">
        <v>7767</v>
      </c>
      <c r="H644" s="218">
        <v>2048</v>
      </c>
      <c r="I644" s="219">
        <v>36400000</v>
      </c>
      <c r="J644" s="219">
        <v>0</v>
      </c>
      <c r="K644" s="219">
        <v>36400000</v>
      </c>
      <c r="L644" s="218" t="s">
        <v>7791</v>
      </c>
      <c r="M644" s="218">
        <v>1</v>
      </c>
      <c r="N644" s="218" t="s">
        <v>9009</v>
      </c>
      <c r="O644" s="218" t="s">
        <v>8989</v>
      </c>
      <c r="P644" s="218">
        <v>399</v>
      </c>
      <c r="Q644" s="218" t="s">
        <v>7771</v>
      </c>
      <c r="R644" s="220">
        <v>100</v>
      </c>
    </row>
    <row r="645" spans="1:18">
      <c r="A645" s="217">
        <v>686</v>
      </c>
      <c r="B645" s="218">
        <v>531057</v>
      </c>
      <c r="C645" s="218" t="s">
        <v>335</v>
      </c>
      <c r="D645" s="218" t="s">
        <v>7778</v>
      </c>
      <c r="E645" s="218" t="s">
        <v>9028</v>
      </c>
      <c r="F645" s="218" t="s">
        <v>7831</v>
      </c>
      <c r="G645" s="218" t="s">
        <v>7767</v>
      </c>
      <c r="H645" s="218">
        <v>2048</v>
      </c>
      <c r="I645" s="219">
        <v>36400000</v>
      </c>
      <c r="J645" s="219">
        <v>0</v>
      </c>
      <c r="K645" s="219">
        <v>36400000</v>
      </c>
      <c r="L645" s="218" t="s">
        <v>7781</v>
      </c>
      <c r="M645" s="218">
        <v>1</v>
      </c>
      <c r="N645" s="218" t="s">
        <v>7794</v>
      </c>
      <c r="O645" s="218" t="s">
        <v>3873</v>
      </c>
      <c r="P645" s="218">
        <v>399</v>
      </c>
      <c r="Q645" s="218" t="s">
        <v>7771</v>
      </c>
      <c r="R645" s="220">
        <v>100</v>
      </c>
    </row>
    <row r="646" spans="1:18">
      <c r="A646" s="217">
        <v>687</v>
      </c>
      <c r="B646" s="218">
        <v>595179</v>
      </c>
      <c r="C646" s="218" t="s">
        <v>107</v>
      </c>
      <c r="D646" s="218" t="s">
        <v>7778</v>
      </c>
      <c r="E646" s="218" t="s">
        <v>8962</v>
      </c>
      <c r="F646" s="218" t="s">
        <v>7790</v>
      </c>
      <c r="G646" s="218" t="s">
        <v>7767</v>
      </c>
      <c r="H646" s="218">
        <v>2048</v>
      </c>
      <c r="I646" s="219">
        <v>36400000</v>
      </c>
      <c r="J646" s="219">
        <v>0</v>
      </c>
      <c r="K646" s="219">
        <v>36400000</v>
      </c>
      <c r="L646" s="218" t="s">
        <v>7791</v>
      </c>
      <c r="M646" s="218">
        <v>1</v>
      </c>
      <c r="N646" s="218" t="s">
        <v>5005</v>
      </c>
      <c r="O646" s="218" t="s">
        <v>3873</v>
      </c>
      <c r="P646" s="218">
        <v>399</v>
      </c>
      <c r="Q646" s="218" t="s">
        <v>7771</v>
      </c>
      <c r="R646" s="220">
        <v>100</v>
      </c>
    </row>
    <row r="647" spans="1:18">
      <c r="A647" s="217">
        <v>691</v>
      </c>
      <c r="B647" s="218">
        <v>531071</v>
      </c>
      <c r="C647" s="218" t="s">
        <v>335</v>
      </c>
      <c r="D647" s="218" t="s">
        <v>7778</v>
      </c>
      <c r="E647" s="218" t="s">
        <v>8682</v>
      </c>
      <c r="F647" s="218" t="s">
        <v>7831</v>
      </c>
      <c r="G647" s="218" t="s">
        <v>7767</v>
      </c>
      <c r="H647" s="218">
        <v>2048</v>
      </c>
      <c r="I647" s="219">
        <v>36400000</v>
      </c>
      <c r="J647" s="219">
        <v>0</v>
      </c>
      <c r="K647" s="219">
        <v>36400000</v>
      </c>
      <c r="L647" s="218" t="s">
        <v>7781</v>
      </c>
      <c r="M647" s="218">
        <v>1</v>
      </c>
      <c r="N647" s="218" t="s">
        <v>7794</v>
      </c>
      <c r="O647" s="218" t="s">
        <v>3742</v>
      </c>
      <c r="P647" s="218">
        <v>399</v>
      </c>
      <c r="Q647" s="218" t="s">
        <v>7771</v>
      </c>
      <c r="R647" s="220">
        <v>100</v>
      </c>
    </row>
    <row r="648" spans="1:18">
      <c r="A648" s="217">
        <v>702</v>
      </c>
      <c r="B648" s="218">
        <v>531052</v>
      </c>
      <c r="C648" s="218" t="s">
        <v>335</v>
      </c>
      <c r="D648" s="218" t="s">
        <v>7778</v>
      </c>
      <c r="E648" s="218" t="s">
        <v>8709</v>
      </c>
      <c r="F648" s="218" t="s">
        <v>7831</v>
      </c>
      <c r="G648" s="218" t="s">
        <v>7767</v>
      </c>
      <c r="H648" s="218">
        <v>2048</v>
      </c>
      <c r="I648" s="219">
        <v>36400000</v>
      </c>
      <c r="J648" s="219">
        <v>0</v>
      </c>
      <c r="K648" s="219">
        <v>36400000</v>
      </c>
      <c r="L648" s="218" t="s">
        <v>7781</v>
      </c>
      <c r="M648" s="218">
        <v>1</v>
      </c>
      <c r="N648" s="218" t="s">
        <v>8553</v>
      </c>
      <c r="O648" s="218" t="s">
        <v>9043</v>
      </c>
      <c r="P648" s="218">
        <v>399</v>
      </c>
      <c r="Q648" s="218" t="s">
        <v>7771</v>
      </c>
      <c r="R648" s="220">
        <v>104</v>
      </c>
    </row>
    <row r="649" spans="1:18">
      <c r="A649" s="217">
        <v>510</v>
      </c>
      <c r="B649" s="218">
        <v>536246</v>
      </c>
      <c r="C649" s="218" t="s">
        <v>7763</v>
      </c>
      <c r="D649" s="218" t="s">
        <v>7764</v>
      </c>
      <c r="E649" s="218" t="s">
        <v>7830</v>
      </c>
      <c r="F649" s="218" t="s">
        <v>8699</v>
      </c>
      <c r="G649" s="218" t="s">
        <v>7767</v>
      </c>
      <c r="H649" s="218">
        <v>1664</v>
      </c>
      <c r="I649" s="219">
        <v>37600000</v>
      </c>
      <c r="J649" s="219">
        <v>0</v>
      </c>
      <c r="K649" s="219">
        <v>37600000</v>
      </c>
      <c r="L649" s="218" t="s">
        <v>7774</v>
      </c>
      <c r="M649" s="218">
        <v>1</v>
      </c>
      <c r="N649" s="218" t="s">
        <v>8713</v>
      </c>
      <c r="O649" s="218" t="s">
        <v>235</v>
      </c>
      <c r="P649" s="218">
        <v>399</v>
      </c>
      <c r="Q649" s="218" t="s">
        <v>7771</v>
      </c>
      <c r="R649" s="220">
        <v>104</v>
      </c>
    </row>
    <row r="650" spans="1:18">
      <c r="A650" s="217">
        <v>83</v>
      </c>
      <c r="B650" s="218">
        <v>542137</v>
      </c>
      <c r="C650" s="218" t="s">
        <v>7763</v>
      </c>
      <c r="D650" s="218" t="s">
        <v>7772</v>
      </c>
      <c r="E650" s="218" t="s">
        <v>7872</v>
      </c>
      <c r="F650" s="218" t="s">
        <v>7780</v>
      </c>
      <c r="G650" s="218" t="s">
        <v>7767</v>
      </c>
      <c r="H650" s="218">
        <v>2048</v>
      </c>
      <c r="I650" s="219">
        <v>37632000</v>
      </c>
      <c r="J650" s="219">
        <v>0</v>
      </c>
      <c r="K650" s="219">
        <v>37632000</v>
      </c>
      <c r="L650" s="218" t="s">
        <v>7768</v>
      </c>
      <c r="M650" s="218">
        <v>1</v>
      </c>
      <c r="N650" s="218" t="s">
        <v>7944</v>
      </c>
      <c r="O650" s="218" t="s">
        <v>7940</v>
      </c>
      <c r="P650" s="218">
        <v>399</v>
      </c>
      <c r="Q650" s="218" t="s">
        <v>7771</v>
      </c>
      <c r="R650" s="220">
        <v>104</v>
      </c>
    </row>
    <row r="651" spans="1:18">
      <c r="A651" s="217">
        <v>271</v>
      </c>
      <c r="B651" s="218">
        <v>532687</v>
      </c>
      <c r="C651" s="218" t="s">
        <v>7763</v>
      </c>
      <c r="D651" s="218" t="s">
        <v>7772</v>
      </c>
      <c r="E651" s="218" t="s">
        <v>8311</v>
      </c>
      <c r="F651" s="218" t="s">
        <v>7780</v>
      </c>
      <c r="G651" s="218" t="s">
        <v>7767</v>
      </c>
      <c r="H651" s="218">
        <v>2048</v>
      </c>
      <c r="I651" s="219">
        <v>37632000</v>
      </c>
      <c r="J651" s="219">
        <v>0</v>
      </c>
      <c r="K651" s="219">
        <v>37632000</v>
      </c>
      <c r="L651" s="218" t="s">
        <v>7768</v>
      </c>
      <c r="M651" s="218">
        <v>1</v>
      </c>
      <c r="N651" s="218" t="s">
        <v>8312</v>
      </c>
      <c r="O651" s="218" t="s">
        <v>7993</v>
      </c>
      <c r="P651" s="218">
        <v>399</v>
      </c>
      <c r="Q651" s="218" t="s">
        <v>7771</v>
      </c>
      <c r="R651" s="220">
        <v>104</v>
      </c>
    </row>
    <row r="652" spans="1:18">
      <c r="A652" s="217">
        <v>539</v>
      </c>
      <c r="B652" s="218">
        <v>548626</v>
      </c>
      <c r="C652" s="218" t="s">
        <v>7763</v>
      </c>
      <c r="D652" s="218" t="s">
        <v>7772</v>
      </c>
      <c r="E652" s="218" t="s">
        <v>8772</v>
      </c>
      <c r="F652" s="218" t="s">
        <v>7780</v>
      </c>
      <c r="G652" s="218" t="s">
        <v>7767</v>
      </c>
      <c r="H652" s="218">
        <v>2048</v>
      </c>
      <c r="I652" s="219">
        <v>37632000</v>
      </c>
      <c r="J652" s="219">
        <v>0</v>
      </c>
      <c r="K652" s="219">
        <v>37632000</v>
      </c>
      <c r="L652" s="218" t="s">
        <v>7768</v>
      </c>
      <c r="M652" s="218">
        <v>1</v>
      </c>
      <c r="N652" s="218" t="s">
        <v>8773</v>
      </c>
      <c r="O652" s="218" t="s">
        <v>933</v>
      </c>
      <c r="P652" s="218">
        <v>399</v>
      </c>
      <c r="Q652" s="218" t="s">
        <v>7771</v>
      </c>
      <c r="R652" s="220">
        <v>104</v>
      </c>
    </row>
    <row r="653" spans="1:18">
      <c r="A653" s="217">
        <v>567</v>
      </c>
      <c r="B653" s="218">
        <v>547616</v>
      </c>
      <c r="C653" s="218" t="s">
        <v>7763</v>
      </c>
      <c r="D653" s="218" t="s">
        <v>7772</v>
      </c>
      <c r="E653" s="218" t="s">
        <v>8525</v>
      </c>
      <c r="F653" s="218" t="s">
        <v>7780</v>
      </c>
      <c r="G653" s="218" t="s">
        <v>7767</v>
      </c>
      <c r="H653" s="218">
        <v>2048</v>
      </c>
      <c r="I653" s="219">
        <v>37632000</v>
      </c>
      <c r="J653" s="219">
        <v>0</v>
      </c>
      <c r="K653" s="219">
        <v>37632000</v>
      </c>
      <c r="L653" s="218" t="s">
        <v>7768</v>
      </c>
      <c r="M653" s="218">
        <v>1</v>
      </c>
      <c r="N653" s="218" t="s">
        <v>8821</v>
      </c>
      <c r="O653" s="218" t="s">
        <v>8796</v>
      </c>
      <c r="P653" s="218">
        <v>399</v>
      </c>
      <c r="Q653" s="218" t="s">
        <v>7771</v>
      </c>
      <c r="R653" s="220">
        <v>104</v>
      </c>
    </row>
    <row r="654" spans="1:18">
      <c r="A654" s="217">
        <v>445</v>
      </c>
      <c r="B654" s="218">
        <v>507691</v>
      </c>
      <c r="C654" s="218" t="s">
        <v>335</v>
      </c>
      <c r="D654" s="218" t="s">
        <v>7778</v>
      </c>
      <c r="E654" s="218" t="s">
        <v>8601</v>
      </c>
      <c r="F654" s="218" t="s">
        <v>7780</v>
      </c>
      <c r="G654" s="218" t="s">
        <v>7767</v>
      </c>
      <c r="H654" s="218">
        <v>3584</v>
      </c>
      <c r="I654" s="219">
        <v>48100000</v>
      </c>
      <c r="J654" s="219">
        <v>-8658000</v>
      </c>
      <c r="K654" s="219">
        <v>39442000</v>
      </c>
      <c r="L654" s="218" t="s">
        <v>7781</v>
      </c>
      <c r="M654" s="218">
        <v>1</v>
      </c>
      <c r="N654" s="218" t="s">
        <v>8593</v>
      </c>
      <c r="O654" s="218" t="s">
        <v>8594</v>
      </c>
      <c r="P654" s="218">
        <v>399</v>
      </c>
      <c r="Q654" s="218" t="s">
        <v>7771</v>
      </c>
      <c r="R654" s="220">
        <v>100</v>
      </c>
    </row>
    <row r="655" spans="1:18">
      <c r="A655" s="217">
        <v>29</v>
      </c>
      <c r="B655" s="218">
        <v>644685</v>
      </c>
      <c r="C655" s="218" t="s">
        <v>7763</v>
      </c>
      <c r="D655" s="218" t="s">
        <v>7764</v>
      </c>
      <c r="E655" s="218" t="s">
        <v>7838</v>
      </c>
      <c r="F655" s="218" t="s">
        <v>7839</v>
      </c>
      <c r="G655" s="218" t="s">
        <v>7767</v>
      </c>
      <c r="H655" s="218">
        <v>1792</v>
      </c>
      <c r="I655" s="219">
        <v>40000000</v>
      </c>
      <c r="J655" s="219">
        <v>0</v>
      </c>
      <c r="K655" s="219">
        <v>40000000</v>
      </c>
      <c r="L655" s="218" t="s">
        <v>7774</v>
      </c>
      <c r="M655" s="218">
        <v>1</v>
      </c>
      <c r="N655" s="218" t="s">
        <v>7840</v>
      </c>
      <c r="O655" s="218" t="s">
        <v>7841</v>
      </c>
      <c r="P655" s="218">
        <v>399</v>
      </c>
      <c r="Q655" s="218" t="s">
        <v>7771</v>
      </c>
      <c r="R655" s="220">
        <v>104</v>
      </c>
    </row>
    <row r="656" spans="1:18">
      <c r="A656" s="217">
        <v>45</v>
      </c>
      <c r="B656" s="218">
        <v>543155</v>
      </c>
      <c r="C656" s="218" t="s">
        <v>7763</v>
      </c>
      <c r="D656" s="218" t="s">
        <v>7764</v>
      </c>
      <c r="E656" s="218" t="s">
        <v>7863</v>
      </c>
      <c r="F656" s="218" t="s">
        <v>7839</v>
      </c>
      <c r="G656" s="218" t="s">
        <v>7767</v>
      </c>
      <c r="H656" s="218">
        <v>1792</v>
      </c>
      <c r="I656" s="219">
        <v>40000000</v>
      </c>
      <c r="J656" s="219">
        <v>0</v>
      </c>
      <c r="K656" s="219">
        <v>40000000</v>
      </c>
      <c r="L656" s="218" t="s">
        <v>7774</v>
      </c>
      <c r="M656" s="218">
        <v>1</v>
      </c>
      <c r="N656" s="218" t="s">
        <v>7864</v>
      </c>
      <c r="O656" s="218" t="s">
        <v>7841</v>
      </c>
      <c r="P656" s="218">
        <v>399</v>
      </c>
      <c r="Q656" s="218" t="s">
        <v>7771</v>
      </c>
      <c r="R656" s="220">
        <v>104</v>
      </c>
    </row>
    <row r="657" spans="1:18">
      <c r="A657" s="217">
        <v>614</v>
      </c>
      <c r="B657" s="218">
        <v>640705</v>
      </c>
      <c r="C657" s="218" t="s">
        <v>7763</v>
      </c>
      <c r="D657" s="218" t="s">
        <v>7764</v>
      </c>
      <c r="E657" s="218" t="s">
        <v>8900</v>
      </c>
      <c r="F657" s="218" t="s">
        <v>8901</v>
      </c>
      <c r="G657" s="218" t="s">
        <v>7767</v>
      </c>
      <c r="H657" s="218">
        <v>1984</v>
      </c>
      <c r="I657" s="219">
        <v>43600000</v>
      </c>
      <c r="J657" s="219">
        <v>0</v>
      </c>
      <c r="K657" s="219">
        <v>43600000</v>
      </c>
      <c r="L657" s="218" t="s">
        <v>7774</v>
      </c>
      <c r="M657" s="218">
        <v>1</v>
      </c>
      <c r="N657" s="218" t="s">
        <v>8902</v>
      </c>
      <c r="O657" s="218" t="s">
        <v>3705</v>
      </c>
      <c r="P657" s="218">
        <v>399</v>
      </c>
      <c r="Q657" s="218" t="s">
        <v>7771</v>
      </c>
      <c r="R657" s="220">
        <v>104</v>
      </c>
    </row>
    <row r="658" spans="1:18">
      <c r="A658" s="217">
        <v>624</v>
      </c>
      <c r="B658" s="218">
        <v>9702063463</v>
      </c>
      <c r="C658" s="218" t="s">
        <v>7763</v>
      </c>
      <c r="D658" s="218" t="s">
        <v>7764</v>
      </c>
      <c r="E658" s="218" t="s">
        <v>7960</v>
      </c>
      <c r="F658" s="218" t="s">
        <v>8901</v>
      </c>
      <c r="G658" s="218" t="s">
        <v>7767</v>
      </c>
      <c r="H658" s="218">
        <v>1984</v>
      </c>
      <c r="I658" s="219">
        <v>43600000</v>
      </c>
      <c r="J658" s="219">
        <v>0</v>
      </c>
      <c r="K658" s="219">
        <v>43600000</v>
      </c>
      <c r="L658" s="218" t="s">
        <v>7774</v>
      </c>
      <c r="M658" s="218">
        <v>1</v>
      </c>
      <c r="N658" s="218" t="s">
        <v>8920</v>
      </c>
      <c r="O658" s="218" t="s">
        <v>3705</v>
      </c>
      <c r="P658" s="218">
        <v>399</v>
      </c>
      <c r="Q658" s="218" t="s">
        <v>7771</v>
      </c>
      <c r="R658" s="220">
        <v>104</v>
      </c>
    </row>
    <row r="659" spans="1:18">
      <c r="A659" s="217">
        <v>5</v>
      </c>
      <c r="B659" s="218">
        <v>518547</v>
      </c>
      <c r="C659" s="218" t="s">
        <v>335</v>
      </c>
      <c r="D659" s="218" t="s">
        <v>7778</v>
      </c>
      <c r="E659" s="218" t="s">
        <v>7779</v>
      </c>
      <c r="F659" s="218" t="s">
        <v>7780</v>
      </c>
      <c r="G659" s="218" t="s">
        <v>7767</v>
      </c>
      <c r="H659" s="218">
        <v>3072</v>
      </c>
      <c r="I659" s="219">
        <v>44200000</v>
      </c>
      <c r="J659" s="219">
        <v>0</v>
      </c>
      <c r="K659" s="219">
        <v>44200000</v>
      </c>
      <c r="L659" s="218" t="s">
        <v>7781</v>
      </c>
      <c r="M659" s="218">
        <v>1</v>
      </c>
      <c r="N659" s="218" t="s">
        <v>7782</v>
      </c>
      <c r="O659" s="218" t="s">
        <v>7770</v>
      </c>
      <c r="P659" s="218">
        <v>399</v>
      </c>
      <c r="Q659" s="218" t="s">
        <v>7771</v>
      </c>
      <c r="R659" s="220">
        <v>100</v>
      </c>
    </row>
    <row r="660" spans="1:18">
      <c r="A660" s="217">
        <v>498</v>
      </c>
      <c r="B660" s="218">
        <v>592462</v>
      </c>
      <c r="C660" s="218" t="s">
        <v>107</v>
      </c>
      <c r="D660" s="218" t="s">
        <v>7778</v>
      </c>
      <c r="E660" s="218" t="s">
        <v>8692</v>
      </c>
      <c r="F660" s="218" t="s">
        <v>7790</v>
      </c>
      <c r="G660" s="218" t="s">
        <v>7767</v>
      </c>
      <c r="H660" s="218">
        <v>3072</v>
      </c>
      <c r="I660" s="219">
        <v>44200000</v>
      </c>
      <c r="J660" s="219">
        <v>0</v>
      </c>
      <c r="K660" s="219">
        <v>44200000</v>
      </c>
      <c r="L660" s="218" t="s">
        <v>7791</v>
      </c>
      <c r="M660" s="218">
        <v>1</v>
      </c>
      <c r="N660" s="218" t="s">
        <v>8693</v>
      </c>
      <c r="O660" s="218" t="s">
        <v>3018</v>
      </c>
      <c r="P660" s="218">
        <v>399</v>
      </c>
      <c r="Q660" s="218" t="s">
        <v>7771</v>
      </c>
      <c r="R660" s="220">
        <v>100</v>
      </c>
    </row>
    <row r="661" spans="1:18">
      <c r="A661" s="217">
        <v>564</v>
      </c>
      <c r="B661" s="218">
        <v>547613</v>
      </c>
      <c r="C661" s="218" t="s">
        <v>7763</v>
      </c>
      <c r="D661" s="218" t="s">
        <v>7764</v>
      </c>
      <c r="E661" s="218" t="s">
        <v>8815</v>
      </c>
      <c r="F661" s="218" t="s">
        <v>8374</v>
      </c>
      <c r="G661" s="218" t="s">
        <v>7767</v>
      </c>
      <c r="H661" s="218">
        <v>2048</v>
      </c>
      <c r="I661" s="219">
        <v>44800000</v>
      </c>
      <c r="J661" s="219">
        <v>0</v>
      </c>
      <c r="K661" s="219">
        <v>44800000</v>
      </c>
      <c r="L661" s="218" t="s">
        <v>7774</v>
      </c>
      <c r="M661" s="218">
        <v>1</v>
      </c>
      <c r="N661" s="218" t="s">
        <v>8816</v>
      </c>
      <c r="O661" s="218" t="s">
        <v>8796</v>
      </c>
      <c r="P661" s="218">
        <v>399</v>
      </c>
      <c r="Q661" s="218" t="s">
        <v>7771</v>
      </c>
      <c r="R661" s="220">
        <v>104</v>
      </c>
    </row>
    <row r="662" spans="1:18">
      <c r="A662" s="217">
        <v>597</v>
      </c>
      <c r="B662" s="218">
        <v>40102372030</v>
      </c>
      <c r="C662" s="218" t="s">
        <v>7763</v>
      </c>
      <c r="D662" s="218" t="s">
        <v>7764</v>
      </c>
      <c r="E662" s="218" t="s">
        <v>8252</v>
      </c>
      <c r="F662" s="218" t="s">
        <v>8870</v>
      </c>
      <c r="G662" s="218" t="s">
        <v>7767</v>
      </c>
      <c r="H662" s="218">
        <v>2048</v>
      </c>
      <c r="I662" s="219">
        <v>44800000</v>
      </c>
      <c r="J662" s="219">
        <v>0</v>
      </c>
      <c r="K662" s="219">
        <v>44800000</v>
      </c>
      <c r="L662" s="218" t="s">
        <v>7774</v>
      </c>
      <c r="M662" s="218">
        <v>1</v>
      </c>
      <c r="N662" s="218" t="s">
        <v>8871</v>
      </c>
      <c r="O662" s="218" t="s">
        <v>3467</v>
      </c>
      <c r="P662" s="218">
        <v>399</v>
      </c>
      <c r="Q662" s="218" t="s">
        <v>7771</v>
      </c>
      <c r="R662" s="220">
        <v>104</v>
      </c>
    </row>
    <row r="663" spans="1:18">
      <c r="A663" s="217">
        <v>599</v>
      </c>
      <c r="B663" s="218">
        <v>538111</v>
      </c>
      <c r="C663" s="218" t="s">
        <v>7763</v>
      </c>
      <c r="D663" s="218" t="s">
        <v>7764</v>
      </c>
      <c r="E663" s="218" t="s">
        <v>7870</v>
      </c>
      <c r="F663" s="218" t="s">
        <v>7802</v>
      </c>
      <c r="G663" s="218" t="s">
        <v>7767</v>
      </c>
      <c r="H663" s="218">
        <v>2048</v>
      </c>
      <c r="I663" s="219">
        <v>44800000</v>
      </c>
      <c r="J663" s="219">
        <v>0</v>
      </c>
      <c r="K663" s="219">
        <v>44800000</v>
      </c>
      <c r="L663" s="218" t="s">
        <v>7774</v>
      </c>
      <c r="M663" s="218">
        <v>1</v>
      </c>
      <c r="N663" s="218" t="s">
        <v>7896</v>
      </c>
      <c r="O663" s="218" t="s">
        <v>3467</v>
      </c>
      <c r="P663" s="218">
        <v>399</v>
      </c>
      <c r="Q663" s="218" t="s">
        <v>7771</v>
      </c>
      <c r="R663" s="220">
        <v>104</v>
      </c>
    </row>
    <row r="664" spans="1:18">
      <c r="A664" s="217">
        <v>91</v>
      </c>
      <c r="B664" s="218">
        <v>9702064172</v>
      </c>
      <c r="C664" s="218" t="s">
        <v>7763</v>
      </c>
      <c r="D664" s="218" t="s">
        <v>7764</v>
      </c>
      <c r="E664" s="218" t="s">
        <v>7960</v>
      </c>
      <c r="F664" s="218" t="s">
        <v>7961</v>
      </c>
      <c r="G664" s="218" t="s">
        <v>7767</v>
      </c>
      <c r="H664" s="218">
        <v>2560</v>
      </c>
      <c r="I664" s="219">
        <v>49600000</v>
      </c>
      <c r="J664" s="219">
        <v>0</v>
      </c>
      <c r="K664" s="219">
        <v>49600000</v>
      </c>
      <c r="L664" s="218" t="s">
        <v>7774</v>
      </c>
      <c r="M664" s="218">
        <v>1</v>
      </c>
      <c r="N664" s="218" t="s">
        <v>7962</v>
      </c>
      <c r="O664" s="218" t="s">
        <v>7954</v>
      </c>
      <c r="P664" s="218">
        <v>399</v>
      </c>
      <c r="Q664" s="218" t="s">
        <v>7771</v>
      </c>
      <c r="R664" s="220">
        <v>104</v>
      </c>
    </row>
    <row r="665" spans="1:18">
      <c r="A665" s="217">
        <v>9</v>
      </c>
      <c r="B665" s="218">
        <v>507690</v>
      </c>
      <c r="C665" s="218" t="s">
        <v>335</v>
      </c>
      <c r="D665" s="218" t="s">
        <v>7778</v>
      </c>
      <c r="E665" s="218" t="s">
        <v>7793</v>
      </c>
      <c r="F665" s="218" t="s">
        <v>7780</v>
      </c>
      <c r="G665" s="218" t="s">
        <v>7767</v>
      </c>
      <c r="H665" s="218">
        <v>4096</v>
      </c>
      <c r="I665" s="219">
        <v>52000000</v>
      </c>
      <c r="J665" s="219">
        <v>-1560000</v>
      </c>
      <c r="K665" s="219">
        <v>50440000</v>
      </c>
      <c r="L665" s="218" t="s">
        <v>7781</v>
      </c>
      <c r="M665" s="218">
        <v>1</v>
      </c>
      <c r="N665" s="218" t="s">
        <v>7794</v>
      </c>
      <c r="O665" s="218" t="s">
        <v>267</v>
      </c>
      <c r="P665" s="218">
        <v>399</v>
      </c>
      <c r="Q665" s="218" t="s">
        <v>7771</v>
      </c>
      <c r="R665" s="220">
        <v>100</v>
      </c>
    </row>
    <row r="666" spans="1:18">
      <c r="A666" s="217">
        <v>96</v>
      </c>
      <c r="B666" s="218">
        <v>507687</v>
      </c>
      <c r="C666" s="218" t="s">
        <v>335</v>
      </c>
      <c r="D666" s="218" t="s">
        <v>7778</v>
      </c>
      <c r="E666" s="218" t="s">
        <v>7973</v>
      </c>
      <c r="F666" s="218" t="s">
        <v>7780</v>
      </c>
      <c r="G666" s="218" t="s">
        <v>7767</v>
      </c>
      <c r="H666" s="218">
        <v>4096</v>
      </c>
      <c r="I666" s="219">
        <v>52000000</v>
      </c>
      <c r="J666" s="219">
        <v>-1560000</v>
      </c>
      <c r="K666" s="219">
        <v>50440000</v>
      </c>
      <c r="L666" s="218" t="s">
        <v>7781</v>
      </c>
      <c r="M666" s="218">
        <v>1</v>
      </c>
      <c r="N666" s="218" t="s">
        <v>7974</v>
      </c>
      <c r="O666" s="218" t="s">
        <v>7954</v>
      </c>
      <c r="P666" s="218">
        <v>399</v>
      </c>
      <c r="Q666" s="218" t="s">
        <v>7771</v>
      </c>
      <c r="R666" s="220">
        <v>100</v>
      </c>
    </row>
    <row r="667" spans="1:18">
      <c r="A667" s="217">
        <v>298</v>
      </c>
      <c r="B667" s="218">
        <v>507688</v>
      </c>
      <c r="C667" s="218" t="s">
        <v>335</v>
      </c>
      <c r="D667" s="218" t="s">
        <v>7778</v>
      </c>
      <c r="E667" s="218" t="s">
        <v>8360</v>
      </c>
      <c r="F667" s="218" t="s">
        <v>7780</v>
      </c>
      <c r="G667" s="218" t="s">
        <v>7767</v>
      </c>
      <c r="H667" s="218">
        <v>4096</v>
      </c>
      <c r="I667" s="219">
        <v>52000000</v>
      </c>
      <c r="J667" s="219">
        <v>-1560000</v>
      </c>
      <c r="K667" s="219">
        <v>50440000</v>
      </c>
      <c r="L667" s="218" t="s">
        <v>7781</v>
      </c>
      <c r="M667" s="218">
        <v>1</v>
      </c>
      <c r="N667" s="218" t="s">
        <v>8361</v>
      </c>
      <c r="O667" s="218" t="s">
        <v>8347</v>
      </c>
      <c r="P667" s="218">
        <v>399</v>
      </c>
      <c r="Q667" s="218" t="s">
        <v>7771</v>
      </c>
      <c r="R667" s="220">
        <v>100</v>
      </c>
    </row>
    <row r="668" spans="1:18">
      <c r="A668" s="217">
        <v>598</v>
      </c>
      <c r="B668" s="218">
        <v>518539</v>
      </c>
      <c r="C668" s="218" t="s">
        <v>335</v>
      </c>
      <c r="D668" s="218" t="s">
        <v>7778</v>
      </c>
      <c r="E668" s="218" t="s">
        <v>8872</v>
      </c>
      <c r="F668" s="218" t="s">
        <v>7780</v>
      </c>
      <c r="G668" s="218" t="s">
        <v>7767</v>
      </c>
      <c r="H668" s="218">
        <v>4096</v>
      </c>
      <c r="I668" s="219">
        <v>52000000</v>
      </c>
      <c r="J668" s="219">
        <v>-1560000</v>
      </c>
      <c r="K668" s="219">
        <v>50440000</v>
      </c>
      <c r="L668" s="218" t="s">
        <v>7781</v>
      </c>
      <c r="M668" s="218">
        <v>1</v>
      </c>
      <c r="N668" s="218" t="s">
        <v>8873</v>
      </c>
      <c r="O668" s="218" t="s">
        <v>3467</v>
      </c>
      <c r="P668" s="218">
        <v>399</v>
      </c>
      <c r="Q668" s="218" t="s">
        <v>7771</v>
      </c>
      <c r="R668" s="220">
        <v>100</v>
      </c>
    </row>
    <row r="669" spans="1:18">
      <c r="A669" s="217">
        <v>299</v>
      </c>
      <c r="B669" s="218">
        <v>524012</v>
      </c>
      <c r="C669" s="218" t="s">
        <v>7763</v>
      </c>
      <c r="D669" s="218" t="s">
        <v>7764</v>
      </c>
      <c r="E669" s="218" t="s">
        <v>8362</v>
      </c>
      <c r="F669" s="218" t="s">
        <v>8345</v>
      </c>
      <c r="G669" s="218" t="s">
        <v>7767</v>
      </c>
      <c r="H669" s="218">
        <v>2688</v>
      </c>
      <c r="I669" s="219">
        <v>50800000</v>
      </c>
      <c r="J669" s="219">
        <v>0</v>
      </c>
      <c r="K669" s="219">
        <v>50800000</v>
      </c>
      <c r="L669" s="218" t="s">
        <v>7774</v>
      </c>
      <c r="M669" s="218">
        <v>1</v>
      </c>
      <c r="N669" s="218" t="s">
        <v>8363</v>
      </c>
      <c r="O669" s="218" t="s">
        <v>8347</v>
      </c>
      <c r="P669" s="218">
        <v>399</v>
      </c>
      <c r="Q669" s="218" t="s">
        <v>7771</v>
      </c>
      <c r="R669" s="220">
        <v>104</v>
      </c>
    </row>
    <row r="670" spans="1:18">
      <c r="A670" s="217">
        <v>195</v>
      </c>
      <c r="B670" s="218">
        <v>9802206778</v>
      </c>
      <c r="C670" s="218" t="s">
        <v>107</v>
      </c>
      <c r="D670" s="218" t="s">
        <v>7778</v>
      </c>
      <c r="E670" s="218" t="s">
        <v>8174</v>
      </c>
      <c r="F670" s="218" t="s">
        <v>7790</v>
      </c>
      <c r="G670" s="218" t="s">
        <v>7767</v>
      </c>
      <c r="H670" s="218">
        <v>4096</v>
      </c>
      <c r="I670" s="219">
        <v>52000000</v>
      </c>
      <c r="J670" s="219">
        <v>0</v>
      </c>
      <c r="K670" s="219">
        <v>52000000</v>
      </c>
      <c r="L670" s="218" t="s">
        <v>7791</v>
      </c>
      <c r="M670" s="218">
        <v>1</v>
      </c>
      <c r="N670" s="218" t="s">
        <v>8175</v>
      </c>
      <c r="O670" s="218" t="s">
        <v>7993</v>
      </c>
      <c r="P670" s="218">
        <v>399</v>
      </c>
      <c r="Q670" s="218" t="s">
        <v>7771</v>
      </c>
      <c r="R670" s="220">
        <v>100</v>
      </c>
    </row>
    <row r="671" spans="1:18">
      <c r="A671" s="217">
        <v>342</v>
      </c>
      <c r="B671" s="218">
        <v>587777</v>
      </c>
      <c r="C671" s="218" t="s">
        <v>107</v>
      </c>
      <c r="D671" s="218" t="s">
        <v>7778</v>
      </c>
      <c r="E671" s="218" t="s">
        <v>8427</v>
      </c>
      <c r="F671" s="218" t="s">
        <v>7790</v>
      </c>
      <c r="G671" s="218" t="s">
        <v>7767</v>
      </c>
      <c r="H671" s="218">
        <v>4096</v>
      </c>
      <c r="I671" s="219">
        <v>52000000</v>
      </c>
      <c r="J671" s="219">
        <v>0</v>
      </c>
      <c r="K671" s="219">
        <v>52000000</v>
      </c>
      <c r="L671" s="218" t="s">
        <v>7791</v>
      </c>
      <c r="M671" s="218">
        <v>1</v>
      </c>
      <c r="N671" s="218" t="s">
        <v>8429</v>
      </c>
      <c r="O671" s="218" t="s">
        <v>1609</v>
      </c>
      <c r="P671" s="218">
        <v>399</v>
      </c>
      <c r="Q671" s="218" t="s">
        <v>7771</v>
      </c>
      <c r="R671" s="220">
        <v>100</v>
      </c>
    </row>
    <row r="672" spans="1:18">
      <c r="A672" s="217">
        <v>59</v>
      </c>
      <c r="B672" s="218">
        <v>9802188276</v>
      </c>
      <c r="C672" s="218" t="s">
        <v>7763</v>
      </c>
      <c r="D672" s="218" t="s">
        <v>7764</v>
      </c>
      <c r="E672" s="218" t="s">
        <v>7889</v>
      </c>
      <c r="F672" s="218" t="s">
        <v>7890</v>
      </c>
      <c r="G672" s="218" t="s">
        <v>7767</v>
      </c>
      <c r="H672" s="218">
        <v>2048</v>
      </c>
      <c r="I672" s="219">
        <v>53760000</v>
      </c>
      <c r="J672" s="219">
        <v>0</v>
      </c>
      <c r="K672" s="219">
        <v>53760000</v>
      </c>
      <c r="L672" s="218" t="s">
        <v>7768</v>
      </c>
      <c r="M672" s="218">
        <v>1</v>
      </c>
      <c r="N672" s="218" t="s">
        <v>7891</v>
      </c>
      <c r="O672" s="218" t="s">
        <v>376</v>
      </c>
      <c r="P672" s="218">
        <v>399</v>
      </c>
      <c r="Q672" s="218" t="s">
        <v>7771</v>
      </c>
      <c r="R672" s="220">
        <v>104</v>
      </c>
    </row>
    <row r="673" spans="1:18">
      <c r="A673" s="217">
        <v>61</v>
      </c>
      <c r="B673" s="218">
        <v>535637</v>
      </c>
      <c r="C673" s="218" t="s">
        <v>7763</v>
      </c>
      <c r="D673" s="218" t="s">
        <v>7764</v>
      </c>
      <c r="E673" s="218" t="s">
        <v>7895</v>
      </c>
      <c r="F673" s="218" t="s">
        <v>7780</v>
      </c>
      <c r="G673" s="218" t="s">
        <v>7767</v>
      </c>
      <c r="H673" s="218">
        <v>2048</v>
      </c>
      <c r="I673" s="219">
        <v>53760000</v>
      </c>
      <c r="J673" s="219">
        <v>0</v>
      </c>
      <c r="K673" s="219">
        <v>53760000</v>
      </c>
      <c r="L673" s="218" t="s">
        <v>7768</v>
      </c>
      <c r="M673" s="218">
        <v>1</v>
      </c>
      <c r="N673" s="218" t="s">
        <v>7896</v>
      </c>
      <c r="O673" s="218" t="s">
        <v>376</v>
      </c>
      <c r="P673" s="218">
        <v>399</v>
      </c>
      <c r="Q673" s="218" t="s">
        <v>7771</v>
      </c>
      <c r="R673" s="220">
        <v>104</v>
      </c>
    </row>
    <row r="674" spans="1:18">
      <c r="A674" s="217">
        <v>66</v>
      </c>
      <c r="B674" s="218">
        <v>546860</v>
      </c>
      <c r="C674" s="218" t="s">
        <v>7763</v>
      </c>
      <c r="D674" s="218" t="s">
        <v>7764</v>
      </c>
      <c r="E674" s="218" t="s">
        <v>7909</v>
      </c>
      <c r="F674" s="218" t="s">
        <v>7910</v>
      </c>
      <c r="G674" s="218" t="s">
        <v>7767</v>
      </c>
      <c r="H674" s="218">
        <v>2048</v>
      </c>
      <c r="I674" s="219">
        <v>53760000</v>
      </c>
      <c r="J674" s="219">
        <v>0</v>
      </c>
      <c r="K674" s="219">
        <v>53760000</v>
      </c>
      <c r="L674" s="218" t="s">
        <v>7768</v>
      </c>
      <c r="M674" s="218">
        <v>1</v>
      </c>
      <c r="N674" s="218" t="s">
        <v>7911</v>
      </c>
      <c r="O674" s="218" t="s">
        <v>376</v>
      </c>
      <c r="P674" s="218">
        <v>399</v>
      </c>
      <c r="Q674" s="218" t="s">
        <v>7771</v>
      </c>
      <c r="R674" s="220">
        <v>104</v>
      </c>
    </row>
    <row r="675" spans="1:18">
      <c r="A675" s="217">
        <v>486</v>
      </c>
      <c r="B675" s="218">
        <v>541748</v>
      </c>
      <c r="C675" s="218" t="s">
        <v>7763</v>
      </c>
      <c r="D675" s="218" t="s">
        <v>7764</v>
      </c>
      <c r="E675" s="218" t="s">
        <v>8678</v>
      </c>
      <c r="F675" s="218" t="s">
        <v>8679</v>
      </c>
      <c r="G675" s="218" t="s">
        <v>7767</v>
      </c>
      <c r="H675" s="218">
        <v>2048</v>
      </c>
      <c r="I675" s="219">
        <v>53760000</v>
      </c>
      <c r="J675" s="219">
        <v>0</v>
      </c>
      <c r="K675" s="219">
        <v>53760000</v>
      </c>
      <c r="L675" s="218" t="s">
        <v>7768</v>
      </c>
      <c r="M675" s="218">
        <v>1</v>
      </c>
      <c r="N675" s="218" t="s">
        <v>8650</v>
      </c>
      <c r="O675" s="218" t="s">
        <v>3018</v>
      </c>
      <c r="P675" s="218">
        <v>399</v>
      </c>
      <c r="Q675" s="218" t="s">
        <v>7771</v>
      </c>
      <c r="R675" s="220">
        <v>104</v>
      </c>
    </row>
    <row r="676" spans="1:18">
      <c r="A676" s="217">
        <v>532</v>
      </c>
      <c r="B676" s="218">
        <v>543886</v>
      </c>
      <c r="C676" s="218" t="s">
        <v>7763</v>
      </c>
      <c r="D676" s="218" t="s">
        <v>7764</v>
      </c>
      <c r="E676" s="218" t="s">
        <v>8757</v>
      </c>
      <c r="F676" s="218" t="s">
        <v>7780</v>
      </c>
      <c r="G676" s="218" t="s">
        <v>7767</v>
      </c>
      <c r="H676" s="218">
        <v>2048</v>
      </c>
      <c r="I676" s="219">
        <v>53760000</v>
      </c>
      <c r="J676" s="219">
        <v>0</v>
      </c>
      <c r="K676" s="219">
        <v>53760000</v>
      </c>
      <c r="L676" s="218" t="s">
        <v>7768</v>
      </c>
      <c r="M676" s="218">
        <v>1</v>
      </c>
      <c r="N676" s="218" t="s">
        <v>8758</v>
      </c>
      <c r="O676" s="218" t="s">
        <v>933</v>
      </c>
      <c r="P676" s="218">
        <v>399</v>
      </c>
      <c r="Q676" s="218" t="s">
        <v>7771</v>
      </c>
      <c r="R676" s="220">
        <v>104</v>
      </c>
    </row>
    <row r="677" spans="1:18">
      <c r="A677" s="217">
        <v>636</v>
      </c>
      <c r="B677" s="218">
        <v>536429</v>
      </c>
      <c r="C677" s="218" t="s">
        <v>7763</v>
      </c>
      <c r="D677" s="218" t="s">
        <v>7764</v>
      </c>
      <c r="E677" s="218" t="s">
        <v>8588</v>
      </c>
      <c r="F677" s="218" t="s">
        <v>7780</v>
      </c>
      <c r="G677" s="218" t="s">
        <v>7767</v>
      </c>
      <c r="H677" s="218">
        <v>2048</v>
      </c>
      <c r="I677" s="219">
        <v>53760000</v>
      </c>
      <c r="J677" s="219">
        <v>0</v>
      </c>
      <c r="K677" s="219">
        <v>53760000</v>
      </c>
      <c r="L677" s="218" t="s">
        <v>7768</v>
      </c>
      <c r="M677" s="218">
        <v>1</v>
      </c>
      <c r="N677" s="218" t="s">
        <v>8941</v>
      </c>
      <c r="O677" s="218" t="s">
        <v>3705</v>
      </c>
      <c r="P677" s="218">
        <v>399</v>
      </c>
      <c r="Q677" s="218" t="s">
        <v>7771</v>
      </c>
      <c r="R677" s="220">
        <v>104</v>
      </c>
    </row>
    <row r="678" spans="1:18">
      <c r="A678" s="217">
        <v>642</v>
      </c>
      <c r="B678" s="218">
        <v>550983</v>
      </c>
      <c r="C678" s="218" t="s">
        <v>7763</v>
      </c>
      <c r="D678" s="218" t="s">
        <v>7764</v>
      </c>
      <c r="E678" s="218" t="s">
        <v>8954</v>
      </c>
      <c r="F678" s="218" t="s">
        <v>7780</v>
      </c>
      <c r="G678" s="218" t="s">
        <v>7767</v>
      </c>
      <c r="H678" s="218">
        <v>2048</v>
      </c>
      <c r="I678" s="219">
        <v>53760000</v>
      </c>
      <c r="J678" s="219">
        <v>0</v>
      </c>
      <c r="K678" s="219">
        <v>53760000</v>
      </c>
      <c r="L678" s="218" t="s">
        <v>7768</v>
      </c>
      <c r="M678" s="218">
        <v>1</v>
      </c>
      <c r="N678" s="218" t="s">
        <v>8955</v>
      </c>
      <c r="O678" s="218" t="s">
        <v>3705</v>
      </c>
      <c r="P678" s="218">
        <v>399</v>
      </c>
      <c r="Q678" s="218" t="s">
        <v>7771</v>
      </c>
      <c r="R678" s="220">
        <v>104</v>
      </c>
    </row>
    <row r="679" spans="1:18">
      <c r="A679" s="217">
        <v>485</v>
      </c>
      <c r="B679" s="218">
        <v>518546</v>
      </c>
      <c r="C679" s="218" t="s">
        <v>335</v>
      </c>
      <c r="D679" s="218" t="s">
        <v>7778</v>
      </c>
      <c r="E679" s="218" t="s">
        <v>8677</v>
      </c>
      <c r="F679" s="218" t="s">
        <v>7780</v>
      </c>
      <c r="G679" s="218" t="s">
        <v>7767</v>
      </c>
      <c r="H679" s="218">
        <v>6144</v>
      </c>
      <c r="I679" s="219">
        <v>65000000</v>
      </c>
      <c r="J679" s="219">
        <v>-8450000</v>
      </c>
      <c r="K679" s="219">
        <v>56550000</v>
      </c>
      <c r="L679" s="218" t="s">
        <v>7781</v>
      </c>
      <c r="M679" s="218">
        <v>1</v>
      </c>
      <c r="N679" s="218" t="s">
        <v>8650</v>
      </c>
      <c r="O679" s="218" t="s">
        <v>3018</v>
      </c>
      <c r="P679" s="218">
        <v>399</v>
      </c>
      <c r="Q679" s="218" t="s">
        <v>7771</v>
      </c>
      <c r="R679" s="220">
        <v>100</v>
      </c>
    </row>
    <row r="680" spans="1:18">
      <c r="A680" s="217">
        <v>530</v>
      </c>
      <c r="B680" s="218">
        <v>405573</v>
      </c>
      <c r="C680" s="218" t="s">
        <v>335</v>
      </c>
      <c r="D680" s="218" t="s">
        <v>7778</v>
      </c>
      <c r="E680" s="218" t="s">
        <v>8754</v>
      </c>
      <c r="F680" s="218" t="s">
        <v>7780</v>
      </c>
      <c r="G680" s="218" t="s">
        <v>7767</v>
      </c>
      <c r="H680" s="218">
        <v>6144</v>
      </c>
      <c r="I680" s="219">
        <v>65000000</v>
      </c>
      <c r="J680" s="219">
        <v>-8450000</v>
      </c>
      <c r="K680" s="219">
        <v>56550000</v>
      </c>
      <c r="L680" s="218" t="s">
        <v>7781</v>
      </c>
      <c r="M680" s="218">
        <v>1</v>
      </c>
      <c r="N680" s="218" t="s">
        <v>3328</v>
      </c>
      <c r="O680" s="218" t="s">
        <v>933</v>
      </c>
      <c r="P680" s="218">
        <v>399</v>
      </c>
      <c r="Q680" s="218" t="s">
        <v>7771</v>
      </c>
      <c r="R680" s="220">
        <v>104</v>
      </c>
    </row>
    <row r="681" spans="1:18">
      <c r="A681" s="217">
        <v>560</v>
      </c>
      <c r="B681" s="218">
        <v>405572</v>
      </c>
      <c r="C681" s="218" t="s">
        <v>335</v>
      </c>
      <c r="D681" s="218" t="s">
        <v>7778</v>
      </c>
      <c r="E681" s="218" t="s">
        <v>8806</v>
      </c>
      <c r="F681" s="218" t="s">
        <v>7780</v>
      </c>
      <c r="G681" s="218" t="s">
        <v>7767</v>
      </c>
      <c r="H681" s="218">
        <v>6144</v>
      </c>
      <c r="I681" s="219">
        <v>65000000</v>
      </c>
      <c r="J681" s="219">
        <v>-8450000</v>
      </c>
      <c r="K681" s="219">
        <v>56550000</v>
      </c>
      <c r="L681" s="218" t="s">
        <v>7781</v>
      </c>
      <c r="M681" s="218">
        <v>1</v>
      </c>
      <c r="N681" s="218" t="s">
        <v>3213</v>
      </c>
      <c r="O681" s="218" t="s">
        <v>8796</v>
      </c>
      <c r="P681" s="218">
        <v>399</v>
      </c>
      <c r="Q681" s="218" t="s">
        <v>7771</v>
      </c>
      <c r="R681" s="220">
        <v>100</v>
      </c>
    </row>
    <row r="682" spans="1:18">
      <c r="A682" s="217">
        <v>627</v>
      </c>
      <c r="B682" s="218">
        <v>405576</v>
      </c>
      <c r="C682" s="218" t="s">
        <v>335</v>
      </c>
      <c r="D682" s="218" t="s">
        <v>7778</v>
      </c>
      <c r="E682" s="218" t="s">
        <v>8925</v>
      </c>
      <c r="F682" s="218" t="s">
        <v>7780</v>
      </c>
      <c r="G682" s="218" t="s">
        <v>7767</v>
      </c>
      <c r="H682" s="218">
        <v>6144</v>
      </c>
      <c r="I682" s="219">
        <v>65000000</v>
      </c>
      <c r="J682" s="219">
        <v>-8450000</v>
      </c>
      <c r="K682" s="219">
        <v>56550000</v>
      </c>
      <c r="L682" s="218" t="s">
        <v>7781</v>
      </c>
      <c r="M682" s="218">
        <v>1</v>
      </c>
      <c r="N682" s="218" t="s">
        <v>8926</v>
      </c>
      <c r="O682" s="218" t="s">
        <v>3705</v>
      </c>
      <c r="P682" s="218">
        <v>399</v>
      </c>
      <c r="Q682" s="218" t="s">
        <v>7771</v>
      </c>
      <c r="R682" s="220">
        <v>100</v>
      </c>
    </row>
    <row r="683" spans="1:18">
      <c r="A683" s="217">
        <v>123</v>
      </c>
      <c r="B683" s="218">
        <v>656706</v>
      </c>
      <c r="C683" s="218" t="s">
        <v>335</v>
      </c>
      <c r="D683" s="218" t="s">
        <v>7772</v>
      </c>
      <c r="E683" s="218" t="s">
        <v>8032</v>
      </c>
      <c r="F683" s="218" t="s">
        <v>8035</v>
      </c>
      <c r="G683" s="218" t="s">
        <v>7767</v>
      </c>
      <c r="H683" s="218">
        <v>40960</v>
      </c>
      <c r="I683" s="219">
        <v>63636363.636399999</v>
      </c>
      <c r="J683" s="219">
        <v>0</v>
      </c>
      <c r="K683" s="219">
        <v>63636363.636399999</v>
      </c>
      <c r="L683" s="218" t="s">
        <v>7781</v>
      </c>
      <c r="M683" s="218">
        <v>1</v>
      </c>
      <c r="N683" s="218" t="s">
        <v>8036</v>
      </c>
      <c r="O683" s="218" t="s">
        <v>7993</v>
      </c>
      <c r="P683" s="218">
        <v>399</v>
      </c>
      <c r="Q683" s="218" t="s">
        <v>7771</v>
      </c>
      <c r="R683" s="220">
        <v>100</v>
      </c>
    </row>
    <row r="684" spans="1:18">
      <c r="A684" s="217">
        <v>44</v>
      </c>
      <c r="B684" s="218">
        <v>518540</v>
      </c>
      <c r="C684" s="218" t="s">
        <v>335</v>
      </c>
      <c r="D684" s="218" t="s">
        <v>7778</v>
      </c>
      <c r="E684" s="218" t="s">
        <v>7860</v>
      </c>
      <c r="F684" s="218" t="s">
        <v>7861</v>
      </c>
      <c r="G684" s="218" t="s">
        <v>7767</v>
      </c>
      <c r="H684" s="218">
        <v>6144</v>
      </c>
      <c r="I684" s="219">
        <v>65000000</v>
      </c>
      <c r="J684" s="219">
        <v>0</v>
      </c>
      <c r="K684" s="219">
        <v>65000000</v>
      </c>
      <c r="L684" s="218" t="s">
        <v>7781</v>
      </c>
      <c r="M684" s="218">
        <v>1</v>
      </c>
      <c r="N684" s="218" t="s">
        <v>7862</v>
      </c>
      <c r="O684" s="218" t="s">
        <v>7841</v>
      </c>
      <c r="P684" s="218">
        <v>399</v>
      </c>
      <c r="Q684" s="218" t="s">
        <v>7771</v>
      </c>
      <c r="R684" s="220">
        <v>100</v>
      </c>
    </row>
    <row r="685" spans="1:18">
      <c r="A685" s="217">
        <v>326</v>
      </c>
      <c r="B685" s="218">
        <v>405575</v>
      </c>
      <c r="C685" s="218" t="s">
        <v>335</v>
      </c>
      <c r="D685" s="218" t="s">
        <v>7778</v>
      </c>
      <c r="E685" s="218" t="s">
        <v>8399</v>
      </c>
      <c r="F685" s="218" t="s">
        <v>8400</v>
      </c>
      <c r="G685" s="218" t="s">
        <v>7767</v>
      </c>
      <c r="H685" s="218">
        <v>6144</v>
      </c>
      <c r="I685" s="219">
        <v>65000000</v>
      </c>
      <c r="J685" s="219">
        <v>0</v>
      </c>
      <c r="K685" s="219">
        <v>65000000</v>
      </c>
      <c r="L685" s="218" t="s">
        <v>7781</v>
      </c>
      <c r="M685" s="218">
        <v>1</v>
      </c>
      <c r="N685" s="218" t="s">
        <v>7794</v>
      </c>
      <c r="O685" s="218" t="s">
        <v>1609</v>
      </c>
      <c r="P685" s="218">
        <v>399</v>
      </c>
      <c r="Q685" s="218" t="s">
        <v>7771</v>
      </c>
      <c r="R685" s="220">
        <v>100</v>
      </c>
    </row>
    <row r="686" spans="1:18">
      <c r="A686" s="217">
        <v>373</v>
      </c>
      <c r="B686" s="218">
        <v>40102411761</v>
      </c>
      <c r="C686" s="218" t="s">
        <v>335</v>
      </c>
      <c r="D686" s="218" t="s">
        <v>7778</v>
      </c>
      <c r="E686" s="218" t="s">
        <v>8486</v>
      </c>
      <c r="F686" s="218" t="s">
        <v>8486</v>
      </c>
      <c r="G686" s="218" t="s">
        <v>7767</v>
      </c>
      <c r="H686" s="218">
        <v>6144</v>
      </c>
      <c r="I686" s="219">
        <v>65000000</v>
      </c>
      <c r="J686" s="219">
        <v>0</v>
      </c>
      <c r="K686" s="219">
        <v>65000000</v>
      </c>
      <c r="L686" s="218" t="s">
        <v>7781</v>
      </c>
      <c r="M686" s="218">
        <v>1</v>
      </c>
      <c r="N686" s="218" t="s">
        <v>8487</v>
      </c>
      <c r="O686" s="218" t="s">
        <v>2476</v>
      </c>
      <c r="P686" s="218">
        <v>399</v>
      </c>
      <c r="Q686" s="218" t="s">
        <v>7771</v>
      </c>
      <c r="R686" s="220">
        <v>100</v>
      </c>
    </row>
    <row r="687" spans="1:18">
      <c r="A687" s="217">
        <v>438</v>
      </c>
      <c r="B687" s="218">
        <v>518544</v>
      </c>
      <c r="C687" s="218" t="s">
        <v>335</v>
      </c>
      <c r="D687" s="218" t="s">
        <v>7778</v>
      </c>
      <c r="E687" s="218" t="s">
        <v>8585</v>
      </c>
      <c r="F687" s="218" t="s">
        <v>8586</v>
      </c>
      <c r="G687" s="218" t="s">
        <v>7767</v>
      </c>
      <c r="H687" s="218">
        <v>6144</v>
      </c>
      <c r="I687" s="219">
        <v>65000000</v>
      </c>
      <c r="J687" s="219">
        <v>0</v>
      </c>
      <c r="K687" s="219">
        <v>65000000</v>
      </c>
      <c r="L687" s="218" t="s">
        <v>7781</v>
      </c>
      <c r="M687" s="218">
        <v>1</v>
      </c>
      <c r="N687" s="218" t="s">
        <v>8587</v>
      </c>
      <c r="O687" s="218" t="s">
        <v>2592</v>
      </c>
      <c r="P687" s="218">
        <v>399</v>
      </c>
      <c r="Q687" s="218" t="s">
        <v>7771</v>
      </c>
      <c r="R687" s="220">
        <v>100</v>
      </c>
    </row>
    <row r="688" spans="1:18">
      <c r="A688" s="217">
        <v>367</v>
      </c>
      <c r="B688" s="218">
        <v>9802191912</v>
      </c>
      <c r="C688" s="218" t="s">
        <v>4474</v>
      </c>
      <c r="D688" s="218" t="s">
        <v>7772</v>
      </c>
      <c r="E688" s="218" t="s">
        <v>8473</v>
      </c>
      <c r="F688" s="218" t="s">
        <v>8474</v>
      </c>
      <c r="G688" s="218" t="s">
        <v>7767</v>
      </c>
      <c r="H688" s="218">
        <v>30720</v>
      </c>
      <c r="I688" s="219">
        <v>76446000</v>
      </c>
      <c r="J688" s="219">
        <v>0</v>
      </c>
      <c r="K688" s="219">
        <v>76446000</v>
      </c>
      <c r="L688" s="218" t="s">
        <v>8475</v>
      </c>
      <c r="M688" s="218">
        <v>1</v>
      </c>
      <c r="N688" s="218" t="s">
        <v>8476</v>
      </c>
      <c r="O688" s="218" t="s">
        <v>2476</v>
      </c>
      <c r="P688" s="218">
        <v>399</v>
      </c>
      <c r="Q688" s="218" t="s">
        <v>7771</v>
      </c>
      <c r="R688" s="220">
        <v>100</v>
      </c>
    </row>
    <row r="689" spans="1:18">
      <c r="A689" s="217">
        <v>1</v>
      </c>
      <c r="B689" s="218">
        <v>40002282226</v>
      </c>
      <c r="C689" s="218" t="s">
        <v>7763</v>
      </c>
      <c r="D689" s="218" t="s">
        <v>7764</v>
      </c>
      <c r="E689" s="218" t="s">
        <v>7765</v>
      </c>
      <c r="F689" s="218" t="s">
        <v>7766</v>
      </c>
      <c r="G689" s="218" t="s">
        <v>7767</v>
      </c>
      <c r="H689" s="218">
        <v>4096</v>
      </c>
      <c r="I689" s="219">
        <v>76800000</v>
      </c>
      <c r="J689" s="219">
        <v>0</v>
      </c>
      <c r="K689" s="219">
        <v>76800000</v>
      </c>
      <c r="L689" s="218" t="s">
        <v>7768</v>
      </c>
      <c r="M689" s="218">
        <v>1</v>
      </c>
      <c r="N689" s="218" t="s">
        <v>7769</v>
      </c>
      <c r="O689" s="218" t="s">
        <v>7770</v>
      </c>
      <c r="P689" s="218">
        <v>399</v>
      </c>
      <c r="Q689" s="218" t="s">
        <v>7771</v>
      </c>
      <c r="R689" s="220">
        <v>104</v>
      </c>
    </row>
    <row r="690" spans="1:18">
      <c r="A690" s="217">
        <v>295</v>
      </c>
      <c r="B690" s="218">
        <v>25403583723</v>
      </c>
      <c r="C690" s="218" t="s">
        <v>7763</v>
      </c>
      <c r="D690" s="218" t="s">
        <v>7764</v>
      </c>
      <c r="E690" s="218" t="s">
        <v>8354</v>
      </c>
      <c r="F690" s="218" t="s">
        <v>8354</v>
      </c>
      <c r="G690" s="218" t="s">
        <v>7767</v>
      </c>
      <c r="H690" s="218">
        <v>4096</v>
      </c>
      <c r="I690" s="219">
        <v>76800000</v>
      </c>
      <c r="J690" s="219">
        <v>0</v>
      </c>
      <c r="K690" s="219">
        <v>76800000</v>
      </c>
      <c r="L690" s="218" t="s">
        <v>7768</v>
      </c>
      <c r="M690" s="218">
        <v>1</v>
      </c>
      <c r="N690" s="218" t="s">
        <v>8355</v>
      </c>
      <c r="O690" s="218" t="s">
        <v>8347</v>
      </c>
      <c r="P690" s="218">
        <v>399</v>
      </c>
      <c r="Q690" s="218" t="s">
        <v>7771</v>
      </c>
      <c r="R690" s="220">
        <v>104</v>
      </c>
    </row>
    <row r="691" spans="1:18">
      <c r="A691" s="217">
        <v>283</v>
      </c>
      <c r="B691" s="218">
        <v>573253</v>
      </c>
      <c r="C691" s="218" t="s">
        <v>107</v>
      </c>
      <c r="D691" s="218" t="s">
        <v>7778</v>
      </c>
      <c r="E691" s="218" t="s">
        <v>8332</v>
      </c>
      <c r="F691" s="218" t="s">
        <v>7790</v>
      </c>
      <c r="G691" s="218" t="s">
        <v>7767</v>
      </c>
      <c r="H691" s="218">
        <v>8192</v>
      </c>
      <c r="I691" s="219">
        <v>78000000</v>
      </c>
      <c r="J691" s="219">
        <v>0</v>
      </c>
      <c r="K691" s="219">
        <v>78000000</v>
      </c>
      <c r="L691" s="218" t="s">
        <v>7791</v>
      </c>
      <c r="M691" s="218">
        <v>1</v>
      </c>
      <c r="N691" s="218" t="s">
        <v>7794</v>
      </c>
      <c r="O691" s="218" t="s">
        <v>7993</v>
      </c>
      <c r="P691" s="218">
        <v>399</v>
      </c>
      <c r="Q691" s="218" t="s">
        <v>7771</v>
      </c>
      <c r="R691" s="220">
        <v>100</v>
      </c>
    </row>
    <row r="692" spans="1:18">
      <c r="A692" s="217">
        <v>369</v>
      </c>
      <c r="B692" s="218">
        <v>9802192165</v>
      </c>
      <c r="C692" s="218" t="s">
        <v>335</v>
      </c>
      <c r="D692" s="218" t="s">
        <v>7778</v>
      </c>
      <c r="E692" s="218" t="s">
        <v>7926</v>
      </c>
      <c r="F692" s="218" t="s">
        <v>8479</v>
      </c>
      <c r="G692" s="218" t="s">
        <v>7767</v>
      </c>
      <c r="H692" s="218">
        <v>8192</v>
      </c>
      <c r="I692" s="219">
        <v>78000000</v>
      </c>
      <c r="J692" s="219">
        <v>0</v>
      </c>
      <c r="K692" s="219">
        <v>78000000</v>
      </c>
      <c r="L692" s="218" t="s">
        <v>7781</v>
      </c>
      <c r="M692" s="218">
        <v>1</v>
      </c>
      <c r="N692" s="218" t="s">
        <v>8480</v>
      </c>
      <c r="O692" s="218" t="s">
        <v>2476</v>
      </c>
      <c r="P692" s="218">
        <v>399</v>
      </c>
      <c r="Q692" s="218" t="s">
        <v>7771</v>
      </c>
      <c r="R692" s="220">
        <v>100</v>
      </c>
    </row>
    <row r="693" spans="1:18">
      <c r="A693" s="217">
        <v>72</v>
      </c>
      <c r="B693" s="218">
        <v>640540</v>
      </c>
      <c r="C693" s="218" t="s">
        <v>335</v>
      </c>
      <c r="D693" s="218" t="s">
        <v>7917</v>
      </c>
      <c r="E693" s="218" t="s">
        <v>7918</v>
      </c>
      <c r="F693" s="218" t="s">
        <v>7919</v>
      </c>
      <c r="G693" s="218" t="s">
        <v>7767</v>
      </c>
      <c r="H693" s="218">
        <v>10240</v>
      </c>
      <c r="I693" s="219">
        <v>82333333.333299994</v>
      </c>
      <c r="J693" s="219">
        <v>0</v>
      </c>
      <c r="K693" s="219">
        <v>82333333.333299994</v>
      </c>
      <c r="L693" s="218" t="s">
        <v>7781</v>
      </c>
      <c r="M693" s="218">
        <v>1</v>
      </c>
      <c r="N693" s="218" t="s">
        <v>7920</v>
      </c>
      <c r="O693" s="218" t="s">
        <v>423</v>
      </c>
      <c r="P693" s="218">
        <v>399</v>
      </c>
      <c r="Q693" s="218" t="s">
        <v>7771</v>
      </c>
      <c r="R693" s="220">
        <v>100</v>
      </c>
    </row>
    <row r="694" spans="1:18">
      <c r="A694" s="217">
        <v>317</v>
      </c>
      <c r="B694" s="218">
        <v>40002351430</v>
      </c>
      <c r="C694" s="218" t="s">
        <v>7763</v>
      </c>
      <c r="D694" s="218" t="s">
        <v>7764</v>
      </c>
      <c r="E694" s="218" t="s">
        <v>8391</v>
      </c>
      <c r="F694" s="218" t="s">
        <v>8392</v>
      </c>
      <c r="G694" s="218" t="s">
        <v>7767</v>
      </c>
      <c r="H694" s="218">
        <v>6144</v>
      </c>
      <c r="I694" s="219">
        <v>96000000</v>
      </c>
      <c r="J694" s="219">
        <v>0</v>
      </c>
      <c r="K694" s="219">
        <v>96000000</v>
      </c>
      <c r="L694" s="218" t="s">
        <v>7768</v>
      </c>
      <c r="M694" s="218">
        <v>1</v>
      </c>
      <c r="N694" s="218" t="s">
        <v>8393</v>
      </c>
      <c r="O694" s="218" t="s">
        <v>1609</v>
      </c>
      <c r="P694" s="218">
        <v>399</v>
      </c>
      <c r="Q694" s="218" t="s">
        <v>7771</v>
      </c>
      <c r="R694" s="220">
        <v>104</v>
      </c>
    </row>
    <row r="695" spans="1:18">
      <c r="A695" s="217">
        <v>575</v>
      </c>
      <c r="B695" s="218">
        <v>573060</v>
      </c>
      <c r="C695" s="218" t="s">
        <v>7763</v>
      </c>
      <c r="D695" s="218" t="s">
        <v>7764</v>
      </c>
      <c r="E695" s="218" t="s">
        <v>8833</v>
      </c>
      <c r="F695" s="218" t="s">
        <v>8834</v>
      </c>
      <c r="G695" s="218" t="s">
        <v>7767</v>
      </c>
      <c r="H695" s="218">
        <v>6144</v>
      </c>
      <c r="I695" s="219">
        <v>96000000</v>
      </c>
      <c r="J695" s="219">
        <v>0</v>
      </c>
      <c r="K695" s="219">
        <v>96000000</v>
      </c>
      <c r="L695" s="218" t="s">
        <v>7768</v>
      </c>
      <c r="M695" s="218">
        <v>1</v>
      </c>
      <c r="N695" s="218" t="s">
        <v>8835</v>
      </c>
      <c r="O695" s="218" t="s">
        <v>8796</v>
      </c>
      <c r="P695" s="218">
        <v>399</v>
      </c>
      <c r="Q695" s="218" t="s">
        <v>7771</v>
      </c>
      <c r="R695" s="220">
        <v>104</v>
      </c>
    </row>
    <row r="696" spans="1:18">
      <c r="A696" s="217">
        <v>10</v>
      </c>
      <c r="B696" s="218">
        <v>541758</v>
      </c>
      <c r="C696" s="218" t="s">
        <v>7763</v>
      </c>
      <c r="D696" s="218" t="s">
        <v>7764</v>
      </c>
      <c r="E696" s="218" t="s">
        <v>7795</v>
      </c>
      <c r="F696" s="218" t="s">
        <v>7796</v>
      </c>
      <c r="G696" s="218" t="s">
        <v>7767</v>
      </c>
      <c r="H696" s="218">
        <v>8192</v>
      </c>
      <c r="I696" s="219">
        <v>115200000</v>
      </c>
      <c r="J696" s="219">
        <v>0</v>
      </c>
      <c r="K696" s="219">
        <v>115200000</v>
      </c>
      <c r="L696" s="218" t="s">
        <v>7768</v>
      </c>
      <c r="M696" s="218">
        <v>1</v>
      </c>
      <c r="N696" s="218" t="s">
        <v>7797</v>
      </c>
      <c r="O696" s="218" t="s">
        <v>267</v>
      </c>
      <c r="P696" s="218">
        <v>399</v>
      </c>
      <c r="Q696" s="218" t="s">
        <v>7771</v>
      </c>
      <c r="R696" s="220">
        <v>104</v>
      </c>
    </row>
    <row r="697" spans="1:18">
      <c r="A697" s="217">
        <v>529</v>
      </c>
      <c r="B697" s="218">
        <v>40102368739</v>
      </c>
      <c r="C697" s="218" t="s">
        <v>7763</v>
      </c>
      <c r="D697" s="218" t="s">
        <v>7764</v>
      </c>
      <c r="E697" s="218" t="s">
        <v>8751</v>
      </c>
      <c r="F697" s="218" t="s">
        <v>8752</v>
      </c>
      <c r="G697" s="218" t="s">
        <v>7767</v>
      </c>
      <c r="H697" s="218">
        <v>10240</v>
      </c>
      <c r="I697" s="219">
        <v>121600000</v>
      </c>
      <c r="J697" s="219">
        <v>0</v>
      </c>
      <c r="K697" s="219">
        <v>121600000</v>
      </c>
      <c r="L697" s="218" t="s">
        <v>7768</v>
      </c>
      <c r="M697" s="218">
        <v>1</v>
      </c>
      <c r="N697" s="218" t="s">
        <v>8753</v>
      </c>
      <c r="O697" s="218" t="s">
        <v>933</v>
      </c>
      <c r="P697" s="218">
        <v>399</v>
      </c>
      <c r="Q697" s="218" t="s">
        <v>7771</v>
      </c>
      <c r="R697" s="220">
        <v>104</v>
      </c>
    </row>
    <row r="698" spans="1:18">
      <c r="A698" s="217">
        <v>246</v>
      </c>
      <c r="B698" s="218">
        <v>381077</v>
      </c>
      <c r="C698" s="218" t="s">
        <v>7763</v>
      </c>
      <c r="D698" s="218" t="s">
        <v>7764</v>
      </c>
      <c r="E698" s="218" t="s">
        <v>8266</v>
      </c>
      <c r="F698" s="218" t="s">
        <v>8267</v>
      </c>
      <c r="G698" s="218" t="s">
        <v>7767</v>
      </c>
      <c r="H698" s="218">
        <v>20416</v>
      </c>
      <c r="I698" s="219">
        <v>153400000</v>
      </c>
      <c r="J698" s="219">
        <v>0</v>
      </c>
      <c r="K698" s="219">
        <v>153400000</v>
      </c>
      <c r="L698" s="218" t="s">
        <v>7768</v>
      </c>
      <c r="M698" s="218">
        <v>1</v>
      </c>
      <c r="N698" s="218" t="s">
        <v>8268</v>
      </c>
      <c r="O698" s="218" t="s">
        <v>7993</v>
      </c>
      <c r="P698" s="218">
        <v>399</v>
      </c>
      <c r="Q698" s="218" t="s">
        <v>7771</v>
      </c>
      <c r="R698" s="220">
        <v>104</v>
      </c>
    </row>
    <row r="699" spans="1:18">
      <c r="A699" s="217">
        <v>73</v>
      </c>
      <c r="B699" s="218">
        <v>661840</v>
      </c>
      <c r="C699" s="218" t="s">
        <v>335</v>
      </c>
      <c r="D699" s="218" t="s">
        <v>7917</v>
      </c>
      <c r="E699" s="218" t="s">
        <v>7921</v>
      </c>
      <c r="F699" s="218" t="s">
        <v>7922</v>
      </c>
      <c r="G699" s="218" t="s">
        <v>7767</v>
      </c>
      <c r="H699" s="218">
        <v>51200</v>
      </c>
      <c r="I699" s="219">
        <v>155606060.60609999</v>
      </c>
      <c r="J699" s="219">
        <v>0</v>
      </c>
      <c r="K699" s="219">
        <v>155606060.60609999</v>
      </c>
      <c r="L699" s="218" t="s">
        <v>7781</v>
      </c>
      <c r="M699" s="218">
        <v>1</v>
      </c>
      <c r="N699" s="218" t="s">
        <v>15768</v>
      </c>
      <c r="O699" s="218" t="s">
        <v>423</v>
      </c>
      <c r="P699" s="218">
        <v>399</v>
      </c>
      <c r="Q699" s="218" t="s">
        <v>7771</v>
      </c>
      <c r="R699" s="220">
        <v>100</v>
      </c>
    </row>
    <row r="700" spans="1:18">
      <c r="A700" s="217">
        <v>77</v>
      </c>
      <c r="B700" s="218">
        <v>40202482762</v>
      </c>
      <c r="C700" s="218" t="s">
        <v>335</v>
      </c>
      <c r="D700" s="218" t="s">
        <v>7778</v>
      </c>
      <c r="E700" s="218" t="s">
        <v>7931</v>
      </c>
      <c r="F700" s="218" t="s">
        <v>7932</v>
      </c>
      <c r="G700" s="218" t="s">
        <v>7767</v>
      </c>
      <c r="H700" s="218">
        <v>51200</v>
      </c>
      <c r="I700" s="219">
        <v>155606060.60609999</v>
      </c>
      <c r="J700" s="219">
        <v>0</v>
      </c>
      <c r="K700" s="219">
        <v>155606060.60609999</v>
      </c>
      <c r="L700" s="218" t="s">
        <v>7781</v>
      </c>
      <c r="M700" s="218">
        <v>1</v>
      </c>
      <c r="N700" s="218" t="s">
        <v>7933</v>
      </c>
      <c r="O700" s="218" t="s">
        <v>423</v>
      </c>
      <c r="P700" s="218">
        <v>399</v>
      </c>
      <c r="Q700" s="218" t="s">
        <v>7771</v>
      </c>
      <c r="R700" s="220">
        <v>100</v>
      </c>
    </row>
    <row r="701" spans="1:18">
      <c r="A701" s="217">
        <v>78</v>
      </c>
      <c r="B701" s="218">
        <v>529306</v>
      </c>
      <c r="C701" s="218" t="s">
        <v>335</v>
      </c>
      <c r="D701" s="218" t="s">
        <v>7778</v>
      </c>
      <c r="E701" s="218" t="s">
        <v>7934</v>
      </c>
      <c r="F701" s="218" t="s">
        <v>7935</v>
      </c>
      <c r="G701" s="218" t="s">
        <v>7767</v>
      </c>
      <c r="H701" s="218">
        <v>51200</v>
      </c>
      <c r="I701" s="219">
        <v>155606060.60609999</v>
      </c>
      <c r="J701" s="219">
        <v>0</v>
      </c>
      <c r="K701" s="219">
        <v>155606060.60609999</v>
      </c>
      <c r="L701" s="218" t="s">
        <v>7781</v>
      </c>
      <c r="M701" s="218">
        <v>1</v>
      </c>
      <c r="N701" s="218" t="s">
        <v>7794</v>
      </c>
      <c r="O701" s="218" t="s">
        <v>423</v>
      </c>
      <c r="P701" s="218">
        <v>399</v>
      </c>
      <c r="Q701" s="218" t="s">
        <v>7771</v>
      </c>
      <c r="R701" s="220">
        <v>100</v>
      </c>
    </row>
    <row r="702" spans="1:18">
      <c r="A702" s="217">
        <v>253</v>
      </c>
      <c r="B702" s="218">
        <v>405571</v>
      </c>
      <c r="C702" s="218" t="s">
        <v>335</v>
      </c>
      <c r="D702" s="218" t="s">
        <v>7917</v>
      </c>
      <c r="E702" s="218" t="s">
        <v>8279</v>
      </c>
      <c r="F702" s="218" t="s">
        <v>8280</v>
      </c>
      <c r="G702" s="218" t="s">
        <v>7767</v>
      </c>
      <c r="H702" s="218">
        <v>51200</v>
      </c>
      <c r="I702" s="219">
        <v>155606060.60609999</v>
      </c>
      <c r="J702" s="219">
        <v>0</v>
      </c>
      <c r="K702" s="219">
        <v>155606060.60609999</v>
      </c>
      <c r="L702" s="218" t="s">
        <v>7781</v>
      </c>
      <c r="M702" s="218">
        <v>1</v>
      </c>
      <c r="N702" s="218" t="s">
        <v>8281</v>
      </c>
      <c r="O702" s="218" t="s">
        <v>7993</v>
      </c>
      <c r="P702" s="218">
        <v>399</v>
      </c>
      <c r="Q702" s="218" t="s">
        <v>7771</v>
      </c>
      <c r="R702" s="220">
        <v>100</v>
      </c>
    </row>
    <row r="703" spans="1:18">
      <c r="A703" s="217">
        <v>371</v>
      </c>
      <c r="B703" s="218">
        <v>25402236942</v>
      </c>
      <c r="C703" s="218" t="s">
        <v>335</v>
      </c>
      <c r="D703" s="218" t="s">
        <v>7778</v>
      </c>
      <c r="E703" s="218" t="s">
        <v>8481</v>
      </c>
      <c r="F703" s="218" t="s">
        <v>8482</v>
      </c>
      <c r="G703" s="218" t="s">
        <v>7767</v>
      </c>
      <c r="H703" s="218">
        <v>51200</v>
      </c>
      <c r="I703" s="219">
        <v>155606060.60609999</v>
      </c>
      <c r="J703" s="219">
        <v>0</v>
      </c>
      <c r="K703" s="219">
        <v>155606060.60609999</v>
      </c>
      <c r="L703" s="218" t="s">
        <v>7781</v>
      </c>
      <c r="M703" s="218">
        <v>1</v>
      </c>
      <c r="N703" s="218" t="s">
        <v>8483</v>
      </c>
      <c r="O703" s="218" t="s">
        <v>2476</v>
      </c>
      <c r="P703" s="218">
        <v>399</v>
      </c>
      <c r="Q703" s="218" t="s">
        <v>7771</v>
      </c>
      <c r="R703" s="220">
        <v>100</v>
      </c>
    </row>
    <row r="704" spans="1:18">
      <c r="A704" s="217">
        <v>79</v>
      </c>
      <c r="B704" s="218">
        <v>608348</v>
      </c>
      <c r="C704" s="218" t="s">
        <v>335</v>
      </c>
      <c r="D704" s="218" t="s">
        <v>7917</v>
      </c>
      <c r="E704" s="218" t="s">
        <v>7936</v>
      </c>
      <c r="F704" s="218" t="s">
        <v>7831</v>
      </c>
      <c r="G704" s="218" t="s">
        <v>7767</v>
      </c>
      <c r="H704" s="218">
        <v>102400</v>
      </c>
      <c r="I704" s="219">
        <v>195000000</v>
      </c>
      <c r="J704" s="219">
        <v>0</v>
      </c>
      <c r="K704" s="219">
        <v>195000000</v>
      </c>
      <c r="L704" s="218" t="s">
        <v>7781</v>
      </c>
      <c r="M704" s="218">
        <v>1</v>
      </c>
      <c r="N704" s="218" t="s">
        <v>7937</v>
      </c>
      <c r="O704" s="218" t="s">
        <v>423</v>
      </c>
      <c r="P704" s="218">
        <v>399</v>
      </c>
      <c r="Q704" s="218" t="s">
        <v>7771</v>
      </c>
      <c r="R704" s="220">
        <v>100</v>
      </c>
    </row>
    <row r="705" spans="1:18">
      <c r="A705" s="217">
        <v>374</v>
      </c>
      <c r="B705" s="218">
        <v>405577</v>
      </c>
      <c r="C705" s="218" t="s">
        <v>335</v>
      </c>
      <c r="D705" s="218" t="s">
        <v>7778</v>
      </c>
      <c r="E705" s="218" t="s">
        <v>8488</v>
      </c>
      <c r="F705" s="218" t="s">
        <v>8123</v>
      </c>
      <c r="G705" s="218" t="s">
        <v>7767</v>
      </c>
      <c r="H705" s="218">
        <v>104448</v>
      </c>
      <c r="I705" s="219">
        <v>197836363.63640001</v>
      </c>
      <c r="J705" s="219">
        <v>0</v>
      </c>
      <c r="K705" s="219">
        <v>197836363.63640001</v>
      </c>
      <c r="L705" s="218" t="s">
        <v>7781</v>
      </c>
      <c r="M705" s="218">
        <v>1</v>
      </c>
      <c r="N705" s="218" t="s">
        <v>2476</v>
      </c>
      <c r="O705" s="218" t="s">
        <v>2476</v>
      </c>
      <c r="P705" s="218">
        <v>399</v>
      </c>
      <c r="Q705" s="218" t="s">
        <v>7771</v>
      </c>
      <c r="R705" s="220">
        <v>100</v>
      </c>
    </row>
    <row r="706" spans="1:18">
      <c r="A706" s="217">
        <v>74</v>
      </c>
      <c r="B706" s="218">
        <v>9602018015</v>
      </c>
      <c r="C706" s="218" t="s">
        <v>335</v>
      </c>
      <c r="D706" s="218" t="s">
        <v>7917</v>
      </c>
      <c r="E706" s="218" t="s">
        <v>7923</v>
      </c>
      <c r="F706" s="218" t="s">
        <v>7924</v>
      </c>
      <c r="G706" s="218" t="s">
        <v>7767</v>
      </c>
      <c r="H706" s="218">
        <v>204800</v>
      </c>
      <c r="I706" s="219">
        <v>352258064.51609999</v>
      </c>
      <c r="J706" s="219">
        <v>0</v>
      </c>
      <c r="K706" s="219">
        <v>352258064.51609999</v>
      </c>
      <c r="L706" s="218" t="s">
        <v>7781</v>
      </c>
      <c r="M706" s="218">
        <v>1</v>
      </c>
      <c r="N706" s="218" t="s">
        <v>7925</v>
      </c>
      <c r="O706" s="218" t="s">
        <v>423</v>
      </c>
      <c r="P706" s="218">
        <v>399</v>
      </c>
      <c r="Q706" s="218" t="s">
        <v>7771</v>
      </c>
      <c r="R706" s="220">
        <v>100</v>
      </c>
    </row>
    <row r="707" spans="1:18">
      <c r="A707" s="217">
        <v>75</v>
      </c>
      <c r="B707" s="218">
        <v>9802193249</v>
      </c>
      <c r="C707" s="218" t="s">
        <v>335</v>
      </c>
      <c r="D707" s="218" t="s">
        <v>7778</v>
      </c>
      <c r="E707" s="218" t="s">
        <v>7926</v>
      </c>
      <c r="F707" s="218" t="s">
        <v>7927</v>
      </c>
      <c r="G707" s="218" t="s">
        <v>7767</v>
      </c>
      <c r="H707" s="218">
        <v>307200</v>
      </c>
      <c r="I707" s="219">
        <v>528387096.77420002</v>
      </c>
      <c r="J707" s="219">
        <v>0</v>
      </c>
      <c r="K707" s="219">
        <v>528387096.77420002</v>
      </c>
      <c r="L707" s="218" t="s">
        <v>7781</v>
      </c>
      <c r="M707" s="218">
        <v>1</v>
      </c>
      <c r="N707" s="218" t="s">
        <v>7928</v>
      </c>
      <c r="O707" s="218" t="s">
        <v>423</v>
      </c>
      <c r="P707" s="218">
        <v>399</v>
      </c>
      <c r="Q707" s="218" t="s">
        <v>7771</v>
      </c>
      <c r="R707" s="220">
        <v>100</v>
      </c>
    </row>
    <row r="708" spans="1:18">
      <c r="A708" s="217">
        <v>370</v>
      </c>
      <c r="B708" s="218">
        <v>9802195510</v>
      </c>
      <c r="C708" s="218" t="s">
        <v>335</v>
      </c>
      <c r="D708" s="218" t="s">
        <v>7778</v>
      </c>
      <c r="E708" s="218" t="s">
        <v>7805</v>
      </c>
      <c r="F708" s="218" t="s">
        <v>7927</v>
      </c>
      <c r="G708" s="218" t="s">
        <v>7767</v>
      </c>
      <c r="H708" s="218">
        <v>307200</v>
      </c>
      <c r="I708" s="219">
        <v>528387096.77420002</v>
      </c>
      <c r="J708" s="219">
        <v>0</v>
      </c>
      <c r="K708" s="219">
        <v>528387096.77420002</v>
      </c>
      <c r="L708" s="218" t="s">
        <v>7781</v>
      </c>
      <c r="M708" s="218">
        <v>1</v>
      </c>
      <c r="N708" s="218" t="s">
        <v>8480</v>
      </c>
      <c r="O708" s="218" t="s">
        <v>2476</v>
      </c>
      <c r="P708" s="218">
        <v>399</v>
      </c>
      <c r="Q708" s="218" t="s">
        <v>7771</v>
      </c>
      <c r="R708" s="220">
        <v>100</v>
      </c>
    </row>
    <row r="709" spans="1:18">
      <c r="A709" s="217">
        <v>372</v>
      </c>
      <c r="B709" s="218">
        <v>25404237604</v>
      </c>
      <c r="C709" s="218" t="s">
        <v>107</v>
      </c>
      <c r="D709" s="218" t="s">
        <v>7778</v>
      </c>
      <c r="E709" s="218" t="s">
        <v>8484</v>
      </c>
      <c r="F709" s="218" t="s">
        <v>7790</v>
      </c>
      <c r="G709" s="218" t="s">
        <v>7767</v>
      </c>
      <c r="H709" s="218">
        <v>307200</v>
      </c>
      <c r="I709" s="219">
        <v>528387096.77420002</v>
      </c>
      <c r="J709" s="219">
        <v>0</v>
      </c>
      <c r="K709" s="219">
        <v>528387096.77420002</v>
      </c>
      <c r="L709" s="218" t="s">
        <v>7791</v>
      </c>
      <c r="M709" s="218">
        <v>1</v>
      </c>
      <c r="N709" s="218" t="s">
        <v>8485</v>
      </c>
      <c r="O709" s="218" t="s">
        <v>2476</v>
      </c>
      <c r="P709" s="218">
        <v>399</v>
      </c>
      <c r="Q709" s="218" t="s">
        <v>7771</v>
      </c>
      <c r="R709" s="220">
        <v>100</v>
      </c>
    </row>
    <row r="710" spans="1:18" ht="15.75" thickBot="1">
      <c r="A710" s="221">
        <v>659</v>
      </c>
      <c r="B710" s="222">
        <v>40102373137</v>
      </c>
      <c r="C710" s="222" t="s">
        <v>8982</v>
      </c>
      <c r="D710" s="222" t="s">
        <v>7778</v>
      </c>
      <c r="E710" s="222" t="s">
        <v>8983</v>
      </c>
      <c r="F710" s="222" t="s">
        <v>8984</v>
      </c>
      <c r="G710" s="222" t="s">
        <v>7767</v>
      </c>
      <c r="H710" s="222">
        <v>1048576</v>
      </c>
      <c r="I710" s="223">
        <v>18035612903</v>
      </c>
      <c r="J710" s="223">
        <v>0</v>
      </c>
      <c r="K710" s="223">
        <v>18035612903</v>
      </c>
      <c r="L710" s="222" t="s">
        <v>7768</v>
      </c>
      <c r="M710" s="222">
        <v>1</v>
      </c>
      <c r="N710" s="222" t="s">
        <v>8985</v>
      </c>
      <c r="O710" s="222" t="s">
        <v>8986</v>
      </c>
      <c r="P710" s="222">
        <v>399</v>
      </c>
      <c r="Q710" s="222" t="s">
        <v>7771</v>
      </c>
      <c r="R710" s="224">
        <v>104</v>
      </c>
    </row>
    <row r="711" spans="1:18" ht="15.75" thickTop="1"/>
  </sheetData>
  <autoFilter ref="A1:R710"/>
  <sortState ref="A2:R710">
    <sortCondition ref="K73:K710"/>
  </sortState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rightToLeft="1" topLeftCell="A40" workbookViewId="0">
      <selection activeCell="C24" sqref="C24:C25"/>
    </sheetView>
  </sheetViews>
  <sheetFormatPr defaultRowHeight="15"/>
  <cols>
    <col min="2" max="2" width="33.42578125" customWidth="1"/>
    <col min="3" max="3" width="22.7109375" customWidth="1"/>
    <col min="4" max="4" width="29.85546875" customWidth="1"/>
    <col min="5" max="5" width="26.85546875" customWidth="1"/>
    <col min="6" max="6" width="78.5703125" customWidth="1"/>
    <col min="10" max="10" width="28" customWidth="1"/>
  </cols>
  <sheetData>
    <row r="1" spans="1:6" ht="17.25">
      <c r="A1" s="539" t="s">
        <v>11182</v>
      </c>
      <c r="B1" s="539" t="s">
        <v>5356</v>
      </c>
      <c r="C1" s="539" t="s">
        <v>11980</v>
      </c>
      <c r="D1" s="539" t="s">
        <v>11981</v>
      </c>
      <c r="E1" s="540" t="s">
        <v>5100</v>
      </c>
      <c r="F1" s="541" t="s">
        <v>4406</v>
      </c>
    </row>
    <row r="2" spans="1:6" ht="17.25">
      <c r="A2" s="1949">
        <v>235</v>
      </c>
      <c r="B2" s="1949" t="s">
        <v>11982</v>
      </c>
      <c r="C2" s="1949" t="s">
        <v>11983</v>
      </c>
      <c r="D2" s="1949" t="s">
        <v>11984</v>
      </c>
      <c r="E2" s="542" t="s">
        <v>51</v>
      </c>
      <c r="F2" s="543" t="s">
        <v>11985</v>
      </c>
    </row>
    <row r="3" spans="1:6" ht="17.25">
      <c r="A3" s="1953"/>
      <c r="B3" s="1953"/>
      <c r="C3" s="1953"/>
      <c r="D3" s="1953"/>
      <c r="E3" s="544" t="s">
        <v>1158</v>
      </c>
      <c r="F3" s="543" t="s">
        <v>11985</v>
      </c>
    </row>
    <row r="4" spans="1:6" ht="17.25">
      <c r="A4" s="1957">
        <v>214</v>
      </c>
      <c r="B4" s="1957" t="s">
        <v>1729</v>
      </c>
      <c r="C4" s="1957" t="s">
        <v>11983</v>
      </c>
      <c r="D4" s="1957" t="s">
        <v>11984</v>
      </c>
      <c r="E4" s="542" t="s">
        <v>51</v>
      </c>
      <c r="F4" s="543" t="s">
        <v>11986</v>
      </c>
    </row>
    <row r="5" spans="1:6" ht="17.25">
      <c r="A5" s="1958"/>
      <c r="B5" s="1958"/>
      <c r="C5" s="1958"/>
      <c r="D5" s="1958"/>
      <c r="E5" s="544" t="s">
        <v>1158</v>
      </c>
      <c r="F5" s="543" t="s">
        <v>11985</v>
      </c>
    </row>
    <row r="6" spans="1:6" ht="17.25">
      <c r="A6" s="1949">
        <v>224</v>
      </c>
      <c r="B6" s="1949" t="s">
        <v>11987</v>
      </c>
      <c r="C6" s="1949" t="s">
        <v>11983</v>
      </c>
      <c r="D6" s="1949" t="s">
        <v>11984</v>
      </c>
      <c r="E6" s="542" t="s">
        <v>51</v>
      </c>
      <c r="F6" s="543" t="s">
        <v>11986</v>
      </c>
    </row>
    <row r="7" spans="1:6" ht="17.25">
      <c r="A7" s="1953"/>
      <c r="B7" s="1953"/>
      <c r="C7" s="1953"/>
      <c r="D7" s="1953"/>
      <c r="E7" s="544" t="s">
        <v>1158</v>
      </c>
      <c r="F7" s="543" t="s">
        <v>11985</v>
      </c>
    </row>
    <row r="8" spans="1:6" ht="17.25">
      <c r="A8" s="1957">
        <v>264</v>
      </c>
      <c r="B8" s="1957" t="s">
        <v>1895</v>
      </c>
      <c r="C8" s="1957" t="s">
        <v>11983</v>
      </c>
      <c r="D8" s="1957" t="s">
        <v>11984</v>
      </c>
      <c r="E8" s="542" t="s">
        <v>51</v>
      </c>
      <c r="F8" s="543" t="s">
        <v>11988</v>
      </c>
    </row>
    <row r="9" spans="1:6" ht="17.25">
      <c r="A9" s="1958"/>
      <c r="B9" s="1958"/>
      <c r="C9" s="1958"/>
      <c r="D9" s="1958"/>
      <c r="E9" s="544" t="s">
        <v>1158</v>
      </c>
      <c r="F9" s="543" t="s">
        <v>11985</v>
      </c>
    </row>
    <row r="10" spans="1:6" ht="17.25">
      <c r="A10" s="1949">
        <v>274</v>
      </c>
      <c r="B10" s="1949" t="s">
        <v>11989</v>
      </c>
      <c r="C10" s="1949" t="s">
        <v>11983</v>
      </c>
      <c r="D10" s="1949" t="s">
        <v>11984</v>
      </c>
      <c r="E10" s="542" t="s">
        <v>51</v>
      </c>
      <c r="F10" s="543" t="s">
        <v>11985</v>
      </c>
    </row>
    <row r="11" spans="1:6" ht="17.25">
      <c r="A11" s="1950"/>
      <c r="B11" s="1950"/>
      <c r="C11" s="1950"/>
      <c r="D11" s="1950"/>
      <c r="E11" s="544" t="s">
        <v>1158</v>
      </c>
      <c r="F11" s="543" t="s">
        <v>11990</v>
      </c>
    </row>
    <row r="12" spans="1:6" ht="17.25">
      <c r="A12" s="1957">
        <v>292</v>
      </c>
      <c r="B12" s="1957" t="s">
        <v>1932</v>
      </c>
      <c r="C12" s="1957" t="s">
        <v>11983</v>
      </c>
      <c r="D12" s="1957" t="s">
        <v>11984</v>
      </c>
      <c r="E12" s="542" t="s">
        <v>51</v>
      </c>
      <c r="F12" s="543" t="s">
        <v>11988</v>
      </c>
    </row>
    <row r="13" spans="1:6" ht="17.25">
      <c r="A13" s="1958"/>
      <c r="B13" s="1958"/>
      <c r="C13" s="1958"/>
      <c r="D13" s="1958"/>
      <c r="E13" s="544" t="s">
        <v>1158</v>
      </c>
      <c r="F13" s="543" t="s">
        <v>11985</v>
      </c>
    </row>
    <row r="14" spans="1:6" ht="17.25">
      <c r="A14" s="1949">
        <v>474</v>
      </c>
      <c r="B14" s="1949" t="s">
        <v>11991</v>
      </c>
      <c r="C14" s="1949" t="s">
        <v>11983</v>
      </c>
      <c r="D14" s="1964" t="s">
        <v>11984</v>
      </c>
      <c r="E14" s="542" t="s">
        <v>51</v>
      </c>
      <c r="F14" s="543" t="s">
        <v>11985</v>
      </c>
    </row>
    <row r="15" spans="1:6" ht="17.25">
      <c r="A15" s="1950"/>
      <c r="B15" s="1950"/>
      <c r="C15" s="1950"/>
      <c r="D15" s="1965"/>
      <c r="E15" s="544" t="s">
        <v>1158</v>
      </c>
      <c r="F15" s="543" t="s">
        <v>11985</v>
      </c>
    </row>
    <row r="16" spans="1:6" ht="17.25">
      <c r="A16" s="1957">
        <v>379</v>
      </c>
      <c r="B16" s="1957" t="s">
        <v>487</v>
      </c>
      <c r="C16" s="1957" t="s">
        <v>11983</v>
      </c>
      <c r="D16" s="1957" t="s">
        <v>11984</v>
      </c>
      <c r="E16" s="542" t="s">
        <v>51</v>
      </c>
      <c r="F16" s="543" t="s">
        <v>11992</v>
      </c>
    </row>
    <row r="17" spans="1:6" ht="17.25">
      <c r="A17" s="1958"/>
      <c r="B17" s="1958"/>
      <c r="C17" s="1958"/>
      <c r="D17" s="1958"/>
      <c r="E17" s="544" t="s">
        <v>1158</v>
      </c>
      <c r="F17" s="543" t="s">
        <v>11993</v>
      </c>
    </row>
    <row r="18" spans="1:6" ht="17.25">
      <c r="A18" s="1949">
        <v>325</v>
      </c>
      <c r="B18" s="1949" t="s">
        <v>11994</v>
      </c>
      <c r="C18" s="1949" t="s">
        <v>11983</v>
      </c>
      <c r="D18" s="1949" t="s">
        <v>11984</v>
      </c>
      <c r="E18" s="542" t="s">
        <v>51</v>
      </c>
      <c r="F18" s="543" t="s">
        <v>11985</v>
      </c>
    </row>
    <row r="19" spans="1:6" ht="17.25">
      <c r="A19" s="1950"/>
      <c r="B19" s="1950"/>
      <c r="C19" s="1950"/>
      <c r="D19" s="1950"/>
      <c r="E19" s="544" t="s">
        <v>1158</v>
      </c>
      <c r="F19" s="543" t="s">
        <v>11985</v>
      </c>
    </row>
    <row r="20" spans="1:6" ht="17.25">
      <c r="A20" s="1957">
        <v>302</v>
      </c>
      <c r="B20" s="1957" t="s">
        <v>11995</v>
      </c>
      <c r="C20" s="1957" t="s">
        <v>11983</v>
      </c>
      <c r="D20" s="1961" t="s">
        <v>11996</v>
      </c>
      <c r="E20" s="542" t="s">
        <v>51</v>
      </c>
      <c r="F20" s="543" t="s">
        <v>11992</v>
      </c>
    </row>
    <row r="21" spans="1:6" ht="17.25">
      <c r="A21" s="1958"/>
      <c r="B21" s="1958"/>
      <c r="C21" s="1958"/>
      <c r="D21" s="1962"/>
      <c r="E21" s="544" t="s">
        <v>1158</v>
      </c>
      <c r="F21" s="543" t="s">
        <v>11985</v>
      </c>
    </row>
    <row r="22" spans="1:6" ht="17.25">
      <c r="A22" s="1949">
        <v>317</v>
      </c>
      <c r="B22" s="1949" t="s">
        <v>11997</v>
      </c>
      <c r="C22" s="1949" t="s">
        <v>11983</v>
      </c>
      <c r="D22" s="1949" t="s">
        <v>11984</v>
      </c>
      <c r="E22" s="542" t="s">
        <v>51</v>
      </c>
      <c r="F22" s="543" t="s">
        <v>11998</v>
      </c>
    </row>
    <row r="23" spans="1:6" ht="17.25">
      <c r="A23" s="1953"/>
      <c r="B23" s="1953"/>
      <c r="C23" s="1953"/>
      <c r="D23" s="1953"/>
      <c r="E23" s="544" t="s">
        <v>1158</v>
      </c>
      <c r="F23" s="543" t="s">
        <v>11985</v>
      </c>
    </row>
    <row r="24" spans="1:6" ht="17.25">
      <c r="A24" s="1957">
        <v>404</v>
      </c>
      <c r="B24" s="1957" t="s">
        <v>11999</v>
      </c>
      <c r="C24" s="1957" t="s">
        <v>11983</v>
      </c>
      <c r="D24" s="1957" t="s">
        <v>11984</v>
      </c>
      <c r="E24" s="542" t="s">
        <v>51</v>
      </c>
      <c r="F24" s="543" t="s">
        <v>11988</v>
      </c>
    </row>
    <row r="25" spans="1:6" ht="17.25">
      <c r="A25" s="1958"/>
      <c r="B25" s="1958"/>
      <c r="C25" s="1958"/>
      <c r="D25" s="1958"/>
      <c r="E25" s="544" t="s">
        <v>1158</v>
      </c>
      <c r="F25" s="543" t="s">
        <v>11985</v>
      </c>
    </row>
    <row r="26" spans="1:6" ht="17.25">
      <c r="A26" s="1949">
        <v>361</v>
      </c>
      <c r="B26" s="1949" t="s">
        <v>12000</v>
      </c>
      <c r="C26" s="1949" t="s">
        <v>11983</v>
      </c>
      <c r="D26" s="1949" t="s">
        <v>11984</v>
      </c>
      <c r="E26" s="542" t="s">
        <v>51</v>
      </c>
      <c r="F26" s="543" t="s">
        <v>11985</v>
      </c>
    </row>
    <row r="27" spans="1:6" ht="17.25">
      <c r="A27" s="1950"/>
      <c r="B27" s="1950"/>
      <c r="C27" s="1950"/>
      <c r="D27" s="1950"/>
      <c r="E27" s="544" t="s">
        <v>1158</v>
      </c>
      <c r="F27" s="543" t="s">
        <v>11985</v>
      </c>
    </row>
    <row r="34" spans="1:10" ht="17.25">
      <c r="A34" s="545" t="s">
        <v>0</v>
      </c>
      <c r="B34" s="539" t="s">
        <v>12001</v>
      </c>
      <c r="C34" s="539" t="s">
        <v>12002</v>
      </c>
      <c r="D34" s="539" t="s">
        <v>3</v>
      </c>
      <c r="E34" s="539" t="s">
        <v>11182</v>
      </c>
      <c r="F34" s="539" t="s">
        <v>5356</v>
      </c>
      <c r="G34" s="539" t="s">
        <v>11980</v>
      </c>
      <c r="H34" s="539" t="s">
        <v>11981</v>
      </c>
      <c r="I34" s="540" t="s">
        <v>5100</v>
      </c>
      <c r="J34" s="541" t="s">
        <v>4406</v>
      </c>
    </row>
    <row r="35" spans="1:10" ht="17.25">
      <c r="A35" s="1951">
        <v>1</v>
      </c>
      <c r="B35" s="1951">
        <v>101</v>
      </c>
      <c r="C35" s="1951" t="s">
        <v>7993</v>
      </c>
      <c r="D35" s="1949" t="s">
        <v>1598</v>
      </c>
      <c r="E35" s="1949">
        <v>235</v>
      </c>
      <c r="F35" s="1949" t="s">
        <v>11982</v>
      </c>
      <c r="G35" s="1949" t="s">
        <v>11983</v>
      </c>
      <c r="H35" s="1949" t="s">
        <v>11984</v>
      </c>
      <c r="I35" s="546" t="s">
        <v>335</v>
      </c>
      <c r="J35" s="543" t="s">
        <v>12003</v>
      </c>
    </row>
    <row r="36" spans="1:10" ht="17.25">
      <c r="A36" s="1960"/>
      <c r="B36" s="1960"/>
      <c r="C36" s="1960"/>
      <c r="D36" s="1953"/>
      <c r="E36" s="1953"/>
      <c r="F36" s="1953"/>
      <c r="G36" s="1953"/>
      <c r="H36" s="1953"/>
      <c r="I36" s="546" t="s">
        <v>107</v>
      </c>
      <c r="J36" s="543" t="s">
        <v>12003</v>
      </c>
    </row>
    <row r="37" spans="1:10" ht="17.25">
      <c r="A37" s="1954">
        <v>2</v>
      </c>
      <c r="B37" s="1954">
        <v>102</v>
      </c>
      <c r="C37" s="1960"/>
      <c r="D37" s="1953"/>
      <c r="E37" s="1957">
        <v>214</v>
      </c>
      <c r="F37" s="1957" t="s">
        <v>1729</v>
      </c>
      <c r="G37" s="1957" t="s">
        <v>11983</v>
      </c>
      <c r="H37" s="1957" t="s">
        <v>11984</v>
      </c>
      <c r="I37" s="546" t="s">
        <v>335</v>
      </c>
      <c r="J37" s="543" t="s">
        <v>12003</v>
      </c>
    </row>
    <row r="38" spans="1:10" ht="17.25">
      <c r="A38" s="1955"/>
      <c r="B38" s="1955"/>
      <c r="C38" s="1960"/>
      <c r="D38" s="1953"/>
      <c r="E38" s="1958"/>
      <c r="F38" s="1958"/>
      <c r="G38" s="1958"/>
      <c r="H38" s="1958"/>
      <c r="I38" s="546" t="s">
        <v>107</v>
      </c>
      <c r="J38" s="543" t="s">
        <v>12003</v>
      </c>
    </row>
    <row r="39" spans="1:10" ht="17.25">
      <c r="A39" s="1956"/>
      <c r="B39" s="1956"/>
      <c r="C39" s="1960"/>
      <c r="D39" s="1953"/>
      <c r="E39" s="1959"/>
      <c r="F39" s="1959"/>
      <c r="G39" s="1959"/>
      <c r="H39" s="1959"/>
      <c r="I39" s="547" t="s">
        <v>51</v>
      </c>
      <c r="J39" s="543" t="s">
        <v>12004</v>
      </c>
    </row>
    <row r="40" spans="1:10" ht="17.25">
      <c r="A40" s="1951">
        <v>3</v>
      </c>
      <c r="B40" s="1951">
        <v>102</v>
      </c>
      <c r="C40" s="1960"/>
      <c r="D40" s="1953"/>
      <c r="E40" s="1949">
        <v>224</v>
      </c>
      <c r="F40" s="1949" t="s">
        <v>11987</v>
      </c>
      <c r="G40" s="1949" t="s">
        <v>11983</v>
      </c>
      <c r="H40" s="1949" t="s">
        <v>11984</v>
      </c>
      <c r="I40" s="546" t="s">
        <v>335</v>
      </c>
      <c r="J40" s="543" t="s">
        <v>12003</v>
      </c>
    </row>
    <row r="41" spans="1:10" ht="17.25">
      <c r="A41" s="1960"/>
      <c r="B41" s="1960"/>
      <c r="C41" s="1960"/>
      <c r="D41" s="1953"/>
      <c r="E41" s="1953"/>
      <c r="F41" s="1953"/>
      <c r="G41" s="1953"/>
      <c r="H41" s="1953"/>
      <c r="I41" s="546" t="s">
        <v>107</v>
      </c>
      <c r="J41" s="543" t="s">
        <v>12003</v>
      </c>
    </row>
    <row r="42" spans="1:10" ht="17.25">
      <c r="A42" s="1952"/>
      <c r="B42" s="1952"/>
      <c r="C42" s="1960"/>
      <c r="D42" s="1953"/>
      <c r="E42" s="1950"/>
      <c r="F42" s="1950"/>
      <c r="G42" s="1950"/>
      <c r="H42" s="1950"/>
      <c r="I42" s="547" t="s">
        <v>51</v>
      </c>
      <c r="J42" s="543" t="s">
        <v>12004</v>
      </c>
    </row>
    <row r="43" spans="1:10" ht="17.25">
      <c r="A43" s="1954">
        <v>4</v>
      </c>
      <c r="B43" s="1954">
        <v>102</v>
      </c>
      <c r="C43" s="1960"/>
      <c r="D43" s="1953"/>
      <c r="E43" s="1957">
        <v>264</v>
      </c>
      <c r="F43" s="1957" t="s">
        <v>1895</v>
      </c>
      <c r="G43" s="1957" t="s">
        <v>11983</v>
      </c>
      <c r="H43" s="1957" t="s">
        <v>11984</v>
      </c>
      <c r="I43" s="546" t="s">
        <v>335</v>
      </c>
      <c r="J43" s="543" t="s">
        <v>12003</v>
      </c>
    </row>
    <row r="44" spans="1:10" ht="17.25">
      <c r="A44" s="1955"/>
      <c r="B44" s="1955"/>
      <c r="C44" s="1960"/>
      <c r="D44" s="1953"/>
      <c r="E44" s="1958"/>
      <c r="F44" s="1958"/>
      <c r="G44" s="1958"/>
      <c r="H44" s="1958"/>
      <c r="I44" s="546" t="s">
        <v>107</v>
      </c>
      <c r="J44" s="543" t="s">
        <v>12003</v>
      </c>
    </row>
    <row r="45" spans="1:10" ht="17.25">
      <c r="A45" s="1956"/>
      <c r="B45" s="1956"/>
      <c r="C45" s="1960"/>
      <c r="D45" s="1953"/>
      <c r="E45" s="1959"/>
      <c r="F45" s="1959"/>
      <c r="G45" s="1959"/>
      <c r="H45" s="1959"/>
      <c r="I45" s="547" t="s">
        <v>51</v>
      </c>
      <c r="J45" s="543" t="s">
        <v>12005</v>
      </c>
    </row>
    <row r="46" spans="1:10" ht="17.25">
      <c r="A46" s="1951">
        <v>5</v>
      </c>
      <c r="B46" s="1951">
        <v>102</v>
      </c>
      <c r="C46" s="1960"/>
      <c r="D46" s="1953"/>
      <c r="E46" s="1949">
        <v>274</v>
      </c>
      <c r="F46" s="1949" t="s">
        <v>11989</v>
      </c>
      <c r="G46" s="1949" t="s">
        <v>11983</v>
      </c>
      <c r="H46" s="1949" t="s">
        <v>11984</v>
      </c>
      <c r="I46" s="546" t="s">
        <v>335</v>
      </c>
      <c r="J46" s="543" t="s">
        <v>12003</v>
      </c>
    </row>
    <row r="47" spans="1:10" ht="17.25">
      <c r="A47" s="1952"/>
      <c r="B47" s="1952"/>
      <c r="C47" s="1960"/>
      <c r="D47" s="1953"/>
      <c r="E47" s="1950"/>
      <c r="F47" s="1950"/>
      <c r="G47" s="1950"/>
      <c r="H47" s="1950"/>
      <c r="I47" s="546" t="s">
        <v>107</v>
      </c>
      <c r="J47" s="543" t="s">
        <v>12003</v>
      </c>
    </row>
    <row r="48" spans="1:10" ht="17.25">
      <c r="A48" s="1954">
        <v>6</v>
      </c>
      <c r="B48" s="1954">
        <v>105</v>
      </c>
      <c r="C48" s="1960"/>
      <c r="D48" s="1953"/>
      <c r="E48" s="1957">
        <v>292</v>
      </c>
      <c r="F48" s="1957" t="s">
        <v>1932</v>
      </c>
      <c r="G48" s="1957" t="s">
        <v>11983</v>
      </c>
      <c r="H48" s="1957" t="s">
        <v>11984</v>
      </c>
      <c r="I48" s="546" t="s">
        <v>335</v>
      </c>
      <c r="J48" s="543" t="s">
        <v>12003</v>
      </c>
    </row>
    <row r="49" spans="1:10" ht="17.25">
      <c r="A49" s="1955"/>
      <c r="B49" s="1955"/>
      <c r="C49" s="1960"/>
      <c r="D49" s="1953"/>
      <c r="E49" s="1958"/>
      <c r="F49" s="1958"/>
      <c r="G49" s="1958"/>
      <c r="H49" s="1958"/>
      <c r="I49" s="546" t="s">
        <v>107</v>
      </c>
      <c r="J49" s="543" t="s">
        <v>12003</v>
      </c>
    </row>
    <row r="50" spans="1:10" ht="17.25">
      <c r="A50" s="1956"/>
      <c r="B50" s="1956"/>
      <c r="C50" s="1952"/>
      <c r="D50" s="1950"/>
      <c r="E50" s="1959"/>
      <c r="F50" s="1959"/>
      <c r="G50" s="1959"/>
      <c r="H50" s="1959"/>
      <c r="I50" s="547" t="s">
        <v>51</v>
      </c>
      <c r="J50" s="543" t="s">
        <v>12003</v>
      </c>
    </row>
    <row r="51" spans="1:10" ht="17.25">
      <c r="A51" s="1951">
        <v>7</v>
      </c>
      <c r="B51" s="1951">
        <v>404</v>
      </c>
      <c r="C51" s="1951" t="s">
        <v>2476</v>
      </c>
      <c r="D51" s="1949" t="s">
        <v>2499</v>
      </c>
      <c r="E51" s="1949">
        <v>474</v>
      </c>
      <c r="F51" s="1949" t="s">
        <v>11991</v>
      </c>
      <c r="G51" s="1949" t="s">
        <v>11983</v>
      </c>
      <c r="H51" s="1964" t="s">
        <v>11984</v>
      </c>
      <c r="I51" s="548" t="s">
        <v>1659</v>
      </c>
      <c r="J51" s="543" t="s">
        <v>12003</v>
      </c>
    </row>
    <row r="52" spans="1:10" ht="17.25">
      <c r="A52" s="1952"/>
      <c r="B52" s="1952"/>
      <c r="C52" s="1952"/>
      <c r="D52" s="1950"/>
      <c r="E52" s="1950"/>
      <c r="F52" s="1950"/>
      <c r="G52" s="1950"/>
      <c r="H52" s="1965"/>
      <c r="I52" s="546" t="s">
        <v>107</v>
      </c>
      <c r="J52" s="543" t="s">
        <v>12003</v>
      </c>
    </row>
    <row r="53" spans="1:10" ht="17.25">
      <c r="A53" s="1954">
        <v>8</v>
      </c>
      <c r="B53" s="1954">
        <v>203</v>
      </c>
      <c r="C53" s="1954" t="s">
        <v>423</v>
      </c>
      <c r="D53" s="1957" t="s">
        <v>423</v>
      </c>
      <c r="E53" s="1957">
        <v>379</v>
      </c>
      <c r="F53" s="1957" t="s">
        <v>487</v>
      </c>
      <c r="G53" s="1957" t="s">
        <v>11983</v>
      </c>
      <c r="H53" s="1957" t="s">
        <v>11984</v>
      </c>
      <c r="I53" s="546" t="s">
        <v>335</v>
      </c>
      <c r="J53" s="543" t="s">
        <v>12003</v>
      </c>
    </row>
    <row r="54" spans="1:10" ht="17.25">
      <c r="A54" s="1955"/>
      <c r="B54" s="1955"/>
      <c r="C54" s="1955"/>
      <c r="D54" s="1958"/>
      <c r="E54" s="1958"/>
      <c r="F54" s="1958"/>
      <c r="G54" s="1958"/>
      <c r="H54" s="1958"/>
      <c r="I54" s="546" t="s">
        <v>107</v>
      </c>
      <c r="J54" s="543" t="s">
        <v>12003</v>
      </c>
    </row>
    <row r="55" spans="1:10" ht="17.25">
      <c r="A55" s="1956"/>
      <c r="B55" s="1956"/>
      <c r="C55" s="1956"/>
      <c r="D55" s="1959"/>
      <c r="E55" s="1959"/>
      <c r="F55" s="1959"/>
      <c r="G55" s="1959"/>
      <c r="H55" s="1959"/>
      <c r="I55" s="547" t="s">
        <v>51</v>
      </c>
      <c r="J55" s="543" t="s">
        <v>12003</v>
      </c>
    </row>
    <row r="56" spans="1:10" ht="17.25">
      <c r="A56" s="1951">
        <v>9</v>
      </c>
      <c r="B56" s="1951">
        <v>106</v>
      </c>
      <c r="C56" s="1951" t="s">
        <v>933</v>
      </c>
      <c r="D56" s="1949" t="s">
        <v>3328</v>
      </c>
      <c r="E56" s="1949">
        <v>325</v>
      </c>
      <c r="F56" s="1949" t="s">
        <v>11994</v>
      </c>
      <c r="G56" s="1949" t="s">
        <v>11983</v>
      </c>
      <c r="H56" s="1949" t="s">
        <v>11984</v>
      </c>
      <c r="I56" s="548" t="s">
        <v>1659</v>
      </c>
      <c r="J56" s="543" t="s">
        <v>12003</v>
      </c>
    </row>
    <row r="57" spans="1:10" ht="17.25">
      <c r="A57" s="1952"/>
      <c r="B57" s="1952"/>
      <c r="C57" s="1952"/>
      <c r="D57" s="1950"/>
      <c r="E57" s="1950"/>
      <c r="F57" s="1950"/>
      <c r="G57" s="1950"/>
      <c r="H57" s="1950"/>
      <c r="I57" s="546" t="s">
        <v>107</v>
      </c>
      <c r="J57" s="543" t="s">
        <v>12003</v>
      </c>
    </row>
    <row r="58" spans="1:10" ht="17.25">
      <c r="A58" s="1954">
        <v>10</v>
      </c>
      <c r="B58" s="1954">
        <v>406</v>
      </c>
      <c r="C58" s="1954" t="s">
        <v>8796</v>
      </c>
      <c r="D58" s="1957" t="s">
        <v>3213</v>
      </c>
      <c r="E58" s="1957">
        <v>302</v>
      </c>
      <c r="F58" s="1957" t="s">
        <v>11995</v>
      </c>
      <c r="G58" s="1957" t="s">
        <v>11983</v>
      </c>
      <c r="H58" s="1961" t="s">
        <v>11996</v>
      </c>
      <c r="I58" s="546" t="s">
        <v>335</v>
      </c>
      <c r="J58" s="543" t="s">
        <v>12003</v>
      </c>
    </row>
    <row r="59" spans="1:10" ht="17.25">
      <c r="A59" s="1955"/>
      <c r="B59" s="1955"/>
      <c r="C59" s="1955"/>
      <c r="D59" s="1958"/>
      <c r="E59" s="1958"/>
      <c r="F59" s="1958"/>
      <c r="G59" s="1958"/>
      <c r="H59" s="1962"/>
      <c r="I59" s="546" t="s">
        <v>107</v>
      </c>
      <c r="J59" s="543" t="s">
        <v>12003</v>
      </c>
    </row>
    <row r="60" spans="1:10" ht="17.25">
      <c r="A60" s="1956"/>
      <c r="B60" s="1956"/>
      <c r="C60" s="1956"/>
      <c r="D60" s="1959"/>
      <c r="E60" s="1959"/>
      <c r="F60" s="1959"/>
      <c r="G60" s="1959"/>
      <c r="H60" s="1963"/>
      <c r="I60" s="547" t="s">
        <v>51</v>
      </c>
      <c r="J60" s="543" t="s">
        <v>12003</v>
      </c>
    </row>
    <row r="61" spans="1:10" ht="17.25">
      <c r="A61" s="1951">
        <v>11</v>
      </c>
      <c r="B61" s="1951">
        <v>301</v>
      </c>
      <c r="C61" s="1951" t="s">
        <v>1609</v>
      </c>
      <c r="D61" s="1949" t="s">
        <v>1610</v>
      </c>
      <c r="E61" s="1949">
        <v>317</v>
      </c>
      <c r="F61" s="1949" t="s">
        <v>11997</v>
      </c>
      <c r="G61" s="1949" t="s">
        <v>11983</v>
      </c>
      <c r="H61" s="1949" t="s">
        <v>11984</v>
      </c>
      <c r="I61" s="548" t="s">
        <v>1659</v>
      </c>
      <c r="J61" s="543" t="s">
        <v>12003</v>
      </c>
    </row>
    <row r="62" spans="1:10" ht="17.25">
      <c r="A62" s="1960"/>
      <c r="B62" s="1960"/>
      <c r="C62" s="1960"/>
      <c r="D62" s="1953"/>
      <c r="E62" s="1953"/>
      <c r="F62" s="1953"/>
      <c r="G62" s="1953"/>
      <c r="H62" s="1953"/>
      <c r="I62" s="546" t="s">
        <v>107</v>
      </c>
      <c r="J62" s="543" t="s">
        <v>12003</v>
      </c>
    </row>
    <row r="63" spans="1:10" ht="17.25">
      <c r="A63" s="1952"/>
      <c r="B63" s="1952"/>
      <c r="C63" s="1952"/>
      <c r="D63" s="1950"/>
      <c r="E63" s="1950"/>
      <c r="F63" s="1950"/>
      <c r="G63" s="1950"/>
      <c r="H63" s="1950"/>
      <c r="I63" s="546" t="s">
        <v>12006</v>
      </c>
      <c r="J63" s="543" t="s">
        <v>12003</v>
      </c>
    </row>
    <row r="64" spans="1:10" ht="17.25">
      <c r="A64" s="1954">
        <v>12</v>
      </c>
      <c r="B64" s="1954">
        <v>303</v>
      </c>
      <c r="C64" s="1954" t="s">
        <v>7828</v>
      </c>
      <c r="D64" s="1957" t="s">
        <v>7828</v>
      </c>
      <c r="E64" s="1957">
        <v>404</v>
      </c>
      <c r="F64" s="1957" t="s">
        <v>11999</v>
      </c>
      <c r="G64" s="1957" t="s">
        <v>11983</v>
      </c>
      <c r="H64" s="1957" t="s">
        <v>11984</v>
      </c>
      <c r="I64" s="547" t="s">
        <v>28</v>
      </c>
      <c r="J64" s="543" t="s">
        <v>12003</v>
      </c>
    </row>
    <row r="65" spans="1:10" ht="17.25">
      <c r="A65" s="1955"/>
      <c r="B65" s="1955"/>
      <c r="C65" s="1955"/>
      <c r="D65" s="1958"/>
      <c r="E65" s="1958"/>
      <c r="F65" s="1958"/>
      <c r="G65" s="1958"/>
      <c r="H65" s="1958"/>
      <c r="I65" s="546" t="s">
        <v>107</v>
      </c>
      <c r="J65" s="543" t="s">
        <v>12003</v>
      </c>
    </row>
    <row r="66" spans="1:10" ht="17.25">
      <c r="A66" s="1955"/>
      <c r="B66" s="1955"/>
      <c r="C66" s="1955"/>
      <c r="D66" s="1958"/>
      <c r="E66" s="1958"/>
      <c r="F66" s="1958"/>
      <c r="G66" s="1958"/>
      <c r="H66" s="1958"/>
      <c r="I66" s="547" t="s">
        <v>40</v>
      </c>
      <c r="J66" s="543" t="s">
        <v>12003</v>
      </c>
    </row>
    <row r="67" spans="1:10" ht="17.25">
      <c r="A67" s="1956"/>
      <c r="B67" s="1956"/>
      <c r="C67" s="1956"/>
      <c r="D67" s="1959"/>
      <c r="E67" s="1959"/>
      <c r="F67" s="1959"/>
      <c r="G67" s="1959"/>
      <c r="H67" s="1959"/>
      <c r="I67" s="547" t="s">
        <v>51</v>
      </c>
      <c r="J67" s="543" t="s">
        <v>12003</v>
      </c>
    </row>
    <row r="68" spans="1:10" ht="17.25">
      <c r="A68" s="1951">
        <v>13</v>
      </c>
      <c r="B68" s="1951">
        <v>303</v>
      </c>
      <c r="C68" s="1951" t="s">
        <v>12007</v>
      </c>
      <c r="D68" s="1949" t="s">
        <v>12000</v>
      </c>
      <c r="E68" s="1949">
        <v>361</v>
      </c>
      <c r="F68" s="1949" t="s">
        <v>12000</v>
      </c>
      <c r="G68" s="1949" t="s">
        <v>11983</v>
      </c>
      <c r="H68" s="1949" t="s">
        <v>11984</v>
      </c>
      <c r="I68" s="548" t="s">
        <v>1659</v>
      </c>
      <c r="J68" s="543" t="s">
        <v>12003</v>
      </c>
    </row>
    <row r="69" spans="1:10" ht="17.25">
      <c r="A69" s="1952"/>
      <c r="B69" s="1952"/>
      <c r="C69" s="1952"/>
      <c r="D69" s="1950"/>
      <c r="E69" s="1950"/>
      <c r="F69" s="1950"/>
      <c r="G69" s="1950"/>
      <c r="H69" s="1950"/>
      <c r="I69" s="546" t="s">
        <v>107</v>
      </c>
      <c r="J69" s="543" t="s">
        <v>12003</v>
      </c>
    </row>
  </sheetData>
  <mergeCells count="146">
    <mergeCell ref="A6:A7"/>
    <mergeCell ref="B6:B7"/>
    <mergeCell ref="C6:C7"/>
    <mergeCell ref="D6:D7"/>
    <mergeCell ref="A8:A9"/>
    <mergeCell ref="B8:B9"/>
    <mergeCell ref="C8:C9"/>
    <mergeCell ref="D8:D9"/>
    <mergeCell ref="A2:A3"/>
    <mergeCell ref="B2:B3"/>
    <mergeCell ref="C2:C3"/>
    <mergeCell ref="D2:D3"/>
    <mergeCell ref="A4:A5"/>
    <mergeCell ref="B4:B5"/>
    <mergeCell ref="C4:C5"/>
    <mergeCell ref="D4:D5"/>
    <mergeCell ref="A14:A15"/>
    <mergeCell ref="B14:B15"/>
    <mergeCell ref="C14:C15"/>
    <mergeCell ref="D14:D15"/>
    <mergeCell ref="A16:A17"/>
    <mergeCell ref="B16:B17"/>
    <mergeCell ref="C16:C17"/>
    <mergeCell ref="D16:D17"/>
    <mergeCell ref="A10:A11"/>
    <mergeCell ref="B10:B11"/>
    <mergeCell ref="C10:C11"/>
    <mergeCell ref="D10:D11"/>
    <mergeCell ref="A12:A13"/>
    <mergeCell ref="B12:B13"/>
    <mergeCell ref="C12:C13"/>
    <mergeCell ref="D12:D13"/>
    <mergeCell ref="A22:A23"/>
    <mergeCell ref="B22:B23"/>
    <mergeCell ref="C22:C23"/>
    <mergeCell ref="D22:D23"/>
    <mergeCell ref="A24:A25"/>
    <mergeCell ref="B24:B25"/>
    <mergeCell ref="C24:C25"/>
    <mergeCell ref="D24:D25"/>
    <mergeCell ref="A18:A19"/>
    <mergeCell ref="B18:B19"/>
    <mergeCell ref="C18:C19"/>
    <mergeCell ref="D18:D19"/>
    <mergeCell ref="A20:A21"/>
    <mergeCell ref="B20:B21"/>
    <mergeCell ref="C20:C21"/>
    <mergeCell ref="D20:D21"/>
    <mergeCell ref="A26:A27"/>
    <mergeCell ref="B26:B27"/>
    <mergeCell ref="C26:C27"/>
    <mergeCell ref="D26:D27"/>
    <mergeCell ref="A35:A36"/>
    <mergeCell ref="B35:B36"/>
    <mergeCell ref="C35:C50"/>
    <mergeCell ref="D35:D50"/>
    <mergeCell ref="A40:A42"/>
    <mergeCell ref="B40:B42"/>
    <mergeCell ref="A48:A50"/>
    <mergeCell ref="B48:B50"/>
    <mergeCell ref="E35:E36"/>
    <mergeCell ref="F35:F36"/>
    <mergeCell ref="G35:G36"/>
    <mergeCell ref="H35:H36"/>
    <mergeCell ref="A37:A39"/>
    <mergeCell ref="B37:B39"/>
    <mergeCell ref="E37:E39"/>
    <mergeCell ref="F37:F39"/>
    <mergeCell ref="G37:G39"/>
    <mergeCell ref="H37:H39"/>
    <mergeCell ref="E40:E42"/>
    <mergeCell ref="F40:F42"/>
    <mergeCell ref="G40:G42"/>
    <mergeCell ref="H40:H42"/>
    <mergeCell ref="A43:A45"/>
    <mergeCell ref="B43:B45"/>
    <mergeCell ref="E43:E45"/>
    <mergeCell ref="F43:F45"/>
    <mergeCell ref="G43:G45"/>
    <mergeCell ref="H43:H45"/>
    <mergeCell ref="E48:E50"/>
    <mergeCell ref="F48:F50"/>
    <mergeCell ref="G48:G50"/>
    <mergeCell ref="H48:H50"/>
    <mergeCell ref="A46:A47"/>
    <mergeCell ref="B46:B47"/>
    <mergeCell ref="E46:E47"/>
    <mergeCell ref="F46:F47"/>
    <mergeCell ref="G46:G47"/>
    <mergeCell ref="H46:H47"/>
    <mergeCell ref="G51:G52"/>
    <mergeCell ref="H51:H52"/>
    <mergeCell ref="A53:A55"/>
    <mergeCell ref="B53:B55"/>
    <mergeCell ref="C53:C55"/>
    <mergeCell ref="D53:D55"/>
    <mergeCell ref="E53:E55"/>
    <mergeCell ref="F53:F55"/>
    <mergeCell ref="G53:G55"/>
    <mergeCell ref="H53:H55"/>
    <mergeCell ref="A51:A52"/>
    <mergeCell ref="B51:B52"/>
    <mergeCell ref="C51:C52"/>
    <mergeCell ref="D51:D52"/>
    <mergeCell ref="E51:E52"/>
    <mergeCell ref="F51:F52"/>
    <mergeCell ref="G56:G57"/>
    <mergeCell ref="H56:H57"/>
    <mergeCell ref="A58:A60"/>
    <mergeCell ref="B58:B60"/>
    <mergeCell ref="C58:C60"/>
    <mergeCell ref="D58:D60"/>
    <mergeCell ref="E58:E60"/>
    <mergeCell ref="F58:F60"/>
    <mergeCell ref="G58:G60"/>
    <mergeCell ref="H58:H60"/>
    <mergeCell ref="A56:A57"/>
    <mergeCell ref="B56:B57"/>
    <mergeCell ref="C56:C57"/>
    <mergeCell ref="D56:D57"/>
    <mergeCell ref="E56:E57"/>
    <mergeCell ref="F56:F57"/>
    <mergeCell ref="G68:G69"/>
    <mergeCell ref="H68:H69"/>
    <mergeCell ref="A68:A69"/>
    <mergeCell ref="B68:B69"/>
    <mergeCell ref="C68:C69"/>
    <mergeCell ref="D68:D69"/>
    <mergeCell ref="E68:E69"/>
    <mergeCell ref="F68:F69"/>
    <mergeCell ref="G61:G63"/>
    <mergeCell ref="H61:H63"/>
    <mergeCell ref="A64:A67"/>
    <mergeCell ref="B64:B67"/>
    <mergeCell ref="C64:C67"/>
    <mergeCell ref="D64:D67"/>
    <mergeCell ref="E64:E67"/>
    <mergeCell ref="F64:F67"/>
    <mergeCell ref="G64:G67"/>
    <mergeCell ref="H64:H67"/>
    <mergeCell ref="A61:A63"/>
    <mergeCell ref="B61:B63"/>
    <mergeCell ref="C61:C63"/>
    <mergeCell ref="D61:D63"/>
    <mergeCell ref="E61:E63"/>
    <mergeCell ref="F61:F6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270"/>
  <sheetViews>
    <sheetView rightToLeft="1" topLeftCell="A249" workbookViewId="0">
      <selection activeCell="A265" sqref="A265"/>
    </sheetView>
  </sheetViews>
  <sheetFormatPr defaultRowHeight="15"/>
  <cols>
    <col min="1" max="1" width="9.140625" style="113"/>
    <col min="2" max="2" width="67" style="113" customWidth="1"/>
    <col min="3" max="3" width="17.42578125" style="113" customWidth="1"/>
    <col min="4" max="4" width="13.140625" style="113" customWidth="1"/>
    <col min="5" max="5" width="11.7109375" style="113" customWidth="1"/>
    <col min="6" max="6" width="24" style="113" customWidth="1"/>
    <col min="7" max="7" width="11.140625" style="113" customWidth="1"/>
    <col min="8" max="8" width="39.28515625" style="113" customWidth="1"/>
    <col min="9" max="9" width="44.140625" style="113" customWidth="1"/>
    <col min="10" max="14" width="9.140625" style="113"/>
    <col min="15" max="15" width="58.7109375" style="113" customWidth="1"/>
    <col min="16" max="16384" width="9.140625" style="113"/>
  </cols>
  <sheetData>
    <row r="1" spans="1:9" ht="15.75">
      <c r="A1" s="1966" t="s">
        <v>9329</v>
      </c>
      <c r="B1" s="1966"/>
      <c r="C1" s="1966"/>
      <c r="D1" s="1966"/>
      <c r="E1" s="1966"/>
      <c r="F1" s="1966"/>
      <c r="G1" s="1966"/>
      <c r="H1" s="1966"/>
      <c r="I1" s="1966"/>
    </row>
    <row r="2" spans="1:9" ht="24">
      <c r="A2" s="1967" t="s">
        <v>11058</v>
      </c>
      <c r="B2" s="1967"/>
      <c r="C2" s="1967"/>
      <c r="D2" s="1967"/>
      <c r="E2" s="1967"/>
      <c r="F2" s="1967"/>
      <c r="G2" s="1967"/>
      <c r="H2" s="1967"/>
      <c r="I2" s="1967"/>
    </row>
    <row r="3" spans="1:9" ht="24">
      <c r="A3" s="1282" t="s">
        <v>9677</v>
      </c>
      <c r="B3" s="1282" t="s">
        <v>9812</v>
      </c>
      <c r="C3" s="1282"/>
      <c r="D3" s="1282" t="s">
        <v>9680</v>
      </c>
      <c r="E3" s="1282" t="s">
        <v>9681</v>
      </c>
      <c r="F3" s="1282" t="s">
        <v>4325</v>
      </c>
      <c r="G3" s="1282" t="s">
        <v>9682</v>
      </c>
      <c r="H3" s="1282" t="s">
        <v>9813</v>
      </c>
      <c r="I3" s="1282" t="s">
        <v>9683</v>
      </c>
    </row>
    <row r="4" spans="1:9" ht="22.5">
      <c r="A4" s="493">
        <v>1</v>
      </c>
      <c r="B4" s="493" t="s">
        <v>9873</v>
      </c>
      <c r="C4" s="698"/>
      <c r="D4" s="493" t="s">
        <v>9065</v>
      </c>
      <c r="E4" s="493" t="s">
        <v>9065</v>
      </c>
      <c r="F4" s="493" t="s">
        <v>5363</v>
      </c>
      <c r="G4" s="493" t="s">
        <v>5130</v>
      </c>
      <c r="H4" s="494" t="s">
        <v>5362</v>
      </c>
      <c r="I4" s="646">
        <v>6512400</v>
      </c>
    </row>
    <row r="5" spans="1:9" ht="22.5">
      <c r="A5" s="493">
        <v>2</v>
      </c>
      <c r="B5" s="493" t="s">
        <v>9875</v>
      </c>
      <c r="C5" s="698"/>
      <c r="D5" s="493" t="s">
        <v>9065</v>
      </c>
      <c r="E5" s="493" t="s">
        <v>9065</v>
      </c>
      <c r="F5" s="493" t="s">
        <v>5367</v>
      </c>
      <c r="G5" s="493" t="s">
        <v>5130</v>
      </c>
      <c r="H5" s="494" t="s">
        <v>5366</v>
      </c>
      <c r="I5" s="646">
        <v>6512400</v>
      </c>
    </row>
    <row r="6" spans="1:9" ht="22.5">
      <c r="A6" s="493">
        <v>3</v>
      </c>
      <c r="B6" s="493" t="s">
        <v>9885</v>
      </c>
      <c r="C6" s="698"/>
      <c r="D6" s="493" t="s">
        <v>9065</v>
      </c>
      <c r="E6" s="493" t="s">
        <v>9065</v>
      </c>
      <c r="F6" s="493" t="s">
        <v>5385</v>
      </c>
      <c r="G6" s="493" t="s">
        <v>5130</v>
      </c>
      <c r="H6" s="494" t="s">
        <v>5384</v>
      </c>
      <c r="I6" s="646">
        <v>6512400</v>
      </c>
    </row>
    <row r="7" spans="1:9" ht="22.5">
      <c r="A7" s="493">
        <v>4</v>
      </c>
      <c r="B7" s="493" t="s">
        <v>9886</v>
      </c>
      <c r="C7" s="698"/>
      <c r="D7" s="493" t="s">
        <v>9065</v>
      </c>
      <c r="E7" s="493" t="s">
        <v>9065</v>
      </c>
      <c r="F7" s="493" t="s">
        <v>5387</v>
      </c>
      <c r="G7" s="493" t="s">
        <v>5130</v>
      </c>
      <c r="H7" s="494" t="s">
        <v>5386</v>
      </c>
      <c r="I7" s="646">
        <v>6512400</v>
      </c>
    </row>
    <row r="8" spans="1:9" ht="22.5">
      <c r="A8" s="493">
        <v>5</v>
      </c>
      <c r="B8" s="493" t="s">
        <v>9887</v>
      </c>
      <c r="C8" s="698"/>
      <c r="D8" s="493" t="s">
        <v>9065</v>
      </c>
      <c r="E8" s="493" t="s">
        <v>9065</v>
      </c>
      <c r="F8" s="493" t="s">
        <v>5390</v>
      </c>
      <c r="G8" s="493" t="s">
        <v>5130</v>
      </c>
      <c r="H8" s="494" t="s">
        <v>5389</v>
      </c>
      <c r="I8" s="646">
        <v>6512400</v>
      </c>
    </row>
    <row r="9" spans="1:9" ht="22.5">
      <c r="A9" s="493">
        <v>6</v>
      </c>
      <c r="B9" s="493" t="s">
        <v>9895</v>
      </c>
      <c r="C9" s="698"/>
      <c r="D9" s="493" t="s">
        <v>9065</v>
      </c>
      <c r="E9" s="493" t="s">
        <v>9065</v>
      </c>
      <c r="F9" s="493" t="s">
        <v>5396</v>
      </c>
      <c r="G9" s="493" t="s">
        <v>5130</v>
      </c>
      <c r="H9" s="494" t="s">
        <v>5395</v>
      </c>
      <c r="I9" s="646">
        <v>6512400</v>
      </c>
    </row>
    <row r="10" spans="1:9" ht="22.5">
      <c r="A10" s="493">
        <v>7</v>
      </c>
      <c r="B10" s="493" t="s">
        <v>9900</v>
      </c>
      <c r="C10" s="698"/>
      <c r="D10" s="493" t="s">
        <v>9065</v>
      </c>
      <c r="E10" s="493" t="s">
        <v>9065</v>
      </c>
      <c r="F10" s="493" t="s">
        <v>5890</v>
      </c>
      <c r="G10" s="493" t="s">
        <v>9888</v>
      </c>
      <c r="H10" s="494" t="s">
        <v>5889</v>
      </c>
      <c r="I10" s="646">
        <v>6512400</v>
      </c>
    </row>
    <row r="11" spans="1:9" ht="22.5">
      <c r="A11" s="493">
        <v>8</v>
      </c>
      <c r="B11" s="493" t="s">
        <v>9901</v>
      </c>
      <c r="C11" s="698"/>
      <c r="D11" s="493" t="s">
        <v>9065</v>
      </c>
      <c r="E11" s="493" t="s">
        <v>9065</v>
      </c>
      <c r="F11" s="493" t="s">
        <v>5892</v>
      </c>
      <c r="G11" s="493" t="s">
        <v>9888</v>
      </c>
      <c r="H11" s="494" t="s">
        <v>5891</v>
      </c>
      <c r="I11" s="646">
        <v>6512400</v>
      </c>
    </row>
    <row r="12" spans="1:9" ht="22.5">
      <c r="A12" s="493">
        <v>9</v>
      </c>
      <c r="B12" s="493" t="s">
        <v>9907</v>
      </c>
      <c r="C12" s="698"/>
      <c r="D12" s="493" t="s">
        <v>9065</v>
      </c>
      <c r="E12" s="493" t="s">
        <v>9065</v>
      </c>
      <c r="F12" s="493" t="s">
        <v>5903</v>
      </c>
      <c r="G12" s="493" t="s">
        <v>9888</v>
      </c>
      <c r="H12" s="494" t="s">
        <v>5902</v>
      </c>
      <c r="I12" s="646">
        <v>6512400</v>
      </c>
    </row>
    <row r="13" spans="1:9" ht="22.5">
      <c r="A13" s="493">
        <v>10</v>
      </c>
      <c r="B13" s="493" t="s">
        <v>9910</v>
      </c>
      <c r="C13" s="698"/>
      <c r="D13" s="493" t="s">
        <v>9065</v>
      </c>
      <c r="E13" s="493" t="s">
        <v>9065</v>
      </c>
      <c r="F13" s="493" t="s">
        <v>5906</v>
      </c>
      <c r="G13" s="493" t="s">
        <v>9888</v>
      </c>
      <c r="H13" s="494" t="s">
        <v>5905</v>
      </c>
      <c r="I13" s="646">
        <v>6512400</v>
      </c>
    </row>
    <row r="14" spans="1:9" ht="22.5">
      <c r="A14" s="493">
        <v>11</v>
      </c>
      <c r="B14" s="493" t="s">
        <v>9913</v>
      </c>
      <c r="C14" s="698"/>
      <c r="D14" s="493" t="s">
        <v>9065</v>
      </c>
      <c r="E14" s="493" t="s">
        <v>9065</v>
      </c>
      <c r="F14" s="493" t="s">
        <v>5908</v>
      </c>
      <c r="G14" s="493" t="s">
        <v>9888</v>
      </c>
      <c r="H14" s="494" t="s">
        <v>5907</v>
      </c>
      <c r="I14" s="646">
        <v>6512400</v>
      </c>
    </row>
    <row r="15" spans="1:9" ht="22.5">
      <c r="A15" s="493">
        <v>12</v>
      </c>
      <c r="B15" s="493" t="s">
        <v>9920</v>
      </c>
      <c r="C15" s="698"/>
      <c r="D15" s="493" t="s">
        <v>9065</v>
      </c>
      <c r="E15" s="493" t="s">
        <v>9065</v>
      </c>
      <c r="F15" s="493" t="s">
        <v>5916</v>
      </c>
      <c r="G15" s="493" t="s">
        <v>9888</v>
      </c>
      <c r="H15" s="494" t="s">
        <v>5915</v>
      </c>
      <c r="I15" s="646">
        <v>6512400</v>
      </c>
    </row>
    <row r="16" spans="1:9" ht="22.5">
      <c r="A16" s="493">
        <v>13</v>
      </c>
      <c r="B16" s="493" t="s">
        <v>9921</v>
      </c>
      <c r="C16" s="698"/>
      <c r="D16" s="493" t="s">
        <v>9065</v>
      </c>
      <c r="E16" s="493" t="s">
        <v>9065</v>
      </c>
      <c r="F16" s="493" t="s">
        <v>5417</v>
      </c>
      <c r="G16" s="493" t="s">
        <v>5130</v>
      </c>
      <c r="H16" s="494" t="s">
        <v>5416</v>
      </c>
      <c r="I16" s="646">
        <v>6512400</v>
      </c>
    </row>
    <row r="17" spans="1:9" ht="22.5">
      <c r="A17" s="493">
        <v>14</v>
      </c>
      <c r="B17" s="493" t="s">
        <v>9926</v>
      </c>
      <c r="C17" s="698"/>
      <c r="D17" s="493" t="s">
        <v>9065</v>
      </c>
      <c r="E17" s="493" t="s">
        <v>9065</v>
      </c>
      <c r="F17" s="493" t="s">
        <v>5926</v>
      </c>
      <c r="G17" s="493" t="s">
        <v>9888</v>
      </c>
      <c r="H17" s="494" t="s">
        <v>5925</v>
      </c>
      <c r="I17" s="646">
        <v>6512400</v>
      </c>
    </row>
    <row r="18" spans="1:9" ht="22.5">
      <c r="A18" s="493">
        <v>15</v>
      </c>
      <c r="B18" s="493" t="s">
        <v>9927</v>
      </c>
      <c r="C18" s="698"/>
      <c r="D18" s="493" t="s">
        <v>9065</v>
      </c>
      <c r="E18" s="493" t="s">
        <v>9065</v>
      </c>
      <c r="F18" s="493" t="s">
        <v>5928</v>
      </c>
      <c r="G18" s="493" t="s">
        <v>9888</v>
      </c>
      <c r="H18" s="494" t="s">
        <v>5927</v>
      </c>
      <c r="I18" s="646">
        <v>6512400</v>
      </c>
    </row>
    <row r="19" spans="1:9" ht="22.5">
      <c r="A19" s="493">
        <v>16</v>
      </c>
      <c r="B19" s="493" t="s">
        <v>9929</v>
      </c>
      <c r="C19" s="698"/>
      <c r="D19" s="493" t="s">
        <v>9065</v>
      </c>
      <c r="E19" s="493" t="s">
        <v>9065</v>
      </c>
      <c r="F19" s="493" t="s">
        <v>5419</v>
      </c>
      <c r="G19" s="493" t="s">
        <v>5130</v>
      </c>
      <c r="H19" s="494" t="s">
        <v>5418</v>
      </c>
      <c r="I19" s="646">
        <v>6512400</v>
      </c>
    </row>
    <row r="20" spans="1:9" ht="22.5">
      <c r="A20" s="493">
        <v>17</v>
      </c>
      <c r="B20" s="493" t="s">
        <v>9932</v>
      </c>
      <c r="C20" s="698"/>
      <c r="D20" s="493" t="s">
        <v>9065</v>
      </c>
      <c r="E20" s="493" t="s">
        <v>9065</v>
      </c>
      <c r="F20" s="493" t="s">
        <v>5932</v>
      </c>
      <c r="G20" s="493" t="s">
        <v>9888</v>
      </c>
      <c r="H20" s="494" t="s">
        <v>5931</v>
      </c>
      <c r="I20" s="646">
        <v>6512400</v>
      </c>
    </row>
    <row r="21" spans="1:9" ht="22.5">
      <c r="A21" s="493">
        <v>18</v>
      </c>
      <c r="B21" s="493" t="s">
        <v>9933</v>
      </c>
      <c r="C21" s="698"/>
      <c r="D21" s="493" t="s">
        <v>9065</v>
      </c>
      <c r="E21" s="493" t="s">
        <v>9065</v>
      </c>
      <c r="F21" s="493" t="s">
        <v>5934</v>
      </c>
      <c r="G21" s="493" t="s">
        <v>9888</v>
      </c>
      <c r="H21" s="494" t="s">
        <v>5933</v>
      </c>
      <c r="I21" s="646">
        <v>6512400</v>
      </c>
    </row>
    <row r="22" spans="1:9" ht="22.5">
      <c r="A22" s="493">
        <v>19</v>
      </c>
      <c r="B22" s="493" t="s">
        <v>9934</v>
      </c>
      <c r="C22" s="698"/>
      <c r="D22" s="493" t="s">
        <v>9065</v>
      </c>
      <c r="E22" s="493" t="s">
        <v>9065</v>
      </c>
      <c r="F22" s="493" t="s">
        <v>5936</v>
      </c>
      <c r="G22" s="493" t="s">
        <v>9888</v>
      </c>
      <c r="H22" s="494" t="s">
        <v>5935</v>
      </c>
      <c r="I22" s="646">
        <v>6512400</v>
      </c>
    </row>
    <row r="23" spans="1:9" ht="22.5">
      <c r="A23" s="493">
        <v>20</v>
      </c>
      <c r="B23" s="493" t="s">
        <v>9942</v>
      </c>
      <c r="C23" s="698"/>
      <c r="D23" s="493" t="s">
        <v>9065</v>
      </c>
      <c r="E23" s="493" t="s">
        <v>9065</v>
      </c>
      <c r="F23" s="493" t="s">
        <v>5429</v>
      </c>
      <c r="G23" s="493" t="s">
        <v>5130</v>
      </c>
      <c r="H23" s="494" t="s">
        <v>5428</v>
      </c>
      <c r="I23" s="646">
        <v>6512400</v>
      </c>
    </row>
    <row r="24" spans="1:9" ht="22.5">
      <c r="A24" s="493">
        <v>21</v>
      </c>
      <c r="B24" s="493" t="s">
        <v>9944</v>
      </c>
      <c r="C24" s="698"/>
      <c r="D24" s="493" t="s">
        <v>9065</v>
      </c>
      <c r="E24" s="493" t="s">
        <v>9065</v>
      </c>
      <c r="F24" s="493" t="s">
        <v>5950</v>
      </c>
      <c r="G24" s="493" t="s">
        <v>9888</v>
      </c>
      <c r="H24" s="494" t="s">
        <v>5949</v>
      </c>
      <c r="I24" s="646">
        <v>6512400</v>
      </c>
    </row>
    <row r="25" spans="1:9" ht="22.5">
      <c r="A25" s="493">
        <v>22</v>
      </c>
      <c r="B25" s="493" t="s">
        <v>9946</v>
      </c>
      <c r="C25" s="698"/>
      <c r="D25" s="493" t="s">
        <v>9065</v>
      </c>
      <c r="E25" s="493" t="s">
        <v>9065</v>
      </c>
      <c r="F25" s="493" t="s">
        <v>5954</v>
      </c>
      <c r="G25" s="493" t="s">
        <v>9888</v>
      </c>
      <c r="H25" s="494" t="s">
        <v>5953</v>
      </c>
      <c r="I25" s="646">
        <v>6512400</v>
      </c>
    </row>
    <row r="26" spans="1:9" ht="22.5">
      <c r="A26" s="493">
        <v>23</v>
      </c>
      <c r="B26" s="493" t="s">
        <v>9947</v>
      </c>
      <c r="C26" s="698"/>
      <c r="D26" s="493" t="s">
        <v>9065</v>
      </c>
      <c r="E26" s="493" t="s">
        <v>9065</v>
      </c>
      <c r="F26" s="493" t="s">
        <v>5956</v>
      </c>
      <c r="G26" s="493" t="s">
        <v>9888</v>
      </c>
      <c r="H26" s="494" t="s">
        <v>5955</v>
      </c>
      <c r="I26" s="646">
        <v>6512400</v>
      </c>
    </row>
    <row r="27" spans="1:9" ht="22.5">
      <c r="A27" s="493">
        <v>24</v>
      </c>
      <c r="B27" s="493" t="s">
        <v>9956</v>
      </c>
      <c r="C27" s="698"/>
      <c r="D27" s="493" t="s">
        <v>9065</v>
      </c>
      <c r="E27" s="493" t="s">
        <v>9065</v>
      </c>
      <c r="F27" s="493" t="s">
        <v>5968</v>
      </c>
      <c r="G27" s="493" t="s">
        <v>9888</v>
      </c>
      <c r="H27" s="494" t="s">
        <v>5967</v>
      </c>
      <c r="I27" s="646">
        <v>6512400</v>
      </c>
    </row>
    <row r="28" spans="1:9" ht="22.5">
      <c r="A28" s="493">
        <v>25</v>
      </c>
      <c r="B28" s="493" t="s">
        <v>9958</v>
      </c>
      <c r="C28" s="698"/>
      <c r="D28" s="493" t="s">
        <v>9065</v>
      </c>
      <c r="E28" s="493" t="s">
        <v>9065</v>
      </c>
      <c r="F28" s="493" t="s">
        <v>5435</v>
      </c>
      <c r="G28" s="493" t="s">
        <v>5130</v>
      </c>
      <c r="H28" s="494" t="s">
        <v>5434</v>
      </c>
      <c r="I28" s="646">
        <v>6512400</v>
      </c>
    </row>
    <row r="29" spans="1:9" ht="22.5">
      <c r="A29" s="493">
        <v>26</v>
      </c>
      <c r="B29" s="493" t="s">
        <v>9979</v>
      </c>
      <c r="C29" s="698"/>
      <c r="D29" s="493" t="s">
        <v>9065</v>
      </c>
      <c r="E29" s="493" t="s">
        <v>9065</v>
      </c>
      <c r="F29" s="493" t="s">
        <v>5998</v>
      </c>
      <c r="G29" s="493" t="s">
        <v>9888</v>
      </c>
      <c r="H29" s="494" t="s">
        <v>5997</v>
      </c>
      <c r="I29" s="646">
        <v>6512400</v>
      </c>
    </row>
    <row r="30" spans="1:9" ht="22.5">
      <c r="A30" s="493">
        <v>27</v>
      </c>
      <c r="B30" s="493" t="s">
        <v>9980</v>
      </c>
      <c r="C30" s="698"/>
      <c r="D30" s="493" t="s">
        <v>9065</v>
      </c>
      <c r="E30" s="493" t="s">
        <v>9065</v>
      </c>
      <c r="F30" s="493" t="s">
        <v>5449</v>
      </c>
      <c r="G30" s="493" t="s">
        <v>5130</v>
      </c>
      <c r="H30" s="494" t="s">
        <v>5448</v>
      </c>
      <c r="I30" s="646">
        <v>6512400</v>
      </c>
    </row>
    <row r="31" spans="1:9" ht="22.5">
      <c r="A31" s="493">
        <v>28</v>
      </c>
      <c r="B31" s="493" t="s">
        <v>9998</v>
      </c>
      <c r="C31" s="698"/>
      <c r="D31" s="493" t="s">
        <v>9065</v>
      </c>
      <c r="E31" s="493" t="s">
        <v>9065</v>
      </c>
      <c r="F31" s="493" t="s">
        <v>6020</v>
      </c>
      <c r="G31" s="493" t="s">
        <v>9888</v>
      </c>
      <c r="H31" s="494" t="s">
        <v>6019</v>
      </c>
      <c r="I31" s="646">
        <v>6512400</v>
      </c>
    </row>
    <row r="32" spans="1:9" ht="22.5">
      <c r="A32" s="493">
        <v>29</v>
      </c>
      <c r="B32" s="493" t="s">
        <v>10000</v>
      </c>
      <c r="C32" s="698"/>
      <c r="D32" s="493" t="s">
        <v>9065</v>
      </c>
      <c r="E32" s="493" t="s">
        <v>9065</v>
      </c>
      <c r="F32" s="493" t="s">
        <v>6022</v>
      </c>
      <c r="G32" s="493" t="s">
        <v>9888</v>
      </c>
      <c r="H32" s="494" t="s">
        <v>6021</v>
      </c>
      <c r="I32" s="646">
        <v>6512400</v>
      </c>
    </row>
    <row r="33" spans="1:9" ht="22.5">
      <c r="A33" s="493">
        <v>30</v>
      </c>
      <c r="B33" s="493" t="s">
        <v>10001</v>
      </c>
      <c r="C33" s="698"/>
      <c r="D33" s="493" t="s">
        <v>9065</v>
      </c>
      <c r="E33" s="493" t="s">
        <v>9065</v>
      </c>
      <c r="F33" s="493" t="s">
        <v>6024</v>
      </c>
      <c r="G33" s="493" t="s">
        <v>9888</v>
      </c>
      <c r="H33" s="494" t="s">
        <v>6023</v>
      </c>
      <c r="I33" s="646">
        <v>6512400</v>
      </c>
    </row>
    <row r="34" spans="1:9" ht="22.5">
      <c r="A34" s="493">
        <v>31</v>
      </c>
      <c r="B34" s="493" t="s">
        <v>10002</v>
      </c>
      <c r="C34" s="698"/>
      <c r="D34" s="493" t="s">
        <v>9065</v>
      </c>
      <c r="E34" s="493" t="s">
        <v>9065</v>
      </c>
      <c r="F34" s="493" t="s">
        <v>6026</v>
      </c>
      <c r="G34" s="493" t="s">
        <v>9888</v>
      </c>
      <c r="H34" s="494" t="s">
        <v>6025</v>
      </c>
      <c r="I34" s="646">
        <v>6512400</v>
      </c>
    </row>
    <row r="35" spans="1:9" ht="22.5">
      <c r="A35" s="493">
        <v>32</v>
      </c>
      <c r="B35" s="493" t="s">
        <v>10007</v>
      </c>
      <c r="C35" s="698"/>
      <c r="D35" s="493" t="s">
        <v>9065</v>
      </c>
      <c r="E35" s="493" t="s">
        <v>9065</v>
      </c>
      <c r="F35" s="493" t="s">
        <v>6034</v>
      </c>
      <c r="G35" s="493" t="s">
        <v>9888</v>
      </c>
      <c r="H35" s="494" t="s">
        <v>6033</v>
      </c>
      <c r="I35" s="646">
        <v>6512400</v>
      </c>
    </row>
    <row r="36" spans="1:9" ht="22.5">
      <c r="A36" s="493">
        <v>33</v>
      </c>
      <c r="B36" s="493" t="s">
        <v>10005</v>
      </c>
      <c r="C36" s="698"/>
      <c r="D36" s="493" t="s">
        <v>9065</v>
      </c>
      <c r="E36" s="493" t="s">
        <v>9065</v>
      </c>
      <c r="F36" s="493" t="s">
        <v>6030</v>
      </c>
      <c r="G36" s="493" t="s">
        <v>9888</v>
      </c>
      <c r="H36" s="494" t="s">
        <v>6029</v>
      </c>
      <c r="I36" s="646">
        <v>6512400</v>
      </c>
    </row>
    <row r="37" spans="1:9" ht="22.5">
      <c r="A37" s="493">
        <v>34</v>
      </c>
      <c r="B37" s="493" t="s">
        <v>10008</v>
      </c>
      <c r="C37" s="698"/>
      <c r="D37" s="493" t="s">
        <v>9065</v>
      </c>
      <c r="E37" s="493" t="s">
        <v>9065</v>
      </c>
      <c r="F37" s="493" t="s">
        <v>6036</v>
      </c>
      <c r="G37" s="493" t="s">
        <v>9888</v>
      </c>
      <c r="H37" s="494" t="s">
        <v>6035</v>
      </c>
      <c r="I37" s="646">
        <v>6512400</v>
      </c>
    </row>
    <row r="38" spans="1:9" ht="22.5">
      <c r="A38" s="493">
        <v>35</v>
      </c>
      <c r="B38" s="493" t="s">
        <v>10015</v>
      </c>
      <c r="C38" s="698"/>
      <c r="D38" s="493" t="s">
        <v>9065</v>
      </c>
      <c r="E38" s="493" t="s">
        <v>9065</v>
      </c>
      <c r="F38" s="493" t="s">
        <v>6044</v>
      </c>
      <c r="G38" s="493" t="s">
        <v>9888</v>
      </c>
      <c r="H38" s="494" t="s">
        <v>6043</v>
      </c>
      <c r="I38" s="646">
        <v>6512400</v>
      </c>
    </row>
    <row r="39" spans="1:9" ht="22.5">
      <c r="A39" s="493">
        <v>36</v>
      </c>
      <c r="B39" s="493" t="s">
        <v>10259</v>
      </c>
      <c r="C39" s="698"/>
      <c r="D39" s="493" t="s">
        <v>9065</v>
      </c>
      <c r="E39" s="493" t="s">
        <v>9065</v>
      </c>
      <c r="F39" s="493" t="s">
        <v>6350</v>
      </c>
      <c r="G39" s="493" t="s">
        <v>9888</v>
      </c>
      <c r="H39" s="494" t="s">
        <v>6349</v>
      </c>
      <c r="I39" s="646">
        <v>6512400</v>
      </c>
    </row>
    <row r="40" spans="1:9" ht="22.5">
      <c r="A40" s="493">
        <v>37</v>
      </c>
      <c r="B40" s="493" t="s">
        <v>10316</v>
      </c>
      <c r="C40" s="698"/>
      <c r="D40" s="493" t="s">
        <v>9065</v>
      </c>
      <c r="E40" s="493" t="s">
        <v>9065</v>
      </c>
      <c r="F40" s="493" t="s">
        <v>6441</v>
      </c>
      <c r="G40" s="493" t="s">
        <v>9888</v>
      </c>
      <c r="H40" s="494" t="s">
        <v>6440</v>
      </c>
      <c r="I40" s="646">
        <v>6512400</v>
      </c>
    </row>
    <row r="41" spans="1:9" ht="22.5">
      <c r="A41" s="493">
        <v>38</v>
      </c>
      <c r="B41" s="493" t="s">
        <v>10017</v>
      </c>
      <c r="C41" s="698"/>
      <c r="D41" s="493" t="s">
        <v>9065</v>
      </c>
      <c r="E41" s="493" t="s">
        <v>9065</v>
      </c>
      <c r="F41" s="493" t="s">
        <v>5471</v>
      </c>
      <c r="G41" s="493" t="s">
        <v>5130</v>
      </c>
      <c r="H41" s="494" t="s">
        <v>5470</v>
      </c>
      <c r="I41" s="646">
        <v>6512400</v>
      </c>
    </row>
    <row r="42" spans="1:9" ht="22.5">
      <c r="A42" s="493">
        <v>39</v>
      </c>
      <c r="B42" s="493" t="s">
        <v>10182</v>
      </c>
      <c r="C42" s="698"/>
      <c r="D42" s="493" t="s">
        <v>9065</v>
      </c>
      <c r="E42" s="493" t="s">
        <v>9065</v>
      </c>
      <c r="F42" s="493" t="s">
        <v>6240</v>
      </c>
      <c r="G42" s="493" t="s">
        <v>9888</v>
      </c>
      <c r="H42" s="494" t="s">
        <v>6239</v>
      </c>
      <c r="I42" s="646">
        <v>6512400</v>
      </c>
    </row>
    <row r="43" spans="1:9" ht="22.5">
      <c r="A43" s="493">
        <v>40</v>
      </c>
      <c r="B43" s="493" t="s">
        <v>10668</v>
      </c>
      <c r="C43" s="698"/>
      <c r="D43" s="493" t="s">
        <v>9065</v>
      </c>
      <c r="E43" s="493" t="s">
        <v>9065</v>
      </c>
      <c r="F43" s="493" t="s">
        <v>5804</v>
      </c>
      <c r="G43" s="493" t="s">
        <v>5130</v>
      </c>
      <c r="H43" s="494" t="s">
        <v>5803</v>
      </c>
      <c r="I43" s="646">
        <v>6512400</v>
      </c>
    </row>
    <row r="44" spans="1:9" ht="22.5">
      <c r="A44" s="493">
        <v>41</v>
      </c>
      <c r="B44" s="493" t="s">
        <v>10739</v>
      </c>
      <c r="C44" s="698"/>
      <c r="D44" s="493" t="s">
        <v>9065</v>
      </c>
      <c r="E44" s="493" t="s">
        <v>9065</v>
      </c>
      <c r="F44" s="493" t="s">
        <v>7123</v>
      </c>
      <c r="G44" s="493" t="s">
        <v>9888</v>
      </c>
      <c r="H44" s="494" t="s">
        <v>7122</v>
      </c>
      <c r="I44" s="646">
        <v>6512400</v>
      </c>
    </row>
    <row r="45" spans="1:9" ht="22.5">
      <c r="A45" s="493">
        <v>42</v>
      </c>
      <c r="B45" s="493" t="s">
        <v>10814</v>
      </c>
      <c r="C45" s="698"/>
      <c r="D45" s="493" t="s">
        <v>9065</v>
      </c>
      <c r="E45" s="493" t="s">
        <v>9065</v>
      </c>
      <c r="F45" s="493" t="s">
        <v>7250</v>
      </c>
      <c r="G45" s="493" t="s">
        <v>9888</v>
      </c>
      <c r="H45" s="494" t="s">
        <v>7249</v>
      </c>
      <c r="I45" s="646">
        <v>6512400</v>
      </c>
    </row>
    <row r="46" spans="1:9" ht="22.5">
      <c r="A46" s="493">
        <v>43</v>
      </c>
      <c r="B46" s="493" t="s">
        <v>10403</v>
      </c>
      <c r="C46" s="698"/>
      <c r="D46" s="493" t="s">
        <v>9065</v>
      </c>
      <c r="E46" s="493" t="s">
        <v>9065</v>
      </c>
      <c r="F46" s="493" t="s">
        <v>6582</v>
      </c>
      <c r="G46" s="493" t="s">
        <v>9888</v>
      </c>
      <c r="H46" s="494" t="s">
        <v>6581</v>
      </c>
      <c r="I46" s="646">
        <v>6512400</v>
      </c>
    </row>
    <row r="47" spans="1:9" ht="22.5">
      <c r="A47" s="493">
        <v>44</v>
      </c>
      <c r="B47" s="493" t="s">
        <v>10025</v>
      </c>
      <c r="C47" s="698"/>
      <c r="D47" s="493" t="s">
        <v>9065</v>
      </c>
      <c r="E47" s="493" t="s">
        <v>9065</v>
      </c>
      <c r="F47" s="493" t="s">
        <v>6049</v>
      </c>
      <c r="G47" s="493" t="s">
        <v>9888</v>
      </c>
      <c r="H47" s="494" t="s">
        <v>6048</v>
      </c>
      <c r="I47" s="646">
        <v>6512400</v>
      </c>
    </row>
    <row r="48" spans="1:9" ht="22.5">
      <c r="A48" s="493">
        <v>45</v>
      </c>
      <c r="B48" s="493" t="s">
        <v>10036</v>
      </c>
      <c r="C48" s="698"/>
      <c r="D48" s="493" t="s">
        <v>9065</v>
      </c>
      <c r="E48" s="493" t="s">
        <v>9065</v>
      </c>
      <c r="F48" s="493" t="s">
        <v>5500</v>
      </c>
      <c r="G48" s="493" t="s">
        <v>5130</v>
      </c>
      <c r="H48" s="494" t="s">
        <v>5499</v>
      </c>
      <c r="I48" s="646">
        <v>6512400</v>
      </c>
    </row>
    <row r="49" spans="1:9" ht="22.5">
      <c r="A49" s="493">
        <v>46</v>
      </c>
      <c r="B49" s="493" t="s">
        <v>10040</v>
      </c>
      <c r="C49" s="698"/>
      <c r="D49" s="493" t="s">
        <v>9065</v>
      </c>
      <c r="E49" s="493" t="s">
        <v>9065</v>
      </c>
      <c r="F49" s="493" t="s">
        <v>6061</v>
      </c>
      <c r="G49" s="493" t="s">
        <v>9888</v>
      </c>
      <c r="H49" s="494" t="s">
        <v>6060</v>
      </c>
      <c r="I49" s="646">
        <v>6512400</v>
      </c>
    </row>
    <row r="50" spans="1:9" ht="22.5">
      <c r="A50" s="493">
        <v>47</v>
      </c>
      <c r="B50" s="493" t="s">
        <v>10094</v>
      </c>
      <c r="C50" s="698"/>
      <c r="D50" s="493" t="s">
        <v>9065</v>
      </c>
      <c r="E50" s="493" t="s">
        <v>9065</v>
      </c>
      <c r="F50" s="493" t="s">
        <v>5558</v>
      </c>
      <c r="G50" s="493" t="s">
        <v>5130</v>
      </c>
      <c r="H50" s="494" t="s">
        <v>5557</v>
      </c>
      <c r="I50" s="646">
        <v>6512400</v>
      </c>
    </row>
    <row r="51" spans="1:9" ht="22.5">
      <c r="A51" s="493">
        <v>48</v>
      </c>
      <c r="B51" s="493" t="s">
        <v>10070</v>
      </c>
      <c r="C51" s="698"/>
      <c r="D51" s="493" t="s">
        <v>9065</v>
      </c>
      <c r="E51" s="493" t="s">
        <v>9065</v>
      </c>
      <c r="F51" s="493" t="s">
        <v>5540</v>
      </c>
      <c r="G51" s="493" t="s">
        <v>5130</v>
      </c>
      <c r="H51" s="494" t="s">
        <v>5539</v>
      </c>
      <c r="I51" s="646">
        <v>6512400</v>
      </c>
    </row>
    <row r="52" spans="1:9" ht="22.5">
      <c r="A52" s="493">
        <v>49</v>
      </c>
      <c r="B52" s="493" t="s">
        <v>10042</v>
      </c>
      <c r="C52" s="698"/>
      <c r="D52" s="493" t="s">
        <v>9065</v>
      </c>
      <c r="E52" s="493" t="s">
        <v>9065</v>
      </c>
      <c r="F52" s="493" t="s">
        <v>5506</v>
      </c>
      <c r="G52" s="493" t="s">
        <v>5130</v>
      </c>
      <c r="H52" s="494" t="s">
        <v>5505</v>
      </c>
      <c r="I52" s="646">
        <v>6512400</v>
      </c>
    </row>
    <row r="53" spans="1:9" ht="22.5">
      <c r="A53" s="493">
        <v>50</v>
      </c>
      <c r="B53" s="493" t="s">
        <v>10049</v>
      </c>
      <c r="C53" s="698"/>
      <c r="D53" s="493" t="s">
        <v>9065</v>
      </c>
      <c r="E53" s="493" t="s">
        <v>9065</v>
      </c>
      <c r="F53" s="493" t="s">
        <v>5518</v>
      </c>
      <c r="G53" s="493" t="s">
        <v>5130</v>
      </c>
      <c r="H53" s="494" t="s">
        <v>5517</v>
      </c>
      <c r="I53" s="646">
        <v>6512400</v>
      </c>
    </row>
    <row r="54" spans="1:9" ht="22.5">
      <c r="A54" s="493">
        <v>51</v>
      </c>
      <c r="B54" s="493" t="s">
        <v>10166</v>
      </c>
      <c r="C54" s="698"/>
      <c r="D54" s="493" t="s">
        <v>9065</v>
      </c>
      <c r="E54" s="493" t="s">
        <v>9065</v>
      </c>
      <c r="F54" s="493" t="s">
        <v>5595</v>
      </c>
      <c r="G54" s="493" t="s">
        <v>5130</v>
      </c>
      <c r="H54" s="494" t="s">
        <v>5594</v>
      </c>
      <c r="I54" s="646">
        <v>6512400</v>
      </c>
    </row>
    <row r="55" spans="1:9" ht="22.5">
      <c r="A55" s="493">
        <v>52</v>
      </c>
      <c r="B55" s="493" t="s">
        <v>10838</v>
      </c>
      <c r="C55" s="698"/>
      <c r="D55" s="493" t="s">
        <v>9065</v>
      </c>
      <c r="E55" s="493" t="s">
        <v>9065</v>
      </c>
      <c r="F55" s="493" t="s">
        <v>7294</v>
      </c>
      <c r="G55" s="493" t="s">
        <v>9888</v>
      </c>
      <c r="H55" s="494" t="s">
        <v>7293</v>
      </c>
      <c r="I55" s="646">
        <v>6512400</v>
      </c>
    </row>
    <row r="56" spans="1:9" ht="22.5">
      <c r="A56" s="493">
        <v>53</v>
      </c>
      <c r="B56" s="493" t="s">
        <v>10207</v>
      </c>
      <c r="C56" s="698"/>
      <c r="D56" s="493" t="s">
        <v>9065</v>
      </c>
      <c r="E56" s="493" t="s">
        <v>9065</v>
      </c>
      <c r="F56" s="493" t="s">
        <v>6281</v>
      </c>
      <c r="G56" s="493" t="s">
        <v>9888</v>
      </c>
      <c r="H56" s="494" t="s">
        <v>6280</v>
      </c>
      <c r="I56" s="646">
        <v>6512400</v>
      </c>
    </row>
    <row r="57" spans="1:9" ht="22.5">
      <c r="A57" s="493">
        <v>54</v>
      </c>
      <c r="B57" s="493" t="s">
        <v>10210</v>
      </c>
      <c r="C57" s="698"/>
      <c r="D57" s="493" t="s">
        <v>9065</v>
      </c>
      <c r="E57" s="493" t="s">
        <v>9065</v>
      </c>
      <c r="F57" s="493" t="s">
        <v>6287</v>
      </c>
      <c r="G57" s="493" t="s">
        <v>9888</v>
      </c>
      <c r="H57" s="494" t="s">
        <v>6286</v>
      </c>
      <c r="I57" s="646">
        <v>6512400</v>
      </c>
    </row>
    <row r="58" spans="1:9" ht="22.5">
      <c r="A58" s="493">
        <v>55</v>
      </c>
      <c r="B58" s="493" t="s">
        <v>10104</v>
      </c>
      <c r="C58" s="698"/>
      <c r="D58" s="493" t="s">
        <v>9065</v>
      </c>
      <c r="E58" s="493" t="s">
        <v>9065</v>
      </c>
      <c r="F58" s="493" t="s">
        <v>6131</v>
      </c>
      <c r="G58" s="493" t="s">
        <v>9888</v>
      </c>
      <c r="H58" s="494" t="s">
        <v>6130</v>
      </c>
      <c r="I58" s="646">
        <v>6512400</v>
      </c>
    </row>
    <row r="59" spans="1:9" ht="22.5">
      <c r="A59" s="493">
        <v>56</v>
      </c>
      <c r="B59" s="493" t="s">
        <v>10175</v>
      </c>
      <c r="C59" s="698"/>
      <c r="D59" s="493" t="s">
        <v>9065</v>
      </c>
      <c r="E59" s="493" t="s">
        <v>9065</v>
      </c>
      <c r="F59" s="493" t="s">
        <v>6233</v>
      </c>
      <c r="G59" s="493" t="s">
        <v>9888</v>
      </c>
      <c r="H59" s="494" t="s">
        <v>6232</v>
      </c>
      <c r="I59" s="646">
        <v>6512400</v>
      </c>
    </row>
    <row r="60" spans="1:9" ht="22.5">
      <c r="A60" s="493">
        <v>57</v>
      </c>
      <c r="B60" s="493" t="s">
        <v>10235</v>
      </c>
      <c r="C60" s="698"/>
      <c r="D60" s="493" t="s">
        <v>9065</v>
      </c>
      <c r="E60" s="493" t="s">
        <v>9065</v>
      </c>
      <c r="F60" s="493" t="s">
        <v>5636</v>
      </c>
      <c r="G60" s="493" t="s">
        <v>5130</v>
      </c>
      <c r="H60" s="494" t="s">
        <v>5635</v>
      </c>
      <c r="I60" s="646">
        <v>6512400</v>
      </c>
    </row>
    <row r="61" spans="1:9" ht="22.5">
      <c r="A61" s="493">
        <v>58</v>
      </c>
      <c r="B61" s="493" t="s">
        <v>10095</v>
      </c>
      <c r="C61" s="698"/>
      <c r="D61" s="493" t="s">
        <v>9065</v>
      </c>
      <c r="E61" s="493" t="s">
        <v>9065</v>
      </c>
      <c r="F61" s="493" t="s">
        <v>6115</v>
      </c>
      <c r="G61" s="493" t="s">
        <v>9888</v>
      </c>
      <c r="H61" s="494" t="s">
        <v>6114</v>
      </c>
      <c r="I61" s="646">
        <v>6512400</v>
      </c>
    </row>
    <row r="62" spans="1:9" ht="22.5">
      <c r="A62" s="493">
        <v>59</v>
      </c>
      <c r="B62" s="493" t="s">
        <v>10140</v>
      </c>
      <c r="C62" s="698"/>
      <c r="D62" s="493" t="s">
        <v>9065</v>
      </c>
      <c r="E62" s="493" t="s">
        <v>9065</v>
      </c>
      <c r="F62" s="493" t="s">
        <v>6180</v>
      </c>
      <c r="G62" s="493" t="s">
        <v>9888</v>
      </c>
      <c r="H62" s="494" t="s">
        <v>6179</v>
      </c>
      <c r="I62" s="646">
        <v>6512400</v>
      </c>
    </row>
    <row r="63" spans="1:9" ht="22.5">
      <c r="A63" s="493">
        <v>60</v>
      </c>
      <c r="B63" s="493" t="s">
        <v>10059</v>
      </c>
      <c r="C63" s="698"/>
      <c r="D63" s="493" t="s">
        <v>9065</v>
      </c>
      <c r="E63" s="493" t="s">
        <v>9065</v>
      </c>
      <c r="F63" s="493" t="s">
        <v>6079</v>
      </c>
      <c r="G63" s="493" t="s">
        <v>9888</v>
      </c>
      <c r="H63" s="494" t="s">
        <v>6078</v>
      </c>
      <c r="I63" s="646">
        <v>6512400</v>
      </c>
    </row>
    <row r="64" spans="1:9" ht="22.5">
      <c r="A64" s="493">
        <v>61</v>
      </c>
      <c r="B64" s="493" t="s">
        <v>10071</v>
      </c>
      <c r="C64" s="698"/>
      <c r="D64" s="493" t="s">
        <v>9065</v>
      </c>
      <c r="E64" s="493" t="s">
        <v>9065</v>
      </c>
      <c r="F64" s="493" t="s">
        <v>6085</v>
      </c>
      <c r="G64" s="493" t="s">
        <v>9888</v>
      </c>
      <c r="H64" s="494" t="s">
        <v>6084</v>
      </c>
      <c r="I64" s="646">
        <v>6512400</v>
      </c>
    </row>
    <row r="65" spans="1:9" ht="22.5">
      <c r="A65" s="493">
        <v>62</v>
      </c>
      <c r="B65" s="493" t="s">
        <v>10054</v>
      </c>
      <c r="C65" s="698"/>
      <c r="D65" s="493" t="s">
        <v>9065</v>
      </c>
      <c r="E65" s="493" t="s">
        <v>9065</v>
      </c>
      <c r="F65" s="493" t="s">
        <v>6073</v>
      </c>
      <c r="G65" s="493" t="s">
        <v>9888</v>
      </c>
      <c r="H65" s="494" t="s">
        <v>6072</v>
      </c>
      <c r="I65" s="646">
        <v>6512400</v>
      </c>
    </row>
    <row r="66" spans="1:9" ht="22.5">
      <c r="A66" s="493">
        <v>63</v>
      </c>
      <c r="B66" s="493" t="s">
        <v>10076</v>
      </c>
      <c r="C66" s="698"/>
      <c r="D66" s="493" t="s">
        <v>9065</v>
      </c>
      <c r="E66" s="493" t="s">
        <v>9065</v>
      </c>
      <c r="F66" s="493" t="s">
        <v>6091</v>
      </c>
      <c r="G66" s="493" t="s">
        <v>9888</v>
      </c>
      <c r="H66" s="494" t="s">
        <v>6090</v>
      </c>
      <c r="I66" s="646">
        <v>6512400</v>
      </c>
    </row>
    <row r="67" spans="1:9" ht="22.5">
      <c r="A67" s="493">
        <v>64</v>
      </c>
      <c r="B67" s="493" t="s">
        <v>10075</v>
      </c>
      <c r="C67" s="698"/>
      <c r="D67" s="493" t="s">
        <v>9065</v>
      </c>
      <c r="E67" s="493" t="s">
        <v>9065</v>
      </c>
      <c r="F67" s="493" t="s">
        <v>6089</v>
      </c>
      <c r="G67" s="493" t="s">
        <v>9888</v>
      </c>
      <c r="H67" s="494" t="s">
        <v>6088</v>
      </c>
      <c r="I67" s="646">
        <v>6512400</v>
      </c>
    </row>
    <row r="68" spans="1:9" ht="22.5">
      <c r="A68" s="493">
        <v>65</v>
      </c>
      <c r="B68" s="493" t="s">
        <v>10046</v>
      </c>
      <c r="C68" s="698"/>
      <c r="D68" s="493" t="s">
        <v>9065</v>
      </c>
      <c r="E68" s="493" t="s">
        <v>9065</v>
      </c>
      <c r="F68" s="493" t="s">
        <v>6065</v>
      </c>
      <c r="G68" s="493" t="s">
        <v>9888</v>
      </c>
      <c r="H68" s="494" t="s">
        <v>6064</v>
      </c>
      <c r="I68" s="646">
        <v>6512400</v>
      </c>
    </row>
    <row r="69" spans="1:9" ht="22.5">
      <c r="A69" s="493">
        <v>66</v>
      </c>
      <c r="B69" s="493" t="s">
        <v>10072</v>
      </c>
      <c r="C69" s="698"/>
      <c r="D69" s="493" t="s">
        <v>9065</v>
      </c>
      <c r="E69" s="493" t="s">
        <v>9065</v>
      </c>
      <c r="F69" s="493" t="s">
        <v>6087</v>
      </c>
      <c r="G69" s="493" t="s">
        <v>9888</v>
      </c>
      <c r="H69" s="494" t="s">
        <v>6086</v>
      </c>
      <c r="I69" s="646">
        <v>6512400</v>
      </c>
    </row>
    <row r="70" spans="1:9" ht="22.5">
      <c r="A70" s="493">
        <v>67</v>
      </c>
      <c r="B70" s="493" t="s">
        <v>10051</v>
      </c>
      <c r="C70" s="698"/>
      <c r="D70" s="493" t="s">
        <v>9065</v>
      </c>
      <c r="E70" s="493" t="s">
        <v>9065</v>
      </c>
      <c r="F70" s="493" t="s">
        <v>6067</v>
      </c>
      <c r="G70" s="493" t="s">
        <v>9888</v>
      </c>
      <c r="H70" s="494" t="s">
        <v>6066</v>
      </c>
      <c r="I70" s="646">
        <v>6512400</v>
      </c>
    </row>
    <row r="71" spans="1:9" ht="22.5">
      <c r="A71" s="493">
        <v>68</v>
      </c>
      <c r="B71" s="493" t="s">
        <v>10087</v>
      </c>
      <c r="C71" s="698"/>
      <c r="D71" s="493" t="s">
        <v>9065</v>
      </c>
      <c r="E71" s="493" t="s">
        <v>9065</v>
      </c>
      <c r="F71" s="493" t="s">
        <v>6107</v>
      </c>
      <c r="G71" s="493" t="s">
        <v>9888</v>
      </c>
      <c r="H71" s="494" t="s">
        <v>6106</v>
      </c>
      <c r="I71" s="646">
        <v>6512400</v>
      </c>
    </row>
    <row r="72" spans="1:9" ht="22.5">
      <c r="A72" s="493">
        <v>69</v>
      </c>
      <c r="B72" s="493" t="s">
        <v>10055</v>
      </c>
      <c r="C72" s="698"/>
      <c r="D72" s="493" t="s">
        <v>9065</v>
      </c>
      <c r="E72" s="493" t="s">
        <v>9065</v>
      </c>
      <c r="F72" s="493" t="s">
        <v>6075</v>
      </c>
      <c r="G72" s="493" t="s">
        <v>9888</v>
      </c>
      <c r="H72" s="494" t="s">
        <v>6074</v>
      </c>
      <c r="I72" s="646">
        <v>6512400</v>
      </c>
    </row>
    <row r="73" spans="1:9" ht="22.5">
      <c r="A73" s="493">
        <v>70</v>
      </c>
      <c r="B73" s="493" t="s">
        <v>10147</v>
      </c>
      <c r="C73" s="698"/>
      <c r="D73" s="493" t="s">
        <v>9065</v>
      </c>
      <c r="E73" s="493" t="s">
        <v>9065</v>
      </c>
      <c r="F73" s="493" t="s">
        <v>5583</v>
      </c>
      <c r="G73" s="493" t="s">
        <v>5130</v>
      </c>
      <c r="H73" s="494" t="s">
        <v>5582</v>
      </c>
      <c r="I73" s="646">
        <v>6512400</v>
      </c>
    </row>
    <row r="74" spans="1:9" ht="22.5">
      <c r="A74" s="493">
        <v>71</v>
      </c>
      <c r="B74" s="493" t="s">
        <v>9923</v>
      </c>
      <c r="C74" s="698"/>
      <c r="D74" s="493" t="s">
        <v>9065</v>
      </c>
      <c r="E74" s="493" t="s">
        <v>9065</v>
      </c>
      <c r="F74" s="493" t="s">
        <v>5920</v>
      </c>
      <c r="G74" s="493" t="s">
        <v>9888</v>
      </c>
      <c r="H74" s="494" t="s">
        <v>5919</v>
      </c>
      <c r="I74" s="646">
        <v>6512400</v>
      </c>
    </row>
    <row r="75" spans="1:9" ht="22.5">
      <c r="A75" s="493">
        <v>72</v>
      </c>
      <c r="B75" s="493" t="s">
        <v>10172</v>
      </c>
      <c r="C75" s="698"/>
      <c r="D75" s="493" t="s">
        <v>9065</v>
      </c>
      <c r="E75" s="493" t="s">
        <v>9065</v>
      </c>
      <c r="F75" s="493" t="s">
        <v>5597</v>
      </c>
      <c r="G75" s="493" t="s">
        <v>5130</v>
      </c>
      <c r="H75" s="494" t="s">
        <v>5596</v>
      </c>
      <c r="I75" s="646">
        <v>6512400</v>
      </c>
    </row>
    <row r="76" spans="1:9" ht="22.5">
      <c r="A76" s="493">
        <v>73</v>
      </c>
      <c r="B76" s="493" t="s">
        <v>10238</v>
      </c>
      <c r="C76" s="698"/>
      <c r="D76" s="493" t="s">
        <v>9065</v>
      </c>
      <c r="E76" s="493" t="s">
        <v>9065</v>
      </c>
      <c r="F76" s="493" t="s">
        <v>5642</v>
      </c>
      <c r="G76" s="493" t="s">
        <v>5130</v>
      </c>
      <c r="H76" s="494" t="s">
        <v>5641</v>
      </c>
      <c r="I76" s="646">
        <v>6512400</v>
      </c>
    </row>
    <row r="77" spans="1:9" ht="22.5">
      <c r="A77" s="493">
        <v>74</v>
      </c>
      <c r="B77" s="493" t="s">
        <v>10126</v>
      </c>
      <c r="C77" s="698"/>
      <c r="D77" s="493" t="s">
        <v>9065</v>
      </c>
      <c r="E77" s="493" t="s">
        <v>9065</v>
      </c>
      <c r="F77" s="493" t="s">
        <v>6161</v>
      </c>
      <c r="G77" s="493" t="s">
        <v>9888</v>
      </c>
      <c r="H77" s="494" t="s">
        <v>6160</v>
      </c>
      <c r="I77" s="646">
        <v>6512400</v>
      </c>
    </row>
    <row r="78" spans="1:9" ht="22.5">
      <c r="A78" s="493">
        <v>75</v>
      </c>
      <c r="B78" s="493" t="s">
        <v>10834</v>
      </c>
      <c r="C78" s="698"/>
      <c r="D78" s="493" t="s">
        <v>9065</v>
      </c>
      <c r="E78" s="493" t="s">
        <v>9065</v>
      </c>
      <c r="F78" s="493" t="s">
        <v>7286</v>
      </c>
      <c r="G78" s="493" t="s">
        <v>9888</v>
      </c>
      <c r="H78" s="494" t="s">
        <v>7285</v>
      </c>
      <c r="I78" s="646">
        <v>6512400</v>
      </c>
    </row>
    <row r="79" spans="1:9" ht="22.5">
      <c r="A79" s="493">
        <v>76</v>
      </c>
      <c r="B79" s="493" t="s">
        <v>10496</v>
      </c>
      <c r="C79" s="698"/>
      <c r="D79" s="493" t="s">
        <v>9065</v>
      </c>
      <c r="E79" s="493" t="s">
        <v>9065</v>
      </c>
      <c r="F79" s="493" t="s">
        <v>6736</v>
      </c>
      <c r="G79" s="493" t="s">
        <v>9888</v>
      </c>
      <c r="H79" s="494" t="s">
        <v>6735</v>
      </c>
      <c r="I79" s="646">
        <v>6512400</v>
      </c>
    </row>
    <row r="80" spans="1:9" ht="22.5">
      <c r="A80" s="493">
        <v>77</v>
      </c>
      <c r="B80" s="493" t="s">
        <v>10499</v>
      </c>
      <c r="C80" s="698"/>
      <c r="D80" s="493" t="s">
        <v>9065</v>
      </c>
      <c r="E80" s="493" t="s">
        <v>9065</v>
      </c>
      <c r="F80" s="493" t="s">
        <v>6742</v>
      </c>
      <c r="G80" s="493" t="s">
        <v>9888</v>
      </c>
      <c r="H80" s="494" t="s">
        <v>6741</v>
      </c>
      <c r="I80" s="646">
        <v>6512400</v>
      </c>
    </row>
    <row r="81" spans="1:9" ht="22.5">
      <c r="A81" s="493">
        <v>78</v>
      </c>
      <c r="B81" s="493" t="s">
        <v>10517</v>
      </c>
      <c r="C81" s="698"/>
      <c r="D81" s="493" t="s">
        <v>9065</v>
      </c>
      <c r="E81" s="493" t="s">
        <v>9065</v>
      </c>
      <c r="F81" s="493" t="s">
        <v>6775</v>
      </c>
      <c r="G81" s="493" t="s">
        <v>9888</v>
      </c>
      <c r="H81" s="494" t="s">
        <v>6774</v>
      </c>
      <c r="I81" s="646">
        <v>6512400</v>
      </c>
    </row>
    <row r="82" spans="1:9" ht="22.5">
      <c r="A82" s="493">
        <v>79</v>
      </c>
      <c r="B82" s="493" t="s">
        <v>10614</v>
      </c>
      <c r="C82" s="698"/>
      <c r="D82" s="493" t="s">
        <v>9065</v>
      </c>
      <c r="E82" s="493" t="s">
        <v>9065</v>
      </c>
      <c r="F82" s="493" t="s">
        <v>6940</v>
      </c>
      <c r="G82" s="493" t="s">
        <v>9888</v>
      </c>
      <c r="H82" s="494" t="s">
        <v>6939</v>
      </c>
      <c r="I82" s="646">
        <v>6512400</v>
      </c>
    </row>
    <row r="83" spans="1:9" ht="22.5">
      <c r="A83" s="493">
        <v>80</v>
      </c>
      <c r="B83" s="493" t="s">
        <v>10638</v>
      </c>
      <c r="C83" s="698"/>
      <c r="D83" s="493" t="s">
        <v>9065</v>
      </c>
      <c r="E83" s="493" t="s">
        <v>9065</v>
      </c>
      <c r="F83" s="493" t="s">
        <v>6977</v>
      </c>
      <c r="G83" s="493" t="s">
        <v>9888</v>
      </c>
      <c r="H83" s="494" t="s">
        <v>6976</v>
      </c>
      <c r="I83" s="646">
        <v>6512400</v>
      </c>
    </row>
    <row r="84" spans="1:9" ht="22.5">
      <c r="A84" s="493">
        <v>81</v>
      </c>
      <c r="B84" s="493" t="s">
        <v>10771</v>
      </c>
      <c r="C84" s="698"/>
      <c r="D84" s="493" t="s">
        <v>9065</v>
      </c>
      <c r="E84" s="493" t="s">
        <v>9065</v>
      </c>
      <c r="F84" s="493" t="s">
        <v>7182</v>
      </c>
      <c r="G84" s="493" t="s">
        <v>9888</v>
      </c>
      <c r="H84" s="494" t="s">
        <v>7181</v>
      </c>
      <c r="I84" s="646">
        <v>6512400</v>
      </c>
    </row>
    <row r="85" spans="1:9" ht="22.5">
      <c r="A85" s="493">
        <v>82</v>
      </c>
      <c r="B85" s="493" t="s">
        <v>10333</v>
      </c>
      <c r="C85" s="698"/>
      <c r="D85" s="493" t="s">
        <v>9065</v>
      </c>
      <c r="E85" s="493" t="s">
        <v>9065</v>
      </c>
      <c r="F85" s="493" t="s">
        <v>6465</v>
      </c>
      <c r="G85" s="493" t="s">
        <v>9888</v>
      </c>
      <c r="H85" s="494" t="s">
        <v>6464</v>
      </c>
      <c r="I85" s="646">
        <v>6512400</v>
      </c>
    </row>
    <row r="86" spans="1:9" ht="22.5">
      <c r="A86" s="493">
        <v>83</v>
      </c>
      <c r="B86" s="493" t="s">
        <v>10191</v>
      </c>
      <c r="C86" s="698"/>
      <c r="D86" s="493" t="s">
        <v>9065</v>
      </c>
      <c r="E86" s="493" t="s">
        <v>9065</v>
      </c>
      <c r="F86" s="493" t="s">
        <v>6256</v>
      </c>
      <c r="G86" s="493" t="s">
        <v>9888</v>
      </c>
      <c r="H86" s="494" t="s">
        <v>6255</v>
      </c>
      <c r="I86" s="646">
        <v>6512400</v>
      </c>
    </row>
    <row r="87" spans="1:9" ht="22.5">
      <c r="A87" s="493">
        <v>84</v>
      </c>
      <c r="B87" s="493" t="s">
        <v>10748</v>
      </c>
      <c r="C87" s="698"/>
      <c r="D87" s="493" t="s">
        <v>9065</v>
      </c>
      <c r="E87" s="493" t="s">
        <v>9065</v>
      </c>
      <c r="F87" s="493" t="s">
        <v>7138</v>
      </c>
      <c r="G87" s="493" t="s">
        <v>9888</v>
      </c>
      <c r="H87" s="494" t="s">
        <v>7137</v>
      </c>
      <c r="I87" s="646">
        <v>6512400</v>
      </c>
    </row>
    <row r="88" spans="1:9" ht="22.5">
      <c r="A88" s="493">
        <v>85</v>
      </c>
      <c r="B88" s="493" t="s">
        <v>10106</v>
      </c>
      <c r="C88" s="698"/>
      <c r="D88" s="493" t="s">
        <v>9065</v>
      </c>
      <c r="E88" s="493" t="s">
        <v>9065</v>
      </c>
      <c r="F88" s="493" t="s">
        <v>6135</v>
      </c>
      <c r="G88" s="493" t="s">
        <v>9888</v>
      </c>
      <c r="H88" s="494" t="s">
        <v>6134</v>
      </c>
      <c r="I88" s="646">
        <v>6512400</v>
      </c>
    </row>
    <row r="89" spans="1:9" ht="22.5">
      <c r="A89" s="493">
        <v>86</v>
      </c>
      <c r="B89" s="493" t="s">
        <v>10031</v>
      </c>
      <c r="C89" s="698"/>
      <c r="D89" s="493" t="s">
        <v>9065</v>
      </c>
      <c r="E89" s="493" t="s">
        <v>9065</v>
      </c>
      <c r="F89" s="493" t="s">
        <v>5492</v>
      </c>
      <c r="G89" s="493" t="s">
        <v>5130</v>
      </c>
      <c r="H89" s="494" t="s">
        <v>5491</v>
      </c>
      <c r="I89" s="646">
        <v>6512400</v>
      </c>
    </row>
    <row r="90" spans="1:9" ht="22.5">
      <c r="A90" s="493">
        <v>87</v>
      </c>
      <c r="B90" s="493" t="s">
        <v>10178</v>
      </c>
      <c r="C90" s="698"/>
      <c r="D90" s="493" t="s">
        <v>9065</v>
      </c>
      <c r="E90" s="493" t="s">
        <v>9065</v>
      </c>
      <c r="F90" s="493" t="s">
        <v>5599</v>
      </c>
      <c r="G90" s="493" t="s">
        <v>5130</v>
      </c>
      <c r="H90" s="494" t="s">
        <v>5598</v>
      </c>
      <c r="I90" s="646">
        <v>6512400</v>
      </c>
    </row>
    <row r="91" spans="1:9" ht="22.5">
      <c r="A91" s="493">
        <v>88</v>
      </c>
      <c r="B91" s="493" t="s">
        <v>10177</v>
      </c>
      <c r="C91" s="698"/>
      <c r="D91" s="493" t="s">
        <v>9065</v>
      </c>
      <c r="E91" s="493" t="s">
        <v>9065</v>
      </c>
      <c r="F91" s="493" t="s">
        <v>6238</v>
      </c>
      <c r="G91" s="493" t="s">
        <v>9888</v>
      </c>
      <c r="H91" s="494" t="s">
        <v>6237</v>
      </c>
      <c r="I91" s="646">
        <v>6512400</v>
      </c>
    </row>
    <row r="92" spans="1:9" ht="22.5">
      <c r="A92" s="493">
        <v>89</v>
      </c>
      <c r="B92" s="493" t="s">
        <v>10100</v>
      </c>
      <c r="C92" s="698"/>
      <c r="D92" s="493" t="s">
        <v>9065</v>
      </c>
      <c r="E92" s="493" t="s">
        <v>9065</v>
      </c>
      <c r="F92" s="493" t="s">
        <v>6123</v>
      </c>
      <c r="G92" s="493" t="s">
        <v>9888</v>
      </c>
      <c r="H92" s="494" t="s">
        <v>6122</v>
      </c>
      <c r="I92" s="646">
        <v>6512400</v>
      </c>
    </row>
    <row r="93" spans="1:9" ht="22.5">
      <c r="A93" s="493">
        <v>90</v>
      </c>
      <c r="B93" s="493" t="s">
        <v>10102</v>
      </c>
      <c r="C93" s="698"/>
      <c r="D93" s="493" t="s">
        <v>9065</v>
      </c>
      <c r="E93" s="493" t="s">
        <v>9065</v>
      </c>
      <c r="F93" s="493" t="s">
        <v>6127</v>
      </c>
      <c r="G93" s="493" t="s">
        <v>9888</v>
      </c>
      <c r="H93" s="494" t="s">
        <v>6126</v>
      </c>
      <c r="I93" s="646">
        <v>6512400</v>
      </c>
    </row>
    <row r="94" spans="1:9" ht="22.5">
      <c r="A94" s="493">
        <v>91</v>
      </c>
      <c r="B94" s="493" t="s">
        <v>10115</v>
      </c>
      <c r="C94" s="698"/>
      <c r="D94" s="493" t="s">
        <v>9065</v>
      </c>
      <c r="E94" s="493" t="s">
        <v>9065</v>
      </c>
      <c r="F94" s="493" t="s">
        <v>5568</v>
      </c>
      <c r="G94" s="493" t="s">
        <v>5130</v>
      </c>
      <c r="H94" s="494" t="s">
        <v>5567</v>
      </c>
      <c r="I94" s="646">
        <v>6512400</v>
      </c>
    </row>
    <row r="95" spans="1:9" ht="22.5">
      <c r="A95" s="493">
        <v>92</v>
      </c>
      <c r="B95" s="493" t="s">
        <v>10119</v>
      </c>
      <c r="C95" s="698"/>
      <c r="D95" s="493" t="s">
        <v>9065</v>
      </c>
      <c r="E95" s="493" t="s">
        <v>9065</v>
      </c>
      <c r="F95" s="493" t="s">
        <v>5570</v>
      </c>
      <c r="G95" s="493" t="s">
        <v>5130</v>
      </c>
      <c r="H95" s="494" t="s">
        <v>5569</v>
      </c>
      <c r="I95" s="646">
        <v>6512400</v>
      </c>
    </row>
    <row r="96" spans="1:9" ht="22.5">
      <c r="A96" s="493">
        <v>93</v>
      </c>
      <c r="B96" s="493" t="s">
        <v>10112</v>
      </c>
      <c r="C96" s="698"/>
      <c r="D96" s="493" t="s">
        <v>9065</v>
      </c>
      <c r="E96" s="493" t="s">
        <v>9065</v>
      </c>
      <c r="F96" s="493" t="s">
        <v>5564</v>
      </c>
      <c r="G96" s="493" t="s">
        <v>5130</v>
      </c>
      <c r="H96" s="494" t="s">
        <v>5563</v>
      </c>
      <c r="I96" s="646">
        <v>6512400</v>
      </c>
    </row>
    <row r="97" spans="1:9" ht="22.5">
      <c r="A97" s="493">
        <v>94</v>
      </c>
      <c r="B97" s="493" t="s">
        <v>10173</v>
      </c>
      <c r="C97" s="698"/>
      <c r="D97" s="493" t="s">
        <v>9065</v>
      </c>
      <c r="E97" s="493" t="s">
        <v>9065</v>
      </c>
      <c r="F97" s="493" t="s">
        <v>6229</v>
      </c>
      <c r="G97" s="493" t="s">
        <v>9888</v>
      </c>
      <c r="H97" s="494" t="s">
        <v>6228</v>
      </c>
      <c r="I97" s="646">
        <v>6512400</v>
      </c>
    </row>
    <row r="98" spans="1:9" ht="22.5">
      <c r="A98" s="493">
        <v>95</v>
      </c>
      <c r="B98" s="493" t="s">
        <v>10205</v>
      </c>
      <c r="C98" s="698"/>
      <c r="D98" s="493" t="s">
        <v>9065</v>
      </c>
      <c r="E98" s="493" t="s">
        <v>9065</v>
      </c>
      <c r="F98" s="493" t="s">
        <v>5614</v>
      </c>
      <c r="G98" s="493" t="s">
        <v>5130</v>
      </c>
      <c r="H98" s="494" t="s">
        <v>5613</v>
      </c>
      <c r="I98" s="646">
        <v>6512400</v>
      </c>
    </row>
    <row r="99" spans="1:9" ht="22.5">
      <c r="A99" s="493">
        <v>96</v>
      </c>
      <c r="B99" s="493" t="s">
        <v>9953</v>
      </c>
      <c r="C99" s="698"/>
      <c r="D99" s="493" t="s">
        <v>9065</v>
      </c>
      <c r="E99" s="493" t="s">
        <v>9065</v>
      </c>
      <c r="F99" s="493" t="s">
        <v>5962</v>
      </c>
      <c r="G99" s="493" t="s">
        <v>9888</v>
      </c>
      <c r="H99" s="494" t="s">
        <v>5961</v>
      </c>
      <c r="I99" s="646">
        <v>6512400</v>
      </c>
    </row>
    <row r="100" spans="1:9" ht="22.5">
      <c r="A100" s="493">
        <v>97</v>
      </c>
      <c r="B100" s="493" t="s">
        <v>10226</v>
      </c>
      <c r="C100" s="698"/>
      <c r="D100" s="493" t="s">
        <v>9065</v>
      </c>
      <c r="E100" s="493" t="s">
        <v>9065</v>
      </c>
      <c r="F100" s="493" t="s">
        <v>6301</v>
      </c>
      <c r="G100" s="493" t="s">
        <v>9888</v>
      </c>
      <c r="H100" s="494" t="s">
        <v>6300</v>
      </c>
      <c r="I100" s="646">
        <v>6512400</v>
      </c>
    </row>
    <row r="101" spans="1:9" ht="22.5">
      <c r="A101" s="493">
        <v>98</v>
      </c>
      <c r="B101" s="493" t="s">
        <v>10642</v>
      </c>
      <c r="C101" s="698"/>
      <c r="D101" s="493" t="s">
        <v>9065</v>
      </c>
      <c r="E101" s="493" t="s">
        <v>9065</v>
      </c>
      <c r="F101" s="493" t="s">
        <v>6985</v>
      </c>
      <c r="G101" s="493" t="s">
        <v>9888</v>
      </c>
      <c r="H101" s="494" t="s">
        <v>6984</v>
      </c>
      <c r="I101" s="646">
        <v>6512400</v>
      </c>
    </row>
    <row r="102" spans="1:9" ht="22.5">
      <c r="A102" s="493">
        <v>99</v>
      </c>
      <c r="B102" s="493" t="s">
        <v>10180</v>
      </c>
      <c r="C102" s="698"/>
      <c r="D102" s="493" t="s">
        <v>9065</v>
      </c>
      <c r="E102" s="493" t="s">
        <v>9065</v>
      </c>
      <c r="F102" s="493" t="s">
        <v>5602</v>
      </c>
      <c r="G102" s="493" t="s">
        <v>5130</v>
      </c>
      <c r="H102" s="494" t="s">
        <v>5601</v>
      </c>
      <c r="I102" s="646">
        <v>6512400</v>
      </c>
    </row>
    <row r="103" spans="1:9" ht="22.5">
      <c r="A103" s="493">
        <v>100</v>
      </c>
      <c r="B103" s="493" t="s">
        <v>10227</v>
      </c>
      <c r="C103" s="698"/>
      <c r="D103" s="493" t="s">
        <v>9065</v>
      </c>
      <c r="E103" s="493" t="s">
        <v>9065</v>
      </c>
      <c r="F103" s="493" t="s">
        <v>6303</v>
      </c>
      <c r="G103" s="493" t="s">
        <v>9888</v>
      </c>
      <c r="H103" s="494" t="s">
        <v>6302</v>
      </c>
      <c r="I103" s="646">
        <v>6512400</v>
      </c>
    </row>
    <row r="104" spans="1:9" ht="22.5">
      <c r="A104" s="493">
        <v>101</v>
      </c>
      <c r="B104" s="493" t="s">
        <v>10197</v>
      </c>
      <c r="C104" s="698"/>
      <c r="D104" s="493" t="s">
        <v>9065</v>
      </c>
      <c r="E104" s="493" t="s">
        <v>9065</v>
      </c>
      <c r="F104" s="493" t="s">
        <v>6268</v>
      </c>
      <c r="G104" s="493" t="s">
        <v>9888</v>
      </c>
      <c r="H104" s="494" t="s">
        <v>6267</v>
      </c>
      <c r="I104" s="646">
        <v>6512400</v>
      </c>
    </row>
    <row r="105" spans="1:9" ht="22.5">
      <c r="A105" s="493">
        <v>102</v>
      </c>
      <c r="B105" s="493" t="s">
        <v>10117</v>
      </c>
      <c r="C105" s="698"/>
      <c r="D105" s="493" t="s">
        <v>9065</v>
      </c>
      <c r="E105" s="493" t="s">
        <v>9065</v>
      </c>
      <c r="F105" s="493" t="s">
        <v>6149</v>
      </c>
      <c r="G105" s="493" t="s">
        <v>9888</v>
      </c>
      <c r="H105" s="494" t="s">
        <v>6148</v>
      </c>
      <c r="I105" s="646">
        <v>6512400</v>
      </c>
    </row>
    <row r="106" spans="1:9" ht="22.5">
      <c r="A106" s="493">
        <v>103</v>
      </c>
      <c r="B106" s="493" t="s">
        <v>10201</v>
      </c>
      <c r="C106" s="698"/>
      <c r="D106" s="493" t="s">
        <v>9065</v>
      </c>
      <c r="E106" s="493" t="s">
        <v>9065</v>
      </c>
      <c r="F106" s="493" t="s">
        <v>5610</v>
      </c>
      <c r="G106" s="493" t="s">
        <v>5130</v>
      </c>
      <c r="H106" s="494" t="s">
        <v>5609</v>
      </c>
      <c r="I106" s="646">
        <v>6512400</v>
      </c>
    </row>
    <row r="107" spans="1:9" ht="22.5">
      <c r="A107" s="493">
        <v>104</v>
      </c>
      <c r="B107" s="493" t="s">
        <v>10211</v>
      </c>
      <c r="C107" s="698"/>
      <c r="D107" s="493" t="s">
        <v>9065</v>
      </c>
      <c r="E107" s="493" t="s">
        <v>9065</v>
      </c>
      <c r="F107" s="493" t="s">
        <v>6289</v>
      </c>
      <c r="G107" s="493" t="s">
        <v>9888</v>
      </c>
      <c r="H107" s="494" t="s">
        <v>6288</v>
      </c>
      <c r="I107" s="646">
        <v>6512400</v>
      </c>
    </row>
    <row r="108" spans="1:9" ht="22.5">
      <c r="A108" s="493">
        <v>105</v>
      </c>
      <c r="B108" s="493" t="s">
        <v>10109</v>
      </c>
      <c r="C108" s="698"/>
      <c r="D108" s="493" t="s">
        <v>9065</v>
      </c>
      <c r="E108" s="493" t="s">
        <v>9065</v>
      </c>
      <c r="F108" s="493" t="s">
        <v>6139</v>
      </c>
      <c r="G108" s="493" t="s">
        <v>9888</v>
      </c>
      <c r="H108" s="494" t="s">
        <v>6138</v>
      </c>
      <c r="I108" s="646">
        <v>6512400</v>
      </c>
    </row>
    <row r="109" spans="1:9" ht="22.5">
      <c r="A109" s="493">
        <v>106</v>
      </c>
      <c r="B109" s="493" t="s">
        <v>10097</v>
      </c>
      <c r="C109" s="698"/>
      <c r="D109" s="493" t="s">
        <v>9065</v>
      </c>
      <c r="E109" s="493" t="s">
        <v>9065</v>
      </c>
      <c r="F109" s="493" t="s">
        <v>6117</v>
      </c>
      <c r="G109" s="493" t="s">
        <v>9888</v>
      </c>
      <c r="H109" s="494" t="s">
        <v>6116</v>
      </c>
      <c r="I109" s="646">
        <v>6512400</v>
      </c>
    </row>
    <row r="110" spans="1:9" ht="22.5">
      <c r="A110" s="493">
        <v>107</v>
      </c>
      <c r="B110" s="493" t="s">
        <v>10188</v>
      </c>
      <c r="C110" s="698"/>
      <c r="D110" s="493" t="s">
        <v>9065</v>
      </c>
      <c r="E110" s="493" t="s">
        <v>9065</v>
      </c>
      <c r="F110" s="493" t="s">
        <v>6250</v>
      </c>
      <c r="G110" s="493" t="s">
        <v>9888</v>
      </c>
      <c r="H110" s="494" t="s">
        <v>6249</v>
      </c>
      <c r="I110" s="646">
        <v>6512400</v>
      </c>
    </row>
    <row r="111" spans="1:9" ht="22.5">
      <c r="A111" s="493">
        <v>108</v>
      </c>
      <c r="B111" s="493" t="s">
        <v>10232</v>
      </c>
      <c r="C111" s="698"/>
      <c r="D111" s="493" t="s">
        <v>9065</v>
      </c>
      <c r="E111" s="493" t="s">
        <v>9065</v>
      </c>
      <c r="F111" s="493" t="s">
        <v>6311</v>
      </c>
      <c r="G111" s="493" t="s">
        <v>9888</v>
      </c>
      <c r="H111" s="494" t="s">
        <v>6310</v>
      </c>
      <c r="I111" s="646">
        <v>6512400</v>
      </c>
    </row>
    <row r="112" spans="1:9" ht="22.5">
      <c r="A112" s="493">
        <v>109</v>
      </c>
      <c r="B112" s="493" t="s">
        <v>10223</v>
      </c>
      <c r="C112" s="698"/>
      <c r="D112" s="493" t="s">
        <v>9065</v>
      </c>
      <c r="E112" s="493" t="s">
        <v>9065</v>
      </c>
      <c r="F112" s="493" t="s">
        <v>5628</v>
      </c>
      <c r="G112" s="493" t="s">
        <v>5130</v>
      </c>
      <c r="H112" s="494" t="s">
        <v>5627</v>
      </c>
      <c r="I112" s="646">
        <v>6512400</v>
      </c>
    </row>
    <row r="113" spans="1:9" ht="22.5">
      <c r="A113" s="493">
        <v>110</v>
      </c>
      <c r="B113" s="493" t="s">
        <v>10129</v>
      </c>
      <c r="C113" s="698"/>
      <c r="D113" s="493" t="s">
        <v>9065</v>
      </c>
      <c r="E113" s="493" t="s">
        <v>9065</v>
      </c>
      <c r="F113" s="493" t="s">
        <v>6165</v>
      </c>
      <c r="G113" s="493" t="s">
        <v>9888</v>
      </c>
      <c r="H113" s="494" t="s">
        <v>6164</v>
      </c>
      <c r="I113" s="646">
        <v>6512400</v>
      </c>
    </row>
    <row r="114" spans="1:9" ht="22.5">
      <c r="A114" s="493">
        <v>111</v>
      </c>
      <c r="B114" s="493" t="s">
        <v>10202</v>
      </c>
      <c r="C114" s="698"/>
      <c r="D114" s="493" t="s">
        <v>9065</v>
      </c>
      <c r="E114" s="493" t="s">
        <v>9065</v>
      </c>
      <c r="F114" s="493" t="s">
        <v>5612</v>
      </c>
      <c r="G114" s="493" t="s">
        <v>5130</v>
      </c>
      <c r="H114" s="494" t="s">
        <v>5611</v>
      </c>
      <c r="I114" s="646">
        <v>6512400</v>
      </c>
    </row>
    <row r="115" spans="1:9" ht="22.5">
      <c r="A115" s="493">
        <v>112</v>
      </c>
      <c r="B115" s="493" t="s">
        <v>10571</v>
      </c>
      <c r="C115" s="698"/>
      <c r="D115" s="493" t="s">
        <v>9065</v>
      </c>
      <c r="E115" s="493" t="s">
        <v>9065</v>
      </c>
      <c r="F115" s="493" t="s">
        <v>6860</v>
      </c>
      <c r="G115" s="493" t="s">
        <v>9888</v>
      </c>
      <c r="H115" s="494" t="s">
        <v>6859</v>
      </c>
      <c r="I115" s="646">
        <v>6512400</v>
      </c>
    </row>
    <row r="116" spans="1:9" ht="22.5">
      <c r="A116" s="493">
        <v>113</v>
      </c>
      <c r="B116" s="493" t="s">
        <v>10929</v>
      </c>
      <c r="C116" s="698"/>
      <c r="D116" s="493" t="s">
        <v>9065</v>
      </c>
      <c r="E116" s="493" t="s">
        <v>9065</v>
      </c>
      <c r="F116" s="493" t="s">
        <v>7443</v>
      </c>
      <c r="G116" s="493" t="s">
        <v>9888</v>
      </c>
      <c r="H116" s="494" t="s">
        <v>7442</v>
      </c>
      <c r="I116" s="646">
        <v>6512400</v>
      </c>
    </row>
    <row r="117" spans="1:9" ht="22.5">
      <c r="A117" s="493">
        <v>114</v>
      </c>
      <c r="B117" s="493" t="s">
        <v>10347</v>
      </c>
      <c r="C117" s="698"/>
      <c r="D117" s="493" t="s">
        <v>9065</v>
      </c>
      <c r="E117" s="493" t="s">
        <v>9065</v>
      </c>
      <c r="F117" s="493" t="s">
        <v>6489</v>
      </c>
      <c r="G117" s="493" t="s">
        <v>9888</v>
      </c>
      <c r="H117" s="494" t="s">
        <v>6488</v>
      </c>
      <c r="I117" s="646">
        <v>6512400</v>
      </c>
    </row>
    <row r="118" spans="1:9" ht="22.5">
      <c r="A118" s="493">
        <v>115</v>
      </c>
      <c r="B118" s="493" t="s">
        <v>10854</v>
      </c>
      <c r="C118" s="698"/>
      <c r="D118" s="493" t="s">
        <v>9065</v>
      </c>
      <c r="E118" s="493" t="s">
        <v>9065</v>
      </c>
      <c r="F118" s="493" t="s">
        <v>7327</v>
      </c>
      <c r="G118" s="493" t="s">
        <v>9888</v>
      </c>
      <c r="H118" s="494" t="s">
        <v>7326</v>
      </c>
      <c r="I118" s="646">
        <v>6512400</v>
      </c>
    </row>
    <row r="119" spans="1:9" ht="22.5">
      <c r="A119" s="493">
        <v>116</v>
      </c>
      <c r="B119" s="493" t="s">
        <v>10385</v>
      </c>
      <c r="C119" s="698"/>
      <c r="D119" s="493" t="s">
        <v>9065</v>
      </c>
      <c r="E119" s="493" t="s">
        <v>9065</v>
      </c>
      <c r="F119" s="493" t="s">
        <v>6555</v>
      </c>
      <c r="G119" s="493" t="s">
        <v>9888</v>
      </c>
      <c r="H119" s="494" t="s">
        <v>6554</v>
      </c>
      <c r="I119" s="646">
        <v>6512400</v>
      </c>
    </row>
    <row r="120" spans="1:9" ht="22.5">
      <c r="A120" s="493">
        <v>117</v>
      </c>
      <c r="B120" s="493" t="s">
        <v>10199</v>
      </c>
      <c r="C120" s="698"/>
      <c r="D120" s="493" t="s">
        <v>9065</v>
      </c>
      <c r="E120" s="493" t="s">
        <v>9065</v>
      </c>
      <c r="F120" s="493" t="s">
        <v>5608</v>
      </c>
      <c r="G120" s="493" t="s">
        <v>5130</v>
      </c>
      <c r="H120" s="494" t="s">
        <v>5607</v>
      </c>
      <c r="I120" s="646">
        <v>6512400</v>
      </c>
    </row>
    <row r="121" spans="1:9" ht="22.5">
      <c r="A121" s="493">
        <v>118</v>
      </c>
      <c r="B121" s="493" t="s">
        <v>10277</v>
      </c>
      <c r="C121" s="698"/>
      <c r="D121" s="493" t="s">
        <v>9065</v>
      </c>
      <c r="E121" s="493" t="s">
        <v>9065</v>
      </c>
      <c r="F121" s="493" t="s">
        <v>6376</v>
      </c>
      <c r="G121" s="493" t="s">
        <v>9888</v>
      </c>
      <c r="H121" s="494" t="s">
        <v>6375</v>
      </c>
      <c r="I121" s="646">
        <v>6512400</v>
      </c>
    </row>
    <row r="122" spans="1:9" ht="22.5">
      <c r="A122" s="493">
        <v>119</v>
      </c>
      <c r="B122" s="493" t="s">
        <v>10909</v>
      </c>
      <c r="C122" s="698"/>
      <c r="D122" s="493" t="s">
        <v>9065</v>
      </c>
      <c r="E122" s="493" t="s">
        <v>9065</v>
      </c>
      <c r="F122" s="493" t="s">
        <v>7417</v>
      </c>
      <c r="G122" s="493" t="s">
        <v>9888</v>
      </c>
      <c r="H122" s="494" t="s">
        <v>7416</v>
      </c>
      <c r="I122" s="646">
        <v>6512400</v>
      </c>
    </row>
    <row r="123" spans="1:9" ht="22.5">
      <c r="A123" s="493">
        <v>120</v>
      </c>
      <c r="B123" s="493" t="s">
        <v>10905</v>
      </c>
      <c r="C123" s="698"/>
      <c r="D123" s="493" t="s">
        <v>9065</v>
      </c>
      <c r="E123" s="493" t="s">
        <v>9065</v>
      </c>
      <c r="F123" s="493" t="s">
        <v>5854</v>
      </c>
      <c r="G123" s="493" t="s">
        <v>5130</v>
      </c>
      <c r="H123" s="494" t="s">
        <v>5853</v>
      </c>
      <c r="I123" s="646">
        <v>6512400</v>
      </c>
    </row>
    <row r="124" spans="1:9" ht="22.5">
      <c r="A124" s="493">
        <v>121</v>
      </c>
      <c r="B124" s="493" t="s">
        <v>10486</v>
      </c>
      <c r="C124" s="698"/>
      <c r="D124" s="493" t="s">
        <v>9065</v>
      </c>
      <c r="E124" s="493" t="s">
        <v>9065</v>
      </c>
      <c r="F124" s="493" t="s">
        <v>6720</v>
      </c>
      <c r="G124" s="493" t="s">
        <v>9888</v>
      </c>
      <c r="H124" s="494" t="s">
        <v>6719</v>
      </c>
      <c r="I124" s="646">
        <v>6512400</v>
      </c>
    </row>
    <row r="125" spans="1:9" ht="22.5">
      <c r="A125" s="493">
        <v>122</v>
      </c>
      <c r="B125" s="493" t="s">
        <v>10488</v>
      </c>
      <c r="C125" s="698"/>
      <c r="D125" s="493" t="s">
        <v>9065</v>
      </c>
      <c r="E125" s="493" t="s">
        <v>9065</v>
      </c>
      <c r="F125" s="493" t="s">
        <v>6724</v>
      </c>
      <c r="G125" s="493" t="s">
        <v>9888</v>
      </c>
      <c r="H125" s="494" t="s">
        <v>6723</v>
      </c>
      <c r="I125" s="646">
        <v>6512400</v>
      </c>
    </row>
    <row r="126" spans="1:9" ht="22.5">
      <c r="A126" s="493">
        <v>123</v>
      </c>
      <c r="B126" s="493" t="s">
        <v>10276</v>
      </c>
      <c r="C126" s="698"/>
      <c r="D126" s="493" t="s">
        <v>9065</v>
      </c>
      <c r="E126" s="493" t="s">
        <v>9065</v>
      </c>
      <c r="F126" s="493" t="s">
        <v>6374</v>
      </c>
      <c r="G126" s="493" t="s">
        <v>9888</v>
      </c>
      <c r="H126" s="494" t="s">
        <v>6373</v>
      </c>
      <c r="I126" s="646">
        <v>6512400</v>
      </c>
    </row>
    <row r="127" spans="1:9" ht="22.5">
      <c r="A127" s="493">
        <v>124</v>
      </c>
      <c r="B127" s="493" t="s">
        <v>10397</v>
      </c>
      <c r="C127" s="698"/>
      <c r="D127" s="493" t="s">
        <v>9065</v>
      </c>
      <c r="E127" s="493" t="s">
        <v>9065</v>
      </c>
      <c r="F127" s="493" t="s">
        <v>6574</v>
      </c>
      <c r="G127" s="493" t="s">
        <v>9888</v>
      </c>
      <c r="H127" s="494" t="s">
        <v>6573</v>
      </c>
      <c r="I127" s="646">
        <v>6512400</v>
      </c>
    </row>
    <row r="128" spans="1:9" ht="22.5">
      <c r="A128" s="493">
        <v>125</v>
      </c>
      <c r="B128" s="493" t="s">
        <v>10603</v>
      </c>
      <c r="C128" s="698"/>
      <c r="D128" s="493" t="s">
        <v>9065</v>
      </c>
      <c r="E128" s="493" t="s">
        <v>9065</v>
      </c>
      <c r="F128" s="493" t="s">
        <v>6920</v>
      </c>
      <c r="G128" s="493" t="s">
        <v>9888</v>
      </c>
      <c r="H128" s="494" t="s">
        <v>6919</v>
      </c>
      <c r="I128" s="646">
        <v>6512400</v>
      </c>
    </row>
    <row r="129" spans="1:9" ht="22.5">
      <c r="A129" s="493">
        <v>126</v>
      </c>
      <c r="B129" s="493" t="s">
        <v>10490</v>
      </c>
      <c r="C129" s="698"/>
      <c r="D129" s="493" t="s">
        <v>9065</v>
      </c>
      <c r="E129" s="493" t="s">
        <v>9065</v>
      </c>
      <c r="F129" s="493" t="s">
        <v>6726</v>
      </c>
      <c r="G129" s="493" t="s">
        <v>9888</v>
      </c>
      <c r="H129" s="494" t="s">
        <v>6725</v>
      </c>
      <c r="I129" s="646">
        <v>6512400</v>
      </c>
    </row>
    <row r="130" spans="1:9" ht="22.5">
      <c r="A130" s="493">
        <v>127</v>
      </c>
      <c r="B130" s="493" t="s">
        <v>10681</v>
      </c>
      <c r="C130" s="698"/>
      <c r="D130" s="493" t="s">
        <v>9065</v>
      </c>
      <c r="E130" s="493" t="s">
        <v>9065</v>
      </c>
      <c r="F130" s="493" t="s">
        <v>7022</v>
      </c>
      <c r="G130" s="493" t="s">
        <v>9888</v>
      </c>
      <c r="H130" s="494" t="s">
        <v>7021</v>
      </c>
      <c r="I130" s="646">
        <v>6512400</v>
      </c>
    </row>
    <row r="131" spans="1:9" ht="22.5">
      <c r="A131" s="493">
        <v>128</v>
      </c>
      <c r="B131" s="493" t="s">
        <v>10460</v>
      </c>
      <c r="C131" s="698"/>
      <c r="D131" s="493" t="s">
        <v>9065</v>
      </c>
      <c r="E131" s="493" t="s">
        <v>9065</v>
      </c>
      <c r="F131" s="493" t="s">
        <v>6674</v>
      </c>
      <c r="G131" s="493" t="s">
        <v>9888</v>
      </c>
      <c r="H131" s="494" t="s">
        <v>6673</v>
      </c>
      <c r="I131" s="646">
        <v>6512400</v>
      </c>
    </row>
    <row r="132" spans="1:9" ht="22.5">
      <c r="A132" s="493">
        <v>129</v>
      </c>
      <c r="B132" s="493" t="s">
        <v>10343</v>
      </c>
      <c r="C132" s="698"/>
      <c r="D132" s="493" t="s">
        <v>9065</v>
      </c>
      <c r="E132" s="493" t="s">
        <v>9065</v>
      </c>
      <c r="F132" s="493" t="s">
        <v>6481</v>
      </c>
      <c r="G132" s="493" t="s">
        <v>9888</v>
      </c>
      <c r="H132" s="494" t="s">
        <v>6480</v>
      </c>
      <c r="I132" s="646">
        <v>6512400</v>
      </c>
    </row>
    <row r="133" spans="1:9" ht="22.5">
      <c r="A133" s="493">
        <v>130</v>
      </c>
      <c r="B133" s="493" t="s">
        <v>10430</v>
      </c>
      <c r="C133" s="698"/>
      <c r="D133" s="493" t="s">
        <v>9065</v>
      </c>
      <c r="E133" s="493" t="s">
        <v>9065</v>
      </c>
      <c r="F133" s="493" t="s">
        <v>6624</v>
      </c>
      <c r="G133" s="493" t="s">
        <v>9888</v>
      </c>
      <c r="H133" s="494" t="s">
        <v>6623</v>
      </c>
      <c r="I133" s="646">
        <v>6512400</v>
      </c>
    </row>
    <row r="134" spans="1:9" ht="22.5">
      <c r="A134" s="493">
        <v>131</v>
      </c>
      <c r="B134" s="493" t="s">
        <v>10241</v>
      </c>
      <c r="C134" s="698"/>
      <c r="D134" s="493" t="s">
        <v>9065</v>
      </c>
      <c r="E134" s="493" t="s">
        <v>9065</v>
      </c>
      <c r="F134" s="493" t="s">
        <v>6319</v>
      </c>
      <c r="G134" s="493" t="s">
        <v>9888</v>
      </c>
      <c r="H134" s="494" t="s">
        <v>6318</v>
      </c>
      <c r="I134" s="646">
        <v>6512400</v>
      </c>
    </row>
    <row r="135" spans="1:9" ht="22.5">
      <c r="A135" s="493">
        <v>132</v>
      </c>
      <c r="B135" s="493" t="s">
        <v>10766</v>
      </c>
      <c r="C135" s="698"/>
      <c r="D135" s="493" t="s">
        <v>9065</v>
      </c>
      <c r="E135" s="493" t="s">
        <v>9065</v>
      </c>
      <c r="F135" s="493" t="s">
        <v>7172</v>
      </c>
      <c r="G135" s="493" t="s">
        <v>9888</v>
      </c>
      <c r="H135" s="494" t="s">
        <v>7171</v>
      </c>
      <c r="I135" s="646">
        <v>6512400</v>
      </c>
    </row>
    <row r="136" spans="1:9" ht="22.5">
      <c r="A136" s="493">
        <v>133</v>
      </c>
      <c r="B136" s="493" t="s">
        <v>10641</v>
      </c>
      <c r="C136" s="698"/>
      <c r="D136" s="493" t="s">
        <v>9065</v>
      </c>
      <c r="E136" s="493" t="s">
        <v>9065</v>
      </c>
      <c r="F136" s="493" t="s">
        <v>6983</v>
      </c>
      <c r="G136" s="493" t="s">
        <v>9888</v>
      </c>
      <c r="H136" s="494" t="s">
        <v>6982</v>
      </c>
      <c r="I136" s="646">
        <v>6512400</v>
      </c>
    </row>
    <row r="137" spans="1:9" ht="22.5">
      <c r="A137" s="493">
        <v>134</v>
      </c>
      <c r="B137" s="493" t="s">
        <v>10286</v>
      </c>
      <c r="C137" s="698"/>
      <c r="D137" s="493" t="s">
        <v>9065</v>
      </c>
      <c r="E137" s="493" t="s">
        <v>9065</v>
      </c>
      <c r="F137" s="493" t="s">
        <v>6387</v>
      </c>
      <c r="G137" s="493" t="s">
        <v>9888</v>
      </c>
      <c r="H137" s="494" t="s">
        <v>6386</v>
      </c>
      <c r="I137" s="646">
        <v>6512400</v>
      </c>
    </row>
    <row r="138" spans="1:9" ht="22.5">
      <c r="A138" s="493">
        <v>135</v>
      </c>
      <c r="B138" s="493" t="s">
        <v>10820</v>
      </c>
      <c r="C138" s="698"/>
      <c r="D138" s="493" t="s">
        <v>9065</v>
      </c>
      <c r="E138" s="493" t="s">
        <v>9065</v>
      </c>
      <c r="F138" s="493" t="s">
        <v>7260</v>
      </c>
      <c r="G138" s="493" t="s">
        <v>9888</v>
      </c>
      <c r="H138" s="494" t="s">
        <v>7259</v>
      </c>
      <c r="I138" s="646">
        <v>6512400</v>
      </c>
    </row>
    <row r="139" spans="1:9" ht="22.5">
      <c r="A139" s="493">
        <v>136</v>
      </c>
      <c r="B139" s="493" t="s">
        <v>10666</v>
      </c>
      <c r="C139" s="698"/>
      <c r="D139" s="493" t="s">
        <v>9065</v>
      </c>
      <c r="E139" s="493" t="s">
        <v>9065</v>
      </c>
      <c r="F139" s="493" t="s">
        <v>7001</v>
      </c>
      <c r="G139" s="493" t="s">
        <v>9888</v>
      </c>
      <c r="H139" s="494" t="s">
        <v>7000</v>
      </c>
      <c r="I139" s="646">
        <v>6512400</v>
      </c>
    </row>
    <row r="140" spans="1:9" ht="22.5">
      <c r="A140" s="493">
        <v>137</v>
      </c>
      <c r="B140" s="493" t="s">
        <v>10526</v>
      </c>
      <c r="C140" s="698"/>
      <c r="D140" s="493" t="s">
        <v>9065</v>
      </c>
      <c r="E140" s="493" t="s">
        <v>9065</v>
      </c>
      <c r="F140" s="493" t="s">
        <v>6791</v>
      </c>
      <c r="G140" s="493" t="s">
        <v>9888</v>
      </c>
      <c r="H140" s="494" t="s">
        <v>6790</v>
      </c>
      <c r="I140" s="646">
        <v>6512400</v>
      </c>
    </row>
    <row r="141" spans="1:9" ht="22.5">
      <c r="A141" s="493">
        <v>138</v>
      </c>
      <c r="B141" s="493" t="s">
        <v>10375</v>
      </c>
      <c r="C141" s="698"/>
      <c r="D141" s="493" t="s">
        <v>9065</v>
      </c>
      <c r="E141" s="493" t="s">
        <v>9065</v>
      </c>
      <c r="F141" s="493" t="s">
        <v>6537</v>
      </c>
      <c r="G141" s="493" t="s">
        <v>9888</v>
      </c>
      <c r="H141" s="494" t="s">
        <v>6536</v>
      </c>
      <c r="I141" s="646">
        <v>6512400</v>
      </c>
    </row>
    <row r="142" spans="1:9" ht="22.5">
      <c r="A142" s="493">
        <v>139</v>
      </c>
      <c r="B142" s="493" t="s">
        <v>10793</v>
      </c>
      <c r="C142" s="698"/>
      <c r="D142" s="493" t="s">
        <v>9065</v>
      </c>
      <c r="E142" s="493" t="s">
        <v>9065</v>
      </c>
      <c r="F142" s="493" t="s">
        <v>5831</v>
      </c>
      <c r="G142" s="493" t="s">
        <v>5130</v>
      </c>
      <c r="H142" s="494" t="s">
        <v>5830</v>
      </c>
      <c r="I142" s="646">
        <v>6512400</v>
      </c>
    </row>
    <row r="143" spans="1:9" ht="22.5">
      <c r="A143" s="493">
        <v>140</v>
      </c>
      <c r="B143" s="493" t="s">
        <v>10907</v>
      </c>
      <c r="C143" s="698"/>
      <c r="D143" s="493" t="s">
        <v>9065</v>
      </c>
      <c r="E143" s="493" t="s">
        <v>9065</v>
      </c>
      <c r="F143" s="493" t="s">
        <v>7415</v>
      </c>
      <c r="G143" s="493" t="s">
        <v>9888</v>
      </c>
      <c r="H143" s="494" t="s">
        <v>7414</v>
      </c>
      <c r="I143" s="646">
        <v>6512400</v>
      </c>
    </row>
    <row r="144" spans="1:9" ht="22.5">
      <c r="A144" s="493">
        <v>141</v>
      </c>
      <c r="B144" s="493" t="s">
        <v>10351</v>
      </c>
      <c r="C144" s="698"/>
      <c r="D144" s="493" t="s">
        <v>9065</v>
      </c>
      <c r="E144" s="493" t="s">
        <v>9065</v>
      </c>
      <c r="F144" s="493" t="s">
        <v>6495</v>
      </c>
      <c r="G144" s="493" t="s">
        <v>9888</v>
      </c>
      <c r="H144" s="494" t="s">
        <v>6494</v>
      </c>
      <c r="I144" s="646">
        <v>6512400</v>
      </c>
    </row>
    <row r="145" spans="1:9" ht="22.5">
      <c r="A145" s="493">
        <v>142</v>
      </c>
      <c r="B145" s="493" t="s">
        <v>10283</v>
      </c>
      <c r="C145" s="698"/>
      <c r="D145" s="493" t="s">
        <v>9065</v>
      </c>
      <c r="E145" s="493" t="s">
        <v>9065</v>
      </c>
      <c r="F145" s="493" t="s">
        <v>6382</v>
      </c>
      <c r="G145" s="493" t="s">
        <v>9888</v>
      </c>
      <c r="H145" s="494" t="s">
        <v>6381</v>
      </c>
      <c r="I145" s="646">
        <v>6512400</v>
      </c>
    </row>
    <row r="146" spans="1:9" ht="22.5">
      <c r="A146" s="493">
        <v>143</v>
      </c>
      <c r="B146" s="493" t="s">
        <v>10404</v>
      </c>
      <c r="C146" s="698"/>
      <c r="D146" s="493" t="s">
        <v>9065</v>
      </c>
      <c r="E146" s="493" t="s">
        <v>9065</v>
      </c>
      <c r="F146" s="493" t="s">
        <v>6584</v>
      </c>
      <c r="G146" s="493" t="s">
        <v>9888</v>
      </c>
      <c r="H146" s="494" t="s">
        <v>6583</v>
      </c>
      <c r="I146" s="646">
        <v>6512400</v>
      </c>
    </row>
    <row r="147" spans="1:9" ht="22.5">
      <c r="A147" s="493">
        <v>144</v>
      </c>
      <c r="B147" s="493" t="s">
        <v>10289</v>
      </c>
      <c r="C147" s="698"/>
      <c r="D147" s="493" t="s">
        <v>9065</v>
      </c>
      <c r="E147" s="493" t="s">
        <v>9065</v>
      </c>
      <c r="F147" s="493" t="s">
        <v>6391</v>
      </c>
      <c r="G147" s="493" t="s">
        <v>9888</v>
      </c>
      <c r="H147" s="494" t="s">
        <v>6390</v>
      </c>
      <c r="I147" s="646">
        <v>6512400</v>
      </c>
    </row>
    <row r="148" spans="1:9" ht="22.5">
      <c r="A148" s="493">
        <v>145</v>
      </c>
      <c r="B148" s="493" t="s">
        <v>10769</v>
      </c>
      <c r="C148" s="698"/>
      <c r="D148" s="493" t="s">
        <v>9065</v>
      </c>
      <c r="E148" s="493" t="s">
        <v>9065</v>
      </c>
      <c r="F148" s="493" t="s">
        <v>7178</v>
      </c>
      <c r="G148" s="493" t="s">
        <v>9888</v>
      </c>
      <c r="H148" s="494" t="s">
        <v>7177</v>
      </c>
      <c r="I148" s="646">
        <v>6512400</v>
      </c>
    </row>
    <row r="149" spans="1:9" ht="22.5">
      <c r="A149" s="493">
        <v>146</v>
      </c>
      <c r="B149" s="493" t="s">
        <v>10495</v>
      </c>
      <c r="C149" s="698"/>
      <c r="D149" s="493" t="s">
        <v>9065</v>
      </c>
      <c r="E149" s="493" t="s">
        <v>9065</v>
      </c>
      <c r="F149" s="493" t="s">
        <v>6734</v>
      </c>
      <c r="G149" s="493" t="s">
        <v>9888</v>
      </c>
      <c r="H149" s="494" t="s">
        <v>6733</v>
      </c>
      <c r="I149" s="646">
        <v>6512400</v>
      </c>
    </row>
    <row r="150" spans="1:9" ht="22.5">
      <c r="A150" s="493">
        <v>147</v>
      </c>
      <c r="B150" s="493" t="s">
        <v>10270</v>
      </c>
      <c r="C150" s="698"/>
      <c r="D150" s="493" t="s">
        <v>9065</v>
      </c>
      <c r="E150" s="493" t="s">
        <v>9065</v>
      </c>
      <c r="F150" s="493" t="s">
        <v>6364</v>
      </c>
      <c r="G150" s="493" t="s">
        <v>9888</v>
      </c>
      <c r="H150" s="494" t="s">
        <v>6363</v>
      </c>
      <c r="I150" s="646">
        <v>6512400</v>
      </c>
    </row>
    <row r="151" spans="1:9" ht="22.5">
      <c r="A151" s="493">
        <v>148</v>
      </c>
      <c r="B151" s="493" t="s">
        <v>10422</v>
      </c>
      <c r="C151" s="698"/>
      <c r="D151" s="493" t="s">
        <v>9065</v>
      </c>
      <c r="E151" s="493" t="s">
        <v>9065</v>
      </c>
      <c r="F151" s="493" t="s">
        <v>6610</v>
      </c>
      <c r="G151" s="493" t="s">
        <v>9888</v>
      </c>
      <c r="H151" s="494" t="s">
        <v>6609</v>
      </c>
      <c r="I151" s="646">
        <v>6512400</v>
      </c>
    </row>
    <row r="152" spans="1:9" ht="22.5">
      <c r="A152" s="493">
        <v>149</v>
      </c>
      <c r="B152" s="493" t="s">
        <v>10250</v>
      </c>
      <c r="C152" s="698"/>
      <c r="D152" s="493" t="s">
        <v>9065</v>
      </c>
      <c r="E152" s="493" t="s">
        <v>9065</v>
      </c>
      <c r="F152" s="493" t="s">
        <v>6331</v>
      </c>
      <c r="G152" s="493" t="s">
        <v>9888</v>
      </c>
      <c r="H152" s="494" t="s">
        <v>6330</v>
      </c>
      <c r="I152" s="646">
        <v>6512400</v>
      </c>
    </row>
    <row r="153" spans="1:9" ht="22.5">
      <c r="A153" s="493">
        <v>150</v>
      </c>
      <c r="B153" s="493" t="s">
        <v>10320</v>
      </c>
      <c r="C153" s="698"/>
      <c r="D153" s="493" t="s">
        <v>9065</v>
      </c>
      <c r="E153" s="493" t="s">
        <v>9065</v>
      </c>
      <c r="F153" s="493" t="s">
        <v>6447</v>
      </c>
      <c r="G153" s="493" t="s">
        <v>9888</v>
      </c>
      <c r="H153" s="494" t="s">
        <v>6446</v>
      </c>
      <c r="I153" s="646">
        <v>6512400</v>
      </c>
    </row>
    <row r="154" spans="1:9" ht="22.5">
      <c r="A154" s="493">
        <v>151</v>
      </c>
      <c r="B154" s="493" t="s">
        <v>10580</v>
      </c>
      <c r="C154" s="698"/>
      <c r="D154" s="493" t="s">
        <v>9065</v>
      </c>
      <c r="E154" s="493" t="s">
        <v>9065</v>
      </c>
      <c r="F154" s="493" t="s">
        <v>6877</v>
      </c>
      <c r="G154" s="493" t="s">
        <v>9888</v>
      </c>
      <c r="H154" s="494" t="s">
        <v>6876</v>
      </c>
      <c r="I154" s="646">
        <v>6512400</v>
      </c>
    </row>
    <row r="155" spans="1:9" ht="22.5">
      <c r="A155" s="493">
        <v>152</v>
      </c>
      <c r="B155" s="493" t="s">
        <v>10746</v>
      </c>
      <c r="C155" s="698"/>
      <c r="D155" s="493" t="s">
        <v>9065</v>
      </c>
      <c r="E155" s="493" t="s">
        <v>9065</v>
      </c>
      <c r="F155" s="493" t="s">
        <v>7136</v>
      </c>
      <c r="G155" s="493" t="s">
        <v>9888</v>
      </c>
      <c r="H155" s="494" t="s">
        <v>7135</v>
      </c>
      <c r="I155" s="646">
        <v>6512400</v>
      </c>
    </row>
    <row r="156" spans="1:9" ht="22.5">
      <c r="A156" s="493">
        <v>153</v>
      </c>
      <c r="B156" s="493" t="s">
        <v>10269</v>
      </c>
      <c r="C156" s="698"/>
      <c r="D156" s="493" t="s">
        <v>9065</v>
      </c>
      <c r="E156" s="493" t="s">
        <v>9065</v>
      </c>
      <c r="F156" s="493" t="s">
        <v>6362</v>
      </c>
      <c r="G156" s="493" t="s">
        <v>9888</v>
      </c>
      <c r="H156" s="494" t="s">
        <v>6361</v>
      </c>
      <c r="I156" s="646">
        <v>6512400</v>
      </c>
    </row>
    <row r="157" spans="1:9" ht="22.5">
      <c r="A157" s="493">
        <v>154</v>
      </c>
      <c r="B157" s="493" t="s">
        <v>10274</v>
      </c>
      <c r="C157" s="698"/>
      <c r="D157" s="493" t="s">
        <v>9065</v>
      </c>
      <c r="E157" s="493" t="s">
        <v>9065</v>
      </c>
      <c r="F157" s="493" t="s">
        <v>5659</v>
      </c>
      <c r="G157" s="493" t="s">
        <v>5130</v>
      </c>
      <c r="H157" s="494" t="s">
        <v>5658</v>
      </c>
      <c r="I157" s="646">
        <v>6512400</v>
      </c>
    </row>
    <row r="158" spans="1:9" ht="22.5">
      <c r="A158" s="493">
        <v>155</v>
      </c>
      <c r="B158" s="493" t="s">
        <v>10334</v>
      </c>
      <c r="C158" s="698"/>
      <c r="D158" s="493" t="s">
        <v>9065</v>
      </c>
      <c r="E158" s="493" t="s">
        <v>9065</v>
      </c>
      <c r="F158" s="493" t="s">
        <v>6467</v>
      </c>
      <c r="G158" s="493" t="s">
        <v>9888</v>
      </c>
      <c r="H158" s="494" t="s">
        <v>6466</v>
      </c>
      <c r="I158" s="646">
        <v>6512400</v>
      </c>
    </row>
    <row r="159" spans="1:9" ht="22.5">
      <c r="A159" s="493">
        <v>156</v>
      </c>
      <c r="B159" s="493" t="s">
        <v>10704</v>
      </c>
      <c r="C159" s="698"/>
      <c r="D159" s="493" t="s">
        <v>9065</v>
      </c>
      <c r="E159" s="493" t="s">
        <v>9065</v>
      </c>
      <c r="F159" s="493" t="s">
        <v>7064</v>
      </c>
      <c r="G159" s="493" t="s">
        <v>9888</v>
      </c>
      <c r="H159" s="494" t="s">
        <v>7063</v>
      </c>
      <c r="I159" s="646">
        <v>6512400</v>
      </c>
    </row>
    <row r="160" spans="1:9" ht="22.5">
      <c r="A160" s="493">
        <v>157</v>
      </c>
      <c r="B160" s="493" t="s">
        <v>10856</v>
      </c>
      <c r="C160" s="698"/>
      <c r="D160" s="493" t="s">
        <v>9065</v>
      </c>
      <c r="E160" s="493" t="s">
        <v>9065</v>
      </c>
      <c r="F160" s="493" t="s">
        <v>7331</v>
      </c>
      <c r="G160" s="493" t="s">
        <v>9888</v>
      </c>
      <c r="H160" s="494" t="s">
        <v>7330</v>
      </c>
      <c r="I160" s="646">
        <v>6512400</v>
      </c>
    </row>
    <row r="161" spans="1:9" ht="22.5">
      <c r="A161" s="493">
        <v>158</v>
      </c>
      <c r="B161" s="493" t="s">
        <v>10846</v>
      </c>
      <c r="C161" s="698"/>
      <c r="D161" s="493" t="s">
        <v>9065</v>
      </c>
      <c r="E161" s="493" t="s">
        <v>9065</v>
      </c>
      <c r="F161" s="493" t="s">
        <v>7310</v>
      </c>
      <c r="G161" s="493" t="s">
        <v>9888</v>
      </c>
      <c r="H161" s="494" t="s">
        <v>7309</v>
      </c>
      <c r="I161" s="646">
        <v>6512400</v>
      </c>
    </row>
    <row r="162" spans="1:9" ht="22.5">
      <c r="A162" s="493">
        <v>159</v>
      </c>
      <c r="B162" s="493" t="s">
        <v>10952</v>
      </c>
      <c r="C162" s="698"/>
      <c r="D162" s="493" t="s">
        <v>9065</v>
      </c>
      <c r="E162" s="493" t="s">
        <v>9065</v>
      </c>
      <c r="F162" s="493" t="s">
        <v>7483</v>
      </c>
      <c r="G162" s="493" t="s">
        <v>9888</v>
      </c>
      <c r="H162" s="494" t="s">
        <v>7482</v>
      </c>
      <c r="I162" s="646">
        <v>6512400</v>
      </c>
    </row>
    <row r="163" spans="1:9" ht="22.5">
      <c r="A163" s="493">
        <v>160</v>
      </c>
      <c r="B163" s="493" t="s">
        <v>10864</v>
      </c>
      <c r="C163" s="698"/>
      <c r="D163" s="493" t="s">
        <v>9065</v>
      </c>
      <c r="E163" s="493" t="s">
        <v>9065</v>
      </c>
      <c r="F163" s="493" t="s">
        <v>7347</v>
      </c>
      <c r="G163" s="493" t="s">
        <v>9888</v>
      </c>
      <c r="H163" s="494" t="s">
        <v>7346</v>
      </c>
      <c r="I163" s="646">
        <v>6512400</v>
      </c>
    </row>
    <row r="164" spans="1:9" ht="22.5">
      <c r="A164" s="493">
        <v>161</v>
      </c>
      <c r="B164" s="493" t="s">
        <v>10500</v>
      </c>
      <c r="C164" s="698"/>
      <c r="D164" s="493" t="s">
        <v>9065</v>
      </c>
      <c r="E164" s="493" t="s">
        <v>9065</v>
      </c>
      <c r="F164" s="493" t="s">
        <v>6744</v>
      </c>
      <c r="G164" s="493" t="s">
        <v>9888</v>
      </c>
      <c r="H164" s="494" t="s">
        <v>6743</v>
      </c>
      <c r="I164" s="646">
        <v>6512400</v>
      </c>
    </row>
    <row r="165" spans="1:9" ht="22.5">
      <c r="A165" s="493">
        <v>162</v>
      </c>
      <c r="B165" s="493" t="s">
        <v>10451</v>
      </c>
      <c r="C165" s="698"/>
      <c r="D165" s="493" t="s">
        <v>9065</v>
      </c>
      <c r="E165" s="493" t="s">
        <v>9065</v>
      </c>
      <c r="F165" s="493" t="s">
        <v>5718</v>
      </c>
      <c r="G165" s="493" t="s">
        <v>5130</v>
      </c>
      <c r="H165" s="494" t="s">
        <v>5717</v>
      </c>
      <c r="I165" s="646">
        <v>6512400</v>
      </c>
    </row>
    <row r="166" spans="1:9" ht="22.5">
      <c r="A166" s="493">
        <v>163</v>
      </c>
      <c r="B166" s="493" t="s">
        <v>10181</v>
      </c>
      <c r="C166" s="698"/>
      <c r="D166" s="493" t="s">
        <v>9065</v>
      </c>
      <c r="E166" s="493" t="s">
        <v>9065</v>
      </c>
      <c r="F166" s="493" t="s">
        <v>5604</v>
      </c>
      <c r="G166" s="493" t="s">
        <v>5130</v>
      </c>
      <c r="H166" s="494" t="s">
        <v>5603</v>
      </c>
      <c r="I166" s="646">
        <v>6512400</v>
      </c>
    </row>
    <row r="167" spans="1:9" ht="22.5">
      <c r="A167" s="493">
        <v>164</v>
      </c>
      <c r="B167" s="493" t="s">
        <v>10899</v>
      </c>
      <c r="C167" s="698"/>
      <c r="D167" s="493" t="s">
        <v>9065</v>
      </c>
      <c r="E167" s="493" t="s">
        <v>9065</v>
      </c>
      <c r="F167" s="493" t="s">
        <v>7405</v>
      </c>
      <c r="G167" s="493" t="s">
        <v>9888</v>
      </c>
      <c r="H167" s="494" t="s">
        <v>7404</v>
      </c>
      <c r="I167" s="646">
        <v>6512400</v>
      </c>
    </row>
    <row r="168" spans="1:9" ht="22.5">
      <c r="A168" s="493">
        <v>165</v>
      </c>
      <c r="B168" s="493" t="s">
        <v>10308</v>
      </c>
      <c r="C168" s="698"/>
      <c r="D168" s="493" t="s">
        <v>9065</v>
      </c>
      <c r="E168" s="493" t="s">
        <v>9065</v>
      </c>
      <c r="F168" s="493" t="s">
        <v>6425</v>
      </c>
      <c r="G168" s="493" t="s">
        <v>9888</v>
      </c>
      <c r="H168" s="494" t="s">
        <v>6424</v>
      </c>
      <c r="I168" s="646">
        <v>6512400</v>
      </c>
    </row>
    <row r="169" spans="1:9" ht="22.5">
      <c r="A169" s="493">
        <v>166</v>
      </c>
      <c r="B169" s="493" t="s">
        <v>10368</v>
      </c>
      <c r="C169" s="698"/>
      <c r="D169" s="493" t="s">
        <v>9065</v>
      </c>
      <c r="E169" s="493" t="s">
        <v>9065</v>
      </c>
      <c r="F169" s="493" t="s">
        <v>6524</v>
      </c>
      <c r="G169" s="493" t="s">
        <v>9888</v>
      </c>
      <c r="H169" s="494" t="s">
        <v>6523</v>
      </c>
      <c r="I169" s="646">
        <v>6512400</v>
      </c>
    </row>
    <row r="170" spans="1:9" ht="22.5">
      <c r="A170" s="493">
        <v>167</v>
      </c>
      <c r="B170" s="493" t="s">
        <v>10756</v>
      </c>
      <c r="C170" s="698"/>
      <c r="D170" s="493" t="s">
        <v>9065</v>
      </c>
      <c r="E170" s="493" t="s">
        <v>9065</v>
      </c>
      <c r="F170" s="493" t="s">
        <v>7156</v>
      </c>
      <c r="G170" s="493" t="s">
        <v>9888</v>
      </c>
      <c r="H170" s="494" t="s">
        <v>7155</v>
      </c>
      <c r="I170" s="646">
        <v>6512400</v>
      </c>
    </row>
    <row r="171" spans="1:9" ht="22.5">
      <c r="A171" s="493">
        <v>168</v>
      </c>
      <c r="B171" s="493" t="s">
        <v>10447</v>
      </c>
      <c r="C171" s="698"/>
      <c r="D171" s="493" t="s">
        <v>9065</v>
      </c>
      <c r="E171" s="493" t="s">
        <v>9065</v>
      </c>
      <c r="F171" s="493" t="s">
        <v>6657</v>
      </c>
      <c r="G171" s="493" t="s">
        <v>9888</v>
      </c>
      <c r="H171" s="494" t="s">
        <v>6656</v>
      </c>
      <c r="I171" s="646">
        <v>6512400</v>
      </c>
    </row>
    <row r="172" spans="1:9" ht="22.5">
      <c r="A172" s="493">
        <v>169</v>
      </c>
      <c r="B172" s="493" t="s">
        <v>10878</v>
      </c>
      <c r="C172" s="698"/>
      <c r="D172" s="493" t="s">
        <v>9065</v>
      </c>
      <c r="E172" s="493" t="s">
        <v>9065</v>
      </c>
      <c r="F172" s="493" t="s">
        <v>7371</v>
      </c>
      <c r="G172" s="493" t="s">
        <v>9888</v>
      </c>
      <c r="H172" s="494" t="s">
        <v>7370</v>
      </c>
      <c r="I172" s="646">
        <v>6512400</v>
      </c>
    </row>
    <row r="173" spans="1:9" ht="22.5">
      <c r="A173" s="493">
        <v>170</v>
      </c>
      <c r="B173" s="493" t="s">
        <v>10931</v>
      </c>
      <c r="C173" s="698"/>
      <c r="D173" s="493" t="s">
        <v>9065</v>
      </c>
      <c r="E173" s="493" t="s">
        <v>9065</v>
      </c>
      <c r="F173" s="493" t="s">
        <v>7447</v>
      </c>
      <c r="G173" s="493" t="s">
        <v>9888</v>
      </c>
      <c r="H173" s="494" t="s">
        <v>7446</v>
      </c>
      <c r="I173" s="646">
        <v>6512400</v>
      </c>
    </row>
    <row r="174" spans="1:9" ht="22.5">
      <c r="A174" s="493">
        <v>171</v>
      </c>
      <c r="B174" s="493" t="s">
        <v>10913</v>
      </c>
      <c r="C174" s="698"/>
      <c r="D174" s="493" t="s">
        <v>9065</v>
      </c>
      <c r="E174" s="493" t="s">
        <v>9065</v>
      </c>
      <c r="F174" s="493" t="s">
        <v>5862</v>
      </c>
      <c r="G174" s="493" t="s">
        <v>5130</v>
      </c>
      <c r="H174" s="494" t="s">
        <v>5861</v>
      </c>
      <c r="I174" s="646">
        <v>6512400</v>
      </c>
    </row>
    <row r="175" spans="1:9" ht="22.5">
      <c r="A175" s="493">
        <v>172</v>
      </c>
      <c r="B175" s="493" t="s">
        <v>10322</v>
      </c>
      <c r="C175" s="698"/>
      <c r="D175" s="493" t="s">
        <v>9065</v>
      </c>
      <c r="E175" s="493" t="s">
        <v>9065</v>
      </c>
      <c r="F175" s="493" t="s">
        <v>6451</v>
      </c>
      <c r="G175" s="493" t="s">
        <v>9888</v>
      </c>
      <c r="H175" s="494" t="s">
        <v>6450</v>
      </c>
      <c r="I175" s="646">
        <v>6512400</v>
      </c>
    </row>
    <row r="176" spans="1:9" ht="22.5">
      <c r="A176" s="493">
        <v>173</v>
      </c>
      <c r="B176" s="493" t="s">
        <v>10285</v>
      </c>
      <c r="C176" s="698"/>
      <c r="D176" s="493" t="s">
        <v>9065</v>
      </c>
      <c r="E176" s="493" t="s">
        <v>9065</v>
      </c>
      <c r="F176" s="493" t="s">
        <v>6384</v>
      </c>
      <c r="G176" s="493" t="s">
        <v>9888</v>
      </c>
      <c r="H176" s="494" t="s">
        <v>6383</v>
      </c>
      <c r="I176" s="646">
        <v>6512400</v>
      </c>
    </row>
    <row r="177" spans="1:9" ht="22.5">
      <c r="A177" s="493">
        <v>174</v>
      </c>
      <c r="B177" s="493" t="s">
        <v>10708</v>
      </c>
      <c r="C177" s="698"/>
      <c r="D177" s="493" t="s">
        <v>9065</v>
      </c>
      <c r="E177" s="493" t="s">
        <v>9065</v>
      </c>
      <c r="F177" s="493" t="s">
        <v>7070</v>
      </c>
      <c r="G177" s="493" t="s">
        <v>9888</v>
      </c>
      <c r="H177" s="494" t="s">
        <v>7069</v>
      </c>
      <c r="I177" s="646">
        <v>6512400</v>
      </c>
    </row>
    <row r="178" spans="1:9" ht="22.5">
      <c r="A178" s="493">
        <v>175</v>
      </c>
      <c r="B178" s="493" t="s">
        <v>10272</v>
      </c>
      <c r="C178" s="698"/>
      <c r="D178" s="493" t="s">
        <v>9065</v>
      </c>
      <c r="E178" s="493" t="s">
        <v>9065</v>
      </c>
      <c r="F178" s="493" t="s">
        <v>6368</v>
      </c>
      <c r="G178" s="493" t="s">
        <v>9888</v>
      </c>
      <c r="H178" s="494" t="s">
        <v>6367</v>
      </c>
      <c r="I178" s="646">
        <v>6512400</v>
      </c>
    </row>
    <row r="179" spans="1:9" ht="22.5">
      <c r="A179" s="493">
        <v>176</v>
      </c>
      <c r="B179" s="493" t="s">
        <v>10765</v>
      </c>
      <c r="C179" s="698"/>
      <c r="D179" s="493" t="s">
        <v>9065</v>
      </c>
      <c r="E179" s="493" t="s">
        <v>9065</v>
      </c>
      <c r="F179" s="493" t="s">
        <v>7170</v>
      </c>
      <c r="G179" s="493" t="s">
        <v>9888</v>
      </c>
      <c r="H179" s="494" t="s">
        <v>7169</v>
      </c>
      <c r="I179" s="646">
        <v>6512400</v>
      </c>
    </row>
    <row r="180" spans="1:9" ht="22.5">
      <c r="A180" s="493">
        <v>177</v>
      </c>
      <c r="B180" s="493" t="s">
        <v>10291</v>
      </c>
      <c r="C180" s="698"/>
      <c r="D180" s="493" t="s">
        <v>9065</v>
      </c>
      <c r="E180" s="493" t="s">
        <v>9065</v>
      </c>
      <c r="F180" s="493" t="s">
        <v>6395</v>
      </c>
      <c r="G180" s="493" t="s">
        <v>9888</v>
      </c>
      <c r="H180" s="494" t="s">
        <v>6394</v>
      </c>
      <c r="I180" s="646">
        <v>6512400</v>
      </c>
    </row>
    <row r="181" spans="1:9" ht="22.5">
      <c r="A181" s="493">
        <v>178</v>
      </c>
      <c r="B181" s="493" t="s">
        <v>10927</v>
      </c>
      <c r="C181" s="698"/>
      <c r="D181" s="493" t="s">
        <v>9065</v>
      </c>
      <c r="E181" s="493" t="s">
        <v>9065</v>
      </c>
      <c r="F181" s="493" t="s">
        <v>7439</v>
      </c>
      <c r="G181" s="493" t="s">
        <v>9888</v>
      </c>
      <c r="H181" s="494" t="s">
        <v>7438</v>
      </c>
      <c r="I181" s="646">
        <v>6512400</v>
      </c>
    </row>
    <row r="182" spans="1:9" ht="22.5">
      <c r="A182" s="493">
        <v>179</v>
      </c>
      <c r="B182" s="493" t="s">
        <v>10945</v>
      </c>
      <c r="C182" s="698"/>
      <c r="D182" s="493" t="s">
        <v>9065</v>
      </c>
      <c r="E182" s="493" t="s">
        <v>9065</v>
      </c>
      <c r="F182" s="493" t="s">
        <v>7473</v>
      </c>
      <c r="G182" s="493" t="s">
        <v>9888</v>
      </c>
      <c r="H182" s="494" t="s">
        <v>7472</v>
      </c>
      <c r="I182" s="646">
        <v>6512400</v>
      </c>
    </row>
    <row r="183" spans="1:9" ht="22.5">
      <c r="A183" s="493">
        <v>180</v>
      </c>
      <c r="B183" s="493" t="s">
        <v>10382</v>
      </c>
      <c r="C183" s="698"/>
      <c r="D183" s="493" t="s">
        <v>9065</v>
      </c>
      <c r="E183" s="493" t="s">
        <v>9065</v>
      </c>
      <c r="F183" s="493" t="s">
        <v>6549</v>
      </c>
      <c r="G183" s="493" t="s">
        <v>9888</v>
      </c>
      <c r="H183" s="494" t="s">
        <v>6548</v>
      </c>
      <c r="I183" s="646">
        <v>6512400</v>
      </c>
    </row>
    <row r="184" spans="1:9" ht="22.5">
      <c r="A184" s="493">
        <v>181</v>
      </c>
      <c r="B184" s="493" t="s">
        <v>10919</v>
      </c>
      <c r="C184" s="698"/>
      <c r="D184" s="493" t="s">
        <v>9065</v>
      </c>
      <c r="E184" s="493" t="s">
        <v>9065</v>
      </c>
      <c r="F184" s="493" t="s">
        <v>5866</v>
      </c>
      <c r="G184" s="493" t="s">
        <v>5130</v>
      </c>
      <c r="H184" s="494" t="s">
        <v>5865</v>
      </c>
      <c r="I184" s="646">
        <v>6512400</v>
      </c>
    </row>
    <row r="185" spans="1:9" ht="22.5">
      <c r="A185" s="493">
        <v>182</v>
      </c>
      <c r="B185" s="493" t="s">
        <v>10296</v>
      </c>
      <c r="C185" s="698"/>
      <c r="D185" s="493" t="s">
        <v>9065</v>
      </c>
      <c r="E185" s="493" t="s">
        <v>9065</v>
      </c>
      <c r="F185" s="493" t="s">
        <v>6403</v>
      </c>
      <c r="G185" s="493" t="s">
        <v>9888</v>
      </c>
      <c r="H185" s="494" t="s">
        <v>6402</v>
      </c>
      <c r="I185" s="646">
        <v>6512400</v>
      </c>
    </row>
    <row r="186" spans="1:9" ht="22.5">
      <c r="A186" s="493">
        <v>183</v>
      </c>
      <c r="B186" s="493" t="s">
        <v>10898</v>
      </c>
      <c r="C186" s="698"/>
      <c r="D186" s="493" t="s">
        <v>9065</v>
      </c>
      <c r="E186" s="493" t="s">
        <v>9065</v>
      </c>
      <c r="F186" s="493" t="s">
        <v>7403</v>
      </c>
      <c r="G186" s="493" t="s">
        <v>9888</v>
      </c>
      <c r="H186" s="494" t="s">
        <v>7402</v>
      </c>
      <c r="I186" s="646">
        <v>6512400</v>
      </c>
    </row>
    <row r="187" spans="1:9" ht="22.5">
      <c r="A187" s="493">
        <v>184</v>
      </c>
      <c r="B187" s="493" t="s">
        <v>10353</v>
      </c>
      <c r="C187" s="698"/>
      <c r="D187" s="493" t="s">
        <v>9065</v>
      </c>
      <c r="E187" s="493" t="s">
        <v>9065</v>
      </c>
      <c r="F187" s="493" t="s">
        <v>5688</v>
      </c>
      <c r="G187" s="493" t="s">
        <v>5130</v>
      </c>
      <c r="H187" s="494" t="s">
        <v>5687</v>
      </c>
      <c r="I187" s="646">
        <v>6512400</v>
      </c>
    </row>
    <row r="188" spans="1:9" ht="22.5">
      <c r="A188" s="493">
        <v>185</v>
      </c>
      <c r="B188" s="493" t="s">
        <v>10402</v>
      </c>
      <c r="C188" s="698"/>
      <c r="D188" s="493" t="s">
        <v>9065</v>
      </c>
      <c r="E188" s="493" t="s">
        <v>9065</v>
      </c>
      <c r="F188" s="493" t="s">
        <v>5706</v>
      </c>
      <c r="G188" s="493" t="s">
        <v>5130</v>
      </c>
      <c r="H188" s="494" t="s">
        <v>5705</v>
      </c>
      <c r="I188" s="646">
        <v>6512400</v>
      </c>
    </row>
    <row r="189" spans="1:9" ht="22.5">
      <c r="A189" s="493">
        <v>186</v>
      </c>
      <c r="B189" s="493" t="s">
        <v>10287</v>
      </c>
      <c r="C189" s="698"/>
      <c r="D189" s="493" t="s">
        <v>9065</v>
      </c>
      <c r="E189" s="493" t="s">
        <v>9065</v>
      </c>
      <c r="F189" s="493" t="s">
        <v>6389</v>
      </c>
      <c r="G189" s="493" t="s">
        <v>9888</v>
      </c>
      <c r="H189" s="494" t="s">
        <v>6388</v>
      </c>
      <c r="I189" s="646">
        <v>6512400</v>
      </c>
    </row>
    <row r="190" spans="1:9" ht="22.5">
      <c r="A190" s="493">
        <v>187</v>
      </c>
      <c r="B190" s="493" t="s">
        <v>10706</v>
      </c>
      <c r="C190" s="698"/>
      <c r="D190" s="493" t="s">
        <v>9065</v>
      </c>
      <c r="E190" s="493" t="s">
        <v>9065</v>
      </c>
      <c r="F190" s="493" t="s">
        <v>5812</v>
      </c>
      <c r="G190" s="493" t="s">
        <v>5130</v>
      </c>
      <c r="H190" s="494" t="s">
        <v>5811</v>
      </c>
      <c r="I190" s="646">
        <v>6512400</v>
      </c>
    </row>
    <row r="191" spans="1:9" ht="22.5">
      <c r="A191" s="493">
        <v>188</v>
      </c>
      <c r="B191" s="493" t="s">
        <v>10473</v>
      </c>
      <c r="C191" s="698"/>
      <c r="D191" s="493" t="s">
        <v>9065</v>
      </c>
      <c r="E191" s="493" t="s">
        <v>9065</v>
      </c>
      <c r="F191" s="493" t="s">
        <v>6696</v>
      </c>
      <c r="G191" s="493" t="s">
        <v>9888</v>
      </c>
      <c r="H191" s="494" t="s">
        <v>6695</v>
      </c>
      <c r="I191" s="646">
        <v>6512400</v>
      </c>
    </row>
    <row r="192" spans="1:9" ht="22.5">
      <c r="A192" s="493">
        <v>189</v>
      </c>
      <c r="B192" s="493" t="s">
        <v>10321</v>
      </c>
      <c r="C192" s="698"/>
      <c r="D192" s="493" t="s">
        <v>9065</v>
      </c>
      <c r="E192" s="493" t="s">
        <v>9065</v>
      </c>
      <c r="F192" s="493" t="s">
        <v>6449</v>
      </c>
      <c r="G192" s="493" t="s">
        <v>9888</v>
      </c>
      <c r="H192" s="494" t="s">
        <v>6448</v>
      </c>
      <c r="I192" s="646">
        <v>6512400</v>
      </c>
    </row>
    <row r="193" spans="1:9" ht="22.5">
      <c r="A193" s="493">
        <v>190</v>
      </c>
      <c r="B193" s="493" t="s">
        <v>10879</v>
      </c>
      <c r="C193" s="698"/>
      <c r="D193" s="493" t="s">
        <v>9065</v>
      </c>
      <c r="E193" s="493" t="s">
        <v>9065</v>
      </c>
      <c r="F193" s="493" t="s">
        <v>5845</v>
      </c>
      <c r="G193" s="493" t="s">
        <v>5130</v>
      </c>
      <c r="H193" s="494" t="s">
        <v>5844</v>
      </c>
      <c r="I193" s="646">
        <v>6512400</v>
      </c>
    </row>
    <row r="194" spans="1:9" ht="22.5">
      <c r="A194" s="493">
        <v>191</v>
      </c>
      <c r="B194" s="493" t="s">
        <v>10753</v>
      </c>
      <c r="C194" s="698"/>
      <c r="D194" s="493" t="s">
        <v>9065</v>
      </c>
      <c r="E194" s="493" t="s">
        <v>9065</v>
      </c>
      <c r="F194" s="493" t="s">
        <v>7148</v>
      </c>
      <c r="G194" s="493" t="s">
        <v>9888</v>
      </c>
      <c r="H194" s="494" t="s">
        <v>7147</v>
      </c>
      <c r="I194" s="646">
        <v>6512400</v>
      </c>
    </row>
    <row r="195" spans="1:9" ht="22.5">
      <c r="A195" s="493">
        <v>192</v>
      </c>
      <c r="B195" s="493" t="s">
        <v>10877</v>
      </c>
      <c r="C195" s="698"/>
      <c r="D195" s="493" t="s">
        <v>9065</v>
      </c>
      <c r="E195" s="493" t="s">
        <v>9065</v>
      </c>
      <c r="F195" s="493" t="s">
        <v>7369</v>
      </c>
      <c r="G195" s="493" t="s">
        <v>9888</v>
      </c>
      <c r="H195" s="494" t="s">
        <v>7368</v>
      </c>
      <c r="I195" s="646">
        <v>6512400</v>
      </c>
    </row>
    <row r="196" spans="1:9" ht="22.5">
      <c r="A196" s="493">
        <v>193</v>
      </c>
      <c r="B196" s="493" t="s">
        <v>10589</v>
      </c>
      <c r="C196" s="698"/>
      <c r="D196" s="493" t="s">
        <v>9065</v>
      </c>
      <c r="E196" s="493" t="s">
        <v>9065</v>
      </c>
      <c r="F196" s="493" t="s">
        <v>6893</v>
      </c>
      <c r="G196" s="493" t="s">
        <v>9888</v>
      </c>
      <c r="H196" s="494" t="s">
        <v>6892</v>
      </c>
      <c r="I196" s="646">
        <v>6512400</v>
      </c>
    </row>
    <row r="197" spans="1:9" ht="22.5">
      <c r="A197" s="493">
        <v>194</v>
      </c>
      <c r="B197" s="493" t="s">
        <v>10459</v>
      </c>
      <c r="C197" s="698"/>
      <c r="D197" s="493" t="s">
        <v>9065</v>
      </c>
      <c r="E197" s="493" t="s">
        <v>9065</v>
      </c>
      <c r="F197" s="493" t="s">
        <v>6672</v>
      </c>
      <c r="G197" s="493" t="s">
        <v>9888</v>
      </c>
      <c r="H197" s="494" t="s">
        <v>6671</v>
      </c>
      <c r="I197" s="646">
        <v>6512400</v>
      </c>
    </row>
    <row r="198" spans="1:9" ht="22.5">
      <c r="A198" s="493">
        <v>195</v>
      </c>
      <c r="B198" s="493" t="s">
        <v>9928</v>
      </c>
      <c r="C198" s="698"/>
      <c r="D198" s="493" t="s">
        <v>9065</v>
      </c>
      <c r="E198" s="493" t="s">
        <v>9065</v>
      </c>
      <c r="F198" s="493" t="s">
        <v>5930</v>
      </c>
      <c r="G198" s="493" t="s">
        <v>9888</v>
      </c>
      <c r="H198" s="494" t="s">
        <v>5929</v>
      </c>
      <c r="I198" s="646">
        <v>6512400</v>
      </c>
    </row>
    <row r="199" spans="1:9" ht="22.5">
      <c r="A199" s="493">
        <v>196</v>
      </c>
      <c r="B199" s="493" t="s">
        <v>10359</v>
      </c>
      <c r="C199" s="698"/>
      <c r="D199" s="493" t="s">
        <v>9065</v>
      </c>
      <c r="E199" s="493" t="s">
        <v>9065</v>
      </c>
      <c r="F199" s="493" t="s">
        <v>6507</v>
      </c>
      <c r="G199" s="493" t="s">
        <v>9888</v>
      </c>
      <c r="H199" s="494" t="s">
        <v>6506</v>
      </c>
      <c r="I199" s="646">
        <v>6512400</v>
      </c>
    </row>
    <row r="200" spans="1:9" ht="22.5">
      <c r="A200" s="493">
        <v>197</v>
      </c>
      <c r="B200" s="493" t="s">
        <v>10162</v>
      </c>
      <c r="C200" s="698"/>
      <c r="D200" s="493" t="s">
        <v>9065</v>
      </c>
      <c r="E200" s="493" t="s">
        <v>9065</v>
      </c>
      <c r="F200" s="493" t="s">
        <v>6211</v>
      </c>
      <c r="G200" s="493" t="s">
        <v>9888</v>
      </c>
      <c r="H200" s="494" t="s">
        <v>6210</v>
      </c>
      <c r="I200" s="646">
        <v>6512400</v>
      </c>
    </row>
    <row r="201" spans="1:9" ht="22.5">
      <c r="A201" s="493">
        <v>198</v>
      </c>
      <c r="B201" s="493" t="s">
        <v>10576</v>
      </c>
      <c r="C201" s="698"/>
      <c r="D201" s="493" t="s">
        <v>9065</v>
      </c>
      <c r="E201" s="493" t="s">
        <v>9065</v>
      </c>
      <c r="F201" s="493" t="s">
        <v>6869</v>
      </c>
      <c r="G201" s="493" t="s">
        <v>9888</v>
      </c>
      <c r="H201" s="494" t="s">
        <v>11822</v>
      </c>
      <c r="I201" s="646">
        <v>6512400</v>
      </c>
    </row>
    <row r="202" spans="1:9" ht="22.5">
      <c r="A202" s="493">
        <v>199</v>
      </c>
      <c r="B202" s="493" t="s">
        <v>11823</v>
      </c>
      <c r="C202" s="698"/>
      <c r="D202" s="493" t="s">
        <v>9065</v>
      </c>
      <c r="E202" s="493" t="s">
        <v>9065</v>
      </c>
      <c r="F202" s="493" t="s">
        <v>6319</v>
      </c>
      <c r="G202" s="493" t="s">
        <v>9888</v>
      </c>
      <c r="H202" s="494" t="s">
        <v>11824</v>
      </c>
      <c r="I202" s="646">
        <v>6512400</v>
      </c>
    </row>
    <row r="203" spans="1:9" ht="22.5">
      <c r="A203" s="493">
        <v>200</v>
      </c>
      <c r="B203" s="493" t="s">
        <v>11825</v>
      </c>
      <c r="C203" s="698"/>
      <c r="D203" s="493" t="s">
        <v>9065</v>
      </c>
      <c r="E203" s="493" t="s">
        <v>9065</v>
      </c>
      <c r="F203" s="493" t="s">
        <v>6856</v>
      </c>
      <c r="G203" s="493" t="s">
        <v>9888</v>
      </c>
      <c r="H203" s="494" t="s">
        <v>6855</v>
      </c>
      <c r="I203" s="646">
        <v>6512400</v>
      </c>
    </row>
    <row r="204" spans="1:9" ht="22.5">
      <c r="A204" s="493">
        <v>201</v>
      </c>
      <c r="B204" s="493" t="s">
        <v>2158</v>
      </c>
      <c r="C204" s="698"/>
      <c r="D204" s="493" t="s">
        <v>9065</v>
      </c>
      <c r="E204" s="493" t="s">
        <v>9065</v>
      </c>
      <c r="F204" s="493" t="s">
        <v>2159</v>
      </c>
      <c r="G204" s="493" t="s">
        <v>5130</v>
      </c>
      <c r="H204" s="494" t="s">
        <v>14491</v>
      </c>
      <c r="I204" s="646">
        <v>6512400</v>
      </c>
    </row>
    <row r="205" spans="1:9" ht="22.5">
      <c r="A205" s="493">
        <v>202</v>
      </c>
      <c r="B205" s="493" t="s">
        <v>10683</v>
      </c>
      <c r="C205" s="698"/>
      <c r="D205" s="493" t="s">
        <v>9065</v>
      </c>
      <c r="E205" s="493" t="s">
        <v>9065</v>
      </c>
      <c r="F205" s="493" t="s">
        <v>7025</v>
      </c>
      <c r="G205" s="493" t="s">
        <v>9888</v>
      </c>
      <c r="H205" s="494" t="s">
        <v>14492</v>
      </c>
      <c r="I205" s="646">
        <v>6512400</v>
      </c>
    </row>
    <row r="206" spans="1:9" ht="22.5">
      <c r="A206" s="493">
        <v>203</v>
      </c>
      <c r="B206" s="493" t="s">
        <v>10056</v>
      </c>
      <c r="C206" s="698"/>
      <c r="D206" s="493" t="s">
        <v>9065</v>
      </c>
      <c r="E206" s="493" t="s">
        <v>9065</v>
      </c>
      <c r="F206" s="493" t="s">
        <v>5521</v>
      </c>
      <c r="G206" s="493" t="s">
        <v>5130</v>
      </c>
      <c r="H206" s="494" t="s">
        <v>14493</v>
      </c>
      <c r="I206" s="646">
        <v>6512400</v>
      </c>
    </row>
    <row r="207" spans="1:9" ht="22.5">
      <c r="A207" s="493">
        <v>204</v>
      </c>
      <c r="B207" s="493" t="s">
        <v>10630</v>
      </c>
      <c r="C207" s="698"/>
      <c r="D207" s="493" t="s">
        <v>9065</v>
      </c>
      <c r="E207" s="493" t="s">
        <v>9065</v>
      </c>
      <c r="F207" s="493" t="s">
        <v>6963</v>
      </c>
      <c r="G207" s="493" t="s">
        <v>9888</v>
      </c>
      <c r="H207" s="494" t="s">
        <v>14494</v>
      </c>
      <c r="I207" s="646">
        <v>6512400</v>
      </c>
    </row>
    <row r="208" spans="1:9" ht="22.5">
      <c r="A208" s="493">
        <v>205</v>
      </c>
      <c r="B208" s="493" t="s">
        <v>10114</v>
      </c>
      <c r="C208" s="698"/>
      <c r="D208" s="493" t="s">
        <v>9065</v>
      </c>
      <c r="E208" s="493" t="s">
        <v>9065</v>
      </c>
      <c r="F208" s="493" t="s">
        <v>6144</v>
      </c>
      <c r="G208" s="493" t="s">
        <v>9888</v>
      </c>
      <c r="H208" s="494" t="s">
        <v>14495</v>
      </c>
      <c r="I208" s="646">
        <v>6512400</v>
      </c>
    </row>
    <row r="209" spans="1:9" ht="22.5">
      <c r="A209" s="493">
        <v>206</v>
      </c>
      <c r="B209" s="493" t="s">
        <v>10483</v>
      </c>
      <c r="C209" s="698"/>
      <c r="D209" s="493" t="s">
        <v>9065</v>
      </c>
      <c r="E209" s="493" t="s">
        <v>9065</v>
      </c>
      <c r="F209" s="493" t="s">
        <v>6714</v>
      </c>
      <c r="G209" s="493" t="s">
        <v>9888</v>
      </c>
      <c r="H209" s="494" t="s">
        <v>14496</v>
      </c>
      <c r="I209" s="646">
        <v>6512400</v>
      </c>
    </row>
    <row r="210" spans="1:9" ht="22.5">
      <c r="A210" s="493">
        <v>207</v>
      </c>
      <c r="B210" s="1283" t="s">
        <v>10527</v>
      </c>
      <c r="C210" s="698"/>
      <c r="D210" s="493" t="s">
        <v>9065</v>
      </c>
      <c r="E210" s="493" t="s">
        <v>9065</v>
      </c>
      <c r="F210" s="493" t="s">
        <v>6792</v>
      </c>
      <c r="G210" s="493" t="s">
        <v>9888</v>
      </c>
      <c r="H210" s="494" t="s">
        <v>14497</v>
      </c>
      <c r="I210" s="646">
        <v>6512400</v>
      </c>
    </row>
    <row r="211" spans="1:9" ht="22.5">
      <c r="A211" s="493">
        <v>208</v>
      </c>
      <c r="B211" s="493" t="s">
        <v>14498</v>
      </c>
      <c r="C211" s="698"/>
      <c r="D211" s="493" t="s">
        <v>9065</v>
      </c>
      <c r="E211" s="493" t="s">
        <v>9065</v>
      </c>
      <c r="F211" s="493" t="s">
        <v>6658</v>
      </c>
      <c r="G211" s="493" t="s">
        <v>9888</v>
      </c>
      <c r="H211" s="494" t="s">
        <v>14499</v>
      </c>
      <c r="I211" s="646">
        <v>6512400</v>
      </c>
    </row>
    <row r="212" spans="1:9" ht="22.5">
      <c r="A212" s="493">
        <v>209</v>
      </c>
      <c r="B212" s="493" t="s">
        <v>14500</v>
      </c>
      <c r="C212" s="698"/>
      <c r="D212" s="493" t="s">
        <v>9065</v>
      </c>
      <c r="E212" s="493" t="s">
        <v>9065</v>
      </c>
      <c r="F212" s="493" t="s">
        <v>263</v>
      </c>
      <c r="G212" s="493" t="s">
        <v>5130</v>
      </c>
      <c r="H212" s="494" t="s">
        <v>14501</v>
      </c>
      <c r="I212" s="646">
        <v>6512400</v>
      </c>
    </row>
    <row r="213" spans="1:9" ht="22.5">
      <c r="A213" s="493">
        <v>210</v>
      </c>
      <c r="B213" s="493" t="s">
        <v>9609</v>
      </c>
      <c r="C213" s="698"/>
      <c r="D213" s="493" t="s">
        <v>9065</v>
      </c>
      <c r="E213" s="493" t="s">
        <v>9065</v>
      </c>
      <c r="F213" s="493" t="s">
        <v>11434</v>
      </c>
      <c r="G213" s="493" t="s">
        <v>9888</v>
      </c>
      <c r="H213" s="494" t="s">
        <v>11435</v>
      </c>
      <c r="I213" s="646">
        <v>6512400</v>
      </c>
    </row>
    <row r="214" spans="1:9" ht="22.5">
      <c r="A214" s="493">
        <v>211</v>
      </c>
      <c r="B214" s="493">
        <v>392</v>
      </c>
      <c r="C214" s="698"/>
      <c r="D214" s="493" t="s">
        <v>9065</v>
      </c>
      <c r="E214" s="493" t="s">
        <v>9065</v>
      </c>
      <c r="F214" s="493" t="s">
        <v>14502</v>
      </c>
      <c r="G214" s="493" t="s">
        <v>14503</v>
      </c>
      <c r="H214" s="494" t="s">
        <v>14504</v>
      </c>
      <c r="I214" s="646">
        <v>6512400</v>
      </c>
    </row>
    <row r="215" spans="1:9" ht="22.5">
      <c r="A215" s="493">
        <v>212</v>
      </c>
      <c r="B215" s="493">
        <v>343</v>
      </c>
      <c r="C215" s="698"/>
      <c r="D215" s="493" t="s">
        <v>9065</v>
      </c>
      <c r="E215" s="493" t="s">
        <v>9065</v>
      </c>
      <c r="F215" s="493" t="s">
        <v>14505</v>
      </c>
      <c r="G215" s="493" t="s">
        <v>14503</v>
      </c>
      <c r="H215" s="494" t="s">
        <v>14506</v>
      </c>
      <c r="I215" s="646">
        <v>6512400</v>
      </c>
    </row>
    <row r="216" spans="1:9" ht="22.5">
      <c r="A216" s="493">
        <v>213</v>
      </c>
      <c r="B216" s="493">
        <v>353</v>
      </c>
      <c r="C216" s="698"/>
      <c r="D216" s="493" t="s">
        <v>9065</v>
      </c>
      <c r="E216" s="493" t="s">
        <v>9065</v>
      </c>
      <c r="F216" s="493" t="s">
        <v>14507</v>
      </c>
      <c r="G216" s="493" t="s">
        <v>14503</v>
      </c>
      <c r="H216" s="494" t="s">
        <v>14508</v>
      </c>
      <c r="I216" s="646">
        <v>6512400</v>
      </c>
    </row>
    <row r="217" spans="1:9" ht="22.5">
      <c r="A217" s="493">
        <v>214</v>
      </c>
      <c r="B217" s="493" t="s">
        <v>10867</v>
      </c>
      <c r="C217" s="698"/>
      <c r="D217" s="493" t="s">
        <v>9065</v>
      </c>
      <c r="E217" s="493" t="s">
        <v>9065</v>
      </c>
      <c r="F217" s="493" t="s">
        <v>5841</v>
      </c>
      <c r="G217" s="493" t="s">
        <v>5130</v>
      </c>
      <c r="H217" s="494" t="s">
        <v>5840</v>
      </c>
      <c r="I217" s="646">
        <v>6512400</v>
      </c>
    </row>
    <row r="218" spans="1:9" ht="22.5">
      <c r="A218" s="493">
        <v>215</v>
      </c>
      <c r="B218" s="493" t="s">
        <v>9829</v>
      </c>
      <c r="C218" s="698"/>
      <c r="D218" s="493" t="s">
        <v>9065</v>
      </c>
      <c r="E218" s="493" t="s">
        <v>9065</v>
      </c>
      <c r="F218" s="493" t="s">
        <v>9830</v>
      </c>
      <c r="G218" s="493" t="s">
        <v>14503</v>
      </c>
      <c r="H218" s="494" t="s">
        <v>9831</v>
      </c>
      <c r="I218" s="646">
        <v>6512400</v>
      </c>
    </row>
    <row r="219" spans="1:9" ht="22.5">
      <c r="A219" s="493">
        <v>216</v>
      </c>
      <c r="B219" s="493" t="s">
        <v>10595</v>
      </c>
      <c r="C219" s="698"/>
      <c r="D219" s="493" t="s">
        <v>9065</v>
      </c>
      <c r="E219" s="493" t="s">
        <v>9065</v>
      </c>
      <c r="F219" s="493" t="s">
        <v>5759</v>
      </c>
      <c r="G219" s="493" t="s">
        <v>5130</v>
      </c>
      <c r="H219" s="494" t="s">
        <v>5758</v>
      </c>
      <c r="I219" s="646">
        <v>6512400</v>
      </c>
    </row>
    <row r="220" spans="1:9" ht="22.5">
      <c r="A220" s="493">
        <v>217</v>
      </c>
      <c r="B220" s="493" t="s">
        <v>14509</v>
      </c>
      <c r="C220" s="698"/>
      <c r="D220" s="493" t="s">
        <v>9065</v>
      </c>
      <c r="E220" s="493" t="s">
        <v>9065</v>
      </c>
      <c r="F220" s="493" t="s">
        <v>5883</v>
      </c>
      <c r="G220" s="493" t="s">
        <v>9888</v>
      </c>
      <c r="H220" s="494" t="s">
        <v>14510</v>
      </c>
      <c r="I220" s="646">
        <v>6512400</v>
      </c>
    </row>
    <row r="221" spans="1:9" ht="22.5">
      <c r="A221" s="493">
        <v>218</v>
      </c>
      <c r="B221" s="493" t="s">
        <v>14511</v>
      </c>
      <c r="C221" s="698"/>
      <c r="D221" s="493" t="s">
        <v>9065</v>
      </c>
      <c r="E221" s="493" t="s">
        <v>9065</v>
      </c>
      <c r="F221" s="493" t="s">
        <v>7321</v>
      </c>
      <c r="G221" s="493" t="s">
        <v>9888</v>
      </c>
      <c r="H221" s="494" t="s">
        <v>14512</v>
      </c>
      <c r="I221" s="646">
        <v>6512400</v>
      </c>
    </row>
    <row r="222" spans="1:9" ht="22.5">
      <c r="A222" s="493">
        <v>219</v>
      </c>
      <c r="B222" s="493" t="s">
        <v>14513</v>
      </c>
      <c r="C222" s="698"/>
      <c r="D222" s="493" t="s">
        <v>9065</v>
      </c>
      <c r="E222" s="493" t="s">
        <v>9065</v>
      </c>
      <c r="F222" s="493" t="s">
        <v>6522</v>
      </c>
      <c r="G222" s="493" t="s">
        <v>9888</v>
      </c>
      <c r="H222" s="494" t="s">
        <v>14514</v>
      </c>
      <c r="I222" s="646">
        <v>6512400</v>
      </c>
    </row>
    <row r="223" spans="1:9" ht="22.5">
      <c r="A223" s="493">
        <v>220</v>
      </c>
      <c r="B223" s="493" t="s">
        <v>14515</v>
      </c>
      <c r="C223" s="698"/>
      <c r="D223" s="493" t="s">
        <v>9065</v>
      </c>
      <c r="E223" s="493" t="s">
        <v>9065</v>
      </c>
      <c r="F223" s="493" t="s">
        <v>5577</v>
      </c>
      <c r="G223" s="493" t="s">
        <v>5130</v>
      </c>
      <c r="H223" s="494" t="s">
        <v>14516</v>
      </c>
      <c r="I223" s="646">
        <v>6512400</v>
      </c>
    </row>
    <row r="224" spans="1:9" ht="22.5">
      <c r="A224" s="493">
        <v>221</v>
      </c>
      <c r="B224" s="493" t="s">
        <v>14517</v>
      </c>
      <c r="C224" s="698"/>
      <c r="D224" s="493" t="s">
        <v>9065</v>
      </c>
      <c r="E224" s="493" t="s">
        <v>9065</v>
      </c>
      <c r="F224" s="493" t="s">
        <v>6637</v>
      </c>
      <c r="G224" s="493" t="s">
        <v>9888</v>
      </c>
      <c r="H224" s="494" t="s">
        <v>14518</v>
      </c>
      <c r="I224" s="646">
        <v>6512400</v>
      </c>
    </row>
    <row r="225" spans="1:9" ht="22.5">
      <c r="A225" s="493">
        <v>222</v>
      </c>
      <c r="B225" s="493" t="s">
        <v>14519</v>
      </c>
      <c r="C225" s="698"/>
      <c r="D225" s="493" t="s">
        <v>9065</v>
      </c>
      <c r="E225" s="493" t="s">
        <v>9065</v>
      </c>
      <c r="F225" s="493" t="s">
        <v>14520</v>
      </c>
      <c r="G225" s="493" t="s">
        <v>9888</v>
      </c>
      <c r="H225" s="494" t="s">
        <v>14521</v>
      </c>
      <c r="I225" s="646">
        <v>6512400</v>
      </c>
    </row>
    <row r="226" spans="1:9" ht="22.5">
      <c r="A226" s="493">
        <v>223</v>
      </c>
      <c r="B226" s="493" t="s">
        <v>14522</v>
      </c>
      <c r="C226" s="698"/>
      <c r="D226" s="493" t="s">
        <v>9065</v>
      </c>
      <c r="E226" s="493" t="s">
        <v>9065</v>
      </c>
      <c r="F226" s="493" t="s">
        <v>5825</v>
      </c>
      <c r="G226" s="493" t="s">
        <v>5130</v>
      </c>
      <c r="H226" s="494" t="s">
        <v>14523</v>
      </c>
      <c r="I226" s="646">
        <v>6512400</v>
      </c>
    </row>
    <row r="227" spans="1:9" ht="22.5">
      <c r="A227" s="493">
        <v>224</v>
      </c>
      <c r="B227" s="493" t="s">
        <v>14524</v>
      </c>
      <c r="C227" s="698"/>
      <c r="D227" s="493" t="s">
        <v>9065</v>
      </c>
      <c r="E227" s="493" t="s">
        <v>9065</v>
      </c>
      <c r="F227" s="493" t="s">
        <v>6824</v>
      </c>
      <c r="G227" s="493" t="s">
        <v>9888</v>
      </c>
      <c r="H227" s="494" t="s">
        <v>14525</v>
      </c>
      <c r="I227" s="646">
        <v>6512400</v>
      </c>
    </row>
    <row r="228" spans="1:9" ht="22.5">
      <c r="A228" s="493">
        <v>225</v>
      </c>
      <c r="B228" s="493" t="s">
        <v>15356</v>
      </c>
      <c r="C228" s="698"/>
      <c r="D228" s="493" t="s">
        <v>9065</v>
      </c>
      <c r="E228" s="493" t="s">
        <v>9065</v>
      </c>
      <c r="F228" s="493" t="s">
        <v>5361</v>
      </c>
      <c r="G228" s="493" t="s">
        <v>5130</v>
      </c>
      <c r="H228" s="494" t="s">
        <v>15357</v>
      </c>
      <c r="I228" s="646">
        <v>6512400</v>
      </c>
    </row>
    <row r="229" spans="1:9" ht="22.5">
      <c r="A229" s="493">
        <v>226</v>
      </c>
      <c r="B229" s="493" t="s">
        <v>15358</v>
      </c>
      <c r="C229" s="698"/>
      <c r="D229" s="493" t="s">
        <v>9065</v>
      </c>
      <c r="E229" s="493" t="s">
        <v>9065</v>
      </c>
      <c r="F229" s="493" t="s">
        <v>6333</v>
      </c>
      <c r="G229" s="493" t="s">
        <v>9888</v>
      </c>
      <c r="H229" s="494" t="s">
        <v>6332</v>
      </c>
      <c r="I229" s="646">
        <v>6512400</v>
      </c>
    </row>
    <row r="230" spans="1:9" ht="22.5">
      <c r="A230" s="493">
        <v>227</v>
      </c>
      <c r="B230" s="493" t="s">
        <v>15359</v>
      </c>
      <c r="C230" s="698"/>
      <c r="D230" s="493" t="s">
        <v>9065</v>
      </c>
      <c r="E230" s="493" t="s">
        <v>9065</v>
      </c>
      <c r="F230" s="493" t="s">
        <v>6768</v>
      </c>
      <c r="G230" s="493" t="s">
        <v>9888</v>
      </c>
      <c r="H230" s="494" t="s">
        <v>6767</v>
      </c>
      <c r="I230" s="646">
        <v>6512400</v>
      </c>
    </row>
    <row r="231" spans="1:9" ht="22.5">
      <c r="A231" s="493">
        <v>228</v>
      </c>
      <c r="B231" s="493" t="s">
        <v>15360</v>
      </c>
      <c r="C231" s="698"/>
      <c r="D231" s="493" t="s">
        <v>9065</v>
      </c>
      <c r="E231" s="493" t="s">
        <v>9065</v>
      </c>
      <c r="F231" s="493" t="s">
        <v>5576</v>
      </c>
      <c r="G231" s="493" t="s">
        <v>5130</v>
      </c>
      <c r="H231" s="494" t="s">
        <v>15361</v>
      </c>
      <c r="I231" s="646">
        <v>6512400</v>
      </c>
    </row>
    <row r="232" spans="1:9" ht="22.5">
      <c r="A232" s="493">
        <v>229</v>
      </c>
      <c r="B232" s="493" t="s">
        <v>15362</v>
      </c>
      <c r="C232" s="698"/>
      <c r="D232" s="493" t="s">
        <v>9065</v>
      </c>
      <c r="E232" s="493" t="s">
        <v>9065</v>
      </c>
      <c r="F232" s="493" t="s">
        <v>5873</v>
      </c>
      <c r="G232" s="493" t="s">
        <v>5130</v>
      </c>
      <c r="H232" s="494" t="s">
        <v>15363</v>
      </c>
      <c r="I232" s="646">
        <v>6512400</v>
      </c>
    </row>
    <row r="233" spans="1:9" ht="22.5">
      <c r="A233" s="493">
        <v>230</v>
      </c>
      <c r="B233" s="493" t="s">
        <v>15364</v>
      </c>
      <c r="C233" s="698"/>
      <c r="D233" s="493" t="s">
        <v>9065</v>
      </c>
      <c r="E233" s="493" t="s">
        <v>9065</v>
      </c>
      <c r="F233" s="493" t="s">
        <v>5837</v>
      </c>
      <c r="G233" s="493" t="s">
        <v>5130</v>
      </c>
      <c r="H233" s="494" t="s">
        <v>15365</v>
      </c>
      <c r="I233" s="646">
        <v>6512400</v>
      </c>
    </row>
    <row r="234" spans="1:9" ht="22.5">
      <c r="A234" s="493">
        <v>231</v>
      </c>
      <c r="B234" s="493" t="s">
        <v>15366</v>
      </c>
      <c r="C234" s="698"/>
      <c r="D234" s="493" t="s">
        <v>9065</v>
      </c>
      <c r="E234" s="493" t="s">
        <v>9065</v>
      </c>
      <c r="F234" s="493" t="s">
        <v>5874</v>
      </c>
      <c r="G234" s="493" t="s">
        <v>5130</v>
      </c>
      <c r="H234" s="494" t="s">
        <v>15367</v>
      </c>
      <c r="I234" s="646">
        <v>6512400</v>
      </c>
    </row>
    <row r="235" spans="1:9" ht="22.5">
      <c r="A235" s="493">
        <v>232</v>
      </c>
      <c r="B235" s="493" t="s">
        <v>15368</v>
      </c>
      <c r="C235" s="698"/>
      <c r="D235" s="493" t="s">
        <v>9065</v>
      </c>
      <c r="E235" s="493" t="s">
        <v>9065</v>
      </c>
      <c r="F235" s="493" t="s">
        <v>15369</v>
      </c>
      <c r="G235" s="493"/>
      <c r="H235" s="494" t="s">
        <v>15370</v>
      </c>
      <c r="I235" s="646">
        <v>6512400</v>
      </c>
    </row>
    <row r="236" spans="1:9" ht="22.5">
      <c r="A236" s="493">
        <v>233</v>
      </c>
      <c r="B236" s="493" t="s">
        <v>15371</v>
      </c>
      <c r="C236" s="698"/>
      <c r="D236" s="493" t="s">
        <v>9065</v>
      </c>
      <c r="E236" s="493" t="s">
        <v>9065</v>
      </c>
      <c r="F236" s="493" t="s">
        <v>5743</v>
      </c>
      <c r="G236" s="493" t="s">
        <v>5130</v>
      </c>
      <c r="H236" s="494" t="s">
        <v>15372</v>
      </c>
      <c r="I236" s="646">
        <v>6512400</v>
      </c>
    </row>
    <row r="237" spans="1:9" ht="22.5">
      <c r="A237" s="493">
        <v>234</v>
      </c>
      <c r="B237" s="493" t="s">
        <v>15373</v>
      </c>
      <c r="C237" s="698"/>
      <c r="D237" s="493" t="s">
        <v>9065</v>
      </c>
      <c r="E237" s="493" t="s">
        <v>9065</v>
      </c>
      <c r="F237" s="493" t="s">
        <v>6145</v>
      </c>
      <c r="G237" s="493" t="s">
        <v>5130</v>
      </c>
      <c r="H237" s="494" t="s">
        <v>15374</v>
      </c>
      <c r="I237" s="646">
        <v>6512400</v>
      </c>
    </row>
    <row r="238" spans="1:9" ht="22.5">
      <c r="A238" s="493">
        <v>235</v>
      </c>
      <c r="B238" s="493" t="s">
        <v>15375</v>
      </c>
      <c r="C238" s="698"/>
      <c r="D238" s="493" t="s">
        <v>9065</v>
      </c>
      <c r="E238" s="493" t="s">
        <v>9065</v>
      </c>
      <c r="F238" s="493" t="s">
        <v>5431</v>
      </c>
      <c r="G238" s="493" t="s">
        <v>5130</v>
      </c>
      <c r="H238" s="494" t="s">
        <v>15376</v>
      </c>
      <c r="I238" s="646">
        <v>6512400</v>
      </c>
    </row>
    <row r="239" spans="1:9" ht="22.5">
      <c r="A239" s="493">
        <v>236</v>
      </c>
      <c r="B239" s="493" t="s">
        <v>15832</v>
      </c>
      <c r="C239" s="698"/>
      <c r="D239" s="493" t="s">
        <v>9065</v>
      </c>
      <c r="E239" s="493" t="s">
        <v>9065</v>
      </c>
      <c r="F239" s="493" t="s">
        <v>6556</v>
      </c>
      <c r="G239" s="493" t="s">
        <v>9888</v>
      </c>
      <c r="H239" s="494" t="s">
        <v>15833</v>
      </c>
      <c r="I239" s="646">
        <v>6512400</v>
      </c>
    </row>
    <row r="240" spans="1:9" ht="22.5">
      <c r="A240" s="493">
        <v>237</v>
      </c>
      <c r="B240" s="493" t="s">
        <v>15834</v>
      </c>
      <c r="C240" s="698"/>
      <c r="D240" s="493" t="s">
        <v>9065</v>
      </c>
      <c r="E240" s="493" t="s">
        <v>9065</v>
      </c>
      <c r="F240" s="493" t="s">
        <v>6047</v>
      </c>
      <c r="G240" s="493" t="s">
        <v>9888</v>
      </c>
      <c r="H240" s="494" t="s">
        <v>15835</v>
      </c>
      <c r="I240" s="646">
        <v>6512400</v>
      </c>
    </row>
    <row r="241" spans="1:9" ht="22.5">
      <c r="A241" s="493">
        <v>238</v>
      </c>
      <c r="B241" s="493" t="s">
        <v>15836</v>
      </c>
      <c r="C241" s="698"/>
      <c r="D241" s="493" t="s">
        <v>9065</v>
      </c>
      <c r="E241" s="493" t="s">
        <v>9065</v>
      </c>
      <c r="F241" s="493" t="s">
        <v>6531</v>
      </c>
      <c r="G241" s="493" t="s">
        <v>9888</v>
      </c>
      <c r="H241" s="494" t="s">
        <v>15837</v>
      </c>
      <c r="I241" s="646">
        <v>6512400</v>
      </c>
    </row>
    <row r="242" spans="1:9" ht="22.5">
      <c r="A242" s="493">
        <v>239</v>
      </c>
      <c r="B242" s="493" t="s">
        <v>15838</v>
      </c>
      <c r="C242" s="698"/>
      <c r="D242" s="493" t="s">
        <v>9065</v>
      </c>
      <c r="E242" s="493" t="s">
        <v>9065</v>
      </c>
      <c r="F242" s="493" t="s">
        <v>6234</v>
      </c>
      <c r="G242" s="493" t="s">
        <v>9888</v>
      </c>
      <c r="H242" s="494" t="s">
        <v>15839</v>
      </c>
      <c r="I242" s="646">
        <v>6512400</v>
      </c>
    </row>
    <row r="243" spans="1:9" ht="22.5">
      <c r="A243" s="493">
        <v>240</v>
      </c>
      <c r="B243" s="493" t="s">
        <v>10810</v>
      </c>
      <c r="C243" s="698"/>
      <c r="D243" s="493" t="s">
        <v>9065</v>
      </c>
      <c r="E243" s="493" t="s">
        <v>9065</v>
      </c>
      <c r="F243" s="493" t="s">
        <v>7244</v>
      </c>
      <c r="G243" s="493" t="s">
        <v>9888</v>
      </c>
      <c r="H243" s="494" t="s">
        <v>5600</v>
      </c>
      <c r="I243" s="646">
        <v>6512400</v>
      </c>
    </row>
    <row r="244" spans="1:9" ht="22.5">
      <c r="A244" s="493">
        <v>241</v>
      </c>
      <c r="B244" s="493" t="s">
        <v>15840</v>
      </c>
      <c r="C244" s="698"/>
      <c r="D244" s="493" t="s">
        <v>9065</v>
      </c>
      <c r="E244" s="493" t="s">
        <v>9065</v>
      </c>
      <c r="F244" s="493" t="s">
        <v>5827</v>
      </c>
      <c r="G244" s="493" t="s">
        <v>5130</v>
      </c>
      <c r="H244" s="494" t="s">
        <v>5826</v>
      </c>
      <c r="I244" s="646">
        <v>6512400</v>
      </c>
    </row>
    <row r="245" spans="1:9" ht="22.5">
      <c r="A245" s="493">
        <v>242</v>
      </c>
      <c r="B245" s="493" t="s">
        <v>15841</v>
      </c>
      <c r="C245" s="698"/>
      <c r="D245" s="493" t="s">
        <v>9065</v>
      </c>
      <c r="E245" s="493" t="s">
        <v>9065</v>
      </c>
      <c r="F245" s="493" t="s">
        <v>7152</v>
      </c>
      <c r="G245" s="493" t="s">
        <v>9888</v>
      </c>
      <c r="H245" s="494" t="s">
        <v>7151</v>
      </c>
      <c r="I245" s="646">
        <v>6512400</v>
      </c>
    </row>
    <row r="246" spans="1:9" ht="22.5">
      <c r="A246" s="493">
        <v>243</v>
      </c>
      <c r="B246" s="493" t="s">
        <v>15842</v>
      </c>
      <c r="C246" s="698"/>
      <c r="D246" s="493" t="s">
        <v>9065</v>
      </c>
      <c r="E246" s="493" t="s">
        <v>9065</v>
      </c>
      <c r="F246" s="493" t="s">
        <v>5978</v>
      </c>
      <c r="G246" s="493" t="s">
        <v>9888</v>
      </c>
      <c r="H246" s="494" t="s">
        <v>5977</v>
      </c>
      <c r="I246" s="646">
        <v>6512400</v>
      </c>
    </row>
    <row r="247" spans="1:9" ht="22.5">
      <c r="A247" s="493">
        <v>244</v>
      </c>
      <c r="B247" s="493" t="s">
        <v>15843</v>
      </c>
      <c r="C247" s="698"/>
      <c r="D247" s="493" t="s">
        <v>9065</v>
      </c>
      <c r="E247" s="493" t="s">
        <v>9065</v>
      </c>
      <c r="F247" s="493" t="s">
        <v>5678</v>
      </c>
      <c r="G247" s="493" t="s">
        <v>5130</v>
      </c>
      <c r="H247" s="494" t="s">
        <v>15844</v>
      </c>
      <c r="I247" s="646">
        <v>6512400</v>
      </c>
    </row>
    <row r="248" spans="1:9" ht="22.5">
      <c r="A248" s="493">
        <v>245</v>
      </c>
      <c r="B248" s="493" t="s">
        <v>15845</v>
      </c>
      <c r="C248" s="698"/>
      <c r="D248" s="493" t="s">
        <v>9065</v>
      </c>
      <c r="E248" s="493" t="s">
        <v>9065</v>
      </c>
      <c r="F248" s="493" t="s">
        <v>15846</v>
      </c>
      <c r="G248" s="493" t="s">
        <v>9888</v>
      </c>
      <c r="H248" s="494" t="s">
        <v>15847</v>
      </c>
      <c r="I248" s="646">
        <v>6512400</v>
      </c>
    </row>
    <row r="249" spans="1:9" ht="22.5">
      <c r="A249" s="493">
        <v>246</v>
      </c>
      <c r="B249" s="493" t="s">
        <v>15848</v>
      </c>
      <c r="C249" s="698"/>
      <c r="D249" s="493" t="s">
        <v>9065</v>
      </c>
      <c r="E249" s="493" t="s">
        <v>9065</v>
      </c>
      <c r="F249" s="493" t="s">
        <v>6709</v>
      </c>
      <c r="G249" s="493" t="s">
        <v>9888</v>
      </c>
      <c r="H249" s="494" t="s">
        <v>15849</v>
      </c>
      <c r="I249" s="646">
        <v>6512400</v>
      </c>
    </row>
    <row r="250" spans="1:9" ht="22.5">
      <c r="A250" s="493">
        <v>247</v>
      </c>
      <c r="B250" s="493" t="s">
        <v>15850</v>
      </c>
      <c r="C250" s="698"/>
      <c r="D250" s="493" t="s">
        <v>9065</v>
      </c>
      <c r="E250" s="493" t="s">
        <v>9065</v>
      </c>
      <c r="F250" s="493" t="s">
        <v>7077</v>
      </c>
      <c r="G250" s="493" t="s">
        <v>9888</v>
      </c>
      <c r="H250" s="494" t="s">
        <v>15851</v>
      </c>
      <c r="I250" s="646">
        <v>6512400</v>
      </c>
    </row>
    <row r="251" spans="1:9" ht="22.5">
      <c r="A251" s="493">
        <v>248</v>
      </c>
      <c r="B251" s="493" t="s">
        <v>15852</v>
      </c>
      <c r="C251" s="698"/>
      <c r="D251" s="493" t="s">
        <v>9065</v>
      </c>
      <c r="E251" s="493" t="s">
        <v>9065</v>
      </c>
      <c r="F251" s="493" t="s">
        <v>7128</v>
      </c>
      <c r="G251" s="493" t="s">
        <v>9888</v>
      </c>
      <c r="H251" s="494" t="s">
        <v>15853</v>
      </c>
      <c r="I251" s="646">
        <v>6512400</v>
      </c>
    </row>
    <row r="252" spans="1:9" ht="22.5">
      <c r="A252" s="493">
        <v>249</v>
      </c>
      <c r="B252" s="493" t="s">
        <v>15854</v>
      </c>
      <c r="C252" s="698"/>
      <c r="D252" s="493" t="s">
        <v>9065</v>
      </c>
      <c r="E252" s="493" t="s">
        <v>9065</v>
      </c>
      <c r="F252" s="493" t="s">
        <v>6385</v>
      </c>
      <c r="G252" s="493" t="s">
        <v>9888</v>
      </c>
      <c r="H252" s="494" t="s">
        <v>15855</v>
      </c>
      <c r="I252" s="646">
        <v>6512400</v>
      </c>
    </row>
    <row r="253" spans="1:9" ht="22.5">
      <c r="A253" s="493">
        <v>250</v>
      </c>
      <c r="B253" s="493" t="s">
        <v>15856</v>
      </c>
      <c r="C253" s="698"/>
      <c r="D253" s="493" t="s">
        <v>9065</v>
      </c>
      <c r="E253" s="493" t="s">
        <v>9065</v>
      </c>
      <c r="F253" s="493" t="s">
        <v>6207</v>
      </c>
      <c r="G253" s="493" t="s">
        <v>9888</v>
      </c>
      <c r="H253" s="494" t="s">
        <v>15857</v>
      </c>
      <c r="I253" s="646">
        <v>6512400</v>
      </c>
    </row>
    <row r="254" spans="1:9" ht="22.5">
      <c r="A254" s="493">
        <v>251</v>
      </c>
      <c r="B254" s="493" t="s">
        <v>15858</v>
      </c>
      <c r="C254" s="698"/>
      <c r="D254" s="493" t="s">
        <v>9065</v>
      </c>
      <c r="E254" s="493" t="s">
        <v>9065</v>
      </c>
      <c r="F254" s="493" t="s">
        <v>5833</v>
      </c>
      <c r="G254" s="493" t="s">
        <v>5130</v>
      </c>
      <c r="H254" s="494" t="s">
        <v>5832</v>
      </c>
      <c r="I254" s="646">
        <v>6512400</v>
      </c>
    </row>
    <row r="255" spans="1:9" ht="22.5">
      <c r="A255" s="493">
        <v>252</v>
      </c>
      <c r="B255" s="493" t="s">
        <v>15859</v>
      </c>
      <c r="C255" s="698"/>
      <c r="D255" s="493" t="s">
        <v>9065</v>
      </c>
      <c r="E255" s="493" t="s">
        <v>9065</v>
      </c>
      <c r="F255" s="493" t="s">
        <v>5755</v>
      </c>
      <c r="G255" s="493" t="s">
        <v>5130</v>
      </c>
      <c r="H255" s="494" t="s">
        <v>5754</v>
      </c>
      <c r="I255" s="646">
        <v>6512400</v>
      </c>
    </row>
    <row r="256" spans="1:9" ht="22.5">
      <c r="A256" s="493">
        <v>253</v>
      </c>
      <c r="B256" s="493" t="s">
        <v>15860</v>
      </c>
      <c r="C256" s="698"/>
      <c r="D256" s="493" t="s">
        <v>9065</v>
      </c>
      <c r="E256" s="493" t="s">
        <v>9065</v>
      </c>
      <c r="F256" s="493" t="s">
        <v>5522</v>
      </c>
      <c r="G256" s="493" t="s">
        <v>5130</v>
      </c>
      <c r="H256" s="494" t="s">
        <v>15861</v>
      </c>
      <c r="I256" s="646">
        <v>6512400</v>
      </c>
    </row>
    <row r="257" spans="1:20" ht="22.5">
      <c r="A257" s="493">
        <v>254</v>
      </c>
      <c r="B257" s="493" t="s">
        <v>15862</v>
      </c>
      <c r="C257" s="698"/>
      <c r="D257" s="493" t="s">
        <v>9065</v>
      </c>
      <c r="E257" s="493" t="s">
        <v>9065</v>
      </c>
      <c r="F257" s="493" t="s">
        <v>12017</v>
      </c>
      <c r="G257" s="493" t="s">
        <v>5130</v>
      </c>
      <c r="H257" s="494" t="s">
        <v>15863</v>
      </c>
      <c r="I257" s="646">
        <v>6512400</v>
      </c>
    </row>
    <row r="258" spans="1:20" ht="22.5">
      <c r="A258" s="493">
        <v>255</v>
      </c>
      <c r="B258" s="493" t="s">
        <v>9635</v>
      </c>
      <c r="C258" s="698"/>
      <c r="D258" s="493" t="s">
        <v>9065</v>
      </c>
      <c r="E258" s="493" t="s">
        <v>9065</v>
      </c>
      <c r="F258" s="493" t="s">
        <v>5591</v>
      </c>
      <c r="G258" s="493" t="s">
        <v>5130</v>
      </c>
      <c r="H258" s="494" t="s">
        <v>16188</v>
      </c>
      <c r="I258" s="646">
        <v>6512400</v>
      </c>
    </row>
    <row r="259" spans="1:20" ht="22.5">
      <c r="A259" s="493">
        <v>256</v>
      </c>
      <c r="B259" s="493" t="s">
        <v>16189</v>
      </c>
      <c r="C259" s="698"/>
      <c r="D259" s="493" t="s">
        <v>9065</v>
      </c>
      <c r="E259" s="493" t="s">
        <v>9065</v>
      </c>
      <c r="F259" s="493" t="s">
        <v>5441</v>
      </c>
      <c r="G259" s="493" t="s">
        <v>5130</v>
      </c>
      <c r="H259" s="494" t="s">
        <v>16190</v>
      </c>
      <c r="I259" s="646">
        <v>6512400</v>
      </c>
    </row>
    <row r="260" spans="1:20" ht="22.5">
      <c r="A260" s="493">
        <v>257</v>
      </c>
      <c r="B260" s="493" t="s">
        <v>16301</v>
      </c>
      <c r="C260" s="698"/>
      <c r="D260" s="493" t="s">
        <v>9065</v>
      </c>
      <c r="E260" s="493" t="s">
        <v>9065</v>
      </c>
      <c r="F260" s="493" t="s">
        <v>5482</v>
      </c>
      <c r="G260" s="493" t="s">
        <v>5130</v>
      </c>
      <c r="H260" s="494" t="s">
        <v>16302</v>
      </c>
      <c r="I260" s="646">
        <v>6512400</v>
      </c>
    </row>
    <row r="261" spans="1:20" ht="22.5">
      <c r="A261" s="493">
        <v>258</v>
      </c>
      <c r="B261" s="493" t="s">
        <v>16303</v>
      </c>
      <c r="C261" s="698"/>
      <c r="D261" s="493" t="s">
        <v>9065</v>
      </c>
      <c r="E261" s="493" t="s">
        <v>9065</v>
      </c>
      <c r="F261" s="493" t="s">
        <v>6805</v>
      </c>
      <c r="G261" s="493" t="s">
        <v>9888</v>
      </c>
      <c r="H261" s="494" t="s">
        <v>16304</v>
      </c>
      <c r="I261" s="646">
        <v>6512400</v>
      </c>
    </row>
    <row r="262" spans="1:20" ht="22.5">
      <c r="A262" s="493">
        <v>259</v>
      </c>
      <c r="B262" s="493" t="s">
        <v>16305</v>
      </c>
      <c r="C262" s="698"/>
      <c r="D262" s="493" t="s">
        <v>9065</v>
      </c>
      <c r="E262" s="493" t="s">
        <v>9065</v>
      </c>
      <c r="F262" s="493" t="s">
        <v>6896</v>
      </c>
      <c r="G262" s="493" t="s">
        <v>9888</v>
      </c>
      <c r="H262" s="494" t="s">
        <v>16306</v>
      </c>
      <c r="I262" s="646">
        <v>6512400</v>
      </c>
    </row>
    <row r="263" spans="1:20" ht="22.5">
      <c r="A263" s="493">
        <v>260</v>
      </c>
      <c r="B263" s="493" t="s">
        <v>16483</v>
      </c>
      <c r="C263" s="698"/>
      <c r="D263" s="493" t="s">
        <v>9065</v>
      </c>
      <c r="E263" s="493" t="s">
        <v>9065</v>
      </c>
      <c r="F263" s="493" t="s">
        <v>16484</v>
      </c>
      <c r="G263" s="493" t="s">
        <v>9888</v>
      </c>
      <c r="H263" s="494" t="s">
        <v>16485</v>
      </c>
      <c r="I263" s="646">
        <v>6512400</v>
      </c>
    </row>
    <row r="264" spans="1:20" ht="22.5">
      <c r="A264" s="493">
        <v>261</v>
      </c>
      <c r="B264" s="493" t="s">
        <v>10754</v>
      </c>
      <c r="C264" s="698"/>
      <c r="D264" s="493" t="s">
        <v>9065</v>
      </c>
      <c r="E264" s="493" t="s">
        <v>9065</v>
      </c>
      <c r="F264" s="493" t="s">
        <v>7150</v>
      </c>
      <c r="G264" s="493" t="s">
        <v>9888</v>
      </c>
      <c r="H264" s="494" t="s">
        <v>7149</v>
      </c>
      <c r="I264" s="646">
        <v>6512400</v>
      </c>
    </row>
    <row r="265" spans="1:20" ht="22.5">
      <c r="A265" s="493">
        <v>262</v>
      </c>
      <c r="B265" s="493"/>
      <c r="C265" s="698"/>
      <c r="D265" s="493"/>
      <c r="E265" s="493" t="s">
        <v>11452</v>
      </c>
      <c r="F265" s="493" t="s">
        <v>7745</v>
      </c>
      <c r="G265" s="493" t="s">
        <v>9687</v>
      </c>
      <c r="H265" s="494" t="s">
        <v>9688</v>
      </c>
      <c r="I265" s="646" t="s">
        <v>9689</v>
      </c>
      <c r="K265" s="113" t="s">
        <v>9689</v>
      </c>
      <c r="N265" s="113">
        <v>87000000</v>
      </c>
      <c r="O265" s="113" t="s">
        <v>16505</v>
      </c>
    </row>
    <row r="266" spans="1:20" ht="22.5">
      <c r="A266" s="493">
        <v>263</v>
      </c>
      <c r="B266" s="493"/>
      <c r="C266" s="698" t="s">
        <v>43</v>
      </c>
      <c r="D266" s="493" t="s">
        <v>4489</v>
      </c>
      <c r="E266" s="493" t="s">
        <v>4450</v>
      </c>
      <c r="F266" s="493" t="s">
        <v>4414</v>
      </c>
      <c r="G266" s="493"/>
      <c r="H266" s="494" t="s">
        <v>15759</v>
      </c>
      <c r="I266" s="646"/>
      <c r="J266" s="113" t="s">
        <v>43</v>
      </c>
      <c r="L266" s="113" t="s">
        <v>4448</v>
      </c>
      <c r="M266" s="113" t="s">
        <v>43</v>
      </c>
      <c r="N266" s="113" t="s">
        <v>43</v>
      </c>
      <c r="O266" s="113" t="s">
        <v>16506</v>
      </c>
      <c r="Q266" s="113" t="s">
        <v>43</v>
      </c>
    </row>
    <row r="267" spans="1:20" ht="22.5">
      <c r="A267" s="493">
        <v>264</v>
      </c>
      <c r="B267" s="493" t="s">
        <v>4486</v>
      </c>
      <c r="C267" s="698" t="s">
        <v>43</v>
      </c>
      <c r="D267" s="493" t="s">
        <v>4487</v>
      </c>
      <c r="E267" s="493" t="s">
        <v>4450</v>
      </c>
      <c r="F267" s="493" t="s">
        <v>4414</v>
      </c>
      <c r="G267" s="493"/>
      <c r="H267" s="494" t="s">
        <v>43</v>
      </c>
      <c r="I267" s="646" t="s">
        <v>4488</v>
      </c>
      <c r="J267" s="113" t="s">
        <v>43</v>
      </c>
      <c r="K267" s="113" t="s">
        <v>423</v>
      </c>
      <c r="L267" s="113" t="s">
        <v>43</v>
      </c>
      <c r="M267" s="113" t="s">
        <v>43</v>
      </c>
      <c r="N267" s="113" t="s">
        <v>43</v>
      </c>
      <c r="O267" s="113" t="s">
        <v>43</v>
      </c>
      <c r="P267" s="113" t="s">
        <v>4448</v>
      </c>
      <c r="Q267" s="113" t="s">
        <v>43</v>
      </c>
    </row>
    <row r="268" spans="1:20" ht="22.5">
      <c r="A268" s="493">
        <v>265</v>
      </c>
      <c r="B268" s="493" t="s">
        <v>4623</v>
      </c>
      <c r="C268" s="698" t="s">
        <v>10913</v>
      </c>
      <c r="D268" s="493"/>
      <c r="E268" s="493" t="s">
        <v>9065</v>
      </c>
      <c r="F268" s="493" t="s">
        <v>9065</v>
      </c>
      <c r="G268" s="493" t="s">
        <v>5862</v>
      </c>
      <c r="H268" s="494" t="s">
        <v>2588</v>
      </c>
      <c r="I268" s="646" t="s">
        <v>15544</v>
      </c>
      <c r="J268" s="113" t="s">
        <v>5130</v>
      </c>
      <c r="K268" s="113" t="s">
        <v>5861</v>
      </c>
      <c r="L268" s="113">
        <v>6512400</v>
      </c>
      <c r="M268" s="113" t="s">
        <v>375</v>
      </c>
    </row>
    <row r="269" spans="1:20" ht="22.5">
      <c r="A269" s="493">
        <v>266</v>
      </c>
      <c r="B269" s="493"/>
      <c r="C269" s="698" t="s">
        <v>9859</v>
      </c>
      <c r="D269" s="493"/>
      <c r="E269" s="493" t="s">
        <v>9065</v>
      </c>
      <c r="F269" s="493" t="s">
        <v>9065</v>
      </c>
      <c r="G269" s="493" t="s">
        <v>9860</v>
      </c>
      <c r="H269" s="494"/>
      <c r="I269" s="646"/>
      <c r="J269" s="113" t="s">
        <v>5130</v>
      </c>
      <c r="K269" s="113" t="s">
        <v>5388</v>
      </c>
      <c r="L269" s="113">
        <v>6512400</v>
      </c>
      <c r="N269" s="113" t="s">
        <v>15568</v>
      </c>
      <c r="R269" s="113" t="s">
        <v>5142</v>
      </c>
      <c r="S269" s="113">
        <v>3</v>
      </c>
      <c r="T269" s="113" t="s">
        <v>4413</v>
      </c>
    </row>
    <row r="270" spans="1:20" ht="22.5">
      <c r="A270" s="493">
        <v>267</v>
      </c>
      <c r="B270" s="493" t="s">
        <v>1595</v>
      </c>
      <c r="C270" s="698" t="s">
        <v>2024</v>
      </c>
      <c r="D270" s="493"/>
      <c r="E270" s="493" t="s">
        <v>9065</v>
      </c>
      <c r="F270" s="493" t="s">
        <v>9065</v>
      </c>
      <c r="G270" s="493" t="s">
        <v>12017</v>
      </c>
      <c r="H270" s="494" t="s">
        <v>2025</v>
      </c>
      <c r="I270" s="646" t="s">
        <v>15509</v>
      </c>
      <c r="J270" s="113" t="s">
        <v>5130</v>
      </c>
      <c r="K270" s="113" t="s">
        <v>2024</v>
      </c>
      <c r="L270" s="113">
        <v>6512400</v>
      </c>
      <c r="M270" s="113" t="s">
        <v>375</v>
      </c>
      <c r="N270" s="113" t="s">
        <v>15795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200" verticalDpi="2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245"/>
  <sheetViews>
    <sheetView rightToLeft="1" topLeftCell="C1" zoomScale="80" zoomScaleNormal="80" workbookViewId="0">
      <selection activeCell="I16" sqref="I16"/>
    </sheetView>
  </sheetViews>
  <sheetFormatPr defaultColWidth="9.140625" defaultRowHeight="24" customHeight="1"/>
  <cols>
    <col min="1" max="1" width="7.28515625" style="332" customWidth="1"/>
    <col min="2" max="2" width="7.42578125" style="332" customWidth="1"/>
    <col min="3" max="3" width="6.140625" style="332" customWidth="1"/>
    <col min="4" max="4" width="16.85546875" style="332" customWidth="1"/>
    <col min="5" max="5" width="68.5703125" style="332" customWidth="1"/>
    <col min="6" max="6" width="19.42578125" style="332" customWidth="1"/>
    <col min="7" max="7" width="16.28515625" style="332" customWidth="1"/>
    <col min="8" max="8" width="17.5703125" style="332" customWidth="1"/>
    <col min="9" max="9" width="156.140625" style="332" customWidth="1"/>
    <col min="10" max="10" width="58.7109375" style="332" customWidth="1"/>
    <col min="11" max="11" width="40.85546875" style="332" customWidth="1"/>
    <col min="12" max="12" width="16.5703125" style="332" customWidth="1"/>
    <col min="13" max="13" width="47.140625" style="332" customWidth="1"/>
    <col min="14" max="14" width="30.28515625" style="1229" customWidth="1"/>
    <col min="15" max="15" width="30.28515625" style="554" customWidth="1"/>
    <col min="16" max="16" width="60.28515625" style="554" customWidth="1"/>
    <col min="17" max="17" width="33.28515625" style="329" customWidth="1"/>
    <col min="18" max="18" width="8.140625" style="328" bestFit="1" customWidth="1"/>
    <col min="19" max="19" width="16.5703125" style="328" customWidth="1"/>
    <col min="20" max="20" width="49.85546875" style="328" customWidth="1"/>
    <col min="21" max="21" width="15.140625" style="328" customWidth="1"/>
    <col min="22" max="22" width="31.140625" style="333" bestFit="1" customWidth="1"/>
    <col min="23" max="23" width="38.28515625" style="328" customWidth="1"/>
    <col min="24" max="24" width="9.140625" style="328"/>
    <col min="25" max="25" width="0.28515625" style="328" customWidth="1"/>
    <col min="26" max="16384" width="9.140625" style="328"/>
  </cols>
  <sheetData>
    <row r="1" spans="1:23" s="1092" customFormat="1" ht="34.5" customHeight="1">
      <c r="A1" s="1978" t="s">
        <v>16498</v>
      </c>
      <c r="B1" s="1979"/>
      <c r="C1" s="1979"/>
      <c r="D1" s="1979"/>
      <c r="E1" s="1979"/>
      <c r="F1" s="1979"/>
      <c r="G1" s="1979"/>
      <c r="H1" s="1979"/>
      <c r="I1" s="1979"/>
      <c r="J1" s="1979"/>
      <c r="K1" s="1979"/>
      <c r="L1" s="1979"/>
      <c r="M1" s="1979"/>
      <c r="N1" s="1979"/>
      <c r="O1" s="1979"/>
      <c r="P1" s="1980"/>
      <c r="Q1" s="1091"/>
      <c r="R1" s="1261"/>
      <c r="S1" s="1261"/>
      <c r="T1" s="1261"/>
      <c r="U1" s="1261"/>
      <c r="V1" s="1261"/>
      <c r="W1" s="1241"/>
    </row>
    <row r="2" spans="1:23" s="1090" customFormat="1" ht="33" customHeight="1">
      <c r="A2" s="1054" t="s">
        <v>9677</v>
      </c>
      <c r="B2" s="1054"/>
      <c r="C2" s="1054"/>
      <c r="D2" s="1054" t="s">
        <v>16499</v>
      </c>
      <c r="E2" s="1054" t="s">
        <v>9678</v>
      </c>
      <c r="F2" s="1054" t="s">
        <v>9679</v>
      </c>
      <c r="G2" s="1054" t="s">
        <v>9680</v>
      </c>
      <c r="H2" s="1054" t="s">
        <v>9681</v>
      </c>
      <c r="I2" s="1054" t="s">
        <v>4324</v>
      </c>
      <c r="J2" s="1054" t="s">
        <v>12012</v>
      </c>
      <c r="K2" s="1054" t="s">
        <v>16496</v>
      </c>
      <c r="L2" s="1054" t="s">
        <v>9682</v>
      </c>
      <c r="M2" s="1054" t="s">
        <v>5356</v>
      </c>
      <c r="N2" s="1054" t="s">
        <v>9683</v>
      </c>
      <c r="O2" s="1054" t="s">
        <v>11551</v>
      </c>
      <c r="P2" s="1054" t="s">
        <v>11550</v>
      </c>
      <c r="Q2" s="1093"/>
      <c r="R2" s="1242"/>
      <c r="S2" s="1242"/>
      <c r="T2" s="1242"/>
      <c r="U2" s="1242"/>
      <c r="V2" s="1243"/>
      <c r="W2" s="1244"/>
    </row>
    <row r="3" spans="1:23" s="329" customFormat="1" ht="18.75" customHeight="1">
      <c r="A3" s="1058">
        <v>1</v>
      </c>
      <c r="B3" s="1058"/>
      <c r="C3" s="1058"/>
      <c r="D3" s="1058"/>
      <c r="E3" s="1265" t="s">
        <v>11398</v>
      </c>
      <c r="F3" s="1280" t="s">
        <v>4595</v>
      </c>
      <c r="G3" s="1058" t="s">
        <v>9688</v>
      </c>
      <c r="H3" s="1058" t="s">
        <v>9684</v>
      </c>
      <c r="I3" s="1989" t="s">
        <v>16528</v>
      </c>
      <c r="J3" s="1058" t="s">
        <v>16530</v>
      </c>
      <c r="K3" s="1058"/>
      <c r="L3" s="1058"/>
      <c r="M3" s="1058"/>
      <c r="N3" s="1061">
        <v>192150000</v>
      </c>
      <c r="O3" s="1062"/>
      <c r="P3" s="1062"/>
      <c r="Q3" s="339"/>
      <c r="R3" s="1245"/>
      <c r="S3" s="1245"/>
      <c r="T3" s="1245"/>
      <c r="U3" s="1245"/>
      <c r="V3" s="1246"/>
      <c r="W3" s="1247"/>
    </row>
    <row r="4" spans="1:23" s="329" customFormat="1" ht="18.75" customHeight="1">
      <c r="A4" s="1058">
        <v>2</v>
      </c>
      <c r="B4" s="1058"/>
      <c r="C4" s="1058"/>
      <c r="D4" s="1058"/>
      <c r="E4" s="1265" t="s">
        <v>11399</v>
      </c>
      <c r="F4" s="1280" t="s">
        <v>4595</v>
      </c>
      <c r="G4" s="1058" t="s">
        <v>9685</v>
      </c>
      <c r="H4" s="1058" t="s">
        <v>9685</v>
      </c>
      <c r="I4" s="1990"/>
      <c r="J4" s="1240" t="s">
        <v>16497</v>
      </c>
      <c r="K4" s="1058"/>
      <c r="L4" s="1058"/>
      <c r="M4" s="1058"/>
      <c r="N4" s="1062">
        <v>45288000</v>
      </c>
      <c r="O4" s="1062"/>
      <c r="P4" s="1062"/>
      <c r="Q4" s="339"/>
      <c r="R4" s="1242"/>
      <c r="S4" s="1242"/>
      <c r="T4" s="1242"/>
      <c r="U4" s="1242"/>
      <c r="V4" s="1243"/>
      <c r="W4" s="1247"/>
    </row>
    <row r="5" spans="1:23" s="329" customFormat="1" ht="18.75" customHeight="1">
      <c r="A5" s="1058">
        <v>3</v>
      </c>
      <c r="B5" s="1058"/>
      <c r="C5" s="1058"/>
      <c r="D5" s="1058"/>
      <c r="E5" s="1265" t="s">
        <v>11400</v>
      </c>
      <c r="F5" s="1280" t="s">
        <v>4594</v>
      </c>
      <c r="G5" s="1058" t="s">
        <v>9685</v>
      </c>
      <c r="H5" s="1058" t="s">
        <v>9686</v>
      </c>
      <c r="I5" s="1240" t="s">
        <v>16529</v>
      </c>
      <c r="J5" s="1058" t="s">
        <v>16530</v>
      </c>
      <c r="K5" s="1058"/>
      <c r="L5" s="1058"/>
      <c r="M5" s="1058"/>
      <c r="N5" s="1063">
        <v>45288000</v>
      </c>
      <c r="O5" s="1062"/>
      <c r="P5" s="1062"/>
      <c r="Q5" s="339"/>
      <c r="R5" s="1245"/>
      <c r="S5" s="1245"/>
      <c r="T5" s="1245"/>
      <c r="U5" s="1245"/>
      <c r="V5" s="1246"/>
      <c r="W5" s="1247"/>
    </row>
    <row r="6" spans="1:23" s="329" customFormat="1" ht="18.75" customHeight="1">
      <c r="A6" s="1058">
        <v>4</v>
      </c>
      <c r="B6" s="1058"/>
      <c r="C6" s="1058"/>
      <c r="D6" s="1058"/>
      <c r="E6" s="1054" t="s">
        <v>16507</v>
      </c>
      <c r="F6" s="1280" t="s">
        <v>7745</v>
      </c>
      <c r="G6" s="1058" t="s">
        <v>9065</v>
      </c>
      <c r="H6" s="1058" t="s">
        <v>9687</v>
      </c>
      <c r="I6" s="1240" t="s">
        <v>16500</v>
      </c>
      <c r="J6" s="1058" t="s">
        <v>16512</v>
      </c>
      <c r="K6" s="1058"/>
      <c r="L6" s="1058"/>
      <c r="M6" s="1058"/>
      <c r="N6" s="1064">
        <v>6512400</v>
      </c>
      <c r="O6" s="1062"/>
      <c r="P6" s="1062"/>
      <c r="Q6" s="339"/>
      <c r="R6" s="1245"/>
      <c r="S6" s="1245"/>
      <c r="T6" s="1245"/>
      <c r="U6" s="1245"/>
      <c r="V6" s="1246"/>
      <c r="W6" s="1247"/>
    </row>
    <row r="7" spans="1:23" s="329" customFormat="1" ht="18.75" customHeight="1">
      <c r="A7" s="1058">
        <v>5</v>
      </c>
      <c r="B7" s="1058"/>
      <c r="C7" s="1058"/>
      <c r="D7" s="1058"/>
      <c r="E7" s="1266" t="s">
        <v>11453</v>
      </c>
      <c r="F7" s="1280" t="s">
        <v>7745</v>
      </c>
      <c r="G7" s="1058" t="s">
        <v>9065</v>
      </c>
      <c r="H7" s="1058" t="s">
        <v>9687</v>
      </c>
      <c r="I7" s="1058"/>
      <c r="J7" s="1058" t="s">
        <v>16512</v>
      </c>
      <c r="K7" s="1058"/>
      <c r="L7" s="1058"/>
      <c r="M7" s="1058"/>
      <c r="N7" s="1064">
        <v>6512400</v>
      </c>
      <c r="O7" s="1062"/>
      <c r="P7" s="1062"/>
      <c r="Q7" s="339"/>
      <c r="R7" s="1245"/>
      <c r="S7" s="1245"/>
      <c r="T7" s="1245"/>
      <c r="U7" s="1245"/>
      <c r="V7" s="1246"/>
      <c r="W7" s="1247"/>
    </row>
    <row r="8" spans="1:23" s="329" customFormat="1" ht="18.75" customHeight="1">
      <c r="A8" s="1058">
        <v>6</v>
      </c>
      <c r="B8" s="1058"/>
      <c r="C8" s="1058"/>
      <c r="D8" s="1058"/>
      <c r="E8" s="1267" t="s">
        <v>14527</v>
      </c>
      <c r="F8" s="1281" t="s">
        <v>7745</v>
      </c>
      <c r="G8" s="1058" t="s">
        <v>9687</v>
      </c>
      <c r="H8" s="1065" t="s">
        <v>14528</v>
      </c>
      <c r="I8" s="1065"/>
      <c r="J8" s="1058" t="s">
        <v>16512</v>
      </c>
      <c r="K8" s="1065"/>
      <c r="L8" s="1065"/>
      <c r="M8" s="1065"/>
      <c r="N8" s="1066">
        <v>87000000</v>
      </c>
      <c r="O8" s="1062"/>
      <c r="P8" s="1062"/>
      <c r="Q8" s="339"/>
      <c r="R8" s="1245"/>
      <c r="S8" s="1245"/>
      <c r="T8" s="1245"/>
      <c r="U8" s="1245"/>
      <c r="V8" s="1246"/>
      <c r="W8" s="1247"/>
    </row>
    <row r="9" spans="1:23" s="425" customFormat="1" ht="18.75" customHeight="1">
      <c r="A9" s="1058">
        <v>7</v>
      </c>
      <c r="B9" s="1065"/>
      <c r="C9" s="1065"/>
      <c r="D9" s="1065"/>
      <c r="E9" s="1268" t="s">
        <v>11451</v>
      </c>
      <c r="F9" s="1269" t="s">
        <v>7745</v>
      </c>
      <c r="G9" s="1065" t="s">
        <v>14528</v>
      </c>
      <c r="H9" s="1058" t="s">
        <v>14529</v>
      </c>
      <c r="I9" s="1059"/>
      <c r="J9" s="1058" t="s">
        <v>16512</v>
      </c>
      <c r="K9" s="1068"/>
      <c r="L9" s="1067"/>
      <c r="M9" s="1067"/>
      <c r="N9" s="1066">
        <v>124500000</v>
      </c>
      <c r="O9" s="1062"/>
      <c r="P9" s="1062"/>
      <c r="R9" s="1245"/>
      <c r="S9" s="1245"/>
      <c r="T9" s="1245"/>
      <c r="U9" s="1245"/>
      <c r="V9" s="1246"/>
      <c r="W9" s="1262"/>
    </row>
    <row r="10" spans="1:23" s="425" customFormat="1" ht="18.75" customHeight="1">
      <c r="A10" s="1058">
        <v>8</v>
      </c>
      <c r="B10" s="1065"/>
      <c r="C10" s="1065"/>
      <c r="D10" s="1065"/>
      <c r="E10" s="1268" t="s">
        <v>11397</v>
      </c>
      <c r="F10" s="1269" t="s">
        <v>7745</v>
      </c>
      <c r="G10" s="1058" t="s">
        <v>9687</v>
      </c>
      <c r="H10" s="1058" t="s">
        <v>9688</v>
      </c>
      <c r="I10" s="1068"/>
      <c r="J10" s="1058" t="s">
        <v>16512</v>
      </c>
      <c r="K10" s="1068"/>
      <c r="L10" s="1067"/>
      <c r="M10" s="1067"/>
      <c r="N10" s="1066">
        <v>87000000</v>
      </c>
      <c r="O10" s="1062"/>
      <c r="P10" s="1062"/>
      <c r="R10" s="1245"/>
      <c r="S10" s="1245"/>
      <c r="T10" s="1245"/>
      <c r="U10" s="1245"/>
      <c r="V10" s="1246"/>
      <c r="W10" s="1262"/>
    </row>
    <row r="11" spans="1:23" s="329" customFormat="1" ht="18.75" customHeight="1">
      <c r="A11" s="1058">
        <v>9</v>
      </c>
      <c r="B11" s="1058"/>
      <c r="C11" s="1058"/>
      <c r="D11" s="1058"/>
      <c r="E11" s="1059" t="s">
        <v>11396</v>
      </c>
      <c r="F11" s="1280" t="s">
        <v>7745</v>
      </c>
      <c r="G11" s="1058" t="s">
        <v>9685</v>
      </c>
      <c r="H11" s="1058" t="s">
        <v>9690</v>
      </c>
      <c r="I11" s="1274"/>
      <c r="J11" s="1058" t="s">
        <v>16513</v>
      </c>
      <c r="K11" s="1058"/>
      <c r="L11" s="1058"/>
      <c r="M11" s="1058"/>
      <c r="N11" s="1062">
        <v>45288000</v>
      </c>
      <c r="O11" s="1062"/>
      <c r="P11" s="1062"/>
      <c r="Q11" s="339"/>
      <c r="R11" s="1245"/>
      <c r="S11" s="1245"/>
      <c r="T11" s="1245"/>
      <c r="U11" s="1245"/>
      <c r="V11" s="1246"/>
      <c r="W11" s="1247"/>
    </row>
    <row r="12" spans="1:23" s="329" customFormat="1" ht="18.75" customHeight="1">
      <c r="A12" s="1058">
        <v>10</v>
      </c>
      <c r="B12" s="1058"/>
      <c r="C12" s="1058"/>
      <c r="D12" s="1058"/>
      <c r="E12" s="1059" t="s">
        <v>11395</v>
      </c>
      <c r="F12" s="1280" t="s">
        <v>7745</v>
      </c>
      <c r="G12" s="1058" t="s">
        <v>9685</v>
      </c>
      <c r="H12" s="1058" t="s">
        <v>9687</v>
      </c>
      <c r="I12" s="1058"/>
      <c r="J12" s="1058" t="s">
        <v>16512</v>
      </c>
      <c r="K12" s="1058"/>
      <c r="L12" s="1058"/>
      <c r="M12" s="1058"/>
      <c r="N12" s="1062">
        <v>45288000</v>
      </c>
      <c r="O12" s="1062"/>
      <c r="P12" s="1062"/>
      <c r="Q12" s="339"/>
      <c r="R12" s="1245"/>
      <c r="S12" s="1245"/>
      <c r="T12" s="1245"/>
      <c r="U12" s="1245"/>
      <c r="V12" s="1246"/>
      <c r="W12" s="1247"/>
    </row>
    <row r="13" spans="1:23" s="329" customFormat="1" ht="18.75" customHeight="1">
      <c r="A13" s="1058">
        <v>11</v>
      </c>
      <c r="B13" s="1279"/>
      <c r="C13" s="1058"/>
      <c r="D13" s="1058"/>
      <c r="E13" s="1265" t="s">
        <v>16510</v>
      </c>
      <c r="F13" s="1280" t="s">
        <v>4595</v>
      </c>
      <c r="G13" s="1058" t="s">
        <v>9691</v>
      </c>
      <c r="H13" s="1058" t="s">
        <v>9691</v>
      </c>
      <c r="I13" s="1274" t="s">
        <v>16509</v>
      </c>
      <c r="J13" s="1240" t="s">
        <v>16511</v>
      </c>
      <c r="K13" s="1058"/>
      <c r="L13" s="1058"/>
      <c r="M13" s="1058"/>
      <c r="N13" s="1062">
        <v>30525000</v>
      </c>
      <c r="O13" s="1062"/>
      <c r="P13" s="1062"/>
      <c r="Q13" s="339"/>
      <c r="R13" s="1247"/>
      <c r="S13" s="1247"/>
      <c r="T13" s="1247"/>
      <c r="U13" s="1247"/>
      <c r="V13" s="922"/>
      <c r="W13" s="1247"/>
    </row>
    <row r="14" spans="1:23" s="329" customFormat="1" ht="18.75" customHeight="1">
      <c r="A14" s="1058">
        <v>12</v>
      </c>
      <c r="B14" s="1279"/>
      <c r="C14" s="1058"/>
      <c r="D14" s="1058"/>
      <c r="E14" s="1265" t="s">
        <v>16517</v>
      </c>
      <c r="F14" s="1280" t="s">
        <v>4595</v>
      </c>
      <c r="G14" s="1058" t="s">
        <v>9691</v>
      </c>
      <c r="H14" s="1058" t="s">
        <v>9691</v>
      </c>
      <c r="I14" s="1274" t="s">
        <v>16514</v>
      </c>
      <c r="J14" s="1058" t="s">
        <v>16513</v>
      </c>
      <c r="K14" s="1058"/>
      <c r="L14" s="1058"/>
      <c r="M14" s="1058"/>
      <c r="N14" s="1062">
        <v>27750000</v>
      </c>
      <c r="O14" s="1062"/>
      <c r="P14" s="1062"/>
      <c r="Q14" s="339"/>
      <c r="R14" s="1247"/>
      <c r="S14" s="1247"/>
      <c r="T14" s="1247"/>
      <c r="U14" s="1247"/>
      <c r="V14" s="922"/>
      <c r="W14" s="1247"/>
    </row>
    <row r="15" spans="1:23" s="329" customFormat="1" ht="18.75" customHeight="1">
      <c r="A15" s="1058">
        <v>13</v>
      </c>
      <c r="B15" s="1279"/>
      <c r="C15" s="1058"/>
      <c r="D15" s="1058"/>
      <c r="E15" s="1265" t="s">
        <v>4385</v>
      </c>
      <c r="F15" s="1280" t="s">
        <v>4595</v>
      </c>
      <c r="G15" s="1058" t="s">
        <v>9692</v>
      </c>
      <c r="H15" s="1058" t="s">
        <v>9691</v>
      </c>
      <c r="I15" s="1274" t="s">
        <v>16521</v>
      </c>
      <c r="J15" s="1058" t="s">
        <v>16512</v>
      </c>
      <c r="K15" s="1058"/>
      <c r="L15" s="1058"/>
      <c r="M15" s="1058"/>
      <c r="N15" s="1062"/>
      <c r="O15" s="1062"/>
      <c r="P15" s="1062"/>
      <c r="Q15" s="339"/>
      <c r="R15" s="1247"/>
      <c r="S15" s="1247"/>
      <c r="T15" s="1247"/>
      <c r="U15" s="1247"/>
      <c r="V15" s="922"/>
      <c r="W15" s="1247"/>
    </row>
    <row r="16" spans="1:23" s="329" customFormat="1" ht="18.75" customHeight="1">
      <c r="A16" s="1058">
        <v>14</v>
      </c>
      <c r="B16" s="1058"/>
      <c r="C16" s="1058"/>
      <c r="D16" s="1058"/>
      <c r="E16" s="1265" t="s">
        <v>16516</v>
      </c>
      <c r="F16" s="1280" t="s">
        <v>4595</v>
      </c>
      <c r="G16" s="1058" t="s">
        <v>9691</v>
      </c>
      <c r="H16" s="1058" t="s">
        <v>9691</v>
      </c>
      <c r="I16" s="1274" t="s">
        <v>16515</v>
      </c>
      <c r="J16" s="1058" t="s">
        <v>16512</v>
      </c>
      <c r="K16" s="1058"/>
      <c r="L16" s="1058"/>
      <c r="M16" s="1058"/>
      <c r="N16" s="1062">
        <v>27750000</v>
      </c>
      <c r="O16" s="1062"/>
      <c r="P16" s="1062"/>
      <c r="Q16" s="339"/>
      <c r="R16" s="1247"/>
      <c r="S16" s="1247"/>
      <c r="T16" s="1981"/>
      <c r="U16" s="1981"/>
      <c r="V16" s="1981"/>
      <c r="W16" s="1981"/>
    </row>
    <row r="17" spans="1:26" s="329" customFormat="1" ht="18.75" customHeight="1">
      <c r="A17" s="1982"/>
      <c r="B17" s="1983"/>
      <c r="C17" s="1983"/>
      <c r="D17" s="1983"/>
      <c r="E17" s="1983"/>
      <c r="F17" s="1983"/>
      <c r="G17" s="1983"/>
      <c r="H17" s="1983"/>
      <c r="I17" s="1983"/>
      <c r="J17" s="1983"/>
      <c r="K17" s="1983"/>
      <c r="L17" s="1983"/>
      <c r="M17" s="1984"/>
      <c r="N17" s="337">
        <f>SUM(N3:N16)</f>
        <v>770851800</v>
      </c>
      <c r="O17" s="337"/>
      <c r="P17" s="337"/>
      <c r="Q17" s="340"/>
      <c r="R17" s="1248"/>
      <c r="S17" s="1248"/>
      <c r="T17" s="1985"/>
      <c r="U17" s="1985"/>
      <c r="V17" s="1263"/>
      <c r="W17" s="1264"/>
    </row>
    <row r="18" spans="1:26" ht="24" customHeight="1">
      <c r="A18" s="1986" t="s">
        <v>11058</v>
      </c>
      <c r="B18" s="1987"/>
      <c r="C18" s="1987"/>
      <c r="D18" s="1987"/>
      <c r="E18" s="1987"/>
      <c r="F18" s="1987"/>
      <c r="G18" s="1987"/>
      <c r="H18" s="1987"/>
      <c r="I18" s="1987"/>
      <c r="J18" s="1987"/>
      <c r="K18" s="1987"/>
      <c r="L18" s="1987"/>
      <c r="M18" s="1987"/>
      <c r="N18" s="1987"/>
      <c r="O18" s="1987"/>
      <c r="P18" s="1988"/>
      <c r="Q18" s="341"/>
      <c r="R18" s="1249"/>
      <c r="S18" s="1249"/>
      <c r="T18" s="1974"/>
      <c r="U18" s="1974"/>
      <c r="V18" s="1250"/>
      <c r="W18" s="1250"/>
    </row>
    <row r="19" spans="1:26" s="331" customFormat="1" ht="27.75" customHeight="1">
      <c r="A19" s="988" t="s">
        <v>9677</v>
      </c>
      <c r="B19" s="988" t="s">
        <v>2</v>
      </c>
      <c r="C19" s="988" t="s">
        <v>3</v>
      </c>
      <c r="D19" s="988" t="s">
        <v>15864</v>
      </c>
      <c r="E19" s="988" t="s">
        <v>9812</v>
      </c>
      <c r="F19" s="988"/>
      <c r="G19" s="988" t="s">
        <v>9680</v>
      </c>
      <c r="H19" s="988" t="s">
        <v>9681</v>
      </c>
      <c r="I19" s="988" t="s">
        <v>4325</v>
      </c>
      <c r="J19" s="988" t="s">
        <v>12012</v>
      </c>
      <c r="K19" s="988" t="s">
        <v>4325</v>
      </c>
      <c r="L19" s="988" t="s">
        <v>9682</v>
      </c>
      <c r="M19" s="988" t="s">
        <v>9813</v>
      </c>
      <c r="N19" s="988" t="s">
        <v>9683</v>
      </c>
      <c r="O19" s="988"/>
      <c r="P19" s="988"/>
      <c r="R19" s="1244"/>
      <c r="S19" s="1244"/>
      <c r="T19" s="1974"/>
      <c r="U19" s="1974"/>
      <c r="V19" s="1250"/>
      <c r="W19" s="1250"/>
    </row>
    <row r="20" spans="1:26" s="1074" customFormat="1" ht="24" customHeight="1">
      <c r="A20" s="1075">
        <v>1</v>
      </c>
      <c r="B20" s="1069"/>
      <c r="C20" s="1069"/>
      <c r="D20" s="1069"/>
      <c r="E20" s="1069" t="s">
        <v>9814</v>
      </c>
      <c r="F20" s="1070"/>
      <c r="G20" s="1069" t="s">
        <v>9065</v>
      </c>
      <c r="H20" s="1069" t="s">
        <v>9065</v>
      </c>
      <c r="I20" s="1069" t="s">
        <v>9815</v>
      </c>
      <c r="J20" s="1069"/>
      <c r="K20" s="1125" t="s">
        <v>16163</v>
      </c>
      <c r="L20" s="1069" t="s">
        <v>5130</v>
      </c>
      <c r="M20" s="1071" t="s">
        <v>9816</v>
      </c>
      <c r="N20" s="1072">
        <v>6512400</v>
      </c>
      <c r="O20" s="1072"/>
      <c r="P20" s="1072" t="s">
        <v>16146</v>
      </c>
      <c r="Q20" s="1079"/>
      <c r="R20" s="1251"/>
      <c r="S20" s="1251"/>
      <c r="T20" s="1974"/>
      <c r="U20" s="1974"/>
      <c r="V20" s="1250"/>
      <c r="W20" s="1250"/>
      <c r="X20" s="1080"/>
      <c r="Y20" s="1080"/>
      <c r="Z20" s="1080"/>
    </row>
    <row r="21" spans="1:26" s="1080" customFormat="1" ht="24" customHeight="1">
      <c r="A21" s="1075">
        <v>2</v>
      </c>
      <c r="B21" s="376" t="s">
        <v>423</v>
      </c>
      <c r="C21" s="376"/>
      <c r="D21" s="376"/>
      <c r="E21" s="1075" t="s">
        <v>9817</v>
      </c>
      <c r="F21" s="1076"/>
      <c r="G21" s="1075" t="s">
        <v>9065</v>
      </c>
      <c r="H21" s="1075" t="s">
        <v>9065</v>
      </c>
      <c r="I21" s="1075" t="s">
        <v>9818</v>
      </c>
      <c r="J21" s="1075" t="s">
        <v>1413</v>
      </c>
      <c r="K21" s="1075" t="s">
        <v>1412</v>
      </c>
      <c r="L21" s="1075" t="s">
        <v>5130</v>
      </c>
      <c r="M21" s="1077" t="s">
        <v>9819</v>
      </c>
      <c r="N21" s="1078">
        <v>6512400</v>
      </c>
      <c r="O21" s="1078" t="s">
        <v>375</v>
      </c>
      <c r="P21" s="1078"/>
      <c r="Q21" s="1079"/>
      <c r="R21" s="1251"/>
      <c r="S21" s="1251"/>
      <c r="T21" s="1974"/>
      <c r="U21" s="1974"/>
      <c r="V21" s="1250"/>
      <c r="W21" s="1250"/>
    </row>
    <row r="22" spans="1:26" s="1080" customFormat="1" ht="24" customHeight="1">
      <c r="A22" s="1075">
        <v>3</v>
      </c>
      <c r="B22" s="376" t="s">
        <v>423</v>
      </c>
      <c r="C22" s="376"/>
      <c r="D22" s="376"/>
      <c r="E22" s="1075" t="s">
        <v>9820</v>
      </c>
      <c r="F22" s="1076"/>
      <c r="G22" s="1075" t="s">
        <v>9065</v>
      </c>
      <c r="H22" s="1075" t="s">
        <v>9065</v>
      </c>
      <c r="I22" s="1075" t="s">
        <v>9821</v>
      </c>
      <c r="J22" s="1075" t="s">
        <v>1430</v>
      </c>
      <c r="K22" s="1075" t="s">
        <v>1427</v>
      </c>
      <c r="L22" s="1075" t="s">
        <v>5130</v>
      </c>
      <c r="M22" s="1077" t="s">
        <v>9822</v>
      </c>
      <c r="N22" s="1078">
        <v>6512400</v>
      </c>
      <c r="O22" s="1078" t="s">
        <v>375</v>
      </c>
      <c r="P22" s="1078"/>
      <c r="Q22" s="1079"/>
      <c r="R22" s="1251"/>
      <c r="S22" s="1251"/>
      <c r="T22" s="1974"/>
      <c r="U22" s="1974"/>
      <c r="V22" s="1250"/>
      <c r="W22" s="1252"/>
    </row>
    <row r="23" spans="1:26" s="1074" customFormat="1" ht="24" customHeight="1">
      <c r="A23" s="1075">
        <v>4</v>
      </c>
      <c r="B23" s="1069"/>
      <c r="C23" s="1069"/>
      <c r="D23" s="1069"/>
      <c r="E23" s="1069" t="s">
        <v>9823</v>
      </c>
      <c r="F23" s="1070"/>
      <c r="G23" s="1069" t="s">
        <v>9065</v>
      </c>
      <c r="H23" s="1069" t="s">
        <v>9065</v>
      </c>
      <c r="I23" s="1069" t="s">
        <v>9824</v>
      </c>
      <c r="J23" s="1069"/>
      <c r="K23" s="1125" t="s">
        <v>16164</v>
      </c>
      <c r="L23" s="1069" t="s">
        <v>5130</v>
      </c>
      <c r="M23" s="1071" t="s">
        <v>9825</v>
      </c>
      <c r="N23" s="1072">
        <v>6512400</v>
      </c>
      <c r="O23" s="1072"/>
      <c r="P23" s="1072" t="s">
        <v>16146</v>
      </c>
      <c r="Q23" s="1079"/>
      <c r="R23" s="1251"/>
      <c r="S23" s="1251"/>
      <c r="T23" s="1974"/>
      <c r="U23" s="1974"/>
      <c r="V23" s="1250"/>
      <c r="W23" s="1252"/>
      <c r="X23" s="1080"/>
      <c r="Y23" s="1080"/>
      <c r="Z23" s="1080"/>
    </row>
    <row r="24" spans="1:26" s="1080" customFormat="1" ht="24" customHeight="1">
      <c r="A24" s="1075">
        <v>5</v>
      </c>
      <c r="B24" s="376" t="s">
        <v>1595</v>
      </c>
      <c r="C24" s="376"/>
      <c r="D24" s="376"/>
      <c r="E24" s="1075" t="s">
        <v>9826</v>
      </c>
      <c r="F24" s="1076"/>
      <c r="G24" s="1075" t="s">
        <v>9065</v>
      </c>
      <c r="H24" s="1075" t="s">
        <v>9065</v>
      </c>
      <c r="I24" s="1075" t="s">
        <v>9827</v>
      </c>
      <c r="J24" s="1075" t="s">
        <v>2085</v>
      </c>
      <c r="K24" s="1075" t="s">
        <v>2081</v>
      </c>
      <c r="L24" s="1075" t="s">
        <v>5130</v>
      </c>
      <c r="M24" s="1077" t="s">
        <v>9828</v>
      </c>
      <c r="N24" s="1078">
        <v>6512400</v>
      </c>
      <c r="O24" s="1078" t="s">
        <v>375</v>
      </c>
      <c r="P24" s="1078"/>
      <c r="Q24" s="1079"/>
      <c r="R24" s="1251"/>
      <c r="S24" s="1251"/>
      <c r="T24" s="1981"/>
      <c r="U24" s="1981"/>
      <c r="V24" s="1981"/>
      <c r="W24" s="1981"/>
    </row>
    <row r="25" spans="1:26" s="1080" customFormat="1" ht="24" customHeight="1">
      <c r="A25" s="1075">
        <v>6</v>
      </c>
      <c r="B25" s="376" t="s">
        <v>423</v>
      </c>
      <c r="C25" s="376"/>
      <c r="D25" s="376"/>
      <c r="E25" s="1075" t="s">
        <v>9832</v>
      </c>
      <c r="F25" s="1076"/>
      <c r="G25" s="1075" t="s">
        <v>9065</v>
      </c>
      <c r="H25" s="1075" t="s">
        <v>9065</v>
      </c>
      <c r="I25" s="1075" t="s">
        <v>9833</v>
      </c>
      <c r="J25" s="1075" t="s">
        <v>1437</v>
      </c>
      <c r="K25" s="1075" t="s">
        <v>1436</v>
      </c>
      <c r="L25" s="1075" t="s">
        <v>5130</v>
      </c>
      <c r="M25" s="1077" t="s">
        <v>9834</v>
      </c>
      <c r="N25" s="1078">
        <v>6512400</v>
      </c>
      <c r="O25" s="1078" t="s">
        <v>375</v>
      </c>
      <c r="P25" s="1078"/>
      <c r="Q25" s="1079"/>
      <c r="R25" s="1251"/>
      <c r="S25" s="1251"/>
      <c r="T25" s="1974"/>
      <c r="U25" s="1974"/>
      <c r="V25" s="1250"/>
      <c r="W25" s="1253"/>
    </row>
    <row r="26" spans="1:26" s="1080" customFormat="1" ht="24" customHeight="1">
      <c r="A26" s="1075">
        <v>7</v>
      </c>
      <c r="B26" s="376" t="s">
        <v>423</v>
      </c>
      <c r="C26" s="376"/>
      <c r="D26" s="376"/>
      <c r="E26" s="1075" t="s">
        <v>9835</v>
      </c>
      <c r="F26" s="1076"/>
      <c r="G26" s="1075" t="s">
        <v>9065</v>
      </c>
      <c r="H26" s="1075" t="s">
        <v>9699</v>
      </c>
      <c r="I26" s="1075" t="s">
        <v>9836</v>
      </c>
      <c r="J26" s="1075" t="s">
        <v>1452</v>
      </c>
      <c r="K26" s="1075" t="s">
        <v>1451</v>
      </c>
      <c r="L26" s="1075" t="s">
        <v>5130</v>
      </c>
      <c r="M26" s="1077" t="s">
        <v>9837</v>
      </c>
      <c r="N26" s="1078">
        <v>6512400</v>
      </c>
      <c r="O26" s="1078" t="s">
        <v>375</v>
      </c>
      <c r="P26" s="1078"/>
      <c r="Q26" s="1079"/>
      <c r="R26" s="1251"/>
      <c r="S26" s="1251"/>
      <c r="T26" s="1974"/>
      <c r="U26" s="1974"/>
      <c r="V26" s="1250"/>
      <c r="W26" s="1253"/>
    </row>
    <row r="27" spans="1:26" s="1080" customFormat="1" ht="24" customHeight="1">
      <c r="A27" s="1075">
        <v>8</v>
      </c>
      <c r="B27" s="376" t="s">
        <v>423</v>
      </c>
      <c r="C27" s="376"/>
      <c r="D27" s="376"/>
      <c r="E27" s="1075" t="s">
        <v>9838</v>
      </c>
      <c r="F27" s="1076"/>
      <c r="G27" s="1075" t="s">
        <v>9065</v>
      </c>
      <c r="H27" s="1075" t="s">
        <v>9065</v>
      </c>
      <c r="I27" s="1075" t="s">
        <v>9839</v>
      </c>
      <c r="J27" s="1075" t="s">
        <v>1449</v>
      </c>
      <c r="K27" s="1075" t="s">
        <v>1448</v>
      </c>
      <c r="L27" s="1075" t="s">
        <v>5130</v>
      </c>
      <c r="M27" s="1077" t="s">
        <v>9840</v>
      </c>
      <c r="N27" s="1078">
        <v>6512400</v>
      </c>
      <c r="O27" s="1078" t="s">
        <v>375</v>
      </c>
      <c r="P27" s="1078"/>
      <c r="Q27" s="1079"/>
      <c r="R27" s="1251"/>
      <c r="S27" s="1251"/>
      <c r="T27" s="1974"/>
      <c r="U27" s="1974"/>
      <c r="V27" s="1250"/>
      <c r="W27" s="1253"/>
    </row>
    <row r="28" spans="1:26" s="1074" customFormat="1" ht="24" customHeight="1">
      <c r="A28" s="1075">
        <v>9</v>
      </c>
      <c r="B28" s="1069"/>
      <c r="C28" s="1069"/>
      <c r="D28" s="1069"/>
      <c r="E28" s="1069" t="s">
        <v>9841</v>
      </c>
      <c r="F28" s="1070"/>
      <c r="G28" s="1069" t="s">
        <v>9065</v>
      </c>
      <c r="H28" s="1069" t="s">
        <v>9065</v>
      </c>
      <c r="I28" s="1069" t="s">
        <v>9842</v>
      </c>
      <c r="J28" s="1069"/>
      <c r="K28" s="1069"/>
      <c r="L28" s="1069" t="s">
        <v>5130</v>
      </c>
      <c r="M28" s="1071" t="s">
        <v>9843</v>
      </c>
      <c r="N28" s="1072">
        <v>6512400</v>
      </c>
      <c r="O28" s="1072"/>
      <c r="P28" s="1072" t="s">
        <v>16146</v>
      </c>
      <c r="Q28" s="1079"/>
      <c r="R28" s="1251"/>
      <c r="S28" s="1251"/>
      <c r="T28" s="1974"/>
      <c r="U28" s="1974"/>
      <c r="V28" s="1254"/>
      <c r="W28" s="1253"/>
      <c r="X28" s="1080"/>
      <c r="Y28" s="1080"/>
      <c r="Z28" s="1080"/>
    </row>
    <row r="29" spans="1:26" s="1080" customFormat="1" ht="24" customHeight="1">
      <c r="A29" s="1075">
        <v>10</v>
      </c>
      <c r="B29" s="376" t="s">
        <v>423</v>
      </c>
      <c r="C29" s="376"/>
      <c r="D29" s="376"/>
      <c r="E29" s="1075" t="s">
        <v>1505</v>
      </c>
      <c r="F29" s="1076"/>
      <c r="G29" s="1075" t="s">
        <v>9065</v>
      </c>
      <c r="H29" s="1075" t="s">
        <v>9065</v>
      </c>
      <c r="I29" s="1075" t="s">
        <v>12080</v>
      </c>
      <c r="J29" s="1075" t="s">
        <v>12082</v>
      </c>
      <c r="K29" s="1075" t="s">
        <v>12081</v>
      </c>
      <c r="L29" s="1075" t="s">
        <v>5130</v>
      </c>
      <c r="M29" s="1077" t="s">
        <v>12083</v>
      </c>
      <c r="N29" s="1078">
        <v>6512400</v>
      </c>
      <c r="O29" s="1078" t="s">
        <v>375</v>
      </c>
      <c r="P29" s="1078"/>
      <c r="Q29" s="1079"/>
      <c r="R29" s="1251"/>
      <c r="S29" s="1251"/>
      <c r="T29" s="1981"/>
      <c r="U29" s="1981"/>
      <c r="V29" s="1981"/>
      <c r="W29" s="1981"/>
    </row>
    <row r="30" spans="1:26" s="1080" customFormat="1" ht="24" customHeight="1">
      <c r="A30" s="1075">
        <v>11</v>
      </c>
      <c r="B30" s="376" t="s">
        <v>1595</v>
      </c>
      <c r="C30" s="376"/>
      <c r="D30" s="376"/>
      <c r="E30" s="1075" t="s">
        <v>9844</v>
      </c>
      <c r="F30" s="1076"/>
      <c r="G30" s="1075" t="s">
        <v>9065</v>
      </c>
      <c r="H30" s="1075" t="s">
        <v>9065</v>
      </c>
      <c r="I30" s="1075" t="s">
        <v>9845</v>
      </c>
      <c r="J30" s="1075" t="s">
        <v>2104</v>
      </c>
      <c r="K30" s="1075" t="s">
        <v>2101</v>
      </c>
      <c r="L30" s="1075" t="s">
        <v>5130</v>
      </c>
      <c r="M30" s="1077" t="s">
        <v>9846</v>
      </c>
      <c r="N30" s="1078">
        <v>6512400</v>
      </c>
      <c r="O30" s="1078" t="s">
        <v>375</v>
      </c>
      <c r="P30" s="1078"/>
      <c r="Q30" s="1079"/>
      <c r="R30" s="1255"/>
      <c r="S30" s="1255"/>
      <c r="T30" s="1974"/>
      <c r="U30" s="1974"/>
      <c r="V30" s="1250"/>
      <c r="W30" s="1256"/>
    </row>
    <row r="31" spans="1:26" s="1082" customFormat="1" ht="24" customHeight="1">
      <c r="A31" s="1075">
        <v>12</v>
      </c>
      <c r="B31" s="376" t="s">
        <v>1595</v>
      </c>
      <c r="C31" s="376"/>
      <c r="D31" s="376"/>
      <c r="E31" s="1075" t="s">
        <v>9847</v>
      </c>
      <c r="F31" s="1076"/>
      <c r="G31" s="1075" t="s">
        <v>9065</v>
      </c>
      <c r="H31" s="1075" t="s">
        <v>9065</v>
      </c>
      <c r="I31" s="1075" t="s">
        <v>9848</v>
      </c>
      <c r="J31" s="1075" t="s">
        <v>2016</v>
      </c>
      <c r="K31" s="1075" t="s">
        <v>2010</v>
      </c>
      <c r="L31" s="1075" t="s">
        <v>5130</v>
      </c>
      <c r="M31" s="1077" t="s">
        <v>9849</v>
      </c>
      <c r="N31" s="1078">
        <v>6512400</v>
      </c>
      <c r="O31" s="1078" t="s">
        <v>375</v>
      </c>
      <c r="P31" s="107" t="s">
        <v>43</v>
      </c>
      <c r="Q31" s="1079"/>
      <c r="R31" s="1255"/>
      <c r="S31" s="1255"/>
      <c r="T31" s="1974"/>
      <c r="U31" s="1974"/>
      <c r="V31" s="1250"/>
      <c r="W31" s="1256"/>
    </row>
    <row r="32" spans="1:26" s="1082" customFormat="1" ht="24" customHeight="1">
      <c r="A32" s="1075">
        <v>13</v>
      </c>
      <c r="B32" s="376" t="s">
        <v>1595</v>
      </c>
      <c r="C32" s="376"/>
      <c r="D32" s="376"/>
      <c r="E32" s="1075" t="s">
        <v>9850</v>
      </c>
      <c r="F32" s="1076"/>
      <c r="G32" s="1075" t="s">
        <v>9065</v>
      </c>
      <c r="H32" s="1075" t="s">
        <v>9065</v>
      </c>
      <c r="I32" s="1075" t="s">
        <v>9851</v>
      </c>
      <c r="J32" s="1075" t="s">
        <v>2066</v>
      </c>
      <c r="K32" s="1075" t="s">
        <v>2063</v>
      </c>
      <c r="L32" s="1075" t="s">
        <v>5130</v>
      </c>
      <c r="M32" s="1077" t="s">
        <v>9852</v>
      </c>
      <c r="N32" s="1078">
        <v>6512400</v>
      </c>
      <c r="O32" s="1078" t="s">
        <v>375</v>
      </c>
      <c r="P32" s="1078"/>
      <c r="Q32" s="1079"/>
      <c r="R32" s="1255"/>
      <c r="S32" s="1255"/>
      <c r="T32" s="1974"/>
      <c r="U32" s="1974"/>
      <c r="V32" s="1250"/>
      <c r="W32" s="1256"/>
    </row>
    <row r="33" spans="1:26" s="1082" customFormat="1" ht="24" customHeight="1">
      <c r="A33" s="1075">
        <v>14</v>
      </c>
      <c r="B33" s="376" t="s">
        <v>423</v>
      </c>
      <c r="C33" s="376"/>
      <c r="D33" s="376"/>
      <c r="E33" s="1075" t="s">
        <v>9853</v>
      </c>
      <c r="F33" s="1076"/>
      <c r="G33" s="1075" t="s">
        <v>9065</v>
      </c>
      <c r="H33" s="1075" t="s">
        <v>9065</v>
      </c>
      <c r="I33" s="1075" t="s">
        <v>9854</v>
      </c>
      <c r="J33" s="1075" t="s">
        <v>1446</v>
      </c>
      <c r="K33" s="1075" t="s">
        <v>1445</v>
      </c>
      <c r="L33" s="1075" t="s">
        <v>5130</v>
      </c>
      <c r="M33" s="1077" t="s">
        <v>9855</v>
      </c>
      <c r="N33" s="1078">
        <v>6512400</v>
      </c>
      <c r="O33" s="1078" t="s">
        <v>375</v>
      </c>
      <c r="P33" s="1078"/>
      <c r="Q33" s="1079"/>
      <c r="R33" s="1255"/>
      <c r="S33" s="1255"/>
      <c r="T33" s="1974"/>
      <c r="U33" s="1974"/>
      <c r="V33" s="1250"/>
      <c r="W33" s="1256"/>
    </row>
    <row r="34" spans="1:26" s="1082" customFormat="1" ht="24" customHeight="1">
      <c r="A34" s="1075">
        <v>15</v>
      </c>
      <c r="B34" s="376" t="s">
        <v>423</v>
      </c>
      <c r="C34" s="376"/>
      <c r="D34" s="376"/>
      <c r="E34" s="1075" t="s">
        <v>9856</v>
      </c>
      <c r="F34" s="1076"/>
      <c r="G34" s="1075" t="s">
        <v>9065</v>
      </c>
      <c r="H34" s="1075" t="s">
        <v>9065</v>
      </c>
      <c r="I34" s="1075" t="s">
        <v>9857</v>
      </c>
      <c r="J34" s="1075" t="s">
        <v>1443</v>
      </c>
      <c r="K34" s="1075" t="s">
        <v>1442</v>
      </c>
      <c r="L34" s="1075" t="s">
        <v>5130</v>
      </c>
      <c r="M34" s="1077" t="s">
        <v>9858</v>
      </c>
      <c r="N34" s="1078">
        <v>6512400</v>
      </c>
      <c r="O34" s="1078" t="s">
        <v>375</v>
      </c>
      <c r="P34" s="1078"/>
      <c r="Q34" s="1079"/>
      <c r="R34" s="1255"/>
      <c r="S34" s="1255"/>
      <c r="T34" s="1974"/>
      <c r="U34" s="1974"/>
      <c r="V34" s="1250"/>
      <c r="W34" s="1256"/>
    </row>
    <row r="35" spans="1:26" s="1083" customFormat="1" ht="24" customHeight="1">
      <c r="A35" s="1075">
        <v>16</v>
      </c>
      <c r="B35" s="1069"/>
      <c r="C35" s="1069"/>
      <c r="D35" s="1069"/>
      <c r="E35" s="1069" t="s">
        <v>9859</v>
      </c>
      <c r="F35" s="1070"/>
      <c r="G35" s="1069" t="s">
        <v>9065</v>
      </c>
      <c r="H35" s="1069" t="s">
        <v>9065</v>
      </c>
      <c r="I35" s="1069" t="s">
        <v>9860</v>
      </c>
      <c r="J35" s="1069"/>
      <c r="K35" s="1125" t="s">
        <v>16165</v>
      </c>
      <c r="L35" s="1069" t="s">
        <v>5130</v>
      </c>
      <c r="M35" s="1071" t="s">
        <v>5388</v>
      </c>
      <c r="N35" s="1072">
        <v>6512400</v>
      </c>
      <c r="O35" s="1072"/>
      <c r="P35" s="1072" t="s">
        <v>16146</v>
      </c>
      <c r="Q35" s="1079"/>
      <c r="R35" s="1255"/>
      <c r="S35" s="1255"/>
      <c r="T35" s="1974"/>
      <c r="U35" s="1974"/>
      <c r="V35" s="1250"/>
      <c r="W35" s="1256"/>
      <c r="X35" s="1082"/>
      <c r="Y35" s="1082"/>
      <c r="Z35" s="1082"/>
    </row>
    <row r="36" spans="1:26" s="1082" customFormat="1" ht="24" customHeight="1">
      <c r="A36" s="1075">
        <v>17</v>
      </c>
      <c r="B36" s="1075"/>
      <c r="C36" s="1075"/>
      <c r="D36" s="1075"/>
      <c r="E36" s="1075" t="s">
        <v>9861</v>
      </c>
      <c r="F36" s="1076"/>
      <c r="G36" s="1075" t="s">
        <v>9065</v>
      </c>
      <c r="H36" s="1075" t="s">
        <v>9065</v>
      </c>
      <c r="I36" s="1075" t="s">
        <v>9862</v>
      </c>
      <c r="J36" s="1075"/>
      <c r="K36" s="1075"/>
      <c r="L36" s="1075" t="s">
        <v>9888</v>
      </c>
      <c r="M36" s="1077" t="s">
        <v>15865</v>
      </c>
      <c r="N36" s="1078">
        <v>6512400</v>
      </c>
      <c r="O36" s="1078"/>
      <c r="P36" s="1078"/>
      <c r="Q36" s="1079"/>
      <c r="R36" s="1255"/>
      <c r="S36" s="1255"/>
      <c r="T36" s="1257"/>
      <c r="U36" s="1258"/>
      <c r="V36" s="1256"/>
      <c r="W36" s="1257"/>
    </row>
    <row r="37" spans="1:26" s="1082" customFormat="1" ht="24" customHeight="1">
      <c r="A37" s="1075">
        <v>18</v>
      </c>
      <c r="B37" s="1075"/>
      <c r="C37" s="1075"/>
      <c r="D37" s="1075"/>
      <c r="E37" s="1075" t="s">
        <v>9863</v>
      </c>
      <c r="F37" s="1076"/>
      <c r="G37" s="1075" t="s">
        <v>9065</v>
      </c>
      <c r="H37" s="1075" t="s">
        <v>9065</v>
      </c>
      <c r="I37" s="1075" t="s">
        <v>9864</v>
      </c>
      <c r="J37" s="1075"/>
      <c r="K37" s="1075"/>
      <c r="L37" s="1075" t="s">
        <v>9888</v>
      </c>
      <c r="M37" s="1077" t="s">
        <v>15866</v>
      </c>
      <c r="N37" s="1078">
        <v>6512400</v>
      </c>
      <c r="O37" s="1078"/>
      <c r="P37" s="1078"/>
      <c r="Q37" s="1079"/>
      <c r="R37" s="1255"/>
      <c r="S37" s="1255"/>
      <c r="T37" s="1257"/>
      <c r="U37" s="1258"/>
      <c r="V37" s="1256"/>
      <c r="W37" s="1257"/>
    </row>
    <row r="38" spans="1:26" s="1082" customFormat="1" ht="24" customHeight="1">
      <c r="A38" s="1075">
        <v>19</v>
      </c>
      <c r="B38" s="1075"/>
      <c r="C38" s="1075"/>
      <c r="D38" s="1075"/>
      <c r="E38" s="1075" t="s">
        <v>9865</v>
      </c>
      <c r="F38" s="1076"/>
      <c r="G38" s="1075" t="s">
        <v>9065</v>
      </c>
      <c r="H38" s="1075" t="s">
        <v>9065</v>
      </c>
      <c r="I38" s="1075" t="s">
        <v>9866</v>
      </c>
      <c r="J38" s="1075"/>
      <c r="K38" s="1075"/>
      <c r="L38" s="1075" t="s">
        <v>9888</v>
      </c>
      <c r="M38" s="1077" t="s">
        <v>15867</v>
      </c>
      <c r="N38" s="1078">
        <v>6512400</v>
      </c>
      <c r="O38" s="1078"/>
      <c r="P38" s="1078"/>
      <c r="Q38" s="1079"/>
      <c r="R38" s="1255"/>
      <c r="S38" s="1255"/>
      <c r="T38" s="1257"/>
      <c r="U38" s="1258"/>
      <c r="V38" s="1256"/>
      <c r="W38" s="1257"/>
    </row>
    <row r="39" spans="1:26" s="1082" customFormat="1" ht="24" customHeight="1">
      <c r="A39" s="1075">
        <v>20</v>
      </c>
      <c r="B39" s="376" t="s">
        <v>423</v>
      </c>
      <c r="C39" s="376"/>
      <c r="D39" s="376"/>
      <c r="E39" s="1075" t="s">
        <v>9867</v>
      </c>
      <c r="F39" s="1076"/>
      <c r="G39" s="1075" t="s">
        <v>9065</v>
      </c>
      <c r="H39" s="1075" t="s">
        <v>9065</v>
      </c>
      <c r="I39" s="1075" t="s">
        <v>9868</v>
      </c>
      <c r="J39" s="1075" t="s">
        <v>1440</v>
      </c>
      <c r="K39" s="1075" t="s">
        <v>1439</v>
      </c>
      <c r="L39" s="1075" t="s">
        <v>5130</v>
      </c>
      <c r="M39" s="1077" t="s">
        <v>9869</v>
      </c>
      <c r="N39" s="1078">
        <v>6512400</v>
      </c>
      <c r="O39" s="1078" t="s">
        <v>375</v>
      </c>
      <c r="P39" s="1078"/>
      <c r="Q39" s="1079"/>
      <c r="R39" s="1255"/>
      <c r="S39" s="1255"/>
      <c r="T39" s="1257"/>
      <c r="U39" s="1257"/>
      <c r="V39" s="1256"/>
      <c r="W39" s="1256"/>
    </row>
    <row r="40" spans="1:26" s="1082" customFormat="1" ht="24" customHeight="1">
      <c r="A40" s="1075">
        <v>21</v>
      </c>
      <c r="B40" s="376" t="s">
        <v>1595</v>
      </c>
      <c r="C40" s="376"/>
      <c r="D40" s="376"/>
      <c r="E40" s="1075" t="s">
        <v>9870</v>
      </c>
      <c r="F40" s="1076"/>
      <c r="G40" s="1075" t="s">
        <v>9065</v>
      </c>
      <c r="H40" s="1075" t="s">
        <v>9065</v>
      </c>
      <c r="I40" s="1075" t="s">
        <v>5358</v>
      </c>
      <c r="J40" s="1075" t="s">
        <v>2212</v>
      </c>
      <c r="K40" s="1075" t="s">
        <v>2211</v>
      </c>
      <c r="L40" s="1075" t="s">
        <v>5130</v>
      </c>
      <c r="M40" s="1077" t="s">
        <v>5357</v>
      </c>
      <c r="N40" s="1078">
        <v>6512400</v>
      </c>
      <c r="O40" s="1078" t="s">
        <v>375</v>
      </c>
      <c r="P40" s="1078"/>
      <c r="Q40" s="1079"/>
      <c r="R40" s="1255"/>
      <c r="S40" s="1255"/>
      <c r="T40" s="1255"/>
      <c r="U40" s="1255"/>
      <c r="V40" s="1259"/>
      <c r="W40" s="1260"/>
    </row>
    <row r="41" spans="1:26" s="1082" customFormat="1" ht="24" customHeight="1">
      <c r="A41" s="1075">
        <v>22</v>
      </c>
      <c r="B41" s="376" t="s">
        <v>423</v>
      </c>
      <c r="C41" s="376"/>
      <c r="D41" s="376"/>
      <c r="E41" s="1075" t="s">
        <v>9871</v>
      </c>
      <c r="F41" s="1076"/>
      <c r="G41" s="1075" t="s">
        <v>9065</v>
      </c>
      <c r="H41" s="1075" t="s">
        <v>9065</v>
      </c>
      <c r="I41" s="1075" t="s">
        <v>5360</v>
      </c>
      <c r="J41" s="1075" t="s">
        <v>1373</v>
      </c>
      <c r="K41" s="1075" t="s">
        <v>1372</v>
      </c>
      <c r="L41" s="1075" t="s">
        <v>5130</v>
      </c>
      <c r="M41" s="1077" t="s">
        <v>5359</v>
      </c>
      <c r="N41" s="1078">
        <v>6512400</v>
      </c>
      <c r="O41" s="1078" t="s">
        <v>375</v>
      </c>
      <c r="P41" s="1078"/>
      <c r="Q41" s="1079"/>
      <c r="R41" s="1255"/>
      <c r="S41" s="1255"/>
      <c r="T41" s="1255"/>
      <c r="U41" s="1255"/>
      <c r="V41" s="1259"/>
      <c r="W41" s="1255"/>
    </row>
    <row r="42" spans="1:26" s="1082" customFormat="1" ht="24" customHeight="1">
      <c r="A42" s="1075">
        <v>23</v>
      </c>
      <c r="B42" s="376" t="s">
        <v>423</v>
      </c>
      <c r="C42" s="376"/>
      <c r="D42" s="376"/>
      <c r="E42" s="1075" t="s">
        <v>9874</v>
      </c>
      <c r="F42" s="1076"/>
      <c r="G42" s="1075" t="s">
        <v>9065</v>
      </c>
      <c r="H42" s="1075" t="s">
        <v>9065</v>
      </c>
      <c r="I42" s="1075" t="s">
        <v>5365</v>
      </c>
      <c r="J42" s="1075" t="s">
        <v>1502</v>
      </c>
      <c r="K42" s="1075" t="s">
        <v>1501</v>
      </c>
      <c r="L42" s="1075" t="s">
        <v>5130</v>
      </c>
      <c r="M42" s="1077" t="s">
        <v>5364</v>
      </c>
      <c r="N42" s="1078">
        <v>6512400</v>
      </c>
      <c r="O42" s="1078" t="s">
        <v>375</v>
      </c>
      <c r="P42" s="1078"/>
      <c r="Q42" s="1079"/>
      <c r="R42" s="1255"/>
      <c r="S42" s="1255"/>
      <c r="T42" s="1255"/>
      <c r="U42" s="1255"/>
      <c r="V42" s="1259"/>
      <c r="W42" s="1255"/>
    </row>
    <row r="43" spans="1:26" s="1082" customFormat="1" ht="24" customHeight="1">
      <c r="A43" s="1075">
        <v>24</v>
      </c>
      <c r="B43" s="376" t="s">
        <v>423</v>
      </c>
      <c r="C43" s="376"/>
      <c r="D43" s="376"/>
      <c r="E43" s="1075" t="s">
        <v>9876</v>
      </c>
      <c r="F43" s="1076"/>
      <c r="G43" s="1075" t="s">
        <v>9065</v>
      </c>
      <c r="H43" s="1075" t="s">
        <v>9065</v>
      </c>
      <c r="I43" s="1075" t="s">
        <v>5369</v>
      </c>
      <c r="J43" s="1075" t="s">
        <v>1343</v>
      </c>
      <c r="K43" s="1075" t="s">
        <v>1342</v>
      </c>
      <c r="L43" s="1075" t="s">
        <v>5130</v>
      </c>
      <c r="M43" s="1077" t="s">
        <v>5368</v>
      </c>
      <c r="N43" s="1078">
        <v>6512400</v>
      </c>
      <c r="O43" s="1078" t="s">
        <v>375</v>
      </c>
      <c r="P43" s="1078"/>
      <c r="Q43" s="1079"/>
      <c r="R43" s="1255"/>
      <c r="S43" s="1255"/>
      <c r="T43" s="1255"/>
      <c r="U43" s="1255"/>
      <c r="V43" s="1259"/>
      <c r="W43" s="1255"/>
    </row>
    <row r="44" spans="1:26" s="1082" customFormat="1" ht="24" customHeight="1">
      <c r="A44" s="1075">
        <v>25</v>
      </c>
      <c r="B44" s="376" t="s">
        <v>423</v>
      </c>
      <c r="C44" s="376"/>
      <c r="D44" s="376"/>
      <c r="E44" s="1075" t="s">
        <v>9877</v>
      </c>
      <c r="F44" s="1076"/>
      <c r="G44" s="1075" t="s">
        <v>9065</v>
      </c>
      <c r="H44" s="1075" t="s">
        <v>9065</v>
      </c>
      <c r="I44" s="1075" t="s">
        <v>5371</v>
      </c>
      <c r="J44" s="1075" t="s">
        <v>1254</v>
      </c>
      <c r="K44" s="1075" t="s">
        <v>1253</v>
      </c>
      <c r="L44" s="1075" t="s">
        <v>5130</v>
      </c>
      <c r="M44" s="1077" t="s">
        <v>5370</v>
      </c>
      <c r="N44" s="1078">
        <v>6512400</v>
      </c>
      <c r="O44" s="1078" t="s">
        <v>375</v>
      </c>
      <c r="P44" s="1078"/>
      <c r="Q44" s="1079"/>
      <c r="R44" s="1255"/>
      <c r="S44" s="1255"/>
      <c r="T44" s="1255"/>
      <c r="U44" s="1255"/>
      <c r="V44" s="1259"/>
      <c r="W44" s="1255"/>
    </row>
    <row r="45" spans="1:26" s="1082" customFormat="1" ht="24" customHeight="1">
      <c r="A45" s="1075">
        <v>26</v>
      </c>
      <c r="B45" s="376" t="s">
        <v>423</v>
      </c>
      <c r="C45" s="376"/>
      <c r="D45" s="376"/>
      <c r="E45" s="1075" t="s">
        <v>9878</v>
      </c>
      <c r="F45" s="1076"/>
      <c r="G45" s="1075" t="s">
        <v>9065</v>
      </c>
      <c r="H45" s="1075" t="s">
        <v>9065</v>
      </c>
      <c r="I45" s="1075" t="s">
        <v>5373</v>
      </c>
      <c r="J45" s="1075" t="s">
        <v>1488</v>
      </c>
      <c r="K45" s="1075" t="s">
        <v>1487</v>
      </c>
      <c r="L45" s="1075" t="s">
        <v>5130</v>
      </c>
      <c r="M45" s="1077" t="s">
        <v>5372</v>
      </c>
      <c r="N45" s="1078">
        <v>6512400</v>
      </c>
      <c r="O45" s="1078" t="s">
        <v>375</v>
      </c>
      <c r="P45" s="1078"/>
      <c r="Q45" s="1079"/>
      <c r="R45" s="1255"/>
      <c r="S45" s="1255"/>
      <c r="T45" s="1255"/>
      <c r="U45" s="1255"/>
      <c r="V45" s="1259"/>
      <c r="W45" s="1255"/>
    </row>
    <row r="46" spans="1:26" s="1082" customFormat="1" ht="24" customHeight="1">
      <c r="A46" s="1075">
        <v>27</v>
      </c>
      <c r="B46" s="376" t="s">
        <v>423</v>
      </c>
      <c r="C46" s="376"/>
      <c r="D46" s="376"/>
      <c r="E46" s="1075" t="s">
        <v>9879</v>
      </c>
      <c r="F46" s="1076"/>
      <c r="G46" s="1075" t="s">
        <v>9065</v>
      </c>
      <c r="H46" s="1075" t="s">
        <v>9065</v>
      </c>
      <c r="I46" s="1075" t="s">
        <v>5375</v>
      </c>
      <c r="J46" s="1075" t="s">
        <v>1478</v>
      </c>
      <c r="K46" s="1075" t="s">
        <v>1476</v>
      </c>
      <c r="L46" s="1075" t="s">
        <v>5130</v>
      </c>
      <c r="M46" s="1077" t="s">
        <v>5374</v>
      </c>
      <c r="N46" s="1078">
        <v>6512400</v>
      </c>
      <c r="O46" s="1078" t="s">
        <v>375</v>
      </c>
      <c r="P46" s="1078"/>
      <c r="Q46" s="1079"/>
      <c r="V46" s="1084"/>
    </row>
    <row r="47" spans="1:26" s="1082" customFormat="1" ht="24" customHeight="1">
      <c r="A47" s="1075">
        <v>28</v>
      </c>
      <c r="B47" s="376" t="s">
        <v>423</v>
      </c>
      <c r="C47" s="376"/>
      <c r="D47" s="376"/>
      <c r="E47" s="1075" t="s">
        <v>9880</v>
      </c>
      <c r="F47" s="1076"/>
      <c r="G47" s="1075" t="s">
        <v>9065</v>
      </c>
      <c r="H47" s="1075" t="s">
        <v>9065</v>
      </c>
      <c r="I47" s="1075" t="s">
        <v>5377</v>
      </c>
      <c r="J47" s="1075" t="s">
        <v>1090</v>
      </c>
      <c r="K47" s="1075" t="s">
        <v>1089</v>
      </c>
      <c r="L47" s="1075" t="s">
        <v>5130</v>
      </c>
      <c r="M47" s="1077" t="s">
        <v>5376</v>
      </c>
      <c r="N47" s="1078">
        <v>6512400</v>
      </c>
      <c r="O47" s="1078" t="s">
        <v>375</v>
      </c>
      <c r="P47" s="1078"/>
      <c r="Q47" s="1079"/>
      <c r="V47" s="1084"/>
    </row>
    <row r="48" spans="1:26" s="1082" customFormat="1" ht="24" customHeight="1" thickBot="1">
      <c r="A48" s="1075">
        <v>29</v>
      </c>
      <c r="B48" s="376" t="s">
        <v>423</v>
      </c>
      <c r="C48" s="376"/>
      <c r="D48" s="376"/>
      <c r="E48" s="1075" t="s">
        <v>9881</v>
      </c>
      <c r="F48" s="1076"/>
      <c r="G48" s="1075" t="s">
        <v>9065</v>
      </c>
      <c r="H48" s="1075" t="s">
        <v>9065</v>
      </c>
      <c r="I48" s="1075" t="s">
        <v>5379</v>
      </c>
      <c r="J48" s="1075" t="s">
        <v>1472</v>
      </c>
      <c r="K48" s="1075" t="s">
        <v>1471</v>
      </c>
      <c r="L48" s="1075" t="s">
        <v>5130</v>
      </c>
      <c r="M48" s="1077" t="s">
        <v>5378</v>
      </c>
      <c r="N48" s="1078">
        <v>6512400</v>
      </c>
      <c r="O48" s="1078" t="s">
        <v>375</v>
      </c>
      <c r="P48" s="1078"/>
      <c r="Q48" s="1079"/>
      <c r="V48" s="1084"/>
    </row>
    <row r="49" spans="1:25" s="1083" customFormat="1" ht="24" customHeight="1" thickTop="1">
      <c r="A49" s="1075">
        <v>30</v>
      </c>
      <c r="B49" s="1069"/>
      <c r="C49" s="1069"/>
      <c r="D49" s="1069"/>
      <c r="E49" s="1069" t="s">
        <v>9882</v>
      </c>
      <c r="F49" s="1070"/>
      <c r="G49" s="1069" t="s">
        <v>9065</v>
      </c>
      <c r="H49" s="1069" t="s">
        <v>9065</v>
      </c>
      <c r="I49" s="1069" t="s">
        <v>5380</v>
      </c>
      <c r="J49" s="1069"/>
      <c r="K49" s="1125" t="s">
        <v>12136</v>
      </c>
      <c r="L49" s="1069" t="s">
        <v>5130</v>
      </c>
      <c r="M49" s="1071" t="s">
        <v>15868</v>
      </c>
      <c r="N49" s="1072">
        <v>6512400</v>
      </c>
      <c r="O49" s="1072"/>
      <c r="P49" s="1072" t="s">
        <v>16146</v>
      </c>
      <c r="Q49" s="1073"/>
      <c r="T49" s="1094" t="s">
        <v>14526</v>
      </c>
      <c r="U49" s="1095" t="s">
        <v>7726</v>
      </c>
      <c r="V49" s="1095" t="s">
        <v>7731</v>
      </c>
      <c r="W49" s="1095" t="s">
        <v>196</v>
      </c>
      <c r="X49" s="1096" t="s">
        <v>7728</v>
      </c>
      <c r="Y49" s="1092"/>
    </row>
    <row r="50" spans="1:25" s="1082" customFormat="1" ht="24" customHeight="1">
      <c r="A50" s="1075">
        <v>31</v>
      </c>
      <c r="B50" s="1075" t="s">
        <v>423</v>
      </c>
      <c r="C50" s="1075"/>
      <c r="D50" s="1075"/>
      <c r="E50" s="1075" t="s">
        <v>9883</v>
      </c>
      <c r="F50" s="1076"/>
      <c r="G50" s="1075" t="s">
        <v>9065</v>
      </c>
      <c r="H50" s="1075" t="s">
        <v>9065</v>
      </c>
      <c r="I50" s="1075" t="s">
        <v>5382</v>
      </c>
      <c r="J50" s="1075" t="s">
        <v>1492</v>
      </c>
      <c r="K50" s="1075" t="s">
        <v>1491</v>
      </c>
      <c r="L50" s="1075" t="s">
        <v>5130</v>
      </c>
      <c r="M50" s="1077" t="s">
        <v>5381</v>
      </c>
      <c r="N50" s="1078">
        <v>6512400</v>
      </c>
      <c r="O50" s="1078" t="s">
        <v>375</v>
      </c>
      <c r="P50" s="1078"/>
      <c r="Q50" s="1079"/>
      <c r="T50" s="1097">
        <v>1</v>
      </c>
      <c r="U50" s="1097" t="s">
        <v>7594</v>
      </c>
      <c r="V50" s="1097" t="s">
        <v>7739</v>
      </c>
      <c r="W50" s="1097" t="s">
        <v>1671</v>
      </c>
      <c r="X50" s="1098">
        <v>269100000</v>
      </c>
      <c r="Y50" s="1090"/>
    </row>
    <row r="51" spans="1:25" s="1082" customFormat="1" ht="24" customHeight="1">
      <c r="A51" s="1075">
        <v>32</v>
      </c>
      <c r="B51" s="1075"/>
      <c r="C51" s="1075"/>
      <c r="D51" s="1075"/>
      <c r="E51" s="1075" t="s">
        <v>9884</v>
      </c>
      <c r="F51" s="1076"/>
      <c r="G51" s="1075" t="s">
        <v>9065</v>
      </c>
      <c r="H51" s="1075" t="s">
        <v>15869</v>
      </c>
      <c r="I51" s="1075" t="s">
        <v>5383</v>
      </c>
      <c r="J51" s="1075"/>
      <c r="K51" s="1075"/>
      <c r="L51" s="1075" t="s">
        <v>9888</v>
      </c>
      <c r="M51" s="1077" t="s">
        <v>15870</v>
      </c>
      <c r="N51" s="1078">
        <v>6512400</v>
      </c>
      <c r="O51" s="1078"/>
      <c r="P51" s="1078"/>
      <c r="Q51" s="1079"/>
      <c r="T51" s="1099">
        <v>2</v>
      </c>
      <c r="U51" s="1099" t="s">
        <v>7594</v>
      </c>
      <c r="V51" s="1099" t="s">
        <v>7739</v>
      </c>
      <c r="W51" s="1099" t="s">
        <v>1677</v>
      </c>
      <c r="X51" s="1100">
        <v>87000000</v>
      </c>
      <c r="Y51" s="329"/>
    </row>
    <row r="52" spans="1:25" s="1082" customFormat="1" ht="24" customHeight="1">
      <c r="A52" s="1075">
        <v>33</v>
      </c>
      <c r="B52" s="376" t="s">
        <v>1595</v>
      </c>
      <c r="C52" s="376"/>
      <c r="D52" s="376"/>
      <c r="E52" s="1075" t="s">
        <v>9889</v>
      </c>
      <c r="F52" s="1076"/>
      <c r="G52" s="1075" t="s">
        <v>9065</v>
      </c>
      <c r="H52" s="1075" t="s">
        <v>9065</v>
      </c>
      <c r="I52" s="1075" t="s">
        <v>5392</v>
      </c>
      <c r="J52" s="1075" t="s">
        <v>2043</v>
      </c>
      <c r="K52" s="1075" t="s">
        <v>2042</v>
      </c>
      <c r="L52" s="1075" t="s">
        <v>5130</v>
      </c>
      <c r="M52" s="1077" t="s">
        <v>5391</v>
      </c>
      <c r="N52" s="1078">
        <v>6512400</v>
      </c>
      <c r="O52" s="1078" t="s">
        <v>375</v>
      </c>
      <c r="P52" s="1078"/>
      <c r="Q52" s="1079"/>
      <c r="T52" s="1097">
        <v>3</v>
      </c>
      <c r="U52" s="1097" t="s">
        <v>7594</v>
      </c>
      <c r="V52" s="1097" t="s">
        <v>7739</v>
      </c>
      <c r="W52" s="1097" t="s">
        <v>7734</v>
      </c>
      <c r="X52" s="1098">
        <v>192150000</v>
      </c>
      <c r="Y52" s="329"/>
    </row>
    <row r="53" spans="1:25" s="1082" customFormat="1" ht="24" customHeight="1">
      <c r="A53" s="1075">
        <v>34</v>
      </c>
      <c r="B53" s="1075"/>
      <c r="C53" s="1075"/>
      <c r="D53" s="1075"/>
      <c r="E53" s="1075" t="s">
        <v>9890</v>
      </c>
      <c r="F53" s="1076"/>
      <c r="G53" s="1075" t="s">
        <v>9065</v>
      </c>
      <c r="H53" s="1075" t="s">
        <v>9065</v>
      </c>
      <c r="I53" s="1075" t="s">
        <v>9891</v>
      </c>
      <c r="J53" s="1075"/>
      <c r="K53" s="1075"/>
      <c r="L53" s="1075" t="s">
        <v>9888</v>
      </c>
      <c r="M53" s="1077" t="s">
        <v>5884</v>
      </c>
      <c r="N53" s="1078">
        <v>6512400</v>
      </c>
      <c r="O53" s="1078"/>
      <c r="P53" s="1078"/>
      <c r="Q53" s="1079"/>
      <c r="T53" s="1099">
        <v>4</v>
      </c>
      <c r="U53" s="1099" t="s">
        <v>7594</v>
      </c>
      <c r="V53" s="1099" t="s">
        <v>7739</v>
      </c>
      <c r="W53" s="1099" t="s">
        <v>7735</v>
      </c>
      <c r="X53" s="1100">
        <v>207000000</v>
      </c>
      <c r="Y53" s="329"/>
    </row>
    <row r="54" spans="1:25" s="1082" customFormat="1" ht="24" customHeight="1">
      <c r="A54" s="1075">
        <v>35</v>
      </c>
      <c r="B54" s="1075"/>
      <c r="C54" s="1075"/>
      <c r="D54" s="1075"/>
      <c r="E54" s="1075" t="s">
        <v>9892</v>
      </c>
      <c r="F54" s="1076"/>
      <c r="G54" s="1075" t="s">
        <v>9065</v>
      </c>
      <c r="H54" s="1075" t="s">
        <v>9065</v>
      </c>
      <c r="I54" s="1075" t="s">
        <v>5886</v>
      </c>
      <c r="J54" s="1075"/>
      <c r="K54" s="1075"/>
      <c r="L54" s="1075" t="s">
        <v>9888</v>
      </c>
      <c r="M54" s="1077" t="s">
        <v>5885</v>
      </c>
      <c r="N54" s="1078">
        <v>6512400</v>
      </c>
      <c r="O54" s="1078"/>
      <c r="P54" s="1078"/>
      <c r="Q54" s="1079"/>
      <c r="T54" s="1097">
        <v>5</v>
      </c>
      <c r="U54" s="1097" t="s">
        <v>7594</v>
      </c>
      <c r="V54" s="1097" t="s">
        <v>7739</v>
      </c>
      <c r="W54" s="1097" t="s">
        <v>7737</v>
      </c>
      <c r="X54" s="1098">
        <f>72000000</f>
        <v>72000000</v>
      </c>
      <c r="Y54" s="329"/>
    </row>
    <row r="55" spans="1:25" s="1082" customFormat="1" ht="24" customHeight="1">
      <c r="A55" s="1075">
        <v>36</v>
      </c>
      <c r="B55" s="1075"/>
      <c r="C55" s="1075"/>
      <c r="D55" s="1075"/>
      <c r="E55" s="1075" t="s">
        <v>9893</v>
      </c>
      <c r="F55" s="1076"/>
      <c r="G55" s="1075" t="s">
        <v>9065</v>
      </c>
      <c r="H55" s="1075" t="s">
        <v>9065</v>
      </c>
      <c r="I55" s="1075" t="s">
        <v>5888</v>
      </c>
      <c r="J55" s="1075"/>
      <c r="K55" s="1075"/>
      <c r="L55" s="1075" t="s">
        <v>9888</v>
      </c>
      <c r="M55" s="1077" t="s">
        <v>5887</v>
      </c>
      <c r="N55" s="1078">
        <v>6512400</v>
      </c>
      <c r="O55" s="1078"/>
      <c r="P55" s="1078"/>
      <c r="Q55" s="1079"/>
      <c r="T55" s="1099">
        <v>6</v>
      </c>
      <c r="U55" s="1099" t="s">
        <v>7594</v>
      </c>
      <c r="V55" s="1099" t="s">
        <v>7740</v>
      </c>
      <c r="W55" s="1099" t="s">
        <v>231</v>
      </c>
      <c r="X55" s="1100">
        <v>6512400</v>
      </c>
      <c r="Y55" s="329"/>
    </row>
    <row r="56" spans="1:25" s="1082" customFormat="1" ht="24" customHeight="1">
      <c r="A56" s="1075">
        <v>37</v>
      </c>
      <c r="B56" s="1075"/>
      <c r="C56" s="1075"/>
      <c r="D56" s="1075"/>
      <c r="E56" s="1075" t="s">
        <v>9894</v>
      </c>
      <c r="F56" s="1076"/>
      <c r="G56" s="1075" t="s">
        <v>9065</v>
      </c>
      <c r="H56" s="1075" t="s">
        <v>9065</v>
      </c>
      <c r="I56" s="1075" t="s">
        <v>5394</v>
      </c>
      <c r="J56" s="1075" t="s">
        <v>1383</v>
      </c>
      <c r="K56" s="1075" t="s">
        <v>15637</v>
      </c>
      <c r="L56" s="1075" t="s">
        <v>5130</v>
      </c>
      <c r="M56" s="1077" t="s">
        <v>5393</v>
      </c>
      <c r="N56" s="1078">
        <v>6512400</v>
      </c>
      <c r="O56" s="1078" t="s">
        <v>375</v>
      </c>
      <c r="P56" s="1078"/>
      <c r="Q56" s="1079"/>
      <c r="T56" s="1099">
        <v>7</v>
      </c>
      <c r="U56" s="1099" t="s">
        <v>7594</v>
      </c>
      <c r="V56" s="1099" t="s">
        <v>7740</v>
      </c>
      <c r="W56" s="1099" t="s">
        <v>7732</v>
      </c>
      <c r="X56" s="1100">
        <v>12168000</v>
      </c>
      <c r="Y56" s="329"/>
    </row>
    <row r="57" spans="1:25" s="1082" customFormat="1" ht="24" customHeight="1">
      <c r="A57" s="1075">
        <v>38</v>
      </c>
      <c r="B57" s="1075" t="s">
        <v>423</v>
      </c>
      <c r="C57" s="1075"/>
      <c r="D57" s="1075"/>
      <c r="E57" s="1075" t="s">
        <v>9896</v>
      </c>
      <c r="F57" s="1076"/>
      <c r="G57" s="1075" t="s">
        <v>9065</v>
      </c>
      <c r="H57" s="1075" t="s">
        <v>9065</v>
      </c>
      <c r="I57" s="1075" t="s">
        <v>5398</v>
      </c>
      <c r="J57" s="1075" t="s">
        <v>1382</v>
      </c>
      <c r="K57" s="1075" t="s">
        <v>1381</v>
      </c>
      <c r="L57" s="1075" t="s">
        <v>5130</v>
      </c>
      <c r="M57" s="1077" t="s">
        <v>5397</v>
      </c>
      <c r="N57" s="1078">
        <v>6512400</v>
      </c>
      <c r="O57" s="1078" t="s">
        <v>375</v>
      </c>
      <c r="P57" s="1078"/>
      <c r="Q57" s="1079"/>
      <c r="T57" s="1099">
        <v>8</v>
      </c>
      <c r="U57" s="1099" t="s">
        <v>7594</v>
      </c>
      <c r="V57" s="1099" t="s">
        <v>7740</v>
      </c>
      <c r="W57" s="1099" t="s">
        <v>7733</v>
      </c>
      <c r="X57" s="1100">
        <v>27750000</v>
      </c>
      <c r="Y57" s="329"/>
    </row>
    <row r="58" spans="1:25" s="1082" customFormat="1" ht="24" customHeight="1">
      <c r="A58" s="1075">
        <v>39</v>
      </c>
      <c r="B58" s="376" t="s">
        <v>1595</v>
      </c>
      <c r="C58" s="376"/>
      <c r="D58" s="376"/>
      <c r="E58" s="1075" t="s">
        <v>9897</v>
      </c>
      <c r="F58" s="1076"/>
      <c r="G58" s="1075" t="s">
        <v>9065</v>
      </c>
      <c r="H58" s="1075" t="s">
        <v>9065</v>
      </c>
      <c r="I58" s="1075" t="s">
        <v>5400</v>
      </c>
      <c r="J58" s="1075" t="s">
        <v>2038</v>
      </c>
      <c r="K58" s="1075" t="s">
        <v>2037</v>
      </c>
      <c r="L58" s="1075" t="s">
        <v>5130</v>
      </c>
      <c r="M58" s="1077" t="s">
        <v>5399</v>
      </c>
      <c r="N58" s="1078">
        <v>6512400</v>
      </c>
      <c r="O58" s="1078" t="s">
        <v>375</v>
      </c>
      <c r="P58" s="1078"/>
      <c r="Q58" s="1079"/>
      <c r="T58" s="1099">
        <v>9</v>
      </c>
      <c r="U58" s="1099" t="s">
        <v>7594</v>
      </c>
      <c r="V58" s="1099" t="s">
        <v>7740</v>
      </c>
      <c r="W58" s="1099" t="s">
        <v>7736</v>
      </c>
      <c r="X58" s="1100">
        <v>45288000</v>
      </c>
      <c r="Y58" s="425"/>
    </row>
    <row r="59" spans="1:25" s="1082" customFormat="1" ht="24" customHeight="1">
      <c r="A59" s="1075">
        <v>40</v>
      </c>
      <c r="B59" s="1075" t="s">
        <v>235</v>
      </c>
      <c r="C59" s="1075"/>
      <c r="D59" s="1075"/>
      <c r="E59" s="1075" t="s">
        <v>9898</v>
      </c>
      <c r="F59" s="1076"/>
      <c r="G59" s="1075" t="s">
        <v>9065</v>
      </c>
      <c r="H59" s="1075" t="s">
        <v>9065</v>
      </c>
      <c r="I59" s="1075" t="s">
        <v>5402</v>
      </c>
      <c r="J59" s="1075" t="s">
        <v>15638</v>
      </c>
      <c r="K59" s="1075" t="s">
        <v>15639</v>
      </c>
      <c r="L59" s="1075" t="s">
        <v>5130</v>
      </c>
      <c r="M59" s="1077" t="s">
        <v>5401</v>
      </c>
      <c r="N59" s="1078">
        <v>6512400</v>
      </c>
      <c r="O59" s="1078" t="s">
        <v>375</v>
      </c>
      <c r="P59" s="1078"/>
      <c r="Q59" s="1079"/>
      <c r="T59" s="1099">
        <v>10</v>
      </c>
      <c r="U59" s="1099" t="s">
        <v>7594</v>
      </c>
      <c r="V59" s="1099" t="s">
        <v>7740</v>
      </c>
      <c r="W59" s="1099" t="s">
        <v>7738</v>
      </c>
      <c r="X59" s="1100">
        <v>8683200</v>
      </c>
      <c r="Y59" s="425"/>
    </row>
    <row r="60" spans="1:25" s="1083" customFormat="1" ht="24" customHeight="1">
      <c r="A60" s="1075">
        <v>41</v>
      </c>
      <c r="B60" s="1069"/>
      <c r="C60" s="1069"/>
      <c r="D60" s="1069"/>
      <c r="E60" s="1069" t="s">
        <v>9899</v>
      </c>
      <c r="F60" s="1070"/>
      <c r="G60" s="1069" t="s">
        <v>9065</v>
      </c>
      <c r="H60" s="1069" t="s">
        <v>9065</v>
      </c>
      <c r="I60" s="1069" t="s">
        <v>5404</v>
      </c>
      <c r="J60" s="1069"/>
      <c r="K60" s="1125" t="s">
        <v>16166</v>
      </c>
      <c r="L60" s="1069" t="s">
        <v>5130</v>
      </c>
      <c r="M60" s="1071" t="s">
        <v>5403</v>
      </c>
      <c r="N60" s="1072">
        <v>6512400</v>
      </c>
      <c r="O60" s="1072"/>
      <c r="P60" s="1072" t="s">
        <v>16146</v>
      </c>
      <c r="Q60" s="1073"/>
      <c r="T60" s="1099">
        <v>11</v>
      </c>
      <c r="U60" s="1099" t="s">
        <v>7594</v>
      </c>
      <c r="V60" s="1099" t="s">
        <v>7741</v>
      </c>
      <c r="W60" s="1099" t="s">
        <v>7742</v>
      </c>
      <c r="X60" s="1100">
        <v>59400000</v>
      </c>
      <c r="Y60" s="425"/>
    </row>
    <row r="61" spans="1:25" s="1082" customFormat="1" ht="24" customHeight="1">
      <c r="A61" s="1075">
        <v>42</v>
      </c>
      <c r="B61" s="1075"/>
      <c r="C61" s="1075"/>
      <c r="D61" s="1075"/>
      <c r="E61" s="1075" t="s">
        <v>9902</v>
      </c>
      <c r="F61" s="1076"/>
      <c r="G61" s="1075" t="s">
        <v>9065</v>
      </c>
      <c r="H61" s="1075" t="s">
        <v>9065</v>
      </c>
      <c r="I61" s="1075" t="s">
        <v>5894</v>
      </c>
      <c r="J61" s="1075"/>
      <c r="K61" s="1075"/>
      <c r="L61" s="1075" t="s">
        <v>9888</v>
      </c>
      <c r="M61" s="1077" t="s">
        <v>5893</v>
      </c>
      <c r="N61" s="1078">
        <v>6512400</v>
      </c>
      <c r="O61" s="1078"/>
      <c r="P61" s="1078"/>
      <c r="Q61" s="1079"/>
      <c r="T61" s="1099">
        <v>12</v>
      </c>
      <c r="U61" s="1099" t="s">
        <v>7594</v>
      </c>
      <c r="V61" s="1099" t="s">
        <v>7729</v>
      </c>
      <c r="W61" s="1099" t="s">
        <v>7745</v>
      </c>
      <c r="X61" s="1100">
        <f>20020000+2002000</f>
        <v>22022000</v>
      </c>
      <c r="Y61" s="329"/>
    </row>
    <row r="62" spans="1:25" s="1082" customFormat="1" ht="24" customHeight="1">
      <c r="A62" s="1075">
        <v>43</v>
      </c>
      <c r="B62" s="1075"/>
      <c r="C62" s="1075"/>
      <c r="D62" s="1075"/>
      <c r="E62" s="1075" t="s">
        <v>9903</v>
      </c>
      <c r="F62" s="1076"/>
      <c r="G62" s="1075" t="s">
        <v>9065</v>
      </c>
      <c r="H62" s="1075" t="s">
        <v>9065</v>
      </c>
      <c r="I62" s="1075" t="s">
        <v>5896</v>
      </c>
      <c r="J62" s="1075"/>
      <c r="K62" s="1075"/>
      <c r="L62" s="1075" t="s">
        <v>9888</v>
      </c>
      <c r="M62" s="1077" t="s">
        <v>5895</v>
      </c>
      <c r="N62" s="1078">
        <v>6512400</v>
      </c>
      <c r="O62" s="1078"/>
      <c r="P62" s="1078"/>
      <c r="Q62" s="1079"/>
      <c r="T62" s="1099">
        <v>13</v>
      </c>
      <c r="U62" s="1099" t="s">
        <v>7594</v>
      </c>
      <c r="V62" s="1099" t="s">
        <v>7730</v>
      </c>
      <c r="W62" s="1099" t="s">
        <v>7745</v>
      </c>
      <c r="X62" s="1100">
        <f>4000000+400000</f>
        <v>4400000</v>
      </c>
      <c r="Y62" s="329"/>
    </row>
    <row r="63" spans="1:25" s="1082" customFormat="1" ht="24" customHeight="1">
      <c r="A63" s="1075">
        <v>44</v>
      </c>
      <c r="B63" s="1075"/>
      <c r="C63" s="1075"/>
      <c r="D63" s="1075"/>
      <c r="E63" s="1075" t="s">
        <v>9904</v>
      </c>
      <c r="F63" s="1076"/>
      <c r="G63" s="1075" t="s">
        <v>9065</v>
      </c>
      <c r="H63" s="1075" t="s">
        <v>9065</v>
      </c>
      <c r="I63" s="1075" t="s">
        <v>5897</v>
      </c>
      <c r="J63" s="1075"/>
      <c r="K63" s="1075"/>
      <c r="L63" s="1075" t="s">
        <v>9888</v>
      </c>
      <c r="M63" s="1077" t="s">
        <v>14530</v>
      </c>
      <c r="N63" s="1078">
        <v>6512400</v>
      </c>
      <c r="O63" s="1078"/>
      <c r="P63" s="1078"/>
      <c r="Q63" s="1079"/>
      <c r="T63" s="1101" t="s">
        <v>11467</v>
      </c>
      <c r="U63" s="1101"/>
      <c r="V63" s="1101"/>
      <c r="W63" s="1101"/>
      <c r="X63" s="290">
        <f>SUBTOTAL(109,'شبکه مبین نت 2'!$V$2:$V$12)</f>
        <v>0</v>
      </c>
      <c r="Y63" s="329"/>
    </row>
    <row r="64" spans="1:25" s="1082" customFormat="1" ht="24" customHeight="1">
      <c r="A64" s="1075">
        <v>45</v>
      </c>
      <c r="B64" s="1075"/>
      <c r="C64" s="1075"/>
      <c r="D64" s="1075"/>
      <c r="E64" s="1075" t="s">
        <v>9905</v>
      </c>
      <c r="F64" s="1076"/>
      <c r="G64" s="1075" t="s">
        <v>9065</v>
      </c>
      <c r="H64" s="1075" t="s">
        <v>9065</v>
      </c>
      <c r="I64" s="1075" t="s">
        <v>5899</v>
      </c>
      <c r="J64" s="1075"/>
      <c r="K64" s="1075"/>
      <c r="L64" s="1075" t="s">
        <v>9888</v>
      </c>
      <c r="M64" s="1077" t="s">
        <v>5898</v>
      </c>
      <c r="N64" s="1078">
        <v>6512400</v>
      </c>
      <c r="O64" s="1078"/>
      <c r="P64" s="1078"/>
      <c r="Q64" s="1079"/>
      <c r="T64" s="329"/>
      <c r="U64" s="329"/>
      <c r="V64" s="329"/>
      <c r="W64" s="329"/>
      <c r="X64" s="333"/>
      <c r="Y64" s="329"/>
    </row>
    <row r="65" spans="1:25" s="1082" customFormat="1" ht="24" customHeight="1">
      <c r="A65" s="1075">
        <v>46</v>
      </c>
      <c r="B65" s="1075"/>
      <c r="C65" s="1075"/>
      <c r="D65" s="1075"/>
      <c r="E65" s="1075" t="s">
        <v>9906</v>
      </c>
      <c r="F65" s="1076"/>
      <c r="G65" s="1075" t="s">
        <v>9065</v>
      </c>
      <c r="H65" s="1075" t="s">
        <v>9065</v>
      </c>
      <c r="I65" s="1075" t="s">
        <v>5901</v>
      </c>
      <c r="J65" s="1075"/>
      <c r="K65" s="1075"/>
      <c r="L65" s="1075" t="s">
        <v>9888</v>
      </c>
      <c r="M65" s="1077" t="s">
        <v>5900</v>
      </c>
      <c r="N65" s="1078">
        <v>6512400</v>
      </c>
      <c r="O65" s="1078"/>
      <c r="P65" s="1078"/>
      <c r="Q65" s="1079"/>
      <c r="T65" s="329"/>
      <c r="U65" s="329"/>
      <c r="V65" s="329"/>
      <c r="W65" s="329"/>
      <c r="X65" s="333"/>
      <c r="Y65" s="329"/>
    </row>
    <row r="66" spans="1:25" s="1082" customFormat="1" ht="24" customHeight="1">
      <c r="A66" s="1075">
        <v>47</v>
      </c>
      <c r="B66" s="1075"/>
      <c r="C66" s="1075"/>
      <c r="D66" s="1075"/>
      <c r="E66" s="1075" t="s">
        <v>9908</v>
      </c>
      <c r="F66" s="1076"/>
      <c r="G66" s="1075" t="s">
        <v>9065</v>
      </c>
      <c r="H66" s="1075" t="s">
        <v>9065</v>
      </c>
      <c r="I66" s="1075" t="s">
        <v>5904</v>
      </c>
      <c r="J66" s="1075"/>
      <c r="K66" s="1075"/>
      <c r="L66" s="1075" t="s">
        <v>9888</v>
      </c>
      <c r="M66" s="1077" t="s">
        <v>14531</v>
      </c>
      <c r="N66" s="1078">
        <v>6512400</v>
      </c>
      <c r="O66" s="1078"/>
      <c r="P66" s="1078"/>
      <c r="Q66" s="1079"/>
      <c r="T66" s="329"/>
      <c r="U66" s="329"/>
      <c r="V66" s="329"/>
      <c r="W66" s="329"/>
      <c r="X66" s="333"/>
      <c r="Y66" s="329"/>
    </row>
    <row r="67" spans="1:25" s="1082" customFormat="1" ht="24" customHeight="1">
      <c r="A67" s="1075">
        <v>48</v>
      </c>
      <c r="B67" s="1075" t="s">
        <v>423</v>
      </c>
      <c r="C67" s="1075"/>
      <c r="D67" s="1075"/>
      <c r="E67" s="1075" t="s">
        <v>9909</v>
      </c>
      <c r="F67" s="1076"/>
      <c r="G67" s="1075" t="s">
        <v>9065</v>
      </c>
      <c r="H67" s="1075" t="s">
        <v>9065</v>
      </c>
      <c r="I67" s="1075" t="s">
        <v>5406</v>
      </c>
      <c r="J67" s="1075" t="s">
        <v>1147</v>
      </c>
      <c r="K67" s="1075" t="s">
        <v>1145</v>
      </c>
      <c r="L67" s="1075" t="s">
        <v>5130</v>
      </c>
      <c r="M67" s="1077" t="s">
        <v>5405</v>
      </c>
      <c r="N67" s="1078">
        <v>6512400</v>
      </c>
      <c r="O67" s="1078" t="s">
        <v>375</v>
      </c>
      <c r="P67" s="1078"/>
      <c r="Q67" s="1079"/>
      <c r="T67" s="329"/>
      <c r="U67" s="329"/>
      <c r="V67" s="1991" t="s">
        <v>11084</v>
      </c>
      <c r="W67" s="1992"/>
      <c r="X67" s="1992"/>
      <c r="Y67" s="1993"/>
    </row>
    <row r="68" spans="1:25" s="1082" customFormat="1" ht="24" customHeight="1">
      <c r="A68" s="1075">
        <v>49</v>
      </c>
      <c r="B68" s="1075" t="s">
        <v>1595</v>
      </c>
      <c r="C68" s="1075"/>
      <c r="D68" s="1075"/>
      <c r="E68" s="1075" t="s">
        <v>9911</v>
      </c>
      <c r="F68" s="1076"/>
      <c r="G68" s="1075" t="s">
        <v>9065</v>
      </c>
      <c r="H68" s="1075" t="s">
        <v>9065</v>
      </c>
      <c r="I68" s="1075" t="s">
        <v>5407</v>
      </c>
      <c r="J68" s="1075" t="s">
        <v>2196</v>
      </c>
      <c r="K68" s="1075" t="s">
        <v>2195</v>
      </c>
      <c r="L68" s="1075" t="s">
        <v>5130</v>
      </c>
      <c r="M68" s="1077" t="s">
        <v>14532</v>
      </c>
      <c r="N68" s="1078">
        <v>6512400</v>
      </c>
      <c r="O68" s="1078" t="s">
        <v>375</v>
      </c>
      <c r="P68" s="1078"/>
      <c r="Q68" s="1079"/>
      <c r="T68" s="329"/>
      <c r="U68" s="329"/>
      <c r="V68" s="1994" t="s">
        <v>11057</v>
      </c>
      <c r="W68" s="1995"/>
      <c r="X68" s="1995"/>
      <c r="Y68" s="1996"/>
    </row>
    <row r="69" spans="1:25" s="1082" customFormat="1" ht="24" customHeight="1">
      <c r="A69" s="1075">
        <v>50</v>
      </c>
      <c r="B69" s="1075"/>
      <c r="C69" s="1075"/>
      <c r="D69" s="1075"/>
      <c r="E69" s="1075" t="s">
        <v>9912</v>
      </c>
      <c r="F69" s="1076"/>
      <c r="G69" s="1075" t="s">
        <v>9065</v>
      </c>
      <c r="H69" s="1075" t="s">
        <v>9065</v>
      </c>
      <c r="I69" s="1075" t="s">
        <v>5409</v>
      </c>
      <c r="J69" s="1075" t="s">
        <v>15630</v>
      </c>
      <c r="K69" s="1075" t="s">
        <v>15629</v>
      </c>
      <c r="L69" s="1075" t="s">
        <v>5130</v>
      </c>
      <c r="M69" s="1077" t="s">
        <v>5408</v>
      </c>
      <c r="N69" s="1078">
        <v>6512400</v>
      </c>
      <c r="O69" s="1078" t="s">
        <v>375</v>
      </c>
      <c r="P69" s="1078"/>
      <c r="Q69" s="1079"/>
      <c r="T69" s="328"/>
      <c r="U69" s="328"/>
      <c r="V69" s="1997" t="s">
        <v>11091</v>
      </c>
      <c r="W69" s="1997"/>
      <c r="X69" s="1233">
        <v>1005769800</v>
      </c>
      <c r="Y69" s="1105"/>
    </row>
    <row r="70" spans="1:25" s="1082" customFormat="1" ht="24" customHeight="1">
      <c r="A70" s="1075">
        <v>51</v>
      </c>
      <c r="B70" s="1075"/>
      <c r="C70" s="1075"/>
      <c r="D70" s="1075"/>
      <c r="E70" s="1075" t="s">
        <v>9914</v>
      </c>
      <c r="F70" s="1076"/>
      <c r="G70" s="1075" t="s">
        <v>9065</v>
      </c>
      <c r="H70" s="1075" t="s">
        <v>9065</v>
      </c>
      <c r="I70" s="1075" t="s">
        <v>5910</v>
      </c>
      <c r="J70" s="1075"/>
      <c r="K70" s="1075"/>
      <c r="L70" s="1075" t="s">
        <v>9888</v>
      </c>
      <c r="M70" s="1077" t="s">
        <v>5909</v>
      </c>
      <c r="N70" s="1078">
        <v>6512400</v>
      </c>
      <c r="O70" s="1078"/>
      <c r="P70" s="1078"/>
      <c r="Q70" s="1079"/>
      <c r="T70" s="331"/>
      <c r="U70" s="331"/>
      <c r="V70" s="1751" t="s">
        <v>9693</v>
      </c>
      <c r="W70" s="1751"/>
      <c r="X70" s="1232">
        <v>435518400</v>
      </c>
      <c r="Y70" s="1232" t="s">
        <v>11107</v>
      </c>
    </row>
    <row r="71" spans="1:25" s="1083" customFormat="1" ht="24" customHeight="1">
      <c r="A71" s="1075">
        <v>52</v>
      </c>
      <c r="B71" s="1069"/>
      <c r="C71" s="1069"/>
      <c r="D71" s="1069"/>
      <c r="E71" s="1069" t="s">
        <v>9915</v>
      </c>
      <c r="F71" s="1070"/>
      <c r="G71" s="1069" t="s">
        <v>9065</v>
      </c>
      <c r="H71" s="1069" t="s">
        <v>9065</v>
      </c>
      <c r="I71" s="1069" t="s">
        <v>5411</v>
      </c>
      <c r="J71" s="1069"/>
      <c r="K71" s="1125" t="s">
        <v>16164</v>
      </c>
      <c r="L71" s="1069" t="s">
        <v>5130</v>
      </c>
      <c r="M71" s="1071" t="s">
        <v>5410</v>
      </c>
      <c r="N71" s="1072">
        <v>6512400</v>
      </c>
      <c r="O71" s="1072"/>
      <c r="P71" s="1072" t="s">
        <v>16146</v>
      </c>
      <c r="Q71" s="1073"/>
      <c r="T71" s="1090"/>
      <c r="U71" s="1090"/>
      <c r="V71" s="1751" t="s">
        <v>11069</v>
      </c>
      <c r="W71" s="1751"/>
      <c r="X71" s="1232">
        <v>7350328800</v>
      </c>
      <c r="Y71" s="1232" t="s">
        <v>11107</v>
      </c>
    </row>
    <row r="72" spans="1:25" s="1082" customFormat="1" ht="24" customHeight="1">
      <c r="A72" s="1075">
        <v>53</v>
      </c>
      <c r="B72" s="1075" t="s">
        <v>1595</v>
      </c>
      <c r="C72" s="1075"/>
      <c r="D72" s="1075"/>
      <c r="E72" s="1075" t="s">
        <v>9916</v>
      </c>
      <c r="F72" s="1076"/>
      <c r="G72" s="1075" t="s">
        <v>9065</v>
      </c>
      <c r="H72" s="1075" t="s">
        <v>9065</v>
      </c>
      <c r="I72" s="1075" t="s">
        <v>5413</v>
      </c>
      <c r="J72" s="1075" t="s">
        <v>2186</v>
      </c>
      <c r="K72" s="1075" t="s">
        <v>2185</v>
      </c>
      <c r="L72" s="1075" t="s">
        <v>5130</v>
      </c>
      <c r="M72" s="1077" t="s">
        <v>5412</v>
      </c>
      <c r="N72" s="1078">
        <v>6512400</v>
      </c>
      <c r="O72" s="1078" t="s">
        <v>375</v>
      </c>
      <c r="P72" s="1078"/>
      <c r="Q72" s="1079"/>
      <c r="T72" s="1080"/>
      <c r="U72" s="1080"/>
      <c r="V72" s="1751" t="s">
        <v>10976</v>
      </c>
      <c r="W72" s="1751"/>
      <c r="X72" s="1232">
        <v>280033200</v>
      </c>
      <c r="Y72" s="1232" t="s">
        <v>11107</v>
      </c>
    </row>
    <row r="73" spans="1:25" s="1082" customFormat="1" ht="24" customHeight="1">
      <c r="A73" s="1075">
        <v>54</v>
      </c>
      <c r="B73" s="1075"/>
      <c r="C73" s="1075"/>
      <c r="D73" s="1075"/>
      <c r="E73" s="1075" t="s">
        <v>9917</v>
      </c>
      <c r="F73" s="1076"/>
      <c r="G73" s="1075" t="s">
        <v>9065</v>
      </c>
      <c r="H73" s="1075" t="s">
        <v>9065</v>
      </c>
      <c r="I73" s="1075" t="s">
        <v>5912</v>
      </c>
      <c r="J73" s="1075"/>
      <c r="K73" s="1075"/>
      <c r="L73" s="1075" t="s">
        <v>9888</v>
      </c>
      <c r="M73" s="1077" t="s">
        <v>5911</v>
      </c>
      <c r="N73" s="1078">
        <v>6512400</v>
      </c>
      <c r="O73" s="1078"/>
      <c r="P73" s="1078"/>
      <c r="Q73" s="1086"/>
      <c r="R73" s="1087"/>
      <c r="S73" s="1087"/>
      <c r="T73" s="1080"/>
      <c r="U73" s="1080"/>
      <c r="V73" s="1751" t="s">
        <v>11108</v>
      </c>
      <c r="W73" s="1751"/>
      <c r="X73" s="1232">
        <v>0</v>
      </c>
      <c r="Y73" s="1232" t="s">
        <v>11107</v>
      </c>
    </row>
    <row r="74" spans="1:25" s="1087" customFormat="1" ht="24" customHeight="1">
      <c r="A74" s="1075">
        <v>55</v>
      </c>
      <c r="B74" s="1075"/>
      <c r="C74" s="1075"/>
      <c r="D74" s="1075"/>
      <c r="E74" s="1075" t="s">
        <v>9918</v>
      </c>
      <c r="F74" s="1076"/>
      <c r="G74" s="1075" t="s">
        <v>9065</v>
      </c>
      <c r="H74" s="1075" t="s">
        <v>9065</v>
      </c>
      <c r="I74" s="1075" t="s">
        <v>5914</v>
      </c>
      <c r="J74" s="1075"/>
      <c r="K74" s="1075"/>
      <c r="L74" s="1075" t="s">
        <v>9888</v>
      </c>
      <c r="M74" s="1077" t="s">
        <v>5913</v>
      </c>
      <c r="N74" s="1078">
        <v>6512400</v>
      </c>
      <c r="O74" s="1078"/>
      <c r="P74" s="1078"/>
      <c r="Q74" s="1088"/>
      <c r="T74" s="1080"/>
      <c r="U74" s="1080"/>
      <c r="V74" s="1751" t="s">
        <v>11109</v>
      </c>
      <c r="W74" s="1751"/>
      <c r="X74" s="1232">
        <v>0</v>
      </c>
      <c r="Y74" s="1103" t="s">
        <v>11106</v>
      </c>
    </row>
    <row r="75" spans="1:25" s="1087" customFormat="1" ht="24" customHeight="1">
      <c r="A75" s="1075">
        <v>56</v>
      </c>
      <c r="B75" s="1075" t="s">
        <v>423</v>
      </c>
      <c r="C75" s="1075"/>
      <c r="D75" s="1075"/>
      <c r="E75" s="1075" t="s">
        <v>9919</v>
      </c>
      <c r="F75" s="1076"/>
      <c r="G75" s="1075" t="s">
        <v>9065</v>
      </c>
      <c r="H75" s="1075" t="s">
        <v>9065</v>
      </c>
      <c r="I75" s="1075" t="s">
        <v>5415</v>
      </c>
      <c r="J75" s="1075" t="s">
        <v>12117</v>
      </c>
      <c r="K75" s="1075" t="s">
        <v>12116</v>
      </c>
      <c r="L75" s="1075" t="s">
        <v>5130</v>
      </c>
      <c r="M75" s="1077" t="s">
        <v>5414</v>
      </c>
      <c r="N75" s="1078">
        <v>6512400</v>
      </c>
      <c r="O75" s="1078" t="s">
        <v>375</v>
      </c>
      <c r="P75" s="1078"/>
      <c r="Q75" s="402"/>
      <c r="R75" s="1082"/>
      <c r="S75" s="1082"/>
      <c r="T75" s="1080"/>
      <c r="U75" s="1080"/>
      <c r="V75" s="1751" t="s">
        <v>11070</v>
      </c>
      <c r="W75" s="1751"/>
      <c r="X75" s="1232">
        <f>SUM(X69:X72)</f>
        <v>9071650200</v>
      </c>
      <c r="Y75" s="1103" t="s">
        <v>11106</v>
      </c>
    </row>
    <row r="76" spans="1:25" s="1082" customFormat="1" ht="24" customHeight="1">
      <c r="A76" s="1075">
        <v>57</v>
      </c>
      <c r="B76" s="1075"/>
      <c r="C76" s="1075"/>
      <c r="D76" s="1075"/>
      <c r="E76" s="1075" t="s">
        <v>9922</v>
      </c>
      <c r="F76" s="1076"/>
      <c r="G76" s="1075" t="s">
        <v>9065</v>
      </c>
      <c r="H76" s="1075" t="s">
        <v>9065</v>
      </c>
      <c r="I76" s="1075" t="s">
        <v>5918</v>
      </c>
      <c r="J76" s="1075"/>
      <c r="K76" s="1075"/>
      <c r="L76" s="1075" t="s">
        <v>9888</v>
      </c>
      <c r="M76" s="1077" t="s">
        <v>5917</v>
      </c>
      <c r="N76" s="1078">
        <v>6512400</v>
      </c>
      <c r="O76" s="1078"/>
      <c r="P76" s="1078"/>
      <c r="Q76" s="1079"/>
      <c r="T76" s="1080"/>
      <c r="U76" s="1080"/>
      <c r="V76" s="1994" t="s">
        <v>11071</v>
      </c>
      <c r="W76" s="1995"/>
      <c r="X76" s="1995"/>
      <c r="Y76" s="1996"/>
    </row>
    <row r="77" spans="1:25" s="1082" customFormat="1" ht="24" customHeight="1">
      <c r="A77" s="1075">
        <v>58</v>
      </c>
      <c r="B77" s="1075"/>
      <c r="C77" s="1075"/>
      <c r="D77" s="1075"/>
      <c r="E77" s="1075" t="s">
        <v>9924</v>
      </c>
      <c r="F77" s="1076"/>
      <c r="G77" s="1075" t="s">
        <v>9065</v>
      </c>
      <c r="H77" s="1075" t="s">
        <v>9065</v>
      </c>
      <c r="I77" s="1075" t="s">
        <v>5922</v>
      </c>
      <c r="J77" s="1075"/>
      <c r="K77" s="1075"/>
      <c r="L77" s="1075" t="s">
        <v>9888</v>
      </c>
      <c r="M77" s="1077" t="s">
        <v>5921</v>
      </c>
      <c r="N77" s="1078">
        <v>6512400</v>
      </c>
      <c r="O77" s="1078"/>
      <c r="P77" s="1078"/>
      <c r="Q77" s="1079"/>
      <c r="T77" s="1080"/>
      <c r="U77" s="1080"/>
      <c r="V77" s="1751" t="s">
        <v>11072</v>
      </c>
      <c r="W77" s="1751"/>
      <c r="X77" s="1232">
        <v>18</v>
      </c>
      <c r="Y77" s="1102"/>
    </row>
    <row r="78" spans="1:25" s="1082" customFormat="1" ht="24" customHeight="1">
      <c r="A78" s="1075">
        <v>59</v>
      </c>
      <c r="B78" s="1075"/>
      <c r="C78" s="1075"/>
      <c r="D78" s="1075"/>
      <c r="E78" s="1075" t="s">
        <v>9925</v>
      </c>
      <c r="F78" s="1076"/>
      <c r="G78" s="1075" t="s">
        <v>9065</v>
      </c>
      <c r="H78" s="1075" t="s">
        <v>9065</v>
      </c>
      <c r="I78" s="1075" t="s">
        <v>5924</v>
      </c>
      <c r="J78" s="1075"/>
      <c r="K78" s="1075"/>
      <c r="L78" s="1075" t="s">
        <v>9888</v>
      </c>
      <c r="M78" s="1077" t="s">
        <v>5923</v>
      </c>
      <c r="N78" s="1078">
        <v>6512400</v>
      </c>
      <c r="O78" s="1078"/>
      <c r="P78" s="1078"/>
      <c r="Q78" s="1079"/>
      <c r="T78" s="1080"/>
      <c r="U78" s="1080"/>
      <c r="V78" s="1751" t="s">
        <v>9693</v>
      </c>
      <c r="W78" s="1751"/>
      <c r="X78" s="1232">
        <v>57</v>
      </c>
      <c r="Y78" s="1102"/>
    </row>
    <row r="79" spans="1:25" s="1082" customFormat="1" ht="24" customHeight="1">
      <c r="A79" s="1075">
        <v>60</v>
      </c>
      <c r="B79" s="1075"/>
      <c r="C79" s="1075"/>
      <c r="D79" s="1075"/>
      <c r="E79" s="1075" t="s">
        <v>9930</v>
      </c>
      <c r="F79" s="1076"/>
      <c r="G79" s="1075" t="s">
        <v>9065</v>
      </c>
      <c r="H79" s="1075" t="s">
        <v>9065</v>
      </c>
      <c r="I79" s="1075" t="s">
        <v>5421</v>
      </c>
      <c r="J79" s="1075" t="s">
        <v>15642</v>
      </c>
      <c r="K79" s="1075" t="s">
        <v>15643</v>
      </c>
      <c r="L79" s="1075" t="s">
        <v>5130</v>
      </c>
      <c r="M79" s="1077" t="s">
        <v>5420</v>
      </c>
      <c r="N79" s="1078">
        <v>6512400</v>
      </c>
      <c r="O79" s="1078" t="s">
        <v>375</v>
      </c>
      <c r="P79" s="1078"/>
      <c r="Q79" s="1079"/>
      <c r="T79" s="1080"/>
      <c r="U79" s="1080"/>
      <c r="V79" s="1751" t="s">
        <v>11069</v>
      </c>
      <c r="W79" s="1751"/>
      <c r="X79" s="1232">
        <v>1127</v>
      </c>
      <c r="Y79" s="1102"/>
    </row>
    <row r="80" spans="1:25" s="1082" customFormat="1" ht="24" customHeight="1">
      <c r="A80" s="1075">
        <v>61</v>
      </c>
      <c r="B80" s="1075" t="s">
        <v>2449</v>
      </c>
      <c r="C80" s="1075"/>
      <c r="D80" s="1075"/>
      <c r="E80" s="1075" t="s">
        <v>9931</v>
      </c>
      <c r="F80" s="1076"/>
      <c r="G80" s="1075" t="s">
        <v>9065</v>
      </c>
      <c r="H80" s="1075" t="s">
        <v>9065</v>
      </c>
      <c r="I80" s="1075" t="s">
        <v>5423</v>
      </c>
      <c r="J80" s="1075" t="s">
        <v>15600</v>
      </c>
      <c r="K80" s="1075" t="s">
        <v>15599</v>
      </c>
      <c r="L80" s="1075" t="s">
        <v>5130</v>
      </c>
      <c r="M80" s="1077" t="s">
        <v>5422</v>
      </c>
      <c r="N80" s="1078">
        <v>6512400</v>
      </c>
      <c r="O80" s="1078" t="s">
        <v>375</v>
      </c>
      <c r="P80" s="1078"/>
      <c r="Q80" s="1079"/>
      <c r="T80" s="1080"/>
      <c r="U80" s="1080"/>
      <c r="V80" s="1751" t="s">
        <v>11070</v>
      </c>
      <c r="W80" s="1751"/>
      <c r="X80" s="1104">
        <f>SUM(X77:X79)</f>
        <v>1202</v>
      </c>
      <c r="Y80" s="1102"/>
    </row>
    <row r="81" spans="1:25" s="1082" customFormat="1" ht="24" customHeight="1">
      <c r="A81" s="1075">
        <v>62</v>
      </c>
      <c r="B81" s="1075" t="s">
        <v>423</v>
      </c>
      <c r="C81" s="1075"/>
      <c r="D81" s="1075"/>
      <c r="E81" s="1075" t="s">
        <v>9935</v>
      </c>
      <c r="F81" s="1076"/>
      <c r="G81" s="1075" t="s">
        <v>9065</v>
      </c>
      <c r="H81" s="1075" t="s">
        <v>9065</v>
      </c>
      <c r="I81" s="1075" t="s">
        <v>5425</v>
      </c>
      <c r="J81" s="1075" t="s">
        <v>1094</v>
      </c>
      <c r="K81" s="1075" t="s">
        <v>15871</v>
      </c>
      <c r="L81" s="1075" t="s">
        <v>5130</v>
      </c>
      <c r="M81" s="1077" t="s">
        <v>5424</v>
      </c>
      <c r="N81" s="1078">
        <v>6512400</v>
      </c>
      <c r="O81" s="1078" t="s">
        <v>375</v>
      </c>
      <c r="P81" s="1078"/>
      <c r="Q81" s="1079"/>
      <c r="T81" s="1080"/>
      <c r="U81" s="1080"/>
      <c r="V81" s="1994" t="s">
        <v>11112</v>
      </c>
      <c r="W81" s="1995"/>
      <c r="X81" s="1995"/>
      <c r="Y81" s="1996"/>
    </row>
    <row r="82" spans="1:25" s="1082" customFormat="1" ht="24" customHeight="1">
      <c r="A82" s="1075">
        <v>63</v>
      </c>
      <c r="B82" s="1075"/>
      <c r="C82" s="1075"/>
      <c r="D82" s="1075"/>
      <c r="E82" s="1075" t="s">
        <v>9936</v>
      </c>
      <c r="F82" s="1076"/>
      <c r="G82" s="1075" t="s">
        <v>9065</v>
      </c>
      <c r="H82" s="1075" t="s">
        <v>9065</v>
      </c>
      <c r="I82" s="1075" t="s">
        <v>5938</v>
      </c>
      <c r="J82" s="1075"/>
      <c r="K82" s="1075"/>
      <c r="L82" s="1075" t="s">
        <v>9888</v>
      </c>
      <c r="M82" s="1077" t="s">
        <v>5937</v>
      </c>
      <c r="N82" s="1078">
        <v>6512400</v>
      </c>
      <c r="O82" s="1078"/>
      <c r="P82" s="1078"/>
      <c r="Q82" s="1079"/>
      <c r="V82" s="1751" t="s">
        <v>11075</v>
      </c>
      <c r="W82" s="1751">
        <v>1210</v>
      </c>
      <c r="X82" s="1232" t="s">
        <v>201</v>
      </c>
      <c r="Y82" s="1106" t="s">
        <v>16151</v>
      </c>
    </row>
    <row r="83" spans="1:25" s="1082" customFormat="1" ht="24" customHeight="1">
      <c r="A83" s="1075">
        <v>64</v>
      </c>
      <c r="B83" s="1075"/>
      <c r="C83" s="1075"/>
      <c r="D83" s="1075"/>
      <c r="E83" s="1075" t="s">
        <v>9937</v>
      </c>
      <c r="F83" s="1076"/>
      <c r="G83" s="1075" t="s">
        <v>9065</v>
      </c>
      <c r="H83" s="1075" t="s">
        <v>9065</v>
      </c>
      <c r="I83" s="1075" t="s">
        <v>5940</v>
      </c>
      <c r="J83" s="1075"/>
      <c r="K83" s="1075"/>
      <c r="L83" s="1075" t="s">
        <v>9888</v>
      </c>
      <c r="M83" s="1077" t="s">
        <v>5939</v>
      </c>
      <c r="N83" s="1078">
        <v>6512400</v>
      </c>
      <c r="O83" s="1078"/>
      <c r="P83" s="1078"/>
      <c r="Q83" s="1079"/>
      <c r="V83" s="1751" t="s">
        <v>11076</v>
      </c>
      <c r="W83" s="1751">
        <v>6</v>
      </c>
      <c r="X83" s="1232" t="s">
        <v>205</v>
      </c>
      <c r="Y83" s="1106" t="s">
        <v>16151</v>
      </c>
    </row>
    <row r="84" spans="1:25" s="1082" customFormat="1" ht="24" customHeight="1">
      <c r="A84" s="1075">
        <v>65</v>
      </c>
      <c r="B84" s="1075" t="s">
        <v>4623</v>
      </c>
      <c r="C84" s="1075"/>
      <c r="D84" s="1075"/>
      <c r="E84" s="1075" t="s">
        <v>9938</v>
      </c>
      <c r="F84" s="1076"/>
      <c r="G84" s="1075" t="s">
        <v>9065</v>
      </c>
      <c r="H84" s="1075" t="s">
        <v>9065</v>
      </c>
      <c r="I84" s="1075" t="s">
        <v>5427</v>
      </c>
      <c r="J84" s="1075" t="s">
        <v>2591</v>
      </c>
      <c r="K84" s="1075" t="s">
        <v>2590</v>
      </c>
      <c r="L84" s="1075" t="s">
        <v>5130</v>
      </c>
      <c r="M84" s="1077" t="s">
        <v>5426</v>
      </c>
      <c r="N84" s="1078">
        <v>6512400</v>
      </c>
      <c r="O84" s="1078" t="s">
        <v>375</v>
      </c>
      <c r="P84" s="1078"/>
      <c r="Q84" s="1079"/>
      <c r="V84" s="1751" t="s">
        <v>11077</v>
      </c>
      <c r="W84" s="1751">
        <v>7</v>
      </c>
      <c r="X84" s="1232" t="s">
        <v>199</v>
      </c>
      <c r="Y84" s="1106" t="s">
        <v>16151</v>
      </c>
    </row>
    <row r="85" spans="1:25" s="1082" customFormat="1" ht="24" customHeight="1">
      <c r="A85" s="1075">
        <v>66</v>
      </c>
      <c r="B85" s="1075"/>
      <c r="C85" s="1075"/>
      <c r="D85" s="1075"/>
      <c r="E85" s="1075" t="s">
        <v>9939</v>
      </c>
      <c r="F85" s="1076"/>
      <c r="G85" s="1075" t="s">
        <v>9065</v>
      </c>
      <c r="H85" s="1075" t="s">
        <v>9065</v>
      </c>
      <c r="I85" s="1075" t="s">
        <v>5942</v>
      </c>
      <c r="J85" s="1075"/>
      <c r="K85" s="1075"/>
      <c r="L85" s="1075" t="s">
        <v>9888</v>
      </c>
      <c r="M85" s="1077" t="s">
        <v>5941</v>
      </c>
      <c r="N85" s="1078">
        <v>6512400</v>
      </c>
      <c r="O85" s="1078"/>
      <c r="P85" s="1078"/>
      <c r="Q85" s="1079"/>
      <c r="V85" s="1751" t="s">
        <v>11078</v>
      </c>
      <c r="W85" s="1751">
        <v>8</v>
      </c>
      <c r="X85" s="1232" t="s">
        <v>204</v>
      </c>
      <c r="Y85" s="1106" t="s">
        <v>16151</v>
      </c>
    </row>
    <row r="86" spans="1:25" s="1082" customFormat="1" ht="24" customHeight="1">
      <c r="A86" s="1075">
        <v>67</v>
      </c>
      <c r="B86" s="1075"/>
      <c r="C86" s="1075"/>
      <c r="D86" s="1075"/>
      <c r="E86" s="1075" t="s">
        <v>9940</v>
      </c>
      <c r="F86" s="1076"/>
      <c r="G86" s="1075" t="s">
        <v>9065</v>
      </c>
      <c r="H86" s="1075" t="s">
        <v>9065</v>
      </c>
      <c r="I86" s="1075" t="s">
        <v>5944</v>
      </c>
      <c r="J86" s="1075"/>
      <c r="K86" s="1075"/>
      <c r="L86" s="1075" t="s">
        <v>9888</v>
      </c>
      <c r="M86" s="1077" t="s">
        <v>5943</v>
      </c>
      <c r="N86" s="1078">
        <v>6512400</v>
      </c>
      <c r="O86" s="1078"/>
      <c r="P86" s="1078"/>
      <c r="Q86" s="1079"/>
      <c r="V86" s="1751" t="s">
        <v>11079</v>
      </c>
      <c r="W86" s="1751">
        <v>5</v>
      </c>
      <c r="X86" s="1232" t="s">
        <v>197</v>
      </c>
      <c r="Y86" s="1106" t="s">
        <v>16151</v>
      </c>
    </row>
    <row r="87" spans="1:25" s="1082" customFormat="1" ht="24" customHeight="1">
      <c r="A87" s="1075">
        <v>68</v>
      </c>
      <c r="B87" s="1075"/>
      <c r="C87" s="1075"/>
      <c r="D87" s="1075"/>
      <c r="E87" s="1075" t="s">
        <v>9941</v>
      </c>
      <c r="F87" s="1076"/>
      <c r="G87" s="1075" t="s">
        <v>9065</v>
      </c>
      <c r="H87" s="1075" t="s">
        <v>9065</v>
      </c>
      <c r="I87" s="1075" t="s">
        <v>5946</v>
      </c>
      <c r="J87" s="1075"/>
      <c r="K87" s="1075"/>
      <c r="L87" s="1075" t="s">
        <v>9888</v>
      </c>
      <c r="M87" s="1077" t="s">
        <v>5945</v>
      </c>
      <c r="N87" s="1078">
        <v>6512400</v>
      </c>
      <c r="O87" s="1078"/>
      <c r="P87" s="1078"/>
      <c r="Q87" s="1079"/>
      <c r="V87" s="1751" t="s">
        <v>5142</v>
      </c>
      <c r="W87" s="1751">
        <v>3</v>
      </c>
      <c r="X87" s="1232" t="s">
        <v>4413</v>
      </c>
      <c r="Y87" s="1106" t="s">
        <v>16151</v>
      </c>
    </row>
    <row r="88" spans="1:25" s="1082" customFormat="1" ht="24" customHeight="1">
      <c r="A88" s="1075">
        <v>69</v>
      </c>
      <c r="B88" s="1075"/>
      <c r="C88" s="1075"/>
      <c r="D88" s="1075"/>
      <c r="E88" s="1075" t="s">
        <v>9943</v>
      </c>
      <c r="F88" s="1076"/>
      <c r="G88" s="1075" t="s">
        <v>9065</v>
      </c>
      <c r="H88" s="1075" t="s">
        <v>9065</v>
      </c>
      <c r="I88" s="1075" t="s">
        <v>5948</v>
      </c>
      <c r="J88" s="1075"/>
      <c r="K88" s="1075"/>
      <c r="L88" s="1075" t="s">
        <v>9888</v>
      </c>
      <c r="M88" s="1077" t="s">
        <v>5947</v>
      </c>
      <c r="N88" s="1078">
        <v>6512400</v>
      </c>
      <c r="O88" s="1078"/>
      <c r="P88" s="1078"/>
      <c r="Q88" s="1079"/>
      <c r="V88" s="376" t="s">
        <v>11080</v>
      </c>
      <c r="W88" s="1107">
        <v>2</v>
      </c>
      <c r="X88" s="1106" t="s">
        <v>11073</v>
      </c>
      <c r="Y88" s="376"/>
    </row>
    <row r="89" spans="1:25" s="1082" customFormat="1" ht="24" customHeight="1">
      <c r="A89" s="1075">
        <v>70</v>
      </c>
      <c r="B89" s="1075" t="s">
        <v>423</v>
      </c>
      <c r="C89" s="1075"/>
      <c r="D89" s="1075"/>
      <c r="E89" s="1075" t="s">
        <v>9945</v>
      </c>
      <c r="F89" s="1076"/>
      <c r="G89" s="1075" t="s">
        <v>9065</v>
      </c>
      <c r="H89" s="1075" t="s">
        <v>9065</v>
      </c>
      <c r="I89" s="1075" t="s">
        <v>5952</v>
      </c>
      <c r="J89" s="1075" t="s">
        <v>1088</v>
      </c>
      <c r="K89" s="1075" t="s">
        <v>1087</v>
      </c>
      <c r="L89" s="1075" t="s">
        <v>5130</v>
      </c>
      <c r="M89" s="1077" t="s">
        <v>5951</v>
      </c>
      <c r="N89" s="1078">
        <v>6512400</v>
      </c>
      <c r="O89" s="1078" t="s">
        <v>375</v>
      </c>
      <c r="P89" s="1078"/>
      <c r="Q89" s="1079"/>
      <c r="V89" s="376" t="s">
        <v>11081</v>
      </c>
      <c r="W89" s="1107">
        <v>2</v>
      </c>
      <c r="X89" s="1106" t="s">
        <v>4738</v>
      </c>
      <c r="Y89" s="376"/>
    </row>
    <row r="90" spans="1:25" s="1082" customFormat="1" ht="24" customHeight="1">
      <c r="A90" s="1075">
        <v>71</v>
      </c>
      <c r="B90" s="1075"/>
      <c r="C90" s="1075"/>
      <c r="D90" s="1075"/>
      <c r="E90" s="1075" t="s">
        <v>9948</v>
      </c>
      <c r="F90" s="1076"/>
      <c r="G90" s="1075" t="s">
        <v>9065</v>
      </c>
      <c r="H90" s="1075" t="s">
        <v>9065</v>
      </c>
      <c r="I90" s="1075" t="s">
        <v>5958</v>
      </c>
      <c r="J90" s="1075"/>
      <c r="K90" s="1075"/>
      <c r="L90" s="1075" t="s">
        <v>9888</v>
      </c>
      <c r="M90" s="1077" t="s">
        <v>5957</v>
      </c>
      <c r="N90" s="1078">
        <v>6512400</v>
      </c>
      <c r="O90" s="1078"/>
      <c r="P90" s="1078"/>
      <c r="Q90" s="1079"/>
      <c r="V90" s="376" t="s">
        <v>11081</v>
      </c>
      <c r="W90" s="1107">
        <v>1</v>
      </c>
      <c r="X90" s="1106" t="s">
        <v>11074</v>
      </c>
      <c r="Y90" s="376"/>
    </row>
    <row r="91" spans="1:25" s="1082" customFormat="1" ht="24" customHeight="1">
      <c r="A91" s="1075">
        <v>72</v>
      </c>
      <c r="B91" s="1075"/>
      <c r="C91" s="1075"/>
      <c r="D91" s="1075"/>
      <c r="E91" s="1075" t="s">
        <v>9949</v>
      </c>
      <c r="F91" s="1076"/>
      <c r="G91" s="1075" t="s">
        <v>9065</v>
      </c>
      <c r="H91" s="1075" t="s">
        <v>9065</v>
      </c>
      <c r="I91" s="1075" t="s">
        <v>5960</v>
      </c>
      <c r="J91" s="1075"/>
      <c r="K91" s="1075"/>
      <c r="L91" s="1075" t="s">
        <v>9888</v>
      </c>
      <c r="M91" s="1077" t="s">
        <v>5959</v>
      </c>
      <c r="N91" s="1078">
        <v>6512400</v>
      </c>
      <c r="O91" s="1078"/>
      <c r="P91" s="1078"/>
      <c r="Q91" s="1079"/>
      <c r="V91" s="376" t="s">
        <v>11083</v>
      </c>
      <c r="W91" s="376">
        <v>1246</v>
      </c>
      <c r="X91" s="1106" t="s">
        <v>11082</v>
      </c>
      <c r="Y91" s="1106"/>
    </row>
    <row r="92" spans="1:25" s="1083" customFormat="1" ht="24" customHeight="1">
      <c r="A92" s="1075">
        <v>73</v>
      </c>
      <c r="B92" s="1069"/>
      <c r="C92" s="1069"/>
      <c r="D92" s="1069"/>
      <c r="E92" s="1069" t="s">
        <v>9950</v>
      </c>
      <c r="F92" s="1070"/>
      <c r="G92" s="1069" t="s">
        <v>9065</v>
      </c>
      <c r="H92" s="1069" t="s">
        <v>9065</v>
      </c>
      <c r="I92" s="1069" t="s">
        <v>264</v>
      </c>
      <c r="J92" s="1069"/>
      <c r="K92" s="1125" t="s">
        <v>16167</v>
      </c>
      <c r="L92" s="1069" t="s">
        <v>5130</v>
      </c>
      <c r="M92" s="1071" t="s">
        <v>5430</v>
      </c>
      <c r="N92" s="1072">
        <v>6512400</v>
      </c>
      <c r="O92" s="1072"/>
      <c r="P92" s="1072" t="s">
        <v>16146</v>
      </c>
      <c r="Q92" s="1073"/>
      <c r="T92" s="1082"/>
      <c r="U92" s="1082"/>
      <c r="V92" s="1082"/>
      <c r="W92" s="1082"/>
      <c r="X92" s="1084"/>
      <c r="Y92" s="1081"/>
    </row>
    <row r="93" spans="1:25" s="1083" customFormat="1" ht="24" customHeight="1">
      <c r="A93" s="1075">
        <v>74</v>
      </c>
      <c r="B93" s="1069"/>
      <c r="C93" s="1069"/>
      <c r="D93" s="1069"/>
      <c r="E93" s="1069" t="s">
        <v>9952</v>
      </c>
      <c r="F93" s="1070"/>
      <c r="G93" s="1069" t="s">
        <v>9065</v>
      </c>
      <c r="H93" s="1069" t="s">
        <v>9065</v>
      </c>
      <c r="I93" s="1069" t="s">
        <v>5433</v>
      </c>
      <c r="J93" s="1069"/>
      <c r="K93" s="1125" t="s">
        <v>16168</v>
      </c>
      <c r="L93" s="1069" t="s">
        <v>5130</v>
      </c>
      <c r="M93" s="1071" t="s">
        <v>5432</v>
      </c>
      <c r="N93" s="1072">
        <v>6512400</v>
      </c>
      <c r="O93" s="1072"/>
      <c r="P93" s="1072" t="s">
        <v>16146</v>
      </c>
      <c r="Q93" s="1073"/>
      <c r="T93" s="1082"/>
      <c r="U93" s="1082"/>
      <c r="V93" s="1082"/>
      <c r="W93" s="1082"/>
      <c r="X93" s="1084"/>
      <c r="Y93" s="1082"/>
    </row>
    <row r="94" spans="1:25" s="1082" customFormat="1" ht="24" customHeight="1">
      <c r="A94" s="1075">
        <v>75</v>
      </c>
      <c r="B94" s="1075"/>
      <c r="C94" s="1075"/>
      <c r="D94" s="1075"/>
      <c r="E94" s="1075" t="s">
        <v>9954</v>
      </c>
      <c r="F94" s="1076"/>
      <c r="G94" s="1075" t="s">
        <v>9065</v>
      </c>
      <c r="H94" s="1075" t="s">
        <v>9065</v>
      </c>
      <c r="I94" s="1075" t="s">
        <v>5964</v>
      </c>
      <c r="J94" s="1075"/>
      <c r="K94" s="1075"/>
      <c r="L94" s="1075" t="s">
        <v>9888</v>
      </c>
      <c r="M94" s="1077" t="s">
        <v>5963</v>
      </c>
      <c r="N94" s="1078">
        <v>6512400</v>
      </c>
      <c r="O94" s="1078"/>
      <c r="P94" s="1078"/>
      <c r="Q94" s="1079"/>
      <c r="X94" s="1084"/>
    </row>
    <row r="95" spans="1:25" s="1082" customFormat="1" ht="24" customHeight="1">
      <c r="A95" s="1075">
        <v>76</v>
      </c>
      <c r="B95" s="1075"/>
      <c r="C95" s="1075"/>
      <c r="D95" s="1075"/>
      <c r="E95" s="1075" t="s">
        <v>9955</v>
      </c>
      <c r="F95" s="1076"/>
      <c r="G95" s="1075" t="s">
        <v>9065</v>
      </c>
      <c r="H95" s="1075" t="s">
        <v>9065</v>
      </c>
      <c r="I95" s="1075" t="s">
        <v>5966</v>
      </c>
      <c r="J95" s="1075"/>
      <c r="K95" s="1075"/>
      <c r="L95" s="1075" t="s">
        <v>9888</v>
      </c>
      <c r="M95" s="1077" t="s">
        <v>5965</v>
      </c>
      <c r="N95" s="1078">
        <v>6512400</v>
      </c>
      <c r="O95" s="1078"/>
      <c r="P95" s="1078"/>
      <c r="Q95" s="1079"/>
      <c r="X95" s="1084"/>
    </row>
    <row r="96" spans="1:25" s="1082" customFormat="1" ht="24" customHeight="1">
      <c r="A96" s="1075">
        <v>77</v>
      </c>
      <c r="B96" s="1075"/>
      <c r="C96" s="1075"/>
      <c r="D96" s="1075"/>
      <c r="E96" s="1075" t="s">
        <v>9957</v>
      </c>
      <c r="F96" s="1076"/>
      <c r="G96" s="1075" t="s">
        <v>9065</v>
      </c>
      <c r="H96" s="1075" t="s">
        <v>9065</v>
      </c>
      <c r="I96" s="1075" t="s">
        <v>5970</v>
      </c>
      <c r="J96" s="1075"/>
      <c r="K96" s="1075"/>
      <c r="L96" s="1075" t="s">
        <v>9888</v>
      </c>
      <c r="M96" s="1077" t="s">
        <v>5969</v>
      </c>
      <c r="N96" s="1078">
        <v>6512400</v>
      </c>
      <c r="O96" s="1078"/>
      <c r="P96" s="1078"/>
      <c r="Q96" s="1079"/>
      <c r="X96" s="1084"/>
    </row>
    <row r="97" spans="1:24" s="1082" customFormat="1" ht="24" customHeight="1">
      <c r="A97" s="1075">
        <v>78</v>
      </c>
      <c r="B97" s="1075"/>
      <c r="C97" s="1075"/>
      <c r="D97" s="1075"/>
      <c r="E97" s="1075" t="s">
        <v>9959</v>
      </c>
      <c r="F97" s="1076"/>
      <c r="G97" s="1075" t="s">
        <v>9065</v>
      </c>
      <c r="H97" s="1075" t="s">
        <v>9065</v>
      </c>
      <c r="I97" s="1075" t="s">
        <v>5972</v>
      </c>
      <c r="J97" s="1075"/>
      <c r="K97" s="1075"/>
      <c r="L97" s="1075" t="s">
        <v>9888</v>
      </c>
      <c r="M97" s="1077" t="s">
        <v>5971</v>
      </c>
      <c r="N97" s="1078">
        <v>6512400</v>
      </c>
      <c r="O97" s="1078"/>
      <c r="P97" s="1078"/>
      <c r="Q97" s="1079"/>
      <c r="X97" s="1084"/>
    </row>
    <row r="98" spans="1:24" s="1082" customFormat="1" ht="24" customHeight="1">
      <c r="A98" s="1075">
        <v>79</v>
      </c>
      <c r="B98" s="1075"/>
      <c r="C98" s="1075"/>
      <c r="D98" s="1075"/>
      <c r="E98" s="1075" t="s">
        <v>9960</v>
      </c>
      <c r="F98" s="1076"/>
      <c r="G98" s="1075" t="s">
        <v>9065</v>
      </c>
      <c r="H98" s="1075" t="s">
        <v>9065</v>
      </c>
      <c r="I98" s="1075" t="s">
        <v>5974</v>
      </c>
      <c r="J98" s="1075"/>
      <c r="K98" s="1075"/>
      <c r="L98" s="1075" t="s">
        <v>9888</v>
      </c>
      <c r="M98" s="1077" t="s">
        <v>5973</v>
      </c>
      <c r="N98" s="1078">
        <v>6512400</v>
      </c>
      <c r="O98" s="1078"/>
      <c r="P98" s="1078"/>
      <c r="Q98" s="1079"/>
      <c r="V98" s="1084"/>
    </row>
    <row r="99" spans="1:24" s="1082" customFormat="1" ht="24" customHeight="1">
      <c r="A99" s="1075">
        <v>80</v>
      </c>
      <c r="B99" s="1075"/>
      <c r="C99" s="1075"/>
      <c r="D99" s="1075"/>
      <c r="E99" s="1075" t="s">
        <v>9961</v>
      </c>
      <c r="F99" s="1076"/>
      <c r="G99" s="1075" t="s">
        <v>9065</v>
      </c>
      <c r="H99" s="1075" t="s">
        <v>9065</v>
      </c>
      <c r="I99" s="1075" t="s">
        <v>5976</v>
      </c>
      <c r="J99" s="1075"/>
      <c r="K99" s="1075"/>
      <c r="L99" s="1075" t="s">
        <v>9888</v>
      </c>
      <c r="M99" s="1077" t="s">
        <v>5975</v>
      </c>
      <c r="N99" s="1078">
        <v>6512400</v>
      </c>
      <c r="O99" s="1078"/>
      <c r="P99" s="1078"/>
      <c r="Q99" s="1079"/>
      <c r="V99" s="1084"/>
    </row>
    <row r="100" spans="1:24" s="1082" customFormat="1" ht="24" customHeight="1">
      <c r="A100" s="1075">
        <v>81</v>
      </c>
      <c r="B100" s="1075" t="s">
        <v>423</v>
      </c>
      <c r="C100" s="1075"/>
      <c r="D100" s="1075"/>
      <c r="E100" s="1075" t="s">
        <v>9962</v>
      </c>
      <c r="F100" s="1076"/>
      <c r="G100" s="1075" t="s">
        <v>9065</v>
      </c>
      <c r="H100" s="1075" t="s">
        <v>9065</v>
      </c>
      <c r="I100" s="1075" t="s">
        <v>5437</v>
      </c>
      <c r="J100" s="1075" t="s">
        <v>1417</v>
      </c>
      <c r="K100" s="1075" t="s">
        <v>1416</v>
      </c>
      <c r="L100" s="1075" t="s">
        <v>5130</v>
      </c>
      <c r="M100" s="1077" t="s">
        <v>5436</v>
      </c>
      <c r="N100" s="1078">
        <v>6512400</v>
      </c>
      <c r="O100" s="1078" t="s">
        <v>375</v>
      </c>
      <c r="P100" s="1078"/>
      <c r="Q100" s="1079"/>
      <c r="V100" s="1084"/>
    </row>
    <row r="101" spans="1:24" s="1082" customFormat="1" ht="24" customHeight="1">
      <c r="A101" s="1075">
        <v>82</v>
      </c>
      <c r="B101" s="1075"/>
      <c r="C101" s="1075"/>
      <c r="D101" s="1075"/>
      <c r="E101" s="1075" t="s">
        <v>9963</v>
      </c>
      <c r="F101" s="1076"/>
      <c r="G101" s="1075" t="s">
        <v>9065</v>
      </c>
      <c r="H101" s="1075" t="s">
        <v>9065</v>
      </c>
      <c r="I101" s="1075" t="s">
        <v>5980</v>
      </c>
      <c r="J101" s="1075"/>
      <c r="K101" s="1075"/>
      <c r="L101" s="1075" t="s">
        <v>9888</v>
      </c>
      <c r="M101" s="1077" t="s">
        <v>5979</v>
      </c>
      <c r="N101" s="1078">
        <v>6512400</v>
      </c>
      <c r="O101" s="1078"/>
      <c r="P101" s="1078"/>
      <c r="Q101" s="1079"/>
      <c r="V101" s="1084"/>
    </row>
    <row r="102" spans="1:24" s="1082" customFormat="1" ht="24" customHeight="1">
      <c r="A102" s="1075">
        <v>83</v>
      </c>
      <c r="B102" s="1075"/>
      <c r="C102" s="1075"/>
      <c r="D102" s="1075"/>
      <c r="E102" s="1075" t="s">
        <v>9964</v>
      </c>
      <c r="F102" s="1076"/>
      <c r="G102" s="1075" t="s">
        <v>9065</v>
      </c>
      <c r="H102" s="1075" t="s">
        <v>9065</v>
      </c>
      <c r="I102" s="1075" t="s">
        <v>5982</v>
      </c>
      <c r="J102" s="1075"/>
      <c r="K102" s="1075"/>
      <c r="L102" s="1075" t="s">
        <v>9888</v>
      </c>
      <c r="M102" s="1077" t="s">
        <v>5981</v>
      </c>
      <c r="N102" s="1078">
        <v>6512400</v>
      </c>
      <c r="O102" s="1078"/>
      <c r="P102" s="1078"/>
      <c r="Q102" s="1079"/>
      <c r="V102" s="1084"/>
    </row>
    <row r="103" spans="1:24" s="1082" customFormat="1" ht="24" customHeight="1">
      <c r="A103" s="1075">
        <v>84</v>
      </c>
      <c r="B103" s="1075"/>
      <c r="C103" s="1075"/>
      <c r="D103" s="1075"/>
      <c r="E103" s="1075" t="s">
        <v>9965</v>
      </c>
      <c r="F103" s="1076"/>
      <c r="G103" s="1075" t="s">
        <v>9065</v>
      </c>
      <c r="H103" s="1075" t="s">
        <v>9065</v>
      </c>
      <c r="I103" s="1075" t="s">
        <v>5984</v>
      </c>
      <c r="J103" s="1075"/>
      <c r="K103" s="1075"/>
      <c r="L103" s="1075" t="s">
        <v>9888</v>
      </c>
      <c r="M103" s="1077" t="s">
        <v>5983</v>
      </c>
      <c r="N103" s="1078">
        <v>6512400</v>
      </c>
      <c r="O103" s="1078"/>
      <c r="P103" s="1078"/>
      <c r="Q103" s="1079"/>
      <c r="V103" s="1084"/>
    </row>
    <row r="104" spans="1:24" s="1082" customFormat="1" ht="24" customHeight="1">
      <c r="A104" s="1075">
        <v>85</v>
      </c>
      <c r="B104" s="1075"/>
      <c r="C104" s="1075"/>
      <c r="D104" s="1075"/>
      <c r="E104" s="1075" t="s">
        <v>15872</v>
      </c>
      <c r="F104" s="1076"/>
      <c r="G104" s="1075" t="s">
        <v>9065</v>
      </c>
      <c r="H104" s="1075" t="s">
        <v>9065</v>
      </c>
      <c r="I104" s="1075" t="s">
        <v>5438</v>
      </c>
      <c r="J104" s="1075"/>
      <c r="K104" s="1075"/>
      <c r="L104" s="1075" t="s">
        <v>9888</v>
      </c>
      <c r="M104" s="1077" t="s">
        <v>15873</v>
      </c>
      <c r="N104" s="1078">
        <v>6512400</v>
      </c>
      <c r="O104" s="1078"/>
      <c r="P104" s="1078"/>
      <c r="Q104" s="1079"/>
      <c r="V104" s="1084"/>
    </row>
    <row r="105" spans="1:24" s="1083" customFormat="1" ht="24" customHeight="1">
      <c r="A105" s="1075">
        <v>86</v>
      </c>
      <c r="B105" s="1069"/>
      <c r="C105" s="1069"/>
      <c r="D105" s="1069"/>
      <c r="E105" s="1069" t="s">
        <v>15874</v>
      </c>
      <c r="F105" s="1070"/>
      <c r="G105" s="1069" t="s">
        <v>9065</v>
      </c>
      <c r="H105" s="1069" t="s">
        <v>9065</v>
      </c>
      <c r="I105" s="1069" t="s">
        <v>5439</v>
      </c>
      <c r="J105" s="1069"/>
      <c r="K105" s="1125" t="s">
        <v>16208</v>
      </c>
      <c r="L105" s="1069" t="s">
        <v>5130</v>
      </c>
      <c r="M105" s="1071" t="s">
        <v>15875</v>
      </c>
      <c r="N105" s="1072">
        <v>6512400</v>
      </c>
      <c r="O105" s="1072"/>
      <c r="P105" s="1072" t="s">
        <v>16146</v>
      </c>
      <c r="Q105" s="1073"/>
      <c r="V105" s="1085"/>
    </row>
    <row r="106" spans="1:24" s="1082" customFormat="1" ht="24" customHeight="1">
      <c r="A106" s="1075">
        <v>87</v>
      </c>
      <c r="B106" s="1075"/>
      <c r="C106" s="1075"/>
      <c r="D106" s="1075"/>
      <c r="E106" s="1075" t="s">
        <v>9968</v>
      </c>
      <c r="F106" s="1076"/>
      <c r="G106" s="1075" t="s">
        <v>9065</v>
      </c>
      <c r="H106" s="1075" t="s">
        <v>9065</v>
      </c>
      <c r="I106" s="1075" t="s">
        <v>5986</v>
      </c>
      <c r="J106" s="1075"/>
      <c r="K106" s="1075"/>
      <c r="L106" s="1075" t="s">
        <v>9888</v>
      </c>
      <c r="M106" s="1077" t="s">
        <v>5985</v>
      </c>
      <c r="N106" s="1078">
        <v>6512400</v>
      </c>
      <c r="O106" s="1078"/>
      <c r="P106" s="1078"/>
      <c r="Q106" s="1079"/>
      <c r="V106" s="1084"/>
    </row>
    <row r="107" spans="1:24" s="1082" customFormat="1" ht="24" customHeight="1">
      <c r="A107" s="1075">
        <v>88</v>
      </c>
      <c r="B107" s="1075"/>
      <c r="C107" s="1075"/>
      <c r="D107" s="1075"/>
      <c r="E107" s="1075" t="s">
        <v>9969</v>
      </c>
      <c r="F107" s="1076"/>
      <c r="G107" s="1075" t="s">
        <v>9065</v>
      </c>
      <c r="H107" s="1075" t="s">
        <v>9065</v>
      </c>
      <c r="I107" s="1075" t="s">
        <v>5988</v>
      </c>
      <c r="J107" s="1075"/>
      <c r="K107" s="1075"/>
      <c r="L107" s="1075" t="s">
        <v>9888</v>
      </c>
      <c r="M107" s="1077" t="s">
        <v>5987</v>
      </c>
      <c r="N107" s="1078">
        <v>6512400</v>
      </c>
      <c r="O107" s="1078"/>
      <c r="P107" s="1078"/>
      <c r="Q107" s="1079"/>
      <c r="V107" s="1084"/>
    </row>
    <row r="108" spans="1:24" s="1082" customFormat="1" ht="24" customHeight="1">
      <c r="A108" s="1075">
        <v>89</v>
      </c>
      <c r="B108" s="1075"/>
      <c r="C108" s="1075"/>
      <c r="D108" s="1075"/>
      <c r="E108" s="1075" t="s">
        <v>9970</v>
      </c>
      <c r="F108" s="1076"/>
      <c r="G108" s="1075" t="s">
        <v>9065</v>
      </c>
      <c r="H108" s="1075" t="s">
        <v>9065</v>
      </c>
      <c r="I108" s="1075" t="s">
        <v>5990</v>
      </c>
      <c r="J108" s="1075"/>
      <c r="K108" s="1075"/>
      <c r="L108" s="1075" t="s">
        <v>9888</v>
      </c>
      <c r="M108" s="1077" t="s">
        <v>5989</v>
      </c>
      <c r="N108" s="1078">
        <v>6512400</v>
      </c>
      <c r="O108" s="1078"/>
      <c r="P108" s="1078"/>
      <c r="Q108" s="1079"/>
      <c r="V108" s="1084"/>
    </row>
    <row r="109" spans="1:24" s="1082" customFormat="1" ht="24" customHeight="1">
      <c r="A109" s="1075">
        <v>90</v>
      </c>
      <c r="B109" s="1075"/>
      <c r="C109" s="1075"/>
      <c r="D109" s="1075"/>
      <c r="E109" s="1075" t="s">
        <v>9971</v>
      </c>
      <c r="F109" s="1076"/>
      <c r="G109" s="1075" t="s">
        <v>9065</v>
      </c>
      <c r="H109" s="1075" t="s">
        <v>9065</v>
      </c>
      <c r="I109" s="1075" t="s">
        <v>5992</v>
      </c>
      <c r="J109" s="1075"/>
      <c r="K109" s="1075"/>
      <c r="L109" s="1075" t="s">
        <v>9888</v>
      </c>
      <c r="M109" s="1077" t="s">
        <v>5991</v>
      </c>
      <c r="N109" s="1078">
        <v>6512400</v>
      </c>
      <c r="O109" s="1078"/>
      <c r="P109" s="1078"/>
      <c r="Q109" s="1079"/>
      <c r="V109" s="1084"/>
    </row>
    <row r="110" spans="1:24" s="1082" customFormat="1" ht="24" customHeight="1">
      <c r="A110" s="1075">
        <v>91</v>
      </c>
      <c r="B110" s="1075"/>
      <c r="C110" s="1075"/>
      <c r="D110" s="1075"/>
      <c r="E110" s="1075" t="s">
        <v>9972</v>
      </c>
      <c r="F110" s="1076"/>
      <c r="G110" s="1075" t="s">
        <v>9065</v>
      </c>
      <c r="H110" s="1075" t="s">
        <v>9065</v>
      </c>
      <c r="I110" s="1075" t="s">
        <v>5994</v>
      </c>
      <c r="J110" s="1075"/>
      <c r="K110" s="1075"/>
      <c r="L110" s="1075" t="s">
        <v>9888</v>
      </c>
      <c r="M110" s="1077" t="s">
        <v>5993</v>
      </c>
      <c r="N110" s="1078">
        <v>6512400</v>
      </c>
      <c r="O110" s="1078"/>
      <c r="P110" s="1078"/>
      <c r="Q110" s="1079"/>
      <c r="V110" s="1084"/>
    </row>
    <row r="111" spans="1:24" s="1082" customFormat="1" ht="24" customHeight="1">
      <c r="A111" s="1075">
        <v>92</v>
      </c>
      <c r="B111" s="1075"/>
      <c r="C111" s="1075"/>
      <c r="D111" s="1075"/>
      <c r="E111" s="1075" t="s">
        <v>9973</v>
      </c>
      <c r="F111" s="1076"/>
      <c r="G111" s="1075" t="s">
        <v>9065</v>
      </c>
      <c r="H111" s="1075" t="s">
        <v>9065</v>
      </c>
      <c r="I111" s="1075" t="s">
        <v>5996</v>
      </c>
      <c r="J111" s="1075"/>
      <c r="K111" s="1075"/>
      <c r="L111" s="1075" t="s">
        <v>9888</v>
      </c>
      <c r="M111" s="1077" t="s">
        <v>5995</v>
      </c>
      <c r="N111" s="1078">
        <v>6512400</v>
      </c>
      <c r="O111" s="1078"/>
      <c r="P111" s="1078"/>
      <c r="Q111" s="1079"/>
      <c r="V111" s="1084"/>
    </row>
    <row r="112" spans="1:24" s="1082" customFormat="1" ht="24" customHeight="1">
      <c r="A112" s="1075">
        <v>93</v>
      </c>
      <c r="B112" s="376" t="s">
        <v>1595</v>
      </c>
      <c r="C112" s="376"/>
      <c r="D112" s="376"/>
      <c r="E112" s="1075" t="s">
        <v>9974</v>
      </c>
      <c r="F112" s="1076"/>
      <c r="G112" s="1075" t="s">
        <v>9065</v>
      </c>
      <c r="H112" s="1075" t="s">
        <v>9065</v>
      </c>
      <c r="I112" s="1075" t="s">
        <v>5441</v>
      </c>
      <c r="J112" s="1075" t="s">
        <v>2169</v>
      </c>
      <c r="K112" s="1075" t="s">
        <v>15876</v>
      </c>
      <c r="L112" s="1075" t="s">
        <v>5130</v>
      </c>
      <c r="M112" s="1077" t="s">
        <v>5440</v>
      </c>
      <c r="N112" s="1078">
        <v>6512400</v>
      </c>
      <c r="O112" s="1078" t="s">
        <v>375</v>
      </c>
      <c r="P112" s="1078"/>
      <c r="Q112" s="1079"/>
      <c r="V112" s="1084"/>
    </row>
    <row r="113" spans="1:22" s="1082" customFormat="1" ht="24" customHeight="1">
      <c r="A113" s="1075">
        <v>94</v>
      </c>
      <c r="B113" s="1075" t="s">
        <v>1604</v>
      </c>
      <c r="C113" s="1075"/>
      <c r="D113" s="1075"/>
      <c r="E113" s="1075" t="s">
        <v>9976</v>
      </c>
      <c r="F113" s="1076"/>
      <c r="G113" s="1075" t="s">
        <v>9065</v>
      </c>
      <c r="H113" s="1075" t="s">
        <v>9065</v>
      </c>
      <c r="I113" s="1075" t="s">
        <v>5443</v>
      </c>
      <c r="J113" s="1075" t="s">
        <v>2321</v>
      </c>
      <c r="K113" s="1075" t="s">
        <v>2320</v>
      </c>
      <c r="L113" s="1075" t="s">
        <v>5130</v>
      </c>
      <c r="M113" s="1077" t="s">
        <v>5442</v>
      </c>
      <c r="N113" s="1078">
        <v>6512400</v>
      </c>
      <c r="O113" s="1078" t="s">
        <v>375</v>
      </c>
      <c r="P113" s="1078"/>
      <c r="Q113" s="1079"/>
      <c r="V113" s="1084"/>
    </row>
    <row r="114" spans="1:22" s="1082" customFormat="1" ht="24" customHeight="1">
      <c r="A114" s="1075">
        <v>95</v>
      </c>
      <c r="B114" s="376" t="s">
        <v>1595</v>
      </c>
      <c r="C114" s="376"/>
      <c r="D114" s="376"/>
      <c r="E114" s="1075" t="s">
        <v>9977</v>
      </c>
      <c r="F114" s="1076"/>
      <c r="G114" s="1075" t="s">
        <v>9065</v>
      </c>
      <c r="H114" s="1075" t="s">
        <v>9065</v>
      </c>
      <c r="I114" s="1075" t="s">
        <v>5445</v>
      </c>
      <c r="J114" s="1075" t="s">
        <v>2150</v>
      </c>
      <c r="K114" s="1075" t="s">
        <v>2149</v>
      </c>
      <c r="L114" s="1075" t="s">
        <v>5130</v>
      </c>
      <c r="M114" s="1077" t="s">
        <v>5444</v>
      </c>
      <c r="N114" s="1078">
        <v>6512400</v>
      </c>
      <c r="O114" s="1078" t="s">
        <v>375</v>
      </c>
      <c r="P114" s="1078" t="s">
        <v>1138</v>
      </c>
      <c r="Q114" s="1079"/>
      <c r="V114" s="1084"/>
    </row>
    <row r="115" spans="1:22" s="1082" customFormat="1" ht="24" customHeight="1">
      <c r="A115" s="1075">
        <v>96</v>
      </c>
      <c r="B115" s="1075" t="s">
        <v>423</v>
      </c>
      <c r="C115" s="1075"/>
      <c r="D115" s="1075"/>
      <c r="E115" s="1075" t="s">
        <v>9978</v>
      </c>
      <c r="F115" s="1076"/>
      <c r="G115" s="1075" t="s">
        <v>9065</v>
      </c>
      <c r="H115" s="1075" t="s">
        <v>9065</v>
      </c>
      <c r="I115" s="1075" t="s">
        <v>5447</v>
      </c>
      <c r="J115" s="1075" t="s">
        <v>1462</v>
      </c>
      <c r="K115" s="1075" t="s">
        <v>1461</v>
      </c>
      <c r="L115" s="1075" t="s">
        <v>5130</v>
      </c>
      <c r="M115" s="1077" t="s">
        <v>5446</v>
      </c>
      <c r="N115" s="1078">
        <v>6512400</v>
      </c>
      <c r="O115" s="1078" t="s">
        <v>375</v>
      </c>
      <c r="P115" s="1078"/>
      <c r="Q115" s="1079"/>
      <c r="V115" s="1084"/>
    </row>
    <row r="116" spans="1:22" s="1082" customFormat="1" ht="24" customHeight="1">
      <c r="A116" s="1075">
        <v>97</v>
      </c>
      <c r="B116" s="1075"/>
      <c r="C116" s="1075"/>
      <c r="D116" s="1075"/>
      <c r="E116" s="1075" t="s">
        <v>15877</v>
      </c>
      <c r="F116" s="1076"/>
      <c r="G116" s="1075" t="s">
        <v>9065</v>
      </c>
      <c r="H116" s="1075" t="s">
        <v>9065</v>
      </c>
      <c r="I116" s="1075" t="s">
        <v>5450</v>
      </c>
      <c r="J116" s="1075"/>
      <c r="K116" s="1075"/>
      <c r="L116" s="1075" t="s">
        <v>9888</v>
      </c>
      <c r="M116" s="1077" t="s">
        <v>15878</v>
      </c>
      <c r="N116" s="1078">
        <v>6512400</v>
      </c>
      <c r="O116" s="1078"/>
      <c r="P116" s="1078"/>
      <c r="Q116" s="1079"/>
      <c r="V116" s="1084"/>
    </row>
    <row r="117" spans="1:22" s="1082" customFormat="1" ht="24" customHeight="1">
      <c r="A117" s="1075">
        <v>98</v>
      </c>
      <c r="B117" s="376" t="s">
        <v>1595</v>
      </c>
      <c r="C117" s="376"/>
      <c r="D117" s="376"/>
      <c r="E117" s="1075" t="s">
        <v>9982</v>
      </c>
      <c r="F117" s="1076"/>
      <c r="G117" s="1075" t="s">
        <v>9065</v>
      </c>
      <c r="H117" s="1075" t="s">
        <v>9065</v>
      </c>
      <c r="I117" s="1075" t="s">
        <v>5452</v>
      </c>
      <c r="J117" s="1075" t="s">
        <v>2219</v>
      </c>
      <c r="K117" s="1075" t="s">
        <v>2218</v>
      </c>
      <c r="L117" s="1075" t="s">
        <v>5130</v>
      </c>
      <c r="M117" s="1077" t="s">
        <v>5451</v>
      </c>
      <c r="N117" s="1078">
        <v>6512400</v>
      </c>
      <c r="O117" s="1078" t="s">
        <v>375</v>
      </c>
      <c r="P117" s="1078"/>
      <c r="Q117" s="1079"/>
      <c r="V117" s="1084"/>
    </row>
    <row r="118" spans="1:22" s="1082" customFormat="1" ht="24" customHeight="1">
      <c r="A118" s="1075">
        <v>99</v>
      </c>
      <c r="B118" s="1075" t="s">
        <v>2476</v>
      </c>
      <c r="C118" s="1075"/>
      <c r="D118" s="1075"/>
      <c r="E118" s="1075" t="s">
        <v>15879</v>
      </c>
      <c r="F118" s="1076"/>
      <c r="G118" s="1075" t="s">
        <v>9065</v>
      </c>
      <c r="H118" s="1075" t="s">
        <v>9065</v>
      </c>
      <c r="I118" s="1075" t="s">
        <v>5453</v>
      </c>
      <c r="J118" s="1075" t="s">
        <v>16143</v>
      </c>
      <c r="K118" s="1075" t="s">
        <v>16142</v>
      </c>
      <c r="L118" s="1075" t="s">
        <v>5130</v>
      </c>
      <c r="M118" s="1077" t="s">
        <v>15880</v>
      </c>
      <c r="N118" s="1078">
        <v>6512400</v>
      </c>
      <c r="O118" s="1078" t="s">
        <v>375</v>
      </c>
      <c r="P118" s="1078"/>
      <c r="Q118" s="1079"/>
      <c r="V118" s="1084"/>
    </row>
    <row r="119" spans="1:22" s="1082" customFormat="1" ht="24" customHeight="1">
      <c r="A119" s="1075">
        <v>100</v>
      </c>
      <c r="B119" s="1075" t="s">
        <v>2969</v>
      </c>
      <c r="C119" s="1075"/>
      <c r="D119" s="1075"/>
      <c r="E119" s="1075" t="s">
        <v>15881</v>
      </c>
      <c r="F119" s="1076"/>
      <c r="G119" s="1075" t="s">
        <v>9065</v>
      </c>
      <c r="H119" s="1075" t="s">
        <v>9065</v>
      </c>
      <c r="I119" s="1075" t="s">
        <v>5454</v>
      </c>
      <c r="J119" s="1075" t="s">
        <v>16140</v>
      </c>
      <c r="K119" s="1075" t="s">
        <v>16139</v>
      </c>
      <c r="L119" s="1075" t="s">
        <v>5130</v>
      </c>
      <c r="M119" s="1077" t="s">
        <v>15882</v>
      </c>
      <c r="N119" s="1078">
        <v>6512400</v>
      </c>
      <c r="O119" s="1078" t="s">
        <v>375</v>
      </c>
      <c r="P119" s="1078"/>
      <c r="Q119" s="1079"/>
      <c r="V119" s="1084"/>
    </row>
    <row r="120" spans="1:22" s="1082" customFormat="1" ht="24" customHeight="1">
      <c r="A120" s="1075">
        <v>101</v>
      </c>
      <c r="B120" s="1075"/>
      <c r="C120" s="1075"/>
      <c r="D120" s="1075"/>
      <c r="E120" s="1075" t="s">
        <v>9985</v>
      </c>
      <c r="F120" s="1076"/>
      <c r="G120" s="1075" t="s">
        <v>9065</v>
      </c>
      <c r="H120" s="1075" t="s">
        <v>9065</v>
      </c>
      <c r="I120" s="1075" t="s">
        <v>6000</v>
      </c>
      <c r="J120" s="1075"/>
      <c r="K120" s="1075"/>
      <c r="L120" s="1075" t="s">
        <v>9888</v>
      </c>
      <c r="M120" s="1077" t="s">
        <v>5999</v>
      </c>
      <c r="N120" s="1078">
        <v>6512400</v>
      </c>
      <c r="O120" s="1078"/>
      <c r="P120" s="1078"/>
      <c r="Q120" s="1079"/>
      <c r="V120" s="1084"/>
    </row>
    <row r="121" spans="1:22" s="1082" customFormat="1" ht="24" customHeight="1">
      <c r="A121" s="1075">
        <v>102</v>
      </c>
      <c r="B121" s="1075"/>
      <c r="C121" s="1075"/>
      <c r="D121" s="1075"/>
      <c r="E121" s="1075" t="s">
        <v>9986</v>
      </c>
      <c r="F121" s="1076"/>
      <c r="G121" s="1075" t="s">
        <v>9065</v>
      </c>
      <c r="H121" s="1075" t="s">
        <v>9065</v>
      </c>
      <c r="I121" s="1075" t="s">
        <v>6002</v>
      </c>
      <c r="J121" s="1075"/>
      <c r="K121" s="1075"/>
      <c r="L121" s="1075" t="s">
        <v>9888</v>
      </c>
      <c r="M121" s="1077" t="s">
        <v>6001</v>
      </c>
      <c r="N121" s="1078">
        <v>6512400</v>
      </c>
      <c r="O121" s="1078"/>
      <c r="P121" s="1078"/>
      <c r="Q121" s="1079"/>
      <c r="V121" s="1084"/>
    </row>
    <row r="122" spans="1:22" s="1082" customFormat="1" ht="24" customHeight="1">
      <c r="A122" s="1075">
        <v>103</v>
      </c>
      <c r="B122" s="1075" t="s">
        <v>423</v>
      </c>
      <c r="C122" s="1075"/>
      <c r="D122" s="1075"/>
      <c r="E122" s="1075" t="s">
        <v>9987</v>
      </c>
      <c r="F122" s="1076"/>
      <c r="G122" s="1075" t="s">
        <v>9065</v>
      </c>
      <c r="H122" s="1075" t="s">
        <v>9065</v>
      </c>
      <c r="I122" s="1075" t="s">
        <v>5456</v>
      </c>
      <c r="J122" s="1075" t="s">
        <v>1093</v>
      </c>
      <c r="K122" s="1075" t="s">
        <v>1092</v>
      </c>
      <c r="L122" s="1075" t="s">
        <v>5130</v>
      </c>
      <c r="M122" s="1077" t="s">
        <v>5455</v>
      </c>
      <c r="N122" s="1078">
        <v>6512400</v>
      </c>
      <c r="O122" s="1078" t="s">
        <v>375</v>
      </c>
      <c r="P122" s="1078"/>
      <c r="Q122" s="1079"/>
      <c r="V122" s="1084"/>
    </row>
    <row r="123" spans="1:22" s="1082" customFormat="1" ht="24" customHeight="1">
      <c r="A123" s="1075">
        <v>104</v>
      </c>
      <c r="B123" s="1075"/>
      <c r="C123" s="1075"/>
      <c r="D123" s="1075"/>
      <c r="E123" s="1075" t="s">
        <v>9988</v>
      </c>
      <c r="F123" s="1076"/>
      <c r="G123" s="1075" t="s">
        <v>9065</v>
      </c>
      <c r="H123" s="1075" t="s">
        <v>9065</v>
      </c>
      <c r="I123" s="1075" t="s">
        <v>6004</v>
      </c>
      <c r="J123" s="1075"/>
      <c r="K123" s="1075"/>
      <c r="L123" s="1075" t="s">
        <v>9888</v>
      </c>
      <c r="M123" s="1077" t="s">
        <v>6003</v>
      </c>
      <c r="N123" s="1078">
        <v>6512400</v>
      </c>
      <c r="O123" s="1078"/>
      <c r="P123" s="1078"/>
      <c r="Q123" s="1079"/>
      <c r="V123" s="1084"/>
    </row>
    <row r="124" spans="1:22" s="1082" customFormat="1" ht="24" customHeight="1">
      <c r="A124" s="1075">
        <v>105</v>
      </c>
      <c r="B124" s="1075"/>
      <c r="C124" s="1075"/>
      <c r="D124" s="1075"/>
      <c r="E124" s="1075" t="s">
        <v>9989</v>
      </c>
      <c r="F124" s="1076"/>
      <c r="G124" s="1075" t="s">
        <v>9065</v>
      </c>
      <c r="H124" s="1075" t="s">
        <v>9065</v>
      </c>
      <c r="I124" s="1075" t="s">
        <v>6006</v>
      </c>
      <c r="J124" s="1075"/>
      <c r="K124" s="1075"/>
      <c r="L124" s="1075" t="s">
        <v>9888</v>
      </c>
      <c r="M124" s="1077" t="s">
        <v>6005</v>
      </c>
      <c r="N124" s="1078">
        <v>6512400</v>
      </c>
      <c r="O124" s="1078"/>
      <c r="P124" s="1078"/>
      <c r="Q124" s="1079"/>
      <c r="V124" s="1084"/>
    </row>
    <row r="125" spans="1:22" s="1082" customFormat="1" ht="24" customHeight="1">
      <c r="A125" s="1075">
        <v>106</v>
      </c>
      <c r="B125" s="1075"/>
      <c r="C125" s="1075"/>
      <c r="D125" s="1075"/>
      <c r="E125" s="1075" t="s">
        <v>9990</v>
      </c>
      <c r="F125" s="1076"/>
      <c r="G125" s="1075" t="s">
        <v>9065</v>
      </c>
      <c r="H125" s="1075" t="s">
        <v>9065</v>
      </c>
      <c r="I125" s="1075" t="s">
        <v>6008</v>
      </c>
      <c r="J125" s="1075"/>
      <c r="K125" s="1075"/>
      <c r="L125" s="1075" t="s">
        <v>9888</v>
      </c>
      <c r="M125" s="1077" t="s">
        <v>6007</v>
      </c>
      <c r="N125" s="1078">
        <v>6512400</v>
      </c>
      <c r="O125" s="1078"/>
      <c r="P125" s="1078"/>
      <c r="Q125" s="1079"/>
      <c r="V125" s="1084"/>
    </row>
    <row r="126" spans="1:22" s="1082" customFormat="1" ht="24" customHeight="1">
      <c r="A126" s="1075">
        <v>107</v>
      </c>
      <c r="B126" s="1075" t="s">
        <v>423</v>
      </c>
      <c r="C126" s="1075"/>
      <c r="D126" s="1075"/>
      <c r="E126" s="1075" t="s">
        <v>9991</v>
      </c>
      <c r="F126" s="1076"/>
      <c r="G126" s="1075" t="s">
        <v>9065</v>
      </c>
      <c r="H126" s="1075" t="s">
        <v>9065</v>
      </c>
      <c r="I126" s="1075" t="s">
        <v>5458</v>
      </c>
      <c r="J126" s="1075" t="s">
        <v>1234</v>
      </c>
      <c r="K126" s="1075" t="s">
        <v>15883</v>
      </c>
      <c r="L126" s="1075" t="s">
        <v>5130</v>
      </c>
      <c r="M126" s="1077" t="s">
        <v>5457</v>
      </c>
      <c r="N126" s="1078">
        <v>6512400</v>
      </c>
      <c r="O126" s="1078" t="s">
        <v>375</v>
      </c>
      <c r="P126" s="1078"/>
      <c r="Q126" s="1079"/>
      <c r="V126" s="1084"/>
    </row>
    <row r="127" spans="1:22" s="1082" customFormat="1" ht="24" customHeight="1">
      <c r="A127" s="1075">
        <v>108</v>
      </c>
      <c r="B127" s="1075"/>
      <c r="C127" s="1075"/>
      <c r="D127" s="1075"/>
      <c r="E127" s="1075" t="s">
        <v>9992</v>
      </c>
      <c r="F127" s="1076"/>
      <c r="G127" s="1075" t="s">
        <v>9065</v>
      </c>
      <c r="H127" s="1075" t="s">
        <v>9065</v>
      </c>
      <c r="I127" s="1075" t="s">
        <v>6010</v>
      </c>
      <c r="J127" s="1075"/>
      <c r="K127" s="1075"/>
      <c r="L127" s="1075" t="s">
        <v>9888</v>
      </c>
      <c r="M127" s="1077" t="s">
        <v>6009</v>
      </c>
      <c r="N127" s="1078">
        <v>6512400</v>
      </c>
      <c r="O127" s="1078"/>
      <c r="P127" s="1078"/>
      <c r="Q127" s="1079"/>
      <c r="V127" s="1084"/>
    </row>
    <row r="128" spans="1:22" s="1082" customFormat="1" ht="24" customHeight="1">
      <c r="A128" s="1075">
        <v>109</v>
      </c>
      <c r="B128" s="1075"/>
      <c r="C128" s="1075"/>
      <c r="D128" s="1075"/>
      <c r="E128" s="1075" t="s">
        <v>9993</v>
      </c>
      <c r="F128" s="1076"/>
      <c r="G128" s="1075" t="s">
        <v>9065</v>
      </c>
      <c r="H128" s="1075" t="s">
        <v>9065</v>
      </c>
      <c r="I128" s="1075" t="s">
        <v>6012</v>
      </c>
      <c r="J128" s="1075"/>
      <c r="K128" s="1075"/>
      <c r="L128" s="1075" t="s">
        <v>9888</v>
      </c>
      <c r="M128" s="1077" t="s">
        <v>6011</v>
      </c>
      <c r="N128" s="1078">
        <v>6512400</v>
      </c>
      <c r="O128" s="1078"/>
      <c r="P128" s="1078"/>
      <c r="Q128" s="1079"/>
      <c r="V128" s="1084"/>
    </row>
    <row r="129" spans="1:22" s="1082" customFormat="1" ht="24" customHeight="1">
      <c r="A129" s="1075">
        <v>110</v>
      </c>
      <c r="B129" s="1075"/>
      <c r="C129" s="1075"/>
      <c r="D129" s="1075"/>
      <c r="E129" s="1075" t="s">
        <v>9994</v>
      </c>
      <c r="F129" s="1076"/>
      <c r="G129" s="1075" t="s">
        <v>9065</v>
      </c>
      <c r="H129" s="1075" t="s">
        <v>9065</v>
      </c>
      <c r="I129" s="1075" t="s">
        <v>6014</v>
      </c>
      <c r="J129" s="1075"/>
      <c r="K129" s="1075"/>
      <c r="L129" s="1075" t="s">
        <v>9888</v>
      </c>
      <c r="M129" s="1077" t="s">
        <v>6013</v>
      </c>
      <c r="N129" s="1078">
        <v>6512400</v>
      </c>
      <c r="O129" s="1078"/>
      <c r="P129" s="1078"/>
      <c r="Q129" s="1079"/>
      <c r="V129" s="1084"/>
    </row>
    <row r="130" spans="1:22" s="1082" customFormat="1" ht="24" customHeight="1">
      <c r="A130" s="1075">
        <v>111</v>
      </c>
      <c r="B130" s="1075"/>
      <c r="C130" s="1075"/>
      <c r="D130" s="1075"/>
      <c r="E130" s="1075" t="s">
        <v>9995</v>
      </c>
      <c r="F130" s="1076"/>
      <c r="G130" s="1075" t="s">
        <v>9065</v>
      </c>
      <c r="H130" s="1075" t="s">
        <v>9065</v>
      </c>
      <c r="I130" s="1075" t="s">
        <v>6016</v>
      </c>
      <c r="J130" s="1075"/>
      <c r="K130" s="1075"/>
      <c r="L130" s="1075" t="s">
        <v>9888</v>
      </c>
      <c r="M130" s="1077" t="s">
        <v>6015</v>
      </c>
      <c r="N130" s="1078">
        <v>6512400</v>
      </c>
      <c r="O130" s="1078"/>
      <c r="P130" s="1078"/>
      <c r="Q130" s="1079"/>
      <c r="V130" s="1084"/>
    </row>
    <row r="131" spans="1:22" s="1082" customFormat="1" ht="24" customHeight="1">
      <c r="A131" s="1075">
        <v>112</v>
      </c>
      <c r="B131" s="1075"/>
      <c r="C131" s="1075"/>
      <c r="D131" s="1075"/>
      <c r="E131" s="1075" t="s">
        <v>9996</v>
      </c>
      <c r="F131" s="1076"/>
      <c r="G131" s="1075" t="s">
        <v>9065</v>
      </c>
      <c r="H131" s="1075" t="s">
        <v>9065</v>
      </c>
      <c r="I131" s="1075" t="s">
        <v>6018</v>
      </c>
      <c r="J131" s="1075"/>
      <c r="K131" s="1075"/>
      <c r="L131" s="1075" t="s">
        <v>9888</v>
      </c>
      <c r="M131" s="1077" t="s">
        <v>6017</v>
      </c>
      <c r="N131" s="1078">
        <v>6512400</v>
      </c>
      <c r="O131" s="1078"/>
      <c r="P131" s="1078"/>
      <c r="Q131" s="1079"/>
      <c r="V131" s="1084"/>
    </row>
    <row r="132" spans="1:22" s="1082" customFormat="1" ht="24" customHeight="1">
      <c r="A132" s="1075">
        <v>113</v>
      </c>
      <c r="B132" s="1075" t="s">
        <v>1592</v>
      </c>
      <c r="C132" s="1075"/>
      <c r="D132" s="1075"/>
      <c r="E132" s="1075" t="s">
        <v>9997</v>
      </c>
      <c r="F132" s="1076"/>
      <c r="G132" s="1075" t="s">
        <v>9065</v>
      </c>
      <c r="H132" s="1075" t="s">
        <v>9065</v>
      </c>
      <c r="I132" s="1075" t="s">
        <v>5460</v>
      </c>
      <c r="J132" s="1075" t="s">
        <v>1667</v>
      </c>
      <c r="K132" s="1075" t="s">
        <v>1666</v>
      </c>
      <c r="L132" s="1075" t="s">
        <v>5130</v>
      </c>
      <c r="M132" s="1077" t="s">
        <v>5459</v>
      </c>
      <c r="N132" s="1078">
        <v>6512400</v>
      </c>
      <c r="O132" s="1078" t="s">
        <v>375</v>
      </c>
      <c r="P132" s="1078"/>
      <c r="Q132" s="1079"/>
      <c r="V132" s="1084"/>
    </row>
    <row r="133" spans="1:22" s="1082" customFormat="1" ht="24" customHeight="1">
      <c r="A133" s="1075">
        <v>114</v>
      </c>
      <c r="B133" s="376" t="s">
        <v>1595</v>
      </c>
      <c r="C133" s="376"/>
      <c r="D133" s="376"/>
      <c r="E133" s="1075" t="s">
        <v>9999</v>
      </c>
      <c r="F133" s="1076"/>
      <c r="G133" s="1075" t="s">
        <v>9065</v>
      </c>
      <c r="H133" s="1075" t="s">
        <v>9065</v>
      </c>
      <c r="I133" s="1075" t="s">
        <v>5462</v>
      </c>
      <c r="J133" s="1075" t="s">
        <v>2002</v>
      </c>
      <c r="K133" s="1075" t="s">
        <v>2001</v>
      </c>
      <c r="L133" s="1075" t="s">
        <v>5130</v>
      </c>
      <c r="M133" s="1077" t="s">
        <v>5461</v>
      </c>
      <c r="N133" s="1078">
        <v>6512400</v>
      </c>
      <c r="O133" s="1078" t="s">
        <v>375</v>
      </c>
      <c r="P133" s="107" t="s">
        <v>43</v>
      </c>
      <c r="Q133" s="1079"/>
      <c r="V133" s="1084"/>
    </row>
    <row r="134" spans="1:22" s="1082" customFormat="1" ht="24" customHeight="1">
      <c r="A134" s="1075">
        <v>115</v>
      </c>
      <c r="B134" s="1075"/>
      <c r="C134" s="1075"/>
      <c r="D134" s="1075"/>
      <c r="E134" s="1075" t="s">
        <v>10003</v>
      </c>
      <c r="F134" s="1076"/>
      <c r="G134" s="1075" t="s">
        <v>9065</v>
      </c>
      <c r="H134" s="1075" t="s">
        <v>9065</v>
      </c>
      <c r="I134" s="1075" t="s">
        <v>6028</v>
      </c>
      <c r="J134" s="1075"/>
      <c r="K134" s="1075"/>
      <c r="L134" s="1075" t="s">
        <v>9888</v>
      </c>
      <c r="M134" s="1077" t="s">
        <v>6027</v>
      </c>
      <c r="N134" s="1078">
        <v>6512400</v>
      </c>
      <c r="O134" s="1078"/>
      <c r="P134" s="1078"/>
      <c r="Q134" s="1079"/>
      <c r="V134" s="1084"/>
    </row>
    <row r="135" spans="1:22" s="1082" customFormat="1" ht="24" customHeight="1">
      <c r="A135" s="1075">
        <v>116</v>
      </c>
      <c r="B135" s="1075"/>
      <c r="C135" s="1075"/>
      <c r="D135" s="1075"/>
      <c r="E135" s="1075" t="s">
        <v>15884</v>
      </c>
      <c r="F135" s="1076"/>
      <c r="G135" s="1075" t="s">
        <v>9065</v>
      </c>
      <c r="H135" s="1075" t="s">
        <v>9065</v>
      </c>
      <c r="I135" s="1075" t="s">
        <v>5463</v>
      </c>
      <c r="J135" s="1075"/>
      <c r="K135" s="1075"/>
      <c r="L135" s="1075" t="s">
        <v>9888</v>
      </c>
      <c r="M135" s="1077" t="s">
        <v>15885</v>
      </c>
      <c r="N135" s="1078">
        <v>6512400</v>
      </c>
      <c r="O135" s="1078"/>
      <c r="P135" s="1078"/>
      <c r="Q135" s="1079"/>
      <c r="V135" s="1084"/>
    </row>
    <row r="136" spans="1:22" s="1082" customFormat="1" ht="24" customHeight="1">
      <c r="A136" s="1075">
        <v>117</v>
      </c>
      <c r="B136" s="1075"/>
      <c r="C136" s="1075"/>
      <c r="D136" s="1075"/>
      <c r="E136" s="1075" t="s">
        <v>10006</v>
      </c>
      <c r="F136" s="1076"/>
      <c r="G136" s="1075" t="s">
        <v>9065</v>
      </c>
      <c r="H136" s="1075" t="s">
        <v>9065</v>
      </c>
      <c r="I136" s="1075" t="s">
        <v>6032</v>
      </c>
      <c r="J136" s="1075"/>
      <c r="K136" s="1075"/>
      <c r="L136" s="1075" t="s">
        <v>9888</v>
      </c>
      <c r="M136" s="1077" t="s">
        <v>6031</v>
      </c>
      <c r="N136" s="1078">
        <v>6512400</v>
      </c>
      <c r="O136" s="1078"/>
      <c r="P136" s="1078"/>
      <c r="Q136" s="1079"/>
      <c r="V136" s="1084"/>
    </row>
    <row r="137" spans="1:22" s="1082" customFormat="1" ht="24" customHeight="1">
      <c r="A137" s="1075">
        <v>118</v>
      </c>
      <c r="B137" s="1075"/>
      <c r="C137" s="1075"/>
      <c r="D137" s="1075"/>
      <c r="E137" s="1075" t="s">
        <v>10009</v>
      </c>
      <c r="F137" s="1076"/>
      <c r="G137" s="1075" t="s">
        <v>9065</v>
      </c>
      <c r="H137" s="1075" t="s">
        <v>9065</v>
      </c>
      <c r="I137" s="1075" t="s">
        <v>6038</v>
      </c>
      <c r="J137" s="1075"/>
      <c r="K137" s="1075"/>
      <c r="L137" s="1075" t="s">
        <v>9888</v>
      </c>
      <c r="M137" s="1077" t="s">
        <v>6037</v>
      </c>
      <c r="N137" s="1078">
        <v>6512400</v>
      </c>
      <c r="O137" s="1078"/>
      <c r="P137" s="1078"/>
      <c r="Q137" s="1079"/>
      <c r="V137" s="1084"/>
    </row>
    <row r="138" spans="1:22" s="1082" customFormat="1" ht="24" customHeight="1">
      <c r="A138" s="1075">
        <v>119</v>
      </c>
      <c r="B138" s="1075"/>
      <c r="C138" s="1075"/>
      <c r="D138" s="1075"/>
      <c r="E138" s="1075" t="s">
        <v>10010</v>
      </c>
      <c r="F138" s="1076"/>
      <c r="G138" s="1075" t="s">
        <v>9065</v>
      </c>
      <c r="H138" s="1075" t="s">
        <v>9065</v>
      </c>
      <c r="I138" s="1075" t="s">
        <v>6040</v>
      </c>
      <c r="J138" s="1075"/>
      <c r="K138" s="1075"/>
      <c r="L138" s="1075" t="s">
        <v>9888</v>
      </c>
      <c r="M138" s="1077" t="s">
        <v>6039</v>
      </c>
      <c r="N138" s="1078">
        <v>6512400</v>
      </c>
      <c r="O138" s="1078"/>
      <c r="P138" s="1078"/>
      <c r="Q138" s="1079"/>
      <c r="V138" s="1084"/>
    </row>
    <row r="139" spans="1:22" s="1082" customFormat="1" ht="24" customHeight="1">
      <c r="A139" s="1075">
        <v>120</v>
      </c>
      <c r="B139" s="1075" t="s">
        <v>423</v>
      </c>
      <c r="C139" s="1075"/>
      <c r="D139" s="1075"/>
      <c r="E139" s="1075" t="s">
        <v>10011</v>
      </c>
      <c r="F139" s="1076"/>
      <c r="G139" s="1075" t="s">
        <v>9065</v>
      </c>
      <c r="H139" s="1075" t="s">
        <v>9065</v>
      </c>
      <c r="I139" s="1075" t="s">
        <v>5465</v>
      </c>
      <c r="J139" s="1075" t="s">
        <v>1126</v>
      </c>
      <c r="K139" s="1075" t="s">
        <v>1125</v>
      </c>
      <c r="L139" s="1075" t="s">
        <v>5130</v>
      </c>
      <c r="M139" s="1077" t="s">
        <v>5464</v>
      </c>
      <c r="N139" s="1078">
        <v>6512400</v>
      </c>
      <c r="O139" s="1078" t="s">
        <v>375</v>
      </c>
      <c r="P139" s="1078"/>
      <c r="Q139" s="1079"/>
      <c r="V139" s="1084"/>
    </row>
    <row r="140" spans="1:22" s="1082" customFormat="1" ht="24" customHeight="1">
      <c r="A140" s="1075">
        <v>121</v>
      </c>
      <c r="B140" s="1075"/>
      <c r="C140" s="1075"/>
      <c r="D140" s="1075"/>
      <c r="E140" s="1075" t="s">
        <v>10012</v>
      </c>
      <c r="F140" s="1076"/>
      <c r="G140" s="1075" t="s">
        <v>9065</v>
      </c>
      <c r="H140" s="1075" t="s">
        <v>9065</v>
      </c>
      <c r="I140" s="1075" t="s">
        <v>6042</v>
      </c>
      <c r="J140" s="1075"/>
      <c r="K140" s="1075"/>
      <c r="L140" s="1075" t="s">
        <v>9888</v>
      </c>
      <c r="M140" s="1077" t="s">
        <v>6041</v>
      </c>
      <c r="N140" s="1078">
        <v>6512400</v>
      </c>
      <c r="O140" s="1078"/>
      <c r="P140" s="1078"/>
      <c r="Q140" s="1079"/>
      <c r="V140" s="1084"/>
    </row>
    <row r="141" spans="1:22" s="1082" customFormat="1" ht="24" customHeight="1">
      <c r="A141" s="1075">
        <v>122</v>
      </c>
      <c r="B141" s="1075" t="s">
        <v>423</v>
      </c>
      <c r="C141" s="1075"/>
      <c r="D141" s="1075"/>
      <c r="E141" s="1075" t="s">
        <v>10013</v>
      </c>
      <c r="F141" s="1076"/>
      <c r="G141" s="1075" t="s">
        <v>9065</v>
      </c>
      <c r="H141" s="1075" t="s">
        <v>9065</v>
      </c>
      <c r="I141" s="1075" t="s">
        <v>5467</v>
      </c>
      <c r="J141" s="1075" t="s">
        <v>1359</v>
      </c>
      <c r="K141" s="1075" t="s">
        <v>15886</v>
      </c>
      <c r="L141" s="1075" t="s">
        <v>5130</v>
      </c>
      <c r="M141" s="1077" t="s">
        <v>5466</v>
      </c>
      <c r="N141" s="1078">
        <v>6512400</v>
      </c>
      <c r="O141" s="1078" t="s">
        <v>375</v>
      </c>
      <c r="P141" s="1078"/>
      <c r="Q141" s="1079"/>
      <c r="V141" s="1084"/>
    </row>
    <row r="142" spans="1:22" s="1082" customFormat="1" ht="24" customHeight="1">
      <c r="A142" s="1075">
        <v>123</v>
      </c>
      <c r="B142" s="1075"/>
      <c r="C142" s="1075"/>
      <c r="D142" s="1075"/>
      <c r="E142" s="1075" t="s">
        <v>10014</v>
      </c>
      <c r="F142" s="1076"/>
      <c r="G142" s="1075" t="s">
        <v>9065</v>
      </c>
      <c r="H142" s="1075" t="s">
        <v>9065</v>
      </c>
      <c r="I142" s="1075" t="s">
        <v>5469</v>
      </c>
      <c r="J142" s="1075"/>
      <c r="K142" s="1075"/>
      <c r="L142" s="1075" t="s">
        <v>9888</v>
      </c>
      <c r="M142" s="1077" t="s">
        <v>5468</v>
      </c>
      <c r="N142" s="1078">
        <v>6512400</v>
      </c>
      <c r="O142" s="1078"/>
      <c r="P142" s="1078" t="s">
        <v>16146</v>
      </c>
      <c r="Q142" s="1079"/>
      <c r="V142" s="1084"/>
    </row>
    <row r="143" spans="1:22" s="1082" customFormat="1" ht="24" customHeight="1">
      <c r="A143" s="1075">
        <v>124</v>
      </c>
      <c r="B143" s="1075"/>
      <c r="C143" s="1075"/>
      <c r="D143" s="1075"/>
      <c r="E143" s="1075" t="s">
        <v>10016</v>
      </c>
      <c r="F143" s="1076"/>
      <c r="G143" s="1075" t="s">
        <v>9065</v>
      </c>
      <c r="H143" s="1075" t="s">
        <v>9065</v>
      </c>
      <c r="I143" s="1075" t="s">
        <v>6046</v>
      </c>
      <c r="J143" s="1075"/>
      <c r="K143" s="1075"/>
      <c r="L143" s="1075" t="s">
        <v>9888</v>
      </c>
      <c r="M143" s="1077" t="s">
        <v>6045</v>
      </c>
      <c r="N143" s="1078">
        <v>6512400</v>
      </c>
      <c r="O143" s="1078"/>
      <c r="P143" s="1078"/>
      <c r="Q143" s="1079"/>
      <c r="V143" s="1084"/>
    </row>
    <row r="144" spans="1:22" s="1082" customFormat="1" ht="24" customHeight="1">
      <c r="A144" s="1075">
        <v>125</v>
      </c>
      <c r="B144" s="376" t="s">
        <v>1595</v>
      </c>
      <c r="C144" s="376"/>
      <c r="D144" s="376"/>
      <c r="E144" s="1075" t="s">
        <v>10018</v>
      </c>
      <c r="F144" s="1076"/>
      <c r="G144" s="1075" t="s">
        <v>9065</v>
      </c>
      <c r="H144" s="1075" t="s">
        <v>9065</v>
      </c>
      <c r="I144" s="1075" t="s">
        <v>5473</v>
      </c>
      <c r="J144" s="1075" t="s">
        <v>2023</v>
      </c>
      <c r="K144" s="1075" t="s">
        <v>2022</v>
      </c>
      <c r="L144" s="1075" t="s">
        <v>5130</v>
      </c>
      <c r="M144" s="1077" t="s">
        <v>5472</v>
      </c>
      <c r="N144" s="1078">
        <v>6512400</v>
      </c>
      <c r="O144" s="1078" t="s">
        <v>375</v>
      </c>
      <c r="P144" s="1079" t="s">
        <v>1084</v>
      </c>
      <c r="Q144" s="1079"/>
      <c r="V144" s="1084"/>
    </row>
    <row r="145" spans="1:22" s="1082" customFormat="1" ht="24" customHeight="1">
      <c r="A145" s="1075">
        <v>126</v>
      </c>
      <c r="B145" s="1075"/>
      <c r="C145" s="1075"/>
      <c r="D145" s="1075"/>
      <c r="E145" s="1075" t="s">
        <v>10019</v>
      </c>
      <c r="F145" s="1076"/>
      <c r="G145" s="1075" t="s">
        <v>9065</v>
      </c>
      <c r="H145" s="1075" t="s">
        <v>9065</v>
      </c>
      <c r="I145" s="1075" t="s">
        <v>5475</v>
      </c>
      <c r="J145" s="1075"/>
      <c r="K145" s="1075"/>
      <c r="L145" s="1075" t="s">
        <v>9888</v>
      </c>
      <c r="M145" s="1077" t="s">
        <v>5474</v>
      </c>
      <c r="N145" s="1078">
        <v>6512400</v>
      </c>
      <c r="O145" s="1078"/>
      <c r="P145" s="1078"/>
      <c r="Q145" s="1079"/>
      <c r="V145" s="1084"/>
    </row>
    <row r="146" spans="1:22" s="1083" customFormat="1" ht="24" customHeight="1">
      <c r="A146" s="1075">
        <v>127</v>
      </c>
      <c r="B146" s="1069"/>
      <c r="C146" s="1069"/>
      <c r="D146" s="1069"/>
      <c r="E146" s="1069" t="s">
        <v>10020</v>
      </c>
      <c r="F146" s="1070"/>
      <c r="G146" s="1069" t="s">
        <v>9065</v>
      </c>
      <c r="H146" s="1069" t="s">
        <v>9065</v>
      </c>
      <c r="I146" s="1069" t="s">
        <v>5477</v>
      </c>
      <c r="J146" s="1069"/>
      <c r="K146" s="1125" t="s">
        <v>16164</v>
      </c>
      <c r="L146" s="1069" t="s">
        <v>5130</v>
      </c>
      <c r="M146" s="1071" t="s">
        <v>5476</v>
      </c>
      <c r="N146" s="1072">
        <v>6512400</v>
      </c>
      <c r="O146" s="1072"/>
      <c r="P146" s="1072" t="s">
        <v>16146</v>
      </c>
      <c r="Q146" s="1073"/>
      <c r="V146" s="1085"/>
    </row>
    <row r="147" spans="1:22" s="1083" customFormat="1" ht="24" customHeight="1">
      <c r="A147" s="1075">
        <v>128</v>
      </c>
      <c r="B147" s="1069"/>
      <c r="C147" s="1069"/>
      <c r="D147" s="1069"/>
      <c r="E147" s="1069" t="s">
        <v>10021</v>
      </c>
      <c r="F147" s="1070"/>
      <c r="G147" s="1069" t="s">
        <v>9065</v>
      </c>
      <c r="H147" s="1069" t="s">
        <v>9065</v>
      </c>
      <c r="I147" s="1069" t="s">
        <v>5479</v>
      </c>
      <c r="J147" s="1069"/>
      <c r="K147" s="1125" t="s">
        <v>16164</v>
      </c>
      <c r="L147" s="1069" t="s">
        <v>5130</v>
      </c>
      <c r="M147" s="1071" t="s">
        <v>5478</v>
      </c>
      <c r="N147" s="1072">
        <v>6512400</v>
      </c>
      <c r="O147" s="1072"/>
      <c r="P147" s="1072" t="s">
        <v>16146</v>
      </c>
      <c r="Q147" s="1073"/>
      <c r="V147" s="1085"/>
    </row>
    <row r="148" spans="1:22" s="1082" customFormat="1" ht="24" customHeight="1">
      <c r="A148" s="1075">
        <v>129</v>
      </c>
      <c r="B148" s="1075"/>
      <c r="C148" s="1075"/>
      <c r="D148" s="1075"/>
      <c r="E148" s="1075" t="s">
        <v>10022</v>
      </c>
      <c r="F148" s="1076"/>
      <c r="G148" s="1075" t="s">
        <v>9065</v>
      </c>
      <c r="H148" s="1075" t="s">
        <v>9065</v>
      </c>
      <c r="I148" s="1075" t="s">
        <v>5481</v>
      </c>
      <c r="J148" s="1075" t="s">
        <v>16124</v>
      </c>
      <c r="K148" s="1075" t="s">
        <v>16123</v>
      </c>
      <c r="L148" s="1075" t="s">
        <v>5130</v>
      </c>
      <c r="M148" s="1077" t="s">
        <v>5480</v>
      </c>
      <c r="N148" s="1078">
        <v>6512400</v>
      </c>
      <c r="O148" s="1078" t="s">
        <v>375</v>
      </c>
      <c r="P148" s="1078"/>
      <c r="Q148" s="1079"/>
      <c r="V148" s="1084"/>
    </row>
    <row r="149" spans="1:22" s="1082" customFormat="1" ht="24" customHeight="1">
      <c r="A149" s="1075">
        <v>130</v>
      </c>
      <c r="B149" s="1075" t="s">
        <v>423</v>
      </c>
      <c r="C149" s="1075"/>
      <c r="D149" s="1075"/>
      <c r="E149" s="1075" t="s">
        <v>10024</v>
      </c>
      <c r="F149" s="1076"/>
      <c r="G149" s="1075" t="s">
        <v>9065</v>
      </c>
      <c r="H149" s="1075" t="s">
        <v>9065</v>
      </c>
      <c r="I149" s="1075" t="s">
        <v>5484</v>
      </c>
      <c r="J149" s="1075" t="s">
        <v>1375</v>
      </c>
      <c r="K149" s="1075" t="s">
        <v>15887</v>
      </c>
      <c r="L149" s="1075" t="s">
        <v>5130</v>
      </c>
      <c r="M149" s="1077" t="s">
        <v>5483</v>
      </c>
      <c r="N149" s="1078">
        <v>6512400</v>
      </c>
      <c r="O149" s="1078" t="s">
        <v>375</v>
      </c>
      <c r="P149" s="1078"/>
      <c r="Q149" s="1079"/>
      <c r="V149" s="1084"/>
    </row>
    <row r="150" spans="1:22" s="1082" customFormat="1" ht="24" customHeight="1">
      <c r="A150" s="1075">
        <v>131</v>
      </c>
      <c r="B150" s="1075"/>
      <c r="C150" s="1075"/>
      <c r="D150" s="1075"/>
      <c r="E150" s="1075" t="s">
        <v>10026</v>
      </c>
      <c r="F150" s="1076"/>
      <c r="G150" s="1075" t="s">
        <v>9065</v>
      </c>
      <c r="H150" s="1075" t="s">
        <v>9065</v>
      </c>
      <c r="I150" s="1075" t="s">
        <v>6051</v>
      </c>
      <c r="J150" s="1075"/>
      <c r="K150" s="1075"/>
      <c r="L150" s="1075" t="s">
        <v>9888</v>
      </c>
      <c r="M150" s="1077" t="s">
        <v>6050</v>
      </c>
      <c r="N150" s="1078">
        <v>6512400</v>
      </c>
      <c r="O150" s="1078"/>
      <c r="P150" s="1078"/>
      <c r="Q150" s="1079"/>
      <c r="V150" s="1084"/>
    </row>
    <row r="151" spans="1:22" s="1082" customFormat="1" ht="24" customHeight="1">
      <c r="A151" s="1075">
        <v>132</v>
      </c>
      <c r="B151" s="1075"/>
      <c r="C151" s="1075"/>
      <c r="D151" s="1075"/>
      <c r="E151" s="1075" t="s">
        <v>10027</v>
      </c>
      <c r="F151" s="1076"/>
      <c r="G151" s="1075" t="s">
        <v>9065</v>
      </c>
      <c r="H151" s="1075" t="s">
        <v>9065</v>
      </c>
      <c r="I151" s="1075" t="s">
        <v>6053</v>
      </c>
      <c r="J151" s="1075"/>
      <c r="K151" s="1075"/>
      <c r="L151" s="1075" t="s">
        <v>9888</v>
      </c>
      <c r="M151" s="1077" t="s">
        <v>6052</v>
      </c>
      <c r="N151" s="1078">
        <v>6512400</v>
      </c>
      <c r="O151" s="1078"/>
      <c r="P151" s="1078"/>
      <c r="Q151" s="1079"/>
      <c r="V151" s="1084"/>
    </row>
    <row r="152" spans="1:22" s="1082" customFormat="1" ht="24" customHeight="1">
      <c r="A152" s="1075">
        <v>133</v>
      </c>
      <c r="B152" s="376" t="s">
        <v>1595</v>
      </c>
      <c r="C152" s="376"/>
      <c r="D152" s="376"/>
      <c r="E152" s="1075" t="s">
        <v>10028</v>
      </c>
      <c r="F152" s="1076"/>
      <c r="G152" s="1075" t="s">
        <v>9065</v>
      </c>
      <c r="H152" s="1075" t="s">
        <v>9065</v>
      </c>
      <c r="I152" s="1075" t="s">
        <v>5486</v>
      </c>
      <c r="J152" s="1075" t="s">
        <v>2034</v>
      </c>
      <c r="K152" s="1075" t="s">
        <v>2033</v>
      </c>
      <c r="L152" s="1075" t="s">
        <v>5130</v>
      </c>
      <c r="M152" s="1077" t="s">
        <v>5485</v>
      </c>
      <c r="N152" s="1078">
        <v>6512400</v>
      </c>
      <c r="O152" s="1078" t="s">
        <v>375</v>
      </c>
      <c r="P152" s="1079" t="s">
        <v>1084</v>
      </c>
      <c r="Q152" s="1079"/>
      <c r="V152" s="1084"/>
    </row>
    <row r="153" spans="1:22" s="1082" customFormat="1" ht="24" customHeight="1">
      <c r="A153" s="1075">
        <v>134</v>
      </c>
      <c r="B153" s="376" t="s">
        <v>1595</v>
      </c>
      <c r="C153" s="376"/>
      <c r="D153" s="376"/>
      <c r="E153" s="1075" t="s">
        <v>10029</v>
      </c>
      <c r="F153" s="1076"/>
      <c r="G153" s="1075" t="s">
        <v>9065</v>
      </c>
      <c r="H153" s="1075" t="s">
        <v>9065</v>
      </c>
      <c r="I153" s="1075" t="s">
        <v>5488</v>
      </c>
      <c r="J153" s="1075" t="s">
        <v>2204</v>
      </c>
      <c r="K153" s="1075" t="s">
        <v>2203</v>
      </c>
      <c r="L153" s="1075" t="s">
        <v>5130</v>
      </c>
      <c r="M153" s="1077" t="s">
        <v>5487</v>
      </c>
      <c r="N153" s="1078">
        <v>6512400</v>
      </c>
      <c r="O153" s="1078" t="s">
        <v>375</v>
      </c>
      <c r="P153" s="1078"/>
      <c r="Q153" s="1079"/>
      <c r="V153" s="1084"/>
    </row>
    <row r="154" spans="1:22" s="1082" customFormat="1" ht="24" customHeight="1">
      <c r="A154" s="1075">
        <v>135</v>
      </c>
      <c r="B154" s="1075" t="s">
        <v>423</v>
      </c>
      <c r="C154" s="1075"/>
      <c r="D154" s="1075"/>
      <c r="E154" s="1075" t="s">
        <v>10030</v>
      </c>
      <c r="F154" s="1076"/>
      <c r="G154" s="1075" t="s">
        <v>9065</v>
      </c>
      <c r="H154" s="1075" t="s">
        <v>9065</v>
      </c>
      <c r="I154" s="1075" t="s">
        <v>5490</v>
      </c>
      <c r="J154" s="1075" t="s">
        <v>1469</v>
      </c>
      <c r="K154" s="1075" t="s">
        <v>1468</v>
      </c>
      <c r="L154" s="1075" t="s">
        <v>5130</v>
      </c>
      <c r="M154" s="1077" t="s">
        <v>5489</v>
      </c>
      <c r="N154" s="1078">
        <v>6512400</v>
      </c>
      <c r="O154" s="1078" t="s">
        <v>375</v>
      </c>
      <c r="P154" s="1078"/>
      <c r="Q154" s="1079"/>
      <c r="V154" s="1084"/>
    </row>
    <row r="155" spans="1:22" s="1082" customFormat="1" ht="24" customHeight="1">
      <c r="A155" s="1075">
        <v>136</v>
      </c>
      <c r="B155" s="1075"/>
      <c r="C155" s="1075"/>
      <c r="D155" s="1075"/>
      <c r="E155" s="1075" t="s">
        <v>10032</v>
      </c>
      <c r="F155" s="1076"/>
      <c r="G155" s="1075" t="s">
        <v>9065</v>
      </c>
      <c r="H155" s="1075" t="s">
        <v>9065</v>
      </c>
      <c r="I155" s="1075" t="s">
        <v>6055</v>
      </c>
      <c r="J155" s="1075"/>
      <c r="K155" s="1075"/>
      <c r="L155" s="1075" t="s">
        <v>9888</v>
      </c>
      <c r="M155" s="1077" t="s">
        <v>6054</v>
      </c>
      <c r="N155" s="1078">
        <v>6512400</v>
      </c>
      <c r="O155" s="1078"/>
      <c r="P155" s="1078"/>
      <c r="Q155" s="1079"/>
      <c r="V155" s="1084"/>
    </row>
    <row r="156" spans="1:22" s="1082" customFormat="1" ht="24" customHeight="1">
      <c r="A156" s="1075">
        <v>137</v>
      </c>
      <c r="B156" s="1075" t="s">
        <v>423</v>
      </c>
      <c r="C156" s="1075"/>
      <c r="D156" s="1075"/>
      <c r="E156" s="1075" t="s">
        <v>10033</v>
      </c>
      <c r="F156" s="1076"/>
      <c r="G156" s="1075" t="s">
        <v>9065</v>
      </c>
      <c r="H156" s="1075" t="s">
        <v>9065</v>
      </c>
      <c r="I156" s="1075" t="s">
        <v>5494</v>
      </c>
      <c r="J156" s="1075" t="s">
        <v>1459</v>
      </c>
      <c r="K156" s="1075" t="s">
        <v>1458</v>
      </c>
      <c r="L156" s="1075" t="s">
        <v>5130</v>
      </c>
      <c r="M156" s="1077" t="s">
        <v>5493</v>
      </c>
      <c r="N156" s="1078">
        <v>6512400</v>
      </c>
      <c r="O156" s="1078" t="s">
        <v>375</v>
      </c>
      <c r="P156" s="1078"/>
      <c r="Q156" s="1079"/>
      <c r="V156" s="1084"/>
    </row>
    <row r="157" spans="1:22" s="1083" customFormat="1" ht="24" customHeight="1">
      <c r="A157" s="1075">
        <v>138</v>
      </c>
      <c r="B157" s="1069"/>
      <c r="C157" s="1069"/>
      <c r="D157" s="1069"/>
      <c r="E157" s="1069" t="s">
        <v>16169</v>
      </c>
      <c r="F157" s="1070"/>
      <c r="G157" s="1069" t="s">
        <v>9065</v>
      </c>
      <c r="H157" s="1069" t="s">
        <v>9065</v>
      </c>
      <c r="I157" s="1069" t="s">
        <v>5496</v>
      </c>
      <c r="J157" s="1069"/>
      <c r="K157" s="1125" t="s">
        <v>16170</v>
      </c>
      <c r="L157" s="1069" t="s">
        <v>5130</v>
      </c>
      <c r="M157" s="1071" t="s">
        <v>5495</v>
      </c>
      <c r="N157" s="1072">
        <v>6512400</v>
      </c>
      <c r="O157" s="1072"/>
      <c r="P157" s="1072" t="s">
        <v>16146</v>
      </c>
      <c r="Q157" s="1073"/>
      <c r="V157" s="1085"/>
    </row>
    <row r="158" spans="1:22" s="1082" customFormat="1" ht="24" customHeight="1">
      <c r="A158" s="1075">
        <v>139</v>
      </c>
      <c r="B158" s="1075" t="s">
        <v>423</v>
      </c>
      <c r="C158" s="1075"/>
      <c r="D158" s="1075"/>
      <c r="E158" s="1075" t="s">
        <v>10034</v>
      </c>
      <c r="F158" s="1076"/>
      <c r="G158" s="1075" t="s">
        <v>9065</v>
      </c>
      <c r="H158" s="1075" t="s">
        <v>9065</v>
      </c>
      <c r="I158" s="1075" t="s">
        <v>6057</v>
      </c>
      <c r="J158" s="1075" t="s">
        <v>1257</v>
      </c>
      <c r="K158" s="1075" t="s">
        <v>1256</v>
      </c>
      <c r="L158" s="1075" t="s">
        <v>9888</v>
      </c>
      <c r="M158" s="1077" t="s">
        <v>6056</v>
      </c>
      <c r="N158" s="1078">
        <v>6512400</v>
      </c>
      <c r="O158" s="1078" t="s">
        <v>375</v>
      </c>
      <c r="P158" s="1078"/>
      <c r="Q158" s="1079"/>
      <c r="V158" s="1084"/>
    </row>
    <row r="159" spans="1:22" s="1082" customFormat="1" ht="24" customHeight="1">
      <c r="A159" s="1075">
        <v>140</v>
      </c>
      <c r="B159" s="1075"/>
      <c r="C159" s="1075"/>
      <c r="D159" s="1075"/>
      <c r="E159" s="1075" t="s">
        <v>10035</v>
      </c>
      <c r="F159" s="1076"/>
      <c r="G159" s="1075" t="s">
        <v>9065</v>
      </c>
      <c r="H159" s="1075" t="s">
        <v>9065</v>
      </c>
      <c r="I159" s="1075" t="s">
        <v>5498</v>
      </c>
      <c r="J159" s="1075"/>
      <c r="K159" s="1075"/>
      <c r="L159" s="1075" t="s">
        <v>9888</v>
      </c>
      <c r="M159" s="1077" t="s">
        <v>5497</v>
      </c>
      <c r="N159" s="1078">
        <v>6512400</v>
      </c>
      <c r="O159" s="1078"/>
      <c r="P159" s="1078"/>
      <c r="Q159" s="1079"/>
      <c r="V159" s="1084"/>
    </row>
    <row r="160" spans="1:22" s="1082" customFormat="1" ht="24" customHeight="1">
      <c r="A160" s="1075">
        <v>141</v>
      </c>
      <c r="B160" s="1075" t="s">
        <v>423</v>
      </c>
      <c r="C160" s="1075"/>
      <c r="D160" s="1075"/>
      <c r="E160" s="1075" t="s">
        <v>10037</v>
      </c>
      <c r="F160" s="1076"/>
      <c r="G160" s="1075" t="s">
        <v>9065</v>
      </c>
      <c r="H160" s="1075" t="s">
        <v>9065</v>
      </c>
      <c r="I160" s="1075" t="s">
        <v>5502</v>
      </c>
      <c r="J160" s="1075" t="s">
        <v>1108</v>
      </c>
      <c r="K160" s="1075" t="s">
        <v>1107</v>
      </c>
      <c r="L160" s="1075" t="s">
        <v>5130</v>
      </c>
      <c r="M160" s="1077" t="s">
        <v>5501</v>
      </c>
      <c r="N160" s="1078">
        <v>6512400</v>
      </c>
      <c r="O160" s="1078" t="s">
        <v>375</v>
      </c>
      <c r="P160" s="1079" t="s">
        <v>1084</v>
      </c>
      <c r="Q160" s="1079"/>
      <c r="V160" s="1084"/>
    </row>
    <row r="161" spans="1:22" s="1082" customFormat="1" ht="24" customHeight="1">
      <c r="A161" s="1075">
        <v>142</v>
      </c>
      <c r="B161" s="1075"/>
      <c r="C161" s="1075"/>
      <c r="D161" s="1075"/>
      <c r="E161" s="1075" t="s">
        <v>10038</v>
      </c>
      <c r="F161" s="1076"/>
      <c r="G161" s="1075" t="s">
        <v>9065</v>
      </c>
      <c r="H161" s="1075" t="s">
        <v>9065</v>
      </c>
      <c r="I161" s="1075" t="s">
        <v>5504</v>
      </c>
      <c r="J161" s="1075"/>
      <c r="K161" s="1075"/>
      <c r="L161" s="1075" t="s">
        <v>9888</v>
      </c>
      <c r="M161" s="1077" t="s">
        <v>5503</v>
      </c>
      <c r="N161" s="1078">
        <v>6512400</v>
      </c>
      <c r="O161" s="1078"/>
      <c r="P161" s="1078"/>
      <c r="Q161" s="1079"/>
      <c r="V161" s="1084"/>
    </row>
    <row r="162" spans="1:22" s="1082" customFormat="1" ht="24" customHeight="1">
      <c r="A162" s="1075">
        <v>143</v>
      </c>
      <c r="B162" s="1075"/>
      <c r="C162" s="1075"/>
      <c r="D162" s="1075"/>
      <c r="E162" s="1075" t="s">
        <v>10039</v>
      </c>
      <c r="F162" s="1076"/>
      <c r="G162" s="1075" t="s">
        <v>9065</v>
      </c>
      <c r="H162" s="1075" t="s">
        <v>9065</v>
      </c>
      <c r="I162" s="1075" t="s">
        <v>6059</v>
      </c>
      <c r="J162" s="1075"/>
      <c r="K162" s="1075"/>
      <c r="L162" s="1075" t="s">
        <v>9888</v>
      </c>
      <c r="M162" s="1077" t="s">
        <v>6058</v>
      </c>
      <c r="N162" s="1078">
        <v>6512400</v>
      </c>
      <c r="O162" s="1078"/>
      <c r="P162" s="1078"/>
      <c r="Q162" s="1079"/>
      <c r="V162" s="1084"/>
    </row>
    <row r="163" spans="1:22" s="1082" customFormat="1" ht="24" customHeight="1">
      <c r="A163" s="1075">
        <v>144</v>
      </c>
      <c r="B163" s="1075"/>
      <c r="C163" s="1075"/>
      <c r="D163" s="1075"/>
      <c r="E163" s="1075" t="s">
        <v>10041</v>
      </c>
      <c r="F163" s="1076"/>
      <c r="G163" s="1075" t="s">
        <v>9065</v>
      </c>
      <c r="H163" s="1075" t="s">
        <v>9065</v>
      </c>
      <c r="I163" s="1075" t="s">
        <v>6063</v>
      </c>
      <c r="J163" s="1075"/>
      <c r="K163" s="1075"/>
      <c r="L163" s="1075" t="s">
        <v>9888</v>
      </c>
      <c r="M163" s="1077" t="s">
        <v>6062</v>
      </c>
      <c r="N163" s="1078">
        <v>6512400</v>
      </c>
      <c r="O163" s="1078"/>
      <c r="P163" s="1078"/>
      <c r="Q163" s="1079"/>
      <c r="V163" s="1084"/>
    </row>
    <row r="164" spans="1:22" s="1082" customFormat="1" ht="24" customHeight="1">
      <c r="A164" s="1075">
        <v>145</v>
      </c>
      <c r="B164" s="1075" t="s">
        <v>423</v>
      </c>
      <c r="C164" s="1075"/>
      <c r="D164" s="1075"/>
      <c r="E164" s="1075" t="s">
        <v>10043</v>
      </c>
      <c r="F164" s="1076"/>
      <c r="G164" s="1075" t="s">
        <v>9065</v>
      </c>
      <c r="H164" s="1075" t="s">
        <v>9065</v>
      </c>
      <c r="I164" s="1075" t="s">
        <v>5508</v>
      </c>
      <c r="J164" s="1075" t="s">
        <v>1273</v>
      </c>
      <c r="K164" s="1075" t="s">
        <v>1272</v>
      </c>
      <c r="L164" s="1075" t="s">
        <v>5130</v>
      </c>
      <c r="M164" s="1077" t="s">
        <v>5507</v>
      </c>
      <c r="N164" s="1078">
        <v>6512400</v>
      </c>
      <c r="O164" s="1078" t="s">
        <v>375</v>
      </c>
      <c r="P164" s="1078"/>
      <c r="Q164" s="1079"/>
      <c r="V164" s="1084"/>
    </row>
    <row r="165" spans="1:22" s="1133" customFormat="1" ht="24" customHeight="1">
      <c r="A165" s="1075">
        <v>146</v>
      </c>
      <c r="B165" s="1128"/>
      <c r="C165" s="1128"/>
      <c r="D165" s="1128"/>
      <c r="E165" s="1128" t="s">
        <v>10044</v>
      </c>
      <c r="F165" s="1129"/>
      <c r="G165" s="1128" t="s">
        <v>9065</v>
      </c>
      <c r="H165" s="1128" t="s">
        <v>9065</v>
      </c>
      <c r="I165" s="1128" t="s">
        <v>5510</v>
      </c>
      <c r="J165" s="1128"/>
      <c r="K165" s="1128" t="s">
        <v>16171</v>
      </c>
      <c r="L165" s="1128" t="s">
        <v>5130</v>
      </c>
      <c r="M165" s="1130" t="s">
        <v>5509</v>
      </c>
      <c r="N165" s="1131">
        <v>6512400</v>
      </c>
      <c r="O165" s="1131"/>
      <c r="P165" s="1131" t="s">
        <v>16146</v>
      </c>
      <c r="Q165" s="1132" t="s">
        <v>16203</v>
      </c>
      <c r="V165" s="1134"/>
    </row>
    <row r="166" spans="1:22" s="1082" customFormat="1" ht="24" customHeight="1">
      <c r="A166" s="1075">
        <v>147</v>
      </c>
      <c r="B166" s="1075"/>
      <c r="C166" s="1075"/>
      <c r="D166" s="1075"/>
      <c r="E166" s="1075" t="s">
        <v>10045</v>
      </c>
      <c r="F166" s="1076"/>
      <c r="G166" s="1075" t="s">
        <v>9065</v>
      </c>
      <c r="H166" s="1075" t="s">
        <v>9065</v>
      </c>
      <c r="I166" s="1075" t="s">
        <v>5512</v>
      </c>
      <c r="J166" s="1075" t="s">
        <v>15636</v>
      </c>
      <c r="K166" s="1075" t="s">
        <v>15635</v>
      </c>
      <c r="L166" s="1075" t="s">
        <v>5130</v>
      </c>
      <c r="M166" s="1077" t="s">
        <v>5511</v>
      </c>
      <c r="N166" s="1078">
        <v>6512400</v>
      </c>
      <c r="O166" s="1078" t="s">
        <v>375</v>
      </c>
      <c r="P166" s="1078"/>
      <c r="Q166" s="1079"/>
      <c r="V166" s="1084"/>
    </row>
    <row r="167" spans="1:22" s="1082" customFormat="1" ht="24" customHeight="1">
      <c r="A167" s="1075">
        <v>148</v>
      </c>
      <c r="B167" s="376" t="s">
        <v>1595</v>
      </c>
      <c r="C167" s="376"/>
      <c r="D167" s="376"/>
      <c r="E167" s="1075" t="s">
        <v>10047</v>
      </c>
      <c r="F167" s="1076"/>
      <c r="G167" s="1075" t="s">
        <v>9065</v>
      </c>
      <c r="H167" s="1075" t="s">
        <v>9699</v>
      </c>
      <c r="I167" s="1075" t="s">
        <v>5514</v>
      </c>
      <c r="J167" s="1075" t="s">
        <v>2143</v>
      </c>
      <c r="K167" s="1075" t="s">
        <v>2142</v>
      </c>
      <c r="L167" s="1075" t="s">
        <v>5130</v>
      </c>
      <c r="M167" s="1077" t="s">
        <v>5513</v>
      </c>
      <c r="N167" s="1078">
        <v>6512400</v>
      </c>
      <c r="O167" s="1078" t="s">
        <v>375</v>
      </c>
      <c r="P167" s="1078"/>
      <c r="Q167" s="1079"/>
      <c r="V167" s="1084"/>
    </row>
    <row r="168" spans="1:22" s="1082" customFormat="1" ht="24" customHeight="1">
      <c r="A168" s="1075">
        <v>149</v>
      </c>
      <c r="B168" s="1075" t="s">
        <v>423</v>
      </c>
      <c r="C168" s="1075"/>
      <c r="D168" s="1075"/>
      <c r="E168" s="1075" t="s">
        <v>10048</v>
      </c>
      <c r="F168" s="1076"/>
      <c r="G168" s="1075" t="s">
        <v>9065</v>
      </c>
      <c r="H168" s="1075" t="s">
        <v>9065</v>
      </c>
      <c r="I168" s="1075" t="s">
        <v>5516</v>
      </c>
      <c r="J168" s="1075" t="s">
        <v>1199</v>
      </c>
      <c r="K168" s="1075" t="s">
        <v>1198</v>
      </c>
      <c r="L168" s="1075" t="s">
        <v>5130</v>
      </c>
      <c r="M168" s="1077" t="s">
        <v>5515</v>
      </c>
      <c r="N168" s="1078">
        <v>6512400</v>
      </c>
      <c r="O168" s="1078" t="s">
        <v>375</v>
      </c>
      <c r="P168" s="1078"/>
      <c r="Q168" s="1079"/>
      <c r="V168" s="1084"/>
    </row>
    <row r="169" spans="1:22" s="1083" customFormat="1" ht="24" customHeight="1">
      <c r="A169" s="1075">
        <v>150</v>
      </c>
      <c r="B169" s="1069" t="s">
        <v>1609</v>
      </c>
      <c r="C169" s="1069" t="s">
        <v>2371</v>
      </c>
      <c r="D169" s="1069"/>
      <c r="E169" s="1069" t="s">
        <v>10050</v>
      </c>
      <c r="F169" s="1070"/>
      <c r="G169" s="1069" t="s">
        <v>9065</v>
      </c>
      <c r="H169" s="1069" t="s">
        <v>9065</v>
      </c>
      <c r="I169" s="1069" t="s">
        <v>5520</v>
      </c>
      <c r="J169" s="1069"/>
      <c r="K169" s="1125" t="s">
        <v>16172</v>
      </c>
      <c r="L169" s="1069" t="s">
        <v>5130</v>
      </c>
      <c r="M169" s="1071" t="s">
        <v>5519</v>
      </c>
      <c r="N169" s="1072">
        <v>6512400</v>
      </c>
      <c r="O169" s="1072"/>
      <c r="P169" s="1072" t="s">
        <v>16146</v>
      </c>
      <c r="Q169" s="1073"/>
      <c r="V169" s="1085"/>
    </row>
    <row r="170" spans="1:22" s="1082" customFormat="1" ht="24" customHeight="1">
      <c r="A170" s="1075">
        <v>151</v>
      </c>
      <c r="B170" s="1075"/>
      <c r="C170" s="1075"/>
      <c r="D170" s="1075"/>
      <c r="E170" s="1075" t="s">
        <v>10052</v>
      </c>
      <c r="F170" s="1076"/>
      <c r="G170" s="1075" t="s">
        <v>9065</v>
      </c>
      <c r="H170" s="1075" t="s">
        <v>9065</v>
      </c>
      <c r="I170" s="1075" t="s">
        <v>6069</v>
      </c>
      <c r="J170" s="1075"/>
      <c r="K170" s="1075"/>
      <c r="L170" s="1075" t="s">
        <v>9888</v>
      </c>
      <c r="M170" s="1077" t="s">
        <v>6068</v>
      </c>
      <c r="N170" s="1078">
        <v>6512400</v>
      </c>
      <c r="O170" s="1078"/>
      <c r="P170" s="1078"/>
      <c r="Q170" s="1079"/>
      <c r="V170" s="1084"/>
    </row>
    <row r="171" spans="1:22" s="1082" customFormat="1" ht="24" customHeight="1">
      <c r="A171" s="1075">
        <v>152</v>
      </c>
      <c r="B171" s="1075"/>
      <c r="C171" s="1075"/>
      <c r="D171" s="1075"/>
      <c r="E171" s="1075" t="s">
        <v>10053</v>
      </c>
      <c r="F171" s="1076"/>
      <c r="G171" s="1075" t="s">
        <v>9065</v>
      </c>
      <c r="H171" s="1075" t="s">
        <v>9065</v>
      </c>
      <c r="I171" s="1075" t="s">
        <v>6071</v>
      </c>
      <c r="J171" s="1075"/>
      <c r="K171" s="1075"/>
      <c r="L171" s="1075" t="s">
        <v>9888</v>
      </c>
      <c r="M171" s="1077" t="s">
        <v>6070</v>
      </c>
      <c r="N171" s="1078">
        <v>6512400</v>
      </c>
      <c r="O171" s="1078"/>
      <c r="P171" s="1078"/>
      <c r="Q171" s="1079"/>
      <c r="V171" s="1084"/>
    </row>
    <row r="172" spans="1:22" s="1082" customFormat="1" ht="24" customHeight="1">
      <c r="A172" s="1075">
        <v>153</v>
      </c>
      <c r="B172" s="1075"/>
      <c r="C172" s="1075"/>
      <c r="D172" s="1075"/>
      <c r="E172" s="1075" t="s">
        <v>10058</v>
      </c>
      <c r="F172" s="1076"/>
      <c r="G172" s="1075" t="s">
        <v>9065</v>
      </c>
      <c r="H172" s="1075" t="s">
        <v>9065</v>
      </c>
      <c r="I172" s="1075" t="s">
        <v>6077</v>
      </c>
      <c r="J172" s="1075"/>
      <c r="K172" s="1075"/>
      <c r="L172" s="1075" t="s">
        <v>9888</v>
      </c>
      <c r="M172" s="1077" t="s">
        <v>6076</v>
      </c>
      <c r="N172" s="1078">
        <v>6512400</v>
      </c>
      <c r="O172" s="1078"/>
      <c r="P172" s="1078"/>
      <c r="Q172" s="1079"/>
      <c r="V172" s="1084"/>
    </row>
    <row r="173" spans="1:22" s="1082" customFormat="1" ht="24" customHeight="1">
      <c r="A173" s="1075">
        <v>154</v>
      </c>
      <c r="B173" s="1075"/>
      <c r="C173" s="1075"/>
      <c r="D173" s="1075"/>
      <c r="E173" s="1075" t="s">
        <v>10060</v>
      </c>
      <c r="F173" s="1076"/>
      <c r="G173" s="1075" t="s">
        <v>9065</v>
      </c>
      <c r="H173" s="1075" t="s">
        <v>9065</v>
      </c>
      <c r="I173" s="1075" t="s">
        <v>6081</v>
      </c>
      <c r="J173" s="1075"/>
      <c r="K173" s="1075"/>
      <c r="L173" s="1075" t="s">
        <v>9888</v>
      </c>
      <c r="M173" s="1077" t="s">
        <v>6080</v>
      </c>
      <c r="N173" s="1078">
        <v>6512400</v>
      </c>
      <c r="O173" s="1078"/>
      <c r="P173" s="1078"/>
      <c r="Q173" s="1079"/>
      <c r="V173" s="1084"/>
    </row>
    <row r="174" spans="1:22" s="1082" customFormat="1" ht="24" customHeight="1">
      <c r="A174" s="1075">
        <v>155</v>
      </c>
      <c r="B174" s="1075"/>
      <c r="C174" s="1075"/>
      <c r="D174" s="1075"/>
      <c r="E174" s="1075" t="s">
        <v>10061</v>
      </c>
      <c r="F174" s="1076"/>
      <c r="G174" s="1075" t="s">
        <v>9065</v>
      </c>
      <c r="H174" s="1075" t="s">
        <v>9065</v>
      </c>
      <c r="I174" s="1075" t="s">
        <v>6083</v>
      </c>
      <c r="J174" s="1075"/>
      <c r="K174" s="1075"/>
      <c r="L174" s="1075" t="s">
        <v>9888</v>
      </c>
      <c r="M174" s="1077" t="s">
        <v>6082</v>
      </c>
      <c r="N174" s="1078">
        <v>6512400</v>
      </c>
      <c r="O174" s="1078"/>
      <c r="P174" s="1078"/>
      <c r="Q174" s="1079"/>
      <c r="V174" s="1084"/>
    </row>
    <row r="175" spans="1:22" s="1082" customFormat="1" ht="24" customHeight="1">
      <c r="A175" s="1075">
        <v>156</v>
      </c>
      <c r="B175" s="1075" t="s">
        <v>423</v>
      </c>
      <c r="C175" s="1075"/>
      <c r="D175" s="1075"/>
      <c r="E175" s="1075" t="s">
        <v>10062</v>
      </c>
      <c r="F175" s="1076"/>
      <c r="G175" s="1075" t="s">
        <v>9065</v>
      </c>
      <c r="H175" s="1075" t="s">
        <v>9065</v>
      </c>
      <c r="I175" s="1075" t="s">
        <v>5524</v>
      </c>
      <c r="J175" s="1075" t="s">
        <v>1247</v>
      </c>
      <c r="K175" s="1075" t="s">
        <v>1246</v>
      </c>
      <c r="L175" s="1075" t="s">
        <v>5130</v>
      </c>
      <c r="M175" s="1077" t="s">
        <v>5523</v>
      </c>
      <c r="N175" s="1078">
        <v>6512400</v>
      </c>
      <c r="O175" s="1078" t="s">
        <v>375</v>
      </c>
      <c r="P175" s="1078"/>
      <c r="Q175" s="1079"/>
      <c r="V175" s="1084"/>
    </row>
    <row r="176" spans="1:22" s="1082" customFormat="1" ht="24" customHeight="1">
      <c r="A176" s="1075">
        <v>157</v>
      </c>
      <c r="B176" s="1075" t="s">
        <v>423</v>
      </c>
      <c r="C176" s="1075"/>
      <c r="D176" s="1075"/>
      <c r="E176" s="1075" t="s">
        <v>10063</v>
      </c>
      <c r="F176" s="1076"/>
      <c r="G176" s="1075" t="s">
        <v>9065</v>
      </c>
      <c r="H176" s="1075" t="s">
        <v>9065</v>
      </c>
      <c r="I176" s="1075" t="s">
        <v>5526</v>
      </c>
      <c r="J176" s="1075" t="s">
        <v>1249</v>
      </c>
      <c r="K176" s="1075" t="s">
        <v>1248</v>
      </c>
      <c r="L176" s="1075" t="s">
        <v>5130</v>
      </c>
      <c r="M176" s="1077" t="s">
        <v>5525</v>
      </c>
      <c r="N176" s="1078">
        <v>6512400</v>
      </c>
      <c r="O176" s="1078" t="s">
        <v>375</v>
      </c>
      <c r="P176" s="1078"/>
      <c r="Q176" s="1079"/>
      <c r="V176" s="1084"/>
    </row>
    <row r="177" spans="1:22" s="1133" customFormat="1" ht="24" customHeight="1">
      <c r="A177" s="1075">
        <v>158</v>
      </c>
      <c r="B177" s="1128" t="s">
        <v>423</v>
      </c>
      <c r="C177" s="1128"/>
      <c r="D177" s="1128"/>
      <c r="E177" s="1128" t="s">
        <v>10064</v>
      </c>
      <c r="F177" s="1129"/>
      <c r="G177" s="1128" t="s">
        <v>9065</v>
      </c>
      <c r="H177" s="1128" t="s">
        <v>9065</v>
      </c>
      <c r="I177" s="1128" t="s">
        <v>5528</v>
      </c>
      <c r="J177" s="1128" t="s">
        <v>12087</v>
      </c>
      <c r="K177" s="1128" t="s">
        <v>16173</v>
      </c>
      <c r="L177" s="1128" t="s">
        <v>5130</v>
      </c>
      <c r="M177" s="1130" t="s">
        <v>5527</v>
      </c>
      <c r="N177" s="1131">
        <v>6512400</v>
      </c>
      <c r="O177" s="1131" t="s">
        <v>375</v>
      </c>
      <c r="P177" s="1131" t="s">
        <v>16147</v>
      </c>
      <c r="Q177" s="1132"/>
      <c r="V177" s="1134"/>
    </row>
    <row r="178" spans="1:22" s="1082" customFormat="1" ht="24" customHeight="1">
      <c r="A178" s="1075">
        <v>159</v>
      </c>
      <c r="B178" s="1075" t="s">
        <v>423</v>
      </c>
      <c r="C178" s="1075"/>
      <c r="D178" s="1075"/>
      <c r="E178" s="1075" t="s">
        <v>10065</v>
      </c>
      <c r="F178" s="1076"/>
      <c r="G178" s="1075" t="s">
        <v>9065</v>
      </c>
      <c r="H178" s="1075" t="s">
        <v>9065</v>
      </c>
      <c r="I178" s="1075" t="s">
        <v>5530</v>
      </c>
      <c r="J178" s="1075" t="s">
        <v>1252</v>
      </c>
      <c r="K178" s="1075" t="s">
        <v>1251</v>
      </c>
      <c r="L178" s="1075" t="s">
        <v>5130</v>
      </c>
      <c r="M178" s="1077" t="s">
        <v>5529</v>
      </c>
      <c r="N178" s="1078">
        <v>6512400</v>
      </c>
      <c r="O178" s="1078" t="s">
        <v>375</v>
      </c>
      <c r="P178" s="1078"/>
      <c r="Q178" s="1079"/>
      <c r="V178" s="1084"/>
    </row>
    <row r="179" spans="1:22" s="1083" customFormat="1" ht="24" customHeight="1">
      <c r="A179" s="1075">
        <v>160</v>
      </c>
      <c r="B179" s="1069" t="s">
        <v>423</v>
      </c>
      <c r="C179" s="1069"/>
      <c r="D179" s="1069"/>
      <c r="E179" s="1069" t="s">
        <v>10066</v>
      </c>
      <c r="F179" s="1070"/>
      <c r="G179" s="1069" t="s">
        <v>9065</v>
      </c>
      <c r="H179" s="1069" t="s">
        <v>9065</v>
      </c>
      <c r="I179" s="1069" t="s">
        <v>5532</v>
      </c>
      <c r="J179" s="1069"/>
      <c r="K179" s="1125" t="s">
        <v>16164</v>
      </c>
      <c r="L179" s="1069" t="s">
        <v>5130</v>
      </c>
      <c r="M179" s="1071" t="s">
        <v>5531</v>
      </c>
      <c r="N179" s="1072">
        <v>6512400</v>
      </c>
      <c r="O179" s="1072"/>
      <c r="P179" s="1072" t="s">
        <v>16146</v>
      </c>
      <c r="Q179" s="1073"/>
      <c r="V179" s="1085"/>
    </row>
    <row r="180" spans="1:22" s="1082" customFormat="1" ht="24" customHeight="1">
      <c r="A180" s="1075">
        <v>161</v>
      </c>
      <c r="B180" s="1075" t="s">
        <v>423</v>
      </c>
      <c r="C180" s="1075"/>
      <c r="D180" s="1075"/>
      <c r="E180" s="1075" t="s">
        <v>10067</v>
      </c>
      <c r="F180" s="1076"/>
      <c r="G180" s="1075" t="s">
        <v>9065</v>
      </c>
      <c r="H180" s="1075" t="s">
        <v>9065</v>
      </c>
      <c r="I180" s="1075" t="s">
        <v>5534</v>
      </c>
      <c r="J180" s="1075" t="s">
        <v>1216</v>
      </c>
      <c r="K180" s="1075" t="s">
        <v>1215</v>
      </c>
      <c r="L180" s="1075" t="s">
        <v>5130</v>
      </c>
      <c r="M180" s="1077" t="s">
        <v>5533</v>
      </c>
      <c r="N180" s="1078">
        <v>6512400</v>
      </c>
      <c r="O180" s="1078" t="s">
        <v>375</v>
      </c>
      <c r="P180" s="1078" t="s">
        <v>1084</v>
      </c>
      <c r="Q180" s="1079"/>
      <c r="V180" s="1084"/>
    </row>
    <row r="181" spans="1:22" s="1082" customFormat="1" ht="24" customHeight="1">
      <c r="A181" s="1075">
        <v>162</v>
      </c>
      <c r="B181" s="1075" t="s">
        <v>423</v>
      </c>
      <c r="C181" s="1075"/>
      <c r="D181" s="1075"/>
      <c r="E181" s="1075" t="s">
        <v>10068</v>
      </c>
      <c r="F181" s="1076"/>
      <c r="G181" s="1075" t="s">
        <v>9065</v>
      </c>
      <c r="H181" s="1075" t="s">
        <v>9065</v>
      </c>
      <c r="I181" s="1075" t="s">
        <v>5536</v>
      </c>
      <c r="J181" s="1075" t="s">
        <v>1236</v>
      </c>
      <c r="K181" s="1075" t="s">
        <v>1235</v>
      </c>
      <c r="L181" s="1075" t="s">
        <v>5130</v>
      </c>
      <c r="M181" s="1077" t="s">
        <v>5535</v>
      </c>
      <c r="N181" s="1078">
        <v>6512400</v>
      </c>
      <c r="O181" s="1078" t="s">
        <v>375</v>
      </c>
      <c r="P181" s="1078"/>
      <c r="Q181" s="1079"/>
      <c r="V181" s="1084"/>
    </row>
    <row r="182" spans="1:22" s="1082" customFormat="1" ht="24" customHeight="1">
      <c r="A182" s="1075">
        <v>163</v>
      </c>
      <c r="B182" s="1075"/>
      <c r="C182" s="1075"/>
      <c r="D182" s="1075"/>
      <c r="E182" s="1075" t="s">
        <v>10069</v>
      </c>
      <c r="F182" s="1076"/>
      <c r="G182" s="1075" t="s">
        <v>9065</v>
      </c>
      <c r="H182" s="1075" t="s">
        <v>9065</v>
      </c>
      <c r="I182" s="1075" t="s">
        <v>5538</v>
      </c>
      <c r="J182" s="1075"/>
      <c r="K182" s="1075"/>
      <c r="L182" s="1075" t="s">
        <v>9888</v>
      </c>
      <c r="M182" s="1077" t="s">
        <v>5537</v>
      </c>
      <c r="N182" s="1078">
        <v>6512400</v>
      </c>
      <c r="O182" s="1078"/>
      <c r="P182" s="1078"/>
      <c r="Q182" s="1079"/>
      <c r="V182" s="1084"/>
    </row>
    <row r="183" spans="1:22" s="1082" customFormat="1" ht="24" customHeight="1">
      <c r="A183" s="1075">
        <v>164</v>
      </c>
      <c r="B183" s="1075" t="s">
        <v>423</v>
      </c>
      <c r="C183" s="1075"/>
      <c r="D183" s="1075"/>
      <c r="E183" s="1075" t="s">
        <v>10073</v>
      </c>
      <c r="F183" s="1076"/>
      <c r="G183" s="1075" t="s">
        <v>9065</v>
      </c>
      <c r="H183" s="1075" t="s">
        <v>9065</v>
      </c>
      <c r="I183" s="1075" t="s">
        <v>5542</v>
      </c>
      <c r="J183" s="1075" t="s">
        <v>1259</v>
      </c>
      <c r="K183" s="1075" t="s">
        <v>1258</v>
      </c>
      <c r="L183" s="1075" t="s">
        <v>5130</v>
      </c>
      <c r="M183" s="1077" t="s">
        <v>5541</v>
      </c>
      <c r="N183" s="1078">
        <v>6512400</v>
      </c>
      <c r="O183" s="1078" t="s">
        <v>375</v>
      </c>
      <c r="P183" s="1078"/>
      <c r="Q183" s="1079"/>
      <c r="V183" s="1084"/>
    </row>
    <row r="184" spans="1:22" s="1082" customFormat="1" ht="24" customHeight="1">
      <c r="A184" s="1075">
        <v>165</v>
      </c>
      <c r="B184" s="1075"/>
      <c r="C184" s="1075"/>
      <c r="D184" s="1075"/>
      <c r="E184" s="1075" t="s">
        <v>10074</v>
      </c>
      <c r="F184" s="1076"/>
      <c r="G184" s="1075" t="s">
        <v>9065</v>
      </c>
      <c r="H184" s="1075" t="s">
        <v>9065</v>
      </c>
      <c r="I184" s="1075" t="s">
        <v>5544</v>
      </c>
      <c r="J184" s="1075" t="s">
        <v>15622</v>
      </c>
      <c r="K184" s="1075" t="s">
        <v>15621</v>
      </c>
      <c r="L184" s="1075" t="s">
        <v>5130</v>
      </c>
      <c r="M184" s="1077" t="s">
        <v>5543</v>
      </c>
      <c r="N184" s="1078">
        <v>6512400</v>
      </c>
      <c r="O184" s="1078" t="s">
        <v>375</v>
      </c>
      <c r="P184" s="1078"/>
      <c r="Q184" s="1079"/>
      <c r="V184" s="1084"/>
    </row>
    <row r="185" spans="1:22" s="1082" customFormat="1" ht="24" customHeight="1">
      <c r="A185" s="1075">
        <v>166</v>
      </c>
      <c r="B185" s="1075"/>
      <c r="C185" s="1075"/>
      <c r="D185" s="1075"/>
      <c r="E185" s="1075" t="s">
        <v>10077</v>
      </c>
      <c r="F185" s="1076"/>
      <c r="G185" s="1075" t="s">
        <v>9065</v>
      </c>
      <c r="H185" s="1075" t="s">
        <v>9065</v>
      </c>
      <c r="I185" s="1075" t="s">
        <v>6093</v>
      </c>
      <c r="J185" s="1075"/>
      <c r="K185" s="1075"/>
      <c r="L185" s="1075" t="s">
        <v>9888</v>
      </c>
      <c r="M185" s="1077" t="s">
        <v>6092</v>
      </c>
      <c r="N185" s="1078">
        <v>6512400</v>
      </c>
      <c r="O185" s="1078"/>
      <c r="P185" s="1078"/>
      <c r="Q185" s="1079"/>
      <c r="V185" s="1084"/>
    </row>
    <row r="186" spans="1:22" s="1082" customFormat="1" ht="24" customHeight="1">
      <c r="A186" s="1075">
        <v>167</v>
      </c>
      <c r="B186" s="1075"/>
      <c r="C186" s="1075"/>
      <c r="D186" s="1075"/>
      <c r="E186" s="1075" t="s">
        <v>10078</v>
      </c>
      <c r="F186" s="1076"/>
      <c r="G186" s="1075" t="s">
        <v>9065</v>
      </c>
      <c r="H186" s="1075" t="s">
        <v>9065</v>
      </c>
      <c r="I186" s="1075" t="s">
        <v>6095</v>
      </c>
      <c r="J186" s="1075"/>
      <c r="K186" s="1075"/>
      <c r="L186" s="1075" t="s">
        <v>9888</v>
      </c>
      <c r="M186" s="1077" t="s">
        <v>6094</v>
      </c>
      <c r="N186" s="1078">
        <v>6512400</v>
      </c>
      <c r="O186" s="1078"/>
      <c r="P186" s="1078"/>
      <c r="Q186" s="1079"/>
      <c r="V186" s="1084"/>
    </row>
    <row r="187" spans="1:22" s="1082" customFormat="1" ht="24" customHeight="1">
      <c r="A187" s="1075">
        <v>168</v>
      </c>
      <c r="B187" s="1075"/>
      <c r="C187" s="1075"/>
      <c r="D187" s="1075"/>
      <c r="E187" s="1075" t="s">
        <v>10079</v>
      </c>
      <c r="F187" s="1076"/>
      <c r="G187" s="1075" t="s">
        <v>9065</v>
      </c>
      <c r="H187" s="1075" t="s">
        <v>9065</v>
      </c>
      <c r="I187" s="1075" t="s">
        <v>6097</v>
      </c>
      <c r="J187" s="1075"/>
      <c r="K187" s="1075"/>
      <c r="L187" s="1075" t="s">
        <v>9888</v>
      </c>
      <c r="M187" s="1077" t="s">
        <v>6096</v>
      </c>
      <c r="N187" s="1078">
        <v>6512400</v>
      </c>
      <c r="O187" s="1078"/>
      <c r="P187" s="1078"/>
      <c r="Q187" s="1079"/>
      <c r="V187" s="1084"/>
    </row>
    <row r="188" spans="1:22" s="1082" customFormat="1" ht="24" customHeight="1">
      <c r="A188" s="1075">
        <v>169</v>
      </c>
      <c r="B188" s="1075"/>
      <c r="C188" s="1075"/>
      <c r="D188" s="1075"/>
      <c r="E188" s="1075" t="s">
        <v>10080</v>
      </c>
      <c r="F188" s="1076"/>
      <c r="G188" s="1075" t="s">
        <v>9065</v>
      </c>
      <c r="H188" s="1075" t="s">
        <v>9065</v>
      </c>
      <c r="I188" s="1075" t="s">
        <v>5546</v>
      </c>
      <c r="J188" s="1075"/>
      <c r="K188" s="1075"/>
      <c r="L188" s="1075" t="s">
        <v>9888</v>
      </c>
      <c r="M188" s="1077" t="s">
        <v>5545</v>
      </c>
      <c r="N188" s="1078">
        <v>6512400</v>
      </c>
      <c r="O188" s="1078"/>
      <c r="P188" s="1078"/>
      <c r="Q188" s="1079"/>
      <c r="V188" s="1084"/>
    </row>
    <row r="189" spans="1:22" s="1082" customFormat="1" ht="24" customHeight="1">
      <c r="A189" s="1075">
        <v>170</v>
      </c>
      <c r="B189" s="1075" t="s">
        <v>1595</v>
      </c>
      <c r="C189" s="1075"/>
      <c r="D189" s="1075"/>
      <c r="E189" s="1075" t="s">
        <v>10081</v>
      </c>
      <c r="F189" s="1076"/>
      <c r="G189" s="1075" t="s">
        <v>9065</v>
      </c>
      <c r="H189" s="1075" t="s">
        <v>9065</v>
      </c>
      <c r="I189" s="1075" t="s">
        <v>5548</v>
      </c>
      <c r="J189" s="1075" t="s">
        <v>2188</v>
      </c>
      <c r="K189" s="1075" t="s">
        <v>2187</v>
      </c>
      <c r="L189" s="1075" t="s">
        <v>5130</v>
      </c>
      <c r="M189" s="1077" t="s">
        <v>5547</v>
      </c>
      <c r="N189" s="1078">
        <v>6512400</v>
      </c>
      <c r="O189" s="1078" t="s">
        <v>375</v>
      </c>
      <c r="P189" s="1078"/>
      <c r="Q189" s="1079"/>
      <c r="V189" s="1084"/>
    </row>
    <row r="190" spans="1:22" s="1082" customFormat="1" ht="24" customHeight="1">
      <c r="A190" s="1075">
        <v>171</v>
      </c>
      <c r="B190" s="1075"/>
      <c r="C190" s="1075"/>
      <c r="D190" s="1075"/>
      <c r="E190" s="1075" t="s">
        <v>10082</v>
      </c>
      <c r="F190" s="1076"/>
      <c r="G190" s="1075" t="s">
        <v>9065</v>
      </c>
      <c r="H190" s="1075" t="s">
        <v>9065</v>
      </c>
      <c r="I190" s="1075" t="s">
        <v>6099</v>
      </c>
      <c r="J190" s="1075"/>
      <c r="K190" s="1075"/>
      <c r="L190" s="1075" t="s">
        <v>9888</v>
      </c>
      <c r="M190" s="1077" t="s">
        <v>6098</v>
      </c>
      <c r="N190" s="1078">
        <v>6512400</v>
      </c>
      <c r="O190" s="1078"/>
      <c r="P190" s="1078"/>
      <c r="Q190" s="1079"/>
      <c r="V190" s="1084"/>
    </row>
    <row r="191" spans="1:22" s="1082" customFormat="1" ht="24" customHeight="1">
      <c r="A191" s="1075">
        <v>172</v>
      </c>
      <c r="B191" s="1075"/>
      <c r="C191" s="1075"/>
      <c r="D191" s="1075"/>
      <c r="E191" s="1075" t="s">
        <v>10083</v>
      </c>
      <c r="F191" s="1076"/>
      <c r="G191" s="1075" t="s">
        <v>9065</v>
      </c>
      <c r="H191" s="1075" t="s">
        <v>9065</v>
      </c>
      <c r="I191" s="1075" t="s">
        <v>5550</v>
      </c>
      <c r="J191" s="1075"/>
      <c r="K191" s="1075"/>
      <c r="L191" s="1075" t="s">
        <v>9888</v>
      </c>
      <c r="M191" s="1077" t="s">
        <v>5549</v>
      </c>
      <c r="N191" s="1078">
        <v>6512400</v>
      </c>
      <c r="O191" s="1078"/>
      <c r="P191" s="1078"/>
      <c r="Q191" s="1079"/>
      <c r="V191" s="1084"/>
    </row>
    <row r="192" spans="1:22" s="1082" customFormat="1" ht="24" customHeight="1">
      <c r="A192" s="1075">
        <v>173</v>
      </c>
      <c r="B192" s="1075"/>
      <c r="C192" s="1075"/>
      <c r="D192" s="1075"/>
      <c r="E192" s="1075" t="s">
        <v>10084</v>
      </c>
      <c r="F192" s="1076"/>
      <c r="G192" s="1075" t="s">
        <v>9065</v>
      </c>
      <c r="H192" s="1075" t="s">
        <v>9065</v>
      </c>
      <c r="I192" s="1075" t="s">
        <v>6101</v>
      </c>
      <c r="J192" s="1075"/>
      <c r="K192" s="1075"/>
      <c r="L192" s="1075" t="s">
        <v>9888</v>
      </c>
      <c r="M192" s="1077" t="s">
        <v>6100</v>
      </c>
      <c r="N192" s="1078">
        <v>6512400</v>
      </c>
      <c r="O192" s="1078"/>
      <c r="P192" s="1078"/>
      <c r="Q192" s="1079"/>
      <c r="V192" s="1084"/>
    </row>
    <row r="193" spans="1:22" s="1082" customFormat="1" ht="24" customHeight="1">
      <c r="A193" s="1075">
        <v>174</v>
      </c>
      <c r="B193" s="1075"/>
      <c r="C193" s="1075"/>
      <c r="D193" s="1075"/>
      <c r="E193" s="1075" t="s">
        <v>10085</v>
      </c>
      <c r="F193" s="1076"/>
      <c r="G193" s="1075" t="s">
        <v>9065</v>
      </c>
      <c r="H193" s="1075" t="s">
        <v>9065</v>
      </c>
      <c r="I193" s="1075" t="s">
        <v>6103</v>
      </c>
      <c r="J193" s="1075"/>
      <c r="K193" s="1075"/>
      <c r="L193" s="1075" t="s">
        <v>9888</v>
      </c>
      <c r="M193" s="1077" t="s">
        <v>6102</v>
      </c>
      <c r="N193" s="1078">
        <v>6512400</v>
      </c>
      <c r="O193" s="1078"/>
      <c r="P193" s="1078"/>
      <c r="Q193" s="1079"/>
      <c r="V193" s="1084"/>
    </row>
    <row r="194" spans="1:22" s="1082" customFormat="1" ht="24" customHeight="1">
      <c r="A194" s="1075">
        <v>175</v>
      </c>
      <c r="B194" s="1075"/>
      <c r="C194" s="1075"/>
      <c r="D194" s="1075"/>
      <c r="E194" s="1075" t="s">
        <v>10086</v>
      </c>
      <c r="F194" s="1076"/>
      <c r="G194" s="1075" t="s">
        <v>9065</v>
      </c>
      <c r="H194" s="1075" t="s">
        <v>9065</v>
      </c>
      <c r="I194" s="1075" t="s">
        <v>6105</v>
      </c>
      <c r="J194" s="1075"/>
      <c r="K194" s="1075"/>
      <c r="L194" s="1075" t="s">
        <v>9888</v>
      </c>
      <c r="M194" s="1077" t="s">
        <v>6104</v>
      </c>
      <c r="N194" s="1078">
        <v>6512400</v>
      </c>
      <c r="O194" s="1078"/>
      <c r="P194" s="1078"/>
      <c r="Q194" s="1079"/>
      <c r="V194" s="1084"/>
    </row>
    <row r="195" spans="1:22" s="1082" customFormat="1" ht="24" customHeight="1">
      <c r="A195" s="1075">
        <v>176</v>
      </c>
      <c r="B195" s="1075"/>
      <c r="C195" s="1075"/>
      <c r="D195" s="1075"/>
      <c r="E195" s="1075" t="s">
        <v>10088</v>
      </c>
      <c r="F195" s="1076"/>
      <c r="G195" s="1075" t="s">
        <v>9065</v>
      </c>
      <c r="H195" s="1075" t="s">
        <v>9065</v>
      </c>
      <c r="I195" s="1075" t="s">
        <v>6109</v>
      </c>
      <c r="J195" s="1075"/>
      <c r="K195" s="1075"/>
      <c r="L195" s="1075" t="s">
        <v>9888</v>
      </c>
      <c r="M195" s="1077" t="s">
        <v>6108</v>
      </c>
      <c r="N195" s="1078">
        <v>6512400</v>
      </c>
      <c r="O195" s="1078"/>
      <c r="P195" s="1078"/>
      <c r="Q195" s="1079"/>
      <c r="V195" s="1084"/>
    </row>
    <row r="196" spans="1:22" s="1082" customFormat="1" ht="24" customHeight="1">
      <c r="A196" s="1075">
        <v>177</v>
      </c>
      <c r="B196" s="1075"/>
      <c r="C196" s="1075"/>
      <c r="D196" s="1075"/>
      <c r="E196" s="1075" t="s">
        <v>10089</v>
      </c>
      <c r="F196" s="1076"/>
      <c r="G196" s="1075" t="s">
        <v>9065</v>
      </c>
      <c r="H196" s="1075" t="s">
        <v>9065</v>
      </c>
      <c r="I196" s="1075" t="s">
        <v>5552</v>
      </c>
      <c r="J196" s="1075"/>
      <c r="K196" s="1075"/>
      <c r="L196" s="1075" t="s">
        <v>9888</v>
      </c>
      <c r="M196" s="1077" t="s">
        <v>5551</v>
      </c>
      <c r="N196" s="1078">
        <v>6512400</v>
      </c>
      <c r="O196" s="1078"/>
      <c r="P196" s="1078"/>
      <c r="Q196" s="1079"/>
      <c r="V196" s="1084"/>
    </row>
    <row r="197" spans="1:22" s="1082" customFormat="1" ht="24" customHeight="1">
      <c r="A197" s="1075">
        <v>178</v>
      </c>
      <c r="B197" s="1075" t="s">
        <v>1595</v>
      </c>
      <c r="C197" s="1075"/>
      <c r="D197" s="1075"/>
      <c r="E197" s="1075" t="s">
        <v>10090</v>
      </c>
      <c r="F197" s="1076"/>
      <c r="G197" s="1075" t="s">
        <v>9065</v>
      </c>
      <c r="H197" s="1075" t="s">
        <v>9065</v>
      </c>
      <c r="I197" s="1075" t="s">
        <v>6111</v>
      </c>
      <c r="J197" s="1075" t="s">
        <v>2199</v>
      </c>
      <c r="K197" s="1075" t="s">
        <v>2198</v>
      </c>
      <c r="L197" s="1075" t="s">
        <v>9888</v>
      </c>
      <c r="M197" s="1077" t="s">
        <v>6110</v>
      </c>
      <c r="N197" s="1078">
        <v>6512400</v>
      </c>
      <c r="O197" s="1078" t="s">
        <v>375</v>
      </c>
      <c r="P197" s="1078"/>
      <c r="Q197" s="1079"/>
      <c r="V197" s="1084"/>
    </row>
    <row r="198" spans="1:22" s="1082" customFormat="1" ht="24" customHeight="1">
      <c r="A198" s="1075">
        <v>179</v>
      </c>
      <c r="B198" s="1075"/>
      <c r="C198" s="1075"/>
      <c r="D198" s="1075"/>
      <c r="E198" s="1075" t="s">
        <v>10091</v>
      </c>
      <c r="F198" s="1076"/>
      <c r="G198" s="1075" t="s">
        <v>9065</v>
      </c>
      <c r="H198" s="1075" t="s">
        <v>9065</v>
      </c>
      <c r="I198" s="1075" t="s">
        <v>5554</v>
      </c>
      <c r="J198" s="1075"/>
      <c r="K198" s="1075"/>
      <c r="L198" s="1075" t="s">
        <v>9888</v>
      </c>
      <c r="M198" s="1077" t="s">
        <v>5553</v>
      </c>
      <c r="N198" s="1078">
        <v>6512400</v>
      </c>
      <c r="O198" s="1078"/>
      <c r="P198" s="1078"/>
      <c r="Q198" s="1079"/>
      <c r="V198" s="1084"/>
    </row>
    <row r="199" spans="1:22" s="1082" customFormat="1" ht="24" customHeight="1">
      <c r="A199" s="1075">
        <v>180</v>
      </c>
      <c r="B199" s="1075" t="s">
        <v>423</v>
      </c>
      <c r="C199" s="1075"/>
      <c r="D199" s="1075"/>
      <c r="E199" s="1075" t="s">
        <v>10092</v>
      </c>
      <c r="F199" s="1076"/>
      <c r="G199" s="1075" t="s">
        <v>9065</v>
      </c>
      <c r="H199" s="1075" t="s">
        <v>9065</v>
      </c>
      <c r="I199" s="1075" t="s">
        <v>5556</v>
      </c>
      <c r="J199" s="1075" t="s">
        <v>1197</v>
      </c>
      <c r="K199" s="1075" t="s">
        <v>1196</v>
      </c>
      <c r="L199" s="1075" t="s">
        <v>5130</v>
      </c>
      <c r="M199" s="1077" t="s">
        <v>5555</v>
      </c>
      <c r="N199" s="1078">
        <v>6512400</v>
      </c>
      <c r="O199" s="1078" t="s">
        <v>375</v>
      </c>
      <c r="P199" s="1078"/>
      <c r="Q199" s="1079"/>
      <c r="V199" s="1084"/>
    </row>
    <row r="200" spans="1:22" s="1082" customFormat="1" ht="24" customHeight="1">
      <c r="A200" s="1075">
        <v>181</v>
      </c>
      <c r="B200" s="1075"/>
      <c r="C200" s="1075"/>
      <c r="D200" s="1075"/>
      <c r="E200" s="1075" t="s">
        <v>10093</v>
      </c>
      <c r="F200" s="1076"/>
      <c r="G200" s="1075" t="s">
        <v>9065</v>
      </c>
      <c r="H200" s="1075" t="s">
        <v>9065</v>
      </c>
      <c r="I200" s="1075" t="s">
        <v>6113</v>
      </c>
      <c r="J200" s="1075"/>
      <c r="K200" s="1075"/>
      <c r="L200" s="1075" t="s">
        <v>9888</v>
      </c>
      <c r="M200" s="1077" t="s">
        <v>6112</v>
      </c>
      <c r="N200" s="1078">
        <v>6512400</v>
      </c>
      <c r="O200" s="1078"/>
      <c r="P200" s="1078"/>
      <c r="Q200" s="1079"/>
      <c r="V200" s="1084"/>
    </row>
    <row r="201" spans="1:22" s="1082" customFormat="1" ht="24" customHeight="1">
      <c r="A201" s="1075">
        <v>182</v>
      </c>
      <c r="B201" s="1075" t="s">
        <v>1604</v>
      </c>
      <c r="C201" s="1075"/>
      <c r="D201" s="1075"/>
      <c r="E201" s="1075" t="s">
        <v>10096</v>
      </c>
      <c r="F201" s="1076"/>
      <c r="G201" s="1075" t="s">
        <v>9065</v>
      </c>
      <c r="H201" s="1075" t="s">
        <v>9065</v>
      </c>
      <c r="I201" s="1075" t="s">
        <v>5560</v>
      </c>
      <c r="J201" s="1075" t="s">
        <v>2310</v>
      </c>
      <c r="K201" s="1075" t="s">
        <v>2309</v>
      </c>
      <c r="L201" s="1075" t="s">
        <v>5130</v>
      </c>
      <c r="M201" s="1077" t="s">
        <v>5559</v>
      </c>
      <c r="N201" s="1078">
        <v>6512400</v>
      </c>
      <c r="O201" s="1078" t="s">
        <v>375</v>
      </c>
      <c r="P201" s="1078"/>
      <c r="Q201" s="1079"/>
      <c r="V201" s="1084"/>
    </row>
    <row r="202" spans="1:22" s="1082" customFormat="1" ht="24" customHeight="1">
      <c r="A202" s="1075">
        <v>183</v>
      </c>
      <c r="B202" s="1075"/>
      <c r="C202" s="1075"/>
      <c r="D202" s="1075"/>
      <c r="E202" s="1075" t="s">
        <v>10098</v>
      </c>
      <c r="F202" s="1076"/>
      <c r="G202" s="1075" t="s">
        <v>9065</v>
      </c>
      <c r="H202" s="1075" t="s">
        <v>9065</v>
      </c>
      <c r="I202" s="1075" t="s">
        <v>6119</v>
      </c>
      <c r="J202" s="1075"/>
      <c r="K202" s="1075"/>
      <c r="L202" s="1075" t="s">
        <v>9888</v>
      </c>
      <c r="M202" s="1077" t="s">
        <v>6118</v>
      </c>
      <c r="N202" s="1078">
        <v>6512400</v>
      </c>
      <c r="O202" s="1078"/>
      <c r="P202" s="1078"/>
      <c r="Q202" s="1079"/>
      <c r="V202" s="1084"/>
    </row>
    <row r="203" spans="1:22" s="1082" customFormat="1" ht="24" customHeight="1">
      <c r="A203" s="1075">
        <v>184</v>
      </c>
      <c r="B203" s="1075"/>
      <c r="C203" s="1075"/>
      <c r="D203" s="1075"/>
      <c r="E203" s="1075" t="s">
        <v>10099</v>
      </c>
      <c r="F203" s="1076"/>
      <c r="G203" s="1075" t="s">
        <v>9065</v>
      </c>
      <c r="H203" s="1075" t="s">
        <v>9065</v>
      </c>
      <c r="I203" s="1075" t="s">
        <v>6121</v>
      </c>
      <c r="J203" s="1075"/>
      <c r="K203" s="1075"/>
      <c r="L203" s="1075" t="s">
        <v>9888</v>
      </c>
      <c r="M203" s="1077" t="s">
        <v>6120</v>
      </c>
      <c r="N203" s="1078">
        <v>6512400</v>
      </c>
      <c r="O203" s="1078"/>
      <c r="P203" s="1078"/>
      <c r="Q203" s="1079"/>
      <c r="V203" s="1084"/>
    </row>
    <row r="204" spans="1:22" s="1082" customFormat="1" ht="24" customHeight="1">
      <c r="A204" s="1075">
        <v>185</v>
      </c>
      <c r="B204" s="1075"/>
      <c r="C204" s="1075"/>
      <c r="D204" s="1075"/>
      <c r="E204" s="1075" t="s">
        <v>10101</v>
      </c>
      <c r="F204" s="1076"/>
      <c r="G204" s="1075" t="s">
        <v>9065</v>
      </c>
      <c r="H204" s="1075" t="s">
        <v>9065</v>
      </c>
      <c r="I204" s="1075" t="s">
        <v>6125</v>
      </c>
      <c r="J204" s="1075"/>
      <c r="K204" s="1075"/>
      <c r="L204" s="1075" t="s">
        <v>9888</v>
      </c>
      <c r="M204" s="1077" t="s">
        <v>6124</v>
      </c>
      <c r="N204" s="1078">
        <v>6512400</v>
      </c>
      <c r="O204" s="1078"/>
      <c r="P204" s="1078"/>
      <c r="Q204" s="1079"/>
      <c r="V204" s="1084"/>
    </row>
    <row r="205" spans="1:22" s="1082" customFormat="1" ht="24" customHeight="1">
      <c r="A205" s="1075">
        <v>186</v>
      </c>
      <c r="B205" s="1075"/>
      <c r="C205" s="1075"/>
      <c r="D205" s="1075"/>
      <c r="E205" s="1075" t="s">
        <v>10103</v>
      </c>
      <c r="F205" s="1076"/>
      <c r="G205" s="1075" t="s">
        <v>9065</v>
      </c>
      <c r="H205" s="1075" t="s">
        <v>9065</v>
      </c>
      <c r="I205" s="1075" t="s">
        <v>6129</v>
      </c>
      <c r="J205" s="1075"/>
      <c r="K205" s="1075"/>
      <c r="L205" s="1075" t="s">
        <v>9888</v>
      </c>
      <c r="M205" s="1077" t="s">
        <v>6128</v>
      </c>
      <c r="N205" s="1078">
        <v>6512400</v>
      </c>
      <c r="O205" s="1078"/>
      <c r="P205" s="1078"/>
      <c r="Q205" s="1079"/>
      <c r="V205" s="1084"/>
    </row>
    <row r="206" spans="1:22" s="1082" customFormat="1" ht="24" customHeight="1">
      <c r="A206" s="1075">
        <v>187</v>
      </c>
      <c r="B206" s="1075"/>
      <c r="C206" s="1075"/>
      <c r="D206" s="1075"/>
      <c r="E206" s="1075" t="s">
        <v>10105</v>
      </c>
      <c r="F206" s="1076"/>
      <c r="G206" s="1075" t="s">
        <v>9065</v>
      </c>
      <c r="H206" s="1075" t="s">
        <v>9065</v>
      </c>
      <c r="I206" s="1075" t="s">
        <v>6133</v>
      </c>
      <c r="J206" s="1075"/>
      <c r="K206" s="1075"/>
      <c r="L206" s="1075" t="s">
        <v>9888</v>
      </c>
      <c r="M206" s="1077" t="s">
        <v>6132</v>
      </c>
      <c r="N206" s="1078">
        <v>6512400</v>
      </c>
      <c r="O206" s="1078"/>
      <c r="P206" s="1078"/>
      <c r="Q206" s="1079"/>
      <c r="V206" s="1084"/>
    </row>
    <row r="207" spans="1:22" s="1082" customFormat="1" ht="24" customHeight="1">
      <c r="A207" s="1075">
        <v>188</v>
      </c>
      <c r="B207" s="1075" t="s">
        <v>1595</v>
      </c>
      <c r="C207" s="1075"/>
      <c r="D207" s="1075"/>
      <c r="E207" s="1075" t="s">
        <v>10107</v>
      </c>
      <c r="F207" s="1076"/>
      <c r="G207" s="1075" t="s">
        <v>9065</v>
      </c>
      <c r="H207" s="1075" t="s">
        <v>9065</v>
      </c>
      <c r="I207" s="1075" t="s">
        <v>5562</v>
      </c>
      <c r="J207" s="1075" t="s">
        <v>2206</v>
      </c>
      <c r="K207" s="1075" t="s">
        <v>2205</v>
      </c>
      <c r="L207" s="1075" t="s">
        <v>5130</v>
      </c>
      <c r="M207" s="1077" t="s">
        <v>5561</v>
      </c>
      <c r="N207" s="1078">
        <v>6512400</v>
      </c>
      <c r="O207" s="1078" t="s">
        <v>375</v>
      </c>
      <c r="P207" s="1078"/>
      <c r="Q207" s="1079"/>
      <c r="V207" s="1084"/>
    </row>
    <row r="208" spans="1:22" s="1082" customFormat="1" ht="24" customHeight="1">
      <c r="A208" s="1075">
        <v>189</v>
      </c>
      <c r="B208" s="1075"/>
      <c r="C208" s="1075"/>
      <c r="D208" s="1075"/>
      <c r="E208" s="1075" t="s">
        <v>10108</v>
      </c>
      <c r="F208" s="1076"/>
      <c r="G208" s="1075" t="s">
        <v>9065</v>
      </c>
      <c r="H208" s="1075" t="s">
        <v>9065</v>
      </c>
      <c r="I208" s="1075" t="s">
        <v>6137</v>
      </c>
      <c r="J208" s="1075"/>
      <c r="K208" s="1075"/>
      <c r="L208" s="1075" t="s">
        <v>9888</v>
      </c>
      <c r="M208" s="1077" t="s">
        <v>6136</v>
      </c>
      <c r="N208" s="1078">
        <v>6512400</v>
      </c>
      <c r="O208" s="1078"/>
      <c r="P208" s="1078"/>
      <c r="Q208" s="1079"/>
      <c r="V208" s="1084"/>
    </row>
    <row r="209" spans="1:22" s="1082" customFormat="1" ht="24" customHeight="1">
      <c r="A209" s="1075">
        <v>190</v>
      </c>
      <c r="B209" s="1075"/>
      <c r="C209" s="1075"/>
      <c r="D209" s="1075"/>
      <c r="E209" s="1075" t="s">
        <v>10110</v>
      </c>
      <c r="F209" s="1076"/>
      <c r="G209" s="1075" t="s">
        <v>9065</v>
      </c>
      <c r="H209" s="1075" t="s">
        <v>9065</v>
      </c>
      <c r="I209" s="1075" t="s">
        <v>6141</v>
      </c>
      <c r="J209" s="1075"/>
      <c r="K209" s="1075"/>
      <c r="L209" s="1075" t="s">
        <v>9888</v>
      </c>
      <c r="M209" s="1077" t="s">
        <v>6140</v>
      </c>
      <c r="N209" s="1078">
        <v>6512400</v>
      </c>
      <c r="O209" s="1078"/>
      <c r="P209" s="1078"/>
      <c r="Q209" s="1079"/>
      <c r="V209" s="1084"/>
    </row>
    <row r="210" spans="1:22" s="1082" customFormat="1" ht="24" customHeight="1">
      <c r="A210" s="1075">
        <v>191</v>
      </c>
      <c r="B210" s="1075"/>
      <c r="C210" s="1075"/>
      <c r="D210" s="1075"/>
      <c r="E210" s="1075" t="s">
        <v>10111</v>
      </c>
      <c r="F210" s="1076"/>
      <c r="G210" s="1075" t="s">
        <v>9065</v>
      </c>
      <c r="H210" s="1075" t="s">
        <v>9065</v>
      </c>
      <c r="I210" s="1075" t="s">
        <v>6143</v>
      </c>
      <c r="J210" s="1075"/>
      <c r="K210" s="1075"/>
      <c r="L210" s="1075" t="s">
        <v>9888</v>
      </c>
      <c r="M210" s="1077" t="s">
        <v>6142</v>
      </c>
      <c r="N210" s="1078">
        <v>6512400</v>
      </c>
      <c r="O210" s="1078"/>
      <c r="P210" s="1078"/>
      <c r="Q210" s="1079"/>
      <c r="V210" s="1084"/>
    </row>
    <row r="211" spans="1:22" s="1082" customFormat="1" ht="24" customHeight="1">
      <c r="A211" s="1075">
        <v>192</v>
      </c>
      <c r="B211" s="1075"/>
      <c r="C211" s="1075"/>
      <c r="D211" s="1075"/>
      <c r="E211" s="1075" t="s">
        <v>10113</v>
      </c>
      <c r="F211" s="1076"/>
      <c r="G211" s="1075" t="s">
        <v>9065</v>
      </c>
      <c r="H211" s="1075" t="s">
        <v>9065</v>
      </c>
      <c r="I211" s="1075" t="s">
        <v>5566</v>
      </c>
      <c r="J211" s="1075" t="s">
        <v>5566</v>
      </c>
      <c r="K211" s="1075" t="s">
        <v>15619</v>
      </c>
      <c r="L211" s="1075" t="s">
        <v>5130</v>
      </c>
      <c r="M211" s="1077" t="s">
        <v>5565</v>
      </c>
      <c r="N211" s="1078">
        <v>6512400</v>
      </c>
      <c r="O211" s="1078" t="s">
        <v>375</v>
      </c>
      <c r="P211" s="1078"/>
      <c r="Q211" s="1079"/>
      <c r="V211" s="1084"/>
    </row>
    <row r="212" spans="1:22" s="1082" customFormat="1" ht="24" customHeight="1">
      <c r="A212" s="1075">
        <v>193</v>
      </c>
      <c r="B212" s="1075"/>
      <c r="C212" s="1075"/>
      <c r="D212" s="1075"/>
      <c r="E212" s="1075" t="s">
        <v>10116</v>
      </c>
      <c r="F212" s="1076"/>
      <c r="G212" s="1075" t="s">
        <v>9065</v>
      </c>
      <c r="H212" s="1075" t="s">
        <v>9065</v>
      </c>
      <c r="I212" s="1075" t="s">
        <v>6147</v>
      </c>
      <c r="J212" s="1075"/>
      <c r="K212" s="1075"/>
      <c r="L212" s="1075" t="s">
        <v>9888</v>
      </c>
      <c r="M212" s="1077" t="s">
        <v>6146</v>
      </c>
      <c r="N212" s="1078">
        <v>6512400</v>
      </c>
      <c r="O212" s="1078"/>
      <c r="P212" s="1078"/>
      <c r="Q212" s="1079"/>
      <c r="V212" s="1084"/>
    </row>
    <row r="213" spans="1:22" s="1082" customFormat="1" ht="24" customHeight="1">
      <c r="A213" s="1075">
        <v>194</v>
      </c>
      <c r="B213" s="1075"/>
      <c r="C213" s="1075"/>
      <c r="D213" s="1075"/>
      <c r="E213" s="1075" t="s">
        <v>10118</v>
      </c>
      <c r="F213" s="1076"/>
      <c r="G213" s="1075" t="s">
        <v>9065</v>
      </c>
      <c r="H213" s="1075" t="s">
        <v>9065</v>
      </c>
      <c r="I213" s="1075" t="s">
        <v>6151</v>
      </c>
      <c r="J213" s="1075"/>
      <c r="K213" s="1075"/>
      <c r="L213" s="1075" t="s">
        <v>9888</v>
      </c>
      <c r="M213" s="1077" t="s">
        <v>6150</v>
      </c>
      <c r="N213" s="1078">
        <v>6512400</v>
      </c>
      <c r="O213" s="1078"/>
      <c r="P213" s="1078"/>
      <c r="Q213" s="1079"/>
      <c r="V213" s="1084"/>
    </row>
    <row r="214" spans="1:22" s="1133" customFormat="1" ht="24" customHeight="1">
      <c r="A214" s="1075">
        <v>195</v>
      </c>
      <c r="B214" s="1128" t="s">
        <v>423</v>
      </c>
      <c r="C214" s="1128"/>
      <c r="D214" s="1128"/>
      <c r="E214" s="1128" t="s">
        <v>10120</v>
      </c>
      <c r="F214" s="1129"/>
      <c r="G214" s="1128" t="s">
        <v>9065</v>
      </c>
      <c r="H214" s="1128" t="s">
        <v>9065</v>
      </c>
      <c r="I214" s="1128" t="s">
        <v>5572</v>
      </c>
      <c r="J214" s="1128"/>
      <c r="K214" s="1128" t="s">
        <v>16174</v>
      </c>
      <c r="L214" s="1128" t="s">
        <v>5130</v>
      </c>
      <c r="M214" s="1130" t="s">
        <v>5571</v>
      </c>
      <c r="N214" s="1131">
        <v>6512400</v>
      </c>
      <c r="O214" s="1131"/>
      <c r="P214" s="1131" t="s">
        <v>16146</v>
      </c>
      <c r="Q214" s="1132" t="s">
        <v>16209</v>
      </c>
      <c r="V214" s="1134"/>
    </row>
    <row r="215" spans="1:22" s="1082" customFormat="1" ht="24" customHeight="1">
      <c r="A215" s="1075">
        <v>196</v>
      </c>
      <c r="B215" s="1075"/>
      <c r="C215" s="1075"/>
      <c r="D215" s="1075"/>
      <c r="E215" s="1075" t="s">
        <v>10121</v>
      </c>
      <c r="F215" s="1076"/>
      <c r="G215" s="1075" t="s">
        <v>9065</v>
      </c>
      <c r="H215" s="1075" t="s">
        <v>9065</v>
      </c>
      <c r="I215" s="1075" t="s">
        <v>6153</v>
      </c>
      <c r="J215" s="1075"/>
      <c r="K215" s="1075"/>
      <c r="L215" s="1075" t="s">
        <v>9888</v>
      </c>
      <c r="M215" s="1077" t="s">
        <v>6152</v>
      </c>
      <c r="N215" s="1078">
        <v>6512400</v>
      </c>
      <c r="O215" s="1078"/>
      <c r="P215" s="1078"/>
      <c r="Q215" s="1079"/>
      <c r="V215" s="1084"/>
    </row>
    <row r="216" spans="1:22" s="1082" customFormat="1" ht="24" customHeight="1">
      <c r="A216" s="1075">
        <v>197</v>
      </c>
      <c r="B216" s="1075"/>
      <c r="C216" s="1075"/>
      <c r="D216" s="1075"/>
      <c r="E216" s="1075" t="s">
        <v>10122</v>
      </c>
      <c r="F216" s="1076"/>
      <c r="G216" s="1075" t="s">
        <v>9065</v>
      </c>
      <c r="H216" s="1075" t="s">
        <v>9065</v>
      </c>
      <c r="I216" s="1075" t="s">
        <v>6155</v>
      </c>
      <c r="J216" s="1075"/>
      <c r="K216" s="1075"/>
      <c r="L216" s="1075" t="s">
        <v>9888</v>
      </c>
      <c r="M216" s="1077" t="s">
        <v>6154</v>
      </c>
      <c r="N216" s="1078">
        <v>6512400</v>
      </c>
      <c r="O216" s="1078"/>
      <c r="P216" s="1078"/>
      <c r="Q216" s="1079"/>
      <c r="V216" s="1084"/>
    </row>
    <row r="217" spans="1:22" s="1082" customFormat="1" ht="24" customHeight="1">
      <c r="A217" s="1075">
        <v>198</v>
      </c>
      <c r="B217" s="376" t="s">
        <v>1595</v>
      </c>
      <c r="C217" s="376"/>
      <c r="D217" s="376"/>
      <c r="E217" s="1075" t="s">
        <v>10123</v>
      </c>
      <c r="F217" s="1076"/>
      <c r="G217" s="1075" t="s">
        <v>9065</v>
      </c>
      <c r="H217" s="1075" t="s">
        <v>9065</v>
      </c>
      <c r="I217" s="1075" t="s">
        <v>5573</v>
      </c>
      <c r="J217" s="1075" t="s">
        <v>12021</v>
      </c>
      <c r="K217" s="1075" t="s">
        <v>12020</v>
      </c>
      <c r="L217" s="1075" t="s">
        <v>5130</v>
      </c>
      <c r="M217" s="1077" t="s">
        <v>11624</v>
      </c>
      <c r="N217" s="1078">
        <v>6512400</v>
      </c>
      <c r="O217" s="1078" t="s">
        <v>375</v>
      </c>
      <c r="P217" s="85"/>
      <c r="Q217" s="1079"/>
      <c r="V217" s="1084"/>
    </row>
    <row r="218" spans="1:22" s="1082" customFormat="1" ht="24" customHeight="1">
      <c r="A218" s="1075">
        <v>199</v>
      </c>
      <c r="B218" s="1075"/>
      <c r="C218" s="1075"/>
      <c r="D218" s="1075"/>
      <c r="E218" s="1075" t="s">
        <v>10124</v>
      </c>
      <c r="F218" s="1076"/>
      <c r="G218" s="1075" t="s">
        <v>9065</v>
      </c>
      <c r="H218" s="1075" t="s">
        <v>9065</v>
      </c>
      <c r="I218" s="1075" t="s">
        <v>6157</v>
      </c>
      <c r="J218" s="1075"/>
      <c r="K218" s="1075"/>
      <c r="L218" s="1075" t="s">
        <v>9888</v>
      </c>
      <c r="M218" s="1077" t="s">
        <v>6156</v>
      </c>
      <c r="N218" s="1078">
        <v>6512400</v>
      </c>
      <c r="O218" s="1078"/>
      <c r="P218" s="1078"/>
      <c r="Q218" s="1079"/>
      <c r="V218" s="1084"/>
    </row>
    <row r="219" spans="1:22" s="1082" customFormat="1" ht="24" customHeight="1">
      <c r="A219" s="1075">
        <v>200</v>
      </c>
      <c r="B219" s="1075"/>
      <c r="C219" s="1075"/>
      <c r="D219" s="1075"/>
      <c r="E219" s="1075" t="s">
        <v>10125</v>
      </c>
      <c r="F219" s="1076"/>
      <c r="G219" s="1075" t="s">
        <v>9065</v>
      </c>
      <c r="H219" s="1075" t="s">
        <v>9065</v>
      </c>
      <c r="I219" s="1075" t="s">
        <v>6159</v>
      </c>
      <c r="J219" s="1075"/>
      <c r="K219" s="1075"/>
      <c r="L219" s="1075" t="s">
        <v>9888</v>
      </c>
      <c r="M219" s="1077" t="s">
        <v>6158</v>
      </c>
      <c r="N219" s="1078">
        <v>6512400</v>
      </c>
      <c r="O219" s="1078"/>
      <c r="P219" s="1078"/>
      <c r="Q219" s="1079"/>
      <c r="V219" s="1084"/>
    </row>
    <row r="220" spans="1:22" s="1082" customFormat="1" ht="24" customHeight="1">
      <c r="A220" s="1075">
        <v>201</v>
      </c>
      <c r="B220" s="1075" t="s">
        <v>423</v>
      </c>
      <c r="C220" s="1075"/>
      <c r="D220" s="1075"/>
      <c r="E220" s="1075" t="s">
        <v>10127</v>
      </c>
      <c r="F220" s="1076"/>
      <c r="G220" s="1075" t="s">
        <v>9065</v>
      </c>
      <c r="H220" s="1075" t="s">
        <v>9065</v>
      </c>
      <c r="I220" s="1075" t="s">
        <v>5575</v>
      </c>
      <c r="J220" s="1075" t="s">
        <v>1201</v>
      </c>
      <c r="K220" s="1075" t="s">
        <v>15888</v>
      </c>
      <c r="L220" s="1075" t="s">
        <v>5130</v>
      </c>
      <c r="M220" s="1077" t="s">
        <v>5574</v>
      </c>
      <c r="N220" s="1078">
        <v>6512400</v>
      </c>
      <c r="O220" s="1078" t="s">
        <v>375</v>
      </c>
      <c r="P220" s="1078"/>
      <c r="Q220" s="1079"/>
      <c r="V220" s="1084"/>
    </row>
    <row r="221" spans="1:22" s="1082" customFormat="1" ht="24" customHeight="1">
      <c r="A221" s="1075">
        <v>202</v>
      </c>
      <c r="B221" s="1075"/>
      <c r="C221" s="1075"/>
      <c r="D221" s="1075"/>
      <c r="E221" s="1075" t="s">
        <v>10128</v>
      </c>
      <c r="F221" s="1076"/>
      <c r="G221" s="1075" t="s">
        <v>9065</v>
      </c>
      <c r="H221" s="1075" t="s">
        <v>9065</v>
      </c>
      <c r="I221" s="1075" t="s">
        <v>6163</v>
      </c>
      <c r="J221" s="1075"/>
      <c r="K221" s="1075"/>
      <c r="L221" s="1075" t="s">
        <v>9888</v>
      </c>
      <c r="M221" s="1077" t="s">
        <v>6162</v>
      </c>
      <c r="N221" s="1078">
        <v>6512400</v>
      </c>
      <c r="O221" s="1078"/>
      <c r="P221" s="1078"/>
      <c r="Q221" s="1079"/>
      <c r="V221" s="1084"/>
    </row>
    <row r="222" spans="1:22" s="1082" customFormat="1" ht="24" customHeight="1">
      <c r="A222" s="1075">
        <v>203</v>
      </c>
      <c r="B222" s="1075"/>
      <c r="C222" s="1075"/>
      <c r="D222" s="1075"/>
      <c r="E222" s="1075" t="s">
        <v>10131</v>
      </c>
      <c r="F222" s="1076"/>
      <c r="G222" s="1075" t="s">
        <v>9065</v>
      </c>
      <c r="H222" s="1075" t="s">
        <v>9065</v>
      </c>
      <c r="I222" s="1075" t="s">
        <v>6167</v>
      </c>
      <c r="J222" s="1075"/>
      <c r="K222" s="1075"/>
      <c r="L222" s="1075" t="s">
        <v>9888</v>
      </c>
      <c r="M222" s="1077" t="s">
        <v>6166</v>
      </c>
      <c r="N222" s="1078">
        <v>6512400</v>
      </c>
      <c r="O222" s="1078"/>
      <c r="P222" s="1078"/>
      <c r="Q222" s="1079"/>
      <c r="V222" s="1084"/>
    </row>
    <row r="223" spans="1:22" s="1082" customFormat="1" ht="24" customHeight="1">
      <c r="A223" s="1075">
        <v>204</v>
      </c>
      <c r="B223" s="1075"/>
      <c r="C223" s="1075"/>
      <c r="D223" s="1075"/>
      <c r="E223" s="1075" t="s">
        <v>10133</v>
      </c>
      <c r="F223" s="1076"/>
      <c r="G223" s="1075" t="s">
        <v>9065</v>
      </c>
      <c r="H223" s="1075" t="s">
        <v>9065</v>
      </c>
      <c r="I223" s="1075" t="s">
        <v>261</v>
      </c>
      <c r="J223" s="1075"/>
      <c r="K223" s="1075"/>
      <c r="L223" s="1075" t="s">
        <v>9888</v>
      </c>
      <c r="M223" s="1077" t="s">
        <v>6168</v>
      </c>
      <c r="N223" s="1078">
        <v>6512400</v>
      </c>
      <c r="O223" s="1078"/>
      <c r="P223" s="1078"/>
      <c r="Q223" s="1079"/>
      <c r="V223" s="1084"/>
    </row>
    <row r="224" spans="1:22" s="1082" customFormat="1" ht="24" customHeight="1">
      <c r="A224" s="1075">
        <v>205</v>
      </c>
      <c r="B224" s="1075"/>
      <c r="C224" s="1075"/>
      <c r="D224" s="1075"/>
      <c r="E224" s="1075" t="s">
        <v>10134</v>
      </c>
      <c r="F224" s="1076"/>
      <c r="G224" s="1075" t="s">
        <v>9065</v>
      </c>
      <c r="H224" s="1075" t="s">
        <v>9065</v>
      </c>
      <c r="I224" s="1075" t="s">
        <v>6170</v>
      </c>
      <c r="J224" s="1075"/>
      <c r="K224" s="1075"/>
      <c r="L224" s="1075" t="s">
        <v>9888</v>
      </c>
      <c r="M224" s="1077" t="s">
        <v>6169</v>
      </c>
      <c r="N224" s="1078">
        <v>6512400</v>
      </c>
      <c r="O224" s="1078"/>
      <c r="P224" s="1078"/>
      <c r="Q224" s="1079"/>
      <c r="V224" s="1084"/>
    </row>
    <row r="225" spans="1:22" s="1082" customFormat="1" ht="24" customHeight="1">
      <c r="A225" s="1075">
        <v>206</v>
      </c>
      <c r="B225" s="1075"/>
      <c r="C225" s="1075"/>
      <c r="D225" s="1075"/>
      <c r="E225" s="1075" t="s">
        <v>10135</v>
      </c>
      <c r="F225" s="1076"/>
      <c r="G225" s="1075" t="s">
        <v>9065</v>
      </c>
      <c r="H225" s="1075" t="s">
        <v>9065</v>
      </c>
      <c r="I225" s="1075" t="s">
        <v>6172</v>
      </c>
      <c r="J225" s="1075"/>
      <c r="K225" s="1075"/>
      <c r="L225" s="1075" t="s">
        <v>9888</v>
      </c>
      <c r="M225" s="1077" t="s">
        <v>6171</v>
      </c>
      <c r="N225" s="1078">
        <v>6512400</v>
      </c>
      <c r="O225" s="1078"/>
      <c r="P225" s="1078"/>
      <c r="Q225" s="1079"/>
      <c r="V225" s="1084"/>
    </row>
    <row r="226" spans="1:22" s="1082" customFormat="1" ht="24" customHeight="1">
      <c r="A226" s="1075">
        <v>207</v>
      </c>
      <c r="B226" s="1075" t="s">
        <v>1604</v>
      </c>
      <c r="C226" s="1075"/>
      <c r="D226" s="1075"/>
      <c r="E226" s="1075" t="s">
        <v>10136</v>
      </c>
      <c r="F226" s="1076"/>
      <c r="G226" s="1075" t="s">
        <v>9065</v>
      </c>
      <c r="H226" s="1075" t="s">
        <v>9065</v>
      </c>
      <c r="I226" s="1075" t="s">
        <v>5579</v>
      </c>
      <c r="J226" s="1075" t="s">
        <v>2312</v>
      </c>
      <c r="K226" s="1075" t="s">
        <v>2311</v>
      </c>
      <c r="L226" s="1075" t="s">
        <v>5130</v>
      </c>
      <c r="M226" s="1077" t="s">
        <v>5578</v>
      </c>
      <c r="N226" s="1078">
        <v>6512400</v>
      </c>
      <c r="O226" s="1078" t="s">
        <v>375</v>
      </c>
      <c r="P226" s="1078"/>
      <c r="Q226" s="1079"/>
      <c r="V226" s="1084"/>
    </row>
    <row r="227" spans="1:22" s="1082" customFormat="1" ht="24" customHeight="1">
      <c r="A227" s="1075">
        <v>208</v>
      </c>
      <c r="B227" s="1075"/>
      <c r="C227" s="1075"/>
      <c r="D227" s="1075"/>
      <c r="E227" s="1075" t="s">
        <v>10137</v>
      </c>
      <c r="F227" s="1076"/>
      <c r="G227" s="1075" t="s">
        <v>9065</v>
      </c>
      <c r="H227" s="1075" t="s">
        <v>9065</v>
      </c>
      <c r="I227" s="1075" t="s">
        <v>6174</v>
      </c>
      <c r="J227" s="1075"/>
      <c r="K227" s="1075"/>
      <c r="L227" s="1075" t="s">
        <v>9888</v>
      </c>
      <c r="M227" s="1077" t="s">
        <v>6173</v>
      </c>
      <c r="N227" s="1078">
        <v>6512400</v>
      </c>
      <c r="O227" s="1078"/>
      <c r="P227" s="1078"/>
      <c r="Q227" s="1079"/>
      <c r="V227" s="1084"/>
    </row>
    <row r="228" spans="1:22" s="1082" customFormat="1" ht="24" customHeight="1">
      <c r="A228" s="1075">
        <v>209</v>
      </c>
      <c r="B228" s="1075"/>
      <c r="C228" s="1075"/>
      <c r="D228" s="1075"/>
      <c r="E228" s="1075" t="s">
        <v>10138</v>
      </c>
      <c r="F228" s="1076"/>
      <c r="G228" s="1075" t="s">
        <v>9065</v>
      </c>
      <c r="H228" s="1075" t="s">
        <v>9065</v>
      </c>
      <c r="I228" s="1075" t="s">
        <v>6176</v>
      </c>
      <c r="J228" s="1075"/>
      <c r="K228" s="1075"/>
      <c r="L228" s="1075" t="s">
        <v>9888</v>
      </c>
      <c r="M228" s="1077" t="s">
        <v>6175</v>
      </c>
      <c r="N228" s="1078">
        <v>6512400</v>
      </c>
      <c r="O228" s="1078"/>
      <c r="P228" s="1078"/>
      <c r="Q228" s="1079"/>
      <c r="V228" s="1084"/>
    </row>
    <row r="229" spans="1:22" s="1082" customFormat="1" ht="24" customHeight="1">
      <c r="A229" s="1075">
        <v>210</v>
      </c>
      <c r="B229" s="1075"/>
      <c r="C229" s="1075"/>
      <c r="D229" s="1075"/>
      <c r="E229" s="1075" t="s">
        <v>10139</v>
      </c>
      <c r="F229" s="1076"/>
      <c r="G229" s="1075" t="s">
        <v>9065</v>
      </c>
      <c r="H229" s="1075" t="s">
        <v>9065</v>
      </c>
      <c r="I229" s="1075" t="s">
        <v>6178</v>
      </c>
      <c r="J229" s="1075"/>
      <c r="K229" s="1075"/>
      <c r="L229" s="1075" t="s">
        <v>9888</v>
      </c>
      <c r="M229" s="1077" t="s">
        <v>6177</v>
      </c>
      <c r="N229" s="1078">
        <v>6512400</v>
      </c>
      <c r="O229" s="1078"/>
      <c r="P229" s="1078"/>
      <c r="Q229" s="1079"/>
      <c r="V229" s="1084"/>
    </row>
    <row r="230" spans="1:22" s="1082" customFormat="1" ht="24" customHeight="1">
      <c r="A230" s="1075">
        <v>211</v>
      </c>
      <c r="B230" s="1075"/>
      <c r="C230" s="1075"/>
      <c r="D230" s="1075"/>
      <c r="E230" s="1075" t="s">
        <v>10141</v>
      </c>
      <c r="F230" s="1076"/>
      <c r="G230" s="1075" t="s">
        <v>9065</v>
      </c>
      <c r="H230" s="1075" t="s">
        <v>9065</v>
      </c>
      <c r="I230" s="1075" t="s">
        <v>6182</v>
      </c>
      <c r="J230" s="1075"/>
      <c r="K230" s="1075"/>
      <c r="L230" s="1075" t="s">
        <v>9888</v>
      </c>
      <c r="M230" s="1077" t="s">
        <v>6181</v>
      </c>
      <c r="N230" s="1078">
        <v>6512400</v>
      </c>
      <c r="O230" s="1078"/>
      <c r="P230" s="1078"/>
      <c r="Q230" s="1079"/>
      <c r="V230" s="1084"/>
    </row>
    <row r="231" spans="1:22" s="1082" customFormat="1" ht="24" customHeight="1">
      <c r="A231" s="1075">
        <v>212</v>
      </c>
      <c r="B231" s="1075"/>
      <c r="C231" s="1075"/>
      <c r="D231" s="1075"/>
      <c r="E231" s="1075" t="s">
        <v>10142</v>
      </c>
      <c r="F231" s="1076"/>
      <c r="G231" s="1075" t="s">
        <v>9065</v>
      </c>
      <c r="H231" s="1075" t="s">
        <v>9065</v>
      </c>
      <c r="I231" s="1075" t="s">
        <v>6184</v>
      </c>
      <c r="J231" s="1075"/>
      <c r="K231" s="1075"/>
      <c r="L231" s="1075" t="s">
        <v>9888</v>
      </c>
      <c r="M231" s="1077" t="s">
        <v>6183</v>
      </c>
      <c r="N231" s="1078">
        <v>6512400</v>
      </c>
      <c r="O231" s="1078"/>
      <c r="P231" s="1078"/>
      <c r="Q231" s="1079"/>
      <c r="V231" s="1084"/>
    </row>
    <row r="232" spans="1:22" s="1082" customFormat="1" ht="24" customHeight="1">
      <c r="A232" s="1075">
        <v>213</v>
      </c>
      <c r="B232" s="1075"/>
      <c r="C232" s="1075"/>
      <c r="D232" s="1075"/>
      <c r="E232" s="1075" t="s">
        <v>10143</v>
      </c>
      <c r="F232" s="1076"/>
      <c r="G232" s="1075" t="s">
        <v>9065</v>
      </c>
      <c r="H232" s="1075" t="s">
        <v>9065</v>
      </c>
      <c r="I232" s="1075" t="s">
        <v>6186</v>
      </c>
      <c r="J232" s="1075"/>
      <c r="K232" s="1075"/>
      <c r="L232" s="1075" t="s">
        <v>9888</v>
      </c>
      <c r="M232" s="1077" t="s">
        <v>6185</v>
      </c>
      <c r="N232" s="1078">
        <v>6512400</v>
      </c>
      <c r="O232" s="1078"/>
      <c r="P232" s="1078"/>
      <c r="Q232" s="1079"/>
      <c r="V232" s="1084"/>
    </row>
    <row r="233" spans="1:22" s="1082" customFormat="1" ht="24" customHeight="1">
      <c r="A233" s="1075">
        <v>214</v>
      </c>
      <c r="B233" s="1075"/>
      <c r="C233" s="1075"/>
      <c r="D233" s="1075"/>
      <c r="E233" s="1075" t="s">
        <v>10144</v>
      </c>
      <c r="F233" s="1076"/>
      <c r="G233" s="1075" t="s">
        <v>9065</v>
      </c>
      <c r="H233" s="1075" t="s">
        <v>9065</v>
      </c>
      <c r="I233" s="1075" t="s">
        <v>6188</v>
      </c>
      <c r="J233" s="1075"/>
      <c r="K233" s="1075"/>
      <c r="L233" s="1075" t="s">
        <v>9888</v>
      </c>
      <c r="M233" s="1077" t="s">
        <v>6187</v>
      </c>
      <c r="N233" s="1078">
        <v>6512400</v>
      </c>
      <c r="O233" s="1078"/>
      <c r="P233" s="1078"/>
      <c r="Q233" s="1079"/>
      <c r="V233" s="1084"/>
    </row>
    <row r="234" spans="1:22" s="1082" customFormat="1" ht="24" customHeight="1">
      <c r="A234" s="1075">
        <v>215</v>
      </c>
      <c r="B234" s="1075"/>
      <c r="C234" s="1075"/>
      <c r="D234" s="1075"/>
      <c r="E234" s="1075" t="s">
        <v>10145</v>
      </c>
      <c r="F234" s="1076"/>
      <c r="G234" s="1075" t="s">
        <v>9065</v>
      </c>
      <c r="H234" s="1075" t="s">
        <v>9065</v>
      </c>
      <c r="I234" s="1075" t="s">
        <v>6190</v>
      </c>
      <c r="J234" s="1075"/>
      <c r="K234" s="1075"/>
      <c r="L234" s="1075" t="s">
        <v>9888</v>
      </c>
      <c r="M234" s="1077" t="s">
        <v>6189</v>
      </c>
      <c r="N234" s="1078">
        <v>6512400</v>
      </c>
      <c r="O234" s="1078"/>
      <c r="P234" s="1078"/>
      <c r="Q234" s="1079"/>
      <c r="V234" s="1084"/>
    </row>
    <row r="235" spans="1:22" s="1133" customFormat="1" ht="24" customHeight="1">
      <c r="A235" s="1075">
        <v>216</v>
      </c>
      <c r="B235" s="1128"/>
      <c r="C235" s="1128"/>
      <c r="D235" s="1128"/>
      <c r="E235" s="1128" t="s">
        <v>15889</v>
      </c>
      <c r="F235" s="1129"/>
      <c r="G235" s="1128" t="s">
        <v>9065</v>
      </c>
      <c r="H235" s="1128" t="s">
        <v>9699</v>
      </c>
      <c r="I235" s="1128" t="s">
        <v>5581</v>
      </c>
      <c r="J235" s="1128"/>
      <c r="K235" s="1128" t="s">
        <v>16175</v>
      </c>
      <c r="L235" s="1128" t="s">
        <v>5130</v>
      </c>
      <c r="M235" s="1130" t="s">
        <v>5580</v>
      </c>
      <c r="N235" s="1131">
        <v>6512400</v>
      </c>
      <c r="O235" s="1131"/>
      <c r="P235" s="1131" t="s">
        <v>16146</v>
      </c>
      <c r="Q235" s="1132" t="s">
        <v>16204</v>
      </c>
      <c r="V235" s="1134"/>
    </row>
    <row r="236" spans="1:22" s="1082" customFormat="1" ht="24" customHeight="1">
      <c r="A236" s="1075">
        <v>217</v>
      </c>
      <c r="B236" s="1075"/>
      <c r="C236" s="1075"/>
      <c r="D236" s="1075"/>
      <c r="E236" s="1075" t="s">
        <v>10148</v>
      </c>
      <c r="F236" s="1076"/>
      <c r="G236" s="1075" t="s">
        <v>9065</v>
      </c>
      <c r="H236" s="1075" t="s">
        <v>9065</v>
      </c>
      <c r="I236" s="1075" t="s">
        <v>6192</v>
      </c>
      <c r="J236" s="1075"/>
      <c r="K236" s="1075"/>
      <c r="L236" s="1075" t="s">
        <v>9888</v>
      </c>
      <c r="M236" s="1077" t="s">
        <v>6191</v>
      </c>
      <c r="N236" s="1078">
        <v>6512400</v>
      </c>
      <c r="O236" s="1078"/>
      <c r="P236" s="1078"/>
      <c r="Q236" s="1079"/>
      <c r="V236" s="1084"/>
    </row>
    <row r="237" spans="1:22" s="1082" customFormat="1" ht="24" customHeight="1">
      <c r="A237" s="1075">
        <v>218</v>
      </c>
      <c r="B237" s="376" t="s">
        <v>1595</v>
      </c>
      <c r="C237" s="376"/>
      <c r="D237" s="376"/>
      <c r="E237" s="1075" t="s">
        <v>10149</v>
      </c>
      <c r="F237" s="1076"/>
      <c r="G237" s="1075" t="s">
        <v>9065</v>
      </c>
      <c r="H237" s="1075" t="s">
        <v>9065</v>
      </c>
      <c r="I237" s="1075" t="s">
        <v>5585</v>
      </c>
      <c r="J237" s="1075" t="s">
        <v>2237</v>
      </c>
      <c r="K237" s="1075" t="s">
        <v>2057</v>
      </c>
      <c r="L237" s="1075" t="s">
        <v>5130</v>
      </c>
      <c r="M237" s="1077" t="s">
        <v>5584</v>
      </c>
      <c r="N237" s="1078">
        <v>6512400</v>
      </c>
      <c r="O237" s="1078" t="s">
        <v>375</v>
      </c>
      <c r="P237" s="1078"/>
      <c r="Q237" s="1079"/>
      <c r="V237" s="1084"/>
    </row>
    <row r="238" spans="1:22" s="1082" customFormat="1" ht="24" customHeight="1">
      <c r="A238" s="1075">
        <v>219</v>
      </c>
      <c r="B238" s="1075"/>
      <c r="C238" s="1075"/>
      <c r="D238" s="1075"/>
      <c r="E238" s="1075" t="s">
        <v>10150</v>
      </c>
      <c r="F238" s="1076"/>
      <c r="G238" s="1075" t="s">
        <v>9065</v>
      </c>
      <c r="H238" s="1075" t="s">
        <v>9065</v>
      </c>
      <c r="I238" s="1075" t="s">
        <v>6194</v>
      </c>
      <c r="J238" s="1075"/>
      <c r="K238" s="1075"/>
      <c r="L238" s="1075" t="s">
        <v>9888</v>
      </c>
      <c r="M238" s="1077" t="s">
        <v>6193</v>
      </c>
      <c r="N238" s="1078">
        <v>6512400</v>
      </c>
      <c r="O238" s="1078"/>
      <c r="P238" s="1078"/>
      <c r="Q238" s="1079"/>
      <c r="V238" s="1084"/>
    </row>
    <row r="239" spans="1:22" s="1082" customFormat="1" ht="24" customHeight="1">
      <c r="A239" s="1075">
        <v>220</v>
      </c>
      <c r="B239" s="1075" t="s">
        <v>423</v>
      </c>
      <c r="C239" s="1075"/>
      <c r="D239" s="1075"/>
      <c r="E239" s="1075" t="s">
        <v>10151</v>
      </c>
      <c r="F239" s="1076"/>
      <c r="G239" s="1075" t="s">
        <v>9065</v>
      </c>
      <c r="H239" s="1075" t="s">
        <v>9065</v>
      </c>
      <c r="I239" s="1075" t="s">
        <v>5587</v>
      </c>
      <c r="J239" s="1075" t="s">
        <v>1474</v>
      </c>
      <c r="K239" s="1075" t="s">
        <v>1473</v>
      </c>
      <c r="L239" s="1075" t="s">
        <v>5130</v>
      </c>
      <c r="M239" s="1077" t="s">
        <v>5586</v>
      </c>
      <c r="N239" s="1078">
        <v>6512400</v>
      </c>
      <c r="O239" s="1078" t="s">
        <v>375</v>
      </c>
      <c r="P239" s="1078"/>
      <c r="Q239" s="1079"/>
      <c r="V239" s="1084"/>
    </row>
    <row r="240" spans="1:22" s="1082" customFormat="1" ht="24" customHeight="1">
      <c r="A240" s="1075">
        <v>221</v>
      </c>
      <c r="B240" s="1075"/>
      <c r="C240" s="1075"/>
      <c r="D240" s="1075"/>
      <c r="E240" s="1075" t="s">
        <v>10152</v>
      </c>
      <c r="F240" s="1076"/>
      <c r="G240" s="1075" t="s">
        <v>9065</v>
      </c>
      <c r="H240" s="1075" t="s">
        <v>9065</v>
      </c>
      <c r="I240" s="1075" t="s">
        <v>5589</v>
      </c>
      <c r="J240" s="1075"/>
      <c r="K240" s="1075"/>
      <c r="L240" s="1075" t="s">
        <v>5130</v>
      </c>
      <c r="M240" s="1077" t="s">
        <v>5588</v>
      </c>
      <c r="N240" s="1078">
        <v>6512400</v>
      </c>
      <c r="O240" s="1078"/>
      <c r="P240" s="1078"/>
      <c r="Q240" s="1079"/>
      <c r="V240" s="1084"/>
    </row>
    <row r="241" spans="1:22" s="1082" customFormat="1" ht="24" customHeight="1">
      <c r="A241" s="1075">
        <v>222</v>
      </c>
      <c r="B241" s="376" t="s">
        <v>1595</v>
      </c>
      <c r="C241" s="376"/>
      <c r="D241" s="376"/>
      <c r="E241" s="1075" t="s">
        <v>10153</v>
      </c>
      <c r="F241" s="1076"/>
      <c r="G241" s="1075" t="s">
        <v>9065</v>
      </c>
      <c r="H241" s="1075" t="s">
        <v>9065</v>
      </c>
      <c r="I241" s="1075" t="s">
        <v>5591</v>
      </c>
      <c r="J241" s="1075" t="s">
        <v>2141</v>
      </c>
      <c r="K241" s="1075" t="s">
        <v>2140</v>
      </c>
      <c r="L241" s="1075" t="s">
        <v>5130</v>
      </c>
      <c r="M241" s="1077" t="s">
        <v>5590</v>
      </c>
      <c r="N241" s="1078">
        <v>6512400</v>
      </c>
      <c r="O241" s="1078" t="s">
        <v>375</v>
      </c>
      <c r="P241" s="1078"/>
      <c r="Q241" s="1079"/>
      <c r="V241" s="1084"/>
    </row>
    <row r="242" spans="1:22" s="1082" customFormat="1" ht="24" customHeight="1">
      <c r="A242" s="1075">
        <v>223</v>
      </c>
      <c r="B242" s="1075" t="s">
        <v>423</v>
      </c>
      <c r="C242" s="1075"/>
      <c r="D242" s="1075"/>
      <c r="E242" s="1075" t="s">
        <v>10154</v>
      </c>
      <c r="F242" s="1076"/>
      <c r="G242" s="1075" t="s">
        <v>9065</v>
      </c>
      <c r="H242" s="1075" t="s">
        <v>9065</v>
      </c>
      <c r="I242" s="1075" t="s">
        <v>5593</v>
      </c>
      <c r="J242" s="1075" t="s">
        <v>1220</v>
      </c>
      <c r="K242" s="1075" t="s">
        <v>1218</v>
      </c>
      <c r="L242" s="1075" t="s">
        <v>5130</v>
      </c>
      <c r="M242" s="1077" t="s">
        <v>5592</v>
      </c>
      <c r="N242" s="1078">
        <v>6512400</v>
      </c>
      <c r="O242" s="1078" t="s">
        <v>375</v>
      </c>
      <c r="P242" s="1078"/>
      <c r="Q242" s="1079"/>
      <c r="V242" s="1084"/>
    </row>
    <row r="243" spans="1:22" s="1082" customFormat="1" ht="24" customHeight="1">
      <c r="A243" s="1075">
        <v>224</v>
      </c>
      <c r="B243" s="1075"/>
      <c r="C243" s="1075"/>
      <c r="D243" s="1075"/>
      <c r="E243" s="1075" t="s">
        <v>10155</v>
      </c>
      <c r="F243" s="1076"/>
      <c r="G243" s="1075" t="s">
        <v>9065</v>
      </c>
      <c r="H243" s="1075" t="s">
        <v>9065</v>
      </c>
      <c r="I243" s="1075" t="s">
        <v>6196</v>
      </c>
      <c r="J243" s="1075"/>
      <c r="K243" s="1075"/>
      <c r="L243" s="1075" t="s">
        <v>9888</v>
      </c>
      <c r="M243" s="1077" t="s">
        <v>6195</v>
      </c>
      <c r="N243" s="1078">
        <v>6512400</v>
      </c>
      <c r="O243" s="1078"/>
      <c r="P243" s="1078"/>
      <c r="Q243" s="1079"/>
      <c r="V243" s="1084"/>
    </row>
    <row r="244" spans="1:22" s="1082" customFormat="1" ht="24" customHeight="1">
      <c r="A244" s="1075">
        <v>225</v>
      </c>
      <c r="B244" s="1075"/>
      <c r="C244" s="1075"/>
      <c r="D244" s="1075"/>
      <c r="E244" s="1075" t="s">
        <v>10156</v>
      </c>
      <c r="F244" s="1076"/>
      <c r="G244" s="1075" t="s">
        <v>9065</v>
      </c>
      <c r="H244" s="1075" t="s">
        <v>9065</v>
      </c>
      <c r="I244" s="1075" t="s">
        <v>6198</v>
      </c>
      <c r="J244" s="1075"/>
      <c r="K244" s="1075"/>
      <c r="L244" s="1075" t="s">
        <v>9888</v>
      </c>
      <c r="M244" s="1077" t="s">
        <v>6197</v>
      </c>
      <c r="N244" s="1078">
        <v>6512400</v>
      </c>
      <c r="O244" s="1078"/>
      <c r="P244" s="1078"/>
      <c r="Q244" s="1079"/>
      <c r="V244" s="1084"/>
    </row>
    <row r="245" spans="1:22" s="1082" customFormat="1" ht="24" customHeight="1">
      <c r="A245" s="1075">
        <v>226</v>
      </c>
      <c r="B245" s="1075"/>
      <c r="C245" s="1075"/>
      <c r="D245" s="1075"/>
      <c r="E245" s="1075" t="s">
        <v>10157</v>
      </c>
      <c r="F245" s="1076"/>
      <c r="G245" s="1075" t="s">
        <v>9065</v>
      </c>
      <c r="H245" s="1075" t="s">
        <v>9065</v>
      </c>
      <c r="I245" s="1075" t="s">
        <v>6200</v>
      </c>
      <c r="J245" s="1075"/>
      <c r="K245" s="1075"/>
      <c r="L245" s="1075" t="s">
        <v>9888</v>
      </c>
      <c r="M245" s="1077" t="s">
        <v>6199</v>
      </c>
      <c r="N245" s="1078">
        <v>6512400</v>
      </c>
      <c r="O245" s="1078"/>
      <c r="P245" s="1078"/>
      <c r="Q245" s="1079"/>
      <c r="V245" s="1084"/>
    </row>
    <row r="246" spans="1:22" s="1082" customFormat="1" ht="24" customHeight="1">
      <c r="A246" s="1075">
        <v>227</v>
      </c>
      <c r="B246" s="1075"/>
      <c r="C246" s="1075"/>
      <c r="D246" s="1075"/>
      <c r="E246" s="1075" t="s">
        <v>10158</v>
      </c>
      <c r="F246" s="1076"/>
      <c r="G246" s="1075" t="s">
        <v>9065</v>
      </c>
      <c r="H246" s="1075" t="s">
        <v>9065</v>
      </c>
      <c r="I246" s="1075" t="s">
        <v>6202</v>
      </c>
      <c r="J246" s="1075"/>
      <c r="K246" s="1075"/>
      <c r="L246" s="1075" t="s">
        <v>9888</v>
      </c>
      <c r="M246" s="1077" t="s">
        <v>6201</v>
      </c>
      <c r="N246" s="1078">
        <v>6512400</v>
      </c>
      <c r="O246" s="1078"/>
      <c r="P246" s="1078"/>
      <c r="Q246" s="1079"/>
      <c r="V246" s="1084"/>
    </row>
    <row r="247" spans="1:22" s="1082" customFormat="1" ht="24" customHeight="1">
      <c r="A247" s="1075">
        <v>228</v>
      </c>
      <c r="B247" s="1075"/>
      <c r="C247" s="1075"/>
      <c r="D247" s="1075"/>
      <c r="E247" s="1075" t="s">
        <v>10159</v>
      </c>
      <c r="F247" s="1076"/>
      <c r="G247" s="1075" t="s">
        <v>9065</v>
      </c>
      <c r="H247" s="1075" t="s">
        <v>9065</v>
      </c>
      <c r="I247" s="1075" t="s">
        <v>6204</v>
      </c>
      <c r="J247" s="1075"/>
      <c r="K247" s="1075"/>
      <c r="L247" s="1075" t="s">
        <v>9888</v>
      </c>
      <c r="M247" s="1077" t="s">
        <v>6203</v>
      </c>
      <c r="N247" s="1078">
        <v>6512400</v>
      </c>
      <c r="O247" s="1078"/>
      <c r="P247" s="1078"/>
      <c r="Q247" s="1079"/>
      <c r="V247" s="1084"/>
    </row>
    <row r="248" spans="1:22" s="1082" customFormat="1" ht="24" customHeight="1">
      <c r="A248" s="1075">
        <v>229</v>
      </c>
      <c r="B248" s="1075"/>
      <c r="C248" s="1075"/>
      <c r="D248" s="1075"/>
      <c r="E248" s="1075" t="s">
        <v>10160</v>
      </c>
      <c r="F248" s="1076"/>
      <c r="G248" s="1075" t="s">
        <v>9065</v>
      </c>
      <c r="H248" s="1075" t="s">
        <v>9065</v>
      </c>
      <c r="I248" s="1075" t="s">
        <v>6206</v>
      </c>
      <c r="J248" s="1075"/>
      <c r="K248" s="1075"/>
      <c r="L248" s="1075" t="s">
        <v>9888</v>
      </c>
      <c r="M248" s="1077" t="s">
        <v>6205</v>
      </c>
      <c r="N248" s="1078">
        <v>6512400</v>
      </c>
      <c r="O248" s="1078"/>
      <c r="P248" s="1078"/>
      <c r="Q248" s="1079"/>
      <c r="V248" s="1084"/>
    </row>
    <row r="249" spans="1:22" s="1082" customFormat="1" ht="24" customHeight="1">
      <c r="A249" s="1075">
        <v>230</v>
      </c>
      <c r="B249" s="1075"/>
      <c r="C249" s="1075"/>
      <c r="D249" s="1075"/>
      <c r="E249" s="1075" t="s">
        <v>10161</v>
      </c>
      <c r="F249" s="1076"/>
      <c r="G249" s="1075" t="s">
        <v>9065</v>
      </c>
      <c r="H249" s="1075" t="s">
        <v>9065</v>
      </c>
      <c r="I249" s="1075" t="s">
        <v>6209</v>
      </c>
      <c r="J249" s="1075"/>
      <c r="K249" s="1075"/>
      <c r="L249" s="1075" t="s">
        <v>9888</v>
      </c>
      <c r="M249" s="1077" t="s">
        <v>6208</v>
      </c>
      <c r="N249" s="1078">
        <v>6512400</v>
      </c>
      <c r="O249" s="1078"/>
      <c r="P249" s="1078"/>
      <c r="Q249" s="1079"/>
      <c r="V249" s="1084"/>
    </row>
    <row r="250" spans="1:22" s="1082" customFormat="1" ht="24" customHeight="1">
      <c r="A250" s="1075">
        <v>231</v>
      </c>
      <c r="B250" s="1075"/>
      <c r="C250" s="1075"/>
      <c r="D250" s="1075"/>
      <c r="E250" s="1075" t="s">
        <v>10163</v>
      </c>
      <c r="F250" s="1076"/>
      <c r="G250" s="1075" t="s">
        <v>9065</v>
      </c>
      <c r="H250" s="1075" t="s">
        <v>9065</v>
      </c>
      <c r="I250" s="1075" t="s">
        <v>6213</v>
      </c>
      <c r="J250" s="1075"/>
      <c r="K250" s="1075"/>
      <c r="L250" s="1075" t="s">
        <v>9888</v>
      </c>
      <c r="M250" s="1077" t="s">
        <v>6212</v>
      </c>
      <c r="N250" s="1078">
        <v>6512400</v>
      </c>
      <c r="O250" s="1078"/>
      <c r="P250" s="1078"/>
      <c r="Q250" s="1079"/>
      <c r="V250" s="1084"/>
    </row>
    <row r="251" spans="1:22" s="1082" customFormat="1" ht="24" customHeight="1">
      <c r="A251" s="1075">
        <v>232</v>
      </c>
      <c r="B251" s="1075"/>
      <c r="C251" s="1075"/>
      <c r="D251" s="1075"/>
      <c r="E251" s="1075" t="s">
        <v>10164</v>
      </c>
      <c r="F251" s="1076"/>
      <c r="G251" s="1075" t="s">
        <v>9065</v>
      </c>
      <c r="H251" s="1075" t="s">
        <v>9065</v>
      </c>
      <c r="I251" s="1075" t="s">
        <v>6215</v>
      </c>
      <c r="J251" s="1075"/>
      <c r="K251" s="1075"/>
      <c r="L251" s="1075" t="s">
        <v>9888</v>
      </c>
      <c r="M251" s="1077" t="s">
        <v>6214</v>
      </c>
      <c r="N251" s="1078">
        <v>6512400</v>
      </c>
      <c r="O251" s="1078"/>
      <c r="P251" s="1078"/>
      <c r="Q251" s="1079"/>
      <c r="V251" s="1084"/>
    </row>
    <row r="252" spans="1:22" s="1082" customFormat="1" ht="24" customHeight="1">
      <c r="A252" s="1075">
        <v>233</v>
      </c>
      <c r="B252" s="1075"/>
      <c r="C252" s="1075"/>
      <c r="D252" s="1075"/>
      <c r="E252" s="1075" t="s">
        <v>10165</v>
      </c>
      <c r="F252" s="1076"/>
      <c r="G252" s="1075" t="s">
        <v>9065</v>
      </c>
      <c r="H252" s="1075" t="s">
        <v>9065</v>
      </c>
      <c r="I252" s="1075" t="s">
        <v>6217</v>
      </c>
      <c r="J252" s="1075"/>
      <c r="K252" s="1075"/>
      <c r="L252" s="1075" t="s">
        <v>9888</v>
      </c>
      <c r="M252" s="1077" t="s">
        <v>6216</v>
      </c>
      <c r="N252" s="1078">
        <v>6512400</v>
      </c>
      <c r="O252" s="1078"/>
      <c r="P252" s="1078"/>
      <c r="Q252" s="1079"/>
      <c r="V252" s="1084"/>
    </row>
    <row r="253" spans="1:22" s="1082" customFormat="1" ht="24" customHeight="1">
      <c r="A253" s="1075">
        <v>234</v>
      </c>
      <c r="B253" s="1075"/>
      <c r="C253" s="1075"/>
      <c r="D253" s="1075"/>
      <c r="E253" s="1075" t="s">
        <v>10167</v>
      </c>
      <c r="F253" s="1076"/>
      <c r="G253" s="1075" t="s">
        <v>9065</v>
      </c>
      <c r="H253" s="1075" t="s">
        <v>9065</v>
      </c>
      <c r="I253" s="1075" t="s">
        <v>6219</v>
      </c>
      <c r="J253" s="1075"/>
      <c r="K253" s="1075"/>
      <c r="L253" s="1075" t="s">
        <v>9888</v>
      </c>
      <c r="M253" s="1077" t="s">
        <v>6218</v>
      </c>
      <c r="N253" s="1078">
        <v>6512400</v>
      </c>
      <c r="O253" s="1078"/>
      <c r="P253" s="1078"/>
      <c r="Q253" s="1079"/>
      <c r="V253" s="1084"/>
    </row>
    <row r="254" spans="1:22" s="1082" customFormat="1" ht="24" customHeight="1">
      <c r="A254" s="1075">
        <v>235</v>
      </c>
      <c r="B254" s="1075"/>
      <c r="C254" s="1075"/>
      <c r="D254" s="1075"/>
      <c r="E254" s="1075" t="s">
        <v>10168</v>
      </c>
      <c r="F254" s="1076"/>
      <c r="G254" s="1075" t="s">
        <v>9065</v>
      </c>
      <c r="H254" s="1075" t="s">
        <v>9065</v>
      </c>
      <c r="I254" s="1075" t="s">
        <v>6221</v>
      </c>
      <c r="J254" s="1075"/>
      <c r="K254" s="1075"/>
      <c r="L254" s="1075" t="s">
        <v>9888</v>
      </c>
      <c r="M254" s="1077" t="s">
        <v>6220</v>
      </c>
      <c r="N254" s="1078">
        <v>6512400</v>
      </c>
      <c r="O254" s="1078"/>
      <c r="P254" s="1078"/>
      <c r="Q254" s="1079"/>
      <c r="V254" s="1084"/>
    </row>
    <row r="255" spans="1:22" s="1082" customFormat="1" ht="24" customHeight="1">
      <c r="A255" s="1075">
        <v>236</v>
      </c>
      <c r="B255" s="1075"/>
      <c r="C255" s="1075"/>
      <c r="D255" s="1075"/>
      <c r="E255" s="1075" t="s">
        <v>10169</v>
      </c>
      <c r="F255" s="1076"/>
      <c r="G255" s="1075" t="s">
        <v>9065</v>
      </c>
      <c r="H255" s="1075" t="s">
        <v>9065</v>
      </c>
      <c r="I255" s="1075" t="s">
        <v>6223</v>
      </c>
      <c r="J255" s="1075"/>
      <c r="K255" s="1075"/>
      <c r="L255" s="1075" t="s">
        <v>9888</v>
      </c>
      <c r="M255" s="1077" t="s">
        <v>6222</v>
      </c>
      <c r="N255" s="1078">
        <v>6512400</v>
      </c>
      <c r="O255" s="1078"/>
      <c r="P255" s="1078"/>
      <c r="Q255" s="1079"/>
      <c r="V255" s="1084"/>
    </row>
    <row r="256" spans="1:22" s="1082" customFormat="1" ht="24" customHeight="1">
      <c r="A256" s="1075">
        <v>237</v>
      </c>
      <c r="B256" s="1075"/>
      <c r="C256" s="1075"/>
      <c r="D256" s="1075"/>
      <c r="E256" s="1075" t="s">
        <v>10170</v>
      </c>
      <c r="F256" s="1076"/>
      <c r="G256" s="1075" t="s">
        <v>9065</v>
      </c>
      <c r="H256" s="1075" t="s">
        <v>9065</v>
      </c>
      <c r="I256" s="1075" t="s">
        <v>6225</v>
      </c>
      <c r="J256" s="1075"/>
      <c r="K256" s="1075"/>
      <c r="L256" s="1075" t="s">
        <v>9888</v>
      </c>
      <c r="M256" s="1077" t="s">
        <v>6224</v>
      </c>
      <c r="N256" s="1078">
        <v>6512400</v>
      </c>
      <c r="O256" s="1078"/>
      <c r="P256" s="1078"/>
      <c r="Q256" s="1079"/>
      <c r="V256" s="1084"/>
    </row>
    <row r="257" spans="1:22" s="1082" customFormat="1" ht="24" customHeight="1">
      <c r="A257" s="1075">
        <v>238</v>
      </c>
      <c r="B257" s="1075"/>
      <c r="C257" s="1075"/>
      <c r="D257" s="1075"/>
      <c r="E257" s="1075" t="s">
        <v>10171</v>
      </c>
      <c r="F257" s="1076"/>
      <c r="G257" s="1075" t="s">
        <v>9065</v>
      </c>
      <c r="H257" s="1075" t="s">
        <v>9065</v>
      </c>
      <c r="I257" s="1075" t="s">
        <v>6227</v>
      </c>
      <c r="J257" s="1075"/>
      <c r="K257" s="1075"/>
      <c r="L257" s="1075" t="s">
        <v>9888</v>
      </c>
      <c r="M257" s="1077" t="s">
        <v>6226</v>
      </c>
      <c r="N257" s="1078">
        <v>6512400</v>
      </c>
      <c r="O257" s="1078"/>
      <c r="P257" s="1078"/>
      <c r="Q257" s="1079"/>
      <c r="V257" s="1084"/>
    </row>
    <row r="258" spans="1:22" s="1082" customFormat="1" ht="24" customHeight="1">
      <c r="A258" s="1075">
        <v>239</v>
      </c>
      <c r="B258" s="1075"/>
      <c r="C258" s="1075"/>
      <c r="D258" s="1075"/>
      <c r="E258" s="1075" t="s">
        <v>10174</v>
      </c>
      <c r="F258" s="1076"/>
      <c r="G258" s="1075" t="s">
        <v>9065</v>
      </c>
      <c r="H258" s="1075" t="s">
        <v>9065</v>
      </c>
      <c r="I258" s="1075" t="s">
        <v>6231</v>
      </c>
      <c r="J258" s="1075"/>
      <c r="K258" s="1075"/>
      <c r="L258" s="1075" t="s">
        <v>9888</v>
      </c>
      <c r="M258" s="1077" t="s">
        <v>6230</v>
      </c>
      <c r="N258" s="1078">
        <v>6512400</v>
      </c>
      <c r="O258" s="1078"/>
      <c r="P258" s="1078"/>
      <c r="Q258" s="1079"/>
      <c r="V258" s="1084"/>
    </row>
    <row r="259" spans="1:22" s="1082" customFormat="1" ht="24" customHeight="1">
      <c r="A259" s="1075">
        <v>240</v>
      </c>
      <c r="B259" s="1075"/>
      <c r="C259" s="1075"/>
      <c r="D259" s="1075"/>
      <c r="E259" s="1075" t="s">
        <v>10176</v>
      </c>
      <c r="F259" s="1076"/>
      <c r="G259" s="1075" t="s">
        <v>9065</v>
      </c>
      <c r="H259" s="1075" t="s">
        <v>9065</v>
      </c>
      <c r="I259" s="1075" t="s">
        <v>6236</v>
      </c>
      <c r="J259" s="1075"/>
      <c r="K259" s="1075"/>
      <c r="L259" s="1075" t="s">
        <v>9888</v>
      </c>
      <c r="M259" s="1077" t="s">
        <v>6235</v>
      </c>
      <c r="N259" s="1078">
        <v>6512400</v>
      </c>
      <c r="O259" s="1078"/>
      <c r="P259" s="1078"/>
      <c r="Q259" s="1079"/>
      <c r="V259" s="1084"/>
    </row>
    <row r="260" spans="1:22" s="1082" customFormat="1" ht="24" customHeight="1">
      <c r="A260" s="1075">
        <v>241</v>
      </c>
      <c r="B260" s="1075"/>
      <c r="C260" s="1075"/>
      <c r="D260" s="1075"/>
      <c r="E260" s="1075" t="s">
        <v>10183</v>
      </c>
      <c r="F260" s="1076"/>
      <c r="G260" s="1075" t="s">
        <v>9065</v>
      </c>
      <c r="H260" s="1075" t="s">
        <v>9065</v>
      </c>
      <c r="I260" s="1075" t="s">
        <v>6242</v>
      </c>
      <c r="J260" s="1075"/>
      <c r="K260" s="1075"/>
      <c r="L260" s="1075" t="s">
        <v>9888</v>
      </c>
      <c r="M260" s="1077" t="s">
        <v>6241</v>
      </c>
      <c r="N260" s="1078">
        <v>6512400</v>
      </c>
      <c r="O260" s="1078"/>
      <c r="P260" s="1078"/>
      <c r="Q260" s="1079"/>
      <c r="V260" s="1084"/>
    </row>
    <row r="261" spans="1:22" s="1082" customFormat="1" ht="24" customHeight="1">
      <c r="A261" s="1075">
        <v>242</v>
      </c>
      <c r="B261" s="1075"/>
      <c r="C261" s="1075"/>
      <c r="D261" s="1075"/>
      <c r="E261" s="1075" t="s">
        <v>10184</v>
      </c>
      <c r="F261" s="1076"/>
      <c r="G261" s="1075" t="s">
        <v>9065</v>
      </c>
      <c r="H261" s="1075" t="s">
        <v>9065</v>
      </c>
      <c r="I261" s="1075" t="s">
        <v>6244</v>
      </c>
      <c r="J261" s="1075"/>
      <c r="K261" s="1075"/>
      <c r="L261" s="1075" t="s">
        <v>9888</v>
      </c>
      <c r="M261" s="1077" t="s">
        <v>6243</v>
      </c>
      <c r="N261" s="1078">
        <v>6512400</v>
      </c>
      <c r="O261" s="1078"/>
      <c r="P261" s="1078"/>
      <c r="Q261" s="1079"/>
      <c r="V261" s="1084"/>
    </row>
    <row r="262" spans="1:22" s="1082" customFormat="1" ht="24" customHeight="1">
      <c r="A262" s="1075">
        <v>243</v>
      </c>
      <c r="B262" s="1075" t="s">
        <v>423</v>
      </c>
      <c r="C262" s="1075"/>
      <c r="D262" s="1075"/>
      <c r="E262" s="1075" t="s">
        <v>10185</v>
      </c>
      <c r="F262" s="1076"/>
      <c r="G262" s="1075" t="s">
        <v>9065</v>
      </c>
      <c r="H262" s="1075" t="s">
        <v>9065</v>
      </c>
      <c r="I262" s="1075" t="s">
        <v>5606</v>
      </c>
      <c r="J262" s="1075" t="s">
        <v>1229</v>
      </c>
      <c r="K262" s="1075" t="s">
        <v>1227</v>
      </c>
      <c r="L262" s="1075" t="s">
        <v>5130</v>
      </c>
      <c r="M262" s="1077" t="s">
        <v>5605</v>
      </c>
      <c r="N262" s="1078">
        <v>6512400</v>
      </c>
      <c r="O262" s="1078" t="s">
        <v>375</v>
      </c>
      <c r="P262" s="1078"/>
      <c r="Q262" s="1079"/>
      <c r="V262" s="1084"/>
    </row>
    <row r="263" spans="1:22" s="1082" customFormat="1" ht="24" customHeight="1">
      <c r="A263" s="1075">
        <v>244</v>
      </c>
      <c r="B263" s="1075"/>
      <c r="C263" s="1075"/>
      <c r="D263" s="1075"/>
      <c r="E263" s="1075" t="s">
        <v>10186</v>
      </c>
      <c r="F263" s="1076"/>
      <c r="G263" s="1075" t="s">
        <v>9065</v>
      </c>
      <c r="H263" s="1075" t="s">
        <v>9065</v>
      </c>
      <c r="I263" s="1075" t="s">
        <v>6246</v>
      </c>
      <c r="J263" s="1075"/>
      <c r="K263" s="1075"/>
      <c r="L263" s="1075" t="s">
        <v>9888</v>
      </c>
      <c r="M263" s="1077" t="s">
        <v>6245</v>
      </c>
      <c r="N263" s="1078">
        <v>6512400</v>
      </c>
      <c r="O263" s="1078"/>
      <c r="P263" s="1078"/>
      <c r="Q263" s="1079"/>
      <c r="V263" s="1084"/>
    </row>
    <row r="264" spans="1:22" s="1082" customFormat="1" ht="24" customHeight="1">
      <c r="A264" s="1075">
        <v>245</v>
      </c>
      <c r="B264" s="1075"/>
      <c r="C264" s="1075"/>
      <c r="D264" s="1075"/>
      <c r="E264" s="1075" t="s">
        <v>10187</v>
      </c>
      <c r="F264" s="1076"/>
      <c r="G264" s="1075" t="s">
        <v>9065</v>
      </c>
      <c r="H264" s="1075" t="s">
        <v>9065</v>
      </c>
      <c r="I264" s="1075" t="s">
        <v>6248</v>
      </c>
      <c r="J264" s="1075"/>
      <c r="K264" s="1075"/>
      <c r="L264" s="1075" t="s">
        <v>9888</v>
      </c>
      <c r="M264" s="1077" t="s">
        <v>6247</v>
      </c>
      <c r="N264" s="1078">
        <v>6512400</v>
      </c>
      <c r="O264" s="1078"/>
      <c r="P264" s="1078"/>
      <c r="Q264" s="1079"/>
      <c r="V264" s="1084"/>
    </row>
    <row r="265" spans="1:22" s="1082" customFormat="1" ht="24" customHeight="1">
      <c r="A265" s="1075">
        <v>246</v>
      </c>
      <c r="B265" s="1075"/>
      <c r="C265" s="1075"/>
      <c r="D265" s="1075"/>
      <c r="E265" s="1075" t="s">
        <v>10189</v>
      </c>
      <c r="F265" s="1076"/>
      <c r="G265" s="1075" t="s">
        <v>9065</v>
      </c>
      <c r="H265" s="1075" t="s">
        <v>9065</v>
      </c>
      <c r="I265" s="1075" t="s">
        <v>6252</v>
      </c>
      <c r="J265" s="1075"/>
      <c r="K265" s="1075"/>
      <c r="L265" s="1075" t="s">
        <v>9888</v>
      </c>
      <c r="M265" s="1077" t="s">
        <v>6251</v>
      </c>
      <c r="N265" s="1078">
        <v>6512400</v>
      </c>
      <c r="O265" s="1078"/>
      <c r="P265" s="1078"/>
      <c r="Q265" s="1079"/>
      <c r="V265" s="1084"/>
    </row>
    <row r="266" spans="1:22" s="1082" customFormat="1" ht="24" customHeight="1">
      <c r="A266" s="1075">
        <v>247</v>
      </c>
      <c r="B266" s="1075"/>
      <c r="C266" s="1075"/>
      <c r="D266" s="1075"/>
      <c r="E266" s="1075" t="s">
        <v>10190</v>
      </c>
      <c r="F266" s="1076"/>
      <c r="G266" s="1075" t="s">
        <v>9065</v>
      </c>
      <c r="H266" s="1075" t="s">
        <v>9065</v>
      </c>
      <c r="I266" s="1075" t="s">
        <v>6254</v>
      </c>
      <c r="J266" s="1075"/>
      <c r="K266" s="1075"/>
      <c r="L266" s="1075" t="s">
        <v>9888</v>
      </c>
      <c r="M266" s="1077" t="s">
        <v>6253</v>
      </c>
      <c r="N266" s="1078">
        <v>6512400</v>
      </c>
      <c r="O266" s="1078"/>
      <c r="P266" s="1078"/>
      <c r="Q266" s="1079"/>
      <c r="V266" s="1084"/>
    </row>
    <row r="267" spans="1:22" s="1082" customFormat="1" ht="24" customHeight="1">
      <c r="A267" s="1075">
        <v>248</v>
      </c>
      <c r="B267" s="1075"/>
      <c r="C267" s="1075"/>
      <c r="D267" s="1075"/>
      <c r="E267" s="1075" t="s">
        <v>10192</v>
      </c>
      <c r="F267" s="1076"/>
      <c r="G267" s="1075" t="s">
        <v>9065</v>
      </c>
      <c r="H267" s="1075" t="s">
        <v>9065</v>
      </c>
      <c r="I267" s="1075" t="s">
        <v>6258</v>
      </c>
      <c r="J267" s="1075"/>
      <c r="K267" s="1075"/>
      <c r="L267" s="1075" t="s">
        <v>9888</v>
      </c>
      <c r="M267" s="1077" t="s">
        <v>6257</v>
      </c>
      <c r="N267" s="1078">
        <v>6512400</v>
      </c>
      <c r="O267" s="1078"/>
      <c r="P267" s="1078"/>
      <c r="Q267" s="1079"/>
      <c r="V267" s="1084"/>
    </row>
    <row r="268" spans="1:22" s="1082" customFormat="1" ht="24" customHeight="1">
      <c r="A268" s="1075">
        <v>249</v>
      </c>
      <c r="B268" s="1075"/>
      <c r="C268" s="1075"/>
      <c r="D268" s="1075"/>
      <c r="E268" s="1075" t="s">
        <v>10193</v>
      </c>
      <c r="F268" s="1076"/>
      <c r="G268" s="1075" t="s">
        <v>9065</v>
      </c>
      <c r="H268" s="1075" t="s">
        <v>9065</v>
      </c>
      <c r="I268" s="1075" t="s">
        <v>6260</v>
      </c>
      <c r="J268" s="1075"/>
      <c r="K268" s="1075"/>
      <c r="L268" s="1075" t="s">
        <v>9888</v>
      </c>
      <c r="M268" s="1077" t="s">
        <v>6259</v>
      </c>
      <c r="N268" s="1078">
        <v>6512400</v>
      </c>
      <c r="O268" s="1078"/>
      <c r="P268" s="1078"/>
      <c r="Q268" s="1079"/>
      <c r="V268" s="1084"/>
    </row>
    <row r="269" spans="1:22" s="1082" customFormat="1" ht="24" customHeight="1">
      <c r="A269" s="1075">
        <v>250</v>
      </c>
      <c r="B269" s="1075"/>
      <c r="C269" s="1075"/>
      <c r="D269" s="1075"/>
      <c r="E269" s="1075" t="s">
        <v>10194</v>
      </c>
      <c r="F269" s="1076"/>
      <c r="G269" s="1075" t="s">
        <v>9065</v>
      </c>
      <c r="H269" s="1075" t="s">
        <v>9065</v>
      </c>
      <c r="I269" s="1075" t="s">
        <v>6262</v>
      </c>
      <c r="J269" s="1075"/>
      <c r="K269" s="1075"/>
      <c r="L269" s="1075" t="s">
        <v>9888</v>
      </c>
      <c r="M269" s="1077" t="s">
        <v>6261</v>
      </c>
      <c r="N269" s="1078">
        <v>6512400</v>
      </c>
      <c r="O269" s="1078"/>
      <c r="P269" s="1078"/>
      <c r="Q269" s="1079"/>
      <c r="V269" s="1084"/>
    </row>
    <row r="270" spans="1:22" s="1082" customFormat="1" ht="24" customHeight="1">
      <c r="A270" s="1075">
        <v>251</v>
      </c>
      <c r="B270" s="1075"/>
      <c r="C270" s="1075"/>
      <c r="D270" s="1075"/>
      <c r="E270" s="1075" t="s">
        <v>10195</v>
      </c>
      <c r="F270" s="1076"/>
      <c r="G270" s="1075" t="s">
        <v>9065</v>
      </c>
      <c r="H270" s="1075" t="s">
        <v>9065</v>
      </c>
      <c r="I270" s="1075" t="s">
        <v>6264</v>
      </c>
      <c r="J270" s="1075"/>
      <c r="K270" s="1075"/>
      <c r="L270" s="1075" t="s">
        <v>9888</v>
      </c>
      <c r="M270" s="1077" t="s">
        <v>6263</v>
      </c>
      <c r="N270" s="1078">
        <v>6512400</v>
      </c>
      <c r="O270" s="1078"/>
      <c r="P270" s="1078"/>
      <c r="Q270" s="1079"/>
      <c r="V270" s="1084"/>
    </row>
    <row r="271" spans="1:22" s="1082" customFormat="1" ht="24" customHeight="1">
      <c r="A271" s="1075">
        <v>252</v>
      </c>
      <c r="B271" s="1075"/>
      <c r="C271" s="1075"/>
      <c r="D271" s="1075"/>
      <c r="E271" s="1075" t="s">
        <v>10196</v>
      </c>
      <c r="F271" s="1076"/>
      <c r="G271" s="1075" t="s">
        <v>9065</v>
      </c>
      <c r="H271" s="1075" t="s">
        <v>9065</v>
      </c>
      <c r="I271" s="1075" t="s">
        <v>6266</v>
      </c>
      <c r="J271" s="1075"/>
      <c r="K271" s="1075"/>
      <c r="L271" s="1075" t="s">
        <v>9888</v>
      </c>
      <c r="M271" s="1077" t="s">
        <v>6265</v>
      </c>
      <c r="N271" s="1078">
        <v>6512400</v>
      </c>
      <c r="O271" s="1078"/>
      <c r="P271" s="1078"/>
      <c r="Q271" s="1079"/>
      <c r="V271" s="1084"/>
    </row>
    <row r="272" spans="1:22" s="1082" customFormat="1" ht="24" customHeight="1">
      <c r="A272" s="1075">
        <v>253</v>
      </c>
      <c r="B272" s="1075"/>
      <c r="C272" s="1075"/>
      <c r="D272" s="1075"/>
      <c r="E272" s="1075" t="s">
        <v>10198</v>
      </c>
      <c r="F272" s="1076"/>
      <c r="G272" s="1075" t="s">
        <v>9065</v>
      </c>
      <c r="H272" s="1075" t="s">
        <v>9065</v>
      </c>
      <c r="I272" s="1075" t="s">
        <v>6270</v>
      </c>
      <c r="J272" s="1075"/>
      <c r="K272" s="1075"/>
      <c r="L272" s="1075" t="s">
        <v>9888</v>
      </c>
      <c r="M272" s="1077" t="s">
        <v>6269</v>
      </c>
      <c r="N272" s="1078">
        <v>6512400</v>
      </c>
      <c r="O272" s="1078"/>
      <c r="P272" s="1078"/>
      <c r="Q272" s="1079"/>
      <c r="V272" s="1084"/>
    </row>
    <row r="273" spans="1:22" s="1082" customFormat="1" ht="24" customHeight="1">
      <c r="A273" s="1075">
        <v>254</v>
      </c>
      <c r="B273" s="1075"/>
      <c r="C273" s="1075"/>
      <c r="D273" s="1075"/>
      <c r="E273" s="1075" t="s">
        <v>10200</v>
      </c>
      <c r="F273" s="1076"/>
      <c r="G273" s="1075" t="s">
        <v>9065</v>
      </c>
      <c r="H273" s="1075" t="s">
        <v>9065</v>
      </c>
      <c r="I273" s="1075" t="s">
        <v>6272</v>
      </c>
      <c r="J273" s="1075"/>
      <c r="K273" s="1075"/>
      <c r="L273" s="1075" t="s">
        <v>9888</v>
      </c>
      <c r="M273" s="1077" t="s">
        <v>6271</v>
      </c>
      <c r="N273" s="1078">
        <v>6512400</v>
      </c>
      <c r="O273" s="1078"/>
      <c r="P273" s="1078"/>
      <c r="Q273" s="1079"/>
      <c r="V273" s="1084"/>
    </row>
    <row r="274" spans="1:22" s="1082" customFormat="1" ht="24" customHeight="1">
      <c r="A274" s="1075">
        <v>255</v>
      </c>
      <c r="B274" s="1075"/>
      <c r="C274" s="1075"/>
      <c r="D274" s="1075"/>
      <c r="E274" s="1075" t="s">
        <v>10203</v>
      </c>
      <c r="F274" s="1076"/>
      <c r="G274" s="1075" t="s">
        <v>9065</v>
      </c>
      <c r="H274" s="1075" t="s">
        <v>9065</v>
      </c>
      <c r="I274" s="1075" t="s">
        <v>6274</v>
      </c>
      <c r="J274" s="1075"/>
      <c r="K274" s="1075"/>
      <c r="L274" s="1075" t="s">
        <v>9888</v>
      </c>
      <c r="M274" s="1077" t="s">
        <v>6273</v>
      </c>
      <c r="N274" s="1078">
        <v>6512400</v>
      </c>
      <c r="O274" s="1078"/>
      <c r="P274" s="1078"/>
      <c r="Q274" s="1079"/>
      <c r="V274" s="1084"/>
    </row>
    <row r="275" spans="1:22" s="1082" customFormat="1" ht="24" customHeight="1">
      <c r="A275" s="1075">
        <v>256</v>
      </c>
      <c r="B275" s="1075"/>
      <c r="C275" s="1075"/>
      <c r="D275" s="1075"/>
      <c r="E275" s="1075" t="s">
        <v>14191</v>
      </c>
      <c r="F275" s="1076"/>
      <c r="G275" s="1075" t="s">
        <v>9065</v>
      </c>
      <c r="H275" s="1075" t="s">
        <v>9065</v>
      </c>
      <c r="I275" s="1075" t="s">
        <v>6276</v>
      </c>
      <c r="J275" s="1075"/>
      <c r="K275" s="1075"/>
      <c r="L275" s="1075" t="s">
        <v>9888</v>
      </c>
      <c r="M275" s="1077" t="s">
        <v>6275</v>
      </c>
      <c r="N275" s="1078">
        <v>6512400</v>
      </c>
      <c r="O275" s="1078"/>
      <c r="P275" s="1078"/>
      <c r="Q275" s="1079"/>
      <c r="V275" s="1084"/>
    </row>
    <row r="276" spans="1:22" s="1082" customFormat="1" ht="24" customHeight="1">
      <c r="A276" s="1075">
        <v>257</v>
      </c>
      <c r="B276" s="1075"/>
      <c r="C276" s="1075"/>
      <c r="D276" s="1075"/>
      <c r="E276" s="1075" t="s">
        <v>10204</v>
      </c>
      <c r="F276" s="1076"/>
      <c r="G276" s="1075" t="s">
        <v>9065</v>
      </c>
      <c r="H276" s="1075" t="s">
        <v>9065</v>
      </c>
      <c r="I276" s="1075" t="s">
        <v>266</v>
      </c>
      <c r="J276" s="1075"/>
      <c r="K276" s="1075"/>
      <c r="L276" s="1075" t="s">
        <v>9888</v>
      </c>
      <c r="M276" s="1077" t="s">
        <v>6277</v>
      </c>
      <c r="N276" s="1078">
        <v>6512400</v>
      </c>
      <c r="O276" s="1078"/>
      <c r="P276" s="1078"/>
      <c r="Q276" s="1079"/>
      <c r="V276" s="1084"/>
    </row>
    <row r="277" spans="1:22" s="1082" customFormat="1" ht="24" customHeight="1">
      <c r="A277" s="1075">
        <v>258</v>
      </c>
      <c r="B277" s="1075"/>
      <c r="C277" s="1075"/>
      <c r="D277" s="1075"/>
      <c r="E277" s="1075" t="s">
        <v>10206</v>
      </c>
      <c r="F277" s="1076"/>
      <c r="G277" s="1075" t="s">
        <v>9065</v>
      </c>
      <c r="H277" s="1075" t="s">
        <v>9065</v>
      </c>
      <c r="I277" s="1075" t="s">
        <v>6279</v>
      </c>
      <c r="J277" s="1075"/>
      <c r="K277" s="1075"/>
      <c r="L277" s="1075" t="s">
        <v>9888</v>
      </c>
      <c r="M277" s="1077" t="s">
        <v>6278</v>
      </c>
      <c r="N277" s="1078">
        <v>6512400</v>
      </c>
      <c r="O277" s="1078"/>
      <c r="P277" s="1078"/>
      <c r="Q277" s="1079"/>
      <c r="V277" s="1084"/>
    </row>
    <row r="278" spans="1:22" s="1082" customFormat="1" ht="24" customHeight="1">
      <c r="A278" s="1075">
        <v>259</v>
      </c>
      <c r="B278" s="1075"/>
      <c r="C278" s="1075"/>
      <c r="D278" s="1075"/>
      <c r="E278" s="1075" t="s">
        <v>10208</v>
      </c>
      <c r="F278" s="1076"/>
      <c r="G278" s="1075" t="s">
        <v>9065</v>
      </c>
      <c r="H278" s="1075" t="s">
        <v>9065</v>
      </c>
      <c r="I278" s="1075" t="s">
        <v>6283</v>
      </c>
      <c r="J278" s="1075"/>
      <c r="K278" s="1075"/>
      <c r="L278" s="1075" t="s">
        <v>9888</v>
      </c>
      <c r="M278" s="1077" t="s">
        <v>6282</v>
      </c>
      <c r="N278" s="1078">
        <v>6512400</v>
      </c>
      <c r="O278" s="1078"/>
      <c r="P278" s="1078"/>
      <c r="Q278" s="1079"/>
      <c r="V278" s="1084"/>
    </row>
    <row r="279" spans="1:22" s="1082" customFormat="1" ht="24" customHeight="1">
      <c r="A279" s="1075">
        <v>260</v>
      </c>
      <c r="B279" s="1075"/>
      <c r="C279" s="1075"/>
      <c r="D279" s="1075"/>
      <c r="E279" s="1075" t="s">
        <v>10209</v>
      </c>
      <c r="F279" s="1076"/>
      <c r="G279" s="1075" t="s">
        <v>9065</v>
      </c>
      <c r="H279" s="1075" t="s">
        <v>9065</v>
      </c>
      <c r="I279" s="1075" t="s">
        <v>6285</v>
      </c>
      <c r="J279" s="1075"/>
      <c r="K279" s="1075"/>
      <c r="L279" s="1075" t="s">
        <v>9888</v>
      </c>
      <c r="M279" s="1077" t="s">
        <v>6284</v>
      </c>
      <c r="N279" s="1078">
        <v>6512400</v>
      </c>
      <c r="O279" s="1078"/>
      <c r="P279" s="1078"/>
      <c r="Q279" s="1079"/>
      <c r="V279" s="1084"/>
    </row>
    <row r="280" spans="1:22" s="1082" customFormat="1" ht="24" customHeight="1">
      <c r="A280" s="1075">
        <v>261</v>
      </c>
      <c r="B280" s="1075"/>
      <c r="C280" s="1075"/>
      <c r="D280" s="1075"/>
      <c r="E280" s="1075" t="s">
        <v>10212</v>
      </c>
      <c r="F280" s="1076"/>
      <c r="G280" s="1075" t="s">
        <v>9065</v>
      </c>
      <c r="H280" s="1075" t="s">
        <v>9065</v>
      </c>
      <c r="I280" s="1075" t="s">
        <v>6291</v>
      </c>
      <c r="J280" s="1075"/>
      <c r="K280" s="1075"/>
      <c r="L280" s="1075" t="s">
        <v>9888</v>
      </c>
      <c r="M280" s="1077" t="s">
        <v>6290</v>
      </c>
      <c r="N280" s="1078">
        <v>6512400</v>
      </c>
      <c r="O280" s="1078"/>
      <c r="P280" s="1078"/>
      <c r="Q280" s="1079"/>
      <c r="V280" s="1084"/>
    </row>
    <row r="281" spans="1:22" s="1082" customFormat="1" ht="24" customHeight="1">
      <c r="A281" s="1075">
        <v>262</v>
      </c>
      <c r="B281" s="376" t="s">
        <v>1595</v>
      </c>
      <c r="C281" s="376"/>
      <c r="D281" s="376"/>
      <c r="E281" s="1075" t="s">
        <v>10213</v>
      </c>
      <c r="F281" s="1076"/>
      <c r="G281" s="1075" t="s">
        <v>9065</v>
      </c>
      <c r="H281" s="1075" t="s">
        <v>9065</v>
      </c>
      <c r="I281" s="1075" t="s">
        <v>5616</v>
      </c>
      <c r="J281" s="1075" t="s">
        <v>12018</v>
      </c>
      <c r="K281" s="1075" t="s">
        <v>2027</v>
      </c>
      <c r="L281" s="1075" t="s">
        <v>5130</v>
      </c>
      <c r="M281" s="1077" t="s">
        <v>5615</v>
      </c>
      <c r="N281" s="1078">
        <v>6512400</v>
      </c>
      <c r="O281" s="1078" t="s">
        <v>375</v>
      </c>
      <c r="P281" s="1078"/>
      <c r="Q281" s="1079"/>
      <c r="V281" s="1084"/>
    </row>
    <row r="282" spans="1:22" s="1082" customFormat="1" ht="24" customHeight="1">
      <c r="A282" s="1075">
        <v>263</v>
      </c>
      <c r="B282" s="1075"/>
      <c r="C282" s="1075"/>
      <c r="D282" s="1075"/>
      <c r="E282" s="1075" t="s">
        <v>10214</v>
      </c>
      <c r="F282" s="1076"/>
      <c r="G282" s="1075" t="s">
        <v>9065</v>
      </c>
      <c r="H282" s="1075" t="s">
        <v>9065</v>
      </c>
      <c r="I282" s="1075" t="s">
        <v>6293</v>
      </c>
      <c r="J282" s="1075"/>
      <c r="K282" s="1075"/>
      <c r="L282" s="1075" t="s">
        <v>9888</v>
      </c>
      <c r="M282" s="1077" t="s">
        <v>6292</v>
      </c>
      <c r="N282" s="1078">
        <v>6512400</v>
      </c>
      <c r="O282" s="1078"/>
      <c r="P282" s="1078"/>
      <c r="Q282" s="1079"/>
      <c r="V282" s="1084"/>
    </row>
    <row r="283" spans="1:22" s="1082" customFormat="1" ht="24" customHeight="1">
      <c r="A283" s="1075">
        <v>264</v>
      </c>
      <c r="B283" s="1075"/>
      <c r="C283" s="1075"/>
      <c r="D283" s="1075"/>
      <c r="E283" s="1075" t="s">
        <v>10215</v>
      </c>
      <c r="F283" s="1076"/>
      <c r="G283" s="1075" t="s">
        <v>9065</v>
      </c>
      <c r="H283" s="1075" t="s">
        <v>9065</v>
      </c>
      <c r="I283" s="1075" t="s">
        <v>6295</v>
      </c>
      <c r="J283" s="1075"/>
      <c r="K283" s="1075"/>
      <c r="L283" s="1075" t="s">
        <v>9888</v>
      </c>
      <c r="M283" s="1077" t="s">
        <v>6294</v>
      </c>
      <c r="N283" s="1078">
        <v>6512400</v>
      </c>
      <c r="O283" s="1078"/>
      <c r="P283" s="1078"/>
      <c r="Q283" s="1079"/>
      <c r="V283" s="1084"/>
    </row>
    <row r="284" spans="1:22" s="1082" customFormat="1" ht="24" customHeight="1">
      <c r="A284" s="1075">
        <v>265</v>
      </c>
      <c r="B284" s="1075"/>
      <c r="C284" s="1075"/>
      <c r="D284" s="1075"/>
      <c r="E284" s="1075" t="s">
        <v>10216</v>
      </c>
      <c r="F284" s="1076"/>
      <c r="G284" s="1075" t="s">
        <v>9065</v>
      </c>
      <c r="H284" s="1075" t="s">
        <v>9065</v>
      </c>
      <c r="I284" s="1075" t="s">
        <v>6297</v>
      </c>
      <c r="J284" s="1075"/>
      <c r="K284" s="1075"/>
      <c r="L284" s="1075" t="s">
        <v>9888</v>
      </c>
      <c r="M284" s="1077" t="s">
        <v>6296</v>
      </c>
      <c r="N284" s="1078">
        <v>6512400</v>
      </c>
      <c r="O284" s="1078"/>
      <c r="P284" s="1078"/>
      <c r="Q284" s="1079"/>
      <c r="V284" s="1084"/>
    </row>
    <row r="285" spans="1:22" s="1082" customFormat="1" ht="24" customHeight="1">
      <c r="A285" s="1075">
        <v>266</v>
      </c>
      <c r="B285" s="376" t="s">
        <v>1595</v>
      </c>
      <c r="C285" s="376"/>
      <c r="D285" s="376"/>
      <c r="E285" s="1075" t="s">
        <v>10217</v>
      </c>
      <c r="F285" s="1076"/>
      <c r="G285" s="1075" t="s">
        <v>9065</v>
      </c>
      <c r="H285" s="1075" t="s">
        <v>9065</v>
      </c>
      <c r="I285" s="1075" t="s">
        <v>5618</v>
      </c>
      <c r="J285" s="1075" t="s">
        <v>2123</v>
      </c>
      <c r="K285" s="1075" t="s">
        <v>2122</v>
      </c>
      <c r="L285" s="1075" t="s">
        <v>5130</v>
      </c>
      <c r="M285" s="1077" t="s">
        <v>5617</v>
      </c>
      <c r="N285" s="1078">
        <v>6512400</v>
      </c>
      <c r="O285" s="1078" t="s">
        <v>375</v>
      </c>
      <c r="P285" s="1078"/>
      <c r="Q285" s="1079"/>
      <c r="V285" s="1084"/>
    </row>
    <row r="286" spans="1:22" s="1082" customFormat="1" ht="24" customHeight="1">
      <c r="A286" s="1075">
        <v>267</v>
      </c>
      <c r="B286" s="376" t="s">
        <v>1595</v>
      </c>
      <c r="C286" s="376"/>
      <c r="D286" s="376"/>
      <c r="E286" s="1075" t="s">
        <v>10218</v>
      </c>
      <c r="F286" s="1076"/>
      <c r="G286" s="1075" t="s">
        <v>9065</v>
      </c>
      <c r="H286" s="1075" t="s">
        <v>9065</v>
      </c>
      <c r="I286" s="1075" t="s">
        <v>5620</v>
      </c>
      <c r="J286" s="1075" t="s">
        <v>2036</v>
      </c>
      <c r="K286" s="1075" t="s">
        <v>15890</v>
      </c>
      <c r="L286" s="1075" t="s">
        <v>5130</v>
      </c>
      <c r="M286" s="1077" t="s">
        <v>5619</v>
      </c>
      <c r="N286" s="1078">
        <v>6512400</v>
      </c>
      <c r="O286" s="1078" t="s">
        <v>375</v>
      </c>
      <c r="P286" s="1078" t="s">
        <v>1084</v>
      </c>
      <c r="Q286" s="1079"/>
      <c r="V286" s="1084"/>
    </row>
    <row r="287" spans="1:22" s="1082" customFormat="1" ht="24" customHeight="1">
      <c r="A287" s="1075">
        <v>268</v>
      </c>
      <c r="B287" s="1075"/>
      <c r="C287" s="1075"/>
      <c r="D287" s="1075"/>
      <c r="E287" s="1075" t="s">
        <v>10219</v>
      </c>
      <c r="F287" s="1076"/>
      <c r="G287" s="1075" t="s">
        <v>9065</v>
      </c>
      <c r="H287" s="1075" t="s">
        <v>9065</v>
      </c>
      <c r="I287" s="1075" t="s">
        <v>6299</v>
      </c>
      <c r="J287" s="1075"/>
      <c r="K287" s="1075"/>
      <c r="L287" s="1075" t="s">
        <v>9888</v>
      </c>
      <c r="M287" s="1077" t="s">
        <v>6298</v>
      </c>
      <c r="N287" s="1078">
        <v>6512400</v>
      </c>
      <c r="O287" s="1078"/>
      <c r="P287" s="1078"/>
      <c r="Q287" s="1079"/>
      <c r="V287" s="1084"/>
    </row>
    <row r="288" spans="1:22" s="1082" customFormat="1" ht="24" customHeight="1">
      <c r="A288" s="1075">
        <v>269</v>
      </c>
      <c r="B288" s="376" t="s">
        <v>1595</v>
      </c>
      <c r="C288" s="376"/>
      <c r="D288" s="376"/>
      <c r="E288" s="1075" t="s">
        <v>10220</v>
      </c>
      <c r="F288" s="1076"/>
      <c r="G288" s="1075" t="s">
        <v>9065</v>
      </c>
      <c r="H288" s="1075" t="s">
        <v>9065</v>
      </c>
      <c r="I288" s="1075" t="s">
        <v>5622</v>
      </c>
      <c r="J288" s="1075" t="s">
        <v>2045</v>
      </c>
      <c r="K288" s="1075" t="s">
        <v>2044</v>
      </c>
      <c r="L288" s="1075" t="s">
        <v>5130</v>
      </c>
      <c r="M288" s="1077" t="s">
        <v>5621</v>
      </c>
      <c r="N288" s="1078">
        <v>6512400</v>
      </c>
      <c r="O288" s="1078" t="s">
        <v>375</v>
      </c>
      <c r="P288" s="1078"/>
      <c r="Q288" s="1079"/>
      <c r="V288" s="1084"/>
    </row>
    <row r="289" spans="1:22" s="1082" customFormat="1" ht="24" customHeight="1">
      <c r="A289" s="1075">
        <v>270</v>
      </c>
      <c r="B289" s="376" t="s">
        <v>1595</v>
      </c>
      <c r="C289" s="376"/>
      <c r="D289" s="376"/>
      <c r="E289" s="1075" t="s">
        <v>10221</v>
      </c>
      <c r="F289" s="1076"/>
      <c r="G289" s="1075" t="s">
        <v>9065</v>
      </c>
      <c r="H289" s="1075" t="s">
        <v>9065</v>
      </c>
      <c r="I289" s="1075" t="s">
        <v>5624</v>
      </c>
      <c r="J289" s="1075" t="s">
        <v>2004</v>
      </c>
      <c r="K289" s="1075" t="s">
        <v>2003</v>
      </c>
      <c r="L289" s="1075" t="s">
        <v>5130</v>
      </c>
      <c r="M289" s="1077" t="s">
        <v>5623</v>
      </c>
      <c r="N289" s="1078">
        <v>6512400</v>
      </c>
      <c r="O289" s="1078" t="s">
        <v>375</v>
      </c>
      <c r="P289" s="107" t="s">
        <v>43</v>
      </c>
      <c r="Q289" s="1079"/>
      <c r="V289" s="1084"/>
    </row>
    <row r="290" spans="1:22" s="1082" customFormat="1" ht="24" customHeight="1">
      <c r="A290" s="1075">
        <v>271</v>
      </c>
      <c r="B290" s="1075"/>
      <c r="C290" s="1075"/>
      <c r="D290" s="1075"/>
      <c r="E290" s="1075" t="s">
        <v>10222</v>
      </c>
      <c r="F290" s="1076"/>
      <c r="G290" s="1075" t="s">
        <v>9065</v>
      </c>
      <c r="H290" s="1075" t="s">
        <v>9065</v>
      </c>
      <c r="I290" s="1075" t="s">
        <v>5626</v>
      </c>
      <c r="J290" s="1075" t="s">
        <v>15644</v>
      </c>
      <c r="K290" s="1075" t="s">
        <v>2227</v>
      </c>
      <c r="L290" s="1075" t="s">
        <v>5130</v>
      </c>
      <c r="M290" s="1077" t="s">
        <v>5625</v>
      </c>
      <c r="N290" s="1078">
        <v>6512400</v>
      </c>
      <c r="O290" s="1078" t="s">
        <v>375</v>
      </c>
      <c r="P290" s="1078"/>
      <c r="Q290" s="1079"/>
      <c r="V290" s="1084"/>
    </row>
    <row r="291" spans="1:22" s="1133" customFormat="1" ht="24" customHeight="1">
      <c r="A291" s="1075">
        <v>272</v>
      </c>
      <c r="B291" s="1128" t="s">
        <v>2476</v>
      </c>
      <c r="C291" s="1128"/>
      <c r="D291" s="1128"/>
      <c r="E291" s="1128" t="s">
        <v>10224</v>
      </c>
      <c r="F291" s="1129"/>
      <c r="G291" s="1128" t="s">
        <v>9065</v>
      </c>
      <c r="H291" s="1128" t="s">
        <v>9065</v>
      </c>
      <c r="I291" s="1128" t="s">
        <v>5630</v>
      </c>
      <c r="J291" s="1128"/>
      <c r="K291" s="1128" t="s">
        <v>16176</v>
      </c>
      <c r="L291" s="1128" t="s">
        <v>5130</v>
      </c>
      <c r="M291" s="1130" t="s">
        <v>5629</v>
      </c>
      <c r="N291" s="1131">
        <v>6512400</v>
      </c>
      <c r="O291" s="1131"/>
      <c r="P291" s="1131" t="s">
        <v>16146</v>
      </c>
      <c r="Q291" s="1132"/>
      <c r="V291" s="1134"/>
    </row>
    <row r="292" spans="1:22" s="1082" customFormat="1" ht="24" customHeight="1">
      <c r="A292" s="1075">
        <v>273</v>
      </c>
      <c r="B292" s="1075" t="s">
        <v>4623</v>
      </c>
      <c r="C292" s="1075"/>
      <c r="D292" s="1075"/>
      <c r="E292" s="1075" t="s">
        <v>10225</v>
      </c>
      <c r="F292" s="1076"/>
      <c r="G292" s="1075" t="s">
        <v>9065</v>
      </c>
      <c r="H292" s="1075" t="s">
        <v>9065</v>
      </c>
      <c r="I292" s="1075" t="s">
        <v>5632</v>
      </c>
      <c r="J292" s="1075" t="s">
        <v>12070</v>
      </c>
      <c r="K292" s="1075" t="s">
        <v>2589</v>
      </c>
      <c r="L292" s="1075" t="s">
        <v>5130</v>
      </c>
      <c r="M292" s="1077" t="s">
        <v>5631</v>
      </c>
      <c r="N292" s="1078">
        <v>6512400</v>
      </c>
      <c r="O292" s="1078" t="s">
        <v>375</v>
      </c>
      <c r="P292" s="1078" t="s">
        <v>1084</v>
      </c>
      <c r="Q292" s="1079"/>
      <c r="V292" s="1084"/>
    </row>
    <row r="293" spans="1:22" s="1082" customFormat="1" ht="24" customHeight="1">
      <c r="A293" s="1075">
        <v>274</v>
      </c>
      <c r="B293" s="1075"/>
      <c r="C293" s="1075"/>
      <c r="D293" s="1075"/>
      <c r="E293" s="1075" t="s">
        <v>10228</v>
      </c>
      <c r="F293" s="1076"/>
      <c r="G293" s="1075" t="s">
        <v>9065</v>
      </c>
      <c r="H293" s="1075" t="s">
        <v>9065</v>
      </c>
      <c r="I293" s="1075" t="s">
        <v>6305</v>
      </c>
      <c r="J293" s="1075"/>
      <c r="K293" s="1075"/>
      <c r="L293" s="1075" t="s">
        <v>9888</v>
      </c>
      <c r="M293" s="1077" t="s">
        <v>6304</v>
      </c>
      <c r="N293" s="1078">
        <v>6512400</v>
      </c>
      <c r="O293" s="1078"/>
      <c r="P293" s="1078"/>
      <c r="Q293" s="1079"/>
      <c r="V293" s="1084"/>
    </row>
    <row r="294" spans="1:22" s="1082" customFormat="1" ht="24" customHeight="1">
      <c r="A294" s="1075">
        <v>275</v>
      </c>
      <c r="B294" s="1075"/>
      <c r="C294" s="1075"/>
      <c r="D294" s="1075"/>
      <c r="E294" s="1075" t="s">
        <v>10229</v>
      </c>
      <c r="F294" s="1076"/>
      <c r="G294" s="1075" t="s">
        <v>9065</v>
      </c>
      <c r="H294" s="1075" t="s">
        <v>9065</v>
      </c>
      <c r="I294" s="1075" t="s">
        <v>6307</v>
      </c>
      <c r="J294" s="1075"/>
      <c r="K294" s="1075"/>
      <c r="L294" s="1075" t="s">
        <v>9888</v>
      </c>
      <c r="M294" s="1077" t="s">
        <v>6306</v>
      </c>
      <c r="N294" s="1078">
        <v>6512400</v>
      </c>
      <c r="O294" s="1078"/>
      <c r="P294" s="1078"/>
      <c r="Q294" s="1079"/>
      <c r="V294" s="1084"/>
    </row>
    <row r="295" spans="1:22" s="1082" customFormat="1" ht="24" customHeight="1">
      <c r="A295" s="1075">
        <v>276</v>
      </c>
      <c r="B295" s="1075" t="s">
        <v>423</v>
      </c>
      <c r="C295" s="1075"/>
      <c r="D295" s="1075"/>
      <c r="E295" s="1075" t="s">
        <v>10230</v>
      </c>
      <c r="F295" s="1076"/>
      <c r="G295" s="1075" t="s">
        <v>9065</v>
      </c>
      <c r="H295" s="1075" t="s">
        <v>9065</v>
      </c>
      <c r="I295" s="1075" t="s">
        <v>5634</v>
      </c>
      <c r="J295" s="1075" t="s">
        <v>1091</v>
      </c>
      <c r="K295" s="1075" t="s">
        <v>15891</v>
      </c>
      <c r="L295" s="1075" t="s">
        <v>5130</v>
      </c>
      <c r="M295" s="1077" t="s">
        <v>5633</v>
      </c>
      <c r="N295" s="1078">
        <v>6512400</v>
      </c>
      <c r="O295" s="1078" t="s">
        <v>375</v>
      </c>
      <c r="P295" s="1078"/>
      <c r="Q295" s="1079"/>
      <c r="V295" s="1084"/>
    </row>
    <row r="296" spans="1:22" s="1082" customFormat="1" ht="24" customHeight="1">
      <c r="A296" s="1075">
        <v>277</v>
      </c>
      <c r="B296" s="1075"/>
      <c r="C296" s="1075"/>
      <c r="D296" s="1075"/>
      <c r="E296" s="1075" t="s">
        <v>10231</v>
      </c>
      <c r="F296" s="1076"/>
      <c r="G296" s="1075" t="s">
        <v>9065</v>
      </c>
      <c r="H296" s="1075" t="s">
        <v>9065</v>
      </c>
      <c r="I296" s="1075" t="s">
        <v>6309</v>
      </c>
      <c r="J296" s="1075"/>
      <c r="K296" s="1075"/>
      <c r="L296" s="1075" t="s">
        <v>9888</v>
      </c>
      <c r="M296" s="1077" t="s">
        <v>6308</v>
      </c>
      <c r="N296" s="1078">
        <v>6512400</v>
      </c>
      <c r="O296" s="1078"/>
      <c r="P296" s="1078"/>
      <c r="Q296" s="1079"/>
      <c r="V296" s="1084"/>
    </row>
    <row r="297" spans="1:22" s="1082" customFormat="1" ht="24" customHeight="1">
      <c r="A297" s="1075">
        <v>278</v>
      </c>
      <c r="B297" s="1075"/>
      <c r="C297" s="1075"/>
      <c r="D297" s="1075"/>
      <c r="E297" s="1075" t="s">
        <v>10233</v>
      </c>
      <c r="F297" s="1076"/>
      <c r="G297" s="1075" t="s">
        <v>9065</v>
      </c>
      <c r="H297" s="1075" t="s">
        <v>9065</v>
      </c>
      <c r="I297" s="1075" t="s">
        <v>6313</v>
      </c>
      <c r="J297" s="1075"/>
      <c r="K297" s="1075"/>
      <c r="L297" s="1075" t="s">
        <v>9888</v>
      </c>
      <c r="M297" s="1077" t="s">
        <v>6312</v>
      </c>
      <c r="N297" s="1078">
        <v>6512400</v>
      </c>
      <c r="O297" s="1078"/>
      <c r="P297" s="1078"/>
      <c r="Q297" s="1079"/>
      <c r="V297" s="1084"/>
    </row>
    <row r="298" spans="1:22" s="1082" customFormat="1" ht="24" customHeight="1">
      <c r="A298" s="1075">
        <v>279</v>
      </c>
      <c r="B298" s="1075"/>
      <c r="C298" s="1075"/>
      <c r="D298" s="1075"/>
      <c r="E298" s="1075" t="s">
        <v>10234</v>
      </c>
      <c r="F298" s="1076"/>
      <c r="G298" s="1075" t="s">
        <v>9065</v>
      </c>
      <c r="H298" s="1075" t="s">
        <v>9065</v>
      </c>
      <c r="I298" s="1075" t="s">
        <v>6315</v>
      </c>
      <c r="J298" s="1075"/>
      <c r="K298" s="1075"/>
      <c r="L298" s="1075" t="s">
        <v>9888</v>
      </c>
      <c r="M298" s="1077" t="s">
        <v>6314</v>
      </c>
      <c r="N298" s="1078">
        <v>6512400</v>
      </c>
      <c r="O298" s="1078"/>
      <c r="P298" s="1078"/>
      <c r="Q298" s="1079"/>
      <c r="V298" s="1084"/>
    </row>
    <row r="299" spans="1:22" s="1082" customFormat="1" ht="24" customHeight="1">
      <c r="A299" s="1075">
        <v>280</v>
      </c>
      <c r="B299" s="376" t="s">
        <v>1595</v>
      </c>
      <c r="C299" s="376"/>
      <c r="D299" s="376"/>
      <c r="E299" s="1075" t="s">
        <v>10236</v>
      </c>
      <c r="F299" s="1076"/>
      <c r="G299" s="1075" t="s">
        <v>9065</v>
      </c>
      <c r="H299" s="1075" t="s">
        <v>9065</v>
      </c>
      <c r="I299" s="1075" t="s">
        <v>5638</v>
      </c>
      <c r="J299" s="1075" t="s">
        <v>2157</v>
      </c>
      <c r="K299" s="1075" t="s">
        <v>2156</v>
      </c>
      <c r="L299" s="1075" t="s">
        <v>5130</v>
      </c>
      <c r="M299" s="1077" t="s">
        <v>5637</v>
      </c>
      <c r="N299" s="1078">
        <v>6512400</v>
      </c>
      <c r="O299" s="1078" t="s">
        <v>375</v>
      </c>
      <c r="P299" s="1078"/>
      <c r="Q299" s="1079"/>
      <c r="V299" s="1084"/>
    </row>
    <row r="300" spans="1:22" s="1082" customFormat="1" ht="24" customHeight="1">
      <c r="A300" s="1075">
        <v>281</v>
      </c>
      <c r="B300" s="1075"/>
      <c r="C300" s="1075"/>
      <c r="D300" s="1075"/>
      <c r="E300" s="1075" t="s">
        <v>10237</v>
      </c>
      <c r="F300" s="1076"/>
      <c r="G300" s="1075" t="s">
        <v>9065</v>
      </c>
      <c r="H300" s="1075" t="s">
        <v>9065</v>
      </c>
      <c r="I300" s="1075" t="s">
        <v>5640</v>
      </c>
      <c r="J300" s="1075" t="s">
        <v>15624</v>
      </c>
      <c r="K300" s="1075" t="s">
        <v>15623</v>
      </c>
      <c r="L300" s="1075" t="s">
        <v>5130</v>
      </c>
      <c r="M300" s="1077" t="s">
        <v>5639</v>
      </c>
      <c r="N300" s="1078">
        <v>6512400</v>
      </c>
      <c r="O300" s="1078" t="s">
        <v>375</v>
      </c>
      <c r="P300" s="1078"/>
      <c r="Q300" s="1079"/>
      <c r="V300" s="1084"/>
    </row>
    <row r="301" spans="1:22" s="1082" customFormat="1" ht="24" customHeight="1">
      <c r="A301" s="1075">
        <v>282</v>
      </c>
      <c r="B301" s="1075"/>
      <c r="C301" s="1075"/>
      <c r="D301" s="1075"/>
      <c r="E301" s="1075" t="s">
        <v>15892</v>
      </c>
      <c r="F301" s="1076"/>
      <c r="G301" s="1075" t="s">
        <v>9065</v>
      </c>
      <c r="H301" s="1075" t="s">
        <v>9065</v>
      </c>
      <c r="I301" s="1075" t="s">
        <v>5643</v>
      </c>
      <c r="J301" s="1075"/>
      <c r="K301" s="1075"/>
      <c r="L301" s="1075" t="s">
        <v>9888</v>
      </c>
      <c r="M301" s="1077" t="s">
        <v>15893</v>
      </c>
      <c r="N301" s="1078">
        <v>6512400</v>
      </c>
      <c r="O301" s="1078"/>
      <c r="P301" s="1078"/>
      <c r="Q301" s="1079"/>
      <c r="V301" s="1084"/>
    </row>
    <row r="302" spans="1:22" s="1082" customFormat="1" ht="24" customHeight="1">
      <c r="A302" s="1075">
        <v>283</v>
      </c>
      <c r="B302" s="1075"/>
      <c r="C302" s="1075"/>
      <c r="D302" s="1075"/>
      <c r="E302" s="1075" t="s">
        <v>10240</v>
      </c>
      <c r="F302" s="1076"/>
      <c r="G302" s="1075" t="s">
        <v>9065</v>
      </c>
      <c r="H302" s="1075" t="s">
        <v>9065</v>
      </c>
      <c r="I302" s="1075" t="s">
        <v>6317</v>
      </c>
      <c r="J302" s="1075"/>
      <c r="K302" s="1075"/>
      <c r="L302" s="1075" t="s">
        <v>9888</v>
      </c>
      <c r="M302" s="1077" t="s">
        <v>6316</v>
      </c>
      <c r="N302" s="1078">
        <v>6512400</v>
      </c>
      <c r="O302" s="1078"/>
      <c r="P302" s="1078"/>
      <c r="Q302" s="1079"/>
      <c r="V302" s="1084"/>
    </row>
    <row r="303" spans="1:22" s="1082" customFormat="1" ht="24" customHeight="1">
      <c r="A303" s="1075">
        <v>284</v>
      </c>
      <c r="B303" s="1075"/>
      <c r="C303" s="1075"/>
      <c r="D303" s="1075"/>
      <c r="E303" s="1075" t="s">
        <v>10242</v>
      </c>
      <c r="F303" s="1076"/>
      <c r="G303" s="1075" t="s">
        <v>9065</v>
      </c>
      <c r="H303" s="1075" t="s">
        <v>9065</v>
      </c>
      <c r="I303" s="1075" t="s">
        <v>6321</v>
      </c>
      <c r="J303" s="1075"/>
      <c r="K303" s="1075"/>
      <c r="L303" s="1075" t="s">
        <v>9888</v>
      </c>
      <c r="M303" s="1077" t="s">
        <v>6320</v>
      </c>
      <c r="N303" s="1078">
        <v>6512400</v>
      </c>
      <c r="O303" s="1078"/>
      <c r="P303" s="1078"/>
      <c r="Q303" s="1079"/>
      <c r="V303" s="1084"/>
    </row>
    <row r="304" spans="1:22" s="1082" customFormat="1" ht="24" customHeight="1">
      <c r="A304" s="1075">
        <v>285</v>
      </c>
      <c r="B304" s="1075"/>
      <c r="C304" s="1075"/>
      <c r="D304" s="1075"/>
      <c r="E304" s="1075" t="s">
        <v>10243</v>
      </c>
      <c r="F304" s="1076"/>
      <c r="G304" s="1075" t="s">
        <v>9065</v>
      </c>
      <c r="H304" s="1075" t="s">
        <v>9065</v>
      </c>
      <c r="I304" s="1075" t="s">
        <v>6323</v>
      </c>
      <c r="J304" s="1075"/>
      <c r="K304" s="1075"/>
      <c r="L304" s="1075" t="s">
        <v>9888</v>
      </c>
      <c r="M304" s="1077" t="s">
        <v>6322</v>
      </c>
      <c r="N304" s="1078">
        <v>6512400</v>
      </c>
      <c r="O304" s="1078"/>
      <c r="P304" s="1078"/>
      <c r="Q304" s="1079"/>
      <c r="V304" s="1084"/>
    </row>
    <row r="305" spans="1:22" s="1082" customFormat="1" ht="24" customHeight="1">
      <c r="A305" s="1075">
        <v>286</v>
      </c>
      <c r="B305" s="376" t="s">
        <v>1595</v>
      </c>
      <c r="C305" s="376"/>
      <c r="D305" s="376"/>
      <c r="E305" s="1075" t="s">
        <v>10244</v>
      </c>
      <c r="F305" s="1076"/>
      <c r="G305" s="1075" t="s">
        <v>9065</v>
      </c>
      <c r="H305" s="1075" t="s">
        <v>9065</v>
      </c>
      <c r="I305" s="1075" t="s">
        <v>5645</v>
      </c>
      <c r="J305" s="1075" t="s">
        <v>2166</v>
      </c>
      <c r="K305" s="1075" t="s">
        <v>2165</v>
      </c>
      <c r="L305" s="1075" t="s">
        <v>5130</v>
      </c>
      <c r="M305" s="1077" t="s">
        <v>5644</v>
      </c>
      <c r="N305" s="1078">
        <v>6512400</v>
      </c>
      <c r="O305" s="1078" t="s">
        <v>375</v>
      </c>
      <c r="P305" s="1078"/>
      <c r="Q305" s="1079"/>
      <c r="V305" s="1084"/>
    </row>
    <row r="306" spans="1:22" s="1082" customFormat="1" ht="24" customHeight="1">
      <c r="A306" s="1075">
        <v>287</v>
      </c>
      <c r="B306" s="1075"/>
      <c r="C306" s="1075"/>
      <c r="D306" s="1075"/>
      <c r="E306" s="1075" t="s">
        <v>10245</v>
      </c>
      <c r="F306" s="1076"/>
      <c r="G306" s="1075" t="s">
        <v>9065</v>
      </c>
      <c r="H306" s="1075" t="s">
        <v>9065</v>
      </c>
      <c r="I306" s="1075" t="s">
        <v>6325</v>
      </c>
      <c r="J306" s="1075"/>
      <c r="K306" s="1075"/>
      <c r="L306" s="1075" t="s">
        <v>9888</v>
      </c>
      <c r="M306" s="1077" t="s">
        <v>6324</v>
      </c>
      <c r="N306" s="1078">
        <v>6512400</v>
      </c>
      <c r="O306" s="1078"/>
      <c r="P306" s="1078"/>
      <c r="Q306" s="1079"/>
      <c r="V306" s="1084"/>
    </row>
    <row r="307" spans="1:22" s="1082" customFormat="1" ht="24" customHeight="1">
      <c r="A307" s="1075">
        <v>288</v>
      </c>
      <c r="B307" s="1075"/>
      <c r="C307" s="1075"/>
      <c r="D307" s="1075"/>
      <c r="E307" s="1075" t="s">
        <v>10246</v>
      </c>
      <c r="F307" s="1076"/>
      <c r="G307" s="1075" t="s">
        <v>9065</v>
      </c>
      <c r="H307" s="1075" t="s">
        <v>9065</v>
      </c>
      <c r="I307" s="1075" t="s">
        <v>6327</v>
      </c>
      <c r="J307" s="1075"/>
      <c r="K307" s="1075"/>
      <c r="L307" s="1075" t="s">
        <v>9888</v>
      </c>
      <c r="M307" s="1077" t="s">
        <v>6326</v>
      </c>
      <c r="N307" s="1078">
        <v>6512400</v>
      </c>
      <c r="O307" s="1078"/>
      <c r="P307" s="1078"/>
      <c r="Q307" s="1079"/>
      <c r="V307" s="1084"/>
    </row>
    <row r="308" spans="1:22" s="1082" customFormat="1" ht="24" customHeight="1">
      <c r="A308" s="1075">
        <v>289</v>
      </c>
      <c r="B308" s="1075" t="s">
        <v>423</v>
      </c>
      <c r="C308" s="1075"/>
      <c r="D308" s="1075"/>
      <c r="E308" s="1075" t="s">
        <v>10247</v>
      </c>
      <c r="F308" s="1076"/>
      <c r="G308" s="1075" t="s">
        <v>9065</v>
      </c>
      <c r="H308" s="1075" t="s">
        <v>9065</v>
      </c>
      <c r="I308" s="1075" t="s">
        <v>5647</v>
      </c>
      <c r="J308" s="1075" t="s">
        <v>1277</v>
      </c>
      <c r="K308" s="1075" t="s">
        <v>1276</v>
      </c>
      <c r="L308" s="1075" t="s">
        <v>5130</v>
      </c>
      <c r="M308" s="1077" t="s">
        <v>5646</v>
      </c>
      <c r="N308" s="1078">
        <v>6512400</v>
      </c>
      <c r="O308" s="1078" t="s">
        <v>375</v>
      </c>
      <c r="P308" s="1078"/>
      <c r="Q308" s="1079"/>
      <c r="V308" s="1084"/>
    </row>
    <row r="309" spans="1:22" s="1082" customFormat="1" ht="24" customHeight="1">
      <c r="A309" s="1075">
        <v>290</v>
      </c>
      <c r="B309" s="1075"/>
      <c r="C309" s="1075"/>
      <c r="D309" s="1075"/>
      <c r="E309" s="1075" t="s">
        <v>10248</v>
      </c>
      <c r="F309" s="1076"/>
      <c r="G309" s="1075" t="s">
        <v>9065</v>
      </c>
      <c r="H309" s="1075" t="s">
        <v>9065</v>
      </c>
      <c r="I309" s="1075" t="s">
        <v>6329</v>
      </c>
      <c r="J309" s="1075"/>
      <c r="K309" s="1075"/>
      <c r="L309" s="1075" t="s">
        <v>9888</v>
      </c>
      <c r="M309" s="1077" t="s">
        <v>6328</v>
      </c>
      <c r="N309" s="1078">
        <v>6512400</v>
      </c>
      <c r="O309" s="1078"/>
      <c r="P309" s="1078"/>
      <c r="Q309" s="1079"/>
      <c r="V309" s="1084"/>
    </row>
    <row r="310" spans="1:22" s="1082" customFormat="1" ht="24" customHeight="1">
      <c r="A310" s="1075">
        <v>291</v>
      </c>
      <c r="B310" s="376" t="s">
        <v>1595</v>
      </c>
      <c r="C310" s="376"/>
      <c r="D310" s="376"/>
      <c r="E310" s="1075" t="s">
        <v>10249</v>
      </c>
      <c r="F310" s="1076"/>
      <c r="G310" s="1075" t="s">
        <v>9065</v>
      </c>
      <c r="H310" s="1075" t="s">
        <v>9065</v>
      </c>
      <c r="I310" s="1075" t="s">
        <v>5649</v>
      </c>
      <c r="J310" s="1075" t="s">
        <v>2032</v>
      </c>
      <c r="K310" s="1075" t="s">
        <v>2031</v>
      </c>
      <c r="L310" s="1075" t="s">
        <v>5130</v>
      </c>
      <c r="M310" s="1077" t="s">
        <v>5648</v>
      </c>
      <c r="N310" s="1078">
        <v>6512400</v>
      </c>
      <c r="O310" s="1078" t="s">
        <v>375</v>
      </c>
      <c r="P310" s="1078"/>
      <c r="Q310" s="1079"/>
      <c r="V310" s="1084"/>
    </row>
    <row r="311" spans="1:22" s="1082" customFormat="1" ht="24" customHeight="1">
      <c r="A311" s="1075">
        <v>292</v>
      </c>
      <c r="B311" s="1075"/>
      <c r="C311" s="1075"/>
      <c r="D311" s="1075"/>
      <c r="E311" s="1075" t="s">
        <v>10251</v>
      </c>
      <c r="F311" s="1076"/>
      <c r="G311" s="1075" t="s">
        <v>9065</v>
      </c>
      <c r="H311" s="1075" t="s">
        <v>9065</v>
      </c>
      <c r="I311" s="1075" t="s">
        <v>6335</v>
      </c>
      <c r="J311" s="1075"/>
      <c r="K311" s="1075"/>
      <c r="L311" s="1075" t="s">
        <v>9888</v>
      </c>
      <c r="M311" s="1077" t="s">
        <v>6334</v>
      </c>
      <c r="N311" s="1078">
        <v>6512400</v>
      </c>
      <c r="O311" s="1078"/>
      <c r="P311" s="1078"/>
      <c r="Q311" s="1079"/>
      <c r="V311" s="1084"/>
    </row>
    <row r="312" spans="1:22" s="1082" customFormat="1" ht="24" customHeight="1">
      <c r="A312" s="1075">
        <v>293</v>
      </c>
      <c r="B312" s="1075"/>
      <c r="C312" s="1075"/>
      <c r="D312" s="1075"/>
      <c r="E312" s="1075" t="s">
        <v>10252</v>
      </c>
      <c r="F312" s="1076"/>
      <c r="G312" s="1075" t="s">
        <v>9065</v>
      </c>
      <c r="H312" s="1075" t="s">
        <v>9065</v>
      </c>
      <c r="I312" s="1075" t="s">
        <v>6337</v>
      </c>
      <c r="J312" s="1075"/>
      <c r="K312" s="1075"/>
      <c r="L312" s="1075" t="s">
        <v>9888</v>
      </c>
      <c r="M312" s="1077" t="s">
        <v>6336</v>
      </c>
      <c r="N312" s="1078">
        <v>6512400</v>
      </c>
      <c r="O312" s="1078"/>
      <c r="P312" s="1078"/>
      <c r="Q312" s="1079"/>
      <c r="V312" s="1084"/>
    </row>
    <row r="313" spans="1:22" s="1082" customFormat="1" ht="24" customHeight="1">
      <c r="A313" s="1075">
        <v>294</v>
      </c>
      <c r="B313" s="1075"/>
      <c r="C313" s="1075"/>
      <c r="D313" s="1075"/>
      <c r="E313" s="1075" t="s">
        <v>10253</v>
      </c>
      <c r="F313" s="1076"/>
      <c r="G313" s="1075" t="s">
        <v>9065</v>
      </c>
      <c r="H313" s="1075" t="s">
        <v>9065</v>
      </c>
      <c r="I313" s="1075" t="s">
        <v>6339</v>
      </c>
      <c r="J313" s="1075"/>
      <c r="K313" s="1075"/>
      <c r="L313" s="1075" t="s">
        <v>9888</v>
      </c>
      <c r="M313" s="1077" t="s">
        <v>6338</v>
      </c>
      <c r="N313" s="1078">
        <v>6512400</v>
      </c>
      <c r="O313" s="1078"/>
      <c r="P313" s="1078"/>
      <c r="Q313" s="1079"/>
      <c r="V313" s="1084"/>
    </row>
    <row r="314" spans="1:22" s="1082" customFormat="1" ht="24" customHeight="1">
      <c r="A314" s="1075">
        <v>295</v>
      </c>
      <c r="B314" s="1075"/>
      <c r="C314" s="1075"/>
      <c r="D314" s="1075"/>
      <c r="E314" s="1075" t="s">
        <v>10254</v>
      </c>
      <c r="F314" s="1076"/>
      <c r="G314" s="1075" t="s">
        <v>9065</v>
      </c>
      <c r="H314" s="1075" t="s">
        <v>9065</v>
      </c>
      <c r="I314" s="1075" t="s">
        <v>6341</v>
      </c>
      <c r="J314" s="1075"/>
      <c r="K314" s="1075"/>
      <c r="L314" s="1075" t="s">
        <v>9888</v>
      </c>
      <c r="M314" s="1077" t="s">
        <v>6340</v>
      </c>
      <c r="N314" s="1078">
        <v>6512400</v>
      </c>
      <c r="O314" s="1078"/>
      <c r="P314" s="1078"/>
      <c r="Q314" s="1079"/>
      <c r="V314" s="1084"/>
    </row>
    <row r="315" spans="1:22" s="1082" customFormat="1" ht="24" customHeight="1">
      <c r="A315" s="1075">
        <v>296</v>
      </c>
      <c r="B315" s="1075"/>
      <c r="C315" s="1075"/>
      <c r="D315" s="1075"/>
      <c r="E315" s="1075" t="s">
        <v>10255</v>
      </c>
      <c r="F315" s="1076"/>
      <c r="G315" s="1075" t="s">
        <v>9065</v>
      </c>
      <c r="H315" s="1075" t="s">
        <v>9065</v>
      </c>
      <c r="I315" s="1075" t="s">
        <v>6343</v>
      </c>
      <c r="J315" s="1075"/>
      <c r="K315" s="1075"/>
      <c r="L315" s="1075" t="s">
        <v>9888</v>
      </c>
      <c r="M315" s="1077" t="s">
        <v>6342</v>
      </c>
      <c r="N315" s="1078">
        <v>6512400</v>
      </c>
      <c r="O315" s="1078"/>
      <c r="P315" s="1078"/>
      <c r="Q315" s="1079"/>
      <c r="V315" s="1084"/>
    </row>
    <row r="316" spans="1:22" s="1082" customFormat="1" ht="24" customHeight="1">
      <c r="A316" s="1075">
        <v>297</v>
      </c>
      <c r="B316" s="1075"/>
      <c r="C316" s="1075"/>
      <c r="D316" s="1075"/>
      <c r="E316" s="1075" t="s">
        <v>10256</v>
      </c>
      <c r="F316" s="1076"/>
      <c r="G316" s="1075" t="s">
        <v>9065</v>
      </c>
      <c r="H316" s="1075" t="s">
        <v>9065</v>
      </c>
      <c r="I316" s="1075" t="s">
        <v>6345</v>
      </c>
      <c r="J316" s="1075"/>
      <c r="K316" s="1075"/>
      <c r="L316" s="1075" t="s">
        <v>9888</v>
      </c>
      <c r="M316" s="1077" t="s">
        <v>6344</v>
      </c>
      <c r="N316" s="1078">
        <v>6512400</v>
      </c>
      <c r="O316" s="1078"/>
      <c r="P316" s="1078"/>
      <c r="Q316" s="1079"/>
      <c r="V316" s="1084"/>
    </row>
    <row r="317" spans="1:22" s="1082" customFormat="1" ht="24" customHeight="1">
      <c r="A317" s="1075">
        <v>298</v>
      </c>
      <c r="B317" s="1075"/>
      <c r="C317" s="1075"/>
      <c r="D317" s="1075"/>
      <c r="E317" s="1075" t="s">
        <v>10257</v>
      </c>
      <c r="F317" s="1076"/>
      <c r="G317" s="1075" t="s">
        <v>9065</v>
      </c>
      <c r="H317" s="1075" t="s">
        <v>9065</v>
      </c>
      <c r="I317" s="1075" t="s">
        <v>6347</v>
      </c>
      <c r="J317" s="1075"/>
      <c r="K317" s="1075"/>
      <c r="L317" s="1075" t="s">
        <v>9888</v>
      </c>
      <c r="M317" s="1077" t="s">
        <v>6346</v>
      </c>
      <c r="N317" s="1078">
        <v>6512400</v>
      </c>
      <c r="O317" s="1078"/>
      <c r="P317" s="1078"/>
      <c r="Q317" s="1079"/>
      <c r="V317" s="1084"/>
    </row>
    <row r="318" spans="1:22" s="1082" customFormat="1" ht="24" customHeight="1">
      <c r="A318" s="1075">
        <v>299</v>
      </c>
      <c r="B318" s="1075"/>
      <c r="C318" s="1075"/>
      <c r="D318" s="1075"/>
      <c r="E318" s="1075" t="s">
        <v>10258</v>
      </c>
      <c r="F318" s="1076"/>
      <c r="G318" s="1075" t="s">
        <v>9065</v>
      </c>
      <c r="H318" s="1075" t="s">
        <v>9065</v>
      </c>
      <c r="I318" s="1075" t="s">
        <v>265</v>
      </c>
      <c r="J318" s="1075"/>
      <c r="K318" s="1075"/>
      <c r="L318" s="1075" t="s">
        <v>9888</v>
      </c>
      <c r="M318" s="1077" t="s">
        <v>6348</v>
      </c>
      <c r="N318" s="1078">
        <v>6512400</v>
      </c>
      <c r="O318" s="1078"/>
      <c r="P318" s="1078"/>
      <c r="Q318" s="1079"/>
      <c r="V318" s="1084"/>
    </row>
    <row r="319" spans="1:22" s="1082" customFormat="1" ht="24" customHeight="1">
      <c r="A319" s="1075">
        <v>300</v>
      </c>
      <c r="B319" s="1075"/>
      <c r="C319" s="1075"/>
      <c r="D319" s="1075"/>
      <c r="E319" s="1075" t="s">
        <v>10260</v>
      </c>
      <c r="F319" s="1076"/>
      <c r="G319" s="1075" t="s">
        <v>9065</v>
      </c>
      <c r="H319" s="1075" t="s">
        <v>9065</v>
      </c>
      <c r="I319" s="1075" t="s">
        <v>6352</v>
      </c>
      <c r="J319" s="1075"/>
      <c r="K319" s="1075"/>
      <c r="L319" s="1075" t="s">
        <v>9888</v>
      </c>
      <c r="M319" s="1077" t="s">
        <v>6351</v>
      </c>
      <c r="N319" s="1078">
        <v>6512400</v>
      </c>
      <c r="O319" s="1078"/>
      <c r="P319" s="1078"/>
      <c r="Q319" s="1079"/>
      <c r="V319" s="1084"/>
    </row>
    <row r="320" spans="1:22" s="1082" customFormat="1" ht="24" customHeight="1">
      <c r="A320" s="1075">
        <v>301</v>
      </c>
      <c r="B320" s="376" t="s">
        <v>1595</v>
      </c>
      <c r="C320" s="376"/>
      <c r="D320" s="376"/>
      <c r="E320" s="1075" t="s">
        <v>10261</v>
      </c>
      <c r="F320" s="1076"/>
      <c r="G320" s="1075" t="s">
        <v>9065</v>
      </c>
      <c r="H320" s="1075" t="s">
        <v>9065</v>
      </c>
      <c r="I320" s="1075" t="s">
        <v>5651</v>
      </c>
      <c r="J320" s="1075" t="s">
        <v>2000</v>
      </c>
      <c r="K320" s="1075" t="s">
        <v>1999</v>
      </c>
      <c r="L320" s="1075" t="s">
        <v>5130</v>
      </c>
      <c r="M320" s="1077" t="s">
        <v>5650</v>
      </c>
      <c r="N320" s="1078">
        <v>6512400</v>
      </c>
      <c r="O320" s="1078" t="s">
        <v>375</v>
      </c>
      <c r="P320" s="107" t="s">
        <v>43</v>
      </c>
      <c r="Q320" s="1079"/>
      <c r="V320" s="1084"/>
    </row>
    <row r="321" spans="1:22" s="1082" customFormat="1" ht="24" customHeight="1">
      <c r="A321" s="1075">
        <v>302</v>
      </c>
      <c r="B321" s="376" t="s">
        <v>1595</v>
      </c>
      <c r="C321" s="376"/>
      <c r="D321" s="376"/>
      <c r="E321" s="1075" t="s">
        <v>10262</v>
      </c>
      <c r="F321" s="1076"/>
      <c r="G321" s="1075" t="s">
        <v>9065</v>
      </c>
      <c r="H321" s="1075" t="s">
        <v>9065</v>
      </c>
      <c r="I321" s="1075" t="s">
        <v>5653</v>
      </c>
      <c r="J321" s="1075" t="s">
        <v>2215</v>
      </c>
      <c r="K321" s="1075" t="s">
        <v>2214</v>
      </c>
      <c r="L321" s="1075" t="s">
        <v>5130</v>
      </c>
      <c r="M321" s="1077" t="s">
        <v>5652</v>
      </c>
      <c r="N321" s="1078">
        <v>6512400</v>
      </c>
      <c r="O321" s="1078" t="s">
        <v>375</v>
      </c>
      <c r="P321" s="1078" t="s">
        <v>1084</v>
      </c>
      <c r="Q321" s="1079"/>
      <c r="V321" s="1084"/>
    </row>
    <row r="322" spans="1:22" s="1082" customFormat="1" ht="24" customHeight="1">
      <c r="A322" s="1075">
        <v>303</v>
      </c>
      <c r="B322" s="1075"/>
      <c r="C322" s="1075"/>
      <c r="D322" s="1075"/>
      <c r="E322" s="1075" t="s">
        <v>10263</v>
      </c>
      <c r="F322" s="1076"/>
      <c r="G322" s="1075" t="s">
        <v>9065</v>
      </c>
      <c r="H322" s="1075" t="s">
        <v>9065</v>
      </c>
      <c r="I322" s="1075" t="s">
        <v>6354</v>
      </c>
      <c r="J322" s="1075"/>
      <c r="K322" s="1075"/>
      <c r="L322" s="1075" t="s">
        <v>9888</v>
      </c>
      <c r="M322" s="1077" t="s">
        <v>6353</v>
      </c>
      <c r="N322" s="1078">
        <v>6512400</v>
      </c>
      <c r="O322" s="1078"/>
      <c r="P322" s="1078"/>
      <c r="Q322" s="1079"/>
      <c r="V322" s="1084"/>
    </row>
    <row r="323" spans="1:22" s="1082" customFormat="1" ht="24" customHeight="1">
      <c r="A323" s="1075">
        <v>304</v>
      </c>
      <c r="B323" s="1075"/>
      <c r="C323" s="1075"/>
      <c r="D323" s="1075"/>
      <c r="E323" s="1075" t="s">
        <v>10264</v>
      </c>
      <c r="F323" s="1076"/>
      <c r="G323" s="1075" t="s">
        <v>9065</v>
      </c>
      <c r="H323" s="1075" t="s">
        <v>9065</v>
      </c>
      <c r="I323" s="1075" t="s">
        <v>6356</v>
      </c>
      <c r="J323" s="1075"/>
      <c r="K323" s="1075"/>
      <c r="L323" s="1075" t="s">
        <v>9888</v>
      </c>
      <c r="M323" s="1077" t="s">
        <v>6355</v>
      </c>
      <c r="N323" s="1078">
        <v>6512400</v>
      </c>
      <c r="O323" s="1078"/>
      <c r="P323" s="1078"/>
      <c r="Q323" s="1079"/>
      <c r="V323" s="1084"/>
    </row>
    <row r="324" spans="1:22" s="1082" customFormat="1" ht="24" customHeight="1">
      <c r="A324" s="1075">
        <v>305</v>
      </c>
      <c r="B324" s="1075"/>
      <c r="C324" s="1075"/>
      <c r="D324" s="1075"/>
      <c r="E324" s="1075" t="s">
        <v>10265</v>
      </c>
      <c r="F324" s="1076"/>
      <c r="G324" s="1075" t="s">
        <v>9065</v>
      </c>
      <c r="H324" s="1075" t="s">
        <v>9065</v>
      </c>
      <c r="I324" s="1075" t="s">
        <v>6358</v>
      </c>
      <c r="J324" s="1075"/>
      <c r="K324" s="1075"/>
      <c r="L324" s="1075" t="s">
        <v>9888</v>
      </c>
      <c r="M324" s="1077" t="s">
        <v>6357</v>
      </c>
      <c r="N324" s="1078">
        <v>6512400</v>
      </c>
      <c r="O324" s="1078"/>
      <c r="P324" s="1078"/>
      <c r="Q324" s="1079"/>
      <c r="V324" s="1084"/>
    </row>
    <row r="325" spans="1:22" s="1082" customFormat="1" ht="24" customHeight="1">
      <c r="A325" s="1075">
        <v>306</v>
      </c>
      <c r="B325" s="1075"/>
      <c r="C325" s="1075"/>
      <c r="D325" s="1075"/>
      <c r="E325" s="1075" t="s">
        <v>10266</v>
      </c>
      <c r="F325" s="1076"/>
      <c r="G325" s="1075" t="s">
        <v>9065</v>
      </c>
      <c r="H325" s="1075" t="s">
        <v>9065</v>
      </c>
      <c r="I325" s="1075" t="s">
        <v>6360</v>
      </c>
      <c r="J325" s="1075"/>
      <c r="K325" s="1075"/>
      <c r="L325" s="1075" t="s">
        <v>9888</v>
      </c>
      <c r="M325" s="1077" t="s">
        <v>6359</v>
      </c>
      <c r="N325" s="1078">
        <v>6512400</v>
      </c>
      <c r="O325" s="1078"/>
      <c r="P325" s="1078"/>
      <c r="Q325" s="1079"/>
      <c r="V325" s="1084"/>
    </row>
    <row r="326" spans="1:22" s="1082" customFormat="1" ht="24" customHeight="1">
      <c r="A326" s="1075">
        <v>307</v>
      </c>
      <c r="B326" s="376" t="s">
        <v>1595</v>
      </c>
      <c r="C326" s="376"/>
      <c r="D326" s="376"/>
      <c r="E326" s="1075" t="s">
        <v>10267</v>
      </c>
      <c r="F326" s="1076"/>
      <c r="G326" s="1075" t="s">
        <v>9065</v>
      </c>
      <c r="H326" s="1075" t="s">
        <v>9065</v>
      </c>
      <c r="I326" s="1075" t="s">
        <v>5655</v>
      </c>
      <c r="J326" s="1075" t="s">
        <v>2201</v>
      </c>
      <c r="K326" s="1075" t="s">
        <v>2200</v>
      </c>
      <c r="L326" s="1075" t="s">
        <v>5130</v>
      </c>
      <c r="M326" s="1077" t="s">
        <v>5654</v>
      </c>
      <c r="N326" s="1078">
        <v>6512400</v>
      </c>
      <c r="O326" s="1078" t="s">
        <v>375</v>
      </c>
      <c r="P326" s="1078"/>
      <c r="Q326" s="1079"/>
      <c r="V326" s="1084"/>
    </row>
    <row r="327" spans="1:22" s="1082" customFormat="1" ht="24" customHeight="1">
      <c r="A327" s="1075">
        <v>308</v>
      </c>
      <c r="B327" s="1075" t="s">
        <v>423</v>
      </c>
      <c r="C327" s="1075"/>
      <c r="D327" s="1075"/>
      <c r="E327" s="1075" t="s">
        <v>10268</v>
      </c>
      <c r="F327" s="1076"/>
      <c r="G327" s="1075" t="s">
        <v>9065</v>
      </c>
      <c r="H327" s="1075" t="s">
        <v>9065</v>
      </c>
      <c r="I327" s="1075" t="s">
        <v>5657</v>
      </c>
      <c r="J327" s="1075" t="s">
        <v>1354</v>
      </c>
      <c r="K327" s="1075" t="s">
        <v>1353</v>
      </c>
      <c r="L327" s="1075" t="s">
        <v>5130</v>
      </c>
      <c r="M327" s="1077" t="s">
        <v>5656</v>
      </c>
      <c r="N327" s="1078">
        <v>6512400</v>
      </c>
      <c r="O327" s="1078" t="s">
        <v>375</v>
      </c>
      <c r="P327" s="1078"/>
      <c r="Q327" s="1079"/>
      <c r="V327" s="1084"/>
    </row>
    <row r="328" spans="1:22" s="1082" customFormat="1" ht="24" customHeight="1">
      <c r="A328" s="1075">
        <v>309</v>
      </c>
      <c r="B328" s="1075"/>
      <c r="C328" s="1075"/>
      <c r="D328" s="1075"/>
      <c r="E328" s="1075" t="s">
        <v>10271</v>
      </c>
      <c r="F328" s="1076"/>
      <c r="G328" s="1075" t="s">
        <v>9065</v>
      </c>
      <c r="H328" s="1075" t="s">
        <v>9065</v>
      </c>
      <c r="I328" s="1075" t="s">
        <v>6366</v>
      </c>
      <c r="J328" s="1075"/>
      <c r="K328" s="1075"/>
      <c r="L328" s="1075" t="s">
        <v>9888</v>
      </c>
      <c r="M328" s="1077" t="s">
        <v>6365</v>
      </c>
      <c r="N328" s="1078">
        <v>6512400</v>
      </c>
      <c r="O328" s="1078"/>
      <c r="P328" s="1078"/>
      <c r="Q328" s="1079"/>
      <c r="V328" s="1084"/>
    </row>
    <row r="329" spans="1:22" s="1082" customFormat="1" ht="24" customHeight="1">
      <c r="A329" s="1075">
        <v>310</v>
      </c>
      <c r="B329" s="1075"/>
      <c r="C329" s="1075"/>
      <c r="D329" s="1075"/>
      <c r="E329" s="1075" t="s">
        <v>10273</v>
      </c>
      <c r="F329" s="1076"/>
      <c r="G329" s="1075" t="s">
        <v>9065</v>
      </c>
      <c r="H329" s="1075" t="s">
        <v>9065</v>
      </c>
      <c r="I329" s="1075" t="s">
        <v>6370</v>
      </c>
      <c r="J329" s="1075"/>
      <c r="K329" s="1075"/>
      <c r="L329" s="1075" t="s">
        <v>9888</v>
      </c>
      <c r="M329" s="1077" t="s">
        <v>6369</v>
      </c>
      <c r="N329" s="1078">
        <v>6512400</v>
      </c>
      <c r="O329" s="1078"/>
      <c r="P329" s="1078"/>
      <c r="Q329" s="1079"/>
      <c r="V329" s="1084"/>
    </row>
    <row r="330" spans="1:22" s="1082" customFormat="1" ht="24" customHeight="1">
      <c r="A330" s="1075">
        <v>311</v>
      </c>
      <c r="B330" s="1075"/>
      <c r="C330" s="1075"/>
      <c r="D330" s="1075"/>
      <c r="E330" s="1075" t="s">
        <v>10275</v>
      </c>
      <c r="F330" s="1076"/>
      <c r="G330" s="1075" t="s">
        <v>9065</v>
      </c>
      <c r="H330" s="1075" t="s">
        <v>9065</v>
      </c>
      <c r="I330" s="1075" t="s">
        <v>6372</v>
      </c>
      <c r="J330" s="1075"/>
      <c r="K330" s="1075"/>
      <c r="L330" s="1075" t="s">
        <v>9888</v>
      </c>
      <c r="M330" s="1077" t="s">
        <v>6371</v>
      </c>
      <c r="N330" s="1078">
        <v>6512400</v>
      </c>
      <c r="O330" s="1078"/>
      <c r="P330" s="1078"/>
      <c r="Q330" s="1079"/>
      <c r="V330" s="1084"/>
    </row>
    <row r="331" spans="1:22" s="1082" customFormat="1" ht="24" customHeight="1">
      <c r="A331" s="1075">
        <v>312</v>
      </c>
      <c r="B331" s="1075"/>
      <c r="C331" s="1075"/>
      <c r="D331" s="1075"/>
      <c r="E331" s="1075" t="s">
        <v>10278</v>
      </c>
      <c r="F331" s="1076"/>
      <c r="G331" s="1075" t="s">
        <v>9065</v>
      </c>
      <c r="H331" s="1075" t="s">
        <v>9065</v>
      </c>
      <c r="I331" s="1075" t="s">
        <v>6378</v>
      </c>
      <c r="J331" s="1075"/>
      <c r="K331" s="1075"/>
      <c r="L331" s="1075" t="s">
        <v>9888</v>
      </c>
      <c r="M331" s="1077" t="s">
        <v>6377</v>
      </c>
      <c r="N331" s="1078">
        <v>6512400</v>
      </c>
      <c r="O331" s="1078"/>
      <c r="P331" s="1078"/>
      <c r="Q331" s="1079"/>
      <c r="V331" s="1084"/>
    </row>
    <row r="332" spans="1:22" s="1082" customFormat="1" ht="24" customHeight="1">
      <c r="A332" s="1075">
        <v>313</v>
      </c>
      <c r="B332" s="1075" t="s">
        <v>423</v>
      </c>
      <c r="C332" s="1075"/>
      <c r="D332" s="1075"/>
      <c r="E332" s="1075" t="s">
        <v>10279</v>
      </c>
      <c r="F332" s="1076"/>
      <c r="G332" s="1075" t="s">
        <v>9699</v>
      </c>
      <c r="H332" s="1075" t="s">
        <v>9699</v>
      </c>
      <c r="I332" s="1075" t="s">
        <v>262</v>
      </c>
      <c r="J332" s="1075" t="s">
        <v>1133</v>
      </c>
      <c r="K332" s="1075" t="s">
        <v>1129</v>
      </c>
      <c r="L332" s="1075" t="s">
        <v>5130</v>
      </c>
      <c r="M332" s="1077" t="s">
        <v>5660</v>
      </c>
      <c r="N332" s="1078">
        <v>8683200</v>
      </c>
      <c r="O332" s="1078" t="s">
        <v>375</v>
      </c>
      <c r="P332" s="1078" t="s">
        <v>1084</v>
      </c>
      <c r="Q332" s="1079"/>
      <c r="V332" s="1084"/>
    </row>
    <row r="333" spans="1:22" s="1082" customFormat="1" ht="24" customHeight="1">
      <c r="A333" s="1075">
        <v>314</v>
      </c>
      <c r="B333" s="1075" t="s">
        <v>423</v>
      </c>
      <c r="C333" s="1075"/>
      <c r="D333" s="1075"/>
      <c r="E333" s="1075" t="s">
        <v>10280</v>
      </c>
      <c r="F333" s="1076"/>
      <c r="G333" s="1075" t="s">
        <v>9065</v>
      </c>
      <c r="H333" s="1075" t="s">
        <v>9065</v>
      </c>
      <c r="I333" s="1075" t="s">
        <v>5662</v>
      </c>
      <c r="J333" s="1075" t="s">
        <v>1203</v>
      </c>
      <c r="K333" s="1075" t="s">
        <v>1202</v>
      </c>
      <c r="L333" s="1075" t="s">
        <v>5130</v>
      </c>
      <c r="M333" s="1077" t="s">
        <v>5661</v>
      </c>
      <c r="N333" s="1078">
        <v>6512400</v>
      </c>
      <c r="O333" s="1078" t="s">
        <v>375</v>
      </c>
      <c r="P333" s="1078"/>
      <c r="Q333" s="1079"/>
      <c r="V333" s="1084"/>
    </row>
    <row r="334" spans="1:22" s="1082" customFormat="1" ht="24" customHeight="1">
      <c r="A334" s="1075">
        <v>315</v>
      </c>
      <c r="B334" s="1075"/>
      <c r="C334" s="1075"/>
      <c r="D334" s="1075"/>
      <c r="E334" s="1075" t="s">
        <v>10281</v>
      </c>
      <c r="F334" s="1076"/>
      <c r="G334" s="1075" t="s">
        <v>9065</v>
      </c>
      <c r="H334" s="1075" t="s">
        <v>9065</v>
      </c>
      <c r="I334" s="1075" t="s">
        <v>6380</v>
      </c>
      <c r="J334" s="1075"/>
      <c r="K334" s="1075"/>
      <c r="L334" s="1075" t="s">
        <v>9888</v>
      </c>
      <c r="M334" s="1077" t="s">
        <v>6379</v>
      </c>
      <c r="N334" s="1078">
        <v>6512400</v>
      </c>
      <c r="O334" s="1078"/>
      <c r="P334" s="1078"/>
      <c r="Q334" s="1079"/>
      <c r="V334" s="1084"/>
    </row>
    <row r="335" spans="1:22" s="1082" customFormat="1" ht="24" customHeight="1">
      <c r="A335" s="1075">
        <v>316</v>
      </c>
      <c r="B335" s="376" t="s">
        <v>1595</v>
      </c>
      <c r="C335" s="376"/>
      <c r="D335" s="376"/>
      <c r="E335" s="1075" t="s">
        <v>10282</v>
      </c>
      <c r="F335" s="1076"/>
      <c r="G335" s="1075" t="s">
        <v>9065</v>
      </c>
      <c r="H335" s="1075" t="s">
        <v>9065</v>
      </c>
      <c r="I335" s="1075" t="s">
        <v>5664</v>
      </c>
      <c r="J335" s="1075" t="s">
        <v>2171</v>
      </c>
      <c r="K335" s="1075" t="s">
        <v>2170</v>
      </c>
      <c r="L335" s="1075" t="s">
        <v>5130</v>
      </c>
      <c r="M335" s="1077" t="s">
        <v>5663</v>
      </c>
      <c r="N335" s="1078">
        <v>6512400</v>
      </c>
      <c r="O335" s="1078" t="s">
        <v>375</v>
      </c>
      <c r="P335" s="1078"/>
      <c r="Q335" s="1079"/>
      <c r="V335" s="1084"/>
    </row>
    <row r="336" spans="1:22" s="1082" customFormat="1" ht="24" customHeight="1">
      <c r="A336" s="1075">
        <v>317</v>
      </c>
      <c r="B336" s="376" t="s">
        <v>1595</v>
      </c>
      <c r="C336" s="376"/>
      <c r="D336" s="376"/>
      <c r="E336" s="1075" t="s">
        <v>10284</v>
      </c>
      <c r="F336" s="1076"/>
      <c r="G336" s="1075" t="s">
        <v>9065</v>
      </c>
      <c r="H336" s="1075" t="s">
        <v>9065</v>
      </c>
      <c r="I336" s="1075" t="s">
        <v>5666</v>
      </c>
      <c r="J336" s="1075" t="s">
        <v>12045</v>
      </c>
      <c r="K336" s="1075" t="s">
        <v>2182</v>
      </c>
      <c r="L336" s="1075" t="s">
        <v>5130</v>
      </c>
      <c r="M336" s="1077" t="s">
        <v>5665</v>
      </c>
      <c r="N336" s="1078">
        <v>6512400</v>
      </c>
      <c r="O336" s="1078" t="s">
        <v>375</v>
      </c>
      <c r="P336" s="1078"/>
      <c r="Q336" s="1079"/>
      <c r="V336" s="1084"/>
    </row>
    <row r="337" spans="1:22" s="1082" customFormat="1" ht="24" customHeight="1">
      <c r="A337" s="1075">
        <v>318</v>
      </c>
      <c r="B337" s="376" t="s">
        <v>1595</v>
      </c>
      <c r="C337" s="376"/>
      <c r="D337" s="376"/>
      <c r="E337" s="1075" t="s">
        <v>10288</v>
      </c>
      <c r="F337" s="1076"/>
      <c r="G337" s="1075" t="s">
        <v>9065</v>
      </c>
      <c r="H337" s="1075" t="s">
        <v>9065</v>
      </c>
      <c r="I337" s="1075" t="s">
        <v>5668</v>
      </c>
      <c r="J337" s="1075" t="s">
        <v>2095</v>
      </c>
      <c r="K337" s="1075" t="s">
        <v>2094</v>
      </c>
      <c r="L337" s="1075" t="s">
        <v>5130</v>
      </c>
      <c r="M337" s="1077" t="s">
        <v>5667</v>
      </c>
      <c r="N337" s="1078">
        <v>6512400</v>
      </c>
      <c r="O337" s="1078" t="s">
        <v>375</v>
      </c>
      <c r="P337" s="1078"/>
      <c r="Q337" s="1079"/>
      <c r="V337" s="1084"/>
    </row>
    <row r="338" spans="1:22" s="1082" customFormat="1" ht="24" customHeight="1">
      <c r="A338" s="1075">
        <v>319</v>
      </c>
      <c r="B338" s="1075"/>
      <c r="C338" s="1075"/>
      <c r="D338" s="1075"/>
      <c r="E338" s="1075" t="s">
        <v>10290</v>
      </c>
      <c r="F338" s="1076"/>
      <c r="G338" s="1075" t="s">
        <v>9065</v>
      </c>
      <c r="H338" s="1075" t="s">
        <v>9065</v>
      </c>
      <c r="I338" s="1075" t="s">
        <v>6393</v>
      </c>
      <c r="J338" s="1075"/>
      <c r="K338" s="1075"/>
      <c r="L338" s="1075" t="s">
        <v>9888</v>
      </c>
      <c r="M338" s="1077" t="s">
        <v>6392</v>
      </c>
      <c r="N338" s="1078">
        <v>6512400</v>
      </c>
      <c r="O338" s="1078"/>
      <c r="P338" s="1078"/>
      <c r="Q338" s="1079"/>
      <c r="V338" s="1084"/>
    </row>
    <row r="339" spans="1:22" s="1083" customFormat="1" ht="24" customHeight="1">
      <c r="A339" s="1075">
        <v>320</v>
      </c>
      <c r="B339" s="1075" t="s">
        <v>423</v>
      </c>
      <c r="C339" s="1069"/>
      <c r="D339" s="1069"/>
      <c r="E339" s="1069" t="s">
        <v>10292</v>
      </c>
      <c r="F339" s="1070"/>
      <c r="G339" s="1069" t="s">
        <v>9065</v>
      </c>
      <c r="H339" s="1069" t="s">
        <v>9065</v>
      </c>
      <c r="I339" s="1069" t="s">
        <v>5670</v>
      </c>
      <c r="J339" s="1069"/>
      <c r="K339" s="1125" t="s">
        <v>16177</v>
      </c>
      <c r="L339" s="1069" t="s">
        <v>5130</v>
      </c>
      <c r="M339" s="1071" t="s">
        <v>5669</v>
      </c>
      <c r="N339" s="1072">
        <v>6512400</v>
      </c>
      <c r="O339" s="1072"/>
      <c r="P339" s="1072" t="s">
        <v>16146</v>
      </c>
      <c r="Q339" s="1073"/>
      <c r="V339" s="1085"/>
    </row>
    <row r="340" spans="1:22" s="1082" customFormat="1" ht="24" customHeight="1">
      <c r="A340" s="1075">
        <v>321</v>
      </c>
      <c r="B340" s="1075"/>
      <c r="C340" s="1075"/>
      <c r="D340" s="1075"/>
      <c r="E340" s="1075" t="s">
        <v>10293</v>
      </c>
      <c r="F340" s="1076"/>
      <c r="G340" s="1075" t="s">
        <v>9065</v>
      </c>
      <c r="H340" s="1075" t="s">
        <v>9065</v>
      </c>
      <c r="I340" s="1075" t="s">
        <v>6397</v>
      </c>
      <c r="J340" s="1075"/>
      <c r="K340" s="1075"/>
      <c r="L340" s="1075" t="s">
        <v>9888</v>
      </c>
      <c r="M340" s="1077" t="s">
        <v>6396</v>
      </c>
      <c r="N340" s="1078">
        <v>6512400</v>
      </c>
      <c r="O340" s="1078"/>
      <c r="P340" s="1078"/>
      <c r="Q340" s="1079"/>
      <c r="V340" s="1084"/>
    </row>
    <row r="341" spans="1:22" s="1082" customFormat="1" ht="24" customHeight="1">
      <c r="A341" s="1075">
        <v>322</v>
      </c>
      <c r="B341" s="1075"/>
      <c r="C341" s="1075"/>
      <c r="D341" s="1075"/>
      <c r="E341" s="1075" t="s">
        <v>10294</v>
      </c>
      <c r="F341" s="1076"/>
      <c r="G341" s="1075" t="s">
        <v>9065</v>
      </c>
      <c r="H341" s="1075" t="s">
        <v>9065</v>
      </c>
      <c r="I341" s="1075" t="s">
        <v>6399</v>
      </c>
      <c r="J341" s="1075"/>
      <c r="K341" s="1075"/>
      <c r="L341" s="1075" t="s">
        <v>9888</v>
      </c>
      <c r="M341" s="1077" t="s">
        <v>6398</v>
      </c>
      <c r="N341" s="1078">
        <v>6512400</v>
      </c>
      <c r="O341" s="1078"/>
      <c r="P341" s="1078"/>
      <c r="Q341" s="1079"/>
      <c r="V341" s="1084"/>
    </row>
    <row r="342" spans="1:22" s="1082" customFormat="1" ht="24" customHeight="1">
      <c r="A342" s="1075">
        <v>323</v>
      </c>
      <c r="B342" s="1075"/>
      <c r="C342" s="1075"/>
      <c r="D342" s="1075"/>
      <c r="E342" s="1075" t="s">
        <v>10295</v>
      </c>
      <c r="F342" s="1076"/>
      <c r="G342" s="1075" t="s">
        <v>9065</v>
      </c>
      <c r="H342" s="1075" t="s">
        <v>9065</v>
      </c>
      <c r="I342" s="1075" t="s">
        <v>6401</v>
      </c>
      <c r="J342" s="1075"/>
      <c r="K342" s="1075"/>
      <c r="L342" s="1075" t="s">
        <v>9888</v>
      </c>
      <c r="M342" s="1077" t="s">
        <v>6400</v>
      </c>
      <c r="N342" s="1078">
        <v>6512400</v>
      </c>
      <c r="O342" s="1078"/>
      <c r="P342" s="1078"/>
      <c r="Q342" s="1079"/>
      <c r="V342" s="1084"/>
    </row>
    <row r="343" spans="1:22" s="1082" customFormat="1" ht="24" customHeight="1">
      <c r="A343" s="1075">
        <v>324</v>
      </c>
      <c r="B343" s="1075"/>
      <c r="C343" s="1075"/>
      <c r="D343" s="1075"/>
      <c r="E343" s="1075" t="s">
        <v>10297</v>
      </c>
      <c r="F343" s="1076"/>
      <c r="G343" s="1075" t="s">
        <v>9065</v>
      </c>
      <c r="H343" s="1075" t="s">
        <v>9065</v>
      </c>
      <c r="I343" s="1075" t="s">
        <v>6405</v>
      </c>
      <c r="J343" s="1075"/>
      <c r="K343" s="1075"/>
      <c r="L343" s="1075" t="s">
        <v>9888</v>
      </c>
      <c r="M343" s="1077" t="s">
        <v>6404</v>
      </c>
      <c r="N343" s="1078">
        <v>6512400</v>
      </c>
      <c r="O343" s="1078"/>
      <c r="P343" s="1078"/>
      <c r="Q343" s="1079"/>
      <c r="V343" s="1084"/>
    </row>
    <row r="344" spans="1:22" s="1082" customFormat="1" ht="24" customHeight="1">
      <c r="A344" s="1075">
        <v>325</v>
      </c>
      <c r="B344" s="1075"/>
      <c r="C344" s="1075"/>
      <c r="D344" s="1075"/>
      <c r="E344" s="1075" t="s">
        <v>10298</v>
      </c>
      <c r="F344" s="1076"/>
      <c r="G344" s="1075" t="s">
        <v>9065</v>
      </c>
      <c r="H344" s="1075" t="s">
        <v>9065</v>
      </c>
      <c r="I344" s="1075" t="s">
        <v>6407</v>
      </c>
      <c r="J344" s="1075"/>
      <c r="K344" s="1075"/>
      <c r="L344" s="1075" t="s">
        <v>9888</v>
      </c>
      <c r="M344" s="1077" t="s">
        <v>6406</v>
      </c>
      <c r="N344" s="1078">
        <v>6512400</v>
      </c>
      <c r="O344" s="1078"/>
      <c r="P344" s="1078"/>
      <c r="Q344" s="1079"/>
      <c r="V344" s="1084"/>
    </row>
    <row r="345" spans="1:22" s="1082" customFormat="1" ht="24" customHeight="1">
      <c r="A345" s="1075">
        <v>326</v>
      </c>
      <c r="B345" s="1075"/>
      <c r="C345" s="1075"/>
      <c r="D345" s="1075"/>
      <c r="E345" s="1075" t="s">
        <v>10299</v>
      </c>
      <c r="F345" s="1076"/>
      <c r="G345" s="1075" t="s">
        <v>9065</v>
      </c>
      <c r="H345" s="1075" t="s">
        <v>9065</v>
      </c>
      <c r="I345" s="1075" t="s">
        <v>6409</v>
      </c>
      <c r="J345" s="1075"/>
      <c r="K345" s="1075"/>
      <c r="L345" s="1075" t="s">
        <v>9888</v>
      </c>
      <c r="M345" s="1077" t="s">
        <v>6408</v>
      </c>
      <c r="N345" s="1078">
        <v>6512400</v>
      </c>
      <c r="O345" s="1078"/>
      <c r="P345" s="1078"/>
      <c r="Q345" s="1079"/>
      <c r="V345" s="1084"/>
    </row>
    <row r="346" spans="1:22" s="1082" customFormat="1" ht="24" customHeight="1">
      <c r="A346" s="1075">
        <v>327</v>
      </c>
      <c r="B346" s="1075"/>
      <c r="C346" s="1075"/>
      <c r="D346" s="1075"/>
      <c r="E346" s="1075" t="s">
        <v>10300</v>
      </c>
      <c r="F346" s="1076"/>
      <c r="G346" s="1075" t="s">
        <v>9065</v>
      </c>
      <c r="H346" s="1075" t="s">
        <v>9065</v>
      </c>
      <c r="I346" s="1075" t="s">
        <v>6411</v>
      </c>
      <c r="J346" s="1075"/>
      <c r="K346" s="1075"/>
      <c r="L346" s="1075" t="s">
        <v>9888</v>
      </c>
      <c r="M346" s="1077" t="s">
        <v>6410</v>
      </c>
      <c r="N346" s="1078">
        <v>6512400</v>
      </c>
      <c r="O346" s="1078"/>
      <c r="P346" s="1078"/>
      <c r="Q346" s="1079"/>
      <c r="V346" s="1084"/>
    </row>
    <row r="347" spans="1:22" s="1082" customFormat="1" ht="24" customHeight="1">
      <c r="A347" s="1075">
        <v>328</v>
      </c>
      <c r="B347" s="1075"/>
      <c r="C347" s="1075"/>
      <c r="D347" s="1075"/>
      <c r="E347" s="1075" t="s">
        <v>10301</v>
      </c>
      <c r="F347" s="1076"/>
      <c r="G347" s="1075" t="s">
        <v>9065</v>
      </c>
      <c r="H347" s="1075" t="s">
        <v>9065</v>
      </c>
      <c r="I347" s="1075" t="s">
        <v>6413</v>
      </c>
      <c r="J347" s="1075"/>
      <c r="K347" s="1075"/>
      <c r="L347" s="1075" t="s">
        <v>9888</v>
      </c>
      <c r="M347" s="1077" t="s">
        <v>6412</v>
      </c>
      <c r="N347" s="1078">
        <v>6512400</v>
      </c>
      <c r="O347" s="1078"/>
      <c r="P347" s="1078"/>
      <c r="Q347" s="1079"/>
      <c r="V347" s="1084"/>
    </row>
    <row r="348" spans="1:22" s="1082" customFormat="1" ht="24" customHeight="1">
      <c r="A348" s="1075">
        <v>329</v>
      </c>
      <c r="B348" s="1075"/>
      <c r="C348" s="1075"/>
      <c r="D348" s="1075"/>
      <c r="E348" s="1075" t="s">
        <v>15894</v>
      </c>
      <c r="F348" s="1076"/>
      <c r="G348" s="1075" t="s">
        <v>9065</v>
      </c>
      <c r="H348" s="1075" t="s">
        <v>9065</v>
      </c>
      <c r="I348" s="1075" t="s">
        <v>5671</v>
      </c>
      <c r="J348" s="1075"/>
      <c r="K348" s="1075"/>
      <c r="L348" s="1075" t="s">
        <v>9888</v>
      </c>
      <c r="M348" s="1077" t="s">
        <v>15895</v>
      </c>
      <c r="N348" s="1078">
        <v>6512400</v>
      </c>
      <c r="O348" s="1078"/>
      <c r="P348" s="1078"/>
      <c r="Q348" s="1079"/>
      <c r="V348" s="1084"/>
    </row>
    <row r="349" spans="1:22" s="1082" customFormat="1" ht="24" customHeight="1">
      <c r="A349" s="1075">
        <v>330</v>
      </c>
      <c r="B349" s="1075"/>
      <c r="C349" s="1075"/>
      <c r="D349" s="1075"/>
      <c r="E349" s="1075" t="s">
        <v>10303</v>
      </c>
      <c r="F349" s="1076"/>
      <c r="G349" s="1075" t="s">
        <v>9065</v>
      </c>
      <c r="H349" s="1075" t="s">
        <v>9065</v>
      </c>
      <c r="I349" s="1075" t="s">
        <v>6415</v>
      </c>
      <c r="J349" s="1075"/>
      <c r="K349" s="1075"/>
      <c r="L349" s="1075" t="s">
        <v>9888</v>
      </c>
      <c r="M349" s="1077" t="s">
        <v>6414</v>
      </c>
      <c r="N349" s="1078">
        <v>6512400</v>
      </c>
      <c r="O349" s="1078"/>
      <c r="P349" s="1078"/>
      <c r="Q349" s="1079" t="s">
        <v>14533</v>
      </c>
      <c r="V349" s="1084"/>
    </row>
    <row r="350" spans="1:22" s="1082" customFormat="1" ht="24" customHeight="1">
      <c r="A350" s="1075">
        <v>331</v>
      </c>
      <c r="B350" s="1075"/>
      <c r="C350" s="1075"/>
      <c r="D350" s="1075"/>
      <c r="E350" s="1075" t="s">
        <v>10304</v>
      </c>
      <c r="F350" s="1076"/>
      <c r="G350" s="1075" t="s">
        <v>9065</v>
      </c>
      <c r="H350" s="1075" t="s">
        <v>9065</v>
      </c>
      <c r="I350" s="1075" t="s">
        <v>6417</v>
      </c>
      <c r="J350" s="1075"/>
      <c r="K350" s="1075"/>
      <c r="L350" s="1075" t="s">
        <v>9888</v>
      </c>
      <c r="M350" s="1077" t="s">
        <v>6416</v>
      </c>
      <c r="N350" s="1078">
        <v>6512400</v>
      </c>
      <c r="O350" s="1078"/>
      <c r="P350" s="1078"/>
      <c r="Q350" s="1079"/>
      <c r="V350" s="1084"/>
    </row>
    <row r="351" spans="1:22" s="1082" customFormat="1" ht="24" customHeight="1">
      <c r="A351" s="1075">
        <v>332</v>
      </c>
      <c r="B351" s="1075"/>
      <c r="C351" s="1075"/>
      <c r="D351" s="1075"/>
      <c r="E351" s="1075" t="s">
        <v>10305</v>
      </c>
      <c r="F351" s="1076"/>
      <c r="G351" s="1075" t="s">
        <v>9065</v>
      </c>
      <c r="H351" s="1075" t="s">
        <v>9065</v>
      </c>
      <c r="I351" s="1075" t="s">
        <v>6419</v>
      </c>
      <c r="J351" s="1075"/>
      <c r="K351" s="1075"/>
      <c r="L351" s="1075" t="s">
        <v>9888</v>
      </c>
      <c r="M351" s="1077" t="s">
        <v>6418</v>
      </c>
      <c r="N351" s="1078">
        <v>6512400</v>
      </c>
      <c r="O351" s="1078"/>
      <c r="P351" s="1078"/>
      <c r="Q351" s="1079"/>
      <c r="V351" s="1084"/>
    </row>
    <row r="352" spans="1:22" s="1082" customFormat="1" ht="24" customHeight="1">
      <c r="A352" s="1075">
        <v>333</v>
      </c>
      <c r="B352" s="1075"/>
      <c r="C352" s="1075"/>
      <c r="D352" s="1075"/>
      <c r="E352" s="1075" t="s">
        <v>10306</v>
      </c>
      <c r="F352" s="1076"/>
      <c r="G352" s="1075" t="s">
        <v>9065</v>
      </c>
      <c r="H352" s="1075" t="s">
        <v>9065</v>
      </c>
      <c r="I352" s="1075" t="s">
        <v>6421</v>
      </c>
      <c r="J352" s="1075"/>
      <c r="K352" s="1075"/>
      <c r="L352" s="1075" t="s">
        <v>9888</v>
      </c>
      <c r="M352" s="1077" t="s">
        <v>6420</v>
      </c>
      <c r="N352" s="1078">
        <v>6512400</v>
      </c>
      <c r="O352" s="1078"/>
      <c r="P352" s="1078"/>
      <c r="Q352" s="1079"/>
      <c r="V352" s="1084"/>
    </row>
    <row r="353" spans="1:22" s="1082" customFormat="1" ht="24" customHeight="1">
      <c r="A353" s="1075">
        <v>334</v>
      </c>
      <c r="B353" s="1075"/>
      <c r="C353" s="1075"/>
      <c r="D353" s="1075"/>
      <c r="E353" s="1075" t="s">
        <v>10307</v>
      </c>
      <c r="F353" s="1076"/>
      <c r="G353" s="1075" t="s">
        <v>9065</v>
      </c>
      <c r="H353" s="1075" t="s">
        <v>9065</v>
      </c>
      <c r="I353" s="1075" t="s">
        <v>6423</v>
      </c>
      <c r="J353" s="1075"/>
      <c r="K353" s="1075"/>
      <c r="L353" s="1075" t="s">
        <v>9888</v>
      </c>
      <c r="M353" s="1077" t="s">
        <v>6422</v>
      </c>
      <c r="N353" s="1078">
        <v>6512400</v>
      </c>
      <c r="O353" s="1078"/>
      <c r="P353" s="1078"/>
      <c r="Q353" s="1079"/>
      <c r="V353" s="1084"/>
    </row>
    <row r="354" spans="1:22" s="1082" customFormat="1" ht="24" customHeight="1">
      <c r="A354" s="1075">
        <v>335</v>
      </c>
      <c r="B354" s="1075"/>
      <c r="C354" s="1075"/>
      <c r="D354" s="1075"/>
      <c r="E354" s="1075" t="s">
        <v>10309</v>
      </c>
      <c r="F354" s="1076"/>
      <c r="G354" s="1075" t="s">
        <v>9065</v>
      </c>
      <c r="H354" s="1075" t="s">
        <v>9065</v>
      </c>
      <c r="I354" s="1075" t="s">
        <v>6427</v>
      </c>
      <c r="J354" s="1075"/>
      <c r="K354" s="1075"/>
      <c r="L354" s="1075" t="s">
        <v>9888</v>
      </c>
      <c r="M354" s="1077" t="s">
        <v>6426</v>
      </c>
      <c r="N354" s="1078">
        <v>6512400</v>
      </c>
      <c r="O354" s="1078"/>
      <c r="P354" s="1078"/>
      <c r="Q354" s="1079"/>
      <c r="V354" s="1084"/>
    </row>
    <row r="355" spans="1:22" s="1082" customFormat="1" ht="24" customHeight="1">
      <c r="A355" s="1075">
        <v>336</v>
      </c>
      <c r="B355" s="1075"/>
      <c r="C355" s="1075"/>
      <c r="D355" s="1075"/>
      <c r="E355" s="1075" t="s">
        <v>10310</v>
      </c>
      <c r="F355" s="1076"/>
      <c r="G355" s="1075" t="s">
        <v>9065</v>
      </c>
      <c r="H355" s="1075" t="s">
        <v>9065</v>
      </c>
      <c r="I355" s="1075" t="s">
        <v>6429</v>
      </c>
      <c r="J355" s="1075"/>
      <c r="K355" s="1075"/>
      <c r="L355" s="1075" t="s">
        <v>9888</v>
      </c>
      <c r="M355" s="1077" t="s">
        <v>6428</v>
      </c>
      <c r="N355" s="1078">
        <v>6512400</v>
      </c>
      <c r="O355" s="1078"/>
      <c r="P355" s="1078"/>
      <c r="Q355" s="1079"/>
      <c r="V355" s="1084"/>
    </row>
    <row r="356" spans="1:22" s="1082" customFormat="1" ht="24" customHeight="1">
      <c r="A356" s="1075">
        <v>337</v>
      </c>
      <c r="B356" s="1075"/>
      <c r="C356" s="1075"/>
      <c r="D356" s="1075"/>
      <c r="E356" s="1075" t="s">
        <v>10311</v>
      </c>
      <c r="F356" s="1076"/>
      <c r="G356" s="1075" t="s">
        <v>9065</v>
      </c>
      <c r="H356" s="1075" t="s">
        <v>9065</v>
      </c>
      <c r="I356" s="1075" t="s">
        <v>6431</v>
      </c>
      <c r="J356" s="1075"/>
      <c r="K356" s="1075"/>
      <c r="L356" s="1075" t="s">
        <v>9888</v>
      </c>
      <c r="M356" s="1077" t="s">
        <v>6430</v>
      </c>
      <c r="N356" s="1078">
        <v>6512400</v>
      </c>
      <c r="O356" s="1078"/>
      <c r="P356" s="1078"/>
      <c r="Q356" s="1079"/>
      <c r="V356" s="1084"/>
    </row>
    <row r="357" spans="1:22" s="1082" customFormat="1" ht="24" customHeight="1">
      <c r="A357" s="1075">
        <v>338</v>
      </c>
      <c r="B357" s="1075"/>
      <c r="C357" s="1075"/>
      <c r="D357" s="1075"/>
      <c r="E357" s="1075" t="s">
        <v>10312</v>
      </c>
      <c r="F357" s="1076"/>
      <c r="G357" s="1075" t="s">
        <v>9065</v>
      </c>
      <c r="H357" s="1075" t="s">
        <v>9065</v>
      </c>
      <c r="I357" s="1075" t="s">
        <v>6433</v>
      </c>
      <c r="J357" s="1075"/>
      <c r="K357" s="1075"/>
      <c r="L357" s="1075" t="s">
        <v>9888</v>
      </c>
      <c r="M357" s="1077" t="s">
        <v>6432</v>
      </c>
      <c r="N357" s="1078">
        <v>6512400</v>
      </c>
      <c r="O357" s="1078"/>
      <c r="P357" s="1078"/>
      <c r="Q357" s="1079"/>
      <c r="V357" s="1084"/>
    </row>
    <row r="358" spans="1:22" s="1082" customFormat="1" ht="24" customHeight="1">
      <c r="A358" s="1075">
        <v>339</v>
      </c>
      <c r="B358" s="1075"/>
      <c r="C358" s="1075"/>
      <c r="D358" s="1075"/>
      <c r="E358" s="1075" t="s">
        <v>10313</v>
      </c>
      <c r="F358" s="1076"/>
      <c r="G358" s="1075" t="s">
        <v>9065</v>
      </c>
      <c r="H358" s="1075" t="s">
        <v>9065</v>
      </c>
      <c r="I358" s="1075" t="s">
        <v>6435</v>
      </c>
      <c r="J358" s="1075"/>
      <c r="K358" s="1075"/>
      <c r="L358" s="1075" t="s">
        <v>9888</v>
      </c>
      <c r="M358" s="1077" t="s">
        <v>6434</v>
      </c>
      <c r="N358" s="1078">
        <v>6512400</v>
      </c>
      <c r="O358" s="1078"/>
      <c r="P358" s="1078"/>
      <c r="Q358" s="1079"/>
      <c r="V358" s="1084"/>
    </row>
    <row r="359" spans="1:22" s="1082" customFormat="1" ht="24" customHeight="1">
      <c r="A359" s="1075">
        <v>340</v>
      </c>
      <c r="B359" s="1075"/>
      <c r="C359" s="1075"/>
      <c r="D359" s="1075"/>
      <c r="E359" s="1075" t="s">
        <v>10314</v>
      </c>
      <c r="F359" s="1076"/>
      <c r="G359" s="1075" t="s">
        <v>9065</v>
      </c>
      <c r="H359" s="1075" t="s">
        <v>9065</v>
      </c>
      <c r="I359" s="1075" t="s">
        <v>6437</v>
      </c>
      <c r="J359" s="1075"/>
      <c r="K359" s="1075"/>
      <c r="L359" s="1075" t="s">
        <v>9888</v>
      </c>
      <c r="M359" s="1077" t="s">
        <v>6436</v>
      </c>
      <c r="N359" s="1078">
        <v>6512400</v>
      </c>
      <c r="O359" s="1078"/>
      <c r="P359" s="1078"/>
      <c r="Q359" s="1079"/>
      <c r="V359" s="1084"/>
    </row>
    <row r="360" spans="1:22" s="1082" customFormat="1" ht="24" customHeight="1">
      <c r="A360" s="1075">
        <v>341</v>
      </c>
      <c r="B360" s="1075"/>
      <c r="C360" s="1075"/>
      <c r="D360" s="1075"/>
      <c r="E360" s="1075" t="s">
        <v>10315</v>
      </c>
      <c r="F360" s="1076"/>
      <c r="G360" s="1075" t="s">
        <v>9065</v>
      </c>
      <c r="H360" s="1075" t="s">
        <v>9065</v>
      </c>
      <c r="I360" s="1075" t="s">
        <v>6439</v>
      </c>
      <c r="J360" s="1075"/>
      <c r="K360" s="1075"/>
      <c r="L360" s="1075" t="s">
        <v>9888</v>
      </c>
      <c r="M360" s="1077" t="s">
        <v>6438</v>
      </c>
      <c r="N360" s="1078">
        <v>6512400</v>
      </c>
      <c r="O360" s="1078"/>
      <c r="P360" s="1078"/>
      <c r="Q360" s="1079"/>
      <c r="V360" s="1084"/>
    </row>
    <row r="361" spans="1:22" s="1082" customFormat="1" ht="24" customHeight="1">
      <c r="A361" s="1075">
        <v>342</v>
      </c>
      <c r="B361" s="376" t="s">
        <v>1595</v>
      </c>
      <c r="C361" s="376"/>
      <c r="D361" s="376"/>
      <c r="E361" s="1075" t="s">
        <v>10317</v>
      </c>
      <c r="F361" s="1076"/>
      <c r="G361" s="1075" t="s">
        <v>9065</v>
      </c>
      <c r="H361" s="1075" t="s">
        <v>9065</v>
      </c>
      <c r="I361" s="1075" t="s">
        <v>5673</v>
      </c>
      <c r="J361" s="1075" t="s">
        <v>2126</v>
      </c>
      <c r="K361" s="1075" t="s">
        <v>15555</v>
      </c>
      <c r="L361" s="1075" t="s">
        <v>5130</v>
      </c>
      <c r="M361" s="1077" t="s">
        <v>5672</v>
      </c>
      <c r="N361" s="1078">
        <v>6512400</v>
      </c>
      <c r="O361" s="1078" t="s">
        <v>375</v>
      </c>
      <c r="P361" s="1078"/>
      <c r="Q361" s="1079"/>
      <c r="V361" s="1084"/>
    </row>
    <row r="362" spans="1:22" s="1082" customFormat="1" ht="24" customHeight="1">
      <c r="A362" s="1075">
        <v>343</v>
      </c>
      <c r="B362" s="1075"/>
      <c r="C362" s="1075"/>
      <c r="D362" s="1075"/>
      <c r="E362" s="1075" t="s">
        <v>10318</v>
      </c>
      <c r="F362" s="1076"/>
      <c r="G362" s="1075" t="s">
        <v>9065</v>
      </c>
      <c r="H362" s="1075" t="s">
        <v>9065</v>
      </c>
      <c r="I362" s="1075" t="s">
        <v>6443</v>
      </c>
      <c r="J362" s="1075"/>
      <c r="K362" s="1075"/>
      <c r="L362" s="1075" t="s">
        <v>9888</v>
      </c>
      <c r="M362" s="1077" t="s">
        <v>6442</v>
      </c>
      <c r="N362" s="1078">
        <v>6512400</v>
      </c>
      <c r="O362" s="1078"/>
      <c r="P362" s="1078"/>
      <c r="Q362" s="1079"/>
      <c r="V362" s="1084"/>
    </row>
    <row r="363" spans="1:22" s="1082" customFormat="1" ht="24" customHeight="1">
      <c r="A363" s="1075">
        <v>344</v>
      </c>
      <c r="B363" s="1075"/>
      <c r="C363" s="1075"/>
      <c r="D363" s="1075"/>
      <c r="E363" s="1075" t="s">
        <v>10319</v>
      </c>
      <c r="F363" s="1076"/>
      <c r="G363" s="1075" t="s">
        <v>9065</v>
      </c>
      <c r="H363" s="1075" t="s">
        <v>9065</v>
      </c>
      <c r="I363" s="1075" t="s">
        <v>6445</v>
      </c>
      <c r="J363" s="1075"/>
      <c r="K363" s="1075"/>
      <c r="L363" s="1075" t="s">
        <v>9888</v>
      </c>
      <c r="M363" s="1077" t="s">
        <v>6444</v>
      </c>
      <c r="N363" s="1078">
        <v>6512400</v>
      </c>
      <c r="O363" s="1078"/>
      <c r="P363" s="1078"/>
      <c r="Q363" s="1079"/>
      <c r="V363" s="1084"/>
    </row>
    <row r="364" spans="1:22" s="1082" customFormat="1" ht="24" customHeight="1">
      <c r="A364" s="1075">
        <v>345</v>
      </c>
      <c r="B364" s="1075"/>
      <c r="C364" s="1075"/>
      <c r="D364" s="1075"/>
      <c r="E364" s="1075" t="s">
        <v>10323</v>
      </c>
      <c r="F364" s="1076"/>
      <c r="G364" s="1075" t="s">
        <v>9065</v>
      </c>
      <c r="H364" s="1075" t="s">
        <v>9065</v>
      </c>
      <c r="I364" s="1075" t="s">
        <v>6453</v>
      </c>
      <c r="J364" s="1075"/>
      <c r="K364" s="1075"/>
      <c r="L364" s="1075" t="s">
        <v>9888</v>
      </c>
      <c r="M364" s="1077" t="s">
        <v>6452</v>
      </c>
      <c r="N364" s="1078">
        <v>6512400</v>
      </c>
      <c r="O364" s="1078"/>
      <c r="P364" s="1078"/>
      <c r="Q364" s="1079"/>
      <c r="V364" s="1084"/>
    </row>
    <row r="365" spans="1:22" s="1082" customFormat="1" ht="24" customHeight="1">
      <c r="A365" s="1075">
        <v>346</v>
      </c>
      <c r="B365" s="1075"/>
      <c r="C365" s="1075"/>
      <c r="D365" s="1075"/>
      <c r="E365" s="1075" t="s">
        <v>10324</v>
      </c>
      <c r="F365" s="1076"/>
      <c r="G365" s="1075" t="s">
        <v>9065</v>
      </c>
      <c r="H365" s="1075" t="s">
        <v>9065</v>
      </c>
      <c r="I365" s="1075" t="s">
        <v>6455</v>
      </c>
      <c r="J365" s="1075"/>
      <c r="K365" s="1075"/>
      <c r="L365" s="1075" t="s">
        <v>9888</v>
      </c>
      <c r="M365" s="1077" t="s">
        <v>6454</v>
      </c>
      <c r="N365" s="1078">
        <v>6512400</v>
      </c>
      <c r="O365" s="1078"/>
      <c r="P365" s="1078"/>
      <c r="Q365" s="1079"/>
      <c r="V365" s="1084"/>
    </row>
    <row r="366" spans="1:22" s="1082" customFormat="1" ht="24" customHeight="1">
      <c r="A366" s="1075">
        <v>347</v>
      </c>
      <c r="B366" s="1075"/>
      <c r="C366" s="1075"/>
      <c r="D366" s="1075"/>
      <c r="E366" s="1075" t="s">
        <v>10325</v>
      </c>
      <c r="F366" s="1076"/>
      <c r="G366" s="1075" t="s">
        <v>9065</v>
      </c>
      <c r="H366" s="1075" t="s">
        <v>9065</v>
      </c>
      <c r="I366" s="1075" t="s">
        <v>6457</v>
      </c>
      <c r="J366" s="1075"/>
      <c r="K366" s="1075"/>
      <c r="L366" s="1075" t="s">
        <v>9888</v>
      </c>
      <c r="M366" s="1077" t="s">
        <v>6456</v>
      </c>
      <c r="N366" s="1078">
        <v>6512400</v>
      </c>
      <c r="O366" s="1078"/>
      <c r="P366" s="1078"/>
      <c r="Q366" s="1079"/>
      <c r="V366" s="1084"/>
    </row>
    <row r="367" spans="1:22" s="1133" customFormat="1" ht="24" customHeight="1">
      <c r="A367" s="1075">
        <v>348</v>
      </c>
      <c r="B367" s="1128"/>
      <c r="C367" s="1128"/>
      <c r="D367" s="1128"/>
      <c r="E367" s="1128" t="s">
        <v>10326</v>
      </c>
      <c r="F367" s="1129"/>
      <c r="G367" s="1128" t="s">
        <v>9065</v>
      </c>
      <c r="H367" s="1128" t="s">
        <v>9065</v>
      </c>
      <c r="I367" s="1128" t="s">
        <v>5675</v>
      </c>
      <c r="J367" s="1128"/>
      <c r="K367" s="1128" t="s">
        <v>16178</v>
      </c>
      <c r="L367" s="1128" t="s">
        <v>5130</v>
      </c>
      <c r="M367" s="1130" t="s">
        <v>5674</v>
      </c>
      <c r="N367" s="1131">
        <v>6512400</v>
      </c>
      <c r="O367" s="1131"/>
      <c r="P367" s="1131" t="s">
        <v>16146</v>
      </c>
      <c r="Q367" s="1132" t="s">
        <v>16205</v>
      </c>
      <c r="V367" s="1134"/>
    </row>
    <row r="368" spans="1:22" s="1082" customFormat="1" ht="24" customHeight="1">
      <c r="A368" s="1075">
        <v>349</v>
      </c>
      <c r="B368" s="376" t="s">
        <v>1595</v>
      </c>
      <c r="C368" s="376"/>
      <c r="D368" s="376"/>
      <c r="E368" s="1075" t="s">
        <v>10327</v>
      </c>
      <c r="F368" s="1076"/>
      <c r="G368" s="1075" t="s">
        <v>9065</v>
      </c>
      <c r="H368" s="1075" t="s">
        <v>9065</v>
      </c>
      <c r="I368" s="1075" t="s">
        <v>5677</v>
      </c>
      <c r="J368" s="1075" t="s">
        <v>15896</v>
      </c>
      <c r="K368" s="1075" t="s">
        <v>15897</v>
      </c>
      <c r="L368" s="1075" t="s">
        <v>5130</v>
      </c>
      <c r="M368" s="1077" t="s">
        <v>5676</v>
      </c>
      <c r="N368" s="1078">
        <v>6512400</v>
      </c>
      <c r="O368" s="1078" t="s">
        <v>375</v>
      </c>
      <c r="P368" s="1078"/>
      <c r="Q368" s="1079"/>
      <c r="V368" s="1084"/>
    </row>
    <row r="369" spans="1:22" s="1082" customFormat="1" ht="24" customHeight="1">
      <c r="A369" s="1075">
        <v>350</v>
      </c>
      <c r="B369" s="1075"/>
      <c r="C369" s="1075"/>
      <c r="D369" s="1075"/>
      <c r="E369" s="1075" t="s">
        <v>10328</v>
      </c>
      <c r="F369" s="1076"/>
      <c r="G369" s="1075" t="s">
        <v>9065</v>
      </c>
      <c r="H369" s="1075" t="s">
        <v>9065</v>
      </c>
      <c r="I369" s="1075" t="s">
        <v>6459</v>
      </c>
      <c r="J369" s="1075"/>
      <c r="K369" s="1075"/>
      <c r="L369" s="1075" t="s">
        <v>9888</v>
      </c>
      <c r="M369" s="1077" t="s">
        <v>6458</v>
      </c>
      <c r="N369" s="1078">
        <v>6512400</v>
      </c>
      <c r="O369" s="1078"/>
      <c r="P369" s="1078"/>
      <c r="Q369" s="1079"/>
      <c r="V369" s="1084"/>
    </row>
    <row r="370" spans="1:22" s="1082" customFormat="1" ht="24" customHeight="1">
      <c r="A370" s="1075">
        <v>351</v>
      </c>
      <c r="B370" s="1075"/>
      <c r="C370" s="1075"/>
      <c r="D370" s="1075"/>
      <c r="E370" s="1075" t="s">
        <v>10330</v>
      </c>
      <c r="F370" s="1076"/>
      <c r="G370" s="1075" t="s">
        <v>9065</v>
      </c>
      <c r="H370" s="1075" t="s">
        <v>9065</v>
      </c>
      <c r="I370" s="1075" t="s">
        <v>6461</v>
      </c>
      <c r="J370" s="1075"/>
      <c r="K370" s="1075"/>
      <c r="L370" s="1075" t="s">
        <v>9888</v>
      </c>
      <c r="M370" s="1077" t="s">
        <v>6460</v>
      </c>
      <c r="N370" s="1078">
        <v>6512400</v>
      </c>
      <c r="O370" s="1078"/>
      <c r="P370" s="1078"/>
      <c r="Q370" s="1079"/>
      <c r="V370" s="1084"/>
    </row>
    <row r="371" spans="1:22" s="1082" customFormat="1" ht="24" customHeight="1">
      <c r="A371" s="1075">
        <v>352</v>
      </c>
      <c r="B371" s="1075"/>
      <c r="C371" s="1075"/>
      <c r="D371" s="1075"/>
      <c r="E371" s="1075" t="s">
        <v>10331</v>
      </c>
      <c r="F371" s="1076"/>
      <c r="G371" s="1075" t="s">
        <v>9065</v>
      </c>
      <c r="H371" s="1075" t="s">
        <v>9065</v>
      </c>
      <c r="I371" s="1075" t="s">
        <v>6463</v>
      </c>
      <c r="J371" s="1075"/>
      <c r="K371" s="1075"/>
      <c r="L371" s="1075" t="s">
        <v>9888</v>
      </c>
      <c r="M371" s="1077" t="s">
        <v>6462</v>
      </c>
      <c r="N371" s="1078">
        <v>6512400</v>
      </c>
      <c r="O371" s="1078"/>
      <c r="P371" s="1078"/>
      <c r="Q371" s="1079"/>
      <c r="V371" s="1084"/>
    </row>
    <row r="372" spans="1:22" s="1082" customFormat="1" ht="24" customHeight="1">
      <c r="A372" s="1075">
        <v>353</v>
      </c>
      <c r="B372" s="1075" t="s">
        <v>423</v>
      </c>
      <c r="C372" s="1075"/>
      <c r="D372" s="1075"/>
      <c r="E372" s="1075" t="s">
        <v>10332</v>
      </c>
      <c r="F372" s="1076"/>
      <c r="G372" s="1075" t="s">
        <v>9065</v>
      </c>
      <c r="H372" s="1075" t="s">
        <v>9065</v>
      </c>
      <c r="I372" s="1075" t="s">
        <v>5680</v>
      </c>
      <c r="J372" s="1075" t="s">
        <v>12096</v>
      </c>
      <c r="K372" s="1075" t="s">
        <v>12095</v>
      </c>
      <c r="L372" s="1075" t="s">
        <v>5130</v>
      </c>
      <c r="M372" s="1077" t="s">
        <v>5679</v>
      </c>
      <c r="N372" s="1078">
        <v>6512400</v>
      </c>
      <c r="O372" s="1078" t="s">
        <v>375</v>
      </c>
      <c r="P372" s="1078"/>
      <c r="Q372" s="1079"/>
      <c r="V372" s="1084"/>
    </row>
    <row r="373" spans="1:22" s="1082" customFormat="1" ht="24" customHeight="1">
      <c r="A373" s="1075">
        <v>354</v>
      </c>
      <c r="B373" s="1075"/>
      <c r="C373" s="1075"/>
      <c r="D373" s="1075"/>
      <c r="E373" s="1075" t="s">
        <v>10335</v>
      </c>
      <c r="F373" s="1076"/>
      <c r="G373" s="1075" t="s">
        <v>9065</v>
      </c>
      <c r="H373" s="1075" t="s">
        <v>9065</v>
      </c>
      <c r="I373" s="1075" t="s">
        <v>6469</v>
      </c>
      <c r="J373" s="1075"/>
      <c r="K373" s="1075"/>
      <c r="L373" s="1075" t="s">
        <v>9888</v>
      </c>
      <c r="M373" s="1077" t="s">
        <v>6468</v>
      </c>
      <c r="N373" s="1078">
        <v>6512400</v>
      </c>
      <c r="O373" s="1078"/>
      <c r="P373" s="1078"/>
      <c r="Q373" s="1079"/>
      <c r="V373" s="1084"/>
    </row>
    <row r="374" spans="1:22" s="1082" customFormat="1" ht="24" customHeight="1">
      <c r="A374" s="1075">
        <v>355</v>
      </c>
      <c r="B374" s="1075"/>
      <c r="C374" s="1075"/>
      <c r="D374" s="1075"/>
      <c r="E374" s="1075" t="s">
        <v>10336</v>
      </c>
      <c r="F374" s="1076"/>
      <c r="G374" s="1075" t="s">
        <v>9065</v>
      </c>
      <c r="H374" s="1075" t="s">
        <v>9065</v>
      </c>
      <c r="I374" s="1075" t="s">
        <v>6471</v>
      </c>
      <c r="J374" s="1075"/>
      <c r="K374" s="1075"/>
      <c r="L374" s="1075" t="s">
        <v>9888</v>
      </c>
      <c r="M374" s="1077" t="s">
        <v>6470</v>
      </c>
      <c r="N374" s="1078">
        <v>6512400</v>
      </c>
      <c r="O374" s="1078"/>
      <c r="P374" s="1078"/>
      <c r="Q374" s="1079"/>
      <c r="V374" s="1084"/>
    </row>
    <row r="375" spans="1:22" s="1082" customFormat="1" ht="24" customHeight="1">
      <c r="A375" s="1075">
        <v>356</v>
      </c>
      <c r="B375" s="1075" t="s">
        <v>423</v>
      </c>
      <c r="C375" s="1075"/>
      <c r="D375" s="1075"/>
      <c r="E375" s="1075" t="s">
        <v>10337</v>
      </c>
      <c r="F375" s="1076"/>
      <c r="G375" s="1075" t="s">
        <v>9065</v>
      </c>
      <c r="H375" s="1075" t="s">
        <v>9065</v>
      </c>
      <c r="I375" s="1075" t="s">
        <v>5682</v>
      </c>
      <c r="J375" s="1075" t="s">
        <v>12107</v>
      </c>
      <c r="K375" s="1075" t="s">
        <v>15898</v>
      </c>
      <c r="L375" s="1075" t="s">
        <v>5130</v>
      </c>
      <c r="M375" s="1077" t="s">
        <v>5681</v>
      </c>
      <c r="N375" s="1078">
        <v>6512400</v>
      </c>
      <c r="O375" s="1078" t="s">
        <v>985</v>
      </c>
      <c r="P375" s="1078"/>
      <c r="Q375" s="1079"/>
      <c r="V375" s="1084"/>
    </row>
    <row r="376" spans="1:22" s="1082" customFormat="1" ht="24" customHeight="1">
      <c r="A376" s="1075">
        <v>357</v>
      </c>
      <c r="B376" s="1075"/>
      <c r="C376" s="1075"/>
      <c r="D376" s="1075"/>
      <c r="E376" s="1075" t="s">
        <v>10338</v>
      </c>
      <c r="F376" s="1076"/>
      <c r="G376" s="1075" t="s">
        <v>9065</v>
      </c>
      <c r="H376" s="1075" t="s">
        <v>9065</v>
      </c>
      <c r="I376" s="1075" t="s">
        <v>6473</v>
      </c>
      <c r="J376" s="1075"/>
      <c r="K376" s="1075"/>
      <c r="L376" s="1075" t="s">
        <v>9888</v>
      </c>
      <c r="M376" s="1077" t="s">
        <v>6472</v>
      </c>
      <c r="N376" s="1078">
        <v>6512400</v>
      </c>
      <c r="O376" s="1078"/>
      <c r="P376" s="1078"/>
      <c r="Q376" s="1079"/>
      <c r="V376" s="1084"/>
    </row>
    <row r="377" spans="1:22" s="1082" customFormat="1" ht="24" customHeight="1">
      <c r="A377" s="1075">
        <v>358</v>
      </c>
      <c r="B377" s="1075"/>
      <c r="C377" s="1075"/>
      <c r="D377" s="1075"/>
      <c r="E377" s="1075" t="s">
        <v>10339</v>
      </c>
      <c r="F377" s="1076"/>
      <c r="G377" s="1075" t="s">
        <v>9065</v>
      </c>
      <c r="H377" s="1075" t="s">
        <v>9065</v>
      </c>
      <c r="I377" s="1075" t="s">
        <v>6475</v>
      </c>
      <c r="J377" s="1075"/>
      <c r="K377" s="1075"/>
      <c r="L377" s="1075" t="s">
        <v>9888</v>
      </c>
      <c r="M377" s="1077" t="s">
        <v>6474</v>
      </c>
      <c r="N377" s="1078">
        <v>6512400</v>
      </c>
      <c r="O377" s="1078"/>
      <c r="P377" s="1078"/>
      <c r="Q377" s="1080"/>
      <c r="V377" s="1084"/>
    </row>
    <row r="378" spans="1:22" s="1082" customFormat="1" ht="24" customHeight="1">
      <c r="A378" s="1075">
        <v>359</v>
      </c>
      <c r="B378" s="1075"/>
      <c r="C378" s="1075"/>
      <c r="D378" s="1075"/>
      <c r="E378" s="1075" t="s">
        <v>10340</v>
      </c>
      <c r="F378" s="1076"/>
      <c r="G378" s="1075" t="s">
        <v>9065</v>
      </c>
      <c r="H378" s="1075" t="s">
        <v>9065</v>
      </c>
      <c r="I378" s="1075" t="s">
        <v>6477</v>
      </c>
      <c r="J378" s="1075"/>
      <c r="K378" s="1075"/>
      <c r="L378" s="1075" t="s">
        <v>9888</v>
      </c>
      <c r="M378" s="1077" t="s">
        <v>6476</v>
      </c>
      <c r="N378" s="1078">
        <v>6512400</v>
      </c>
      <c r="O378" s="1078"/>
      <c r="P378" s="1078"/>
      <c r="Q378" s="1079"/>
      <c r="V378" s="1084"/>
    </row>
    <row r="379" spans="1:22" s="1082" customFormat="1" ht="24" customHeight="1">
      <c r="A379" s="1075">
        <v>360</v>
      </c>
      <c r="B379" s="1075" t="s">
        <v>1604</v>
      </c>
      <c r="C379" s="1075"/>
      <c r="D379" s="1075"/>
      <c r="E379" s="1075" t="s">
        <v>10341</v>
      </c>
      <c r="F379" s="1076"/>
      <c r="G379" s="1075" t="s">
        <v>9065</v>
      </c>
      <c r="H379" s="1075" t="s">
        <v>9065</v>
      </c>
      <c r="I379" s="1075" t="s">
        <v>5684</v>
      </c>
      <c r="J379" s="1075" t="s">
        <v>12052</v>
      </c>
      <c r="K379" s="1075" t="s">
        <v>12053</v>
      </c>
      <c r="L379" s="1075" t="s">
        <v>5130</v>
      </c>
      <c r="M379" s="1077" t="s">
        <v>5683</v>
      </c>
      <c r="N379" s="1078">
        <v>6512400</v>
      </c>
      <c r="O379" s="1078" t="s">
        <v>375</v>
      </c>
      <c r="P379" s="1078"/>
      <c r="Q379" s="1079"/>
      <c r="V379" s="1084"/>
    </row>
    <row r="380" spans="1:22" s="1082" customFormat="1" ht="24" customHeight="1">
      <c r="A380" s="1075">
        <v>361</v>
      </c>
      <c r="B380" s="1075"/>
      <c r="C380" s="1075"/>
      <c r="D380" s="1075"/>
      <c r="E380" s="1075" t="s">
        <v>10342</v>
      </c>
      <c r="F380" s="1076"/>
      <c r="G380" s="1075" t="s">
        <v>9065</v>
      </c>
      <c r="H380" s="1075" t="s">
        <v>9065</v>
      </c>
      <c r="I380" s="1075" t="s">
        <v>6479</v>
      </c>
      <c r="J380" s="1075"/>
      <c r="K380" s="1075"/>
      <c r="L380" s="1075" t="s">
        <v>9888</v>
      </c>
      <c r="M380" s="1077" t="s">
        <v>6478</v>
      </c>
      <c r="N380" s="1078">
        <v>6512400</v>
      </c>
      <c r="O380" s="1078"/>
      <c r="P380" s="1078"/>
      <c r="Q380" s="1079"/>
      <c r="V380" s="1084"/>
    </row>
    <row r="381" spans="1:22" s="1082" customFormat="1" ht="24" customHeight="1">
      <c r="A381" s="1075">
        <v>362</v>
      </c>
      <c r="B381" s="1075"/>
      <c r="C381" s="1075"/>
      <c r="D381" s="1075"/>
      <c r="E381" s="1075" t="s">
        <v>10344</v>
      </c>
      <c r="F381" s="1076"/>
      <c r="G381" s="1075" t="s">
        <v>9065</v>
      </c>
      <c r="H381" s="1075" t="s">
        <v>9065</v>
      </c>
      <c r="I381" s="1075" t="s">
        <v>6483</v>
      </c>
      <c r="J381" s="1075"/>
      <c r="K381" s="1075"/>
      <c r="L381" s="1075" t="s">
        <v>9888</v>
      </c>
      <c r="M381" s="1077" t="s">
        <v>6482</v>
      </c>
      <c r="N381" s="1078">
        <v>6512400</v>
      </c>
      <c r="O381" s="1078"/>
      <c r="P381" s="1078"/>
      <c r="Q381" s="1079"/>
      <c r="V381" s="1084"/>
    </row>
    <row r="382" spans="1:22" s="1082" customFormat="1" ht="24" customHeight="1">
      <c r="A382" s="1075">
        <v>363</v>
      </c>
      <c r="B382" s="1075"/>
      <c r="C382" s="1075"/>
      <c r="D382" s="1075"/>
      <c r="E382" s="1075" t="s">
        <v>10345</v>
      </c>
      <c r="F382" s="1076"/>
      <c r="G382" s="1075" t="s">
        <v>9065</v>
      </c>
      <c r="H382" s="1075" t="s">
        <v>9065</v>
      </c>
      <c r="I382" s="1075" t="s">
        <v>6485</v>
      </c>
      <c r="J382" s="1075"/>
      <c r="K382" s="1075"/>
      <c r="L382" s="1075" t="s">
        <v>9888</v>
      </c>
      <c r="M382" s="1077" t="s">
        <v>6484</v>
      </c>
      <c r="N382" s="1078">
        <v>6512400</v>
      </c>
      <c r="O382" s="1078"/>
      <c r="P382" s="1078"/>
      <c r="Q382" s="1079"/>
      <c r="V382" s="1084"/>
    </row>
    <row r="383" spans="1:22" s="1082" customFormat="1" ht="24" customHeight="1">
      <c r="A383" s="1075">
        <v>364</v>
      </c>
      <c r="B383" s="1075"/>
      <c r="C383" s="1075"/>
      <c r="D383" s="1075"/>
      <c r="E383" s="1075" t="s">
        <v>10346</v>
      </c>
      <c r="F383" s="1076"/>
      <c r="G383" s="1075" t="s">
        <v>9065</v>
      </c>
      <c r="H383" s="1075" t="s">
        <v>9065</v>
      </c>
      <c r="I383" s="1075" t="s">
        <v>6487</v>
      </c>
      <c r="J383" s="1075"/>
      <c r="K383" s="1075"/>
      <c r="L383" s="1075" t="s">
        <v>9888</v>
      </c>
      <c r="M383" s="1077" t="s">
        <v>6486</v>
      </c>
      <c r="N383" s="1078">
        <v>6512400</v>
      </c>
      <c r="O383" s="1078"/>
      <c r="P383" s="1078"/>
      <c r="Q383" s="1079"/>
      <c r="V383" s="1084"/>
    </row>
    <row r="384" spans="1:22" s="1082" customFormat="1" ht="24" customHeight="1">
      <c r="A384" s="1075">
        <v>365</v>
      </c>
      <c r="B384" s="1075"/>
      <c r="C384" s="1075"/>
      <c r="D384" s="1075"/>
      <c r="E384" s="1075" t="s">
        <v>10348</v>
      </c>
      <c r="F384" s="1076"/>
      <c r="G384" s="1075" t="s">
        <v>9065</v>
      </c>
      <c r="H384" s="1075" t="s">
        <v>9065</v>
      </c>
      <c r="I384" s="1075" t="s">
        <v>5686</v>
      </c>
      <c r="J384" s="1075" t="s">
        <v>15645</v>
      </c>
      <c r="K384" s="1075" t="s">
        <v>15646</v>
      </c>
      <c r="L384" s="1075" t="s">
        <v>5130</v>
      </c>
      <c r="M384" s="1077" t="s">
        <v>5685</v>
      </c>
      <c r="N384" s="1078">
        <v>6512400</v>
      </c>
      <c r="O384" s="1078" t="s">
        <v>375</v>
      </c>
      <c r="P384" s="1078"/>
      <c r="Q384" s="1079"/>
      <c r="V384" s="1084"/>
    </row>
    <row r="385" spans="1:22" s="1082" customFormat="1" ht="24" customHeight="1">
      <c r="A385" s="1075">
        <v>366</v>
      </c>
      <c r="B385" s="1075"/>
      <c r="C385" s="1075"/>
      <c r="D385" s="1075"/>
      <c r="E385" s="1075" t="s">
        <v>10349</v>
      </c>
      <c r="F385" s="1076"/>
      <c r="G385" s="1075" t="s">
        <v>9065</v>
      </c>
      <c r="H385" s="1075" t="s">
        <v>9065</v>
      </c>
      <c r="I385" s="1075" t="s">
        <v>6491</v>
      </c>
      <c r="J385" s="1075"/>
      <c r="K385" s="1075"/>
      <c r="L385" s="1075" t="s">
        <v>9888</v>
      </c>
      <c r="M385" s="1077" t="s">
        <v>6490</v>
      </c>
      <c r="N385" s="1078">
        <v>6512400</v>
      </c>
      <c r="O385" s="1078"/>
      <c r="P385" s="1078"/>
      <c r="Q385" s="1079"/>
      <c r="V385" s="1084"/>
    </row>
    <row r="386" spans="1:22" s="1082" customFormat="1" ht="24" customHeight="1">
      <c r="A386" s="1075">
        <v>367</v>
      </c>
      <c r="B386" s="1075"/>
      <c r="C386" s="1075"/>
      <c r="D386" s="1075"/>
      <c r="E386" s="1075" t="s">
        <v>10350</v>
      </c>
      <c r="F386" s="1076"/>
      <c r="G386" s="1075" t="s">
        <v>9065</v>
      </c>
      <c r="H386" s="1075" t="s">
        <v>9065</v>
      </c>
      <c r="I386" s="1075" t="s">
        <v>6493</v>
      </c>
      <c r="J386" s="1075"/>
      <c r="K386" s="1075"/>
      <c r="L386" s="1075" t="s">
        <v>9888</v>
      </c>
      <c r="M386" s="1077" t="s">
        <v>6492</v>
      </c>
      <c r="N386" s="1078">
        <v>6512400</v>
      </c>
      <c r="O386" s="1078"/>
      <c r="P386" s="1078"/>
      <c r="Q386" s="1079"/>
      <c r="V386" s="1084"/>
    </row>
    <row r="387" spans="1:22" s="1082" customFormat="1" ht="24" customHeight="1">
      <c r="A387" s="1075">
        <v>368</v>
      </c>
      <c r="B387" s="1075"/>
      <c r="C387" s="1075"/>
      <c r="D387" s="1075"/>
      <c r="E387" s="1075" t="s">
        <v>10352</v>
      </c>
      <c r="F387" s="1076"/>
      <c r="G387" s="1075" t="s">
        <v>9065</v>
      </c>
      <c r="H387" s="1075" t="s">
        <v>9065</v>
      </c>
      <c r="I387" s="1075" t="s">
        <v>6497</v>
      </c>
      <c r="J387" s="1075"/>
      <c r="K387" s="1075"/>
      <c r="L387" s="1075" t="s">
        <v>9888</v>
      </c>
      <c r="M387" s="1077" t="s">
        <v>6496</v>
      </c>
      <c r="N387" s="1078">
        <v>6512400</v>
      </c>
      <c r="O387" s="1078"/>
      <c r="P387" s="1078"/>
      <c r="Q387" s="1079"/>
      <c r="V387" s="1084"/>
    </row>
    <row r="388" spans="1:22" s="1082" customFormat="1" ht="24" customHeight="1">
      <c r="A388" s="1075">
        <v>369</v>
      </c>
      <c r="B388" s="1075"/>
      <c r="C388" s="1075"/>
      <c r="D388" s="1075"/>
      <c r="E388" s="1075" t="s">
        <v>10354</v>
      </c>
      <c r="F388" s="1076"/>
      <c r="G388" s="1075" t="s">
        <v>9065</v>
      </c>
      <c r="H388" s="1075" t="s">
        <v>9065</v>
      </c>
      <c r="I388" s="1075" t="s">
        <v>6499</v>
      </c>
      <c r="J388" s="1075"/>
      <c r="K388" s="1075"/>
      <c r="L388" s="1075" t="s">
        <v>9888</v>
      </c>
      <c r="M388" s="1077" t="s">
        <v>6498</v>
      </c>
      <c r="N388" s="1078">
        <v>6512400</v>
      </c>
      <c r="O388" s="1078"/>
      <c r="P388" s="1078"/>
      <c r="Q388" s="1079"/>
      <c r="V388" s="1084"/>
    </row>
    <row r="389" spans="1:22" s="1082" customFormat="1" ht="24" customHeight="1">
      <c r="A389" s="1075">
        <v>370</v>
      </c>
      <c r="B389" s="1075"/>
      <c r="C389" s="1075"/>
      <c r="D389" s="1075"/>
      <c r="E389" s="1075" t="s">
        <v>10355</v>
      </c>
      <c r="F389" s="1076"/>
      <c r="G389" s="1075" t="s">
        <v>9065</v>
      </c>
      <c r="H389" s="1075" t="s">
        <v>9065</v>
      </c>
      <c r="I389" s="1075" t="s">
        <v>6501</v>
      </c>
      <c r="J389" s="1075"/>
      <c r="K389" s="1075"/>
      <c r="L389" s="1075" t="s">
        <v>9888</v>
      </c>
      <c r="M389" s="1077" t="s">
        <v>6500</v>
      </c>
      <c r="N389" s="1078">
        <v>6512400</v>
      </c>
      <c r="O389" s="1078"/>
      <c r="P389" s="1078"/>
      <c r="Q389" s="1079"/>
      <c r="V389" s="1084"/>
    </row>
    <row r="390" spans="1:22" s="1082" customFormat="1" ht="24" customHeight="1">
      <c r="A390" s="1075">
        <v>371</v>
      </c>
      <c r="B390" s="1075"/>
      <c r="C390" s="1075"/>
      <c r="D390" s="1075"/>
      <c r="E390" s="1075" t="s">
        <v>10356</v>
      </c>
      <c r="F390" s="1076"/>
      <c r="G390" s="1075" t="s">
        <v>9065</v>
      </c>
      <c r="H390" s="1075" t="s">
        <v>9065</v>
      </c>
      <c r="I390" s="1075" t="s">
        <v>6503</v>
      </c>
      <c r="J390" s="1075"/>
      <c r="K390" s="1075"/>
      <c r="L390" s="1075" t="s">
        <v>9888</v>
      </c>
      <c r="M390" s="1077" t="s">
        <v>6502</v>
      </c>
      <c r="N390" s="1078">
        <v>6512400</v>
      </c>
      <c r="O390" s="1078"/>
      <c r="P390" s="1078"/>
      <c r="Q390" s="1079"/>
      <c r="V390" s="1084"/>
    </row>
    <row r="391" spans="1:22" s="1082" customFormat="1" ht="24" customHeight="1">
      <c r="A391" s="1075">
        <v>372</v>
      </c>
      <c r="B391" s="1075"/>
      <c r="C391" s="1075"/>
      <c r="D391" s="1075"/>
      <c r="E391" s="1075" t="s">
        <v>10357</v>
      </c>
      <c r="F391" s="1076"/>
      <c r="G391" s="1075" t="s">
        <v>9065</v>
      </c>
      <c r="H391" s="1075" t="s">
        <v>9065</v>
      </c>
      <c r="I391" s="1075" t="s">
        <v>6505</v>
      </c>
      <c r="J391" s="1075"/>
      <c r="K391" s="1075"/>
      <c r="L391" s="1075" t="s">
        <v>9888</v>
      </c>
      <c r="M391" s="1077" t="s">
        <v>6504</v>
      </c>
      <c r="N391" s="1078">
        <v>6512400</v>
      </c>
      <c r="O391" s="1078"/>
      <c r="P391" s="1078"/>
      <c r="Q391" s="1079"/>
      <c r="V391" s="1084"/>
    </row>
    <row r="392" spans="1:22" s="1133" customFormat="1" ht="24" customHeight="1">
      <c r="A392" s="1075">
        <v>373</v>
      </c>
      <c r="B392" s="1128" t="s">
        <v>2592</v>
      </c>
      <c r="C392" s="1128"/>
      <c r="D392" s="1128"/>
      <c r="E392" s="1128" t="s">
        <v>10358</v>
      </c>
      <c r="F392" s="1129"/>
      <c r="G392" s="1128" t="s">
        <v>9065</v>
      </c>
      <c r="H392" s="1128" t="s">
        <v>9065</v>
      </c>
      <c r="I392" s="1128" t="s">
        <v>5690</v>
      </c>
      <c r="J392" s="1128"/>
      <c r="K392" s="1128" t="s">
        <v>15899</v>
      </c>
      <c r="L392" s="1128" t="s">
        <v>5130</v>
      </c>
      <c r="M392" s="1130" t="s">
        <v>5689</v>
      </c>
      <c r="N392" s="1131">
        <v>6512400</v>
      </c>
      <c r="O392" s="1131"/>
      <c r="P392" s="1131" t="s">
        <v>16146</v>
      </c>
      <c r="Q392" s="1132" t="s">
        <v>16206</v>
      </c>
      <c r="V392" s="1134"/>
    </row>
    <row r="393" spans="1:22" s="1082" customFormat="1" ht="24" customHeight="1">
      <c r="A393" s="1075">
        <v>374</v>
      </c>
      <c r="B393" s="1075"/>
      <c r="C393" s="1075"/>
      <c r="D393" s="1075"/>
      <c r="E393" s="1075" t="s">
        <v>10360</v>
      </c>
      <c r="F393" s="1076"/>
      <c r="G393" s="1075" t="s">
        <v>9065</v>
      </c>
      <c r="H393" s="1075" t="s">
        <v>9065</v>
      </c>
      <c r="I393" s="1075" t="s">
        <v>6509</v>
      </c>
      <c r="J393" s="1075"/>
      <c r="K393" s="1075"/>
      <c r="L393" s="1075" t="s">
        <v>9888</v>
      </c>
      <c r="M393" s="1077" t="s">
        <v>6508</v>
      </c>
      <c r="N393" s="1078">
        <v>6512400</v>
      </c>
      <c r="O393" s="1078"/>
      <c r="P393" s="1078"/>
      <c r="Q393" s="1079"/>
      <c r="V393" s="1084"/>
    </row>
    <row r="394" spans="1:22" s="1082" customFormat="1" ht="24" customHeight="1">
      <c r="A394" s="1075">
        <v>375</v>
      </c>
      <c r="B394" s="1075" t="s">
        <v>423</v>
      </c>
      <c r="C394" s="1075"/>
      <c r="D394" s="1075"/>
      <c r="E394" s="1075" t="s">
        <v>10361</v>
      </c>
      <c r="F394" s="1076"/>
      <c r="G394" s="1075" t="s">
        <v>9065</v>
      </c>
      <c r="H394" s="1075" t="s">
        <v>9065</v>
      </c>
      <c r="I394" s="1075" t="s">
        <v>5692</v>
      </c>
      <c r="J394" s="1075" t="s">
        <v>1424</v>
      </c>
      <c r="K394" s="1075" t="s">
        <v>1423</v>
      </c>
      <c r="L394" s="1075" t="s">
        <v>5130</v>
      </c>
      <c r="M394" s="1077" t="s">
        <v>5691</v>
      </c>
      <c r="N394" s="1078">
        <v>6512400</v>
      </c>
      <c r="O394" s="1078" t="s">
        <v>375</v>
      </c>
      <c r="P394" s="1078"/>
      <c r="Q394" s="1079"/>
      <c r="V394" s="1084"/>
    </row>
    <row r="395" spans="1:22" s="1082" customFormat="1" ht="24" customHeight="1">
      <c r="A395" s="1075">
        <v>376</v>
      </c>
      <c r="B395" s="1075"/>
      <c r="C395" s="1075"/>
      <c r="D395" s="1075"/>
      <c r="E395" s="1075" t="s">
        <v>10362</v>
      </c>
      <c r="F395" s="1076"/>
      <c r="G395" s="1075" t="s">
        <v>9065</v>
      </c>
      <c r="H395" s="1075" t="s">
        <v>9065</v>
      </c>
      <c r="I395" s="1075" t="s">
        <v>6511</v>
      </c>
      <c r="J395" s="1075"/>
      <c r="K395" s="1075"/>
      <c r="L395" s="1075" t="s">
        <v>9888</v>
      </c>
      <c r="M395" s="1077" t="s">
        <v>6510</v>
      </c>
      <c r="N395" s="1078">
        <v>6512400</v>
      </c>
      <c r="O395" s="1078"/>
      <c r="P395" s="1078"/>
      <c r="Q395" s="1079"/>
      <c r="V395" s="1084"/>
    </row>
    <row r="396" spans="1:22" s="1082" customFormat="1" ht="24" customHeight="1">
      <c r="A396" s="1075">
        <v>377</v>
      </c>
      <c r="B396" s="1075"/>
      <c r="C396" s="1075"/>
      <c r="D396" s="1075"/>
      <c r="E396" s="1075" t="s">
        <v>10363</v>
      </c>
      <c r="F396" s="1076"/>
      <c r="G396" s="1075" t="s">
        <v>9065</v>
      </c>
      <c r="H396" s="1075" t="s">
        <v>9065</v>
      </c>
      <c r="I396" s="1075" t="s">
        <v>6513</v>
      </c>
      <c r="J396" s="1075"/>
      <c r="K396" s="1075"/>
      <c r="L396" s="1075" t="s">
        <v>9888</v>
      </c>
      <c r="M396" s="1077" t="s">
        <v>6512</v>
      </c>
      <c r="N396" s="1078">
        <v>6512400</v>
      </c>
      <c r="O396" s="1078"/>
      <c r="P396" s="1078"/>
      <c r="Q396" s="1079"/>
      <c r="V396" s="1084"/>
    </row>
    <row r="397" spans="1:22" s="1082" customFormat="1" ht="24" customHeight="1">
      <c r="A397" s="1075">
        <v>378</v>
      </c>
      <c r="B397" s="1075"/>
      <c r="C397" s="1075"/>
      <c r="D397" s="1075"/>
      <c r="E397" s="1075" t="s">
        <v>10364</v>
      </c>
      <c r="F397" s="1076"/>
      <c r="G397" s="1075" t="s">
        <v>9065</v>
      </c>
      <c r="H397" s="1075" t="s">
        <v>9065</v>
      </c>
      <c r="I397" s="1075" t="s">
        <v>6515</v>
      </c>
      <c r="J397" s="1075"/>
      <c r="K397" s="1075"/>
      <c r="L397" s="1075" t="s">
        <v>9888</v>
      </c>
      <c r="M397" s="1077" t="s">
        <v>6514</v>
      </c>
      <c r="N397" s="1078">
        <v>6512400</v>
      </c>
      <c r="O397" s="1078"/>
      <c r="P397" s="1078"/>
      <c r="Q397" s="1079"/>
      <c r="V397" s="1084"/>
    </row>
    <row r="398" spans="1:22" s="1082" customFormat="1" ht="24" customHeight="1">
      <c r="A398" s="1075">
        <v>379</v>
      </c>
      <c r="B398" s="1075"/>
      <c r="C398" s="1075"/>
      <c r="D398" s="1075"/>
      <c r="E398" s="1075" t="s">
        <v>10365</v>
      </c>
      <c r="F398" s="1076"/>
      <c r="G398" s="1075" t="s">
        <v>9065</v>
      </c>
      <c r="H398" s="1075" t="s">
        <v>9065</v>
      </c>
      <c r="I398" s="1075" t="s">
        <v>6517</v>
      </c>
      <c r="J398" s="1075"/>
      <c r="K398" s="1075"/>
      <c r="L398" s="1075" t="s">
        <v>9888</v>
      </c>
      <c r="M398" s="1077" t="s">
        <v>6516</v>
      </c>
      <c r="N398" s="1078">
        <v>6512400</v>
      </c>
      <c r="O398" s="1078"/>
      <c r="P398" s="1078"/>
      <c r="Q398" s="1079"/>
      <c r="V398" s="1084"/>
    </row>
    <row r="399" spans="1:22" s="1082" customFormat="1" ht="24" customHeight="1">
      <c r="A399" s="1075">
        <v>380</v>
      </c>
      <c r="B399" s="1075"/>
      <c r="C399" s="1075"/>
      <c r="D399" s="1075"/>
      <c r="E399" s="1075" t="s">
        <v>10366</v>
      </c>
      <c r="F399" s="1076"/>
      <c r="G399" s="1075" t="s">
        <v>9065</v>
      </c>
      <c r="H399" s="1075" t="s">
        <v>9065</v>
      </c>
      <c r="I399" s="1075" t="s">
        <v>6519</v>
      </c>
      <c r="J399" s="1075"/>
      <c r="K399" s="1075"/>
      <c r="L399" s="1075" t="s">
        <v>9888</v>
      </c>
      <c r="M399" s="1077" t="s">
        <v>6518</v>
      </c>
      <c r="N399" s="1078">
        <v>6512400</v>
      </c>
      <c r="O399" s="1078"/>
      <c r="P399" s="1078"/>
      <c r="Q399" s="1079"/>
      <c r="V399" s="1084"/>
    </row>
    <row r="400" spans="1:22" s="1082" customFormat="1" ht="24" customHeight="1">
      <c r="A400" s="1075">
        <v>381</v>
      </c>
      <c r="B400" s="1075"/>
      <c r="C400" s="1075"/>
      <c r="D400" s="1075"/>
      <c r="E400" s="1075" t="s">
        <v>10367</v>
      </c>
      <c r="F400" s="1076"/>
      <c r="G400" s="1075" t="s">
        <v>9065</v>
      </c>
      <c r="H400" s="1075" t="s">
        <v>9065</v>
      </c>
      <c r="I400" s="1075" t="s">
        <v>6521</v>
      </c>
      <c r="J400" s="1075"/>
      <c r="K400" s="1075"/>
      <c r="L400" s="1075" t="s">
        <v>9888</v>
      </c>
      <c r="M400" s="1077" t="s">
        <v>6520</v>
      </c>
      <c r="N400" s="1078">
        <v>6512400</v>
      </c>
      <c r="O400" s="1078"/>
      <c r="P400" s="1078"/>
      <c r="Q400" s="1079"/>
      <c r="V400" s="1084"/>
    </row>
    <row r="401" spans="1:22" s="1082" customFormat="1" ht="24" customHeight="1">
      <c r="A401" s="1075">
        <v>382</v>
      </c>
      <c r="B401" s="1075"/>
      <c r="C401" s="1075"/>
      <c r="D401" s="1075"/>
      <c r="E401" s="1075" t="s">
        <v>15900</v>
      </c>
      <c r="F401" s="1076"/>
      <c r="G401" s="1075" t="s">
        <v>9065</v>
      </c>
      <c r="H401" s="1075" t="s">
        <v>9065</v>
      </c>
      <c r="I401" s="1075" t="s">
        <v>5694</v>
      </c>
      <c r="J401" s="1075"/>
      <c r="K401" s="1075"/>
      <c r="L401" s="1075" t="s">
        <v>9888</v>
      </c>
      <c r="M401" s="1077" t="s">
        <v>5693</v>
      </c>
      <c r="N401" s="1078">
        <v>6512400</v>
      </c>
      <c r="O401" s="1078"/>
      <c r="P401" s="1078"/>
      <c r="Q401" s="1079"/>
      <c r="V401" s="1084"/>
    </row>
    <row r="402" spans="1:22" s="1082" customFormat="1" ht="24" customHeight="1">
      <c r="A402" s="1075">
        <v>383</v>
      </c>
      <c r="B402" s="1075"/>
      <c r="C402" s="1075"/>
      <c r="D402" s="1075"/>
      <c r="E402" s="1075" t="s">
        <v>10370</v>
      </c>
      <c r="F402" s="1076"/>
      <c r="G402" s="1075" t="s">
        <v>9065</v>
      </c>
      <c r="H402" s="1075" t="s">
        <v>9065</v>
      </c>
      <c r="I402" s="1075" t="s">
        <v>6526</v>
      </c>
      <c r="J402" s="1075"/>
      <c r="K402" s="1075"/>
      <c r="L402" s="1075" t="s">
        <v>9888</v>
      </c>
      <c r="M402" s="1077" t="s">
        <v>6525</v>
      </c>
      <c r="N402" s="1078">
        <v>6512400</v>
      </c>
      <c r="O402" s="1078"/>
      <c r="P402" s="1078"/>
      <c r="Q402" s="1079"/>
      <c r="V402" s="1084"/>
    </row>
    <row r="403" spans="1:22" s="1082" customFormat="1" ht="24" customHeight="1">
      <c r="A403" s="1075">
        <v>384</v>
      </c>
      <c r="B403" s="1075"/>
      <c r="C403" s="1075"/>
      <c r="D403" s="1075"/>
      <c r="E403" s="1075" t="s">
        <v>10371</v>
      </c>
      <c r="F403" s="1076"/>
      <c r="G403" s="1075" t="s">
        <v>9065</v>
      </c>
      <c r="H403" s="1075" t="s">
        <v>9065</v>
      </c>
      <c r="I403" s="1075" t="s">
        <v>6528</v>
      </c>
      <c r="J403" s="1075"/>
      <c r="K403" s="1075"/>
      <c r="L403" s="1075" t="s">
        <v>9888</v>
      </c>
      <c r="M403" s="1077" t="s">
        <v>6527</v>
      </c>
      <c r="N403" s="1078">
        <v>6512400</v>
      </c>
      <c r="O403" s="1078"/>
      <c r="P403" s="1078"/>
      <c r="Q403" s="1079"/>
      <c r="V403" s="1084"/>
    </row>
    <row r="404" spans="1:22" s="1082" customFormat="1" ht="24" customHeight="1">
      <c r="A404" s="1075">
        <v>385</v>
      </c>
      <c r="B404" s="1075"/>
      <c r="C404" s="1075"/>
      <c r="D404" s="1075"/>
      <c r="E404" s="1075" t="s">
        <v>10372</v>
      </c>
      <c r="F404" s="1076"/>
      <c r="G404" s="1075" t="s">
        <v>9065</v>
      </c>
      <c r="H404" s="1075" t="s">
        <v>9065</v>
      </c>
      <c r="I404" s="1075" t="s">
        <v>6530</v>
      </c>
      <c r="J404" s="1075"/>
      <c r="K404" s="1075"/>
      <c r="L404" s="1075" t="s">
        <v>9888</v>
      </c>
      <c r="M404" s="1077" t="s">
        <v>6529</v>
      </c>
      <c r="N404" s="1078">
        <v>6512400</v>
      </c>
      <c r="O404" s="1078"/>
      <c r="P404" s="1078"/>
      <c r="Q404" s="1079"/>
      <c r="V404" s="1084"/>
    </row>
    <row r="405" spans="1:22" s="1082" customFormat="1" ht="24" customHeight="1">
      <c r="A405" s="1075">
        <v>386</v>
      </c>
      <c r="B405" s="1075"/>
      <c r="C405" s="1075"/>
      <c r="D405" s="1075"/>
      <c r="E405" s="1075" t="s">
        <v>10373</v>
      </c>
      <c r="F405" s="1076"/>
      <c r="G405" s="1075" t="s">
        <v>9065</v>
      </c>
      <c r="H405" s="1075" t="s">
        <v>9065</v>
      </c>
      <c r="I405" s="1075" t="s">
        <v>6533</v>
      </c>
      <c r="J405" s="1075"/>
      <c r="K405" s="1075"/>
      <c r="L405" s="1075" t="s">
        <v>9888</v>
      </c>
      <c r="M405" s="1077" t="s">
        <v>6532</v>
      </c>
      <c r="N405" s="1078">
        <v>6512400</v>
      </c>
      <c r="O405" s="1078"/>
      <c r="P405" s="1078"/>
      <c r="Q405" s="1079"/>
      <c r="V405" s="1084"/>
    </row>
    <row r="406" spans="1:22" s="1082" customFormat="1" ht="24" customHeight="1">
      <c r="A406" s="1075">
        <v>387</v>
      </c>
      <c r="B406" s="1075"/>
      <c r="C406" s="1075"/>
      <c r="D406" s="1075"/>
      <c r="E406" s="1075" t="s">
        <v>10374</v>
      </c>
      <c r="F406" s="1076"/>
      <c r="G406" s="1075" t="s">
        <v>9065</v>
      </c>
      <c r="H406" s="1075" t="s">
        <v>9065</v>
      </c>
      <c r="I406" s="1075" t="s">
        <v>6535</v>
      </c>
      <c r="J406" s="1075"/>
      <c r="K406" s="1075"/>
      <c r="L406" s="1075" t="s">
        <v>9888</v>
      </c>
      <c r="M406" s="1077" t="s">
        <v>6534</v>
      </c>
      <c r="N406" s="1078">
        <v>6512400</v>
      </c>
      <c r="O406" s="1078"/>
      <c r="P406" s="1078"/>
      <c r="Q406" s="1079"/>
      <c r="V406" s="1084"/>
    </row>
    <row r="407" spans="1:22" s="1082" customFormat="1" ht="24" customHeight="1">
      <c r="A407" s="1075">
        <v>388</v>
      </c>
      <c r="B407" s="1075"/>
      <c r="C407" s="1075"/>
      <c r="D407" s="1075"/>
      <c r="E407" s="1075" t="s">
        <v>10376</v>
      </c>
      <c r="F407" s="1076"/>
      <c r="G407" s="1075" t="s">
        <v>9065</v>
      </c>
      <c r="H407" s="1075" t="s">
        <v>9065</v>
      </c>
      <c r="I407" s="1075" t="s">
        <v>6539</v>
      </c>
      <c r="J407" s="1075"/>
      <c r="K407" s="1075"/>
      <c r="L407" s="1075" t="s">
        <v>9888</v>
      </c>
      <c r="M407" s="1077" t="s">
        <v>6538</v>
      </c>
      <c r="N407" s="1078">
        <v>6512400</v>
      </c>
      <c r="O407" s="1078"/>
      <c r="P407" s="1078"/>
      <c r="Q407" s="1079"/>
      <c r="V407" s="1084"/>
    </row>
    <row r="408" spans="1:22" s="1082" customFormat="1" ht="24" customHeight="1">
      <c r="A408" s="1075">
        <v>389</v>
      </c>
      <c r="B408" s="1075"/>
      <c r="C408" s="1075"/>
      <c r="D408" s="1075"/>
      <c r="E408" s="1075" t="s">
        <v>10377</v>
      </c>
      <c r="F408" s="1076"/>
      <c r="G408" s="1075" t="s">
        <v>9065</v>
      </c>
      <c r="H408" s="1075" t="s">
        <v>9065</v>
      </c>
      <c r="I408" s="1075" t="s">
        <v>6541</v>
      </c>
      <c r="J408" s="1075"/>
      <c r="K408" s="1075"/>
      <c r="L408" s="1075" t="s">
        <v>9888</v>
      </c>
      <c r="M408" s="1077" t="s">
        <v>6540</v>
      </c>
      <c r="N408" s="1078">
        <v>6512400</v>
      </c>
      <c r="O408" s="1078"/>
      <c r="P408" s="1078"/>
      <c r="Q408" s="1079"/>
      <c r="V408" s="1084"/>
    </row>
    <row r="409" spans="1:22" s="1082" customFormat="1" ht="24" customHeight="1">
      <c r="A409" s="1075">
        <v>390</v>
      </c>
      <c r="B409" s="1075" t="s">
        <v>423</v>
      </c>
      <c r="C409" s="1075"/>
      <c r="D409" s="1075"/>
      <c r="E409" s="1075" t="s">
        <v>10378</v>
      </c>
      <c r="F409" s="1076"/>
      <c r="G409" s="1075" t="s">
        <v>9065</v>
      </c>
      <c r="H409" s="1075" t="s">
        <v>9065</v>
      </c>
      <c r="I409" s="1075" t="s">
        <v>5696</v>
      </c>
      <c r="J409" s="1075" t="s">
        <v>1119</v>
      </c>
      <c r="K409" s="1075" t="s">
        <v>1118</v>
      </c>
      <c r="L409" s="1075" t="s">
        <v>5130</v>
      </c>
      <c r="M409" s="1077" t="s">
        <v>5695</v>
      </c>
      <c r="N409" s="1078">
        <v>6512400</v>
      </c>
      <c r="O409" s="1078" t="s">
        <v>375</v>
      </c>
      <c r="P409" s="1078"/>
      <c r="Q409" s="1079"/>
      <c r="V409" s="1084"/>
    </row>
    <row r="410" spans="1:22" s="1082" customFormat="1" ht="24" customHeight="1">
      <c r="A410" s="1075">
        <v>391</v>
      </c>
      <c r="B410" s="1075"/>
      <c r="C410" s="1075"/>
      <c r="D410" s="1075"/>
      <c r="E410" s="1075" t="s">
        <v>10379</v>
      </c>
      <c r="F410" s="1076"/>
      <c r="G410" s="1075" t="s">
        <v>9065</v>
      </c>
      <c r="H410" s="1075" t="s">
        <v>9065</v>
      </c>
      <c r="I410" s="1075" t="s">
        <v>6543</v>
      </c>
      <c r="J410" s="1075"/>
      <c r="K410" s="1075"/>
      <c r="L410" s="1075" t="s">
        <v>9888</v>
      </c>
      <c r="M410" s="1077" t="s">
        <v>6542</v>
      </c>
      <c r="N410" s="1078">
        <v>6512400</v>
      </c>
      <c r="O410" s="1078"/>
      <c r="P410" s="1078"/>
      <c r="Q410" s="1079"/>
      <c r="V410" s="1084"/>
    </row>
    <row r="411" spans="1:22" s="1082" customFormat="1" ht="24" customHeight="1">
      <c r="A411" s="1075">
        <v>392</v>
      </c>
      <c r="B411" s="1075"/>
      <c r="C411" s="1075"/>
      <c r="D411" s="1075"/>
      <c r="E411" s="1075" t="s">
        <v>10380</v>
      </c>
      <c r="F411" s="1076"/>
      <c r="G411" s="1075" t="s">
        <v>9065</v>
      </c>
      <c r="H411" s="1075" t="s">
        <v>9065</v>
      </c>
      <c r="I411" s="1075" t="s">
        <v>6545</v>
      </c>
      <c r="J411" s="1075"/>
      <c r="K411" s="1075"/>
      <c r="L411" s="1075" t="s">
        <v>9888</v>
      </c>
      <c r="M411" s="1077" t="s">
        <v>6544</v>
      </c>
      <c r="N411" s="1078">
        <v>6512400</v>
      </c>
      <c r="O411" s="1078"/>
      <c r="P411" s="1078"/>
      <c r="Q411" s="1079"/>
      <c r="V411" s="1084"/>
    </row>
    <row r="412" spans="1:22" s="1082" customFormat="1" ht="24" customHeight="1">
      <c r="A412" s="1075">
        <v>393</v>
      </c>
      <c r="B412" s="1075"/>
      <c r="C412" s="1075"/>
      <c r="D412" s="1075"/>
      <c r="E412" s="1075" t="s">
        <v>10381</v>
      </c>
      <c r="F412" s="1076"/>
      <c r="G412" s="1075" t="s">
        <v>9065</v>
      </c>
      <c r="H412" s="1075" t="s">
        <v>9065</v>
      </c>
      <c r="I412" s="1075" t="s">
        <v>6547</v>
      </c>
      <c r="J412" s="1075"/>
      <c r="K412" s="1075"/>
      <c r="L412" s="1075" t="s">
        <v>9888</v>
      </c>
      <c r="M412" s="1077" t="s">
        <v>6546</v>
      </c>
      <c r="N412" s="1078">
        <v>6512400</v>
      </c>
      <c r="O412" s="1078"/>
      <c r="P412" s="1078"/>
      <c r="Q412" s="1079"/>
      <c r="V412" s="1084"/>
    </row>
    <row r="413" spans="1:22" s="1082" customFormat="1" ht="24" customHeight="1">
      <c r="A413" s="1075">
        <v>394</v>
      </c>
      <c r="B413" s="1075"/>
      <c r="C413" s="1075"/>
      <c r="D413" s="1075"/>
      <c r="E413" s="1075" t="s">
        <v>10383</v>
      </c>
      <c r="F413" s="1076"/>
      <c r="G413" s="1075" t="s">
        <v>9065</v>
      </c>
      <c r="H413" s="1075" t="s">
        <v>9065</v>
      </c>
      <c r="I413" s="1075" t="s">
        <v>6551</v>
      </c>
      <c r="J413" s="1075"/>
      <c r="K413" s="1075"/>
      <c r="L413" s="1075" t="s">
        <v>9888</v>
      </c>
      <c r="M413" s="1077" t="s">
        <v>6550</v>
      </c>
      <c r="N413" s="1078">
        <v>6512400</v>
      </c>
      <c r="O413" s="1078"/>
      <c r="P413" s="1078"/>
      <c r="Q413" s="1079"/>
      <c r="V413" s="1084"/>
    </row>
    <row r="414" spans="1:22" s="1082" customFormat="1" ht="24" customHeight="1">
      <c r="A414" s="1075">
        <v>395</v>
      </c>
      <c r="B414" s="1075"/>
      <c r="C414" s="1075"/>
      <c r="D414" s="1075"/>
      <c r="E414" s="1075" t="s">
        <v>10384</v>
      </c>
      <c r="F414" s="1076"/>
      <c r="G414" s="1075" t="s">
        <v>9065</v>
      </c>
      <c r="H414" s="1075" t="s">
        <v>9065</v>
      </c>
      <c r="I414" s="1075" t="s">
        <v>6553</v>
      </c>
      <c r="J414" s="1075"/>
      <c r="K414" s="1075"/>
      <c r="L414" s="1075" t="s">
        <v>9888</v>
      </c>
      <c r="M414" s="1077" t="s">
        <v>6552</v>
      </c>
      <c r="N414" s="1078">
        <v>6512400</v>
      </c>
      <c r="O414" s="1078"/>
      <c r="P414" s="1078"/>
      <c r="Q414" s="1079"/>
      <c r="V414" s="1084"/>
    </row>
    <row r="415" spans="1:22" s="1082" customFormat="1" ht="24" customHeight="1">
      <c r="A415" s="1075">
        <v>396</v>
      </c>
      <c r="B415" s="1075" t="s">
        <v>423</v>
      </c>
      <c r="C415" s="1075"/>
      <c r="D415" s="1075"/>
      <c r="E415" s="1075" t="s">
        <v>10386</v>
      </c>
      <c r="F415" s="1076"/>
      <c r="G415" s="1075" t="s">
        <v>9065</v>
      </c>
      <c r="H415" s="1075" t="s">
        <v>9065</v>
      </c>
      <c r="I415" s="1075" t="s">
        <v>5698</v>
      </c>
      <c r="J415" s="1075" t="s">
        <v>15901</v>
      </c>
      <c r="K415" s="1075" t="s">
        <v>15554</v>
      </c>
      <c r="L415" s="1075" t="s">
        <v>5130</v>
      </c>
      <c r="M415" s="1077" t="s">
        <v>5697</v>
      </c>
      <c r="N415" s="1078">
        <v>6512400</v>
      </c>
      <c r="O415" s="1078" t="s">
        <v>375</v>
      </c>
      <c r="P415" s="1078"/>
      <c r="Q415" s="1079"/>
      <c r="V415" s="1084"/>
    </row>
    <row r="416" spans="1:22" s="1082" customFormat="1" ht="24" customHeight="1">
      <c r="A416" s="1075">
        <v>397</v>
      </c>
      <c r="B416" s="1075"/>
      <c r="C416" s="1075"/>
      <c r="D416" s="1075"/>
      <c r="E416" s="1075" t="s">
        <v>10387</v>
      </c>
      <c r="F416" s="1076"/>
      <c r="G416" s="1075" t="s">
        <v>9065</v>
      </c>
      <c r="H416" s="1075" t="s">
        <v>9065</v>
      </c>
      <c r="I416" s="1075" t="s">
        <v>6558</v>
      </c>
      <c r="J416" s="1075"/>
      <c r="K416" s="1075"/>
      <c r="L416" s="1075" t="s">
        <v>9888</v>
      </c>
      <c r="M416" s="1077" t="s">
        <v>6557</v>
      </c>
      <c r="N416" s="1078">
        <v>6512400</v>
      </c>
      <c r="O416" s="1078"/>
      <c r="P416" s="1078"/>
      <c r="Q416" s="1079"/>
      <c r="V416" s="1084"/>
    </row>
    <row r="417" spans="1:22" s="1082" customFormat="1" ht="24" customHeight="1">
      <c r="A417" s="1075">
        <v>398</v>
      </c>
      <c r="B417" s="1075"/>
      <c r="C417" s="1075"/>
      <c r="D417" s="1075"/>
      <c r="E417" s="1075" t="s">
        <v>10388</v>
      </c>
      <c r="F417" s="1076"/>
      <c r="G417" s="1075" t="s">
        <v>9065</v>
      </c>
      <c r="H417" s="1075" t="s">
        <v>9065</v>
      </c>
      <c r="I417" s="1075" t="s">
        <v>5700</v>
      </c>
      <c r="J417" s="1075" t="s">
        <v>15647</v>
      </c>
      <c r="K417" s="1075" t="s">
        <v>15648</v>
      </c>
      <c r="L417" s="1075" t="s">
        <v>5130</v>
      </c>
      <c r="M417" s="1077" t="s">
        <v>5699</v>
      </c>
      <c r="N417" s="1078">
        <v>6512400</v>
      </c>
      <c r="O417" s="1078" t="s">
        <v>375</v>
      </c>
      <c r="P417" s="1078"/>
      <c r="Q417" s="1079"/>
      <c r="V417" s="1084"/>
    </row>
    <row r="418" spans="1:22" s="1082" customFormat="1" ht="24" customHeight="1">
      <c r="A418" s="1075">
        <v>399</v>
      </c>
      <c r="B418" s="1075"/>
      <c r="C418" s="1075"/>
      <c r="D418" s="1075"/>
      <c r="E418" s="1075" t="s">
        <v>10389</v>
      </c>
      <c r="F418" s="1076"/>
      <c r="G418" s="1075" t="s">
        <v>9065</v>
      </c>
      <c r="H418" s="1075" t="s">
        <v>9065</v>
      </c>
      <c r="I418" s="1075" t="s">
        <v>6560</v>
      </c>
      <c r="J418" s="1075"/>
      <c r="K418" s="1075"/>
      <c r="L418" s="1075" t="s">
        <v>9888</v>
      </c>
      <c r="M418" s="1077" t="s">
        <v>6559</v>
      </c>
      <c r="N418" s="1078">
        <v>6512400</v>
      </c>
      <c r="O418" s="1078"/>
      <c r="P418" s="1078"/>
      <c r="Q418" s="1079"/>
      <c r="V418" s="1084"/>
    </row>
    <row r="419" spans="1:22" s="1082" customFormat="1" ht="24" customHeight="1">
      <c r="A419" s="1075">
        <v>400</v>
      </c>
      <c r="B419" s="1075"/>
      <c r="C419" s="1075"/>
      <c r="D419" s="1075"/>
      <c r="E419" s="1075" t="s">
        <v>10390</v>
      </c>
      <c r="F419" s="1076"/>
      <c r="G419" s="1075" t="s">
        <v>9065</v>
      </c>
      <c r="H419" s="1075" t="s">
        <v>9065</v>
      </c>
      <c r="I419" s="1075" t="s">
        <v>6562</v>
      </c>
      <c r="J419" s="1075"/>
      <c r="K419" s="1075"/>
      <c r="L419" s="1075" t="s">
        <v>9888</v>
      </c>
      <c r="M419" s="1077" t="s">
        <v>6561</v>
      </c>
      <c r="N419" s="1078">
        <v>6512400</v>
      </c>
      <c r="O419" s="1078"/>
      <c r="P419" s="1078"/>
      <c r="Q419" s="1079"/>
      <c r="V419" s="1084"/>
    </row>
    <row r="420" spans="1:22" s="1082" customFormat="1" ht="24" customHeight="1">
      <c r="A420" s="1075">
        <v>401</v>
      </c>
      <c r="B420" s="1075"/>
      <c r="C420" s="1075"/>
      <c r="D420" s="1075"/>
      <c r="E420" s="1075" t="s">
        <v>10391</v>
      </c>
      <c r="F420" s="1076"/>
      <c r="G420" s="1075" t="s">
        <v>9065</v>
      </c>
      <c r="H420" s="1075" t="s">
        <v>9065</v>
      </c>
      <c r="I420" s="1075" t="s">
        <v>6564</v>
      </c>
      <c r="J420" s="1075"/>
      <c r="K420" s="1075"/>
      <c r="L420" s="1075" t="s">
        <v>9888</v>
      </c>
      <c r="M420" s="1077" t="s">
        <v>6563</v>
      </c>
      <c r="N420" s="1078">
        <v>6512400</v>
      </c>
      <c r="O420" s="1078"/>
      <c r="P420" s="1078"/>
      <c r="Q420" s="1079"/>
      <c r="V420" s="1084"/>
    </row>
    <row r="421" spans="1:22" s="1082" customFormat="1" ht="24" customHeight="1">
      <c r="A421" s="1075">
        <v>402</v>
      </c>
      <c r="B421" s="1075"/>
      <c r="C421" s="1075"/>
      <c r="D421" s="1075"/>
      <c r="E421" s="1075" t="s">
        <v>10392</v>
      </c>
      <c r="F421" s="1076"/>
      <c r="G421" s="1075" t="s">
        <v>9065</v>
      </c>
      <c r="H421" s="1075" t="s">
        <v>9065</v>
      </c>
      <c r="I421" s="1075" t="s">
        <v>6566</v>
      </c>
      <c r="J421" s="1075"/>
      <c r="K421" s="1075"/>
      <c r="L421" s="1075" t="s">
        <v>9888</v>
      </c>
      <c r="M421" s="1077" t="s">
        <v>6565</v>
      </c>
      <c r="N421" s="1078">
        <v>6512400</v>
      </c>
      <c r="O421" s="1078"/>
      <c r="P421" s="1078"/>
      <c r="Q421" s="1079"/>
      <c r="V421" s="1084"/>
    </row>
    <row r="422" spans="1:22" s="1082" customFormat="1" ht="24" customHeight="1">
      <c r="A422" s="1075">
        <v>403</v>
      </c>
      <c r="B422" s="1075"/>
      <c r="C422" s="1075"/>
      <c r="D422" s="1075"/>
      <c r="E422" s="1075" t="s">
        <v>10393</v>
      </c>
      <c r="F422" s="1076"/>
      <c r="G422" s="1075" t="s">
        <v>9065</v>
      </c>
      <c r="H422" s="1075" t="s">
        <v>9065</v>
      </c>
      <c r="I422" s="1075" t="s">
        <v>6568</v>
      </c>
      <c r="J422" s="1075"/>
      <c r="K422" s="1075"/>
      <c r="L422" s="1075" t="s">
        <v>9888</v>
      </c>
      <c r="M422" s="1077" t="s">
        <v>6567</v>
      </c>
      <c r="N422" s="1078">
        <v>6512400</v>
      </c>
      <c r="O422" s="1078"/>
      <c r="P422" s="1078"/>
      <c r="Q422" s="1079" t="s">
        <v>14533</v>
      </c>
      <c r="V422" s="1084"/>
    </row>
    <row r="423" spans="1:22" s="1082" customFormat="1" ht="24" customHeight="1">
      <c r="A423" s="1075">
        <v>404</v>
      </c>
      <c r="B423" s="1075"/>
      <c r="C423" s="1075"/>
      <c r="D423" s="1075"/>
      <c r="E423" s="1075" t="s">
        <v>10394</v>
      </c>
      <c r="F423" s="1076"/>
      <c r="G423" s="1075" t="s">
        <v>9065</v>
      </c>
      <c r="H423" s="1075" t="s">
        <v>9065</v>
      </c>
      <c r="I423" s="1075" t="s">
        <v>6570</v>
      </c>
      <c r="J423" s="1075"/>
      <c r="K423" s="1075"/>
      <c r="L423" s="1075" t="s">
        <v>9888</v>
      </c>
      <c r="M423" s="1077" t="s">
        <v>6569</v>
      </c>
      <c r="N423" s="1078">
        <v>6512400</v>
      </c>
      <c r="O423" s="1078"/>
      <c r="P423" s="1078"/>
      <c r="Q423" s="1079"/>
      <c r="V423" s="1084"/>
    </row>
    <row r="424" spans="1:22" s="1082" customFormat="1" ht="24" customHeight="1">
      <c r="A424" s="1075">
        <v>405</v>
      </c>
      <c r="B424" s="1075" t="s">
        <v>423</v>
      </c>
      <c r="C424" s="1075"/>
      <c r="D424" s="1075"/>
      <c r="E424" s="1075" t="s">
        <v>10395</v>
      </c>
      <c r="F424" s="1076"/>
      <c r="G424" s="1075" t="s">
        <v>9065</v>
      </c>
      <c r="H424" s="1075" t="s">
        <v>9065</v>
      </c>
      <c r="I424" s="1075" t="s">
        <v>5702</v>
      </c>
      <c r="J424" s="1075" t="s">
        <v>1337</v>
      </c>
      <c r="K424" s="1075" t="s">
        <v>1336</v>
      </c>
      <c r="L424" s="1075" t="s">
        <v>5130</v>
      </c>
      <c r="M424" s="1077" t="s">
        <v>5701</v>
      </c>
      <c r="N424" s="1078">
        <v>6512400</v>
      </c>
      <c r="O424" s="1078" t="s">
        <v>375</v>
      </c>
      <c r="P424" s="1078"/>
      <c r="Q424" s="1079"/>
      <c r="V424" s="1084"/>
    </row>
    <row r="425" spans="1:22" s="1082" customFormat="1" ht="24" customHeight="1">
      <c r="A425" s="1075">
        <v>406</v>
      </c>
      <c r="B425" s="1075"/>
      <c r="C425" s="1075"/>
      <c r="D425" s="1075"/>
      <c r="E425" s="1075" t="s">
        <v>10396</v>
      </c>
      <c r="F425" s="1076"/>
      <c r="G425" s="1075" t="s">
        <v>9065</v>
      </c>
      <c r="H425" s="1075" t="s">
        <v>9065</v>
      </c>
      <c r="I425" s="1075" t="s">
        <v>6572</v>
      </c>
      <c r="J425" s="1075"/>
      <c r="K425" s="1075"/>
      <c r="L425" s="1075" t="s">
        <v>9888</v>
      </c>
      <c r="M425" s="1077" t="s">
        <v>6571</v>
      </c>
      <c r="N425" s="1078">
        <v>6512400</v>
      </c>
      <c r="O425" s="1078"/>
      <c r="P425" s="1078"/>
      <c r="Q425" s="1079"/>
      <c r="V425" s="1084"/>
    </row>
    <row r="426" spans="1:22" s="1082" customFormat="1" ht="24" customHeight="1">
      <c r="A426" s="1075">
        <v>407</v>
      </c>
      <c r="B426" s="376" t="s">
        <v>1595</v>
      </c>
      <c r="C426" s="376"/>
      <c r="D426" s="376"/>
      <c r="E426" s="1075" t="s">
        <v>10398</v>
      </c>
      <c r="F426" s="1076"/>
      <c r="G426" s="1075" t="s">
        <v>9065</v>
      </c>
      <c r="H426" s="1075" t="s">
        <v>9065</v>
      </c>
      <c r="I426" s="1075" t="s">
        <v>5704</v>
      </c>
      <c r="J426" s="1075" t="s">
        <v>2152</v>
      </c>
      <c r="K426" s="1075" t="s">
        <v>2151</v>
      </c>
      <c r="L426" s="1075" t="s">
        <v>5130</v>
      </c>
      <c r="M426" s="1077" t="s">
        <v>5703</v>
      </c>
      <c r="N426" s="1078">
        <v>6512400</v>
      </c>
      <c r="O426" s="1078" t="s">
        <v>375</v>
      </c>
      <c r="P426" s="1078"/>
      <c r="Q426" s="1079"/>
      <c r="V426" s="1084"/>
    </row>
    <row r="427" spans="1:22" s="1082" customFormat="1" ht="24" customHeight="1">
      <c r="A427" s="1075">
        <v>408</v>
      </c>
      <c r="B427" s="1075"/>
      <c r="C427" s="1075"/>
      <c r="D427" s="1075"/>
      <c r="E427" s="1075" t="s">
        <v>10399</v>
      </c>
      <c r="F427" s="1076"/>
      <c r="G427" s="1075" t="s">
        <v>9065</v>
      </c>
      <c r="H427" s="1075" t="s">
        <v>9065</v>
      </c>
      <c r="I427" s="1075" t="s">
        <v>6576</v>
      </c>
      <c r="J427" s="1075"/>
      <c r="K427" s="1075"/>
      <c r="L427" s="1075" t="s">
        <v>9888</v>
      </c>
      <c r="M427" s="1077" t="s">
        <v>6575</v>
      </c>
      <c r="N427" s="1078">
        <v>6512400</v>
      </c>
      <c r="O427" s="1078"/>
      <c r="P427" s="1078"/>
      <c r="Q427" s="1079"/>
      <c r="V427" s="1084"/>
    </row>
    <row r="428" spans="1:22" s="1082" customFormat="1" ht="24" customHeight="1">
      <c r="A428" s="1075">
        <v>409</v>
      </c>
      <c r="B428" s="1075"/>
      <c r="C428" s="1075"/>
      <c r="D428" s="1075"/>
      <c r="E428" s="1075" t="s">
        <v>10400</v>
      </c>
      <c r="F428" s="1076"/>
      <c r="G428" s="1075" t="s">
        <v>9065</v>
      </c>
      <c r="H428" s="1075" t="s">
        <v>9065</v>
      </c>
      <c r="I428" s="1075" t="s">
        <v>6578</v>
      </c>
      <c r="J428" s="1075"/>
      <c r="K428" s="1075"/>
      <c r="L428" s="1075" t="s">
        <v>9888</v>
      </c>
      <c r="M428" s="1077" t="s">
        <v>6577</v>
      </c>
      <c r="N428" s="1078">
        <v>6512400</v>
      </c>
      <c r="O428" s="1078"/>
      <c r="P428" s="1078"/>
      <c r="Q428" s="1079"/>
      <c r="V428" s="1084"/>
    </row>
    <row r="429" spans="1:22" s="1082" customFormat="1" ht="24" customHeight="1">
      <c r="A429" s="1075">
        <v>410</v>
      </c>
      <c r="B429" s="1075"/>
      <c r="C429" s="1075"/>
      <c r="D429" s="1075"/>
      <c r="E429" s="1075" t="s">
        <v>10401</v>
      </c>
      <c r="F429" s="1076"/>
      <c r="G429" s="1075" t="s">
        <v>9065</v>
      </c>
      <c r="H429" s="1075" t="s">
        <v>9065</v>
      </c>
      <c r="I429" s="1075" t="s">
        <v>6580</v>
      </c>
      <c r="J429" s="1075"/>
      <c r="K429" s="1075"/>
      <c r="L429" s="1075" t="s">
        <v>9888</v>
      </c>
      <c r="M429" s="1077" t="s">
        <v>6579</v>
      </c>
      <c r="N429" s="1078">
        <v>6512400</v>
      </c>
      <c r="O429" s="1078"/>
      <c r="P429" s="1078"/>
      <c r="Q429" s="1079"/>
      <c r="V429" s="1084"/>
    </row>
    <row r="430" spans="1:22" s="1082" customFormat="1" ht="24" customHeight="1">
      <c r="A430" s="1075">
        <v>411</v>
      </c>
      <c r="B430" s="1075" t="s">
        <v>4994</v>
      </c>
      <c r="C430" s="1075"/>
      <c r="D430" s="1075"/>
      <c r="E430" s="1075" t="s">
        <v>10405</v>
      </c>
      <c r="F430" s="1076"/>
      <c r="G430" s="1075" t="s">
        <v>9065</v>
      </c>
      <c r="H430" s="1075" t="s">
        <v>9699</v>
      </c>
      <c r="I430" s="1075" t="s">
        <v>5708</v>
      </c>
      <c r="J430" s="1075" t="s">
        <v>15650</v>
      </c>
      <c r="K430" s="1089" t="s">
        <v>16145</v>
      </c>
      <c r="L430" s="1075" t="s">
        <v>5130</v>
      </c>
      <c r="M430" s="1077" t="s">
        <v>5707</v>
      </c>
      <c r="N430" s="1078">
        <v>6512400</v>
      </c>
      <c r="O430" s="1078" t="s">
        <v>375</v>
      </c>
      <c r="P430" s="1078"/>
      <c r="Q430" s="1079"/>
      <c r="V430" s="1084"/>
    </row>
    <row r="431" spans="1:22" s="1082" customFormat="1" ht="24" customHeight="1">
      <c r="A431" s="1075">
        <v>412</v>
      </c>
      <c r="B431" s="1075" t="s">
        <v>423</v>
      </c>
      <c r="C431" s="1075"/>
      <c r="D431" s="1075"/>
      <c r="E431" s="1075" t="s">
        <v>10406</v>
      </c>
      <c r="F431" s="1076"/>
      <c r="G431" s="1075" t="s">
        <v>9065</v>
      </c>
      <c r="H431" s="1075" t="s">
        <v>9065</v>
      </c>
      <c r="I431" s="1075" t="s">
        <v>5710</v>
      </c>
      <c r="J431" s="1075" t="s">
        <v>1351</v>
      </c>
      <c r="K431" s="1075" t="s">
        <v>1350</v>
      </c>
      <c r="L431" s="1075" t="s">
        <v>5130</v>
      </c>
      <c r="M431" s="1077" t="s">
        <v>5709</v>
      </c>
      <c r="N431" s="1078">
        <v>6512400</v>
      </c>
      <c r="O431" s="1078" t="s">
        <v>375</v>
      </c>
      <c r="P431" s="1078"/>
      <c r="Q431" s="1079"/>
      <c r="V431" s="1084"/>
    </row>
    <row r="432" spans="1:22" s="1082" customFormat="1" ht="24" customHeight="1">
      <c r="A432" s="1075">
        <v>413</v>
      </c>
      <c r="B432" s="1075"/>
      <c r="C432" s="1075"/>
      <c r="D432" s="1075"/>
      <c r="E432" s="1075" t="s">
        <v>10407</v>
      </c>
      <c r="F432" s="1076"/>
      <c r="G432" s="1075" t="s">
        <v>9065</v>
      </c>
      <c r="H432" s="1075" t="s">
        <v>9065</v>
      </c>
      <c r="I432" s="1075" t="s">
        <v>6586</v>
      </c>
      <c r="J432" s="1075"/>
      <c r="K432" s="1075"/>
      <c r="L432" s="1075" t="s">
        <v>9888</v>
      </c>
      <c r="M432" s="1077" t="s">
        <v>6585</v>
      </c>
      <c r="N432" s="1078">
        <v>6512400</v>
      </c>
      <c r="O432" s="1078"/>
      <c r="P432" s="1078"/>
      <c r="Q432" s="1079"/>
      <c r="V432" s="1084"/>
    </row>
    <row r="433" spans="1:22" s="1082" customFormat="1" ht="24" customHeight="1">
      <c r="A433" s="1075">
        <v>414</v>
      </c>
      <c r="B433" s="1075"/>
      <c r="C433" s="1075"/>
      <c r="D433" s="1075"/>
      <c r="E433" s="1075" t="s">
        <v>10408</v>
      </c>
      <c r="F433" s="1076"/>
      <c r="G433" s="1075" t="s">
        <v>9065</v>
      </c>
      <c r="H433" s="1075" t="s">
        <v>9065</v>
      </c>
      <c r="I433" s="1075" t="s">
        <v>6588</v>
      </c>
      <c r="J433" s="1075"/>
      <c r="K433" s="1075"/>
      <c r="L433" s="1075" t="s">
        <v>9888</v>
      </c>
      <c r="M433" s="1077" t="s">
        <v>6587</v>
      </c>
      <c r="N433" s="1078">
        <v>6512400</v>
      </c>
      <c r="O433" s="1078"/>
      <c r="P433" s="1078"/>
      <c r="Q433" s="1079"/>
      <c r="V433" s="1084"/>
    </row>
    <row r="434" spans="1:22" s="1082" customFormat="1" ht="24" customHeight="1">
      <c r="A434" s="1075">
        <v>415</v>
      </c>
      <c r="B434" s="1075"/>
      <c r="C434" s="1075"/>
      <c r="D434" s="1075"/>
      <c r="E434" s="1075" t="s">
        <v>10409</v>
      </c>
      <c r="F434" s="1076"/>
      <c r="G434" s="1075" t="s">
        <v>9065</v>
      </c>
      <c r="H434" s="1075" t="s">
        <v>9065</v>
      </c>
      <c r="I434" s="1075" t="s">
        <v>6590</v>
      </c>
      <c r="J434" s="1075"/>
      <c r="K434" s="1075"/>
      <c r="L434" s="1075" t="s">
        <v>9888</v>
      </c>
      <c r="M434" s="1077" t="s">
        <v>6589</v>
      </c>
      <c r="N434" s="1078">
        <v>6512400</v>
      </c>
      <c r="O434" s="1078"/>
      <c r="P434" s="1078"/>
      <c r="Q434" s="1079"/>
      <c r="V434" s="1084"/>
    </row>
    <row r="435" spans="1:22" s="1082" customFormat="1" ht="24" customHeight="1">
      <c r="A435" s="1075">
        <v>416</v>
      </c>
      <c r="B435" s="1075"/>
      <c r="C435" s="1075"/>
      <c r="D435" s="1075"/>
      <c r="E435" s="1075" t="s">
        <v>10410</v>
      </c>
      <c r="F435" s="1076"/>
      <c r="G435" s="1075" t="s">
        <v>9065</v>
      </c>
      <c r="H435" s="1075" t="s">
        <v>9065</v>
      </c>
      <c r="I435" s="1075" t="s">
        <v>6592</v>
      </c>
      <c r="J435" s="1075"/>
      <c r="K435" s="1075"/>
      <c r="L435" s="1075" t="s">
        <v>9888</v>
      </c>
      <c r="M435" s="1077" t="s">
        <v>6591</v>
      </c>
      <c r="N435" s="1078">
        <v>6512400</v>
      </c>
      <c r="O435" s="1078"/>
      <c r="P435" s="1078"/>
      <c r="Q435" s="1079"/>
      <c r="V435" s="1084"/>
    </row>
    <row r="436" spans="1:22" s="1082" customFormat="1" ht="24" customHeight="1">
      <c r="A436" s="1075">
        <v>417</v>
      </c>
      <c r="B436" s="1075"/>
      <c r="C436" s="1075"/>
      <c r="D436" s="1075"/>
      <c r="E436" s="1075" t="s">
        <v>10411</v>
      </c>
      <c r="F436" s="1076"/>
      <c r="G436" s="1075" t="s">
        <v>9065</v>
      </c>
      <c r="H436" s="1075" t="s">
        <v>9065</v>
      </c>
      <c r="I436" s="1075" t="s">
        <v>6594</v>
      </c>
      <c r="J436" s="1075"/>
      <c r="K436" s="1075"/>
      <c r="L436" s="1075" t="s">
        <v>9888</v>
      </c>
      <c r="M436" s="1077" t="s">
        <v>6593</v>
      </c>
      <c r="N436" s="1078">
        <v>6512400</v>
      </c>
      <c r="O436" s="1078"/>
      <c r="P436" s="1078"/>
      <c r="Q436" s="1079"/>
      <c r="V436" s="1084"/>
    </row>
    <row r="437" spans="1:22" s="1082" customFormat="1" ht="24" customHeight="1">
      <c r="A437" s="1075">
        <v>418</v>
      </c>
      <c r="B437" s="1075"/>
      <c r="C437" s="1075"/>
      <c r="D437" s="1075"/>
      <c r="E437" s="1075" t="s">
        <v>10412</v>
      </c>
      <c r="F437" s="1076"/>
      <c r="G437" s="1075" t="s">
        <v>9065</v>
      </c>
      <c r="H437" s="1075" t="s">
        <v>9065</v>
      </c>
      <c r="I437" s="1075" t="s">
        <v>6596</v>
      </c>
      <c r="J437" s="1075"/>
      <c r="K437" s="1075"/>
      <c r="L437" s="1075" t="s">
        <v>9888</v>
      </c>
      <c r="M437" s="1077" t="s">
        <v>6595</v>
      </c>
      <c r="N437" s="1078">
        <v>6512400</v>
      </c>
      <c r="O437" s="1078"/>
      <c r="P437" s="1078"/>
      <c r="Q437" s="1079"/>
      <c r="V437" s="1084"/>
    </row>
    <row r="438" spans="1:22" s="1082" customFormat="1" ht="24" customHeight="1">
      <c r="A438" s="1075">
        <v>419</v>
      </c>
      <c r="B438" s="1075"/>
      <c r="C438" s="1075"/>
      <c r="D438" s="1075"/>
      <c r="E438" s="1075" t="s">
        <v>10413</v>
      </c>
      <c r="F438" s="1076"/>
      <c r="G438" s="1075" t="s">
        <v>9065</v>
      </c>
      <c r="H438" s="1075" t="s">
        <v>9065</v>
      </c>
      <c r="I438" s="1075" t="s">
        <v>6598</v>
      </c>
      <c r="J438" s="1075"/>
      <c r="K438" s="1075"/>
      <c r="L438" s="1075" t="s">
        <v>9888</v>
      </c>
      <c r="M438" s="1077" t="s">
        <v>6597</v>
      </c>
      <c r="N438" s="1078">
        <v>6512400</v>
      </c>
      <c r="O438" s="1078"/>
      <c r="P438" s="1078"/>
      <c r="Q438" s="1079"/>
      <c r="V438" s="1084"/>
    </row>
    <row r="439" spans="1:22" s="1082" customFormat="1" ht="24" customHeight="1">
      <c r="A439" s="1075">
        <v>420</v>
      </c>
      <c r="B439" s="1075"/>
      <c r="C439" s="1075"/>
      <c r="D439" s="1075"/>
      <c r="E439" s="1075" t="s">
        <v>10414</v>
      </c>
      <c r="F439" s="1076"/>
      <c r="G439" s="1075" t="s">
        <v>9065</v>
      </c>
      <c r="H439" s="1075" t="s">
        <v>9065</v>
      </c>
      <c r="I439" s="1075" t="s">
        <v>6600</v>
      </c>
      <c r="J439" s="1075"/>
      <c r="K439" s="1075"/>
      <c r="L439" s="1075" t="s">
        <v>9888</v>
      </c>
      <c r="M439" s="1077" t="s">
        <v>6599</v>
      </c>
      <c r="N439" s="1078">
        <v>6512400</v>
      </c>
      <c r="O439" s="1078"/>
      <c r="P439" s="1078"/>
      <c r="Q439" s="1079"/>
      <c r="V439" s="1084"/>
    </row>
    <row r="440" spans="1:22" s="1082" customFormat="1" ht="24" customHeight="1">
      <c r="A440" s="1075">
        <v>421</v>
      </c>
      <c r="B440" s="1075"/>
      <c r="C440" s="1075"/>
      <c r="D440" s="1075"/>
      <c r="E440" s="1075" t="s">
        <v>10415</v>
      </c>
      <c r="F440" s="1076"/>
      <c r="G440" s="1075" t="s">
        <v>9065</v>
      </c>
      <c r="H440" s="1075" t="s">
        <v>9065</v>
      </c>
      <c r="I440" s="1075" t="s">
        <v>6602</v>
      </c>
      <c r="J440" s="1075"/>
      <c r="K440" s="1075"/>
      <c r="L440" s="1075" t="s">
        <v>9888</v>
      </c>
      <c r="M440" s="1077" t="s">
        <v>6601</v>
      </c>
      <c r="N440" s="1078">
        <v>6512400</v>
      </c>
      <c r="O440" s="1078"/>
      <c r="P440" s="1078"/>
      <c r="Q440" s="1079"/>
      <c r="V440" s="1084"/>
    </row>
    <row r="441" spans="1:22" s="1082" customFormat="1" ht="24" customHeight="1">
      <c r="A441" s="1075">
        <v>422</v>
      </c>
      <c r="B441" s="1075"/>
      <c r="C441" s="1075"/>
      <c r="D441" s="1075"/>
      <c r="E441" s="1075" t="s">
        <v>10416</v>
      </c>
      <c r="F441" s="1076"/>
      <c r="G441" s="1075" t="s">
        <v>9065</v>
      </c>
      <c r="H441" s="1075" t="s">
        <v>9065</v>
      </c>
      <c r="I441" s="1075" t="s">
        <v>6604</v>
      </c>
      <c r="J441" s="1075"/>
      <c r="K441" s="1075"/>
      <c r="L441" s="1075" t="s">
        <v>9888</v>
      </c>
      <c r="M441" s="1077" t="s">
        <v>6603</v>
      </c>
      <c r="N441" s="1078">
        <v>6512400</v>
      </c>
      <c r="O441" s="1078"/>
      <c r="P441" s="1078"/>
      <c r="Q441" s="1079"/>
      <c r="V441" s="1084"/>
    </row>
    <row r="442" spans="1:22" s="1082" customFormat="1" ht="24" customHeight="1">
      <c r="A442" s="1075">
        <v>423</v>
      </c>
      <c r="B442" s="1075"/>
      <c r="C442" s="1075"/>
      <c r="D442" s="1075"/>
      <c r="E442" s="1075" t="s">
        <v>10417</v>
      </c>
      <c r="F442" s="1076"/>
      <c r="G442" s="1075" t="s">
        <v>9065</v>
      </c>
      <c r="H442" s="1075" t="s">
        <v>9065</v>
      </c>
      <c r="I442" s="1075" t="s">
        <v>10418</v>
      </c>
      <c r="J442" s="1075"/>
      <c r="K442" s="1075"/>
      <c r="L442" s="1075" t="s">
        <v>9888</v>
      </c>
      <c r="M442" s="1077" t="s">
        <v>10419</v>
      </c>
      <c r="N442" s="1078">
        <v>6512400</v>
      </c>
      <c r="O442" s="1078"/>
      <c r="P442" s="1078"/>
      <c r="Q442" s="1079"/>
      <c r="V442" s="1084"/>
    </row>
    <row r="443" spans="1:22" s="1082" customFormat="1" ht="24" customHeight="1">
      <c r="A443" s="1075">
        <v>424</v>
      </c>
      <c r="B443" s="1075"/>
      <c r="C443" s="1075"/>
      <c r="D443" s="1075"/>
      <c r="E443" s="1075" t="s">
        <v>10420</v>
      </c>
      <c r="F443" s="1076"/>
      <c r="G443" s="1075" t="s">
        <v>9065</v>
      </c>
      <c r="H443" s="1075" t="s">
        <v>9065</v>
      </c>
      <c r="I443" s="1075" t="s">
        <v>6606</v>
      </c>
      <c r="J443" s="1075"/>
      <c r="K443" s="1075"/>
      <c r="L443" s="1075" t="s">
        <v>9888</v>
      </c>
      <c r="M443" s="1077" t="s">
        <v>6605</v>
      </c>
      <c r="N443" s="1078">
        <v>6512400</v>
      </c>
      <c r="O443" s="1078"/>
      <c r="P443" s="1078"/>
      <c r="Q443" s="1079"/>
      <c r="V443" s="1084"/>
    </row>
    <row r="444" spans="1:22" s="1082" customFormat="1" ht="24" customHeight="1">
      <c r="A444" s="1075">
        <v>425</v>
      </c>
      <c r="B444" s="1075"/>
      <c r="C444" s="1075"/>
      <c r="D444" s="1075"/>
      <c r="E444" s="1075" t="s">
        <v>10421</v>
      </c>
      <c r="F444" s="1076"/>
      <c r="G444" s="1075" t="s">
        <v>9065</v>
      </c>
      <c r="H444" s="1075" t="s">
        <v>9065</v>
      </c>
      <c r="I444" s="1075" t="s">
        <v>6608</v>
      </c>
      <c r="J444" s="1075"/>
      <c r="K444" s="1075"/>
      <c r="L444" s="1075" t="s">
        <v>9888</v>
      </c>
      <c r="M444" s="1077" t="s">
        <v>6607</v>
      </c>
      <c r="N444" s="1078">
        <v>6512400</v>
      </c>
      <c r="O444" s="1078"/>
      <c r="P444" s="1078"/>
      <c r="Q444" s="1079"/>
      <c r="V444" s="1084"/>
    </row>
    <row r="445" spans="1:22" s="1082" customFormat="1" ht="24" customHeight="1">
      <c r="A445" s="1075">
        <v>426</v>
      </c>
      <c r="B445" s="1075"/>
      <c r="C445" s="1075"/>
      <c r="D445" s="1075"/>
      <c r="E445" s="1075" t="s">
        <v>10423</v>
      </c>
      <c r="F445" s="1076"/>
      <c r="G445" s="1075" t="s">
        <v>9065</v>
      </c>
      <c r="H445" s="1075" t="s">
        <v>9065</v>
      </c>
      <c r="I445" s="1075" t="s">
        <v>6612</v>
      </c>
      <c r="J445" s="1075"/>
      <c r="K445" s="1075"/>
      <c r="L445" s="1075" t="s">
        <v>9888</v>
      </c>
      <c r="M445" s="1077" t="s">
        <v>6611</v>
      </c>
      <c r="N445" s="1078">
        <v>6512400</v>
      </c>
      <c r="O445" s="1078"/>
      <c r="P445" s="1078"/>
      <c r="Q445" s="1079"/>
      <c r="V445" s="1084"/>
    </row>
    <row r="446" spans="1:22" s="1082" customFormat="1" ht="24" customHeight="1">
      <c r="A446" s="1075">
        <v>427</v>
      </c>
      <c r="B446" s="1075"/>
      <c r="C446" s="1075"/>
      <c r="D446" s="1075"/>
      <c r="E446" s="1075" t="s">
        <v>10424</v>
      </c>
      <c r="F446" s="1076"/>
      <c r="G446" s="1075" t="s">
        <v>9065</v>
      </c>
      <c r="H446" s="1075" t="s">
        <v>9065</v>
      </c>
      <c r="I446" s="1075" t="s">
        <v>6614</v>
      </c>
      <c r="J446" s="1075"/>
      <c r="K446" s="1075"/>
      <c r="L446" s="1075" t="s">
        <v>9888</v>
      </c>
      <c r="M446" s="1077" t="s">
        <v>6613</v>
      </c>
      <c r="N446" s="1078">
        <v>6512400</v>
      </c>
      <c r="O446" s="1078"/>
      <c r="P446" s="1078"/>
      <c r="Q446" s="1079"/>
      <c r="V446" s="1084"/>
    </row>
    <row r="447" spans="1:22" s="1082" customFormat="1" ht="24" customHeight="1">
      <c r="A447" s="1075">
        <v>428</v>
      </c>
      <c r="B447" s="1075"/>
      <c r="C447" s="1075"/>
      <c r="D447" s="1075"/>
      <c r="E447" s="1075" t="s">
        <v>10425</v>
      </c>
      <c r="F447" s="1076"/>
      <c r="G447" s="1075" t="s">
        <v>9065</v>
      </c>
      <c r="H447" s="1075" t="s">
        <v>9065</v>
      </c>
      <c r="I447" s="1075" t="s">
        <v>6616</v>
      </c>
      <c r="J447" s="1075"/>
      <c r="K447" s="1075"/>
      <c r="L447" s="1075" t="s">
        <v>9888</v>
      </c>
      <c r="M447" s="1077" t="s">
        <v>6615</v>
      </c>
      <c r="N447" s="1078">
        <v>6512400</v>
      </c>
      <c r="O447" s="1078"/>
      <c r="P447" s="1078"/>
      <c r="Q447" s="1079"/>
      <c r="V447" s="1084"/>
    </row>
    <row r="448" spans="1:22" s="1082" customFormat="1" ht="24" customHeight="1">
      <c r="A448" s="1075">
        <v>429</v>
      </c>
      <c r="B448" s="1075"/>
      <c r="C448" s="1075"/>
      <c r="D448" s="1075"/>
      <c r="E448" s="1075" t="s">
        <v>10426</v>
      </c>
      <c r="F448" s="1076"/>
      <c r="G448" s="1075" t="s">
        <v>9065</v>
      </c>
      <c r="H448" s="1075" t="s">
        <v>9065</v>
      </c>
      <c r="I448" s="1075" t="s">
        <v>6618</v>
      </c>
      <c r="J448" s="1075"/>
      <c r="K448" s="1075"/>
      <c r="L448" s="1075" t="s">
        <v>9888</v>
      </c>
      <c r="M448" s="1077" t="s">
        <v>6617</v>
      </c>
      <c r="N448" s="1078">
        <v>6512400</v>
      </c>
      <c r="O448" s="1078"/>
      <c r="P448" s="1078"/>
      <c r="Q448" s="1079"/>
      <c r="V448" s="1084"/>
    </row>
    <row r="449" spans="1:22" s="1082" customFormat="1" ht="24" customHeight="1">
      <c r="A449" s="1075">
        <v>430</v>
      </c>
      <c r="B449" s="1075" t="s">
        <v>1604</v>
      </c>
      <c r="C449" s="1075"/>
      <c r="D449" s="1075"/>
      <c r="E449" s="1075" t="s">
        <v>10427</v>
      </c>
      <c r="F449" s="1076"/>
      <c r="G449" s="1075" t="s">
        <v>9065</v>
      </c>
      <c r="H449" s="1075" t="s">
        <v>9065</v>
      </c>
      <c r="I449" s="1075" t="s">
        <v>5712</v>
      </c>
      <c r="J449" s="1075" t="s">
        <v>2304</v>
      </c>
      <c r="K449" s="1075" t="s">
        <v>2303</v>
      </c>
      <c r="L449" s="1075" t="s">
        <v>5130</v>
      </c>
      <c r="M449" s="1077" t="s">
        <v>5711</v>
      </c>
      <c r="N449" s="1078">
        <v>6512400</v>
      </c>
      <c r="O449" s="1078" t="s">
        <v>375</v>
      </c>
      <c r="P449" s="1078"/>
      <c r="Q449" s="1079"/>
      <c r="V449" s="1084"/>
    </row>
    <row r="450" spans="1:22" s="1082" customFormat="1" ht="24" customHeight="1">
      <c r="A450" s="1075">
        <v>431</v>
      </c>
      <c r="B450" s="1075"/>
      <c r="C450" s="1075"/>
      <c r="D450" s="1075"/>
      <c r="E450" s="1075" t="s">
        <v>10428</v>
      </c>
      <c r="F450" s="1076"/>
      <c r="G450" s="1075" t="s">
        <v>9065</v>
      </c>
      <c r="H450" s="1075" t="s">
        <v>9065</v>
      </c>
      <c r="I450" s="1075" t="s">
        <v>6620</v>
      </c>
      <c r="J450" s="1075"/>
      <c r="K450" s="1075"/>
      <c r="L450" s="1075" t="s">
        <v>9888</v>
      </c>
      <c r="M450" s="1077" t="s">
        <v>6619</v>
      </c>
      <c r="N450" s="1078">
        <v>6512400</v>
      </c>
      <c r="O450" s="1078"/>
      <c r="P450" s="1078"/>
      <c r="Q450" s="1079"/>
      <c r="V450" s="1084"/>
    </row>
    <row r="451" spans="1:22" s="1082" customFormat="1" ht="24" customHeight="1">
      <c r="A451" s="1075">
        <v>432</v>
      </c>
      <c r="B451" s="1075"/>
      <c r="C451" s="1075"/>
      <c r="D451" s="1075"/>
      <c r="E451" s="1075" t="s">
        <v>10429</v>
      </c>
      <c r="F451" s="1076"/>
      <c r="G451" s="1075" t="s">
        <v>9065</v>
      </c>
      <c r="H451" s="1075" t="s">
        <v>9065</v>
      </c>
      <c r="I451" s="1075" t="s">
        <v>6622</v>
      </c>
      <c r="J451" s="1075"/>
      <c r="K451" s="1075"/>
      <c r="L451" s="1075" t="s">
        <v>9888</v>
      </c>
      <c r="M451" s="1077" t="s">
        <v>6621</v>
      </c>
      <c r="N451" s="1078">
        <v>6512400</v>
      </c>
      <c r="O451" s="1078"/>
      <c r="P451" s="1078"/>
      <c r="Q451" s="1079"/>
      <c r="V451" s="1084"/>
    </row>
    <row r="452" spans="1:22" s="1082" customFormat="1" ht="24" customHeight="1">
      <c r="A452" s="1075">
        <v>433</v>
      </c>
      <c r="B452" s="1075"/>
      <c r="C452" s="1075"/>
      <c r="D452" s="1075"/>
      <c r="E452" s="1075" t="s">
        <v>10431</v>
      </c>
      <c r="F452" s="1076"/>
      <c r="G452" s="1075" t="s">
        <v>9065</v>
      </c>
      <c r="H452" s="1075" t="s">
        <v>9065</v>
      </c>
      <c r="I452" s="1075" t="s">
        <v>6626</v>
      </c>
      <c r="J452" s="1075"/>
      <c r="K452" s="1075"/>
      <c r="L452" s="1075" t="s">
        <v>9888</v>
      </c>
      <c r="M452" s="1077" t="s">
        <v>6625</v>
      </c>
      <c r="N452" s="1078">
        <v>6512400</v>
      </c>
      <c r="O452" s="1078"/>
      <c r="P452" s="1078"/>
      <c r="Q452" s="1079"/>
      <c r="V452" s="1084"/>
    </row>
    <row r="453" spans="1:22" s="1082" customFormat="1" ht="24" customHeight="1">
      <c r="A453" s="1075">
        <v>434</v>
      </c>
      <c r="B453" s="1075"/>
      <c r="C453" s="1075"/>
      <c r="D453" s="1075"/>
      <c r="E453" s="1075" t="s">
        <v>10432</v>
      </c>
      <c r="F453" s="1076"/>
      <c r="G453" s="1075" t="s">
        <v>9065</v>
      </c>
      <c r="H453" s="1075" t="s">
        <v>9065</v>
      </c>
      <c r="I453" s="1075" t="s">
        <v>6628</v>
      </c>
      <c r="J453" s="1075"/>
      <c r="K453" s="1075"/>
      <c r="L453" s="1075" t="s">
        <v>9888</v>
      </c>
      <c r="M453" s="1077" t="s">
        <v>6627</v>
      </c>
      <c r="N453" s="1078">
        <v>6512400</v>
      </c>
      <c r="O453" s="1078"/>
      <c r="P453" s="1078"/>
      <c r="Q453" s="1079"/>
      <c r="V453" s="1084"/>
    </row>
    <row r="454" spans="1:22" s="1082" customFormat="1" ht="24" customHeight="1">
      <c r="A454" s="1075">
        <v>435</v>
      </c>
      <c r="B454" s="1075"/>
      <c r="C454" s="1075"/>
      <c r="D454" s="1075"/>
      <c r="E454" s="1075" t="s">
        <v>10433</v>
      </c>
      <c r="F454" s="1076"/>
      <c r="G454" s="1075" t="s">
        <v>9065</v>
      </c>
      <c r="H454" s="1075" t="s">
        <v>9065</v>
      </c>
      <c r="I454" s="1075" t="s">
        <v>6630</v>
      </c>
      <c r="J454" s="1075"/>
      <c r="K454" s="1075"/>
      <c r="L454" s="1075" t="s">
        <v>9888</v>
      </c>
      <c r="M454" s="1077" t="s">
        <v>6629</v>
      </c>
      <c r="N454" s="1078">
        <v>6512400</v>
      </c>
      <c r="O454" s="1078"/>
      <c r="P454" s="1078"/>
      <c r="Q454" s="1079"/>
      <c r="V454" s="1084"/>
    </row>
    <row r="455" spans="1:22" s="1082" customFormat="1" ht="24" customHeight="1">
      <c r="A455" s="1075">
        <v>436</v>
      </c>
      <c r="B455" s="1075"/>
      <c r="C455" s="1075"/>
      <c r="D455" s="1075"/>
      <c r="E455" s="1075" t="s">
        <v>10434</v>
      </c>
      <c r="F455" s="1076"/>
      <c r="G455" s="1075" t="s">
        <v>9065</v>
      </c>
      <c r="H455" s="1075" t="s">
        <v>9065</v>
      </c>
      <c r="I455" s="1075" t="s">
        <v>6632</v>
      </c>
      <c r="J455" s="1075"/>
      <c r="K455" s="1075"/>
      <c r="L455" s="1075" t="s">
        <v>9888</v>
      </c>
      <c r="M455" s="1077" t="s">
        <v>6631</v>
      </c>
      <c r="N455" s="1078">
        <v>6512400</v>
      </c>
      <c r="O455" s="1078"/>
      <c r="P455" s="1078"/>
      <c r="Q455" s="1079"/>
      <c r="V455" s="1084"/>
    </row>
    <row r="456" spans="1:22" s="1082" customFormat="1" ht="24" customHeight="1">
      <c r="A456" s="1075">
        <v>437</v>
      </c>
      <c r="B456" s="1075"/>
      <c r="C456" s="1075"/>
      <c r="D456" s="1075"/>
      <c r="E456" s="1075" t="s">
        <v>10435</v>
      </c>
      <c r="F456" s="1076"/>
      <c r="G456" s="1075" t="s">
        <v>9065</v>
      </c>
      <c r="H456" s="1075" t="s">
        <v>9065</v>
      </c>
      <c r="I456" s="1075" t="s">
        <v>6634</v>
      </c>
      <c r="J456" s="1075"/>
      <c r="K456" s="1075"/>
      <c r="L456" s="1075" t="s">
        <v>9888</v>
      </c>
      <c r="M456" s="1077" t="s">
        <v>6633</v>
      </c>
      <c r="N456" s="1078">
        <v>6512400</v>
      </c>
      <c r="O456" s="1078"/>
      <c r="P456" s="1078"/>
      <c r="Q456" s="1079"/>
      <c r="V456" s="1084"/>
    </row>
    <row r="457" spans="1:22" s="1082" customFormat="1" ht="24" customHeight="1">
      <c r="A457" s="1075">
        <v>438</v>
      </c>
      <c r="B457" s="1075"/>
      <c r="C457" s="1075"/>
      <c r="D457" s="1075"/>
      <c r="E457" s="1075" t="s">
        <v>10436</v>
      </c>
      <c r="F457" s="1076"/>
      <c r="G457" s="1075" t="s">
        <v>9065</v>
      </c>
      <c r="H457" s="1075" t="s">
        <v>9065</v>
      </c>
      <c r="I457" s="1075" t="s">
        <v>6636</v>
      </c>
      <c r="J457" s="1075"/>
      <c r="K457" s="1075"/>
      <c r="L457" s="1075" t="s">
        <v>9888</v>
      </c>
      <c r="M457" s="1077" t="s">
        <v>6635</v>
      </c>
      <c r="N457" s="1078">
        <v>6512400</v>
      </c>
      <c r="O457" s="1078"/>
      <c r="P457" s="1078"/>
      <c r="Q457" s="1079"/>
      <c r="V457" s="1084"/>
    </row>
    <row r="458" spans="1:22" s="1082" customFormat="1" ht="24" customHeight="1">
      <c r="A458" s="1075">
        <v>439</v>
      </c>
      <c r="B458" s="1075"/>
      <c r="C458" s="1075"/>
      <c r="D458" s="1075"/>
      <c r="E458" s="1075" t="s">
        <v>10437</v>
      </c>
      <c r="F458" s="1076"/>
      <c r="G458" s="1075" t="s">
        <v>9065</v>
      </c>
      <c r="H458" s="1075" t="s">
        <v>9065</v>
      </c>
      <c r="I458" s="1075" t="s">
        <v>6639</v>
      </c>
      <c r="J458" s="1075"/>
      <c r="K458" s="1075"/>
      <c r="L458" s="1075" t="s">
        <v>9888</v>
      </c>
      <c r="M458" s="1077" t="s">
        <v>6638</v>
      </c>
      <c r="N458" s="1078">
        <v>6512400</v>
      </c>
      <c r="O458" s="1078"/>
      <c r="P458" s="1078"/>
      <c r="Q458" s="1079"/>
      <c r="V458" s="1084"/>
    </row>
    <row r="459" spans="1:22" s="1082" customFormat="1" ht="24" customHeight="1">
      <c r="A459" s="1075">
        <v>440</v>
      </c>
      <c r="B459" s="1075"/>
      <c r="C459" s="1075"/>
      <c r="D459" s="1075"/>
      <c r="E459" s="1075" t="s">
        <v>10438</v>
      </c>
      <c r="F459" s="1076"/>
      <c r="G459" s="1075" t="s">
        <v>9065</v>
      </c>
      <c r="H459" s="1075" t="s">
        <v>9065</v>
      </c>
      <c r="I459" s="1075" t="s">
        <v>6641</v>
      </c>
      <c r="J459" s="1075"/>
      <c r="K459" s="1075"/>
      <c r="L459" s="1075" t="s">
        <v>9888</v>
      </c>
      <c r="M459" s="1077" t="s">
        <v>6640</v>
      </c>
      <c r="N459" s="1078">
        <v>6512400</v>
      </c>
      <c r="O459" s="1078"/>
      <c r="P459" s="1078"/>
      <c r="Q459" s="1079"/>
      <c r="V459" s="1084"/>
    </row>
    <row r="460" spans="1:22" s="1082" customFormat="1" ht="24" customHeight="1">
      <c r="A460" s="1075">
        <v>441</v>
      </c>
      <c r="B460" s="1075"/>
      <c r="C460" s="1075"/>
      <c r="D460" s="1075"/>
      <c r="E460" s="1075" t="s">
        <v>10439</v>
      </c>
      <c r="F460" s="1076"/>
      <c r="G460" s="1075" t="s">
        <v>9065</v>
      </c>
      <c r="H460" s="1075" t="s">
        <v>9065</v>
      </c>
      <c r="I460" s="1075" t="s">
        <v>6643</v>
      </c>
      <c r="J460" s="1075"/>
      <c r="K460" s="1075"/>
      <c r="L460" s="1075" t="s">
        <v>9888</v>
      </c>
      <c r="M460" s="1077" t="s">
        <v>6642</v>
      </c>
      <c r="N460" s="1078">
        <v>6512400</v>
      </c>
      <c r="O460" s="1078"/>
      <c r="P460" s="1078"/>
      <c r="Q460" s="1079"/>
      <c r="V460" s="1084"/>
    </row>
    <row r="461" spans="1:22" s="1082" customFormat="1" ht="24" customHeight="1">
      <c r="A461" s="1075">
        <v>442</v>
      </c>
      <c r="B461" s="1075"/>
      <c r="C461" s="1075"/>
      <c r="D461" s="1075"/>
      <c r="E461" s="1075" t="s">
        <v>10440</v>
      </c>
      <c r="F461" s="1076"/>
      <c r="G461" s="1075" t="s">
        <v>9065</v>
      </c>
      <c r="H461" s="1075" t="s">
        <v>9065</v>
      </c>
      <c r="I461" s="1075" t="s">
        <v>6645</v>
      </c>
      <c r="J461" s="1075"/>
      <c r="K461" s="1075"/>
      <c r="L461" s="1075" t="s">
        <v>9888</v>
      </c>
      <c r="M461" s="1077" t="s">
        <v>6644</v>
      </c>
      <c r="N461" s="1078">
        <v>6512400</v>
      </c>
      <c r="O461" s="1078"/>
      <c r="P461" s="1078"/>
      <c r="Q461" s="1079"/>
      <c r="V461" s="1084"/>
    </row>
    <row r="462" spans="1:22" s="1082" customFormat="1" ht="24" customHeight="1">
      <c r="A462" s="1075">
        <v>443</v>
      </c>
      <c r="B462" s="1075"/>
      <c r="C462" s="1075"/>
      <c r="D462" s="1075"/>
      <c r="E462" s="1075" t="s">
        <v>10441</v>
      </c>
      <c r="F462" s="1076"/>
      <c r="G462" s="1075" t="s">
        <v>9065</v>
      </c>
      <c r="H462" s="1075" t="s">
        <v>9065</v>
      </c>
      <c r="I462" s="1075" t="s">
        <v>6647</v>
      </c>
      <c r="J462" s="1075"/>
      <c r="K462" s="1075"/>
      <c r="L462" s="1075" t="s">
        <v>9888</v>
      </c>
      <c r="M462" s="1077" t="s">
        <v>6646</v>
      </c>
      <c r="N462" s="1078">
        <v>6512400</v>
      </c>
      <c r="O462" s="1078"/>
      <c r="P462" s="1078"/>
      <c r="Q462" s="1079"/>
      <c r="V462" s="1084"/>
    </row>
    <row r="463" spans="1:22" s="1082" customFormat="1" ht="24" customHeight="1">
      <c r="A463" s="1075">
        <v>444</v>
      </c>
      <c r="B463" s="1075" t="s">
        <v>2476</v>
      </c>
      <c r="C463" s="1075"/>
      <c r="D463" s="1075"/>
      <c r="E463" s="1075" t="s">
        <v>10442</v>
      </c>
      <c r="F463" s="1076"/>
      <c r="G463" s="1075" t="s">
        <v>9065</v>
      </c>
      <c r="H463" s="1075" t="s">
        <v>9065</v>
      </c>
      <c r="I463" s="1075" t="s">
        <v>5714</v>
      </c>
      <c r="J463" s="1075" t="s">
        <v>15584</v>
      </c>
      <c r="K463" s="1075" t="s">
        <v>15583</v>
      </c>
      <c r="L463" s="1075" t="s">
        <v>5130</v>
      </c>
      <c r="M463" s="1077" t="s">
        <v>5713</v>
      </c>
      <c r="N463" s="1078">
        <v>6512400</v>
      </c>
      <c r="O463" s="1078" t="s">
        <v>375</v>
      </c>
      <c r="P463" s="1078"/>
      <c r="Q463" s="1079"/>
      <c r="V463" s="1084"/>
    </row>
    <row r="464" spans="1:22" s="1082" customFormat="1" ht="24" customHeight="1">
      <c r="A464" s="1075">
        <v>445</v>
      </c>
      <c r="B464" s="1075"/>
      <c r="C464" s="1075"/>
      <c r="D464" s="1075"/>
      <c r="E464" s="1075" t="s">
        <v>10443</v>
      </c>
      <c r="F464" s="1076"/>
      <c r="G464" s="1075" t="s">
        <v>9065</v>
      </c>
      <c r="H464" s="1075" t="s">
        <v>9065</v>
      </c>
      <c r="I464" s="1075" t="s">
        <v>6649</v>
      </c>
      <c r="J464" s="1075"/>
      <c r="K464" s="1075"/>
      <c r="L464" s="1075" t="s">
        <v>9888</v>
      </c>
      <c r="M464" s="1077" t="s">
        <v>6648</v>
      </c>
      <c r="N464" s="1078">
        <v>6512400</v>
      </c>
      <c r="O464" s="1078"/>
      <c r="P464" s="1078"/>
      <c r="Q464" s="1079"/>
      <c r="V464" s="1084"/>
    </row>
    <row r="465" spans="1:22" s="1082" customFormat="1" ht="24" customHeight="1">
      <c r="A465" s="1075">
        <v>446</v>
      </c>
      <c r="B465" s="1075"/>
      <c r="C465" s="1075"/>
      <c r="D465" s="1075"/>
      <c r="E465" s="1075" t="s">
        <v>10444</v>
      </c>
      <c r="F465" s="1076"/>
      <c r="G465" s="1075" t="s">
        <v>9065</v>
      </c>
      <c r="H465" s="1075" t="s">
        <v>9065</v>
      </c>
      <c r="I465" s="1075" t="s">
        <v>6651</v>
      </c>
      <c r="J465" s="1075"/>
      <c r="K465" s="1075"/>
      <c r="L465" s="1075" t="s">
        <v>9888</v>
      </c>
      <c r="M465" s="1077" t="s">
        <v>6650</v>
      </c>
      <c r="N465" s="1078">
        <v>6512400</v>
      </c>
      <c r="O465" s="1078"/>
      <c r="P465" s="1078"/>
      <c r="Q465" s="1079"/>
      <c r="V465" s="1084"/>
    </row>
    <row r="466" spans="1:22" s="1082" customFormat="1" ht="24" customHeight="1">
      <c r="A466" s="1075">
        <v>447</v>
      </c>
      <c r="B466" s="1075"/>
      <c r="C466" s="1075"/>
      <c r="D466" s="1075"/>
      <c r="E466" s="1075" t="s">
        <v>10445</v>
      </c>
      <c r="F466" s="1076"/>
      <c r="G466" s="1075" t="s">
        <v>9065</v>
      </c>
      <c r="H466" s="1075" t="s">
        <v>9065</v>
      </c>
      <c r="I466" s="1075" t="s">
        <v>6653</v>
      </c>
      <c r="J466" s="1075"/>
      <c r="K466" s="1075"/>
      <c r="L466" s="1075" t="s">
        <v>9888</v>
      </c>
      <c r="M466" s="1077" t="s">
        <v>6652</v>
      </c>
      <c r="N466" s="1078">
        <v>6512400</v>
      </c>
      <c r="O466" s="1078"/>
      <c r="P466" s="1078"/>
      <c r="Q466" s="1079"/>
      <c r="V466" s="1084"/>
    </row>
    <row r="467" spans="1:22" s="1082" customFormat="1" ht="24" customHeight="1">
      <c r="A467" s="1075">
        <v>448</v>
      </c>
      <c r="B467" s="1075"/>
      <c r="C467" s="1075"/>
      <c r="D467" s="1075"/>
      <c r="E467" s="1075" t="s">
        <v>10446</v>
      </c>
      <c r="F467" s="1076"/>
      <c r="G467" s="1075" t="s">
        <v>9065</v>
      </c>
      <c r="H467" s="1075" t="s">
        <v>9065</v>
      </c>
      <c r="I467" s="1075" t="s">
        <v>6655</v>
      </c>
      <c r="J467" s="1075"/>
      <c r="K467" s="1075"/>
      <c r="L467" s="1075" t="s">
        <v>9888</v>
      </c>
      <c r="M467" s="1077" t="s">
        <v>6654</v>
      </c>
      <c r="N467" s="1078">
        <v>6512400</v>
      </c>
      <c r="O467" s="1078"/>
      <c r="P467" s="1078"/>
      <c r="Q467" s="1079"/>
      <c r="V467" s="1084"/>
    </row>
    <row r="468" spans="1:22" s="1082" customFormat="1" ht="24" customHeight="1">
      <c r="A468" s="1075">
        <v>449</v>
      </c>
      <c r="B468" s="1075"/>
      <c r="C468" s="1075"/>
      <c r="D468" s="1075"/>
      <c r="E468" s="1075" t="s">
        <v>10448</v>
      </c>
      <c r="F468" s="1076"/>
      <c r="G468" s="1075" t="s">
        <v>9065</v>
      </c>
      <c r="H468" s="1075" t="s">
        <v>9065</v>
      </c>
      <c r="I468" s="1075" t="s">
        <v>6660</v>
      </c>
      <c r="J468" s="1075"/>
      <c r="K468" s="1075"/>
      <c r="L468" s="1075" t="s">
        <v>9888</v>
      </c>
      <c r="M468" s="1077" t="s">
        <v>6659</v>
      </c>
      <c r="N468" s="1078">
        <v>6512400</v>
      </c>
      <c r="O468" s="1078"/>
      <c r="P468" s="1078"/>
      <c r="Q468" s="1079"/>
      <c r="V468" s="1084"/>
    </row>
    <row r="469" spans="1:22" s="1082" customFormat="1" ht="24" customHeight="1">
      <c r="A469" s="1075">
        <v>450</v>
      </c>
      <c r="B469" s="1075"/>
      <c r="C469" s="1075"/>
      <c r="D469" s="1075"/>
      <c r="E469" s="1075" t="s">
        <v>10449</v>
      </c>
      <c r="F469" s="1076"/>
      <c r="G469" s="1075" t="s">
        <v>9065</v>
      </c>
      <c r="H469" s="1075" t="s">
        <v>9065</v>
      </c>
      <c r="I469" s="1075" t="s">
        <v>6662</v>
      </c>
      <c r="J469" s="1075"/>
      <c r="K469" s="1075"/>
      <c r="L469" s="1075" t="s">
        <v>9888</v>
      </c>
      <c r="M469" s="1077" t="s">
        <v>6661</v>
      </c>
      <c r="N469" s="1078">
        <v>6512400</v>
      </c>
      <c r="O469" s="1078"/>
      <c r="P469" s="1078"/>
      <c r="Q469" s="1079"/>
      <c r="V469" s="1084"/>
    </row>
    <row r="470" spans="1:22" s="1083" customFormat="1" ht="24" customHeight="1">
      <c r="A470" s="1075">
        <v>451</v>
      </c>
      <c r="B470" s="1069" t="s">
        <v>234</v>
      </c>
      <c r="C470" s="1069"/>
      <c r="D470" s="1069"/>
      <c r="E470" s="1069" t="s">
        <v>10450</v>
      </c>
      <c r="F470" s="1070"/>
      <c r="G470" s="1069" t="s">
        <v>9065</v>
      </c>
      <c r="H470" s="1069" t="s">
        <v>9065</v>
      </c>
      <c r="I470" s="1069" t="s">
        <v>5716</v>
      </c>
      <c r="J470" s="1069"/>
      <c r="K470" s="1125" t="s">
        <v>16210</v>
      </c>
      <c r="L470" s="1069" t="s">
        <v>5130</v>
      </c>
      <c r="M470" s="1071" t="s">
        <v>5715</v>
      </c>
      <c r="N470" s="1072">
        <v>6512400</v>
      </c>
      <c r="O470" s="1072"/>
      <c r="P470" s="1072" t="s">
        <v>16146</v>
      </c>
      <c r="Q470" s="1073" t="s">
        <v>16211</v>
      </c>
      <c r="V470" s="1085"/>
    </row>
    <row r="471" spans="1:22" s="1082" customFormat="1" ht="24" customHeight="1">
      <c r="A471" s="1075">
        <v>452</v>
      </c>
      <c r="B471" s="1075"/>
      <c r="C471" s="1075"/>
      <c r="D471" s="1075"/>
      <c r="E471" s="1075" t="s">
        <v>10452</v>
      </c>
      <c r="F471" s="1076"/>
      <c r="G471" s="1075" t="s">
        <v>9065</v>
      </c>
      <c r="H471" s="1075" t="s">
        <v>9065</v>
      </c>
      <c r="I471" s="1075" t="s">
        <v>6664</v>
      </c>
      <c r="J471" s="1075"/>
      <c r="K471" s="1075"/>
      <c r="L471" s="1075" t="s">
        <v>9888</v>
      </c>
      <c r="M471" s="1077" t="s">
        <v>6663</v>
      </c>
      <c r="N471" s="1078">
        <v>6512400</v>
      </c>
      <c r="O471" s="1078"/>
      <c r="P471" s="1078"/>
      <c r="Q471" s="1079"/>
      <c r="V471" s="1084"/>
    </row>
    <row r="472" spans="1:22" s="1082" customFormat="1" ht="24" customHeight="1">
      <c r="A472" s="1075">
        <v>453</v>
      </c>
      <c r="B472" s="1075"/>
      <c r="C472" s="1075"/>
      <c r="D472" s="1075"/>
      <c r="E472" s="1075" t="s">
        <v>10453</v>
      </c>
      <c r="F472" s="1076"/>
      <c r="G472" s="1075" t="s">
        <v>9065</v>
      </c>
      <c r="H472" s="1075" t="s">
        <v>9065</v>
      </c>
      <c r="I472" s="1075" t="s">
        <v>6666</v>
      </c>
      <c r="J472" s="1075"/>
      <c r="K472" s="1075"/>
      <c r="L472" s="1075" t="s">
        <v>9888</v>
      </c>
      <c r="M472" s="1077" t="s">
        <v>6665</v>
      </c>
      <c r="N472" s="1078">
        <v>6512400</v>
      </c>
      <c r="O472" s="1078"/>
      <c r="P472" s="1078"/>
      <c r="Q472" s="1079"/>
      <c r="V472" s="1084"/>
    </row>
    <row r="473" spans="1:22" s="1082" customFormat="1" ht="24" customHeight="1">
      <c r="A473" s="1075">
        <v>454</v>
      </c>
      <c r="B473" s="1075"/>
      <c r="C473" s="1075"/>
      <c r="D473" s="1075"/>
      <c r="E473" s="1075" t="s">
        <v>10454</v>
      </c>
      <c r="F473" s="1076"/>
      <c r="G473" s="1075" t="s">
        <v>9065</v>
      </c>
      <c r="H473" s="1075" t="s">
        <v>9065</v>
      </c>
      <c r="I473" s="1075" t="s">
        <v>5720</v>
      </c>
      <c r="J473" s="1075" t="s">
        <v>15595</v>
      </c>
      <c r="K473" s="1075" t="s">
        <v>15594</v>
      </c>
      <c r="L473" s="1075" t="s">
        <v>5130</v>
      </c>
      <c r="M473" s="1077" t="s">
        <v>5719</v>
      </c>
      <c r="N473" s="1078">
        <v>6512400</v>
      </c>
      <c r="O473" s="1078" t="s">
        <v>375</v>
      </c>
      <c r="P473" s="1078"/>
      <c r="Q473" s="1079"/>
      <c r="V473" s="1084"/>
    </row>
    <row r="474" spans="1:22" s="1082" customFormat="1" ht="24" customHeight="1">
      <c r="A474" s="1075">
        <v>455</v>
      </c>
      <c r="B474" s="376" t="s">
        <v>1595</v>
      </c>
      <c r="C474" s="376"/>
      <c r="D474" s="376"/>
      <c r="E474" s="1075" t="s">
        <v>10455</v>
      </c>
      <c r="F474" s="1076"/>
      <c r="G474" s="1075" t="s">
        <v>9065</v>
      </c>
      <c r="H474" s="1075" t="s">
        <v>9065</v>
      </c>
      <c r="I474" s="1075" t="s">
        <v>5722</v>
      </c>
      <c r="J474" s="1075" t="s">
        <v>2106</v>
      </c>
      <c r="K474" s="1075" t="s">
        <v>2105</v>
      </c>
      <c r="L474" s="1075" t="s">
        <v>5130</v>
      </c>
      <c r="M474" s="1077" t="s">
        <v>5721</v>
      </c>
      <c r="N474" s="1078">
        <v>6512400</v>
      </c>
      <c r="O474" s="1078" t="s">
        <v>985</v>
      </c>
      <c r="P474" s="1078"/>
      <c r="Q474" s="1079"/>
      <c r="V474" s="1084"/>
    </row>
    <row r="475" spans="1:22" s="1082" customFormat="1" ht="24" customHeight="1">
      <c r="A475" s="1075">
        <v>456</v>
      </c>
      <c r="B475" s="1075" t="s">
        <v>1592</v>
      </c>
      <c r="C475" s="1075"/>
      <c r="D475" s="1075"/>
      <c r="E475" s="1075" t="s">
        <v>10456</v>
      </c>
      <c r="F475" s="1076"/>
      <c r="G475" s="1075" t="s">
        <v>9065</v>
      </c>
      <c r="H475" s="1075" t="s">
        <v>9065</v>
      </c>
      <c r="I475" s="1075" t="s">
        <v>5724</v>
      </c>
      <c r="J475" s="1075" t="s">
        <v>1664</v>
      </c>
      <c r="K475" s="1075" t="s">
        <v>1663</v>
      </c>
      <c r="L475" s="1075" t="s">
        <v>5130</v>
      </c>
      <c r="M475" s="1077" t="s">
        <v>5723</v>
      </c>
      <c r="N475" s="1078">
        <v>6512400</v>
      </c>
      <c r="O475" s="1078" t="s">
        <v>985</v>
      </c>
      <c r="P475" s="1078"/>
      <c r="Q475" s="1079"/>
      <c r="V475" s="1084"/>
    </row>
    <row r="476" spans="1:22" s="1082" customFormat="1" ht="24" customHeight="1">
      <c r="A476" s="1075">
        <v>457</v>
      </c>
      <c r="B476" s="1075"/>
      <c r="C476" s="1075"/>
      <c r="D476" s="1075"/>
      <c r="E476" s="1075" t="s">
        <v>10457</v>
      </c>
      <c r="F476" s="1076"/>
      <c r="G476" s="1075" t="s">
        <v>9065</v>
      </c>
      <c r="H476" s="1075" t="s">
        <v>9065</v>
      </c>
      <c r="I476" s="1075" t="s">
        <v>6668</v>
      </c>
      <c r="J476" s="1075"/>
      <c r="K476" s="1075"/>
      <c r="L476" s="1075" t="s">
        <v>9888</v>
      </c>
      <c r="M476" s="1077" t="s">
        <v>6667</v>
      </c>
      <c r="N476" s="1078">
        <v>6512400</v>
      </c>
      <c r="O476" s="1078"/>
      <c r="P476" s="1078"/>
      <c r="Q476" s="1079"/>
      <c r="V476" s="1084"/>
    </row>
    <row r="477" spans="1:22" s="1082" customFormat="1" ht="24" customHeight="1">
      <c r="A477" s="1075">
        <v>458</v>
      </c>
      <c r="B477" s="1075"/>
      <c r="C477" s="1075"/>
      <c r="D477" s="1075"/>
      <c r="E477" s="1075" t="s">
        <v>10458</v>
      </c>
      <c r="F477" s="1076"/>
      <c r="G477" s="1075" t="s">
        <v>9065</v>
      </c>
      <c r="H477" s="1075" t="s">
        <v>9065</v>
      </c>
      <c r="I477" s="1075" t="s">
        <v>6670</v>
      </c>
      <c r="J477" s="1075"/>
      <c r="K477" s="1075"/>
      <c r="L477" s="1075" t="s">
        <v>9888</v>
      </c>
      <c r="M477" s="1077" t="s">
        <v>6669</v>
      </c>
      <c r="N477" s="1078">
        <v>6512400</v>
      </c>
      <c r="O477" s="1078"/>
      <c r="P477" s="1078"/>
      <c r="Q477" s="1079"/>
      <c r="V477" s="1084"/>
    </row>
    <row r="478" spans="1:22" s="1082" customFormat="1" ht="24" customHeight="1">
      <c r="A478" s="1075">
        <v>459</v>
      </c>
      <c r="B478" s="1075"/>
      <c r="C478" s="1075"/>
      <c r="D478" s="1075"/>
      <c r="E478" s="1075" t="s">
        <v>10461</v>
      </c>
      <c r="F478" s="1076"/>
      <c r="G478" s="1075" t="s">
        <v>9065</v>
      </c>
      <c r="H478" s="1075" t="s">
        <v>9065</v>
      </c>
      <c r="I478" s="1075" t="s">
        <v>6676</v>
      </c>
      <c r="J478" s="1075"/>
      <c r="K478" s="1075"/>
      <c r="L478" s="1075" t="s">
        <v>9888</v>
      </c>
      <c r="M478" s="1077" t="s">
        <v>6675</v>
      </c>
      <c r="N478" s="1078">
        <v>6512400</v>
      </c>
      <c r="O478" s="1078"/>
      <c r="P478" s="1078"/>
      <c r="Q478" s="1079"/>
      <c r="V478" s="1084"/>
    </row>
    <row r="479" spans="1:22" s="1082" customFormat="1" ht="24" customHeight="1">
      <c r="A479" s="1075">
        <v>460</v>
      </c>
      <c r="B479" s="1075"/>
      <c r="C479" s="1075"/>
      <c r="D479" s="1075"/>
      <c r="E479" s="1075" t="s">
        <v>10462</v>
      </c>
      <c r="F479" s="1076"/>
      <c r="G479" s="1075" t="s">
        <v>9065</v>
      </c>
      <c r="H479" s="1075" t="s">
        <v>9065</v>
      </c>
      <c r="I479" s="1075" t="s">
        <v>6678</v>
      </c>
      <c r="J479" s="1075"/>
      <c r="K479" s="1075"/>
      <c r="L479" s="1075" t="s">
        <v>9888</v>
      </c>
      <c r="M479" s="1077" t="s">
        <v>6677</v>
      </c>
      <c r="N479" s="1078">
        <v>6512400</v>
      </c>
      <c r="O479" s="1078"/>
      <c r="P479" s="1078"/>
      <c r="Q479" s="1079"/>
      <c r="V479" s="1084"/>
    </row>
    <row r="480" spans="1:22" s="1082" customFormat="1" ht="24" customHeight="1">
      <c r="A480" s="1075">
        <v>461</v>
      </c>
      <c r="B480" s="1075"/>
      <c r="C480" s="1075"/>
      <c r="D480" s="1075"/>
      <c r="E480" s="1075" t="s">
        <v>10463</v>
      </c>
      <c r="F480" s="1076"/>
      <c r="G480" s="1075" t="s">
        <v>9065</v>
      </c>
      <c r="H480" s="1075" t="s">
        <v>9065</v>
      </c>
      <c r="I480" s="1075" t="s">
        <v>6680</v>
      </c>
      <c r="J480" s="1075"/>
      <c r="K480" s="1075"/>
      <c r="L480" s="1075" t="s">
        <v>9888</v>
      </c>
      <c r="M480" s="1077" t="s">
        <v>6679</v>
      </c>
      <c r="N480" s="1078">
        <v>6512400</v>
      </c>
      <c r="O480" s="1078"/>
      <c r="P480" s="1078"/>
      <c r="Q480" s="1079"/>
      <c r="V480" s="1084"/>
    </row>
    <row r="481" spans="1:22" s="1082" customFormat="1" ht="24" customHeight="1">
      <c r="A481" s="1075">
        <v>462</v>
      </c>
      <c r="B481" s="1075"/>
      <c r="C481" s="1075"/>
      <c r="D481" s="1075"/>
      <c r="E481" s="1075" t="s">
        <v>10464</v>
      </c>
      <c r="F481" s="1076"/>
      <c r="G481" s="1075" t="s">
        <v>9065</v>
      </c>
      <c r="H481" s="1075" t="s">
        <v>9065</v>
      </c>
      <c r="I481" s="1075" t="s">
        <v>6682</v>
      </c>
      <c r="J481" s="1075"/>
      <c r="K481" s="1075"/>
      <c r="L481" s="1075" t="s">
        <v>9888</v>
      </c>
      <c r="M481" s="1077" t="s">
        <v>6681</v>
      </c>
      <c r="N481" s="1078">
        <v>6512400</v>
      </c>
      <c r="O481" s="1078"/>
      <c r="P481" s="1078"/>
      <c r="Q481" s="1079"/>
      <c r="V481" s="1084"/>
    </row>
    <row r="482" spans="1:22" s="1082" customFormat="1" ht="24" customHeight="1">
      <c r="A482" s="1075">
        <v>463</v>
      </c>
      <c r="B482" s="1075"/>
      <c r="C482" s="1075"/>
      <c r="D482" s="1075"/>
      <c r="E482" s="1075" t="s">
        <v>10465</v>
      </c>
      <c r="F482" s="1076"/>
      <c r="G482" s="1075" t="s">
        <v>9065</v>
      </c>
      <c r="H482" s="1075" t="s">
        <v>9065</v>
      </c>
      <c r="I482" s="1075" t="s">
        <v>6684</v>
      </c>
      <c r="J482" s="1075"/>
      <c r="K482" s="1075"/>
      <c r="L482" s="1075" t="s">
        <v>9888</v>
      </c>
      <c r="M482" s="1077" t="s">
        <v>6683</v>
      </c>
      <c r="N482" s="1078">
        <v>6512400</v>
      </c>
      <c r="O482" s="1078"/>
      <c r="P482" s="1078"/>
      <c r="Q482" s="1079"/>
      <c r="V482" s="1084"/>
    </row>
    <row r="483" spans="1:22" s="1082" customFormat="1" ht="24" customHeight="1">
      <c r="A483" s="1075">
        <v>464</v>
      </c>
      <c r="B483" s="1075"/>
      <c r="C483" s="1075"/>
      <c r="D483" s="1075"/>
      <c r="E483" s="1075" t="s">
        <v>10466</v>
      </c>
      <c r="F483" s="1076"/>
      <c r="G483" s="1075" t="s">
        <v>9065</v>
      </c>
      <c r="H483" s="1075" t="s">
        <v>9065</v>
      </c>
      <c r="I483" s="1075" t="s">
        <v>6686</v>
      </c>
      <c r="J483" s="1075"/>
      <c r="K483" s="1075"/>
      <c r="L483" s="1075" t="s">
        <v>9888</v>
      </c>
      <c r="M483" s="1077" t="s">
        <v>6685</v>
      </c>
      <c r="N483" s="1078">
        <v>6512400</v>
      </c>
      <c r="O483" s="1078"/>
      <c r="P483" s="1078"/>
      <c r="Q483" s="1079"/>
      <c r="V483" s="1084"/>
    </row>
    <row r="484" spans="1:22" s="1082" customFormat="1" ht="24" customHeight="1">
      <c r="A484" s="1075">
        <v>465</v>
      </c>
      <c r="B484" s="1075"/>
      <c r="C484" s="1075"/>
      <c r="D484" s="1075"/>
      <c r="E484" s="1075" t="s">
        <v>10467</v>
      </c>
      <c r="F484" s="1076"/>
      <c r="G484" s="1075" t="s">
        <v>9065</v>
      </c>
      <c r="H484" s="1075" t="s">
        <v>9065</v>
      </c>
      <c r="I484" s="1075" t="s">
        <v>6688</v>
      </c>
      <c r="J484" s="1075"/>
      <c r="K484" s="1075"/>
      <c r="L484" s="1075" t="s">
        <v>9888</v>
      </c>
      <c r="M484" s="1077" t="s">
        <v>6687</v>
      </c>
      <c r="N484" s="1078">
        <v>6512400</v>
      </c>
      <c r="O484" s="1078"/>
      <c r="P484" s="1078"/>
      <c r="Q484" s="1079"/>
      <c r="V484" s="1084"/>
    </row>
    <row r="485" spans="1:22" s="1082" customFormat="1" ht="24" customHeight="1">
      <c r="A485" s="1075">
        <v>466</v>
      </c>
      <c r="B485" s="376" t="s">
        <v>1595</v>
      </c>
      <c r="C485" s="376"/>
      <c r="D485" s="376"/>
      <c r="E485" s="1075" t="s">
        <v>10468</v>
      </c>
      <c r="F485" s="1076"/>
      <c r="G485" s="1075" t="s">
        <v>9065</v>
      </c>
      <c r="H485" s="1075" t="s">
        <v>9065</v>
      </c>
      <c r="I485" s="1075" t="s">
        <v>5726</v>
      </c>
      <c r="J485" s="1075" t="s">
        <v>2051</v>
      </c>
      <c r="K485" s="1075" t="s">
        <v>15902</v>
      </c>
      <c r="L485" s="1075" t="s">
        <v>5130</v>
      </c>
      <c r="M485" s="1077" t="s">
        <v>5725</v>
      </c>
      <c r="N485" s="1078">
        <v>6512400</v>
      </c>
      <c r="O485" s="1078" t="s">
        <v>375</v>
      </c>
      <c r="P485" s="1078"/>
      <c r="Q485" s="1079"/>
      <c r="V485" s="1084"/>
    </row>
    <row r="486" spans="1:22" s="1082" customFormat="1" ht="24" customHeight="1">
      <c r="A486" s="1075">
        <v>467</v>
      </c>
      <c r="B486" s="1075"/>
      <c r="C486" s="1075"/>
      <c r="D486" s="1075"/>
      <c r="E486" s="1075" t="s">
        <v>10469</v>
      </c>
      <c r="F486" s="1076"/>
      <c r="G486" s="1075" t="s">
        <v>9065</v>
      </c>
      <c r="H486" s="1075" t="s">
        <v>9065</v>
      </c>
      <c r="I486" s="1075" t="s">
        <v>6690</v>
      </c>
      <c r="J486" s="1075"/>
      <c r="K486" s="1075"/>
      <c r="L486" s="1075" t="s">
        <v>9888</v>
      </c>
      <c r="M486" s="1077" t="s">
        <v>6689</v>
      </c>
      <c r="N486" s="1078">
        <v>6512400</v>
      </c>
      <c r="O486" s="1078"/>
      <c r="P486" s="1078"/>
      <c r="Q486" s="1079"/>
      <c r="V486" s="1084"/>
    </row>
    <row r="487" spans="1:22" s="1082" customFormat="1" ht="24" customHeight="1">
      <c r="A487" s="1075">
        <v>468</v>
      </c>
      <c r="B487" s="1075"/>
      <c r="C487" s="1075"/>
      <c r="D487" s="1075"/>
      <c r="E487" s="1075" t="s">
        <v>10470</v>
      </c>
      <c r="F487" s="1076"/>
      <c r="G487" s="1075" t="s">
        <v>9065</v>
      </c>
      <c r="H487" s="1075" t="s">
        <v>9065</v>
      </c>
      <c r="I487" s="1075" t="s">
        <v>6692</v>
      </c>
      <c r="J487" s="1075"/>
      <c r="K487" s="1075"/>
      <c r="L487" s="1075" t="s">
        <v>9888</v>
      </c>
      <c r="M487" s="1077" t="s">
        <v>6691</v>
      </c>
      <c r="N487" s="1078">
        <v>6512400</v>
      </c>
      <c r="O487" s="1078"/>
      <c r="P487" s="1078"/>
      <c r="Q487" s="1079"/>
      <c r="V487" s="1084"/>
    </row>
    <row r="488" spans="1:22" s="1082" customFormat="1" ht="24" customHeight="1">
      <c r="A488" s="1075">
        <v>469</v>
      </c>
      <c r="B488" s="1075"/>
      <c r="C488" s="1075"/>
      <c r="D488" s="1075"/>
      <c r="E488" s="1075" t="s">
        <v>10471</v>
      </c>
      <c r="F488" s="1076"/>
      <c r="G488" s="1075" t="s">
        <v>9065</v>
      </c>
      <c r="H488" s="1075" t="s">
        <v>9065</v>
      </c>
      <c r="I488" s="1075" t="s">
        <v>6694</v>
      </c>
      <c r="J488" s="1075"/>
      <c r="K488" s="1075"/>
      <c r="L488" s="1075" t="s">
        <v>9888</v>
      </c>
      <c r="M488" s="1077" t="s">
        <v>6693</v>
      </c>
      <c r="N488" s="1078">
        <v>6512400</v>
      </c>
      <c r="O488" s="1078"/>
      <c r="P488" s="1078"/>
      <c r="Q488" s="1079"/>
      <c r="V488" s="1084"/>
    </row>
    <row r="489" spans="1:22" s="1082" customFormat="1" ht="24" customHeight="1">
      <c r="A489" s="1075">
        <v>470</v>
      </c>
      <c r="B489" s="376" t="s">
        <v>1595</v>
      </c>
      <c r="C489" s="376"/>
      <c r="D489" s="376"/>
      <c r="E489" s="1075" t="s">
        <v>10472</v>
      </c>
      <c r="F489" s="1076"/>
      <c r="G489" s="1075" t="s">
        <v>9065</v>
      </c>
      <c r="H489" s="1075" t="s">
        <v>9065</v>
      </c>
      <c r="I489" s="1075" t="s">
        <v>5728</v>
      </c>
      <c r="J489" s="1075" t="s">
        <v>2118</v>
      </c>
      <c r="K489" s="1075" t="s">
        <v>2117</v>
      </c>
      <c r="L489" s="1075" t="s">
        <v>5130</v>
      </c>
      <c r="M489" s="1077" t="s">
        <v>5727</v>
      </c>
      <c r="N489" s="1078">
        <v>6512400</v>
      </c>
      <c r="O489" s="1078" t="s">
        <v>375</v>
      </c>
      <c r="P489" s="1078"/>
      <c r="Q489" s="1079"/>
      <c r="V489" s="1084"/>
    </row>
    <row r="490" spans="1:22" s="1082" customFormat="1" ht="24" customHeight="1">
      <c r="A490" s="1075">
        <v>471</v>
      </c>
      <c r="B490" s="1075"/>
      <c r="C490" s="1075"/>
      <c r="D490" s="1075"/>
      <c r="E490" s="1075" t="s">
        <v>10474</v>
      </c>
      <c r="F490" s="1076"/>
      <c r="G490" s="1075" t="s">
        <v>9065</v>
      </c>
      <c r="H490" s="1075" t="s">
        <v>9065</v>
      </c>
      <c r="I490" s="1075" t="s">
        <v>6698</v>
      </c>
      <c r="J490" s="1075"/>
      <c r="K490" s="1075"/>
      <c r="L490" s="1075" t="s">
        <v>9888</v>
      </c>
      <c r="M490" s="1077" t="s">
        <v>6697</v>
      </c>
      <c r="N490" s="1078">
        <v>6512400</v>
      </c>
      <c r="O490" s="1078"/>
      <c r="P490" s="1078"/>
      <c r="Q490" s="1079"/>
      <c r="V490" s="1084"/>
    </row>
    <row r="491" spans="1:22" s="1082" customFormat="1" ht="24" customHeight="1">
      <c r="A491" s="1075">
        <v>472</v>
      </c>
      <c r="B491" s="1075"/>
      <c r="C491" s="1075"/>
      <c r="D491" s="1075"/>
      <c r="E491" s="1075" t="s">
        <v>10475</v>
      </c>
      <c r="F491" s="1076"/>
      <c r="G491" s="1075" t="s">
        <v>9065</v>
      </c>
      <c r="H491" s="1075" t="s">
        <v>9065</v>
      </c>
      <c r="I491" s="1075" t="s">
        <v>6700</v>
      </c>
      <c r="J491" s="1075"/>
      <c r="K491" s="1075"/>
      <c r="L491" s="1075" t="s">
        <v>9888</v>
      </c>
      <c r="M491" s="1077" t="s">
        <v>6699</v>
      </c>
      <c r="N491" s="1078">
        <v>6512400</v>
      </c>
      <c r="O491" s="1078"/>
      <c r="P491" s="1078"/>
      <c r="Q491" s="1079"/>
      <c r="V491" s="1084"/>
    </row>
    <row r="492" spans="1:22" s="1082" customFormat="1" ht="24" customHeight="1">
      <c r="A492" s="1075">
        <v>473</v>
      </c>
      <c r="B492" s="1075"/>
      <c r="C492" s="1075"/>
      <c r="D492" s="1075"/>
      <c r="E492" s="1075" t="s">
        <v>10476</v>
      </c>
      <c r="F492" s="1076"/>
      <c r="G492" s="1075" t="s">
        <v>9065</v>
      </c>
      <c r="H492" s="1075" t="s">
        <v>9065</v>
      </c>
      <c r="I492" s="1075" t="s">
        <v>6702</v>
      </c>
      <c r="J492" s="1075"/>
      <c r="K492" s="1075"/>
      <c r="L492" s="1075" t="s">
        <v>9888</v>
      </c>
      <c r="M492" s="1077" t="s">
        <v>6701</v>
      </c>
      <c r="N492" s="1078">
        <v>6512400</v>
      </c>
      <c r="O492" s="1078"/>
      <c r="P492" s="1078"/>
      <c r="Q492" s="1079"/>
      <c r="V492" s="1084"/>
    </row>
    <row r="493" spans="1:22" s="1082" customFormat="1" ht="24" customHeight="1">
      <c r="A493" s="1075">
        <v>474</v>
      </c>
      <c r="B493" s="1075"/>
      <c r="C493" s="1075"/>
      <c r="D493" s="1075"/>
      <c r="E493" s="1075" t="s">
        <v>10477</v>
      </c>
      <c r="F493" s="1076"/>
      <c r="G493" s="1075" t="s">
        <v>9065</v>
      </c>
      <c r="H493" s="1075" t="s">
        <v>9065</v>
      </c>
      <c r="I493" s="1075" t="s">
        <v>6704</v>
      </c>
      <c r="J493" s="1075"/>
      <c r="K493" s="1075"/>
      <c r="L493" s="1075" t="s">
        <v>9888</v>
      </c>
      <c r="M493" s="1077" t="s">
        <v>6703</v>
      </c>
      <c r="N493" s="1078">
        <v>6512400</v>
      </c>
      <c r="O493" s="1078"/>
      <c r="P493" s="1078"/>
      <c r="Q493" s="1079"/>
      <c r="V493" s="1084"/>
    </row>
    <row r="494" spans="1:22" s="1082" customFormat="1" ht="24" customHeight="1">
      <c r="A494" s="1075">
        <v>475</v>
      </c>
      <c r="B494" s="1075"/>
      <c r="C494" s="1075"/>
      <c r="D494" s="1075"/>
      <c r="E494" s="1075" t="s">
        <v>10478</v>
      </c>
      <c r="F494" s="1076"/>
      <c r="G494" s="1075" t="s">
        <v>9065</v>
      </c>
      <c r="H494" s="1075" t="s">
        <v>9065</v>
      </c>
      <c r="I494" s="1075" t="s">
        <v>6706</v>
      </c>
      <c r="J494" s="1075"/>
      <c r="K494" s="1075"/>
      <c r="L494" s="1075" t="s">
        <v>9888</v>
      </c>
      <c r="M494" s="1077" t="s">
        <v>6705</v>
      </c>
      <c r="N494" s="1078">
        <v>6512400</v>
      </c>
      <c r="O494" s="1078"/>
      <c r="P494" s="1078"/>
      <c r="Q494" s="1079"/>
      <c r="V494" s="1084"/>
    </row>
    <row r="495" spans="1:22" s="1082" customFormat="1" ht="24" customHeight="1">
      <c r="A495" s="1075">
        <v>476</v>
      </c>
      <c r="B495" s="1075"/>
      <c r="C495" s="1075"/>
      <c r="D495" s="1075"/>
      <c r="E495" s="1075" t="s">
        <v>10480</v>
      </c>
      <c r="F495" s="1076"/>
      <c r="G495" s="1075" t="s">
        <v>9065</v>
      </c>
      <c r="H495" s="1075" t="s">
        <v>9065</v>
      </c>
      <c r="I495" s="1075" t="s">
        <v>6708</v>
      </c>
      <c r="J495" s="1075"/>
      <c r="K495" s="1075"/>
      <c r="L495" s="1075" t="s">
        <v>9888</v>
      </c>
      <c r="M495" s="1077" t="s">
        <v>6707</v>
      </c>
      <c r="N495" s="1078">
        <v>6512400</v>
      </c>
      <c r="O495" s="1078"/>
      <c r="P495" s="1078"/>
      <c r="Q495" s="1079"/>
      <c r="V495" s="1084"/>
    </row>
    <row r="496" spans="1:22" s="1082" customFormat="1" ht="24" customHeight="1">
      <c r="A496" s="1075">
        <v>477</v>
      </c>
      <c r="B496" s="1075"/>
      <c r="C496" s="1075"/>
      <c r="D496" s="1075"/>
      <c r="E496" s="1075" t="s">
        <v>10481</v>
      </c>
      <c r="F496" s="1076"/>
      <c r="G496" s="1075" t="s">
        <v>9065</v>
      </c>
      <c r="H496" s="1075" t="s">
        <v>9065</v>
      </c>
      <c r="I496" s="1075" t="s">
        <v>6711</v>
      </c>
      <c r="J496" s="1075"/>
      <c r="K496" s="1075"/>
      <c r="L496" s="1075" t="s">
        <v>9888</v>
      </c>
      <c r="M496" s="1077" t="s">
        <v>6710</v>
      </c>
      <c r="N496" s="1078">
        <v>6512400</v>
      </c>
      <c r="O496" s="1078"/>
      <c r="P496" s="1078"/>
      <c r="Q496" s="1079"/>
      <c r="V496" s="1084"/>
    </row>
    <row r="497" spans="1:22" s="1082" customFormat="1" ht="24" customHeight="1">
      <c r="A497" s="1075">
        <v>478</v>
      </c>
      <c r="B497" s="1075"/>
      <c r="C497" s="1075"/>
      <c r="D497" s="1075"/>
      <c r="E497" s="1075" t="s">
        <v>10482</v>
      </c>
      <c r="F497" s="1076"/>
      <c r="G497" s="1075" t="s">
        <v>9065</v>
      </c>
      <c r="H497" s="1075" t="s">
        <v>9065</v>
      </c>
      <c r="I497" s="1075" t="s">
        <v>6713</v>
      </c>
      <c r="J497" s="1075"/>
      <c r="K497" s="1075"/>
      <c r="L497" s="1075" t="s">
        <v>9888</v>
      </c>
      <c r="M497" s="1077" t="s">
        <v>6712</v>
      </c>
      <c r="N497" s="1078">
        <v>6512400</v>
      </c>
      <c r="O497" s="1078"/>
      <c r="P497" s="1078"/>
      <c r="Q497" s="1079"/>
      <c r="V497" s="1084"/>
    </row>
    <row r="498" spans="1:22" s="1082" customFormat="1" ht="24" customHeight="1">
      <c r="A498" s="1075">
        <v>479</v>
      </c>
      <c r="B498" s="1075"/>
      <c r="C498" s="1075"/>
      <c r="D498" s="1075"/>
      <c r="E498" s="1075" t="s">
        <v>10484</v>
      </c>
      <c r="F498" s="1076"/>
      <c r="G498" s="1075" t="s">
        <v>9065</v>
      </c>
      <c r="H498" s="1075" t="s">
        <v>9065</v>
      </c>
      <c r="I498" s="1075" t="s">
        <v>6716</v>
      </c>
      <c r="J498" s="1075"/>
      <c r="K498" s="1075"/>
      <c r="L498" s="1075" t="s">
        <v>9888</v>
      </c>
      <c r="M498" s="1077" t="s">
        <v>6715</v>
      </c>
      <c r="N498" s="1078">
        <v>6512400</v>
      </c>
      <c r="O498" s="1078"/>
      <c r="P498" s="1078"/>
      <c r="Q498" s="1079"/>
      <c r="V498" s="1084"/>
    </row>
    <row r="499" spans="1:22" s="1082" customFormat="1" ht="24" customHeight="1">
      <c r="A499" s="1075">
        <v>480</v>
      </c>
      <c r="B499" s="1075"/>
      <c r="C499" s="1075"/>
      <c r="D499" s="1075"/>
      <c r="E499" s="1075" t="s">
        <v>10485</v>
      </c>
      <c r="F499" s="1076"/>
      <c r="G499" s="1075" t="s">
        <v>9065</v>
      </c>
      <c r="H499" s="1075" t="s">
        <v>9065</v>
      </c>
      <c r="I499" s="1075" t="s">
        <v>6718</v>
      </c>
      <c r="J499" s="1075"/>
      <c r="K499" s="1075"/>
      <c r="L499" s="1075" t="s">
        <v>9888</v>
      </c>
      <c r="M499" s="1077" t="s">
        <v>6717</v>
      </c>
      <c r="N499" s="1078">
        <v>6512400</v>
      </c>
      <c r="O499" s="1078"/>
      <c r="P499" s="1078"/>
      <c r="Q499" s="1079"/>
      <c r="V499" s="1084"/>
    </row>
    <row r="500" spans="1:22" s="1082" customFormat="1" ht="24" customHeight="1">
      <c r="A500" s="1075">
        <v>481</v>
      </c>
      <c r="B500" s="1075"/>
      <c r="C500" s="1075"/>
      <c r="D500" s="1075"/>
      <c r="E500" s="1075" t="s">
        <v>10487</v>
      </c>
      <c r="F500" s="1076"/>
      <c r="G500" s="1075" t="s">
        <v>9065</v>
      </c>
      <c r="H500" s="1075" t="s">
        <v>9065</v>
      </c>
      <c r="I500" s="1075" t="s">
        <v>6722</v>
      </c>
      <c r="J500" s="1075"/>
      <c r="K500" s="1075"/>
      <c r="L500" s="1075" t="s">
        <v>9888</v>
      </c>
      <c r="M500" s="1077" t="s">
        <v>6721</v>
      </c>
      <c r="N500" s="1078">
        <v>6512400</v>
      </c>
      <c r="O500" s="1078"/>
      <c r="P500" s="1078"/>
      <c r="Q500" s="1079"/>
      <c r="V500" s="1084"/>
    </row>
    <row r="501" spans="1:22" s="1082" customFormat="1" ht="24" customHeight="1">
      <c r="A501" s="1075">
        <v>482</v>
      </c>
      <c r="B501" s="1075" t="s">
        <v>1604</v>
      </c>
      <c r="C501" s="1075"/>
      <c r="D501" s="1075"/>
      <c r="E501" s="1075" t="s">
        <v>10489</v>
      </c>
      <c r="F501" s="1076"/>
      <c r="G501" s="1075" t="s">
        <v>9065</v>
      </c>
      <c r="H501" s="1075" t="s">
        <v>9065</v>
      </c>
      <c r="I501" s="1075" t="s">
        <v>5730</v>
      </c>
      <c r="J501" s="1075" t="s">
        <v>2314</v>
      </c>
      <c r="K501" s="1075" t="s">
        <v>2313</v>
      </c>
      <c r="L501" s="1075" t="s">
        <v>5130</v>
      </c>
      <c r="M501" s="1077" t="s">
        <v>5729</v>
      </c>
      <c r="N501" s="1078">
        <v>6512400</v>
      </c>
      <c r="O501" s="1078" t="s">
        <v>375</v>
      </c>
      <c r="P501" s="1078"/>
      <c r="Q501" s="1079"/>
      <c r="V501" s="1084"/>
    </row>
    <row r="502" spans="1:22" s="1082" customFormat="1" ht="24" customHeight="1">
      <c r="A502" s="1075">
        <v>483</v>
      </c>
      <c r="B502" s="1075"/>
      <c r="C502" s="1075"/>
      <c r="D502" s="1075"/>
      <c r="E502" s="1075" t="s">
        <v>10491</v>
      </c>
      <c r="F502" s="1076"/>
      <c r="G502" s="1075" t="s">
        <v>9065</v>
      </c>
      <c r="H502" s="1075" t="s">
        <v>9065</v>
      </c>
      <c r="I502" s="1075" t="s">
        <v>6728</v>
      </c>
      <c r="J502" s="1075"/>
      <c r="K502" s="1075"/>
      <c r="L502" s="1075" t="s">
        <v>9888</v>
      </c>
      <c r="M502" s="1077" t="s">
        <v>6727</v>
      </c>
      <c r="N502" s="1078">
        <v>6512400</v>
      </c>
      <c r="O502" s="1078"/>
      <c r="P502" s="1078"/>
      <c r="Q502" s="1079"/>
      <c r="V502" s="1084"/>
    </row>
    <row r="503" spans="1:22" s="1082" customFormat="1" ht="24" customHeight="1">
      <c r="A503" s="1075">
        <v>484</v>
      </c>
      <c r="B503" s="1075" t="s">
        <v>334</v>
      </c>
      <c r="C503" s="1075"/>
      <c r="D503" s="1075"/>
      <c r="E503" s="1075" t="s">
        <v>10492</v>
      </c>
      <c r="F503" s="1076"/>
      <c r="G503" s="1075" t="s">
        <v>9065</v>
      </c>
      <c r="H503" s="1075" t="s">
        <v>9065</v>
      </c>
      <c r="I503" s="1075" t="s">
        <v>5732</v>
      </c>
      <c r="J503" s="1075" t="s">
        <v>15613</v>
      </c>
      <c r="K503" s="1075" t="s">
        <v>15612</v>
      </c>
      <c r="L503" s="1075" t="s">
        <v>5130</v>
      </c>
      <c r="M503" s="1077" t="s">
        <v>5731</v>
      </c>
      <c r="N503" s="1078">
        <v>6512400</v>
      </c>
      <c r="O503" s="1078" t="s">
        <v>375</v>
      </c>
      <c r="P503" s="1078"/>
      <c r="Q503" s="1079"/>
      <c r="V503" s="1084"/>
    </row>
    <row r="504" spans="1:22" s="1082" customFormat="1" ht="24" customHeight="1">
      <c r="A504" s="1075">
        <v>485</v>
      </c>
      <c r="B504" s="1075"/>
      <c r="C504" s="1075"/>
      <c r="D504" s="1075"/>
      <c r="E504" s="1075" t="s">
        <v>10493</v>
      </c>
      <c r="F504" s="1076"/>
      <c r="G504" s="1075" t="s">
        <v>9065</v>
      </c>
      <c r="H504" s="1075" t="s">
        <v>9065</v>
      </c>
      <c r="I504" s="1075" t="s">
        <v>6730</v>
      </c>
      <c r="J504" s="1075"/>
      <c r="K504" s="1075"/>
      <c r="L504" s="1075" t="s">
        <v>9888</v>
      </c>
      <c r="M504" s="1077" t="s">
        <v>6729</v>
      </c>
      <c r="N504" s="1078">
        <v>6512400</v>
      </c>
      <c r="O504" s="1078"/>
      <c r="P504" s="1078"/>
      <c r="Q504" s="1079"/>
      <c r="V504" s="1084"/>
    </row>
    <row r="505" spans="1:22" s="1082" customFormat="1" ht="24" customHeight="1">
      <c r="A505" s="1075">
        <v>486</v>
      </c>
      <c r="B505" s="1075"/>
      <c r="C505" s="1075"/>
      <c r="D505" s="1075"/>
      <c r="E505" s="1075" t="s">
        <v>10494</v>
      </c>
      <c r="F505" s="1076"/>
      <c r="G505" s="1075" t="s">
        <v>9065</v>
      </c>
      <c r="H505" s="1075" t="s">
        <v>9065</v>
      </c>
      <c r="I505" s="1075" t="s">
        <v>6732</v>
      </c>
      <c r="J505" s="1075"/>
      <c r="K505" s="1075"/>
      <c r="L505" s="1075" t="s">
        <v>9888</v>
      </c>
      <c r="M505" s="1077" t="s">
        <v>6731</v>
      </c>
      <c r="N505" s="1078">
        <v>6512400</v>
      </c>
      <c r="O505" s="1078"/>
      <c r="P505" s="1078"/>
      <c r="Q505" s="1079"/>
      <c r="V505" s="1084"/>
    </row>
    <row r="506" spans="1:22" s="1082" customFormat="1" ht="24" customHeight="1">
      <c r="A506" s="1075">
        <v>487</v>
      </c>
      <c r="B506" s="1075"/>
      <c r="C506" s="1075"/>
      <c r="D506" s="1075"/>
      <c r="E506" s="1075" t="s">
        <v>10497</v>
      </c>
      <c r="F506" s="1076"/>
      <c r="G506" s="1075" t="s">
        <v>9065</v>
      </c>
      <c r="H506" s="1075" t="s">
        <v>9065</v>
      </c>
      <c r="I506" s="1075" t="s">
        <v>6738</v>
      </c>
      <c r="J506" s="1075"/>
      <c r="K506" s="1075"/>
      <c r="L506" s="1075" t="s">
        <v>9888</v>
      </c>
      <c r="M506" s="1077" t="s">
        <v>6737</v>
      </c>
      <c r="N506" s="1078">
        <v>6512400</v>
      </c>
      <c r="O506" s="1078"/>
      <c r="P506" s="1078"/>
      <c r="Q506" s="1079"/>
      <c r="V506" s="1084"/>
    </row>
    <row r="507" spans="1:22" s="1082" customFormat="1" ht="24" customHeight="1">
      <c r="A507" s="1075">
        <v>488</v>
      </c>
      <c r="B507" s="1075"/>
      <c r="C507" s="1075"/>
      <c r="D507" s="1075"/>
      <c r="E507" s="1075" t="s">
        <v>10498</v>
      </c>
      <c r="F507" s="1076"/>
      <c r="G507" s="1075" t="s">
        <v>9065</v>
      </c>
      <c r="H507" s="1075" t="s">
        <v>9065</v>
      </c>
      <c r="I507" s="1075" t="s">
        <v>6740</v>
      </c>
      <c r="J507" s="1075"/>
      <c r="K507" s="1075"/>
      <c r="L507" s="1075" t="s">
        <v>9888</v>
      </c>
      <c r="M507" s="1077" t="s">
        <v>6739</v>
      </c>
      <c r="N507" s="1078">
        <v>6512400</v>
      </c>
      <c r="O507" s="1078"/>
      <c r="P507" s="1078"/>
      <c r="Q507" s="1079"/>
      <c r="V507" s="1084"/>
    </row>
    <row r="508" spans="1:22" s="1082" customFormat="1" ht="24" customHeight="1">
      <c r="A508" s="1075">
        <v>489</v>
      </c>
      <c r="B508" s="1075"/>
      <c r="C508" s="1075"/>
      <c r="D508" s="1075"/>
      <c r="E508" s="1075" t="s">
        <v>10501</v>
      </c>
      <c r="F508" s="1076"/>
      <c r="G508" s="1075" t="s">
        <v>9065</v>
      </c>
      <c r="H508" s="1075" t="s">
        <v>9065</v>
      </c>
      <c r="I508" s="1075" t="s">
        <v>6746</v>
      </c>
      <c r="J508" s="1075"/>
      <c r="K508" s="1075"/>
      <c r="L508" s="1075" t="s">
        <v>9888</v>
      </c>
      <c r="M508" s="1077" t="s">
        <v>6745</v>
      </c>
      <c r="N508" s="1078">
        <v>6512400</v>
      </c>
      <c r="O508" s="1078"/>
      <c r="P508" s="1078"/>
      <c r="Q508" s="1079"/>
      <c r="V508" s="1084"/>
    </row>
    <row r="509" spans="1:22" s="1082" customFormat="1" ht="24" customHeight="1">
      <c r="A509" s="1075">
        <v>490</v>
      </c>
      <c r="B509" s="1075"/>
      <c r="C509" s="1075"/>
      <c r="D509" s="1075"/>
      <c r="E509" s="1075" t="s">
        <v>10502</v>
      </c>
      <c r="F509" s="1076"/>
      <c r="G509" s="1075" t="s">
        <v>9065</v>
      </c>
      <c r="H509" s="1075" t="s">
        <v>9065</v>
      </c>
      <c r="I509" s="1075" t="s">
        <v>6748</v>
      </c>
      <c r="J509" s="1075"/>
      <c r="K509" s="1075"/>
      <c r="L509" s="1075" t="s">
        <v>9888</v>
      </c>
      <c r="M509" s="1077" t="s">
        <v>6747</v>
      </c>
      <c r="N509" s="1078">
        <v>6512400</v>
      </c>
      <c r="O509" s="1078"/>
      <c r="P509" s="1078"/>
      <c r="Q509" s="1079"/>
      <c r="V509" s="1084"/>
    </row>
    <row r="510" spans="1:22" s="1133" customFormat="1" ht="24" customHeight="1">
      <c r="A510" s="1075">
        <v>491</v>
      </c>
      <c r="B510" s="1128" t="s">
        <v>423</v>
      </c>
      <c r="C510" s="1128"/>
      <c r="D510" s="1128"/>
      <c r="E510" s="1128" t="s">
        <v>10503</v>
      </c>
      <c r="F510" s="1129"/>
      <c r="G510" s="1128" t="s">
        <v>9065</v>
      </c>
      <c r="H510" s="1128" t="s">
        <v>9065</v>
      </c>
      <c r="I510" s="1128" t="s">
        <v>5734</v>
      </c>
      <c r="J510" s="1128" t="s">
        <v>15651</v>
      </c>
      <c r="K510" s="1128" t="s">
        <v>16179</v>
      </c>
      <c r="L510" s="1128" t="s">
        <v>5130</v>
      </c>
      <c r="M510" s="1130" t="s">
        <v>5733</v>
      </c>
      <c r="N510" s="1131">
        <v>6512400</v>
      </c>
      <c r="O510" s="1131"/>
      <c r="P510" s="1131" t="s">
        <v>16148</v>
      </c>
      <c r="Q510" s="1132"/>
      <c r="V510" s="1134"/>
    </row>
    <row r="511" spans="1:22" s="1082" customFormat="1" ht="24" customHeight="1">
      <c r="A511" s="1075">
        <v>492</v>
      </c>
      <c r="B511" s="1075"/>
      <c r="C511" s="1075"/>
      <c r="D511" s="1075"/>
      <c r="E511" s="1075" t="s">
        <v>10504</v>
      </c>
      <c r="F511" s="1076"/>
      <c r="G511" s="1075" t="s">
        <v>9065</v>
      </c>
      <c r="H511" s="1075" t="s">
        <v>9065</v>
      </c>
      <c r="I511" s="1075" t="s">
        <v>6750</v>
      </c>
      <c r="J511" s="1075"/>
      <c r="K511" s="1075"/>
      <c r="L511" s="1075" t="s">
        <v>9888</v>
      </c>
      <c r="M511" s="1077" t="s">
        <v>6749</v>
      </c>
      <c r="N511" s="1078">
        <v>6512400</v>
      </c>
      <c r="O511" s="1078"/>
      <c r="P511" s="1078"/>
      <c r="Q511" s="1079"/>
      <c r="V511" s="1084"/>
    </row>
    <row r="512" spans="1:22" s="1082" customFormat="1" ht="24" customHeight="1">
      <c r="A512" s="1075">
        <v>493</v>
      </c>
      <c r="B512" s="1075"/>
      <c r="C512" s="1075"/>
      <c r="D512" s="1075"/>
      <c r="E512" s="1075" t="s">
        <v>10505</v>
      </c>
      <c r="F512" s="1076"/>
      <c r="G512" s="1075" t="s">
        <v>9065</v>
      </c>
      <c r="H512" s="1075" t="s">
        <v>9065</v>
      </c>
      <c r="I512" s="1075" t="s">
        <v>6752</v>
      </c>
      <c r="J512" s="1075"/>
      <c r="K512" s="1075"/>
      <c r="L512" s="1075" t="s">
        <v>9888</v>
      </c>
      <c r="M512" s="1077" t="s">
        <v>6751</v>
      </c>
      <c r="N512" s="1078">
        <v>6512400</v>
      </c>
      <c r="O512" s="1078"/>
      <c r="P512" s="1078"/>
      <c r="Q512" s="1079"/>
      <c r="V512" s="1084"/>
    </row>
    <row r="513" spans="1:22" s="1082" customFormat="1" ht="24" customHeight="1">
      <c r="A513" s="1075">
        <v>494</v>
      </c>
      <c r="B513" s="1075"/>
      <c r="C513" s="1075"/>
      <c r="D513" s="1075"/>
      <c r="E513" s="1075" t="s">
        <v>10506</v>
      </c>
      <c r="F513" s="1076"/>
      <c r="G513" s="1075" t="s">
        <v>9065</v>
      </c>
      <c r="H513" s="1075" t="s">
        <v>9065</v>
      </c>
      <c r="I513" s="1075" t="s">
        <v>6754</v>
      </c>
      <c r="J513" s="1075"/>
      <c r="K513" s="1075"/>
      <c r="L513" s="1075" t="s">
        <v>9888</v>
      </c>
      <c r="M513" s="1077" t="s">
        <v>6753</v>
      </c>
      <c r="N513" s="1078">
        <v>6512400</v>
      </c>
      <c r="O513" s="1078"/>
      <c r="P513" s="1078"/>
      <c r="Q513" s="1079"/>
      <c r="V513" s="1084"/>
    </row>
    <row r="514" spans="1:22" s="1082" customFormat="1" ht="24" customHeight="1">
      <c r="A514" s="1075">
        <v>495</v>
      </c>
      <c r="B514" s="1075"/>
      <c r="C514" s="1075"/>
      <c r="D514" s="1075"/>
      <c r="E514" s="1075" t="s">
        <v>10507</v>
      </c>
      <c r="F514" s="1076"/>
      <c r="G514" s="1075" t="s">
        <v>9065</v>
      </c>
      <c r="H514" s="1075" t="s">
        <v>9065</v>
      </c>
      <c r="I514" s="1075" t="s">
        <v>6756</v>
      </c>
      <c r="J514" s="1075"/>
      <c r="K514" s="1075"/>
      <c r="L514" s="1075" t="s">
        <v>9888</v>
      </c>
      <c r="M514" s="1077" t="s">
        <v>6755</v>
      </c>
      <c r="N514" s="1078">
        <v>6512400</v>
      </c>
      <c r="O514" s="1078"/>
      <c r="P514" s="1078"/>
      <c r="Q514" s="1079"/>
      <c r="V514" s="1084"/>
    </row>
    <row r="515" spans="1:22" s="1082" customFormat="1" ht="24" customHeight="1">
      <c r="A515" s="1075">
        <v>496</v>
      </c>
      <c r="B515" s="1075"/>
      <c r="C515" s="1075"/>
      <c r="D515" s="1075"/>
      <c r="E515" s="1075" t="s">
        <v>10508</v>
      </c>
      <c r="F515" s="1076"/>
      <c r="G515" s="1075" t="s">
        <v>9065</v>
      </c>
      <c r="H515" s="1075" t="s">
        <v>9065</v>
      </c>
      <c r="I515" s="1075" t="s">
        <v>6758</v>
      </c>
      <c r="J515" s="1075"/>
      <c r="K515" s="1075"/>
      <c r="L515" s="1075" t="s">
        <v>9888</v>
      </c>
      <c r="M515" s="1077" t="s">
        <v>6757</v>
      </c>
      <c r="N515" s="1078">
        <v>6512400</v>
      </c>
      <c r="O515" s="1078"/>
      <c r="P515" s="1078"/>
      <c r="Q515" s="1079"/>
      <c r="V515" s="1084"/>
    </row>
    <row r="516" spans="1:22" s="1082" customFormat="1" ht="24" customHeight="1">
      <c r="A516" s="1075">
        <v>497</v>
      </c>
      <c r="B516" s="1075"/>
      <c r="C516" s="1075"/>
      <c r="D516" s="1075"/>
      <c r="E516" s="1075" t="s">
        <v>10509</v>
      </c>
      <c r="F516" s="1076"/>
      <c r="G516" s="1075" t="s">
        <v>9065</v>
      </c>
      <c r="H516" s="1075" t="s">
        <v>9065</v>
      </c>
      <c r="I516" s="1075" t="s">
        <v>6760</v>
      </c>
      <c r="J516" s="1075"/>
      <c r="K516" s="1075"/>
      <c r="L516" s="1075" t="s">
        <v>9888</v>
      </c>
      <c r="M516" s="1077" t="s">
        <v>6759</v>
      </c>
      <c r="N516" s="1078">
        <v>6512400</v>
      </c>
      <c r="O516" s="1078"/>
      <c r="P516" s="1078"/>
      <c r="Q516" s="1079"/>
      <c r="V516" s="1084"/>
    </row>
    <row r="517" spans="1:22" s="1082" customFormat="1" ht="24" customHeight="1">
      <c r="A517" s="1075">
        <v>498</v>
      </c>
      <c r="B517" s="1075"/>
      <c r="C517" s="1075"/>
      <c r="D517" s="1075"/>
      <c r="E517" s="1075" t="s">
        <v>10510</v>
      </c>
      <c r="F517" s="1076"/>
      <c r="G517" s="1075" t="s">
        <v>9065</v>
      </c>
      <c r="H517" s="1075" t="s">
        <v>9065</v>
      </c>
      <c r="I517" s="1075" t="s">
        <v>6762</v>
      </c>
      <c r="J517" s="1075"/>
      <c r="K517" s="1075"/>
      <c r="L517" s="1075" t="s">
        <v>9888</v>
      </c>
      <c r="M517" s="1077" t="s">
        <v>6761</v>
      </c>
      <c r="N517" s="1078">
        <v>6512400</v>
      </c>
      <c r="O517" s="1078"/>
      <c r="P517" s="1078"/>
      <c r="Q517" s="1079"/>
      <c r="V517" s="1084"/>
    </row>
    <row r="518" spans="1:22" s="1082" customFormat="1" ht="24" customHeight="1">
      <c r="A518" s="1075">
        <v>499</v>
      </c>
      <c r="B518" s="1075"/>
      <c r="C518" s="1075"/>
      <c r="D518" s="1075"/>
      <c r="E518" s="1075" t="s">
        <v>10511</v>
      </c>
      <c r="F518" s="1076"/>
      <c r="G518" s="1075" t="s">
        <v>9065</v>
      </c>
      <c r="H518" s="1075" t="s">
        <v>9065</v>
      </c>
      <c r="I518" s="1075" t="s">
        <v>6764</v>
      </c>
      <c r="J518" s="1075"/>
      <c r="K518" s="1075"/>
      <c r="L518" s="1075" t="s">
        <v>9888</v>
      </c>
      <c r="M518" s="1077" t="s">
        <v>6763</v>
      </c>
      <c r="N518" s="1078">
        <v>6512400</v>
      </c>
      <c r="O518" s="1078"/>
      <c r="P518" s="1078"/>
      <c r="Q518" s="1079"/>
      <c r="V518" s="1084"/>
    </row>
    <row r="519" spans="1:22" s="1082" customFormat="1" ht="24" customHeight="1">
      <c r="A519" s="1075">
        <v>500</v>
      </c>
      <c r="B519" s="1075"/>
      <c r="C519" s="1075"/>
      <c r="D519" s="1075"/>
      <c r="E519" s="1075" t="s">
        <v>10512</v>
      </c>
      <c r="F519" s="1076"/>
      <c r="G519" s="1075" t="s">
        <v>9065</v>
      </c>
      <c r="H519" s="1075" t="s">
        <v>9065</v>
      </c>
      <c r="I519" s="1075" t="s">
        <v>6766</v>
      </c>
      <c r="J519" s="1075"/>
      <c r="K519" s="1075"/>
      <c r="L519" s="1075" t="s">
        <v>9888</v>
      </c>
      <c r="M519" s="1077" t="s">
        <v>6765</v>
      </c>
      <c r="N519" s="1078">
        <v>6512400</v>
      </c>
      <c r="O519" s="1078"/>
      <c r="P519" s="1078"/>
      <c r="Q519" s="1079"/>
      <c r="V519" s="1084"/>
    </row>
    <row r="520" spans="1:22" s="1082" customFormat="1" ht="24" customHeight="1">
      <c r="A520" s="1075">
        <v>501</v>
      </c>
      <c r="B520" s="1075"/>
      <c r="C520" s="1075"/>
      <c r="D520" s="1075"/>
      <c r="E520" s="1075" t="s">
        <v>10513</v>
      </c>
      <c r="F520" s="1076"/>
      <c r="G520" s="1075" t="s">
        <v>9065</v>
      </c>
      <c r="H520" s="1075" t="s">
        <v>9065</v>
      </c>
      <c r="I520" s="1075" t="s">
        <v>6770</v>
      </c>
      <c r="J520" s="1075"/>
      <c r="K520" s="1075"/>
      <c r="L520" s="1075" t="s">
        <v>9888</v>
      </c>
      <c r="M520" s="1077" t="s">
        <v>6769</v>
      </c>
      <c r="N520" s="1078">
        <v>6512400</v>
      </c>
      <c r="O520" s="1078"/>
      <c r="P520" s="1078"/>
      <c r="Q520" s="1079"/>
      <c r="V520" s="1084"/>
    </row>
    <row r="521" spans="1:22" s="1082" customFormat="1" ht="24" customHeight="1">
      <c r="A521" s="1075">
        <v>502</v>
      </c>
      <c r="B521" s="1075" t="s">
        <v>423</v>
      </c>
      <c r="C521" s="1075"/>
      <c r="D521" s="1075"/>
      <c r="E521" s="1075" t="s">
        <v>10514</v>
      </c>
      <c r="F521" s="1076"/>
      <c r="G521" s="1075" t="s">
        <v>9065</v>
      </c>
      <c r="H521" s="1075" t="s">
        <v>9065</v>
      </c>
      <c r="I521" s="1075" t="s">
        <v>5736</v>
      </c>
      <c r="J521" s="1075" t="s">
        <v>1151</v>
      </c>
      <c r="K521" s="1075" t="s">
        <v>1150</v>
      </c>
      <c r="L521" s="1075" t="s">
        <v>5130</v>
      </c>
      <c r="M521" s="1077" t="s">
        <v>5735</v>
      </c>
      <c r="N521" s="1078">
        <v>6512400</v>
      </c>
      <c r="O521" s="1078" t="s">
        <v>375</v>
      </c>
      <c r="P521" s="1078"/>
      <c r="Q521" s="1079"/>
      <c r="V521" s="1084"/>
    </row>
    <row r="522" spans="1:22" s="1082" customFormat="1" ht="24" customHeight="1">
      <c r="A522" s="1075">
        <v>503</v>
      </c>
      <c r="B522" s="1075"/>
      <c r="C522" s="1075"/>
      <c r="D522" s="1075"/>
      <c r="E522" s="1075" t="s">
        <v>10515</v>
      </c>
      <c r="F522" s="1076"/>
      <c r="G522" s="1075" t="s">
        <v>9065</v>
      </c>
      <c r="H522" s="1075" t="s">
        <v>9065</v>
      </c>
      <c r="I522" s="1075" t="s">
        <v>6772</v>
      </c>
      <c r="J522" s="1075"/>
      <c r="K522" s="1075"/>
      <c r="L522" s="1075" t="s">
        <v>9888</v>
      </c>
      <c r="M522" s="1077" t="s">
        <v>6771</v>
      </c>
      <c r="N522" s="1078">
        <v>6512400</v>
      </c>
      <c r="O522" s="1078"/>
      <c r="P522" s="1078"/>
      <c r="Q522" s="1079"/>
      <c r="V522" s="1084"/>
    </row>
    <row r="523" spans="1:22" s="1082" customFormat="1" ht="24" customHeight="1">
      <c r="A523" s="1075">
        <v>504</v>
      </c>
      <c r="B523" s="1075"/>
      <c r="C523" s="1075"/>
      <c r="D523" s="1075"/>
      <c r="E523" s="1075" t="s">
        <v>10516</v>
      </c>
      <c r="F523" s="1076"/>
      <c r="G523" s="1075" t="s">
        <v>9065</v>
      </c>
      <c r="H523" s="1075" t="s">
        <v>9065</v>
      </c>
      <c r="I523" s="1075" t="s">
        <v>4810</v>
      </c>
      <c r="J523" s="1075"/>
      <c r="K523" s="1075"/>
      <c r="L523" s="1075" t="s">
        <v>9888</v>
      </c>
      <c r="M523" s="1077" t="s">
        <v>6773</v>
      </c>
      <c r="N523" s="1078">
        <v>6512400</v>
      </c>
      <c r="O523" s="1078"/>
      <c r="P523" s="1078"/>
      <c r="Q523" s="1079"/>
      <c r="V523" s="1084"/>
    </row>
    <row r="524" spans="1:22" s="1082" customFormat="1" ht="24" customHeight="1">
      <c r="A524" s="1075">
        <v>505</v>
      </c>
      <c r="B524" s="1075"/>
      <c r="C524" s="1075"/>
      <c r="D524" s="1075"/>
      <c r="E524" s="1075" t="s">
        <v>10518</v>
      </c>
      <c r="F524" s="1076"/>
      <c r="G524" s="1075" t="s">
        <v>9065</v>
      </c>
      <c r="H524" s="1075" t="s">
        <v>9065</v>
      </c>
      <c r="I524" s="1075" t="s">
        <v>6777</v>
      </c>
      <c r="J524" s="1075"/>
      <c r="K524" s="1075"/>
      <c r="L524" s="1075" t="s">
        <v>9888</v>
      </c>
      <c r="M524" s="1077" t="s">
        <v>6776</v>
      </c>
      <c r="N524" s="1078">
        <v>6512400</v>
      </c>
      <c r="O524" s="1078"/>
      <c r="P524" s="1078"/>
      <c r="Q524" s="1079"/>
      <c r="V524" s="1084"/>
    </row>
    <row r="525" spans="1:22" s="1082" customFormat="1" ht="24" customHeight="1">
      <c r="A525" s="1075">
        <v>506</v>
      </c>
      <c r="B525" s="1075"/>
      <c r="C525" s="1075"/>
      <c r="D525" s="1075"/>
      <c r="E525" s="1075" t="s">
        <v>10519</v>
      </c>
      <c r="F525" s="1076"/>
      <c r="G525" s="1075" t="s">
        <v>9065</v>
      </c>
      <c r="H525" s="1075" t="s">
        <v>9065</v>
      </c>
      <c r="I525" s="1075" t="s">
        <v>6779</v>
      </c>
      <c r="J525" s="1075"/>
      <c r="K525" s="1075"/>
      <c r="L525" s="1075" t="s">
        <v>9888</v>
      </c>
      <c r="M525" s="1077" t="s">
        <v>6778</v>
      </c>
      <c r="N525" s="1078">
        <v>6512400</v>
      </c>
      <c r="O525" s="1078"/>
      <c r="P525" s="1078"/>
      <c r="Q525" s="1079"/>
      <c r="V525" s="1084"/>
    </row>
    <row r="526" spans="1:22" s="1082" customFormat="1" ht="24" customHeight="1">
      <c r="A526" s="1075">
        <v>507</v>
      </c>
      <c r="B526" s="1075"/>
      <c r="C526" s="1075"/>
      <c r="D526" s="1075"/>
      <c r="E526" s="1075" t="s">
        <v>10520</v>
      </c>
      <c r="F526" s="1076"/>
      <c r="G526" s="1075" t="s">
        <v>9065</v>
      </c>
      <c r="H526" s="1075" t="s">
        <v>9065</v>
      </c>
      <c r="I526" s="1075" t="s">
        <v>6781</v>
      </c>
      <c r="J526" s="1075"/>
      <c r="K526" s="1075"/>
      <c r="L526" s="1075" t="s">
        <v>9888</v>
      </c>
      <c r="M526" s="1077" t="s">
        <v>6780</v>
      </c>
      <c r="N526" s="1078">
        <v>6512400</v>
      </c>
      <c r="O526" s="1078"/>
      <c r="P526" s="1078"/>
      <c r="Q526" s="1079"/>
      <c r="V526" s="1084"/>
    </row>
    <row r="527" spans="1:22" s="1082" customFormat="1" ht="24" customHeight="1">
      <c r="A527" s="1075">
        <v>508</v>
      </c>
      <c r="B527" s="1075"/>
      <c r="C527" s="1075"/>
      <c r="D527" s="1075"/>
      <c r="E527" s="1075" t="s">
        <v>10521</v>
      </c>
      <c r="F527" s="1076"/>
      <c r="G527" s="1075" t="s">
        <v>9065</v>
      </c>
      <c r="H527" s="1075" t="s">
        <v>9065</v>
      </c>
      <c r="I527" s="1075" t="s">
        <v>6783</v>
      </c>
      <c r="J527" s="1075"/>
      <c r="K527" s="1075"/>
      <c r="L527" s="1075" t="s">
        <v>9888</v>
      </c>
      <c r="M527" s="1077" t="s">
        <v>6782</v>
      </c>
      <c r="N527" s="1078">
        <v>6512400</v>
      </c>
      <c r="O527" s="1078"/>
      <c r="P527" s="1078"/>
      <c r="Q527" s="1079"/>
      <c r="V527" s="1084"/>
    </row>
    <row r="528" spans="1:22" s="1082" customFormat="1" ht="24" customHeight="1">
      <c r="A528" s="1075">
        <v>509</v>
      </c>
      <c r="B528" s="1075"/>
      <c r="C528" s="1075"/>
      <c r="D528" s="1075"/>
      <c r="E528" s="1075" t="s">
        <v>10522</v>
      </c>
      <c r="F528" s="1076"/>
      <c r="G528" s="1075" t="s">
        <v>9065</v>
      </c>
      <c r="H528" s="1075" t="s">
        <v>9065</v>
      </c>
      <c r="I528" s="1075" t="s">
        <v>6785</v>
      </c>
      <c r="J528" s="1075"/>
      <c r="K528" s="1075"/>
      <c r="L528" s="1075" t="s">
        <v>9888</v>
      </c>
      <c r="M528" s="1077" t="s">
        <v>6784</v>
      </c>
      <c r="N528" s="1078">
        <v>6512400</v>
      </c>
      <c r="O528" s="1078"/>
      <c r="P528" s="1078"/>
      <c r="Q528" s="1079"/>
      <c r="V528" s="1084"/>
    </row>
    <row r="529" spans="1:22" s="1082" customFormat="1" ht="24" customHeight="1">
      <c r="A529" s="1075">
        <v>510</v>
      </c>
      <c r="B529" s="1075"/>
      <c r="C529" s="1075"/>
      <c r="D529" s="1075"/>
      <c r="E529" s="1075" t="s">
        <v>10523</v>
      </c>
      <c r="F529" s="1076"/>
      <c r="G529" s="1075" t="s">
        <v>9065</v>
      </c>
      <c r="H529" s="1075" t="s">
        <v>9065</v>
      </c>
      <c r="I529" s="1075" t="s">
        <v>6787</v>
      </c>
      <c r="J529" s="1075"/>
      <c r="K529" s="1075"/>
      <c r="L529" s="1075" t="s">
        <v>9888</v>
      </c>
      <c r="M529" s="1077" t="s">
        <v>6786</v>
      </c>
      <c r="N529" s="1078">
        <v>6512400</v>
      </c>
      <c r="O529" s="1078"/>
      <c r="P529" s="1078"/>
      <c r="Q529" s="1079"/>
      <c r="V529" s="1084"/>
    </row>
    <row r="530" spans="1:22" s="1082" customFormat="1" ht="24" customHeight="1">
      <c r="A530" s="1075">
        <v>511</v>
      </c>
      <c r="B530" s="376" t="s">
        <v>1595</v>
      </c>
      <c r="C530" s="376"/>
      <c r="D530" s="376"/>
      <c r="E530" s="1075" t="s">
        <v>10524</v>
      </c>
      <c r="F530" s="1076"/>
      <c r="G530" s="1075" t="s">
        <v>9065</v>
      </c>
      <c r="H530" s="1075" t="s">
        <v>9065</v>
      </c>
      <c r="I530" s="1075" t="s">
        <v>5738</v>
      </c>
      <c r="J530" s="1075" t="s">
        <v>12037</v>
      </c>
      <c r="K530" s="1075" t="s">
        <v>2131</v>
      </c>
      <c r="L530" s="1075" t="s">
        <v>5130</v>
      </c>
      <c r="M530" s="1077" t="s">
        <v>5737</v>
      </c>
      <c r="N530" s="1078">
        <v>6512400</v>
      </c>
      <c r="O530" s="1078" t="s">
        <v>375</v>
      </c>
      <c r="P530" s="1079" t="s">
        <v>1084</v>
      </c>
      <c r="Q530" s="1079"/>
      <c r="V530" s="1084"/>
    </row>
    <row r="531" spans="1:22" s="1082" customFormat="1" ht="24" customHeight="1">
      <c r="A531" s="1075">
        <v>512</v>
      </c>
      <c r="B531" s="1075"/>
      <c r="C531" s="1075"/>
      <c r="D531" s="1075"/>
      <c r="E531" s="1075" t="s">
        <v>10525</v>
      </c>
      <c r="F531" s="1076"/>
      <c r="G531" s="1075" t="s">
        <v>9065</v>
      </c>
      <c r="H531" s="1075" t="s">
        <v>9065</v>
      </c>
      <c r="I531" s="1075" t="s">
        <v>6789</v>
      </c>
      <c r="J531" s="1075"/>
      <c r="K531" s="1075"/>
      <c r="L531" s="1075" t="s">
        <v>9888</v>
      </c>
      <c r="M531" s="1077" t="s">
        <v>6788</v>
      </c>
      <c r="N531" s="1078">
        <v>6512400</v>
      </c>
      <c r="O531" s="1078"/>
      <c r="P531" s="1078"/>
      <c r="Q531" s="1079"/>
      <c r="V531" s="1084"/>
    </row>
    <row r="532" spans="1:22" s="1082" customFormat="1" ht="24" customHeight="1">
      <c r="A532" s="1075">
        <v>513</v>
      </c>
      <c r="B532" s="376" t="s">
        <v>1595</v>
      </c>
      <c r="C532" s="376"/>
      <c r="D532" s="376"/>
      <c r="E532" s="1075" t="s">
        <v>10528</v>
      </c>
      <c r="F532" s="1076"/>
      <c r="G532" s="1075" t="s">
        <v>9065</v>
      </c>
      <c r="H532" s="1075" t="s">
        <v>9065</v>
      </c>
      <c r="I532" s="1075" t="s">
        <v>5740</v>
      </c>
      <c r="J532" s="1075" t="s">
        <v>2217</v>
      </c>
      <c r="K532" s="1075" t="s">
        <v>2216</v>
      </c>
      <c r="L532" s="1075" t="s">
        <v>5130</v>
      </c>
      <c r="M532" s="1077" t="s">
        <v>5739</v>
      </c>
      <c r="N532" s="1078">
        <v>6512400</v>
      </c>
      <c r="O532" s="1078" t="s">
        <v>375</v>
      </c>
      <c r="P532" s="1078"/>
      <c r="Q532" s="1079"/>
      <c r="V532" s="1084"/>
    </row>
    <row r="533" spans="1:22" s="1082" customFormat="1" ht="24" customHeight="1">
      <c r="A533" s="1075">
        <v>514</v>
      </c>
      <c r="B533" s="1075" t="s">
        <v>423</v>
      </c>
      <c r="C533" s="1075"/>
      <c r="D533" s="1075"/>
      <c r="E533" s="1075" t="s">
        <v>10529</v>
      </c>
      <c r="F533" s="1076"/>
      <c r="G533" s="1075" t="s">
        <v>9065</v>
      </c>
      <c r="H533" s="1075" t="s">
        <v>9065</v>
      </c>
      <c r="I533" s="1075" t="s">
        <v>5742</v>
      </c>
      <c r="J533" s="1075" t="s">
        <v>1267</v>
      </c>
      <c r="K533" s="1075" t="s">
        <v>1266</v>
      </c>
      <c r="L533" s="1075" t="s">
        <v>5130</v>
      </c>
      <c r="M533" s="1077" t="s">
        <v>5741</v>
      </c>
      <c r="N533" s="1078">
        <v>6512400</v>
      </c>
      <c r="O533" s="1078" t="s">
        <v>375</v>
      </c>
      <c r="P533" s="1078"/>
      <c r="Q533" s="1079"/>
      <c r="V533" s="1084"/>
    </row>
    <row r="534" spans="1:22" s="1082" customFormat="1" ht="24" customHeight="1">
      <c r="A534" s="1075">
        <v>515</v>
      </c>
      <c r="B534" s="1075"/>
      <c r="C534" s="1075"/>
      <c r="D534" s="1075"/>
      <c r="E534" s="1075" t="s">
        <v>10530</v>
      </c>
      <c r="F534" s="1076"/>
      <c r="G534" s="1075" t="s">
        <v>9065</v>
      </c>
      <c r="H534" s="1075" t="s">
        <v>9065</v>
      </c>
      <c r="I534" s="1075" t="s">
        <v>10531</v>
      </c>
      <c r="J534" s="1075"/>
      <c r="K534" s="1075"/>
      <c r="L534" s="1075" t="s">
        <v>9888</v>
      </c>
      <c r="M534" s="1077" t="s">
        <v>10532</v>
      </c>
      <c r="N534" s="1078">
        <v>6512400</v>
      </c>
      <c r="O534" s="1078"/>
      <c r="P534" s="1078"/>
      <c r="Q534" s="1079"/>
      <c r="V534" s="1084"/>
    </row>
    <row r="535" spans="1:22" s="1082" customFormat="1" ht="24" customHeight="1">
      <c r="A535" s="1075">
        <v>516</v>
      </c>
      <c r="B535" s="1075"/>
      <c r="C535" s="1075"/>
      <c r="D535" s="1075"/>
      <c r="E535" s="1075" t="s">
        <v>10533</v>
      </c>
      <c r="F535" s="1076"/>
      <c r="G535" s="1075" t="s">
        <v>9065</v>
      </c>
      <c r="H535" s="1075" t="s">
        <v>9065</v>
      </c>
      <c r="I535" s="1075" t="s">
        <v>6794</v>
      </c>
      <c r="J535" s="1075"/>
      <c r="K535" s="1075"/>
      <c r="L535" s="1075" t="s">
        <v>9888</v>
      </c>
      <c r="M535" s="1077" t="s">
        <v>6793</v>
      </c>
      <c r="N535" s="1078">
        <v>6512400</v>
      </c>
      <c r="O535" s="1078"/>
      <c r="P535" s="1078"/>
      <c r="Q535" s="1079"/>
      <c r="V535" s="1084"/>
    </row>
    <row r="536" spans="1:22" s="1082" customFormat="1" ht="24" customHeight="1">
      <c r="A536" s="1075">
        <v>517</v>
      </c>
      <c r="B536" s="1075"/>
      <c r="C536" s="1075"/>
      <c r="D536" s="1075"/>
      <c r="E536" s="1075" t="s">
        <v>10534</v>
      </c>
      <c r="F536" s="1076"/>
      <c r="G536" s="1075" t="s">
        <v>9065</v>
      </c>
      <c r="H536" s="1075" t="s">
        <v>9065</v>
      </c>
      <c r="I536" s="1075" t="s">
        <v>6796</v>
      </c>
      <c r="J536" s="1075"/>
      <c r="K536" s="1075"/>
      <c r="L536" s="1075" t="s">
        <v>9888</v>
      </c>
      <c r="M536" s="1077" t="s">
        <v>6795</v>
      </c>
      <c r="N536" s="1078">
        <v>6512400</v>
      </c>
      <c r="O536" s="1078"/>
      <c r="P536" s="1078"/>
      <c r="Q536" s="1079"/>
      <c r="V536" s="1084"/>
    </row>
    <row r="537" spans="1:22" s="1082" customFormat="1" ht="24" customHeight="1">
      <c r="A537" s="1075">
        <v>518</v>
      </c>
      <c r="B537" s="1075"/>
      <c r="C537" s="1075"/>
      <c r="D537" s="1075"/>
      <c r="E537" s="1075" t="s">
        <v>10535</v>
      </c>
      <c r="F537" s="1076"/>
      <c r="G537" s="1075" t="s">
        <v>9065</v>
      </c>
      <c r="H537" s="1075" t="s">
        <v>9065</v>
      </c>
      <c r="I537" s="1075" t="s">
        <v>6798</v>
      </c>
      <c r="J537" s="1075"/>
      <c r="K537" s="1075"/>
      <c r="L537" s="1075" t="s">
        <v>9888</v>
      </c>
      <c r="M537" s="1077" t="s">
        <v>6797</v>
      </c>
      <c r="N537" s="1078">
        <v>6512400</v>
      </c>
      <c r="O537" s="1078"/>
      <c r="P537" s="1078"/>
      <c r="Q537" s="1079"/>
      <c r="V537" s="1084"/>
    </row>
    <row r="538" spans="1:22" s="1082" customFormat="1" ht="24" customHeight="1">
      <c r="A538" s="1075">
        <v>519</v>
      </c>
      <c r="B538" s="1075"/>
      <c r="C538" s="1075"/>
      <c r="D538" s="1075"/>
      <c r="E538" s="1075" t="s">
        <v>10536</v>
      </c>
      <c r="F538" s="1076"/>
      <c r="G538" s="1075" t="s">
        <v>9065</v>
      </c>
      <c r="H538" s="1075" t="s">
        <v>9065</v>
      </c>
      <c r="I538" s="1075" t="s">
        <v>6800</v>
      </c>
      <c r="J538" s="1075"/>
      <c r="K538" s="1075"/>
      <c r="L538" s="1075" t="s">
        <v>9888</v>
      </c>
      <c r="M538" s="1077" t="s">
        <v>6799</v>
      </c>
      <c r="N538" s="1078">
        <v>6512400</v>
      </c>
      <c r="O538" s="1078"/>
      <c r="P538" s="1078"/>
      <c r="Q538" s="1079"/>
      <c r="V538" s="1084"/>
    </row>
    <row r="539" spans="1:22" s="1082" customFormat="1" ht="24" customHeight="1">
      <c r="A539" s="1075">
        <v>520</v>
      </c>
      <c r="B539" s="1075"/>
      <c r="C539" s="1075"/>
      <c r="D539" s="1075"/>
      <c r="E539" s="1075" t="s">
        <v>10537</v>
      </c>
      <c r="F539" s="1076"/>
      <c r="G539" s="1075" t="s">
        <v>9065</v>
      </c>
      <c r="H539" s="1075" t="s">
        <v>9065</v>
      </c>
      <c r="I539" s="1075" t="s">
        <v>6802</v>
      </c>
      <c r="J539" s="1075"/>
      <c r="K539" s="1075"/>
      <c r="L539" s="1075" t="s">
        <v>9888</v>
      </c>
      <c r="M539" s="1077" t="s">
        <v>6801</v>
      </c>
      <c r="N539" s="1078">
        <v>6512400</v>
      </c>
      <c r="O539" s="1078"/>
      <c r="P539" s="1078"/>
      <c r="Q539" s="1079"/>
      <c r="V539" s="1084"/>
    </row>
    <row r="540" spans="1:22" s="1082" customFormat="1" ht="24" customHeight="1">
      <c r="A540" s="1075">
        <v>521</v>
      </c>
      <c r="B540" s="1075"/>
      <c r="C540" s="1075"/>
      <c r="D540" s="1075"/>
      <c r="E540" s="1075" t="s">
        <v>10538</v>
      </c>
      <c r="F540" s="1076"/>
      <c r="G540" s="1075" t="s">
        <v>9065</v>
      </c>
      <c r="H540" s="1075" t="s">
        <v>9065</v>
      </c>
      <c r="I540" s="1075" t="s">
        <v>6804</v>
      </c>
      <c r="J540" s="1075"/>
      <c r="K540" s="1075"/>
      <c r="L540" s="1075" t="s">
        <v>9888</v>
      </c>
      <c r="M540" s="1077" t="s">
        <v>6803</v>
      </c>
      <c r="N540" s="1078">
        <v>6512400</v>
      </c>
      <c r="O540" s="1078"/>
      <c r="P540" s="1078"/>
      <c r="Q540" s="1079"/>
      <c r="V540" s="1084"/>
    </row>
    <row r="541" spans="1:22" s="1082" customFormat="1" ht="24" customHeight="1">
      <c r="A541" s="1075">
        <v>522</v>
      </c>
      <c r="B541" s="1075"/>
      <c r="C541" s="1075"/>
      <c r="D541" s="1075"/>
      <c r="E541" s="1075" t="s">
        <v>10539</v>
      </c>
      <c r="F541" s="1076"/>
      <c r="G541" s="1075" t="s">
        <v>9065</v>
      </c>
      <c r="H541" s="1075" t="s">
        <v>9065</v>
      </c>
      <c r="I541" s="1075" t="s">
        <v>6807</v>
      </c>
      <c r="J541" s="1075"/>
      <c r="K541" s="1075"/>
      <c r="L541" s="1075" t="s">
        <v>9888</v>
      </c>
      <c r="M541" s="1077" t="s">
        <v>6806</v>
      </c>
      <c r="N541" s="1078">
        <v>6512400</v>
      </c>
      <c r="O541" s="1078"/>
      <c r="P541" s="1078"/>
      <c r="Q541" s="1079"/>
      <c r="V541" s="1084"/>
    </row>
    <row r="542" spans="1:22" s="1082" customFormat="1" ht="24" customHeight="1">
      <c r="A542" s="1075">
        <v>523</v>
      </c>
      <c r="B542" s="1075"/>
      <c r="C542" s="1075"/>
      <c r="D542" s="1075"/>
      <c r="E542" s="1075" t="s">
        <v>10540</v>
      </c>
      <c r="F542" s="1076"/>
      <c r="G542" s="1075" t="s">
        <v>9065</v>
      </c>
      <c r="H542" s="1075" t="s">
        <v>9065</v>
      </c>
      <c r="I542" s="1075" t="s">
        <v>6809</v>
      </c>
      <c r="J542" s="1075"/>
      <c r="K542" s="1075"/>
      <c r="L542" s="1075" t="s">
        <v>9888</v>
      </c>
      <c r="M542" s="1077" t="s">
        <v>6808</v>
      </c>
      <c r="N542" s="1078">
        <v>6512400</v>
      </c>
      <c r="O542" s="1078"/>
      <c r="P542" s="1078"/>
      <c r="Q542" s="1079"/>
      <c r="V542" s="1084"/>
    </row>
    <row r="543" spans="1:22" s="1082" customFormat="1" ht="24" customHeight="1">
      <c r="A543" s="1075">
        <v>524</v>
      </c>
      <c r="B543" s="1075"/>
      <c r="C543" s="1075"/>
      <c r="D543" s="1075"/>
      <c r="E543" s="1075" t="s">
        <v>10541</v>
      </c>
      <c r="F543" s="1076"/>
      <c r="G543" s="1075" t="s">
        <v>9065</v>
      </c>
      <c r="H543" s="1075" t="s">
        <v>9065</v>
      </c>
      <c r="I543" s="1075" t="s">
        <v>6811</v>
      </c>
      <c r="J543" s="1075"/>
      <c r="K543" s="1075"/>
      <c r="L543" s="1075" t="s">
        <v>9888</v>
      </c>
      <c r="M543" s="1077" t="s">
        <v>6810</v>
      </c>
      <c r="N543" s="1078">
        <v>6512400</v>
      </c>
      <c r="O543" s="1078"/>
      <c r="P543" s="1078"/>
      <c r="Q543" s="1079"/>
      <c r="V543" s="1084"/>
    </row>
    <row r="544" spans="1:22" s="1082" customFormat="1" ht="24" customHeight="1">
      <c r="A544" s="1075">
        <v>525</v>
      </c>
      <c r="B544" s="1075"/>
      <c r="C544" s="1075"/>
      <c r="D544" s="1075"/>
      <c r="E544" s="1075" t="s">
        <v>10542</v>
      </c>
      <c r="F544" s="1076"/>
      <c r="G544" s="1075" t="s">
        <v>9065</v>
      </c>
      <c r="H544" s="1075" t="s">
        <v>9065</v>
      </c>
      <c r="I544" s="1075" t="s">
        <v>6813</v>
      </c>
      <c r="J544" s="1075"/>
      <c r="K544" s="1075"/>
      <c r="L544" s="1075" t="s">
        <v>9888</v>
      </c>
      <c r="M544" s="1077" t="s">
        <v>6812</v>
      </c>
      <c r="N544" s="1078">
        <v>6512400</v>
      </c>
      <c r="O544" s="1078"/>
      <c r="P544" s="1078"/>
      <c r="Q544" s="1079"/>
      <c r="V544" s="1084"/>
    </row>
    <row r="545" spans="1:22" s="1082" customFormat="1" ht="24" customHeight="1">
      <c r="A545" s="1075">
        <v>526</v>
      </c>
      <c r="B545" s="1075"/>
      <c r="C545" s="1075"/>
      <c r="D545" s="1075"/>
      <c r="E545" s="1075" t="s">
        <v>10543</v>
      </c>
      <c r="F545" s="1076"/>
      <c r="G545" s="1075" t="s">
        <v>9065</v>
      </c>
      <c r="H545" s="1075" t="s">
        <v>9065</v>
      </c>
      <c r="I545" s="1075" t="s">
        <v>6815</v>
      </c>
      <c r="J545" s="1075"/>
      <c r="K545" s="1075"/>
      <c r="L545" s="1075" t="s">
        <v>9888</v>
      </c>
      <c r="M545" s="1077" t="s">
        <v>6814</v>
      </c>
      <c r="N545" s="1078">
        <v>6512400</v>
      </c>
      <c r="O545" s="1078"/>
      <c r="P545" s="1078"/>
      <c r="Q545" s="1079"/>
      <c r="V545" s="1084"/>
    </row>
    <row r="546" spans="1:22" s="1082" customFormat="1" ht="24" customHeight="1">
      <c r="A546" s="1075">
        <v>527</v>
      </c>
      <c r="B546" s="1075"/>
      <c r="C546" s="1075"/>
      <c r="D546" s="1075"/>
      <c r="E546" s="1075" t="s">
        <v>10544</v>
      </c>
      <c r="F546" s="1076"/>
      <c r="G546" s="1075" t="s">
        <v>9065</v>
      </c>
      <c r="H546" s="1075" t="s">
        <v>9065</v>
      </c>
      <c r="I546" s="1075" t="s">
        <v>6817</v>
      </c>
      <c r="J546" s="1075"/>
      <c r="K546" s="1075"/>
      <c r="L546" s="1075" t="s">
        <v>9888</v>
      </c>
      <c r="M546" s="1077" t="s">
        <v>6816</v>
      </c>
      <c r="N546" s="1078">
        <v>6512400</v>
      </c>
      <c r="O546" s="1078"/>
      <c r="P546" s="1078"/>
      <c r="Q546" s="1079"/>
      <c r="V546" s="1084"/>
    </row>
    <row r="547" spans="1:22" s="1082" customFormat="1" ht="24" customHeight="1">
      <c r="A547" s="1075">
        <v>528</v>
      </c>
      <c r="B547" s="1075"/>
      <c r="C547" s="1075"/>
      <c r="D547" s="1075"/>
      <c r="E547" s="1075" t="s">
        <v>10545</v>
      </c>
      <c r="F547" s="1076"/>
      <c r="G547" s="1075" t="s">
        <v>9065</v>
      </c>
      <c r="H547" s="1075" t="s">
        <v>9065</v>
      </c>
      <c r="I547" s="1075" t="s">
        <v>6819</v>
      </c>
      <c r="J547" s="1075"/>
      <c r="K547" s="1075"/>
      <c r="L547" s="1075" t="s">
        <v>9888</v>
      </c>
      <c r="M547" s="1077" t="s">
        <v>6818</v>
      </c>
      <c r="N547" s="1078">
        <v>6512400</v>
      </c>
      <c r="O547" s="1078"/>
      <c r="P547" s="1078"/>
      <c r="Q547" s="1079"/>
      <c r="V547" s="1084"/>
    </row>
    <row r="548" spans="1:22" s="1082" customFormat="1" ht="24" customHeight="1">
      <c r="A548" s="1075">
        <v>529</v>
      </c>
      <c r="B548" s="1075"/>
      <c r="C548" s="1075"/>
      <c r="D548" s="1075"/>
      <c r="E548" s="1075" t="s">
        <v>10546</v>
      </c>
      <c r="F548" s="1076"/>
      <c r="G548" s="1075" t="s">
        <v>9065</v>
      </c>
      <c r="H548" s="1075" t="s">
        <v>9065</v>
      </c>
      <c r="I548" s="1075" t="s">
        <v>6821</v>
      </c>
      <c r="J548" s="1075"/>
      <c r="K548" s="1075"/>
      <c r="L548" s="1075" t="s">
        <v>9888</v>
      </c>
      <c r="M548" s="1077" t="s">
        <v>6820</v>
      </c>
      <c r="N548" s="1078">
        <v>6512400</v>
      </c>
      <c r="O548" s="1078"/>
      <c r="P548" s="1078"/>
      <c r="Q548" s="1079"/>
      <c r="V548" s="1084"/>
    </row>
    <row r="549" spans="1:22" s="1082" customFormat="1" ht="24" customHeight="1">
      <c r="A549" s="1075">
        <v>530</v>
      </c>
      <c r="B549" s="1075"/>
      <c r="C549" s="1075"/>
      <c r="D549" s="1075"/>
      <c r="E549" s="1075" t="s">
        <v>10547</v>
      </c>
      <c r="F549" s="1076"/>
      <c r="G549" s="1075" t="s">
        <v>9065</v>
      </c>
      <c r="H549" s="1075" t="s">
        <v>9065</v>
      </c>
      <c r="I549" s="1075" t="s">
        <v>6823</v>
      </c>
      <c r="J549" s="1075"/>
      <c r="K549" s="1075"/>
      <c r="L549" s="1075" t="s">
        <v>9888</v>
      </c>
      <c r="M549" s="1077" t="s">
        <v>6822</v>
      </c>
      <c r="N549" s="1078">
        <v>6512400</v>
      </c>
      <c r="O549" s="1078"/>
      <c r="P549" s="1078"/>
      <c r="Q549" s="1079"/>
      <c r="V549" s="1084"/>
    </row>
    <row r="550" spans="1:22" s="1082" customFormat="1" ht="24" customHeight="1">
      <c r="A550" s="1075">
        <v>531</v>
      </c>
      <c r="B550" s="1075"/>
      <c r="C550" s="1075"/>
      <c r="D550" s="1075"/>
      <c r="E550" s="1075" t="s">
        <v>10548</v>
      </c>
      <c r="F550" s="1076"/>
      <c r="G550" s="1075" t="s">
        <v>9065</v>
      </c>
      <c r="H550" s="1075" t="s">
        <v>9065</v>
      </c>
      <c r="I550" s="1075" t="s">
        <v>6826</v>
      </c>
      <c r="J550" s="1075"/>
      <c r="K550" s="1075"/>
      <c r="L550" s="1075" t="s">
        <v>9888</v>
      </c>
      <c r="M550" s="1077" t="s">
        <v>6825</v>
      </c>
      <c r="N550" s="1078">
        <v>6512400</v>
      </c>
      <c r="O550" s="1078"/>
      <c r="P550" s="1078"/>
      <c r="Q550" s="1079"/>
      <c r="V550" s="1084"/>
    </row>
    <row r="551" spans="1:22" s="1082" customFormat="1" ht="24" customHeight="1">
      <c r="A551" s="1075">
        <v>532</v>
      </c>
      <c r="B551" s="1075"/>
      <c r="C551" s="1075"/>
      <c r="D551" s="1075"/>
      <c r="E551" s="1075" t="s">
        <v>10550</v>
      </c>
      <c r="F551" s="1076"/>
      <c r="G551" s="1075" t="s">
        <v>9065</v>
      </c>
      <c r="H551" s="1075" t="s">
        <v>9065</v>
      </c>
      <c r="I551" s="1075" t="s">
        <v>6828</v>
      </c>
      <c r="J551" s="1075"/>
      <c r="K551" s="1075"/>
      <c r="L551" s="1075" t="s">
        <v>9888</v>
      </c>
      <c r="M551" s="1077" t="s">
        <v>6827</v>
      </c>
      <c r="N551" s="1078">
        <v>6512400</v>
      </c>
      <c r="O551" s="1078"/>
      <c r="P551" s="1078"/>
      <c r="Q551" s="1079"/>
      <c r="V551" s="1084"/>
    </row>
    <row r="552" spans="1:22" s="1082" customFormat="1" ht="24" customHeight="1">
      <c r="A552" s="1075">
        <v>533</v>
      </c>
      <c r="B552" s="1075"/>
      <c r="C552" s="1075"/>
      <c r="D552" s="1075"/>
      <c r="E552" s="1075" t="s">
        <v>10551</v>
      </c>
      <c r="F552" s="1076"/>
      <c r="G552" s="1075" t="s">
        <v>9065</v>
      </c>
      <c r="H552" s="1075" t="s">
        <v>9065</v>
      </c>
      <c r="I552" s="1075" t="s">
        <v>6830</v>
      </c>
      <c r="J552" s="1075"/>
      <c r="K552" s="1075"/>
      <c r="L552" s="1075" t="s">
        <v>9888</v>
      </c>
      <c r="M552" s="1077" t="s">
        <v>6829</v>
      </c>
      <c r="N552" s="1078">
        <v>6512400</v>
      </c>
      <c r="O552" s="1078"/>
      <c r="P552" s="1078"/>
      <c r="Q552" s="1079"/>
      <c r="V552" s="1084"/>
    </row>
    <row r="553" spans="1:22" s="1082" customFormat="1" ht="24" customHeight="1">
      <c r="A553" s="1075">
        <v>534</v>
      </c>
      <c r="B553" s="1075"/>
      <c r="C553" s="1075"/>
      <c r="D553" s="1075"/>
      <c r="E553" s="1075" t="s">
        <v>10552</v>
      </c>
      <c r="F553" s="1076"/>
      <c r="G553" s="1075" t="s">
        <v>9065</v>
      </c>
      <c r="H553" s="1075" t="s">
        <v>9065</v>
      </c>
      <c r="I553" s="1075" t="s">
        <v>6832</v>
      </c>
      <c r="J553" s="1075"/>
      <c r="K553" s="1075"/>
      <c r="L553" s="1075" t="s">
        <v>9888</v>
      </c>
      <c r="M553" s="1077" t="s">
        <v>6831</v>
      </c>
      <c r="N553" s="1078">
        <v>6512400</v>
      </c>
      <c r="O553" s="1078"/>
      <c r="P553" s="1078"/>
      <c r="Q553" s="1079"/>
      <c r="V553" s="1084"/>
    </row>
    <row r="554" spans="1:22" s="1082" customFormat="1" ht="24" customHeight="1">
      <c r="A554" s="1075">
        <v>535</v>
      </c>
      <c r="B554" s="1075"/>
      <c r="C554" s="1075"/>
      <c r="D554" s="1075"/>
      <c r="E554" s="1075" t="s">
        <v>10553</v>
      </c>
      <c r="F554" s="1076"/>
      <c r="G554" s="1075" t="s">
        <v>9065</v>
      </c>
      <c r="H554" s="1075" t="s">
        <v>9065</v>
      </c>
      <c r="I554" s="1075" t="s">
        <v>6834</v>
      </c>
      <c r="J554" s="1075"/>
      <c r="K554" s="1075"/>
      <c r="L554" s="1075" t="s">
        <v>9888</v>
      </c>
      <c r="M554" s="1077" t="s">
        <v>6833</v>
      </c>
      <c r="N554" s="1078">
        <v>6512400</v>
      </c>
      <c r="O554" s="1078"/>
      <c r="P554" s="1078"/>
      <c r="Q554" s="1079"/>
      <c r="V554" s="1084"/>
    </row>
    <row r="555" spans="1:22" s="1082" customFormat="1" ht="24" customHeight="1">
      <c r="A555" s="1075">
        <v>536</v>
      </c>
      <c r="B555" s="1075"/>
      <c r="C555" s="1075"/>
      <c r="D555" s="1075"/>
      <c r="E555" s="1075" t="s">
        <v>10554</v>
      </c>
      <c r="F555" s="1076"/>
      <c r="G555" s="1075" t="s">
        <v>9065</v>
      </c>
      <c r="H555" s="1075" t="s">
        <v>9065</v>
      </c>
      <c r="I555" s="1075" t="s">
        <v>6836</v>
      </c>
      <c r="J555" s="1075"/>
      <c r="K555" s="1075"/>
      <c r="L555" s="1075" t="s">
        <v>9888</v>
      </c>
      <c r="M555" s="1077" t="s">
        <v>6835</v>
      </c>
      <c r="N555" s="1078">
        <v>6512400</v>
      </c>
      <c r="O555" s="1078"/>
      <c r="P555" s="1078"/>
      <c r="Q555" s="1079"/>
      <c r="V555" s="1084"/>
    </row>
    <row r="556" spans="1:22" s="1082" customFormat="1" ht="24" customHeight="1">
      <c r="A556" s="1075">
        <v>537</v>
      </c>
      <c r="B556" s="1075"/>
      <c r="C556" s="1075"/>
      <c r="D556" s="1075"/>
      <c r="E556" s="1075" t="s">
        <v>10555</v>
      </c>
      <c r="F556" s="1076"/>
      <c r="G556" s="1075" t="s">
        <v>9065</v>
      </c>
      <c r="H556" s="1075" t="s">
        <v>9065</v>
      </c>
      <c r="I556" s="1075" t="s">
        <v>6838</v>
      </c>
      <c r="J556" s="1075"/>
      <c r="K556" s="1075"/>
      <c r="L556" s="1075" t="s">
        <v>9888</v>
      </c>
      <c r="M556" s="1077" t="s">
        <v>6837</v>
      </c>
      <c r="N556" s="1078">
        <v>6512400</v>
      </c>
      <c r="O556" s="1078"/>
      <c r="P556" s="1078"/>
      <c r="Q556" s="1079"/>
      <c r="V556" s="1084"/>
    </row>
    <row r="557" spans="1:22" s="1082" customFormat="1" ht="24" customHeight="1">
      <c r="A557" s="1075">
        <v>538</v>
      </c>
      <c r="B557" s="1075" t="s">
        <v>1604</v>
      </c>
      <c r="C557" s="1075"/>
      <c r="D557" s="1075"/>
      <c r="E557" s="1075" t="s">
        <v>10556</v>
      </c>
      <c r="F557" s="1076"/>
      <c r="G557" s="1075" t="s">
        <v>9065</v>
      </c>
      <c r="H557" s="1075" t="s">
        <v>9065</v>
      </c>
      <c r="I557" s="1075" t="s">
        <v>5745</v>
      </c>
      <c r="J557" s="1075" t="s">
        <v>2324</v>
      </c>
      <c r="K557" s="1075" t="s">
        <v>12062</v>
      </c>
      <c r="L557" s="1075" t="s">
        <v>5130</v>
      </c>
      <c r="M557" s="1077" t="s">
        <v>5744</v>
      </c>
      <c r="N557" s="1078">
        <v>6512400</v>
      </c>
      <c r="O557" s="1078" t="s">
        <v>375</v>
      </c>
      <c r="P557" s="1078"/>
      <c r="Q557" s="1079"/>
      <c r="V557" s="1084"/>
    </row>
    <row r="558" spans="1:22" s="1082" customFormat="1" ht="24" customHeight="1">
      <c r="A558" s="1075">
        <v>539</v>
      </c>
      <c r="B558" s="376" t="s">
        <v>1595</v>
      </c>
      <c r="C558" s="376"/>
      <c r="D558" s="376"/>
      <c r="E558" s="1075" t="s">
        <v>2230</v>
      </c>
      <c r="F558" s="1076"/>
      <c r="G558" s="1075" t="s">
        <v>9065</v>
      </c>
      <c r="H558" s="1075" t="s">
        <v>9065</v>
      </c>
      <c r="I558" s="1075" t="s">
        <v>5747</v>
      </c>
      <c r="J558" s="1075" t="s">
        <v>2229</v>
      </c>
      <c r="K558" s="1075" t="s">
        <v>12026</v>
      </c>
      <c r="L558" s="1075" t="s">
        <v>5130</v>
      </c>
      <c r="M558" s="1077" t="s">
        <v>5746</v>
      </c>
      <c r="N558" s="1078">
        <v>6512400</v>
      </c>
      <c r="O558" s="1078" t="s">
        <v>375</v>
      </c>
      <c r="P558" s="1078"/>
      <c r="Q558" s="1079"/>
      <c r="V558" s="1084"/>
    </row>
    <row r="559" spans="1:22" s="1082" customFormat="1" ht="24" customHeight="1">
      <c r="A559" s="1075">
        <v>540</v>
      </c>
      <c r="B559" s="1075"/>
      <c r="C559" s="1075"/>
      <c r="D559" s="1075"/>
      <c r="E559" s="1075" t="s">
        <v>10558</v>
      </c>
      <c r="F559" s="1076"/>
      <c r="G559" s="1075" t="s">
        <v>9065</v>
      </c>
      <c r="H559" s="1075" t="s">
        <v>9065</v>
      </c>
      <c r="I559" s="1075" t="s">
        <v>6840</v>
      </c>
      <c r="J559" s="1075"/>
      <c r="K559" s="1075"/>
      <c r="L559" s="1075" t="s">
        <v>9888</v>
      </c>
      <c r="M559" s="1077" t="s">
        <v>6839</v>
      </c>
      <c r="N559" s="1078">
        <v>6512400</v>
      </c>
      <c r="O559" s="1078"/>
      <c r="P559" s="1078"/>
      <c r="Q559" s="1079"/>
      <c r="V559" s="1084"/>
    </row>
    <row r="560" spans="1:22" s="1082" customFormat="1" ht="24" customHeight="1">
      <c r="A560" s="1075">
        <v>541</v>
      </c>
      <c r="B560" s="1075" t="s">
        <v>2476</v>
      </c>
      <c r="C560" s="1075"/>
      <c r="D560" s="1075"/>
      <c r="E560" s="1075" t="s">
        <v>10559</v>
      </c>
      <c r="F560" s="1076"/>
      <c r="G560" s="1075" t="s">
        <v>9065</v>
      </c>
      <c r="H560" s="1075" t="s">
        <v>9065</v>
      </c>
      <c r="I560" s="1075" t="s">
        <v>5749</v>
      </c>
      <c r="J560" s="1075" t="s">
        <v>15578</v>
      </c>
      <c r="K560" s="1075" t="s">
        <v>15577</v>
      </c>
      <c r="L560" s="1075" t="s">
        <v>5130</v>
      </c>
      <c r="M560" s="1077" t="s">
        <v>5748</v>
      </c>
      <c r="N560" s="1078">
        <v>6512400</v>
      </c>
      <c r="O560" s="1078" t="s">
        <v>985</v>
      </c>
      <c r="P560" s="1078"/>
      <c r="Q560" s="1079"/>
      <c r="V560" s="1084"/>
    </row>
    <row r="561" spans="1:22" s="1082" customFormat="1" ht="24" customHeight="1">
      <c r="A561" s="1075">
        <v>542</v>
      </c>
      <c r="B561" s="1075" t="s">
        <v>334</v>
      </c>
      <c r="C561" s="1075"/>
      <c r="D561" s="1075"/>
      <c r="E561" s="1075" t="s">
        <v>10560</v>
      </c>
      <c r="F561" s="1076"/>
      <c r="G561" s="1075" t="s">
        <v>9065</v>
      </c>
      <c r="H561" s="1075" t="s">
        <v>9065</v>
      </c>
      <c r="I561" s="1075" t="s">
        <v>5751</v>
      </c>
      <c r="J561" s="1075" t="s">
        <v>15611</v>
      </c>
      <c r="K561" s="1075" t="s">
        <v>15610</v>
      </c>
      <c r="L561" s="1075" t="s">
        <v>5130</v>
      </c>
      <c r="M561" s="1077" t="s">
        <v>5750</v>
      </c>
      <c r="N561" s="1078">
        <v>6512400</v>
      </c>
      <c r="O561" s="1078" t="s">
        <v>375</v>
      </c>
      <c r="P561" s="1078"/>
      <c r="Q561" s="1079"/>
      <c r="V561" s="1084"/>
    </row>
    <row r="562" spans="1:22" s="1082" customFormat="1" ht="24" customHeight="1">
      <c r="A562" s="1075">
        <v>543</v>
      </c>
      <c r="B562" s="1075"/>
      <c r="C562" s="1075"/>
      <c r="D562" s="1075"/>
      <c r="E562" s="1075" t="s">
        <v>10561</v>
      </c>
      <c r="F562" s="1076"/>
      <c r="G562" s="1075" t="s">
        <v>9065</v>
      </c>
      <c r="H562" s="1075" t="s">
        <v>9065</v>
      </c>
      <c r="I562" s="1075" t="s">
        <v>6842</v>
      </c>
      <c r="J562" s="1075"/>
      <c r="K562" s="1075"/>
      <c r="L562" s="1075" t="s">
        <v>9888</v>
      </c>
      <c r="M562" s="1077" t="s">
        <v>6841</v>
      </c>
      <c r="N562" s="1078">
        <v>6512400</v>
      </c>
      <c r="O562" s="1078"/>
      <c r="P562" s="1078"/>
      <c r="Q562" s="1079"/>
      <c r="V562" s="1084"/>
    </row>
    <row r="563" spans="1:22" s="1082" customFormat="1" ht="24" customHeight="1">
      <c r="A563" s="1075">
        <v>544</v>
      </c>
      <c r="B563" s="1075"/>
      <c r="C563" s="1075"/>
      <c r="D563" s="1075"/>
      <c r="E563" s="1075" t="s">
        <v>10562</v>
      </c>
      <c r="F563" s="1076"/>
      <c r="G563" s="1075" t="s">
        <v>9065</v>
      </c>
      <c r="H563" s="1075" t="s">
        <v>9065</v>
      </c>
      <c r="I563" s="1075" t="s">
        <v>5753</v>
      </c>
      <c r="J563" s="1075" t="s">
        <v>2049</v>
      </c>
      <c r="K563" s="1075" t="s">
        <v>2048</v>
      </c>
      <c r="L563" s="1075" t="s">
        <v>5130</v>
      </c>
      <c r="M563" s="1077" t="s">
        <v>5752</v>
      </c>
      <c r="N563" s="1078">
        <v>6512400</v>
      </c>
      <c r="O563" s="1078" t="s">
        <v>375</v>
      </c>
      <c r="P563" s="1078"/>
      <c r="Q563" s="1079"/>
      <c r="V563" s="1084"/>
    </row>
    <row r="564" spans="1:22" s="1082" customFormat="1" ht="24" customHeight="1">
      <c r="A564" s="1075">
        <v>545</v>
      </c>
      <c r="B564" s="1075"/>
      <c r="C564" s="1075"/>
      <c r="D564" s="1075"/>
      <c r="E564" s="1075" t="s">
        <v>10563</v>
      </c>
      <c r="F564" s="1076"/>
      <c r="G564" s="1075" t="s">
        <v>9065</v>
      </c>
      <c r="H564" s="1075" t="s">
        <v>9065</v>
      </c>
      <c r="I564" s="1075" t="s">
        <v>6844</v>
      </c>
      <c r="J564" s="1075"/>
      <c r="K564" s="1075"/>
      <c r="L564" s="1075" t="s">
        <v>9888</v>
      </c>
      <c r="M564" s="1077" t="s">
        <v>6843</v>
      </c>
      <c r="N564" s="1078">
        <v>6512400</v>
      </c>
      <c r="O564" s="1078"/>
      <c r="P564" s="1078"/>
      <c r="Q564" s="1079"/>
      <c r="V564" s="1084"/>
    </row>
    <row r="565" spans="1:22" s="1082" customFormat="1" ht="24" customHeight="1">
      <c r="A565" s="1075">
        <v>546</v>
      </c>
      <c r="B565" s="1075"/>
      <c r="C565" s="1075"/>
      <c r="D565" s="1075"/>
      <c r="E565" s="1075" t="s">
        <v>10564</v>
      </c>
      <c r="F565" s="1076"/>
      <c r="G565" s="1075" t="s">
        <v>9065</v>
      </c>
      <c r="H565" s="1075" t="s">
        <v>9065</v>
      </c>
      <c r="I565" s="1075" t="s">
        <v>6846</v>
      </c>
      <c r="J565" s="1075"/>
      <c r="K565" s="1075"/>
      <c r="L565" s="1075" t="s">
        <v>9888</v>
      </c>
      <c r="M565" s="1077" t="s">
        <v>6845</v>
      </c>
      <c r="N565" s="1078">
        <v>6512400</v>
      </c>
      <c r="O565" s="1078"/>
      <c r="P565" s="1078"/>
      <c r="Q565" s="1079"/>
      <c r="V565" s="1084"/>
    </row>
    <row r="566" spans="1:22" s="1082" customFormat="1" ht="24" customHeight="1">
      <c r="A566" s="1075">
        <v>547</v>
      </c>
      <c r="B566" s="1075"/>
      <c r="C566" s="1075"/>
      <c r="D566" s="1075"/>
      <c r="E566" s="1075" t="s">
        <v>10565</v>
      </c>
      <c r="F566" s="1076"/>
      <c r="G566" s="1075" t="s">
        <v>9065</v>
      </c>
      <c r="H566" s="1075" t="s">
        <v>9065</v>
      </c>
      <c r="I566" s="1075" t="s">
        <v>6848</v>
      </c>
      <c r="J566" s="1075"/>
      <c r="K566" s="1075"/>
      <c r="L566" s="1075" t="s">
        <v>9888</v>
      </c>
      <c r="M566" s="1077" t="s">
        <v>6847</v>
      </c>
      <c r="N566" s="1078">
        <v>6512400</v>
      </c>
      <c r="O566" s="1078"/>
      <c r="P566" s="1078"/>
      <c r="Q566" s="1079"/>
      <c r="V566" s="1084"/>
    </row>
    <row r="567" spans="1:22" s="1082" customFormat="1" ht="24" customHeight="1">
      <c r="A567" s="1075">
        <v>548</v>
      </c>
      <c r="B567" s="1075"/>
      <c r="C567" s="1075"/>
      <c r="D567" s="1075"/>
      <c r="E567" s="1075" t="s">
        <v>10566</v>
      </c>
      <c r="F567" s="1076"/>
      <c r="G567" s="1075" t="s">
        <v>9065</v>
      </c>
      <c r="H567" s="1075" t="s">
        <v>9065</v>
      </c>
      <c r="I567" s="1075" t="s">
        <v>6850</v>
      </c>
      <c r="J567" s="1075"/>
      <c r="K567" s="1075"/>
      <c r="L567" s="1075" t="s">
        <v>9888</v>
      </c>
      <c r="M567" s="1077" t="s">
        <v>6849</v>
      </c>
      <c r="N567" s="1078">
        <v>6512400</v>
      </c>
      <c r="O567" s="1078"/>
      <c r="P567" s="1078"/>
      <c r="Q567" s="1079"/>
      <c r="V567" s="1084"/>
    </row>
    <row r="568" spans="1:22" s="1082" customFormat="1" ht="24" customHeight="1">
      <c r="A568" s="1075">
        <v>549</v>
      </c>
      <c r="B568" s="1075"/>
      <c r="C568" s="1075"/>
      <c r="D568" s="1075"/>
      <c r="E568" s="1075" t="s">
        <v>10567</v>
      </c>
      <c r="F568" s="1076"/>
      <c r="G568" s="1075" t="s">
        <v>9065</v>
      </c>
      <c r="H568" s="1075" t="s">
        <v>9065</v>
      </c>
      <c r="I568" s="1075" t="s">
        <v>6852</v>
      </c>
      <c r="J568" s="1075"/>
      <c r="K568" s="1075"/>
      <c r="L568" s="1075" t="s">
        <v>9888</v>
      </c>
      <c r="M568" s="1077" t="s">
        <v>6851</v>
      </c>
      <c r="N568" s="1078">
        <v>6512400</v>
      </c>
      <c r="O568" s="1078"/>
      <c r="P568" s="1078"/>
      <c r="Q568" s="1079"/>
      <c r="V568" s="1084"/>
    </row>
    <row r="569" spans="1:22" s="1082" customFormat="1" ht="24" customHeight="1">
      <c r="A569" s="1075">
        <v>550</v>
      </c>
      <c r="B569" s="1075"/>
      <c r="C569" s="1075"/>
      <c r="D569" s="1075"/>
      <c r="E569" s="1075" t="s">
        <v>10568</v>
      </c>
      <c r="F569" s="1076"/>
      <c r="G569" s="1075" t="s">
        <v>9065</v>
      </c>
      <c r="H569" s="1075" t="s">
        <v>9065</v>
      </c>
      <c r="I569" s="1075" t="s">
        <v>6854</v>
      </c>
      <c r="J569" s="1075"/>
      <c r="K569" s="1075"/>
      <c r="L569" s="1075" t="s">
        <v>9888</v>
      </c>
      <c r="M569" s="1077" t="s">
        <v>6853</v>
      </c>
      <c r="N569" s="1078">
        <v>6512400</v>
      </c>
      <c r="O569" s="1078"/>
      <c r="P569" s="1078"/>
      <c r="Q569" s="1079"/>
      <c r="V569" s="1084"/>
    </row>
    <row r="570" spans="1:22" s="1082" customFormat="1" ht="24" customHeight="1">
      <c r="A570" s="1075">
        <v>551</v>
      </c>
      <c r="B570" s="1075"/>
      <c r="C570" s="1075"/>
      <c r="D570" s="1075"/>
      <c r="E570" s="1075" t="s">
        <v>10570</v>
      </c>
      <c r="F570" s="1076"/>
      <c r="G570" s="1075" t="s">
        <v>9065</v>
      </c>
      <c r="H570" s="1075" t="s">
        <v>9065</v>
      </c>
      <c r="I570" s="1075" t="s">
        <v>6858</v>
      </c>
      <c r="J570" s="1075"/>
      <c r="K570" s="1075"/>
      <c r="L570" s="1075" t="s">
        <v>9888</v>
      </c>
      <c r="M570" s="1077" t="s">
        <v>6857</v>
      </c>
      <c r="N570" s="1078">
        <v>6512400</v>
      </c>
      <c r="O570" s="1078"/>
      <c r="P570" s="1078"/>
      <c r="Q570" s="1079"/>
      <c r="V570" s="1084"/>
    </row>
    <row r="571" spans="1:22" s="1082" customFormat="1" ht="24" customHeight="1">
      <c r="A571" s="1075">
        <v>552</v>
      </c>
      <c r="B571" s="1075"/>
      <c r="C571" s="1075"/>
      <c r="D571" s="1075"/>
      <c r="E571" s="1075" t="s">
        <v>10572</v>
      </c>
      <c r="F571" s="1076"/>
      <c r="G571" s="1075" t="s">
        <v>9065</v>
      </c>
      <c r="H571" s="1075" t="s">
        <v>9065</v>
      </c>
      <c r="I571" s="1075" t="s">
        <v>6862</v>
      </c>
      <c r="J571" s="1075"/>
      <c r="K571" s="1075"/>
      <c r="L571" s="1075" t="s">
        <v>9888</v>
      </c>
      <c r="M571" s="1077" t="s">
        <v>6861</v>
      </c>
      <c r="N571" s="1078">
        <v>6512400</v>
      </c>
      <c r="O571" s="1078"/>
      <c r="P571" s="1078"/>
      <c r="Q571" s="1079"/>
      <c r="V571" s="1084"/>
    </row>
    <row r="572" spans="1:22" s="1082" customFormat="1" ht="24" customHeight="1">
      <c r="A572" s="1075">
        <v>553</v>
      </c>
      <c r="B572" s="1075"/>
      <c r="C572" s="1075"/>
      <c r="D572" s="1075"/>
      <c r="E572" s="1075" t="s">
        <v>10573</v>
      </c>
      <c r="F572" s="1076"/>
      <c r="G572" s="1075" t="s">
        <v>9065</v>
      </c>
      <c r="H572" s="1075" t="s">
        <v>9065</v>
      </c>
      <c r="I572" s="1075" t="s">
        <v>6864</v>
      </c>
      <c r="J572" s="1075"/>
      <c r="K572" s="1075"/>
      <c r="L572" s="1075" t="s">
        <v>9888</v>
      </c>
      <c r="M572" s="1077" t="s">
        <v>6863</v>
      </c>
      <c r="N572" s="1078">
        <v>6512400</v>
      </c>
      <c r="O572" s="1078"/>
      <c r="P572" s="1078"/>
      <c r="Q572" s="1079"/>
      <c r="V572" s="1084"/>
    </row>
    <row r="573" spans="1:22" s="1082" customFormat="1" ht="24" customHeight="1">
      <c r="A573" s="1075">
        <v>554</v>
      </c>
      <c r="B573" s="1075"/>
      <c r="C573" s="1075"/>
      <c r="D573" s="1075"/>
      <c r="E573" s="1075" t="s">
        <v>10574</v>
      </c>
      <c r="F573" s="1076"/>
      <c r="G573" s="1075" t="s">
        <v>9065</v>
      </c>
      <c r="H573" s="1075" t="s">
        <v>9065</v>
      </c>
      <c r="I573" s="1075" t="s">
        <v>6866</v>
      </c>
      <c r="J573" s="1075"/>
      <c r="K573" s="1075"/>
      <c r="L573" s="1075" t="s">
        <v>9888</v>
      </c>
      <c r="M573" s="1077" t="s">
        <v>6865</v>
      </c>
      <c r="N573" s="1078">
        <v>6512400</v>
      </c>
      <c r="O573" s="1078"/>
      <c r="P573" s="1078"/>
      <c r="Q573" s="1079"/>
      <c r="V573" s="1084"/>
    </row>
    <row r="574" spans="1:22" s="1082" customFormat="1" ht="24" customHeight="1">
      <c r="A574" s="1075">
        <v>555</v>
      </c>
      <c r="B574" s="1075"/>
      <c r="C574" s="1075"/>
      <c r="D574" s="1075"/>
      <c r="E574" s="1075" t="s">
        <v>10575</v>
      </c>
      <c r="F574" s="1076"/>
      <c r="G574" s="1075" t="s">
        <v>9065</v>
      </c>
      <c r="H574" s="1075" t="s">
        <v>9065</v>
      </c>
      <c r="I574" s="1075" t="s">
        <v>6868</v>
      </c>
      <c r="J574" s="1075"/>
      <c r="K574" s="1075"/>
      <c r="L574" s="1075" t="s">
        <v>9888</v>
      </c>
      <c r="M574" s="1077" t="s">
        <v>6867</v>
      </c>
      <c r="N574" s="1078">
        <v>6512400</v>
      </c>
      <c r="O574" s="1078"/>
      <c r="P574" s="1078"/>
      <c r="Q574" s="1079"/>
      <c r="V574" s="1084"/>
    </row>
    <row r="575" spans="1:22" s="1082" customFormat="1" ht="24" customHeight="1">
      <c r="A575" s="1075">
        <v>556</v>
      </c>
      <c r="B575" s="1075"/>
      <c r="C575" s="1075"/>
      <c r="D575" s="1075"/>
      <c r="E575" s="1075" t="s">
        <v>10577</v>
      </c>
      <c r="F575" s="1076"/>
      <c r="G575" s="1075" t="s">
        <v>9065</v>
      </c>
      <c r="H575" s="1075" t="s">
        <v>9065</v>
      </c>
      <c r="I575" s="1075" t="s">
        <v>6871</v>
      </c>
      <c r="J575" s="1075"/>
      <c r="K575" s="1075"/>
      <c r="L575" s="1075" t="s">
        <v>9888</v>
      </c>
      <c r="M575" s="1077" t="s">
        <v>6870</v>
      </c>
      <c r="N575" s="1078">
        <v>6512400</v>
      </c>
      <c r="O575" s="1078"/>
      <c r="P575" s="1078"/>
      <c r="Q575" s="1079"/>
      <c r="V575" s="1084"/>
    </row>
    <row r="576" spans="1:22" s="1082" customFormat="1" ht="24" customHeight="1">
      <c r="A576" s="1075">
        <v>557</v>
      </c>
      <c r="B576" s="1075"/>
      <c r="C576" s="1075"/>
      <c r="D576" s="1075"/>
      <c r="E576" s="1075" t="s">
        <v>10578</v>
      </c>
      <c r="F576" s="1076"/>
      <c r="G576" s="1075" t="s">
        <v>9065</v>
      </c>
      <c r="H576" s="1075" t="s">
        <v>9065</v>
      </c>
      <c r="I576" s="1075" t="s">
        <v>6873</v>
      </c>
      <c r="J576" s="1075"/>
      <c r="K576" s="1075"/>
      <c r="L576" s="1075" t="s">
        <v>9888</v>
      </c>
      <c r="M576" s="1077" t="s">
        <v>6872</v>
      </c>
      <c r="N576" s="1078">
        <v>6512400</v>
      </c>
      <c r="O576" s="1078"/>
      <c r="P576" s="1078"/>
      <c r="Q576" s="1079"/>
      <c r="V576" s="1084"/>
    </row>
    <row r="577" spans="1:22" s="1082" customFormat="1" ht="24" customHeight="1">
      <c r="A577" s="1075">
        <v>558</v>
      </c>
      <c r="B577" s="1075"/>
      <c r="C577" s="1075"/>
      <c r="D577" s="1075"/>
      <c r="E577" s="1075" t="s">
        <v>10579</v>
      </c>
      <c r="F577" s="1076"/>
      <c r="G577" s="1075" t="s">
        <v>9065</v>
      </c>
      <c r="H577" s="1075" t="s">
        <v>9065</v>
      </c>
      <c r="I577" s="1075" t="s">
        <v>6875</v>
      </c>
      <c r="J577" s="1075"/>
      <c r="K577" s="1075"/>
      <c r="L577" s="1075" t="s">
        <v>9888</v>
      </c>
      <c r="M577" s="1077" t="s">
        <v>6874</v>
      </c>
      <c r="N577" s="1078">
        <v>6512400</v>
      </c>
      <c r="O577" s="1078"/>
      <c r="P577" s="1078"/>
      <c r="Q577" s="1079"/>
      <c r="V577" s="1084"/>
    </row>
    <row r="578" spans="1:22" s="1082" customFormat="1" ht="24" customHeight="1">
      <c r="A578" s="1075">
        <v>559</v>
      </c>
      <c r="B578" s="1075" t="s">
        <v>1595</v>
      </c>
      <c r="C578" s="1075"/>
      <c r="D578" s="1075"/>
      <c r="E578" s="1075" t="s">
        <v>10581</v>
      </c>
      <c r="F578" s="1076"/>
      <c r="G578" s="1075" t="s">
        <v>9065</v>
      </c>
      <c r="H578" s="1075" t="s">
        <v>9065</v>
      </c>
      <c r="I578" s="1075" t="s">
        <v>5757</v>
      </c>
      <c r="J578" s="1075" t="s">
        <v>2221</v>
      </c>
      <c r="K578" s="1075" t="s">
        <v>2220</v>
      </c>
      <c r="L578" s="1075" t="s">
        <v>5130</v>
      </c>
      <c r="M578" s="1077" t="s">
        <v>5756</v>
      </c>
      <c r="N578" s="1078">
        <v>6512400</v>
      </c>
      <c r="O578" s="1078" t="s">
        <v>375</v>
      </c>
      <c r="P578" s="1078"/>
      <c r="Q578" s="1079"/>
      <c r="V578" s="1084"/>
    </row>
    <row r="579" spans="1:22" s="1082" customFormat="1" ht="24" customHeight="1">
      <c r="A579" s="1075">
        <v>560</v>
      </c>
      <c r="B579" s="1075"/>
      <c r="C579" s="1075"/>
      <c r="D579" s="1075"/>
      <c r="E579" s="1075" t="s">
        <v>10582</v>
      </c>
      <c r="F579" s="1076"/>
      <c r="G579" s="1075" t="s">
        <v>9065</v>
      </c>
      <c r="H579" s="1075" t="s">
        <v>9065</v>
      </c>
      <c r="I579" s="1075" t="s">
        <v>6879</v>
      </c>
      <c r="J579" s="1075"/>
      <c r="K579" s="1075"/>
      <c r="L579" s="1075" t="s">
        <v>9888</v>
      </c>
      <c r="M579" s="1077" t="s">
        <v>6878</v>
      </c>
      <c r="N579" s="1078">
        <v>6512400</v>
      </c>
      <c r="O579" s="1078"/>
      <c r="P579" s="1078"/>
      <c r="Q579" s="1079"/>
      <c r="V579" s="1084"/>
    </row>
    <row r="580" spans="1:22" s="1082" customFormat="1" ht="24" customHeight="1">
      <c r="A580" s="1075">
        <v>561</v>
      </c>
      <c r="B580" s="1075"/>
      <c r="C580" s="1075"/>
      <c r="D580" s="1075"/>
      <c r="E580" s="1075" t="s">
        <v>10583</v>
      </c>
      <c r="F580" s="1076"/>
      <c r="G580" s="1075" t="s">
        <v>9065</v>
      </c>
      <c r="H580" s="1075" t="s">
        <v>9065</v>
      </c>
      <c r="I580" s="1075" t="s">
        <v>6881</v>
      </c>
      <c r="J580" s="1075"/>
      <c r="K580" s="1075"/>
      <c r="L580" s="1075" t="s">
        <v>9888</v>
      </c>
      <c r="M580" s="1077" t="s">
        <v>6880</v>
      </c>
      <c r="N580" s="1078">
        <v>6512400</v>
      </c>
      <c r="O580" s="1078"/>
      <c r="P580" s="1078"/>
      <c r="Q580" s="1079"/>
      <c r="V580" s="1084"/>
    </row>
    <row r="581" spans="1:22" s="1082" customFormat="1" ht="24" customHeight="1">
      <c r="A581" s="1075">
        <v>562</v>
      </c>
      <c r="B581" s="1075"/>
      <c r="C581" s="1075"/>
      <c r="D581" s="1075"/>
      <c r="E581" s="1075" t="s">
        <v>10584</v>
      </c>
      <c r="F581" s="1076"/>
      <c r="G581" s="1075" t="s">
        <v>9065</v>
      </c>
      <c r="H581" s="1075" t="s">
        <v>9065</v>
      </c>
      <c r="I581" s="1075" t="s">
        <v>6883</v>
      </c>
      <c r="J581" s="1075"/>
      <c r="K581" s="1075"/>
      <c r="L581" s="1075" t="s">
        <v>9888</v>
      </c>
      <c r="M581" s="1077" t="s">
        <v>6882</v>
      </c>
      <c r="N581" s="1078">
        <v>6512400</v>
      </c>
      <c r="O581" s="1078"/>
      <c r="P581" s="1078"/>
      <c r="Q581" s="1079"/>
      <c r="V581" s="1084"/>
    </row>
    <row r="582" spans="1:22" s="1082" customFormat="1" ht="24" customHeight="1">
      <c r="A582" s="1075">
        <v>563</v>
      </c>
      <c r="B582" s="1075"/>
      <c r="C582" s="1075"/>
      <c r="D582" s="1075"/>
      <c r="E582" s="1075" t="s">
        <v>10585</v>
      </c>
      <c r="F582" s="1076"/>
      <c r="G582" s="1075" t="s">
        <v>9065</v>
      </c>
      <c r="H582" s="1075" t="s">
        <v>9065</v>
      </c>
      <c r="I582" s="1075" t="s">
        <v>6885</v>
      </c>
      <c r="J582" s="1075"/>
      <c r="K582" s="1075"/>
      <c r="L582" s="1075" t="s">
        <v>9888</v>
      </c>
      <c r="M582" s="1077" t="s">
        <v>6884</v>
      </c>
      <c r="N582" s="1078">
        <v>6512400</v>
      </c>
      <c r="O582" s="1078"/>
      <c r="P582" s="1078"/>
      <c r="Q582" s="1079"/>
      <c r="V582" s="1084"/>
    </row>
    <row r="583" spans="1:22" s="1082" customFormat="1" ht="24" customHeight="1">
      <c r="A583" s="1075">
        <v>564</v>
      </c>
      <c r="B583" s="1075"/>
      <c r="C583" s="1075"/>
      <c r="D583" s="1075"/>
      <c r="E583" s="1075" t="s">
        <v>10586</v>
      </c>
      <c r="F583" s="1076"/>
      <c r="G583" s="1075" t="s">
        <v>9065</v>
      </c>
      <c r="H583" s="1075" t="s">
        <v>9065</v>
      </c>
      <c r="I583" s="1075" t="s">
        <v>6887</v>
      </c>
      <c r="J583" s="1075"/>
      <c r="K583" s="1075"/>
      <c r="L583" s="1075" t="s">
        <v>9888</v>
      </c>
      <c r="M583" s="1077" t="s">
        <v>6886</v>
      </c>
      <c r="N583" s="1078">
        <v>6512400</v>
      </c>
      <c r="O583" s="1078"/>
      <c r="P583" s="1078"/>
      <c r="Q583" s="1079"/>
      <c r="V583" s="1084"/>
    </row>
    <row r="584" spans="1:22" s="1082" customFormat="1" ht="24" customHeight="1">
      <c r="A584" s="1075">
        <v>565</v>
      </c>
      <c r="B584" s="1075"/>
      <c r="C584" s="1075"/>
      <c r="D584" s="1075"/>
      <c r="E584" s="1075" t="s">
        <v>10587</v>
      </c>
      <c r="F584" s="1076"/>
      <c r="G584" s="1075" t="s">
        <v>9065</v>
      </c>
      <c r="H584" s="1075" t="s">
        <v>9065</v>
      </c>
      <c r="I584" s="1075" t="s">
        <v>6889</v>
      </c>
      <c r="J584" s="1075"/>
      <c r="K584" s="1075"/>
      <c r="L584" s="1075" t="s">
        <v>9888</v>
      </c>
      <c r="M584" s="1077" t="s">
        <v>6888</v>
      </c>
      <c r="N584" s="1078">
        <v>6512400</v>
      </c>
      <c r="O584" s="1078"/>
      <c r="P584" s="1078"/>
      <c r="Q584" s="1079"/>
      <c r="V584" s="1084"/>
    </row>
    <row r="585" spans="1:22" s="1082" customFormat="1" ht="24" customHeight="1">
      <c r="A585" s="1075">
        <v>566</v>
      </c>
      <c r="B585" s="1075"/>
      <c r="C585" s="1075"/>
      <c r="D585" s="1075"/>
      <c r="E585" s="1075" t="s">
        <v>10588</v>
      </c>
      <c r="F585" s="1076"/>
      <c r="G585" s="1075" t="s">
        <v>9065</v>
      </c>
      <c r="H585" s="1075" t="s">
        <v>9065</v>
      </c>
      <c r="I585" s="1075" t="s">
        <v>6891</v>
      </c>
      <c r="J585" s="1075"/>
      <c r="K585" s="1075"/>
      <c r="L585" s="1075" t="s">
        <v>9888</v>
      </c>
      <c r="M585" s="1077" t="s">
        <v>6890</v>
      </c>
      <c r="N585" s="1078">
        <v>6512400</v>
      </c>
      <c r="O585" s="1078"/>
      <c r="P585" s="1078"/>
      <c r="Q585" s="1079"/>
      <c r="V585" s="1084"/>
    </row>
    <row r="586" spans="1:22" s="1082" customFormat="1" ht="24" customHeight="1">
      <c r="A586" s="1075">
        <v>567</v>
      </c>
      <c r="B586" s="1075"/>
      <c r="C586" s="1075"/>
      <c r="D586" s="1075"/>
      <c r="E586" s="1075" t="s">
        <v>10590</v>
      </c>
      <c r="F586" s="1076"/>
      <c r="G586" s="1075" t="s">
        <v>9065</v>
      </c>
      <c r="H586" s="1075" t="s">
        <v>9065</v>
      </c>
      <c r="I586" s="1075" t="s">
        <v>6895</v>
      </c>
      <c r="J586" s="1075"/>
      <c r="K586" s="1075"/>
      <c r="L586" s="1075" t="s">
        <v>9888</v>
      </c>
      <c r="M586" s="1077" t="s">
        <v>6894</v>
      </c>
      <c r="N586" s="1078">
        <v>6512400</v>
      </c>
      <c r="O586" s="1078"/>
      <c r="P586" s="1078"/>
      <c r="Q586" s="1079"/>
      <c r="V586" s="1084"/>
    </row>
    <row r="587" spans="1:22" s="1082" customFormat="1" ht="24" customHeight="1">
      <c r="A587" s="1075">
        <v>568</v>
      </c>
      <c r="B587" s="1075"/>
      <c r="C587" s="1075"/>
      <c r="D587" s="1075"/>
      <c r="E587" s="1075" t="s">
        <v>10591</v>
      </c>
      <c r="F587" s="1076"/>
      <c r="G587" s="1075" t="s">
        <v>9065</v>
      </c>
      <c r="H587" s="1075" t="s">
        <v>9065</v>
      </c>
      <c r="I587" s="1075" t="s">
        <v>6898</v>
      </c>
      <c r="J587" s="1075"/>
      <c r="K587" s="1075"/>
      <c r="L587" s="1075" t="s">
        <v>9888</v>
      </c>
      <c r="M587" s="1077" t="s">
        <v>6897</v>
      </c>
      <c r="N587" s="1078">
        <v>6512400</v>
      </c>
      <c r="O587" s="1078"/>
      <c r="P587" s="1078"/>
      <c r="Q587" s="1079"/>
      <c r="V587" s="1084"/>
    </row>
    <row r="588" spans="1:22" s="1082" customFormat="1" ht="24" customHeight="1">
      <c r="A588" s="1075">
        <v>569</v>
      </c>
      <c r="B588" s="1075"/>
      <c r="C588" s="1075"/>
      <c r="D588" s="1075"/>
      <c r="E588" s="1075" t="s">
        <v>10592</v>
      </c>
      <c r="F588" s="1076"/>
      <c r="G588" s="1075" t="s">
        <v>9065</v>
      </c>
      <c r="H588" s="1075" t="s">
        <v>9065</v>
      </c>
      <c r="I588" s="1075" t="s">
        <v>6900</v>
      </c>
      <c r="J588" s="1075"/>
      <c r="K588" s="1075"/>
      <c r="L588" s="1075" t="s">
        <v>9888</v>
      </c>
      <c r="M588" s="1077" t="s">
        <v>6899</v>
      </c>
      <c r="N588" s="1078">
        <v>6512400</v>
      </c>
      <c r="O588" s="1078"/>
      <c r="P588" s="1078"/>
      <c r="Q588" s="1079"/>
      <c r="V588" s="1084"/>
    </row>
    <row r="589" spans="1:22" s="1082" customFormat="1" ht="24" customHeight="1">
      <c r="A589" s="1075">
        <v>570</v>
      </c>
      <c r="B589" s="1075"/>
      <c r="C589" s="1075"/>
      <c r="D589" s="1075"/>
      <c r="E589" s="1075" t="s">
        <v>10593</v>
      </c>
      <c r="F589" s="1076"/>
      <c r="G589" s="1075" t="s">
        <v>9065</v>
      </c>
      <c r="H589" s="1075" t="s">
        <v>9065</v>
      </c>
      <c r="I589" s="1075" t="s">
        <v>6902</v>
      </c>
      <c r="J589" s="1075"/>
      <c r="K589" s="1075"/>
      <c r="L589" s="1075" t="s">
        <v>9888</v>
      </c>
      <c r="M589" s="1077" t="s">
        <v>6901</v>
      </c>
      <c r="N589" s="1078">
        <v>6512400</v>
      </c>
      <c r="O589" s="1078"/>
      <c r="P589" s="1078"/>
      <c r="Q589" s="1079"/>
      <c r="V589" s="1084"/>
    </row>
    <row r="590" spans="1:22" s="1082" customFormat="1" ht="24" customHeight="1">
      <c r="A590" s="1075">
        <v>571</v>
      </c>
      <c r="B590" s="1075"/>
      <c r="C590" s="1075"/>
      <c r="D590" s="1075"/>
      <c r="E590" s="1075" t="s">
        <v>10594</v>
      </c>
      <c r="F590" s="1076"/>
      <c r="G590" s="1075" t="s">
        <v>9065</v>
      </c>
      <c r="H590" s="1075" t="s">
        <v>9065</v>
      </c>
      <c r="I590" s="1075" t="s">
        <v>6904</v>
      </c>
      <c r="J590" s="1075"/>
      <c r="K590" s="1075"/>
      <c r="L590" s="1075" t="s">
        <v>9888</v>
      </c>
      <c r="M590" s="1077" t="s">
        <v>6903</v>
      </c>
      <c r="N590" s="1078">
        <v>6512400</v>
      </c>
      <c r="O590" s="1078"/>
      <c r="P590" s="1078"/>
      <c r="Q590" s="1079"/>
      <c r="V590" s="1084"/>
    </row>
    <row r="591" spans="1:22" s="1082" customFormat="1" ht="24" customHeight="1">
      <c r="A591" s="1075">
        <v>572</v>
      </c>
      <c r="B591" s="1075"/>
      <c r="C591" s="1075"/>
      <c r="D591" s="1075"/>
      <c r="E591" s="1075" t="s">
        <v>10596</v>
      </c>
      <c r="F591" s="1076"/>
      <c r="G591" s="1075" t="s">
        <v>9065</v>
      </c>
      <c r="H591" s="1075" t="s">
        <v>9065</v>
      </c>
      <c r="I591" s="1075" t="s">
        <v>6906</v>
      </c>
      <c r="J591" s="1075"/>
      <c r="K591" s="1075"/>
      <c r="L591" s="1075" t="s">
        <v>9888</v>
      </c>
      <c r="M591" s="1077" t="s">
        <v>6905</v>
      </c>
      <c r="N591" s="1078">
        <v>6512400</v>
      </c>
      <c r="O591" s="1078"/>
      <c r="P591" s="1078"/>
      <c r="Q591" s="1079"/>
      <c r="V591" s="1084"/>
    </row>
    <row r="592" spans="1:22" s="1082" customFormat="1" ht="24" customHeight="1">
      <c r="A592" s="1075">
        <v>573</v>
      </c>
      <c r="B592" s="1075"/>
      <c r="C592" s="1075"/>
      <c r="D592" s="1075"/>
      <c r="E592" s="1075" t="s">
        <v>10597</v>
      </c>
      <c r="F592" s="1076"/>
      <c r="G592" s="1075" t="s">
        <v>9065</v>
      </c>
      <c r="H592" s="1075" t="s">
        <v>9065</v>
      </c>
      <c r="I592" s="1075" t="s">
        <v>6908</v>
      </c>
      <c r="J592" s="1075"/>
      <c r="K592" s="1075"/>
      <c r="L592" s="1075" t="s">
        <v>9888</v>
      </c>
      <c r="M592" s="1077" t="s">
        <v>6907</v>
      </c>
      <c r="N592" s="1078">
        <v>6512400</v>
      </c>
      <c r="O592" s="1078"/>
      <c r="P592" s="1078"/>
      <c r="Q592" s="1079"/>
      <c r="V592" s="1084"/>
    </row>
    <row r="593" spans="1:22" s="1082" customFormat="1" ht="24" customHeight="1">
      <c r="A593" s="1075">
        <v>574</v>
      </c>
      <c r="B593" s="1075"/>
      <c r="C593" s="1075"/>
      <c r="D593" s="1075"/>
      <c r="E593" s="1075" t="s">
        <v>10598</v>
      </c>
      <c r="F593" s="1076"/>
      <c r="G593" s="1075" t="s">
        <v>9065</v>
      </c>
      <c r="H593" s="1075" t="s">
        <v>9065</v>
      </c>
      <c r="I593" s="1075" t="s">
        <v>6910</v>
      </c>
      <c r="J593" s="1075"/>
      <c r="K593" s="1075"/>
      <c r="L593" s="1075" t="s">
        <v>9888</v>
      </c>
      <c r="M593" s="1077" t="s">
        <v>6909</v>
      </c>
      <c r="N593" s="1078">
        <v>6512400</v>
      </c>
      <c r="O593" s="1078"/>
      <c r="P593" s="1078"/>
      <c r="Q593" s="1079"/>
      <c r="V593" s="1084"/>
    </row>
    <row r="594" spans="1:22" s="1082" customFormat="1" ht="24" customHeight="1">
      <c r="A594" s="1075">
        <v>575</v>
      </c>
      <c r="B594" s="1075" t="s">
        <v>423</v>
      </c>
      <c r="C594" s="1075"/>
      <c r="D594" s="1075"/>
      <c r="E594" s="1075" t="s">
        <v>10599</v>
      </c>
      <c r="F594" s="1076"/>
      <c r="G594" s="1075" t="s">
        <v>9065</v>
      </c>
      <c r="H594" s="1075" t="s">
        <v>9065</v>
      </c>
      <c r="I594" s="1075" t="s">
        <v>6912</v>
      </c>
      <c r="J594" s="1075" t="s">
        <v>1161</v>
      </c>
      <c r="K594" s="1075" t="s">
        <v>1159</v>
      </c>
      <c r="L594" s="1075" t="s">
        <v>9888</v>
      </c>
      <c r="M594" s="1077" t="s">
        <v>6911</v>
      </c>
      <c r="N594" s="1078">
        <v>6512400</v>
      </c>
      <c r="O594" s="1078" t="s">
        <v>375</v>
      </c>
      <c r="P594" s="1078" t="s">
        <v>16149</v>
      </c>
      <c r="Q594" s="1079"/>
      <c r="V594" s="1084"/>
    </row>
    <row r="595" spans="1:22" s="1082" customFormat="1" ht="24" customHeight="1">
      <c r="A595" s="1075">
        <v>576</v>
      </c>
      <c r="B595" s="1075"/>
      <c r="C595" s="1075"/>
      <c r="D595" s="1075"/>
      <c r="E595" s="1075" t="s">
        <v>10600</v>
      </c>
      <c r="F595" s="1076"/>
      <c r="G595" s="1075" t="s">
        <v>9065</v>
      </c>
      <c r="H595" s="1075" t="s">
        <v>9065</v>
      </c>
      <c r="I595" s="1075" t="s">
        <v>6914</v>
      </c>
      <c r="J595" s="1075"/>
      <c r="K595" s="1075"/>
      <c r="L595" s="1075" t="s">
        <v>9888</v>
      </c>
      <c r="M595" s="1077" t="s">
        <v>6913</v>
      </c>
      <c r="N595" s="1078">
        <v>6512400</v>
      </c>
      <c r="O595" s="1078"/>
      <c r="P595" s="1078"/>
      <c r="Q595" s="1079"/>
      <c r="V595" s="1084"/>
    </row>
    <row r="596" spans="1:22" s="1082" customFormat="1" ht="24" customHeight="1">
      <c r="A596" s="1075">
        <v>577</v>
      </c>
      <c r="B596" s="1075"/>
      <c r="C596" s="1075"/>
      <c r="D596" s="1075"/>
      <c r="E596" s="1075" t="s">
        <v>10601</v>
      </c>
      <c r="F596" s="1076"/>
      <c r="G596" s="1075" t="s">
        <v>9065</v>
      </c>
      <c r="H596" s="1075" t="s">
        <v>9065</v>
      </c>
      <c r="I596" s="1075" t="s">
        <v>6916</v>
      </c>
      <c r="J596" s="1075"/>
      <c r="K596" s="1075"/>
      <c r="L596" s="1075" t="s">
        <v>9888</v>
      </c>
      <c r="M596" s="1077" t="s">
        <v>6915</v>
      </c>
      <c r="N596" s="1078">
        <v>6512400</v>
      </c>
      <c r="O596" s="1078"/>
      <c r="P596" s="1078"/>
      <c r="Q596" s="1079"/>
      <c r="V596" s="1084"/>
    </row>
    <row r="597" spans="1:22" s="1082" customFormat="1" ht="24" customHeight="1">
      <c r="A597" s="1075">
        <v>578</v>
      </c>
      <c r="B597" s="1075"/>
      <c r="C597" s="1075"/>
      <c r="D597" s="1075"/>
      <c r="E597" s="1075" t="s">
        <v>10602</v>
      </c>
      <c r="F597" s="1076"/>
      <c r="G597" s="1075" t="s">
        <v>9065</v>
      </c>
      <c r="H597" s="1075" t="s">
        <v>9065</v>
      </c>
      <c r="I597" s="1075" t="s">
        <v>6918</v>
      </c>
      <c r="J597" s="1075"/>
      <c r="K597" s="1075"/>
      <c r="L597" s="1075" t="s">
        <v>9888</v>
      </c>
      <c r="M597" s="1077" t="s">
        <v>6917</v>
      </c>
      <c r="N597" s="1078">
        <v>6512400</v>
      </c>
      <c r="O597" s="1078"/>
      <c r="P597" s="1078"/>
      <c r="Q597" s="1079"/>
      <c r="V597" s="1084"/>
    </row>
    <row r="598" spans="1:22" s="1082" customFormat="1" ht="24" customHeight="1">
      <c r="A598" s="1075">
        <v>579</v>
      </c>
      <c r="B598" s="1075"/>
      <c r="C598" s="1075"/>
      <c r="D598" s="1075"/>
      <c r="E598" s="1075" t="s">
        <v>10604</v>
      </c>
      <c r="F598" s="1076"/>
      <c r="G598" s="1075" t="s">
        <v>9065</v>
      </c>
      <c r="H598" s="1075" t="s">
        <v>9065</v>
      </c>
      <c r="I598" s="1075" t="s">
        <v>6922</v>
      </c>
      <c r="J598" s="1075"/>
      <c r="K598" s="1075"/>
      <c r="L598" s="1075" t="s">
        <v>9888</v>
      </c>
      <c r="M598" s="1077" t="s">
        <v>6921</v>
      </c>
      <c r="N598" s="1078">
        <v>6512400</v>
      </c>
      <c r="O598" s="1078"/>
      <c r="P598" s="1078"/>
      <c r="Q598" s="1079"/>
      <c r="V598" s="1084"/>
    </row>
    <row r="599" spans="1:22" s="1082" customFormat="1" ht="24" customHeight="1">
      <c r="A599" s="1075">
        <v>580</v>
      </c>
      <c r="B599" s="1075"/>
      <c r="C599" s="1075"/>
      <c r="D599" s="1075"/>
      <c r="E599" s="1075" t="s">
        <v>10605</v>
      </c>
      <c r="F599" s="1076"/>
      <c r="G599" s="1075" t="s">
        <v>9065</v>
      </c>
      <c r="H599" s="1075" t="s">
        <v>9065</v>
      </c>
      <c r="I599" s="1075" t="s">
        <v>6924</v>
      </c>
      <c r="J599" s="1075"/>
      <c r="K599" s="1075"/>
      <c r="L599" s="1075" t="s">
        <v>9888</v>
      </c>
      <c r="M599" s="1077" t="s">
        <v>6923</v>
      </c>
      <c r="N599" s="1078">
        <v>6512400</v>
      </c>
      <c r="O599" s="1078"/>
      <c r="P599" s="1078"/>
      <c r="Q599" s="1079"/>
      <c r="V599" s="1084"/>
    </row>
    <row r="600" spans="1:22" s="1082" customFormat="1" ht="24" customHeight="1">
      <c r="A600" s="1075">
        <v>581</v>
      </c>
      <c r="B600" s="1075"/>
      <c r="C600" s="1075"/>
      <c r="D600" s="1075"/>
      <c r="E600" s="1075" t="s">
        <v>10606</v>
      </c>
      <c r="F600" s="1076"/>
      <c r="G600" s="1075" t="s">
        <v>9065</v>
      </c>
      <c r="H600" s="1075" t="s">
        <v>9065</v>
      </c>
      <c r="I600" s="1075" t="s">
        <v>6926</v>
      </c>
      <c r="J600" s="1075"/>
      <c r="K600" s="1075"/>
      <c r="L600" s="1075" t="s">
        <v>9888</v>
      </c>
      <c r="M600" s="1077" t="s">
        <v>6925</v>
      </c>
      <c r="N600" s="1078">
        <v>6512400</v>
      </c>
      <c r="O600" s="1078"/>
      <c r="P600" s="1078"/>
      <c r="Q600" s="1079"/>
      <c r="V600" s="1084"/>
    </row>
    <row r="601" spans="1:22" s="1082" customFormat="1" ht="24" customHeight="1">
      <c r="A601" s="1075">
        <v>582</v>
      </c>
      <c r="B601" s="1075"/>
      <c r="C601" s="1075"/>
      <c r="D601" s="1075"/>
      <c r="E601" s="1075" t="s">
        <v>10607</v>
      </c>
      <c r="F601" s="1076"/>
      <c r="G601" s="1075" t="s">
        <v>9065</v>
      </c>
      <c r="H601" s="1075" t="s">
        <v>9065</v>
      </c>
      <c r="I601" s="1075" t="s">
        <v>6928</v>
      </c>
      <c r="J601" s="1075"/>
      <c r="K601" s="1075"/>
      <c r="L601" s="1075" t="s">
        <v>9888</v>
      </c>
      <c r="M601" s="1077" t="s">
        <v>6927</v>
      </c>
      <c r="N601" s="1078">
        <v>6512400</v>
      </c>
      <c r="O601" s="1078"/>
      <c r="P601" s="1078"/>
      <c r="Q601" s="1079"/>
      <c r="V601" s="1084"/>
    </row>
    <row r="602" spans="1:22" s="1082" customFormat="1" ht="24" customHeight="1">
      <c r="A602" s="1075">
        <v>583</v>
      </c>
      <c r="B602" s="1075" t="s">
        <v>423</v>
      </c>
      <c r="C602" s="1075"/>
      <c r="D602" s="1075"/>
      <c r="E602" s="1075" t="s">
        <v>10608</v>
      </c>
      <c r="F602" s="1076"/>
      <c r="G602" s="1075" t="s">
        <v>9065</v>
      </c>
      <c r="H602" s="1075" t="s">
        <v>9065</v>
      </c>
      <c r="I602" s="1075" t="s">
        <v>5761</v>
      </c>
      <c r="J602" s="1075" t="s">
        <v>1275</v>
      </c>
      <c r="K602" s="1075" t="s">
        <v>1274</v>
      </c>
      <c r="L602" s="1075" t="s">
        <v>5130</v>
      </c>
      <c r="M602" s="1077" t="s">
        <v>5760</v>
      </c>
      <c r="N602" s="1078">
        <v>6512400</v>
      </c>
      <c r="O602" s="1078" t="s">
        <v>375</v>
      </c>
      <c r="P602" s="1078"/>
      <c r="Q602" s="1079"/>
      <c r="V602" s="1084"/>
    </row>
    <row r="603" spans="1:22" s="1082" customFormat="1" ht="24" customHeight="1">
      <c r="A603" s="1075">
        <v>584</v>
      </c>
      <c r="B603" s="1075"/>
      <c r="C603" s="1075"/>
      <c r="D603" s="1075"/>
      <c r="E603" s="1075" t="s">
        <v>10609</v>
      </c>
      <c r="F603" s="1076"/>
      <c r="G603" s="1075" t="s">
        <v>9065</v>
      </c>
      <c r="H603" s="1075" t="s">
        <v>9065</v>
      </c>
      <c r="I603" s="1075" t="s">
        <v>6930</v>
      </c>
      <c r="J603" s="1075"/>
      <c r="K603" s="1075"/>
      <c r="L603" s="1075" t="s">
        <v>9888</v>
      </c>
      <c r="M603" s="1077" t="s">
        <v>6929</v>
      </c>
      <c r="N603" s="1078">
        <v>6512400</v>
      </c>
      <c r="O603" s="1078"/>
      <c r="P603" s="1078"/>
      <c r="Q603" s="1079"/>
      <c r="V603" s="1084"/>
    </row>
    <row r="604" spans="1:22" s="1082" customFormat="1" ht="24" customHeight="1">
      <c r="A604" s="1075">
        <v>585</v>
      </c>
      <c r="B604" s="1075"/>
      <c r="C604" s="1075"/>
      <c r="D604" s="1075"/>
      <c r="E604" s="1075" t="s">
        <v>10610</v>
      </c>
      <c r="F604" s="1076"/>
      <c r="G604" s="1075" t="s">
        <v>9065</v>
      </c>
      <c r="H604" s="1075" t="s">
        <v>9065</v>
      </c>
      <c r="I604" s="1075" t="s">
        <v>6932</v>
      </c>
      <c r="J604" s="1075"/>
      <c r="K604" s="1075"/>
      <c r="L604" s="1075" t="s">
        <v>9888</v>
      </c>
      <c r="M604" s="1077" t="s">
        <v>6931</v>
      </c>
      <c r="N604" s="1078">
        <v>6512400</v>
      </c>
      <c r="O604" s="1078"/>
      <c r="P604" s="1078"/>
      <c r="Q604" s="1079"/>
      <c r="V604" s="1084"/>
    </row>
    <row r="605" spans="1:22" s="1082" customFormat="1" ht="24" customHeight="1">
      <c r="A605" s="1075">
        <v>586</v>
      </c>
      <c r="B605" s="1075"/>
      <c r="C605" s="1075"/>
      <c r="D605" s="1075"/>
      <c r="E605" s="1075" t="s">
        <v>10611</v>
      </c>
      <c r="F605" s="1076"/>
      <c r="G605" s="1075" t="s">
        <v>9065</v>
      </c>
      <c r="H605" s="1075" t="s">
        <v>9065</v>
      </c>
      <c r="I605" s="1075" t="s">
        <v>6934</v>
      </c>
      <c r="J605" s="1075"/>
      <c r="K605" s="1075"/>
      <c r="L605" s="1075" t="s">
        <v>9888</v>
      </c>
      <c r="M605" s="1077" t="s">
        <v>6933</v>
      </c>
      <c r="N605" s="1078">
        <v>6512400</v>
      </c>
      <c r="O605" s="1078"/>
      <c r="P605" s="1078"/>
      <c r="Q605" s="1079"/>
      <c r="V605" s="1084"/>
    </row>
    <row r="606" spans="1:22" s="1082" customFormat="1" ht="24" customHeight="1">
      <c r="A606" s="1075">
        <v>587</v>
      </c>
      <c r="B606" s="1075"/>
      <c r="C606" s="1075"/>
      <c r="D606" s="1075"/>
      <c r="E606" s="1075" t="s">
        <v>10612</v>
      </c>
      <c r="F606" s="1076"/>
      <c r="G606" s="1075" t="s">
        <v>9065</v>
      </c>
      <c r="H606" s="1075" t="s">
        <v>9065</v>
      </c>
      <c r="I606" s="1075" t="s">
        <v>6936</v>
      </c>
      <c r="J606" s="1075"/>
      <c r="K606" s="1075"/>
      <c r="L606" s="1075" t="s">
        <v>9888</v>
      </c>
      <c r="M606" s="1077" t="s">
        <v>6935</v>
      </c>
      <c r="N606" s="1078">
        <v>6512400</v>
      </c>
      <c r="O606" s="1078"/>
      <c r="P606" s="1078"/>
      <c r="Q606" s="1079"/>
      <c r="V606" s="1084"/>
    </row>
    <row r="607" spans="1:22" s="1082" customFormat="1" ht="24" customHeight="1">
      <c r="A607" s="1075">
        <v>588</v>
      </c>
      <c r="B607" s="1075"/>
      <c r="C607" s="1075"/>
      <c r="D607" s="1075"/>
      <c r="E607" s="1075" t="s">
        <v>10613</v>
      </c>
      <c r="F607" s="1076"/>
      <c r="G607" s="1075" t="s">
        <v>9065</v>
      </c>
      <c r="H607" s="1075" t="s">
        <v>9065</v>
      </c>
      <c r="I607" s="1075" t="s">
        <v>6938</v>
      </c>
      <c r="J607" s="1075"/>
      <c r="K607" s="1075"/>
      <c r="L607" s="1075" t="s">
        <v>9888</v>
      </c>
      <c r="M607" s="1077" t="s">
        <v>6937</v>
      </c>
      <c r="N607" s="1078">
        <v>6512400</v>
      </c>
      <c r="O607" s="1078"/>
      <c r="P607" s="1078"/>
      <c r="Q607" s="1079"/>
      <c r="V607" s="1084"/>
    </row>
    <row r="608" spans="1:22" s="1082" customFormat="1" ht="24" customHeight="1">
      <c r="A608" s="1075">
        <v>589</v>
      </c>
      <c r="B608" s="1075"/>
      <c r="C608" s="1075"/>
      <c r="D608" s="1075"/>
      <c r="E608" s="1075" t="s">
        <v>10615</v>
      </c>
      <c r="F608" s="1076"/>
      <c r="G608" s="1075" t="s">
        <v>9065</v>
      </c>
      <c r="H608" s="1075" t="s">
        <v>9065</v>
      </c>
      <c r="I608" s="1075" t="s">
        <v>6942</v>
      </c>
      <c r="J608" s="1075"/>
      <c r="K608" s="1075"/>
      <c r="L608" s="1075" t="s">
        <v>9888</v>
      </c>
      <c r="M608" s="1077" t="s">
        <v>6941</v>
      </c>
      <c r="N608" s="1078">
        <v>6512400</v>
      </c>
      <c r="O608" s="1078"/>
      <c r="P608" s="1078"/>
      <c r="Q608" s="1079"/>
      <c r="V608" s="1084"/>
    </row>
    <row r="609" spans="1:22" s="1082" customFormat="1" ht="24" customHeight="1">
      <c r="A609" s="1075">
        <v>590</v>
      </c>
      <c r="B609" s="1075" t="s">
        <v>2476</v>
      </c>
      <c r="C609" s="1075"/>
      <c r="D609" s="1075"/>
      <c r="E609" s="1075" t="s">
        <v>10616</v>
      </c>
      <c r="F609" s="1076"/>
      <c r="G609" s="1075" t="s">
        <v>9065</v>
      </c>
      <c r="H609" s="1075" t="s">
        <v>9065</v>
      </c>
      <c r="I609" s="1075" t="s">
        <v>5763</v>
      </c>
      <c r="J609" s="1075" t="s">
        <v>15589</v>
      </c>
      <c r="K609" s="1075" t="s">
        <v>2551</v>
      </c>
      <c r="L609" s="1075" t="s">
        <v>5130</v>
      </c>
      <c r="M609" s="1077" t="s">
        <v>5762</v>
      </c>
      <c r="N609" s="1078">
        <v>6512400</v>
      </c>
      <c r="O609" s="1078" t="s">
        <v>375</v>
      </c>
      <c r="P609" s="1078"/>
      <c r="Q609" s="1079"/>
      <c r="V609" s="1084"/>
    </row>
    <row r="610" spans="1:22" s="1082" customFormat="1" ht="24" customHeight="1">
      <c r="A610" s="1075">
        <v>591</v>
      </c>
      <c r="B610" s="1075" t="s">
        <v>2476</v>
      </c>
      <c r="C610" s="1075"/>
      <c r="D610" s="1075"/>
      <c r="E610" s="1075" t="s">
        <v>10617</v>
      </c>
      <c r="F610" s="1076"/>
      <c r="G610" s="1075" t="s">
        <v>9065</v>
      </c>
      <c r="H610" s="1075" t="s">
        <v>9065</v>
      </c>
      <c r="I610" s="1075" t="s">
        <v>5765</v>
      </c>
      <c r="J610" s="1075" t="s">
        <v>15582</v>
      </c>
      <c r="K610" s="1075" t="s">
        <v>15581</v>
      </c>
      <c r="L610" s="1075" t="s">
        <v>5130</v>
      </c>
      <c r="M610" s="1077" t="s">
        <v>5764</v>
      </c>
      <c r="N610" s="1078">
        <v>6512400</v>
      </c>
      <c r="O610" s="1078" t="s">
        <v>375</v>
      </c>
      <c r="P610" s="1078"/>
      <c r="Q610" s="1079"/>
      <c r="V610" s="1084"/>
    </row>
    <row r="611" spans="1:22" s="1082" customFormat="1" ht="24" customHeight="1">
      <c r="A611" s="1075">
        <v>592</v>
      </c>
      <c r="B611" s="376" t="s">
        <v>1595</v>
      </c>
      <c r="C611" s="376"/>
      <c r="D611" s="376"/>
      <c r="E611" s="1075" t="s">
        <v>10618</v>
      </c>
      <c r="F611" s="1076"/>
      <c r="G611" s="1075" t="s">
        <v>9065</v>
      </c>
      <c r="H611" s="1075" t="s">
        <v>9065</v>
      </c>
      <c r="I611" s="1075" t="s">
        <v>5767</v>
      </c>
      <c r="J611" s="1075" t="s">
        <v>2120</v>
      </c>
      <c r="K611" s="1075" t="s">
        <v>2119</v>
      </c>
      <c r="L611" s="1075" t="s">
        <v>5130</v>
      </c>
      <c r="M611" s="1077" t="s">
        <v>5766</v>
      </c>
      <c r="N611" s="1078">
        <v>6512400</v>
      </c>
      <c r="O611" s="1078" t="s">
        <v>375</v>
      </c>
      <c r="P611" s="1078"/>
      <c r="Q611" s="1079"/>
      <c r="V611" s="1084"/>
    </row>
    <row r="612" spans="1:22" s="1082" customFormat="1" ht="24" customHeight="1">
      <c r="A612" s="1075">
        <v>593</v>
      </c>
      <c r="B612" s="1075"/>
      <c r="C612" s="1075"/>
      <c r="D612" s="1075"/>
      <c r="E612" s="1075" t="s">
        <v>10619</v>
      </c>
      <c r="F612" s="1076"/>
      <c r="G612" s="1075" t="s">
        <v>9065</v>
      </c>
      <c r="H612" s="1075" t="s">
        <v>9065</v>
      </c>
      <c r="I612" s="1075" t="s">
        <v>6944</v>
      </c>
      <c r="J612" s="1075"/>
      <c r="K612" s="1075"/>
      <c r="L612" s="1075" t="s">
        <v>9888</v>
      </c>
      <c r="M612" s="1077" t="s">
        <v>6943</v>
      </c>
      <c r="N612" s="1078">
        <v>6512400</v>
      </c>
      <c r="O612" s="1078"/>
      <c r="P612" s="1078"/>
      <c r="Q612" s="1079"/>
      <c r="V612" s="1084"/>
    </row>
    <row r="613" spans="1:22" s="1082" customFormat="1" ht="24" customHeight="1">
      <c r="A613" s="1075">
        <v>594</v>
      </c>
      <c r="B613" s="1075" t="s">
        <v>423</v>
      </c>
      <c r="C613" s="1075"/>
      <c r="D613" s="1075"/>
      <c r="E613" s="1075" t="s">
        <v>10620</v>
      </c>
      <c r="F613" s="1076"/>
      <c r="G613" s="1075" t="s">
        <v>9065</v>
      </c>
      <c r="H613" s="1075" t="s">
        <v>9065</v>
      </c>
      <c r="I613" s="1075" t="s">
        <v>5769</v>
      </c>
      <c r="J613" s="1075" t="s">
        <v>1117</v>
      </c>
      <c r="K613" s="1075" t="s">
        <v>1116</v>
      </c>
      <c r="L613" s="1075" t="s">
        <v>5130</v>
      </c>
      <c r="M613" s="1077" t="s">
        <v>5768</v>
      </c>
      <c r="N613" s="1078">
        <v>6512400</v>
      </c>
      <c r="O613" s="1078" t="s">
        <v>375</v>
      </c>
      <c r="P613" s="1078"/>
      <c r="Q613" s="1079"/>
      <c r="V613" s="1084"/>
    </row>
    <row r="614" spans="1:22" s="1082" customFormat="1" ht="24" customHeight="1">
      <c r="A614" s="1075">
        <v>595</v>
      </c>
      <c r="B614" s="1075"/>
      <c r="C614" s="1075"/>
      <c r="D614" s="1075"/>
      <c r="E614" s="1075" t="s">
        <v>10621</v>
      </c>
      <c r="F614" s="1076"/>
      <c r="G614" s="1075" t="s">
        <v>9065</v>
      </c>
      <c r="H614" s="1075" t="s">
        <v>9065</v>
      </c>
      <c r="I614" s="1075" t="s">
        <v>6946</v>
      </c>
      <c r="J614" s="1075"/>
      <c r="K614" s="1075"/>
      <c r="L614" s="1075" t="s">
        <v>9888</v>
      </c>
      <c r="M614" s="1077" t="s">
        <v>6945</v>
      </c>
      <c r="N614" s="1078">
        <v>6512400</v>
      </c>
      <c r="O614" s="1078"/>
      <c r="P614" s="1078"/>
      <c r="Q614" s="1079"/>
      <c r="V614" s="1084"/>
    </row>
    <row r="615" spans="1:22" s="1082" customFormat="1" ht="24" customHeight="1">
      <c r="A615" s="1075">
        <v>596</v>
      </c>
      <c r="B615" s="1075"/>
      <c r="C615" s="1075"/>
      <c r="D615" s="1075"/>
      <c r="E615" s="1075" t="s">
        <v>10622</v>
      </c>
      <c r="F615" s="1076"/>
      <c r="G615" s="1075" t="s">
        <v>9065</v>
      </c>
      <c r="H615" s="1075" t="s">
        <v>9065</v>
      </c>
      <c r="I615" s="1075" t="s">
        <v>6948</v>
      </c>
      <c r="J615" s="1075"/>
      <c r="K615" s="1075"/>
      <c r="L615" s="1075" t="s">
        <v>9888</v>
      </c>
      <c r="M615" s="1077" t="s">
        <v>6947</v>
      </c>
      <c r="N615" s="1078">
        <v>6512400</v>
      </c>
      <c r="O615" s="1078"/>
      <c r="P615" s="1078"/>
      <c r="Q615" s="1079"/>
      <c r="V615" s="1084"/>
    </row>
    <row r="616" spans="1:22" s="1082" customFormat="1" ht="24" customHeight="1">
      <c r="A616" s="1075">
        <v>597</v>
      </c>
      <c r="B616" s="1075"/>
      <c r="C616" s="1075"/>
      <c r="D616" s="1075"/>
      <c r="E616" s="1075" t="s">
        <v>10623</v>
      </c>
      <c r="F616" s="1076"/>
      <c r="G616" s="1075" t="s">
        <v>9065</v>
      </c>
      <c r="H616" s="1075" t="s">
        <v>9065</v>
      </c>
      <c r="I616" s="1075" t="s">
        <v>6950</v>
      </c>
      <c r="J616" s="1075"/>
      <c r="K616" s="1075"/>
      <c r="L616" s="1075" t="s">
        <v>9888</v>
      </c>
      <c r="M616" s="1077" t="s">
        <v>6949</v>
      </c>
      <c r="N616" s="1078">
        <v>6512400</v>
      </c>
      <c r="O616" s="1078"/>
      <c r="P616" s="1078"/>
      <c r="Q616" s="1079"/>
      <c r="V616" s="1084"/>
    </row>
    <row r="617" spans="1:22" s="1082" customFormat="1" ht="24" customHeight="1">
      <c r="A617" s="1075">
        <v>598</v>
      </c>
      <c r="B617" s="1075"/>
      <c r="C617" s="1075"/>
      <c r="D617" s="1075"/>
      <c r="E617" s="1075" t="s">
        <v>10624</v>
      </c>
      <c r="F617" s="1076"/>
      <c r="G617" s="1075" t="s">
        <v>9065</v>
      </c>
      <c r="H617" s="1075" t="s">
        <v>9065</v>
      </c>
      <c r="I617" s="1075" t="s">
        <v>6952</v>
      </c>
      <c r="J617" s="1075"/>
      <c r="K617" s="1075"/>
      <c r="L617" s="1075" t="s">
        <v>9888</v>
      </c>
      <c r="M617" s="1077" t="s">
        <v>6951</v>
      </c>
      <c r="N617" s="1078">
        <v>6512400</v>
      </c>
      <c r="O617" s="1078"/>
      <c r="P617" s="1078"/>
      <c r="Q617" s="1079"/>
      <c r="V617" s="1084"/>
    </row>
    <row r="618" spans="1:22" s="1082" customFormat="1" ht="24" customHeight="1">
      <c r="A618" s="1075">
        <v>599</v>
      </c>
      <c r="B618" s="1075"/>
      <c r="C618" s="1075"/>
      <c r="D618" s="1075"/>
      <c r="E618" s="1075" t="s">
        <v>10625</v>
      </c>
      <c r="F618" s="1076"/>
      <c r="G618" s="1075" t="s">
        <v>9065</v>
      </c>
      <c r="H618" s="1075" t="s">
        <v>9065</v>
      </c>
      <c r="I618" s="1075" t="s">
        <v>6954</v>
      </c>
      <c r="J618" s="1075"/>
      <c r="K618" s="1075"/>
      <c r="L618" s="1075" t="s">
        <v>9888</v>
      </c>
      <c r="M618" s="1077" t="s">
        <v>6953</v>
      </c>
      <c r="N618" s="1078">
        <v>6512400</v>
      </c>
      <c r="O618" s="1078"/>
      <c r="P618" s="1078"/>
      <c r="Q618" s="1079"/>
      <c r="V618" s="1084"/>
    </row>
    <row r="619" spans="1:22" s="1082" customFormat="1" ht="24" customHeight="1">
      <c r="A619" s="1075">
        <v>600</v>
      </c>
      <c r="B619" s="1075"/>
      <c r="C619" s="1075"/>
      <c r="D619" s="1075"/>
      <c r="E619" s="1075" t="s">
        <v>10626</v>
      </c>
      <c r="F619" s="1076"/>
      <c r="G619" s="1075" t="s">
        <v>9065</v>
      </c>
      <c r="H619" s="1075" t="s">
        <v>9065</v>
      </c>
      <c r="I619" s="1075" t="s">
        <v>6956</v>
      </c>
      <c r="J619" s="1075"/>
      <c r="K619" s="1075"/>
      <c r="L619" s="1075" t="s">
        <v>9888</v>
      </c>
      <c r="M619" s="1077" t="s">
        <v>6955</v>
      </c>
      <c r="N619" s="1078">
        <v>6512400</v>
      </c>
      <c r="O619" s="1078"/>
      <c r="P619" s="1078"/>
      <c r="Q619" s="1079"/>
      <c r="V619" s="1084"/>
    </row>
    <row r="620" spans="1:22" s="1082" customFormat="1" ht="24" customHeight="1">
      <c r="A620" s="1075">
        <v>601</v>
      </c>
      <c r="B620" s="1075"/>
      <c r="C620" s="1075"/>
      <c r="D620" s="1075"/>
      <c r="E620" s="1075" t="s">
        <v>10627</v>
      </c>
      <c r="F620" s="1076"/>
      <c r="G620" s="1075" t="s">
        <v>9065</v>
      </c>
      <c r="H620" s="1075" t="s">
        <v>9065</v>
      </c>
      <c r="I620" s="1075" t="s">
        <v>6958</v>
      </c>
      <c r="J620" s="1075"/>
      <c r="K620" s="1075"/>
      <c r="L620" s="1075" t="s">
        <v>9888</v>
      </c>
      <c r="M620" s="1077" t="s">
        <v>6957</v>
      </c>
      <c r="N620" s="1078">
        <v>6512400</v>
      </c>
      <c r="O620" s="1078"/>
      <c r="P620" s="1078"/>
      <c r="Q620" s="1079"/>
      <c r="V620" s="1084"/>
    </row>
    <row r="621" spans="1:22" s="1082" customFormat="1" ht="24" customHeight="1">
      <c r="A621" s="1075">
        <v>602</v>
      </c>
      <c r="B621" s="1075"/>
      <c r="C621" s="1075"/>
      <c r="D621" s="1075"/>
      <c r="E621" s="1075" t="s">
        <v>10628</v>
      </c>
      <c r="F621" s="1076"/>
      <c r="G621" s="1075" t="s">
        <v>9065</v>
      </c>
      <c r="H621" s="1075" t="s">
        <v>9065</v>
      </c>
      <c r="I621" s="1075" t="s">
        <v>6960</v>
      </c>
      <c r="J621" s="1075"/>
      <c r="K621" s="1075"/>
      <c r="L621" s="1075" t="s">
        <v>9888</v>
      </c>
      <c r="M621" s="1077" t="s">
        <v>6959</v>
      </c>
      <c r="N621" s="1078">
        <v>6512400</v>
      </c>
      <c r="O621" s="1078"/>
      <c r="P621" s="1078"/>
      <c r="Q621" s="1079"/>
      <c r="V621" s="1084"/>
    </row>
    <row r="622" spans="1:22" s="1082" customFormat="1" ht="24" customHeight="1">
      <c r="A622" s="1075">
        <v>603</v>
      </c>
      <c r="B622" s="1075"/>
      <c r="C622" s="1075"/>
      <c r="D622" s="1075"/>
      <c r="E622" s="1075" t="s">
        <v>10629</v>
      </c>
      <c r="F622" s="1076"/>
      <c r="G622" s="1075" t="s">
        <v>9065</v>
      </c>
      <c r="H622" s="1075" t="s">
        <v>9065</v>
      </c>
      <c r="I622" s="1075" t="s">
        <v>6962</v>
      </c>
      <c r="J622" s="1075"/>
      <c r="K622" s="1075"/>
      <c r="L622" s="1075" t="s">
        <v>9888</v>
      </c>
      <c r="M622" s="1077" t="s">
        <v>6961</v>
      </c>
      <c r="N622" s="1078">
        <v>6512400</v>
      </c>
      <c r="O622" s="1078"/>
      <c r="P622" s="1078"/>
      <c r="Q622" s="1079"/>
      <c r="V622" s="1084"/>
    </row>
    <row r="623" spans="1:22" s="1082" customFormat="1" ht="24" customHeight="1">
      <c r="A623" s="1075">
        <v>604</v>
      </c>
      <c r="B623" s="1075"/>
      <c r="C623" s="1075"/>
      <c r="D623" s="1075"/>
      <c r="E623" s="1075" t="s">
        <v>10631</v>
      </c>
      <c r="F623" s="1076"/>
      <c r="G623" s="1075" t="s">
        <v>9065</v>
      </c>
      <c r="H623" s="1075" t="s">
        <v>9065</v>
      </c>
      <c r="I623" s="1075" t="s">
        <v>6965</v>
      </c>
      <c r="J623" s="1075"/>
      <c r="K623" s="1075"/>
      <c r="L623" s="1075" t="s">
        <v>9888</v>
      </c>
      <c r="M623" s="1077" t="s">
        <v>6964</v>
      </c>
      <c r="N623" s="1078">
        <v>6512400</v>
      </c>
      <c r="O623" s="1078"/>
      <c r="P623" s="1078"/>
      <c r="Q623" s="1079"/>
      <c r="V623" s="1084"/>
    </row>
    <row r="624" spans="1:22" s="1082" customFormat="1" ht="24" customHeight="1">
      <c r="A624" s="1075">
        <v>605</v>
      </c>
      <c r="B624" s="1075"/>
      <c r="C624" s="1075"/>
      <c r="D624" s="1075"/>
      <c r="E624" s="1075" t="s">
        <v>10632</v>
      </c>
      <c r="F624" s="1076"/>
      <c r="G624" s="1075" t="s">
        <v>9065</v>
      </c>
      <c r="H624" s="1075" t="s">
        <v>9065</v>
      </c>
      <c r="I624" s="1075" t="s">
        <v>6967</v>
      </c>
      <c r="J624" s="1075"/>
      <c r="K624" s="1075"/>
      <c r="L624" s="1075" t="s">
        <v>9888</v>
      </c>
      <c r="M624" s="1077" t="s">
        <v>6966</v>
      </c>
      <c r="N624" s="1078">
        <v>6512400</v>
      </c>
      <c r="O624" s="1078"/>
      <c r="P624" s="1078"/>
      <c r="Q624" s="1079"/>
      <c r="V624" s="1084"/>
    </row>
    <row r="625" spans="1:22" s="1082" customFormat="1" ht="24" customHeight="1">
      <c r="A625" s="1075">
        <v>606</v>
      </c>
      <c r="B625" s="1075" t="s">
        <v>4623</v>
      </c>
      <c r="C625" s="1075"/>
      <c r="D625" s="1075"/>
      <c r="E625" s="1075" t="s">
        <v>10633</v>
      </c>
      <c r="F625" s="1076"/>
      <c r="G625" s="1075" t="s">
        <v>9065</v>
      </c>
      <c r="H625" s="1075" t="s">
        <v>9065</v>
      </c>
      <c r="I625" s="1075" t="s">
        <v>5771</v>
      </c>
      <c r="J625" s="1075" t="s">
        <v>12069</v>
      </c>
      <c r="K625" s="1075" t="s">
        <v>12068</v>
      </c>
      <c r="L625" s="1075" t="s">
        <v>5130</v>
      </c>
      <c r="M625" s="1077" t="s">
        <v>5770</v>
      </c>
      <c r="N625" s="1078">
        <v>6512400</v>
      </c>
      <c r="O625" s="1078" t="s">
        <v>375</v>
      </c>
      <c r="P625" s="1078"/>
      <c r="Q625" s="1079"/>
      <c r="V625" s="1084"/>
    </row>
    <row r="626" spans="1:22" s="1082" customFormat="1" ht="24" customHeight="1">
      <c r="A626" s="1075">
        <v>607</v>
      </c>
      <c r="B626" s="1075"/>
      <c r="C626" s="1075"/>
      <c r="D626" s="1075"/>
      <c r="E626" s="1075" t="s">
        <v>10634</v>
      </c>
      <c r="F626" s="1076"/>
      <c r="G626" s="1075" t="s">
        <v>9065</v>
      </c>
      <c r="H626" s="1075" t="s">
        <v>9065</v>
      </c>
      <c r="I626" s="1075" t="s">
        <v>6969</v>
      </c>
      <c r="J626" s="1075"/>
      <c r="K626" s="1075"/>
      <c r="L626" s="1075" t="s">
        <v>9888</v>
      </c>
      <c r="M626" s="1077" t="s">
        <v>6968</v>
      </c>
      <c r="N626" s="1078">
        <v>6512400</v>
      </c>
      <c r="O626" s="1078"/>
      <c r="P626" s="1078"/>
      <c r="Q626" s="1079"/>
      <c r="V626" s="1084"/>
    </row>
    <row r="627" spans="1:22" s="1082" customFormat="1" ht="24" customHeight="1">
      <c r="A627" s="1075">
        <v>608</v>
      </c>
      <c r="B627" s="1075"/>
      <c r="C627" s="1075"/>
      <c r="D627" s="1075"/>
      <c r="E627" s="1075" t="s">
        <v>10635</v>
      </c>
      <c r="F627" s="1076"/>
      <c r="G627" s="1075" t="s">
        <v>9065</v>
      </c>
      <c r="H627" s="1075" t="s">
        <v>9065</v>
      </c>
      <c r="I627" s="1075" t="s">
        <v>6971</v>
      </c>
      <c r="J627" s="1075"/>
      <c r="K627" s="1075"/>
      <c r="L627" s="1075" t="s">
        <v>9888</v>
      </c>
      <c r="M627" s="1077" t="s">
        <v>6970</v>
      </c>
      <c r="N627" s="1078">
        <v>6512400</v>
      </c>
      <c r="O627" s="1078"/>
      <c r="P627" s="1078"/>
      <c r="Q627" s="1079"/>
      <c r="V627" s="1084"/>
    </row>
    <row r="628" spans="1:22" s="1082" customFormat="1" ht="24" customHeight="1">
      <c r="A628" s="1075">
        <v>609</v>
      </c>
      <c r="B628" s="1075"/>
      <c r="C628" s="1075"/>
      <c r="D628" s="1075"/>
      <c r="E628" s="1075" t="s">
        <v>10636</v>
      </c>
      <c r="F628" s="1076"/>
      <c r="G628" s="1075" t="s">
        <v>9065</v>
      </c>
      <c r="H628" s="1075" t="s">
        <v>9065</v>
      </c>
      <c r="I628" s="1075" t="s">
        <v>6973</v>
      </c>
      <c r="J628" s="1075"/>
      <c r="K628" s="1075"/>
      <c r="L628" s="1075" t="s">
        <v>9888</v>
      </c>
      <c r="M628" s="1077" t="s">
        <v>6972</v>
      </c>
      <c r="N628" s="1078">
        <v>6512400</v>
      </c>
      <c r="O628" s="1078"/>
      <c r="P628" s="1078"/>
      <c r="Q628" s="1079"/>
      <c r="V628" s="1084"/>
    </row>
    <row r="629" spans="1:22" s="1082" customFormat="1" ht="24" customHeight="1">
      <c r="A629" s="1075">
        <v>610</v>
      </c>
      <c r="B629" s="1075"/>
      <c r="C629" s="1075"/>
      <c r="D629" s="1075"/>
      <c r="E629" s="1075" t="s">
        <v>10637</v>
      </c>
      <c r="F629" s="1076"/>
      <c r="G629" s="1075" t="s">
        <v>9065</v>
      </c>
      <c r="H629" s="1075" t="s">
        <v>9065</v>
      </c>
      <c r="I629" s="1075" t="s">
        <v>6975</v>
      </c>
      <c r="J629" s="1075"/>
      <c r="K629" s="1075"/>
      <c r="L629" s="1075" t="s">
        <v>9888</v>
      </c>
      <c r="M629" s="1077" t="s">
        <v>6974</v>
      </c>
      <c r="N629" s="1078">
        <v>6512400</v>
      </c>
      <c r="O629" s="1078"/>
      <c r="P629" s="1078"/>
      <c r="Q629" s="1079"/>
      <c r="V629" s="1084"/>
    </row>
    <row r="630" spans="1:22" s="1082" customFormat="1" ht="24" customHeight="1">
      <c r="A630" s="1075">
        <v>611</v>
      </c>
      <c r="B630" s="1075"/>
      <c r="C630" s="1075"/>
      <c r="D630" s="1075"/>
      <c r="E630" s="1075" t="s">
        <v>10639</v>
      </c>
      <c r="F630" s="1076"/>
      <c r="G630" s="1075" t="s">
        <v>9065</v>
      </c>
      <c r="H630" s="1075" t="s">
        <v>9065</v>
      </c>
      <c r="I630" s="1075" t="s">
        <v>6979</v>
      </c>
      <c r="J630" s="1075"/>
      <c r="K630" s="1075"/>
      <c r="L630" s="1075" t="s">
        <v>9888</v>
      </c>
      <c r="M630" s="1077" t="s">
        <v>6978</v>
      </c>
      <c r="N630" s="1078">
        <v>6512400</v>
      </c>
      <c r="O630" s="1078"/>
      <c r="P630" s="1078"/>
      <c r="Q630" s="1079"/>
      <c r="V630" s="1084"/>
    </row>
    <row r="631" spans="1:22" s="1082" customFormat="1" ht="24" customHeight="1">
      <c r="A631" s="1075">
        <v>612</v>
      </c>
      <c r="B631" s="1075"/>
      <c r="C631" s="1075"/>
      <c r="D631" s="1075"/>
      <c r="E631" s="1075" t="s">
        <v>10640</v>
      </c>
      <c r="F631" s="1076"/>
      <c r="G631" s="1075" t="s">
        <v>9065</v>
      </c>
      <c r="H631" s="1075" t="s">
        <v>9065</v>
      </c>
      <c r="I631" s="1075" t="s">
        <v>6981</v>
      </c>
      <c r="J631" s="1075"/>
      <c r="K631" s="1075"/>
      <c r="L631" s="1075" t="s">
        <v>9888</v>
      </c>
      <c r="M631" s="1077" t="s">
        <v>6980</v>
      </c>
      <c r="N631" s="1078">
        <v>6512400</v>
      </c>
      <c r="O631" s="1078"/>
      <c r="P631" s="1078"/>
      <c r="Q631" s="1079"/>
      <c r="V631" s="1084"/>
    </row>
    <row r="632" spans="1:22" s="1082" customFormat="1" ht="24" customHeight="1">
      <c r="A632" s="1075">
        <v>613</v>
      </c>
      <c r="B632" s="1075" t="s">
        <v>423</v>
      </c>
      <c r="C632" s="1075"/>
      <c r="D632" s="1075"/>
      <c r="E632" s="1075" t="s">
        <v>10643</v>
      </c>
      <c r="F632" s="1076"/>
      <c r="G632" s="1075" t="s">
        <v>9065</v>
      </c>
      <c r="H632" s="1075" t="s">
        <v>9065</v>
      </c>
      <c r="I632" s="1075" t="s">
        <v>5772</v>
      </c>
      <c r="J632" s="1075"/>
      <c r="K632" s="1075"/>
      <c r="L632" s="1075" t="s">
        <v>9888</v>
      </c>
      <c r="M632" s="1077" t="s">
        <v>16180</v>
      </c>
      <c r="N632" s="1078">
        <v>6512400</v>
      </c>
      <c r="O632" s="1078"/>
      <c r="P632" s="1078" t="s">
        <v>16146</v>
      </c>
      <c r="Q632" s="1079"/>
      <c r="V632" s="1084"/>
    </row>
    <row r="633" spans="1:22" s="1082" customFormat="1" ht="24" customHeight="1">
      <c r="A633" s="1075">
        <v>614</v>
      </c>
      <c r="B633" s="1075" t="s">
        <v>423</v>
      </c>
      <c r="C633" s="1075"/>
      <c r="D633" s="1075"/>
      <c r="E633" s="1075" t="s">
        <v>10644</v>
      </c>
      <c r="F633" s="1076"/>
      <c r="G633" s="1075" t="s">
        <v>9065</v>
      </c>
      <c r="H633" s="1075" t="s">
        <v>9065</v>
      </c>
      <c r="I633" s="1075" t="s">
        <v>5774</v>
      </c>
      <c r="J633" s="1075" t="s">
        <v>1101</v>
      </c>
      <c r="K633" s="1075" t="s">
        <v>1100</v>
      </c>
      <c r="L633" s="1075" t="s">
        <v>5130</v>
      </c>
      <c r="M633" s="1077" t="s">
        <v>5773</v>
      </c>
      <c r="N633" s="1078">
        <v>6512400</v>
      </c>
      <c r="O633" s="1078" t="s">
        <v>375</v>
      </c>
      <c r="P633" s="1078"/>
      <c r="Q633" s="1079"/>
      <c r="V633" s="1084"/>
    </row>
    <row r="634" spans="1:22" s="1082" customFormat="1" ht="24" customHeight="1">
      <c r="A634" s="1075">
        <v>615</v>
      </c>
      <c r="B634" s="1075" t="s">
        <v>423</v>
      </c>
      <c r="C634" s="1075"/>
      <c r="D634" s="1075"/>
      <c r="E634" s="1075" t="s">
        <v>10645</v>
      </c>
      <c r="F634" s="1076"/>
      <c r="G634" s="1075" t="s">
        <v>9065</v>
      </c>
      <c r="H634" s="1075" t="s">
        <v>9065</v>
      </c>
      <c r="I634" s="1075" t="s">
        <v>5776</v>
      </c>
      <c r="J634" s="1075" t="s">
        <v>1214</v>
      </c>
      <c r="K634" s="1075" t="s">
        <v>1213</v>
      </c>
      <c r="L634" s="1075" t="s">
        <v>5130</v>
      </c>
      <c r="M634" s="1077" t="s">
        <v>5775</v>
      </c>
      <c r="N634" s="1078">
        <v>6512400</v>
      </c>
      <c r="O634" s="1078" t="s">
        <v>985</v>
      </c>
      <c r="P634" s="1078"/>
      <c r="Q634" s="1079"/>
      <c r="V634" s="1084"/>
    </row>
    <row r="635" spans="1:22" s="1082" customFormat="1" ht="24" customHeight="1">
      <c r="A635" s="1075">
        <v>616</v>
      </c>
      <c r="B635" s="1075" t="s">
        <v>423</v>
      </c>
      <c r="C635" s="1075"/>
      <c r="D635" s="1075"/>
      <c r="E635" s="1075" t="s">
        <v>10646</v>
      </c>
      <c r="F635" s="1076"/>
      <c r="G635" s="1075" t="s">
        <v>9065</v>
      </c>
      <c r="H635" s="1075" t="s">
        <v>9065</v>
      </c>
      <c r="I635" s="1075" t="s">
        <v>5778</v>
      </c>
      <c r="J635" s="1075" t="s">
        <v>1168</v>
      </c>
      <c r="K635" s="1075" t="s">
        <v>1167</v>
      </c>
      <c r="L635" s="1075" t="s">
        <v>5130</v>
      </c>
      <c r="M635" s="1077" t="s">
        <v>5777</v>
      </c>
      <c r="N635" s="1078">
        <v>6512400</v>
      </c>
      <c r="O635" s="1078" t="s">
        <v>375</v>
      </c>
      <c r="P635" s="1078"/>
      <c r="Q635" s="1079"/>
      <c r="V635" s="1084"/>
    </row>
    <row r="636" spans="1:22" s="1082" customFormat="1" ht="24" customHeight="1">
      <c r="A636" s="1075">
        <v>617</v>
      </c>
      <c r="B636" s="1075" t="s">
        <v>423</v>
      </c>
      <c r="C636" s="1075"/>
      <c r="D636" s="1075"/>
      <c r="E636" s="1075" t="s">
        <v>10647</v>
      </c>
      <c r="F636" s="1076"/>
      <c r="G636" s="1075" t="s">
        <v>9065</v>
      </c>
      <c r="H636" s="1075" t="s">
        <v>9065</v>
      </c>
      <c r="I636" s="1075" t="s">
        <v>5780</v>
      </c>
      <c r="J636" s="1075" t="s">
        <v>1239</v>
      </c>
      <c r="K636" s="1075" t="s">
        <v>1238</v>
      </c>
      <c r="L636" s="1075" t="s">
        <v>5130</v>
      </c>
      <c r="M636" s="1077" t="s">
        <v>5779</v>
      </c>
      <c r="N636" s="1078">
        <v>6512400</v>
      </c>
      <c r="O636" s="1078" t="s">
        <v>375</v>
      </c>
      <c r="P636" s="1078"/>
      <c r="Q636" s="1079"/>
      <c r="V636" s="1084"/>
    </row>
    <row r="637" spans="1:22" s="1082" customFormat="1" ht="24" customHeight="1">
      <c r="A637" s="1075">
        <v>618</v>
      </c>
      <c r="B637" s="1075" t="s">
        <v>423</v>
      </c>
      <c r="C637" s="1075"/>
      <c r="D637" s="1075"/>
      <c r="E637" s="1075" t="s">
        <v>10648</v>
      </c>
      <c r="F637" s="1076"/>
      <c r="G637" s="1075" t="s">
        <v>9065</v>
      </c>
      <c r="H637" s="1075" t="s">
        <v>9699</v>
      </c>
      <c r="I637" s="1075" t="s">
        <v>5782</v>
      </c>
      <c r="J637" s="1075" t="s">
        <v>1485</v>
      </c>
      <c r="K637" s="1075" t="s">
        <v>1484</v>
      </c>
      <c r="L637" s="1075" t="s">
        <v>5130</v>
      </c>
      <c r="M637" s="1077" t="s">
        <v>5781</v>
      </c>
      <c r="N637" s="1078">
        <v>8683200</v>
      </c>
      <c r="O637" s="1078" t="s">
        <v>375</v>
      </c>
      <c r="P637" s="1078"/>
      <c r="Q637" s="1079"/>
      <c r="V637" s="1084"/>
    </row>
    <row r="638" spans="1:22" s="1082" customFormat="1" ht="24" customHeight="1">
      <c r="A638" s="1075">
        <v>619</v>
      </c>
      <c r="B638" s="1075" t="s">
        <v>423</v>
      </c>
      <c r="C638" s="1075"/>
      <c r="D638" s="1075"/>
      <c r="E638" s="1075" t="s">
        <v>16212</v>
      </c>
      <c r="F638" s="1076"/>
      <c r="G638" s="1075" t="s">
        <v>9065</v>
      </c>
      <c r="H638" s="1075" t="s">
        <v>9065</v>
      </c>
      <c r="I638" s="1075" t="s">
        <v>5784</v>
      </c>
      <c r="J638" s="1075" t="s">
        <v>1499</v>
      </c>
      <c r="K638" s="1075" t="s">
        <v>15662</v>
      </c>
      <c r="L638" s="1075" t="s">
        <v>5130</v>
      </c>
      <c r="M638" s="1077" t="s">
        <v>5783</v>
      </c>
      <c r="N638" s="1078">
        <v>6512400</v>
      </c>
      <c r="O638" s="1078" t="s">
        <v>375</v>
      </c>
      <c r="P638" s="1078"/>
      <c r="Q638" s="1079"/>
      <c r="V638" s="1084"/>
    </row>
    <row r="639" spans="1:22" s="1082" customFormat="1" ht="24" customHeight="1">
      <c r="A639" s="1075">
        <v>620</v>
      </c>
      <c r="B639" s="1075" t="s">
        <v>423</v>
      </c>
      <c r="C639" s="1075"/>
      <c r="D639" s="1075"/>
      <c r="E639" s="1075" t="s">
        <v>10650</v>
      </c>
      <c r="F639" s="1076"/>
      <c r="G639" s="1075" t="s">
        <v>9065</v>
      </c>
      <c r="H639" s="1075" t="s">
        <v>9065</v>
      </c>
      <c r="I639" s="1075" t="s">
        <v>5786</v>
      </c>
      <c r="J639" s="1075" t="s">
        <v>1261</v>
      </c>
      <c r="K639" s="1075" t="s">
        <v>1260</v>
      </c>
      <c r="L639" s="1075" t="s">
        <v>5130</v>
      </c>
      <c r="M639" s="1077" t="s">
        <v>5785</v>
      </c>
      <c r="N639" s="1078">
        <v>6512400</v>
      </c>
      <c r="O639" s="1078" t="s">
        <v>985</v>
      </c>
      <c r="P639" s="1078"/>
      <c r="Q639" s="1079"/>
      <c r="V639" s="1084"/>
    </row>
    <row r="640" spans="1:22" s="1082" customFormat="1" ht="24" customHeight="1">
      <c r="A640" s="1075">
        <v>621</v>
      </c>
      <c r="B640" s="1075" t="s">
        <v>423</v>
      </c>
      <c r="C640" s="1075"/>
      <c r="D640" s="1075"/>
      <c r="E640" s="1075" t="s">
        <v>10651</v>
      </c>
      <c r="F640" s="1076"/>
      <c r="G640" s="1075" t="s">
        <v>9065</v>
      </c>
      <c r="H640" s="1075" t="s">
        <v>9065</v>
      </c>
      <c r="I640" s="1075" t="s">
        <v>5788</v>
      </c>
      <c r="J640" s="1075" t="s">
        <v>1490</v>
      </c>
      <c r="K640" s="1075" t="s">
        <v>1489</v>
      </c>
      <c r="L640" s="1075" t="s">
        <v>5130</v>
      </c>
      <c r="M640" s="1077" t="s">
        <v>5787</v>
      </c>
      <c r="N640" s="1078">
        <v>6512400</v>
      </c>
      <c r="O640" s="1078" t="s">
        <v>375</v>
      </c>
      <c r="P640" s="1078"/>
      <c r="Q640" s="1079"/>
      <c r="V640" s="1084"/>
    </row>
    <row r="641" spans="1:22" s="1082" customFormat="1" ht="24" customHeight="1">
      <c r="A641" s="1075">
        <v>622</v>
      </c>
      <c r="B641" s="1075" t="s">
        <v>423</v>
      </c>
      <c r="C641" s="1075"/>
      <c r="D641" s="1075"/>
      <c r="E641" s="1075" t="s">
        <v>10652</v>
      </c>
      <c r="F641" s="1076"/>
      <c r="G641" s="1075" t="s">
        <v>9065</v>
      </c>
      <c r="H641" s="1075" t="s">
        <v>9065</v>
      </c>
      <c r="I641" s="1075" t="s">
        <v>5790</v>
      </c>
      <c r="J641" s="1075" t="s">
        <v>1110</v>
      </c>
      <c r="K641" s="1075" t="s">
        <v>1109</v>
      </c>
      <c r="L641" s="1075" t="s">
        <v>5130</v>
      </c>
      <c r="M641" s="1077" t="s">
        <v>5789</v>
      </c>
      <c r="N641" s="1078">
        <v>6512400</v>
      </c>
      <c r="O641" s="1078" t="s">
        <v>375</v>
      </c>
      <c r="P641" s="1078"/>
      <c r="Q641" s="1079"/>
      <c r="V641" s="1084"/>
    </row>
    <row r="642" spans="1:22" s="1082" customFormat="1" ht="24" customHeight="1">
      <c r="A642" s="1075">
        <v>623</v>
      </c>
      <c r="B642" s="1075" t="s">
        <v>423</v>
      </c>
      <c r="C642" s="1075"/>
      <c r="D642" s="1075"/>
      <c r="E642" s="1075" t="s">
        <v>10653</v>
      </c>
      <c r="F642" s="1076"/>
      <c r="G642" s="1075" t="s">
        <v>9065</v>
      </c>
      <c r="H642" s="1075" t="s">
        <v>9065</v>
      </c>
      <c r="I642" s="1075" t="s">
        <v>5792</v>
      </c>
      <c r="J642" s="1075" t="s">
        <v>1483</v>
      </c>
      <c r="K642" s="1075" t="s">
        <v>1482</v>
      </c>
      <c r="L642" s="1075" t="s">
        <v>5130</v>
      </c>
      <c r="M642" s="1077" t="s">
        <v>5791</v>
      </c>
      <c r="N642" s="1078">
        <v>6512400</v>
      </c>
      <c r="O642" s="1078" t="s">
        <v>375</v>
      </c>
      <c r="P642" s="1078"/>
      <c r="Q642" s="1079"/>
      <c r="V642" s="1084"/>
    </row>
    <row r="643" spans="1:22" s="1082" customFormat="1" ht="24" customHeight="1">
      <c r="A643" s="1075">
        <v>624</v>
      </c>
      <c r="B643" s="1075" t="s">
        <v>423</v>
      </c>
      <c r="C643" s="1075"/>
      <c r="D643" s="1075"/>
      <c r="E643" s="1075" t="s">
        <v>10654</v>
      </c>
      <c r="F643" s="1076"/>
      <c r="G643" s="1075" t="s">
        <v>9065</v>
      </c>
      <c r="H643" s="1075" t="s">
        <v>9699</v>
      </c>
      <c r="I643" s="1075" t="s">
        <v>5794</v>
      </c>
      <c r="J643" s="1075" t="s">
        <v>1316</v>
      </c>
      <c r="K643" s="1075" t="s">
        <v>1315</v>
      </c>
      <c r="L643" s="1075" t="s">
        <v>5130</v>
      </c>
      <c r="M643" s="1077" t="s">
        <v>5793</v>
      </c>
      <c r="N643" s="1078">
        <v>8683200</v>
      </c>
      <c r="O643" s="1078" t="s">
        <v>985</v>
      </c>
      <c r="P643" s="1078" t="s">
        <v>1084</v>
      </c>
      <c r="Q643" s="1079"/>
      <c r="V643" s="1084"/>
    </row>
    <row r="644" spans="1:22" s="1082" customFormat="1" ht="24" customHeight="1">
      <c r="A644" s="1075">
        <v>625</v>
      </c>
      <c r="B644" s="1075" t="s">
        <v>423</v>
      </c>
      <c r="C644" s="1075"/>
      <c r="D644" s="1075"/>
      <c r="E644" s="1075" t="s">
        <v>10655</v>
      </c>
      <c r="F644" s="1076"/>
      <c r="G644" s="1075" t="s">
        <v>9065</v>
      </c>
      <c r="H644" s="1075" t="s">
        <v>9699</v>
      </c>
      <c r="I644" s="1075" t="s">
        <v>5796</v>
      </c>
      <c r="J644" s="1075" t="s">
        <v>1323</v>
      </c>
      <c r="K644" s="1075" t="s">
        <v>1322</v>
      </c>
      <c r="L644" s="1075" t="s">
        <v>5130</v>
      </c>
      <c r="M644" s="1077" t="s">
        <v>5795</v>
      </c>
      <c r="N644" s="1078">
        <v>8683200</v>
      </c>
      <c r="O644" s="1078" t="s">
        <v>375</v>
      </c>
      <c r="P644" s="1078"/>
      <c r="Q644" s="1079"/>
      <c r="V644" s="1084"/>
    </row>
    <row r="645" spans="1:22" s="1082" customFormat="1" ht="24" customHeight="1">
      <c r="A645" s="1075">
        <v>626</v>
      </c>
      <c r="B645" s="1075" t="s">
        <v>423</v>
      </c>
      <c r="C645" s="1075"/>
      <c r="D645" s="1075"/>
      <c r="E645" s="1075" t="s">
        <v>10656</v>
      </c>
      <c r="F645" s="1076"/>
      <c r="G645" s="1075" t="s">
        <v>9065</v>
      </c>
      <c r="H645" s="1075" t="s">
        <v>9065</v>
      </c>
      <c r="I645" s="1075" t="s">
        <v>5798</v>
      </c>
      <c r="J645" s="1075" t="s">
        <v>1495</v>
      </c>
      <c r="K645" s="1075" t="s">
        <v>1494</v>
      </c>
      <c r="L645" s="1075" t="s">
        <v>5130</v>
      </c>
      <c r="M645" s="1077" t="s">
        <v>5797</v>
      </c>
      <c r="N645" s="1078">
        <v>6512400</v>
      </c>
      <c r="O645" s="1078" t="s">
        <v>375</v>
      </c>
      <c r="P645" s="1078"/>
      <c r="Q645" s="1079"/>
      <c r="V645" s="1084"/>
    </row>
    <row r="646" spans="1:22" s="1082" customFormat="1" ht="24" customHeight="1">
      <c r="A646" s="1075">
        <v>627</v>
      </c>
      <c r="B646" s="1075" t="s">
        <v>423</v>
      </c>
      <c r="C646" s="1075"/>
      <c r="D646" s="1075"/>
      <c r="E646" s="1075" t="s">
        <v>10657</v>
      </c>
      <c r="F646" s="1076"/>
      <c r="G646" s="1075" t="s">
        <v>9065</v>
      </c>
      <c r="H646" s="1075" t="s">
        <v>9699</v>
      </c>
      <c r="I646" s="1075" t="s">
        <v>5800</v>
      </c>
      <c r="J646" s="1075" t="s">
        <v>1086</v>
      </c>
      <c r="K646" s="1075" t="s">
        <v>1085</v>
      </c>
      <c r="L646" s="1075" t="s">
        <v>5130</v>
      </c>
      <c r="M646" s="1077" t="s">
        <v>5799</v>
      </c>
      <c r="N646" s="1078">
        <v>8683200</v>
      </c>
      <c r="O646" s="1078" t="s">
        <v>985</v>
      </c>
      <c r="P646" s="1078"/>
      <c r="Q646" s="1079"/>
      <c r="V646" s="1084"/>
    </row>
    <row r="647" spans="1:22" s="1082" customFormat="1" ht="24" customHeight="1">
      <c r="A647" s="1075">
        <v>628</v>
      </c>
      <c r="B647" s="1075"/>
      <c r="C647" s="1075"/>
      <c r="D647" s="1075"/>
      <c r="E647" s="1075" t="s">
        <v>10658</v>
      </c>
      <c r="F647" s="1076"/>
      <c r="G647" s="1075" t="s">
        <v>9065</v>
      </c>
      <c r="H647" s="1075" t="s">
        <v>9065</v>
      </c>
      <c r="I647" s="1075" t="s">
        <v>6987</v>
      </c>
      <c r="J647" s="1075"/>
      <c r="K647" s="1075"/>
      <c r="L647" s="1075" t="s">
        <v>9888</v>
      </c>
      <c r="M647" s="1077" t="s">
        <v>6986</v>
      </c>
      <c r="N647" s="1078">
        <v>6512400</v>
      </c>
      <c r="O647" s="1078"/>
      <c r="P647" s="1078"/>
      <c r="Q647" s="1079"/>
      <c r="V647" s="1084"/>
    </row>
    <row r="648" spans="1:22" s="1082" customFormat="1" ht="24" customHeight="1">
      <c r="A648" s="1075">
        <v>629</v>
      </c>
      <c r="B648" s="1075" t="s">
        <v>423</v>
      </c>
      <c r="C648" s="1075"/>
      <c r="D648" s="1075"/>
      <c r="E648" s="1075" t="s">
        <v>10659</v>
      </c>
      <c r="F648" s="1076"/>
      <c r="G648" s="1075" t="s">
        <v>9065</v>
      </c>
      <c r="H648" s="1075" t="s">
        <v>9065</v>
      </c>
      <c r="I648" s="1075" t="s">
        <v>5802</v>
      </c>
      <c r="J648" s="1075" t="s">
        <v>1279</v>
      </c>
      <c r="K648" s="1075" t="s">
        <v>1278</v>
      </c>
      <c r="L648" s="1075" t="s">
        <v>5130</v>
      </c>
      <c r="M648" s="1077" t="s">
        <v>5801</v>
      </c>
      <c r="N648" s="1078">
        <v>6512400</v>
      </c>
      <c r="O648" s="1078" t="s">
        <v>375</v>
      </c>
      <c r="P648" s="1078"/>
      <c r="Q648" s="1079"/>
      <c r="V648" s="1084"/>
    </row>
    <row r="649" spans="1:22" s="1082" customFormat="1" ht="24" customHeight="1">
      <c r="A649" s="1075">
        <v>630</v>
      </c>
      <c r="B649" s="1075"/>
      <c r="C649" s="1075"/>
      <c r="D649" s="1075"/>
      <c r="E649" s="1075" t="s">
        <v>10660</v>
      </c>
      <c r="F649" s="1076"/>
      <c r="G649" s="1075" t="s">
        <v>9065</v>
      </c>
      <c r="H649" s="1075" t="s">
        <v>9065</v>
      </c>
      <c r="I649" s="1075" t="s">
        <v>6989</v>
      </c>
      <c r="J649" s="1075"/>
      <c r="K649" s="1075"/>
      <c r="L649" s="1075" t="s">
        <v>9888</v>
      </c>
      <c r="M649" s="1077" t="s">
        <v>6988</v>
      </c>
      <c r="N649" s="1078">
        <v>6512400</v>
      </c>
      <c r="O649" s="1078"/>
      <c r="P649" s="1078"/>
      <c r="Q649" s="1079"/>
      <c r="V649" s="1084"/>
    </row>
    <row r="650" spans="1:22" s="1082" customFormat="1" ht="24" customHeight="1">
      <c r="A650" s="1075">
        <v>631</v>
      </c>
      <c r="B650" s="1075"/>
      <c r="C650" s="1075"/>
      <c r="D650" s="1075"/>
      <c r="E650" s="1075" t="s">
        <v>10661</v>
      </c>
      <c r="F650" s="1076"/>
      <c r="G650" s="1075" t="s">
        <v>9065</v>
      </c>
      <c r="H650" s="1075" t="s">
        <v>9065</v>
      </c>
      <c r="I650" s="1075" t="s">
        <v>6991</v>
      </c>
      <c r="J650" s="1075"/>
      <c r="K650" s="1075"/>
      <c r="L650" s="1075" t="s">
        <v>9888</v>
      </c>
      <c r="M650" s="1077" t="s">
        <v>6990</v>
      </c>
      <c r="N650" s="1078">
        <v>6512400</v>
      </c>
      <c r="O650" s="1078"/>
      <c r="P650" s="1078"/>
      <c r="Q650" s="1079"/>
      <c r="V650" s="1084"/>
    </row>
    <row r="651" spans="1:22" s="1082" customFormat="1" ht="24" customHeight="1">
      <c r="A651" s="1075">
        <v>632</v>
      </c>
      <c r="B651" s="1075"/>
      <c r="C651" s="1075"/>
      <c r="D651" s="1075"/>
      <c r="E651" s="1075" t="s">
        <v>10662</v>
      </c>
      <c r="F651" s="1076"/>
      <c r="G651" s="1075" t="s">
        <v>9065</v>
      </c>
      <c r="H651" s="1075" t="s">
        <v>9065</v>
      </c>
      <c r="I651" s="1075" t="s">
        <v>6993</v>
      </c>
      <c r="J651" s="1075"/>
      <c r="K651" s="1075"/>
      <c r="L651" s="1075" t="s">
        <v>9888</v>
      </c>
      <c r="M651" s="1077" t="s">
        <v>6992</v>
      </c>
      <c r="N651" s="1078">
        <v>6512400</v>
      </c>
      <c r="O651" s="1078"/>
      <c r="P651" s="1078"/>
      <c r="Q651" s="1079"/>
      <c r="V651" s="1084"/>
    </row>
    <row r="652" spans="1:22" s="1082" customFormat="1" ht="24" customHeight="1">
      <c r="A652" s="1075">
        <v>633</v>
      </c>
      <c r="B652" s="1075"/>
      <c r="C652" s="1075"/>
      <c r="D652" s="1075"/>
      <c r="E652" s="1075" t="s">
        <v>10663</v>
      </c>
      <c r="F652" s="1076"/>
      <c r="G652" s="1075" t="s">
        <v>9065</v>
      </c>
      <c r="H652" s="1075" t="s">
        <v>9065</v>
      </c>
      <c r="I652" s="1075" t="s">
        <v>6995</v>
      </c>
      <c r="J652" s="1075"/>
      <c r="K652" s="1075"/>
      <c r="L652" s="1075" t="s">
        <v>9888</v>
      </c>
      <c r="M652" s="1077" t="s">
        <v>6994</v>
      </c>
      <c r="N652" s="1078">
        <v>6512400</v>
      </c>
      <c r="O652" s="1078"/>
      <c r="P652" s="1078"/>
      <c r="Q652" s="1079"/>
      <c r="V652" s="1084"/>
    </row>
    <row r="653" spans="1:22" s="1082" customFormat="1" ht="24" customHeight="1">
      <c r="A653" s="1075">
        <v>634</v>
      </c>
      <c r="B653" s="1075"/>
      <c r="C653" s="1075"/>
      <c r="D653" s="1075"/>
      <c r="E653" s="1075" t="s">
        <v>10664</v>
      </c>
      <c r="F653" s="1076"/>
      <c r="G653" s="1075" t="s">
        <v>9065</v>
      </c>
      <c r="H653" s="1075" t="s">
        <v>9065</v>
      </c>
      <c r="I653" s="1075" t="s">
        <v>6997</v>
      </c>
      <c r="J653" s="1075"/>
      <c r="K653" s="1075"/>
      <c r="L653" s="1075" t="s">
        <v>9888</v>
      </c>
      <c r="M653" s="1077" t="s">
        <v>6996</v>
      </c>
      <c r="N653" s="1078">
        <v>6512400</v>
      </c>
      <c r="O653" s="1078"/>
      <c r="P653" s="1078"/>
      <c r="Q653" s="1079" t="s">
        <v>12094</v>
      </c>
      <c r="V653" s="1084"/>
    </row>
    <row r="654" spans="1:22" s="1082" customFormat="1" ht="24" customHeight="1">
      <c r="A654" s="1075">
        <v>635</v>
      </c>
      <c r="B654" s="1075"/>
      <c r="C654" s="1075"/>
      <c r="D654" s="1075"/>
      <c r="E654" s="1075" t="s">
        <v>10665</v>
      </c>
      <c r="F654" s="1076"/>
      <c r="G654" s="1075" t="s">
        <v>9065</v>
      </c>
      <c r="H654" s="1075" t="s">
        <v>9065</v>
      </c>
      <c r="I654" s="1075" t="s">
        <v>6999</v>
      </c>
      <c r="J654" s="1075"/>
      <c r="K654" s="1075"/>
      <c r="L654" s="1075" t="s">
        <v>9888</v>
      </c>
      <c r="M654" s="1077" t="s">
        <v>6998</v>
      </c>
      <c r="N654" s="1078">
        <v>6512400</v>
      </c>
      <c r="O654" s="1078"/>
      <c r="P654" s="1078"/>
      <c r="Q654" s="1079"/>
      <c r="V654" s="1084"/>
    </row>
    <row r="655" spans="1:22" s="1082" customFormat="1" ht="24" customHeight="1">
      <c r="A655" s="1075">
        <v>636</v>
      </c>
      <c r="B655" s="1075"/>
      <c r="C655" s="1075"/>
      <c r="D655" s="1075"/>
      <c r="E655" s="1075" t="s">
        <v>10667</v>
      </c>
      <c r="F655" s="1076"/>
      <c r="G655" s="1075" t="s">
        <v>9065</v>
      </c>
      <c r="H655" s="1075" t="s">
        <v>9065</v>
      </c>
      <c r="I655" s="1075" t="s">
        <v>7003</v>
      </c>
      <c r="J655" s="1075"/>
      <c r="K655" s="1075"/>
      <c r="L655" s="1075" t="s">
        <v>9888</v>
      </c>
      <c r="M655" s="1077" t="s">
        <v>7002</v>
      </c>
      <c r="N655" s="1078">
        <v>6512400</v>
      </c>
      <c r="O655" s="1078"/>
      <c r="P655" s="1078"/>
      <c r="Q655" s="1079"/>
      <c r="V655" s="1084"/>
    </row>
    <row r="656" spans="1:22" s="1082" customFormat="1" ht="24" customHeight="1">
      <c r="A656" s="1075">
        <v>637</v>
      </c>
      <c r="B656" s="1075"/>
      <c r="C656" s="1075"/>
      <c r="D656" s="1075"/>
      <c r="E656" s="1075" t="s">
        <v>10669</v>
      </c>
      <c r="F656" s="1076"/>
      <c r="G656" s="1075" t="s">
        <v>9065</v>
      </c>
      <c r="H656" s="1075" t="s">
        <v>9065</v>
      </c>
      <c r="I656" s="1075" t="s">
        <v>7005</v>
      </c>
      <c r="J656" s="1075"/>
      <c r="K656" s="1075"/>
      <c r="L656" s="1075" t="s">
        <v>9888</v>
      </c>
      <c r="M656" s="1077" t="s">
        <v>7004</v>
      </c>
      <c r="N656" s="1078">
        <v>6512400</v>
      </c>
      <c r="O656" s="1078"/>
      <c r="P656" s="1078"/>
      <c r="Q656" s="1079"/>
      <c r="V656" s="1084"/>
    </row>
    <row r="657" spans="1:22" s="1082" customFormat="1" ht="24" customHeight="1">
      <c r="A657" s="1075">
        <v>638</v>
      </c>
      <c r="B657" s="1075"/>
      <c r="C657" s="1075"/>
      <c r="D657" s="1075"/>
      <c r="E657" s="1075" t="s">
        <v>10670</v>
      </c>
      <c r="F657" s="1076"/>
      <c r="G657" s="1075" t="s">
        <v>9065</v>
      </c>
      <c r="H657" s="1075" t="s">
        <v>9065</v>
      </c>
      <c r="I657" s="1075" t="s">
        <v>7007</v>
      </c>
      <c r="J657" s="1075"/>
      <c r="K657" s="1075"/>
      <c r="L657" s="1075" t="s">
        <v>9888</v>
      </c>
      <c r="M657" s="1077" t="s">
        <v>7006</v>
      </c>
      <c r="N657" s="1078">
        <v>6512400</v>
      </c>
      <c r="O657" s="1078"/>
      <c r="P657" s="1078"/>
      <c r="Q657" s="1079"/>
      <c r="V657" s="1084"/>
    </row>
    <row r="658" spans="1:22" s="1082" customFormat="1" ht="24" customHeight="1">
      <c r="A658" s="1075">
        <v>639</v>
      </c>
      <c r="B658" s="1075" t="s">
        <v>423</v>
      </c>
      <c r="C658" s="1075"/>
      <c r="D658" s="1075"/>
      <c r="E658" s="1075" t="s">
        <v>10671</v>
      </c>
      <c r="F658" s="1076"/>
      <c r="G658" s="1075" t="s">
        <v>9065</v>
      </c>
      <c r="H658" s="1075" t="s">
        <v>9065</v>
      </c>
      <c r="I658" s="1075" t="s">
        <v>5806</v>
      </c>
      <c r="J658" s="1075" t="s">
        <v>12115</v>
      </c>
      <c r="K658" s="1075" t="s">
        <v>12114</v>
      </c>
      <c r="L658" s="1075" t="s">
        <v>5130</v>
      </c>
      <c r="M658" s="1077" t="s">
        <v>5805</v>
      </c>
      <c r="N658" s="1078">
        <v>6512400</v>
      </c>
      <c r="O658" s="1078" t="s">
        <v>375</v>
      </c>
      <c r="P658" s="1078"/>
      <c r="Q658" s="1079"/>
      <c r="V658" s="1084"/>
    </row>
    <row r="659" spans="1:22" s="1082" customFormat="1" ht="24" customHeight="1">
      <c r="A659" s="1075">
        <v>640</v>
      </c>
      <c r="B659" s="1075"/>
      <c r="C659" s="1075"/>
      <c r="D659" s="1075"/>
      <c r="E659" s="1075" t="s">
        <v>10672</v>
      </c>
      <c r="F659" s="1076"/>
      <c r="G659" s="1075" t="s">
        <v>9065</v>
      </c>
      <c r="H659" s="1075" t="s">
        <v>9065</v>
      </c>
      <c r="I659" s="1075" t="s">
        <v>7009</v>
      </c>
      <c r="J659" s="1075"/>
      <c r="K659" s="1075"/>
      <c r="L659" s="1075" t="s">
        <v>9888</v>
      </c>
      <c r="M659" s="1077" t="s">
        <v>7008</v>
      </c>
      <c r="N659" s="1078">
        <v>6512400</v>
      </c>
      <c r="O659" s="1078"/>
      <c r="P659" s="1078"/>
      <c r="Q659" s="1079"/>
      <c r="V659" s="1084"/>
    </row>
    <row r="660" spans="1:22" s="1082" customFormat="1" ht="24" customHeight="1">
      <c r="A660" s="1075">
        <v>641</v>
      </c>
      <c r="B660" s="1075"/>
      <c r="C660" s="1075"/>
      <c r="D660" s="1075"/>
      <c r="E660" s="1075" t="s">
        <v>10673</v>
      </c>
      <c r="F660" s="1076"/>
      <c r="G660" s="1075" t="s">
        <v>9065</v>
      </c>
      <c r="H660" s="1075" t="s">
        <v>9065</v>
      </c>
      <c r="I660" s="1075" t="s">
        <v>7010</v>
      </c>
      <c r="J660" s="1075"/>
      <c r="K660" s="1075"/>
      <c r="L660" s="1075" t="s">
        <v>9888</v>
      </c>
      <c r="M660" s="1077" t="s">
        <v>7008</v>
      </c>
      <c r="N660" s="1078">
        <v>6512400</v>
      </c>
      <c r="O660" s="1078"/>
      <c r="P660" s="1078"/>
      <c r="Q660" s="1079"/>
      <c r="V660" s="1084"/>
    </row>
    <row r="661" spans="1:22" s="1082" customFormat="1" ht="24" customHeight="1">
      <c r="A661" s="1075">
        <v>642</v>
      </c>
      <c r="B661" s="1075"/>
      <c r="C661" s="1075"/>
      <c r="D661" s="1075"/>
      <c r="E661" s="1075" t="s">
        <v>10674</v>
      </c>
      <c r="F661" s="1076"/>
      <c r="G661" s="1075" t="s">
        <v>9065</v>
      </c>
      <c r="H661" s="1075" t="s">
        <v>9065</v>
      </c>
      <c r="I661" s="1075" t="s">
        <v>7012</v>
      </c>
      <c r="J661" s="1075"/>
      <c r="K661" s="1075"/>
      <c r="L661" s="1075" t="s">
        <v>9888</v>
      </c>
      <c r="M661" s="1077" t="s">
        <v>7011</v>
      </c>
      <c r="N661" s="1078">
        <v>6512400</v>
      </c>
      <c r="O661" s="1078"/>
      <c r="P661" s="1078"/>
      <c r="Q661" s="1079"/>
      <c r="V661" s="1084"/>
    </row>
    <row r="662" spans="1:22" s="1082" customFormat="1" ht="24" customHeight="1">
      <c r="A662" s="1075">
        <v>643</v>
      </c>
      <c r="B662" s="1075"/>
      <c r="C662" s="1075"/>
      <c r="D662" s="1075"/>
      <c r="E662" s="1075" t="s">
        <v>10675</v>
      </c>
      <c r="F662" s="1076"/>
      <c r="G662" s="1075" t="s">
        <v>9065</v>
      </c>
      <c r="H662" s="1075" t="s">
        <v>9065</v>
      </c>
      <c r="I662" s="1075" t="s">
        <v>7014</v>
      </c>
      <c r="J662" s="1075"/>
      <c r="K662" s="1075"/>
      <c r="L662" s="1075" t="s">
        <v>9888</v>
      </c>
      <c r="M662" s="1077" t="s">
        <v>7013</v>
      </c>
      <c r="N662" s="1078">
        <v>6512400</v>
      </c>
      <c r="O662" s="1078"/>
      <c r="P662" s="1078"/>
      <c r="Q662" s="1079"/>
      <c r="V662" s="1084"/>
    </row>
    <row r="663" spans="1:22" s="1082" customFormat="1" ht="24" customHeight="1">
      <c r="A663" s="1075">
        <v>644</v>
      </c>
      <c r="B663" s="1075" t="s">
        <v>1530</v>
      </c>
      <c r="C663" s="1075"/>
      <c r="D663" s="1075"/>
      <c r="E663" s="1075" t="s">
        <v>10676</v>
      </c>
      <c r="F663" s="1076"/>
      <c r="G663" s="1075" t="s">
        <v>9065</v>
      </c>
      <c r="H663" s="1075" t="s">
        <v>9065</v>
      </c>
      <c r="I663" s="1075" t="s">
        <v>5808</v>
      </c>
      <c r="J663" s="1075" t="s">
        <v>15607</v>
      </c>
      <c r="K663" s="1075" t="s">
        <v>15606</v>
      </c>
      <c r="L663" s="1075" t="s">
        <v>5130</v>
      </c>
      <c r="M663" s="1077" t="s">
        <v>5807</v>
      </c>
      <c r="N663" s="1078">
        <v>6512400</v>
      </c>
      <c r="O663" s="1078" t="s">
        <v>375</v>
      </c>
      <c r="P663" s="1078"/>
      <c r="Q663" s="1079"/>
      <c r="V663" s="1084"/>
    </row>
    <row r="664" spans="1:22" s="1133" customFormat="1" ht="24" customHeight="1">
      <c r="A664" s="1075">
        <v>645</v>
      </c>
      <c r="B664" s="1128" t="s">
        <v>423</v>
      </c>
      <c r="C664" s="1128"/>
      <c r="D664" s="1128"/>
      <c r="E664" s="1128" t="s">
        <v>15903</v>
      </c>
      <c r="F664" s="1129"/>
      <c r="G664" s="1128" t="s">
        <v>9065</v>
      </c>
      <c r="H664" s="1128" t="s">
        <v>9065</v>
      </c>
      <c r="I664" s="1128" t="s">
        <v>5809</v>
      </c>
      <c r="J664" s="1128"/>
      <c r="K664" s="1128" t="s">
        <v>16181</v>
      </c>
      <c r="L664" s="1128" t="s">
        <v>5130</v>
      </c>
      <c r="M664" s="1130" t="s">
        <v>15904</v>
      </c>
      <c r="N664" s="1131">
        <v>6512400</v>
      </c>
      <c r="O664" s="1131"/>
      <c r="P664" s="1131" t="s">
        <v>16146</v>
      </c>
      <c r="Q664" s="1132" t="s">
        <v>12136</v>
      </c>
      <c r="V664" s="1134"/>
    </row>
    <row r="665" spans="1:22" s="1082" customFormat="1" ht="24" customHeight="1">
      <c r="A665" s="1075">
        <v>646</v>
      </c>
      <c r="B665" s="1075"/>
      <c r="C665" s="1075"/>
      <c r="D665" s="1075"/>
      <c r="E665" s="1075" t="s">
        <v>10678</v>
      </c>
      <c r="F665" s="1076"/>
      <c r="G665" s="1075" t="s">
        <v>9065</v>
      </c>
      <c r="H665" s="1075" t="s">
        <v>9065</v>
      </c>
      <c r="I665" s="1075" t="s">
        <v>7016</v>
      </c>
      <c r="J665" s="1075"/>
      <c r="K665" s="1075"/>
      <c r="L665" s="1075" t="s">
        <v>9888</v>
      </c>
      <c r="M665" s="1077" t="s">
        <v>7015</v>
      </c>
      <c r="N665" s="1078">
        <v>6512400</v>
      </c>
      <c r="O665" s="1078"/>
      <c r="P665" s="1078"/>
      <c r="Q665" s="1079"/>
      <c r="V665" s="1084"/>
    </row>
    <row r="666" spans="1:22" s="1082" customFormat="1" ht="24" customHeight="1">
      <c r="A666" s="1075">
        <v>647</v>
      </c>
      <c r="B666" s="1075"/>
      <c r="C666" s="1075"/>
      <c r="D666" s="1075"/>
      <c r="E666" s="1075" t="s">
        <v>10679</v>
      </c>
      <c r="F666" s="1076"/>
      <c r="G666" s="1075" t="s">
        <v>9065</v>
      </c>
      <c r="H666" s="1075" t="s">
        <v>9065</v>
      </c>
      <c r="I666" s="1075" t="s">
        <v>7018</v>
      </c>
      <c r="J666" s="1075"/>
      <c r="K666" s="1075"/>
      <c r="L666" s="1075" t="s">
        <v>9888</v>
      </c>
      <c r="M666" s="1077" t="s">
        <v>7017</v>
      </c>
      <c r="N666" s="1078">
        <v>6512400</v>
      </c>
      <c r="O666" s="1078"/>
      <c r="P666" s="1078"/>
      <c r="Q666" s="1079"/>
      <c r="V666" s="1084"/>
    </row>
    <row r="667" spans="1:22" s="1082" customFormat="1" ht="24" customHeight="1">
      <c r="A667" s="1075">
        <v>648</v>
      </c>
      <c r="B667" s="1075"/>
      <c r="C667" s="1075"/>
      <c r="D667" s="1075"/>
      <c r="E667" s="1075" t="s">
        <v>10680</v>
      </c>
      <c r="F667" s="1076"/>
      <c r="G667" s="1075" t="s">
        <v>9065</v>
      </c>
      <c r="H667" s="1075" t="s">
        <v>9065</v>
      </c>
      <c r="I667" s="1075" t="s">
        <v>7020</v>
      </c>
      <c r="J667" s="1075"/>
      <c r="K667" s="1075"/>
      <c r="L667" s="1075" t="s">
        <v>9888</v>
      </c>
      <c r="M667" s="1077" t="s">
        <v>7019</v>
      </c>
      <c r="N667" s="1078">
        <v>6512400</v>
      </c>
      <c r="O667" s="1078"/>
      <c r="P667" s="1078"/>
      <c r="Q667" s="1079"/>
      <c r="V667" s="1084"/>
    </row>
    <row r="668" spans="1:22" s="1082" customFormat="1" ht="24" customHeight="1">
      <c r="A668" s="1075">
        <v>649</v>
      </c>
      <c r="B668" s="1075"/>
      <c r="C668" s="1075"/>
      <c r="D668" s="1075"/>
      <c r="E668" s="1075" t="s">
        <v>10682</v>
      </c>
      <c r="F668" s="1076"/>
      <c r="G668" s="1075" t="s">
        <v>9065</v>
      </c>
      <c r="H668" s="1075" t="s">
        <v>9065</v>
      </c>
      <c r="I668" s="1075" t="s">
        <v>7024</v>
      </c>
      <c r="J668" s="1075"/>
      <c r="K668" s="1075"/>
      <c r="L668" s="1075" t="s">
        <v>9888</v>
      </c>
      <c r="M668" s="1077" t="s">
        <v>7023</v>
      </c>
      <c r="N668" s="1078">
        <v>6512400</v>
      </c>
      <c r="O668" s="1078"/>
      <c r="P668" s="1078"/>
      <c r="Q668" s="1079"/>
      <c r="V668" s="1084"/>
    </row>
    <row r="669" spans="1:22" s="1082" customFormat="1" ht="24" customHeight="1">
      <c r="A669" s="1075">
        <v>650</v>
      </c>
      <c r="B669" s="1075"/>
      <c r="C669" s="1075"/>
      <c r="D669" s="1075"/>
      <c r="E669" s="1075" t="s">
        <v>10684</v>
      </c>
      <c r="F669" s="1076"/>
      <c r="G669" s="1075" t="s">
        <v>9065</v>
      </c>
      <c r="H669" s="1075" t="s">
        <v>9065</v>
      </c>
      <c r="I669" s="1075" t="s">
        <v>7027</v>
      </c>
      <c r="J669" s="1075"/>
      <c r="K669" s="1075"/>
      <c r="L669" s="1075" t="s">
        <v>9888</v>
      </c>
      <c r="M669" s="1077" t="s">
        <v>7026</v>
      </c>
      <c r="N669" s="1078">
        <v>6512400</v>
      </c>
      <c r="O669" s="1078"/>
      <c r="P669" s="1078"/>
      <c r="Q669" s="1079"/>
      <c r="V669" s="1084"/>
    </row>
    <row r="670" spans="1:22" s="1082" customFormat="1" ht="24" customHeight="1">
      <c r="A670" s="1075">
        <v>651</v>
      </c>
      <c r="B670" s="1075"/>
      <c r="C670" s="1075"/>
      <c r="D670" s="1075"/>
      <c r="E670" s="1075" t="s">
        <v>10685</v>
      </c>
      <c r="F670" s="1076"/>
      <c r="G670" s="1075" t="s">
        <v>9065</v>
      </c>
      <c r="H670" s="1075" t="s">
        <v>9065</v>
      </c>
      <c r="I670" s="1075" t="s">
        <v>7029</v>
      </c>
      <c r="J670" s="1075"/>
      <c r="K670" s="1075"/>
      <c r="L670" s="1075" t="s">
        <v>9888</v>
      </c>
      <c r="M670" s="1077" t="s">
        <v>7028</v>
      </c>
      <c r="N670" s="1078">
        <v>6512400</v>
      </c>
      <c r="O670" s="1078"/>
      <c r="P670" s="1078"/>
      <c r="Q670" s="1079"/>
      <c r="V670" s="1084"/>
    </row>
    <row r="671" spans="1:22" s="1082" customFormat="1" ht="24" customHeight="1">
      <c r="A671" s="1075">
        <v>652</v>
      </c>
      <c r="B671" s="1075"/>
      <c r="C671" s="1075"/>
      <c r="D671" s="1075"/>
      <c r="E671" s="1075" t="s">
        <v>10686</v>
      </c>
      <c r="F671" s="1076"/>
      <c r="G671" s="1075" t="s">
        <v>9065</v>
      </c>
      <c r="H671" s="1075" t="s">
        <v>9065</v>
      </c>
      <c r="I671" s="1075" t="s">
        <v>7031</v>
      </c>
      <c r="J671" s="1075"/>
      <c r="K671" s="1075"/>
      <c r="L671" s="1075" t="s">
        <v>9888</v>
      </c>
      <c r="M671" s="1077" t="s">
        <v>7030</v>
      </c>
      <c r="N671" s="1078">
        <v>6512400</v>
      </c>
      <c r="O671" s="1078"/>
      <c r="P671" s="1078"/>
      <c r="Q671" s="1079"/>
      <c r="V671" s="1084"/>
    </row>
    <row r="672" spans="1:22" s="1082" customFormat="1" ht="24" customHeight="1">
      <c r="A672" s="1075">
        <v>653</v>
      </c>
      <c r="B672" s="1075"/>
      <c r="C672" s="1075"/>
      <c r="D672" s="1075"/>
      <c r="E672" s="1075" t="s">
        <v>10687</v>
      </c>
      <c r="F672" s="1076"/>
      <c r="G672" s="1075" t="s">
        <v>9065</v>
      </c>
      <c r="H672" s="1075" t="s">
        <v>9065</v>
      </c>
      <c r="I672" s="1075" t="s">
        <v>7033</v>
      </c>
      <c r="J672" s="1075"/>
      <c r="K672" s="1075"/>
      <c r="L672" s="1075" t="s">
        <v>9888</v>
      </c>
      <c r="M672" s="1077" t="s">
        <v>7032</v>
      </c>
      <c r="N672" s="1078">
        <v>6512400</v>
      </c>
      <c r="O672" s="1078"/>
      <c r="P672" s="1078"/>
      <c r="Q672" s="1079"/>
      <c r="V672" s="1084"/>
    </row>
    <row r="673" spans="1:22" s="1082" customFormat="1" ht="24" customHeight="1">
      <c r="A673" s="1075">
        <v>654</v>
      </c>
      <c r="B673" s="1075"/>
      <c r="C673" s="1075"/>
      <c r="D673" s="1075"/>
      <c r="E673" s="1075" t="s">
        <v>10688</v>
      </c>
      <c r="F673" s="1076"/>
      <c r="G673" s="1075" t="s">
        <v>9065</v>
      </c>
      <c r="H673" s="1075" t="s">
        <v>9065</v>
      </c>
      <c r="I673" s="1075" t="s">
        <v>7035</v>
      </c>
      <c r="J673" s="1075"/>
      <c r="K673" s="1075"/>
      <c r="L673" s="1075" t="s">
        <v>9888</v>
      </c>
      <c r="M673" s="1077" t="s">
        <v>7034</v>
      </c>
      <c r="N673" s="1078">
        <v>6512400</v>
      </c>
      <c r="O673" s="1078"/>
      <c r="P673" s="1078"/>
      <c r="Q673" s="1079"/>
      <c r="V673" s="1084"/>
    </row>
    <row r="674" spans="1:22" s="1082" customFormat="1" ht="24" customHeight="1">
      <c r="A674" s="1075">
        <v>655</v>
      </c>
      <c r="B674" s="1075"/>
      <c r="C674" s="1075"/>
      <c r="D674" s="1075"/>
      <c r="E674" s="1075" t="s">
        <v>10689</v>
      </c>
      <c r="F674" s="1076"/>
      <c r="G674" s="1075" t="s">
        <v>9065</v>
      </c>
      <c r="H674" s="1075" t="s">
        <v>9065</v>
      </c>
      <c r="I674" s="1075" t="s">
        <v>6063</v>
      </c>
      <c r="J674" s="1075"/>
      <c r="K674" s="1075"/>
      <c r="L674" s="1075" t="s">
        <v>9888</v>
      </c>
      <c r="M674" s="1077" t="s">
        <v>7036</v>
      </c>
      <c r="N674" s="1078">
        <v>6512400</v>
      </c>
      <c r="O674" s="1078"/>
      <c r="P674" s="1078"/>
      <c r="Q674" s="1079"/>
      <c r="V674" s="1084"/>
    </row>
    <row r="675" spans="1:22" s="1082" customFormat="1" ht="24" customHeight="1">
      <c r="A675" s="1075">
        <v>656</v>
      </c>
      <c r="B675" s="1075"/>
      <c r="C675" s="1075"/>
      <c r="D675" s="1075"/>
      <c r="E675" s="1075" t="s">
        <v>10690</v>
      </c>
      <c r="F675" s="1076"/>
      <c r="G675" s="1075" t="s">
        <v>9065</v>
      </c>
      <c r="H675" s="1075" t="s">
        <v>9065</v>
      </c>
      <c r="I675" s="1075" t="s">
        <v>7038</v>
      </c>
      <c r="J675" s="1075"/>
      <c r="K675" s="1075"/>
      <c r="L675" s="1075" t="s">
        <v>9888</v>
      </c>
      <c r="M675" s="1077" t="s">
        <v>7037</v>
      </c>
      <c r="N675" s="1078">
        <v>6512400</v>
      </c>
      <c r="O675" s="1078"/>
      <c r="P675" s="1078"/>
      <c r="Q675" s="1079"/>
      <c r="V675" s="1084"/>
    </row>
    <row r="676" spans="1:22" s="1082" customFormat="1" ht="24" customHeight="1">
      <c r="A676" s="1075">
        <v>657</v>
      </c>
      <c r="B676" s="1075"/>
      <c r="C676" s="1075"/>
      <c r="D676" s="1075"/>
      <c r="E676" s="1075" t="s">
        <v>10691</v>
      </c>
      <c r="F676" s="1076"/>
      <c r="G676" s="1075" t="s">
        <v>9065</v>
      </c>
      <c r="H676" s="1075" t="s">
        <v>9065</v>
      </c>
      <c r="I676" s="1075" t="s">
        <v>7040</v>
      </c>
      <c r="J676" s="1075"/>
      <c r="K676" s="1075"/>
      <c r="L676" s="1075" t="s">
        <v>9888</v>
      </c>
      <c r="M676" s="1077" t="s">
        <v>7039</v>
      </c>
      <c r="N676" s="1078">
        <v>6512400</v>
      </c>
      <c r="O676" s="1078"/>
      <c r="P676" s="1078"/>
      <c r="Q676" s="1079"/>
      <c r="V676" s="1084"/>
    </row>
    <row r="677" spans="1:22" s="1082" customFormat="1" ht="24" customHeight="1">
      <c r="A677" s="1075">
        <v>658</v>
      </c>
      <c r="B677" s="1075"/>
      <c r="C677" s="1075"/>
      <c r="D677" s="1075"/>
      <c r="E677" s="1075" t="s">
        <v>10692</v>
      </c>
      <c r="F677" s="1076"/>
      <c r="G677" s="1075" t="s">
        <v>9065</v>
      </c>
      <c r="H677" s="1075" t="s">
        <v>9065</v>
      </c>
      <c r="I677" s="1075" t="s">
        <v>7042</v>
      </c>
      <c r="J677" s="1075"/>
      <c r="K677" s="1075"/>
      <c r="L677" s="1075" t="s">
        <v>9888</v>
      </c>
      <c r="M677" s="1077" t="s">
        <v>7041</v>
      </c>
      <c r="N677" s="1078">
        <v>6512400</v>
      </c>
      <c r="O677" s="1078"/>
      <c r="P677" s="1078"/>
      <c r="Q677" s="1079"/>
      <c r="V677" s="1084"/>
    </row>
    <row r="678" spans="1:22" s="1082" customFormat="1" ht="24" customHeight="1">
      <c r="A678" s="1075">
        <v>659</v>
      </c>
      <c r="B678" s="1075"/>
      <c r="C678" s="1075"/>
      <c r="D678" s="1075"/>
      <c r="E678" s="1075" t="s">
        <v>10693</v>
      </c>
      <c r="F678" s="1076"/>
      <c r="G678" s="1075" t="s">
        <v>9065</v>
      </c>
      <c r="H678" s="1075" t="s">
        <v>9065</v>
      </c>
      <c r="I678" s="1075" t="s">
        <v>7044</v>
      </c>
      <c r="J678" s="1075"/>
      <c r="K678" s="1075"/>
      <c r="L678" s="1075" t="s">
        <v>9888</v>
      </c>
      <c r="M678" s="1077" t="s">
        <v>7043</v>
      </c>
      <c r="N678" s="1078">
        <v>6512400</v>
      </c>
      <c r="O678" s="1078"/>
      <c r="P678" s="1078"/>
      <c r="Q678" s="1079"/>
      <c r="V678" s="1084"/>
    </row>
    <row r="679" spans="1:22" s="1082" customFormat="1" ht="24" customHeight="1">
      <c r="A679" s="1075">
        <v>660</v>
      </c>
      <c r="B679" s="1075" t="s">
        <v>423</v>
      </c>
      <c r="C679" s="1075"/>
      <c r="D679" s="1075"/>
      <c r="E679" s="1075" t="s">
        <v>15905</v>
      </c>
      <c r="F679" s="1076"/>
      <c r="G679" s="1075" t="s">
        <v>9065</v>
      </c>
      <c r="H679" s="1075" t="s">
        <v>9065</v>
      </c>
      <c r="I679" s="1075" t="s">
        <v>5810</v>
      </c>
      <c r="J679" s="1075"/>
      <c r="K679" s="1075"/>
      <c r="L679" s="1075" t="s">
        <v>9888</v>
      </c>
      <c r="M679" s="1077" t="s">
        <v>15906</v>
      </c>
      <c r="N679" s="1078">
        <v>6512400</v>
      </c>
      <c r="O679" s="1078"/>
      <c r="P679" s="1078"/>
      <c r="Q679" s="1079"/>
      <c r="V679" s="1084"/>
    </row>
    <row r="680" spans="1:22" s="1082" customFormat="1" ht="24" customHeight="1">
      <c r="A680" s="1075">
        <v>661</v>
      </c>
      <c r="B680" s="1075"/>
      <c r="C680" s="1075"/>
      <c r="D680" s="1075"/>
      <c r="E680" s="1075" t="s">
        <v>10695</v>
      </c>
      <c r="F680" s="1076"/>
      <c r="G680" s="1075" t="s">
        <v>9065</v>
      </c>
      <c r="H680" s="1075" t="s">
        <v>9065</v>
      </c>
      <c r="I680" s="1075" t="s">
        <v>7046</v>
      </c>
      <c r="J680" s="1075"/>
      <c r="K680" s="1075"/>
      <c r="L680" s="1075" t="s">
        <v>9888</v>
      </c>
      <c r="M680" s="1077" t="s">
        <v>7045</v>
      </c>
      <c r="N680" s="1078">
        <v>6512400</v>
      </c>
      <c r="O680" s="1078"/>
      <c r="P680" s="1078"/>
      <c r="Q680" s="1079"/>
      <c r="V680" s="1084"/>
    </row>
    <row r="681" spans="1:22" s="1082" customFormat="1" ht="24" customHeight="1">
      <c r="A681" s="1075">
        <v>662</v>
      </c>
      <c r="B681" s="1075"/>
      <c r="C681" s="1075"/>
      <c r="D681" s="1075"/>
      <c r="E681" s="1075" t="s">
        <v>10696</v>
      </c>
      <c r="F681" s="1076"/>
      <c r="G681" s="1075" t="s">
        <v>9065</v>
      </c>
      <c r="H681" s="1075" t="s">
        <v>9065</v>
      </c>
      <c r="I681" s="1075" t="s">
        <v>7048</v>
      </c>
      <c r="J681" s="1075"/>
      <c r="K681" s="1075"/>
      <c r="L681" s="1075" t="s">
        <v>9888</v>
      </c>
      <c r="M681" s="1077" t="s">
        <v>7047</v>
      </c>
      <c r="N681" s="1078">
        <v>6512400</v>
      </c>
      <c r="O681" s="1078"/>
      <c r="P681" s="1078"/>
      <c r="Q681" s="1079"/>
      <c r="V681" s="1084"/>
    </row>
    <row r="682" spans="1:22" s="1082" customFormat="1" ht="24" customHeight="1">
      <c r="A682" s="1075">
        <v>663</v>
      </c>
      <c r="B682" s="1075"/>
      <c r="C682" s="1075"/>
      <c r="D682" s="1075"/>
      <c r="E682" s="1075" t="s">
        <v>10697</v>
      </c>
      <c r="F682" s="1076"/>
      <c r="G682" s="1075" t="s">
        <v>9065</v>
      </c>
      <c r="H682" s="1075" t="s">
        <v>9065</v>
      </c>
      <c r="I682" s="1075" t="s">
        <v>7050</v>
      </c>
      <c r="J682" s="1075"/>
      <c r="K682" s="1075"/>
      <c r="L682" s="1075" t="s">
        <v>9888</v>
      </c>
      <c r="M682" s="1077" t="s">
        <v>7049</v>
      </c>
      <c r="N682" s="1078">
        <v>6512400</v>
      </c>
      <c r="O682" s="1078"/>
      <c r="P682" s="1078"/>
      <c r="Q682" s="1079"/>
      <c r="V682" s="1084"/>
    </row>
    <row r="683" spans="1:22" s="1082" customFormat="1" ht="24" customHeight="1">
      <c r="A683" s="1075">
        <v>664</v>
      </c>
      <c r="B683" s="1075"/>
      <c r="C683" s="1075"/>
      <c r="D683" s="1075"/>
      <c r="E683" s="1075" t="s">
        <v>10698</v>
      </c>
      <c r="F683" s="1076"/>
      <c r="G683" s="1075" t="s">
        <v>9065</v>
      </c>
      <c r="H683" s="1075" t="s">
        <v>9065</v>
      </c>
      <c r="I683" s="1075" t="s">
        <v>7052</v>
      </c>
      <c r="J683" s="1075"/>
      <c r="K683" s="1075"/>
      <c r="L683" s="1075" t="s">
        <v>9888</v>
      </c>
      <c r="M683" s="1077" t="s">
        <v>7051</v>
      </c>
      <c r="N683" s="1078">
        <v>6512400</v>
      </c>
      <c r="O683" s="1078"/>
      <c r="P683" s="1078"/>
      <c r="Q683" s="1079"/>
      <c r="V683" s="1084"/>
    </row>
    <row r="684" spans="1:22" s="1082" customFormat="1" ht="24" customHeight="1">
      <c r="A684" s="1075">
        <v>665</v>
      </c>
      <c r="B684" s="1075"/>
      <c r="C684" s="1075"/>
      <c r="D684" s="1075"/>
      <c r="E684" s="1075" t="s">
        <v>10699</v>
      </c>
      <c r="F684" s="1076"/>
      <c r="G684" s="1075" t="s">
        <v>9065</v>
      </c>
      <c r="H684" s="1075" t="s">
        <v>9065</v>
      </c>
      <c r="I684" s="1075" t="s">
        <v>7054</v>
      </c>
      <c r="J684" s="1075"/>
      <c r="K684" s="1075"/>
      <c r="L684" s="1075" t="s">
        <v>9888</v>
      </c>
      <c r="M684" s="1077" t="s">
        <v>7053</v>
      </c>
      <c r="N684" s="1078">
        <v>6512400</v>
      </c>
      <c r="O684" s="1078"/>
      <c r="P684" s="1078"/>
      <c r="Q684" s="1079"/>
      <c r="V684" s="1084"/>
    </row>
    <row r="685" spans="1:22" s="1082" customFormat="1" ht="24" customHeight="1">
      <c r="A685" s="1075">
        <v>666</v>
      </c>
      <c r="B685" s="1075"/>
      <c r="C685" s="1075"/>
      <c r="D685" s="1075"/>
      <c r="E685" s="1075" t="s">
        <v>10700</v>
      </c>
      <c r="F685" s="1076"/>
      <c r="G685" s="1075" t="s">
        <v>9065</v>
      </c>
      <c r="H685" s="1075" t="s">
        <v>9065</v>
      </c>
      <c r="I685" s="1075" t="s">
        <v>7056</v>
      </c>
      <c r="J685" s="1075"/>
      <c r="K685" s="1075"/>
      <c r="L685" s="1075" t="s">
        <v>9888</v>
      </c>
      <c r="M685" s="1077" t="s">
        <v>7055</v>
      </c>
      <c r="N685" s="1078">
        <v>6512400</v>
      </c>
      <c r="O685" s="1078"/>
      <c r="P685" s="1078"/>
      <c r="Q685" s="1079"/>
      <c r="V685" s="1084"/>
    </row>
    <row r="686" spans="1:22" s="1082" customFormat="1" ht="24" customHeight="1">
      <c r="A686" s="1075">
        <v>667</v>
      </c>
      <c r="B686" s="1075"/>
      <c r="C686" s="1075"/>
      <c r="D686" s="1075"/>
      <c r="E686" s="1075" t="s">
        <v>10701</v>
      </c>
      <c r="F686" s="1076"/>
      <c r="G686" s="1075" t="s">
        <v>9065</v>
      </c>
      <c r="H686" s="1075" t="s">
        <v>9065</v>
      </c>
      <c r="I686" s="1075" t="s">
        <v>7058</v>
      </c>
      <c r="J686" s="1075"/>
      <c r="K686" s="1075"/>
      <c r="L686" s="1075" t="s">
        <v>9888</v>
      </c>
      <c r="M686" s="1077" t="s">
        <v>7057</v>
      </c>
      <c r="N686" s="1078">
        <v>6512400</v>
      </c>
      <c r="O686" s="1078"/>
      <c r="P686" s="1078"/>
      <c r="Q686" s="1079"/>
      <c r="V686" s="1084"/>
    </row>
    <row r="687" spans="1:22" s="1082" customFormat="1" ht="24" customHeight="1">
      <c r="A687" s="1075">
        <v>668</v>
      </c>
      <c r="B687" s="1075"/>
      <c r="C687" s="1075"/>
      <c r="D687" s="1075"/>
      <c r="E687" s="1075" t="s">
        <v>10702</v>
      </c>
      <c r="F687" s="1076"/>
      <c r="G687" s="1075" t="s">
        <v>9065</v>
      </c>
      <c r="H687" s="1075" t="s">
        <v>9065</v>
      </c>
      <c r="I687" s="1075" t="s">
        <v>7060</v>
      </c>
      <c r="J687" s="1075"/>
      <c r="K687" s="1075"/>
      <c r="L687" s="1075" t="s">
        <v>9888</v>
      </c>
      <c r="M687" s="1077" t="s">
        <v>7059</v>
      </c>
      <c r="N687" s="1078">
        <v>6512400</v>
      </c>
      <c r="O687" s="1078"/>
      <c r="P687" s="1078"/>
      <c r="Q687" s="1079"/>
      <c r="V687" s="1084"/>
    </row>
    <row r="688" spans="1:22" s="1082" customFormat="1" ht="24" customHeight="1">
      <c r="A688" s="1075">
        <v>669</v>
      </c>
      <c r="B688" s="1075"/>
      <c r="C688" s="1075"/>
      <c r="D688" s="1075"/>
      <c r="E688" s="1075" t="s">
        <v>10703</v>
      </c>
      <c r="F688" s="1076"/>
      <c r="G688" s="1075" t="s">
        <v>9065</v>
      </c>
      <c r="H688" s="1075" t="s">
        <v>9065</v>
      </c>
      <c r="I688" s="1075" t="s">
        <v>7062</v>
      </c>
      <c r="J688" s="1075"/>
      <c r="K688" s="1075"/>
      <c r="L688" s="1075" t="s">
        <v>9888</v>
      </c>
      <c r="M688" s="1077" t="s">
        <v>7061</v>
      </c>
      <c r="N688" s="1078">
        <v>6512400</v>
      </c>
      <c r="O688" s="1078"/>
      <c r="P688" s="1078"/>
      <c r="Q688" s="1079"/>
      <c r="V688" s="1084"/>
    </row>
    <row r="689" spans="1:22" s="1082" customFormat="1" ht="24" customHeight="1">
      <c r="A689" s="1075">
        <v>670</v>
      </c>
      <c r="B689" s="1075"/>
      <c r="C689" s="1075"/>
      <c r="D689" s="1075"/>
      <c r="E689" s="1075" t="s">
        <v>10705</v>
      </c>
      <c r="F689" s="1076"/>
      <c r="G689" s="1075" t="s">
        <v>9065</v>
      </c>
      <c r="H689" s="1075" t="s">
        <v>9065</v>
      </c>
      <c r="I689" s="1075" t="s">
        <v>7066</v>
      </c>
      <c r="J689" s="1075"/>
      <c r="K689" s="1075"/>
      <c r="L689" s="1075" t="s">
        <v>9888</v>
      </c>
      <c r="M689" s="1077" t="s">
        <v>7065</v>
      </c>
      <c r="N689" s="1078">
        <v>6512400</v>
      </c>
      <c r="O689" s="1078"/>
      <c r="P689" s="1078"/>
      <c r="Q689" s="1079"/>
      <c r="V689" s="1084"/>
    </row>
    <row r="690" spans="1:22" s="1082" customFormat="1" ht="24" customHeight="1">
      <c r="A690" s="1075">
        <v>671</v>
      </c>
      <c r="B690" s="1075"/>
      <c r="C690" s="1075"/>
      <c r="D690" s="1075"/>
      <c r="E690" s="1075" t="s">
        <v>10707</v>
      </c>
      <c r="F690" s="1076"/>
      <c r="G690" s="1075" t="s">
        <v>9065</v>
      </c>
      <c r="H690" s="1075" t="s">
        <v>9065</v>
      </c>
      <c r="I690" s="1075" t="s">
        <v>7068</v>
      </c>
      <c r="J690" s="1075"/>
      <c r="K690" s="1075"/>
      <c r="L690" s="1075" t="s">
        <v>9888</v>
      </c>
      <c r="M690" s="1077" t="s">
        <v>7067</v>
      </c>
      <c r="N690" s="1078">
        <v>6512400</v>
      </c>
      <c r="O690" s="1078"/>
      <c r="P690" s="1078"/>
      <c r="Q690" s="1079"/>
      <c r="V690" s="1084"/>
    </row>
    <row r="691" spans="1:22" s="1082" customFormat="1" ht="24" customHeight="1">
      <c r="A691" s="1075">
        <v>672</v>
      </c>
      <c r="B691" s="1075"/>
      <c r="C691" s="1075"/>
      <c r="D691" s="1075"/>
      <c r="E691" s="1075" t="s">
        <v>10709</v>
      </c>
      <c r="F691" s="1076"/>
      <c r="G691" s="1075" t="s">
        <v>9065</v>
      </c>
      <c r="H691" s="1075" t="s">
        <v>9065</v>
      </c>
      <c r="I691" s="1075" t="s">
        <v>7072</v>
      </c>
      <c r="J691" s="1075"/>
      <c r="K691" s="1075"/>
      <c r="L691" s="1075" t="s">
        <v>9888</v>
      </c>
      <c r="M691" s="1077" t="s">
        <v>7071</v>
      </c>
      <c r="N691" s="1078">
        <v>6512400</v>
      </c>
      <c r="O691" s="1078"/>
      <c r="P691" s="1078"/>
      <c r="Q691" s="1079"/>
      <c r="V691" s="1084"/>
    </row>
    <row r="692" spans="1:22" s="1082" customFormat="1" ht="24" customHeight="1">
      <c r="A692" s="1075">
        <v>673</v>
      </c>
      <c r="B692" s="1075"/>
      <c r="C692" s="1075"/>
      <c r="D692" s="1075"/>
      <c r="E692" s="1075" t="s">
        <v>10710</v>
      </c>
      <c r="F692" s="1076"/>
      <c r="G692" s="1075" t="s">
        <v>9065</v>
      </c>
      <c r="H692" s="1075" t="s">
        <v>9065</v>
      </c>
      <c r="I692" s="1075" t="s">
        <v>7074</v>
      </c>
      <c r="J692" s="1075"/>
      <c r="K692" s="1075"/>
      <c r="L692" s="1075" t="s">
        <v>9888</v>
      </c>
      <c r="M692" s="1077" t="s">
        <v>7073</v>
      </c>
      <c r="N692" s="1078">
        <v>6512400</v>
      </c>
      <c r="O692" s="1078"/>
      <c r="P692" s="1078"/>
      <c r="Q692" s="1079"/>
      <c r="V692" s="1084"/>
    </row>
    <row r="693" spans="1:22" s="1082" customFormat="1" ht="24" customHeight="1">
      <c r="A693" s="1075">
        <v>674</v>
      </c>
      <c r="B693" s="376" t="s">
        <v>1595</v>
      </c>
      <c r="C693" s="376"/>
      <c r="D693" s="376"/>
      <c r="E693" s="1075" t="s">
        <v>10711</v>
      </c>
      <c r="F693" s="1076"/>
      <c r="G693" s="1075" t="s">
        <v>9065</v>
      </c>
      <c r="H693" s="1075" t="s">
        <v>9065</v>
      </c>
      <c r="I693" s="1075" t="s">
        <v>5814</v>
      </c>
      <c r="J693" s="1075" t="s">
        <v>2060</v>
      </c>
      <c r="K693" s="1075" t="s">
        <v>2059</v>
      </c>
      <c r="L693" s="1075" t="s">
        <v>5130</v>
      </c>
      <c r="M693" s="1077" t="s">
        <v>5813</v>
      </c>
      <c r="N693" s="1078">
        <v>6512400</v>
      </c>
      <c r="O693" s="1078" t="s">
        <v>375</v>
      </c>
      <c r="P693" s="1078"/>
      <c r="Q693" s="1079"/>
      <c r="V693" s="1084"/>
    </row>
    <row r="694" spans="1:22" s="1082" customFormat="1" ht="24" customHeight="1">
      <c r="A694" s="1075">
        <v>675</v>
      </c>
      <c r="B694" s="1075"/>
      <c r="C694" s="1075"/>
      <c r="D694" s="1075"/>
      <c r="E694" s="1075" t="s">
        <v>10712</v>
      </c>
      <c r="F694" s="1076"/>
      <c r="G694" s="1075" t="s">
        <v>9065</v>
      </c>
      <c r="H694" s="1075" t="s">
        <v>9065</v>
      </c>
      <c r="I694" s="1075" t="s">
        <v>7076</v>
      </c>
      <c r="J694" s="1075"/>
      <c r="K694" s="1075"/>
      <c r="L694" s="1075" t="s">
        <v>9888</v>
      </c>
      <c r="M694" s="1077" t="s">
        <v>7075</v>
      </c>
      <c r="N694" s="1078">
        <v>6512400</v>
      </c>
      <c r="O694" s="1078"/>
      <c r="P694" s="1078"/>
      <c r="Q694" s="1079"/>
      <c r="V694" s="1084"/>
    </row>
    <row r="695" spans="1:22" s="1082" customFormat="1" ht="24" customHeight="1">
      <c r="A695" s="1075">
        <v>676</v>
      </c>
      <c r="B695" s="1075"/>
      <c r="C695" s="1075"/>
      <c r="D695" s="1075"/>
      <c r="E695" s="1075" t="s">
        <v>10713</v>
      </c>
      <c r="F695" s="1076"/>
      <c r="G695" s="1075" t="s">
        <v>9065</v>
      </c>
      <c r="H695" s="1075" t="s">
        <v>9065</v>
      </c>
      <c r="I695" s="1075" t="s">
        <v>7079</v>
      </c>
      <c r="J695" s="1075"/>
      <c r="K695" s="1075"/>
      <c r="L695" s="1075" t="s">
        <v>9888</v>
      </c>
      <c r="M695" s="1077" t="s">
        <v>7078</v>
      </c>
      <c r="N695" s="1078">
        <v>6512400</v>
      </c>
      <c r="O695" s="1078"/>
      <c r="P695" s="1078"/>
      <c r="Q695" s="1079"/>
      <c r="V695" s="1084"/>
    </row>
    <row r="696" spans="1:22" s="1082" customFormat="1" ht="24" customHeight="1">
      <c r="A696" s="1075">
        <v>677</v>
      </c>
      <c r="B696" s="1075"/>
      <c r="C696" s="1075"/>
      <c r="D696" s="1075"/>
      <c r="E696" s="1075" t="s">
        <v>10714</v>
      </c>
      <c r="F696" s="1076"/>
      <c r="G696" s="1075" t="s">
        <v>9065</v>
      </c>
      <c r="H696" s="1075" t="s">
        <v>9065</v>
      </c>
      <c r="I696" s="1075" t="s">
        <v>7081</v>
      </c>
      <c r="J696" s="1075"/>
      <c r="K696" s="1075"/>
      <c r="L696" s="1075" t="s">
        <v>9888</v>
      </c>
      <c r="M696" s="1077" t="s">
        <v>7080</v>
      </c>
      <c r="N696" s="1078">
        <v>6512400</v>
      </c>
      <c r="O696" s="1078"/>
      <c r="P696" s="1078"/>
      <c r="Q696" s="1079" t="s">
        <v>12136</v>
      </c>
      <c r="V696" s="1084"/>
    </row>
    <row r="697" spans="1:22" s="1082" customFormat="1" ht="24" customHeight="1">
      <c r="A697" s="1075">
        <v>678</v>
      </c>
      <c r="B697" s="1075"/>
      <c r="C697" s="1075"/>
      <c r="D697" s="1075"/>
      <c r="E697" s="1075" t="s">
        <v>10715</v>
      </c>
      <c r="F697" s="1076"/>
      <c r="G697" s="1075" t="s">
        <v>9065</v>
      </c>
      <c r="H697" s="1075" t="s">
        <v>9065</v>
      </c>
      <c r="I697" s="1075" t="s">
        <v>7083</v>
      </c>
      <c r="J697" s="1075"/>
      <c r="K697" s="1075"/>
      <c r="L697" s="1075" t="s">
        <v>9888</v>
      </c>
      <c r="M697" s="1077" t="s">
        <v>7082</v>
      </c>
      <c r="N697" s="1078">
        <v>6512400</v>
      </c>
      <c r="O697" s="1078"/>
      <c r="P697" s="1078"/>
      <c r="Q697" s="1079"/>
      <c r="V697" s="1084"/>
    </row>
    <row r="698" spans="1:22" s="1082" customFormat="1" ht="24" customHeight="1">
      <c r="A698" s="1075">
        <v>679</v>
      </c>
      <c r="B698" s="1075"/>
      <c r="C698" s="1075"/>
      <c r="D698" s="1075"/>
      <c r="E698" s="1075" t="s">
        <v>10716</v>
      </c>
      <c r="F698" s="1076"/>
      <c r="G698" s="1075" t="s">
        <v>9065</v>
      </c>
      <c r="H698" s="1075" t="s">
        <v>9065</v>
      </c>
      <c r="I698" s="1075" t="s">
        <v>7085</v>
      </c>
      <c r="J698" s="1075"/>
      <c r="K698" s="1075"/>
      <c r="L698" s="1075" t="s">
        <v>9888</v>
      </c>
      <c r="M698" s="1077" t="s">
        <v>7084</v>
      </c>
      <c r="N698" s="1078">
        <v>6512400</v>
      </c>
      <c r="O698" s="1078"/>
      <c r="P698" s="1078"/>
      <c r="Q698" s="1079"/>
      <c r="V698" s="1084"/>
    </row>
    <row r="699" spans="1:22" s="1082" customFormat="1" ht="24" customHeight="1">
      <c r="A699" s="1075">
        <v>680</v>
      </c>
      <c r="B699" s="1075"/>
      <c r="C699" s="1075"/>
      <c r="D699" s="1075"/>
      <c r="E699" s="1075" t="s">
        <v>10717</v>
      </c>
      <c r="F699" s="1076"/>
      <c r="G699" s="1075" t="s">
        <v>9065</v>
      </c>
      <c r="H699" s="1075" t="s">
        <v>9065</v>
      </c>
      <c r="I699" s="1075" t="s">
        <v>7087</v>
      </c>
      <c r="J699" s="1075"/>
      <c r="K699" s="1075"/>
      <c r="L699" s="1075" t="s">
        <v>9888</v>
      </c>
      <c r="M699" s="1077" t="s">
        <v>7086</v>
      </c>
      <c r="N699" s="1078">
        <v>6512400</v>
      </c>
      <c r="O699" s="1078"/>
      <c r="P699" s="1078"/>
      <c r="Q699" s="1079"/>
      <c r="V699" s="1084"/>
    </row>
    <row r="700" spans="1:22" s="1082" customFormat="1" ht="24" customHeight="1">
      <c r="A700" s="1075">
        <v>681</v>
      </c>
      <c r="B700" s="1075"/>
      <c r="C700" s="1075"/>
      <c r="D700" s="1075"/>
      <c r="E700" s="1075" t="s">
        <v>10718</v>
      </c>
      <c r="F700" s="1076"/>
      <c r="G700" s="1075" t="s">
        <v>9065</v>
      </c>
      <c r="H700" s="1075" t="s">
        <v>9065</v>
      </c>
      <c r="I700" s="1075" t="s">
        <v>7089</v>
      </c>
      <c r="J700" s="1075"/>
      <c r="K700" s="1075"/>
      <c r="L700" s="1075" t="s">
        <v>9888</v>
      </c>
      <c r="M700" s="1077" t="s">
        <v>7088</v>
      </c>
      <c r="N700" s="1078">
        <v>6512400</v>
      </c>
      <c r="O700" s="1078"/>
      <c r="P700" s="1078"/>
      <c r="Q700" s="1079"/>
      <c r="V700" s="1084"/>
    </row>
    <row r="701" spans="1:22" s="1082" customFormat="1" ht="24" customHeight="1">
      <c r="A701" s="1075">
        <v>682</v>
      </c>
      <c r="B701" s="1075"/>
      <c r="C701" s="1075"/>
      <c r="D701" s="1075"/>
      <c r="E701" s="1075" t="s">
        <v>10719</v>
      </c>
      <c r="F701" s="1076"/>
      <c r="G701" s="1075" t="s">
        <v>9065</v>
      </c>
      <c r="H701" s="1075" t="s">
        <v>9065</v>
      </c>
      <c r="I701" s="1075" t="s">
        <v>7091</v>
      </c>
      <c r="J701" s="1075"/>
      <c r="K701" s="1075"/>
      <c r="L701" s="1075" t="s">
        <v>9888</v>
      </c>
      <c r="M701" s="1077" t="s">
        <v>7090</v>
      </c>
      <c r="N701" s="1078">
        <v>6512400</v>
      </c>
      <c r="O701" s="1078"/>
      <c r="P701" s="1078"/>
      <c r="Q701" s="1079"/>
      <c r="V701" s="1084"/>
    </row>
    <row r="702" spans="1:22" s="1082" customFormat="1" ht="24" customHeight="1">
      <c r="A702" s="1075">
        <v>683</v>
      </c>
      <c r="B702" s="1075"/>
      <c r="C702" s="1075"/>
      <c r="D702" s="1075"/>
      <c r="E702" s="1075" t="s">
        <v>10720</v>
      </c>
      <c r="F702" s="1076"/>
      <c r="G702" s="1075" t="s">
        <v>9065</v>
      </c>
      <c r="H702" s="1075" t="s">
        <v>9065</v>
      </c>
      <c r="I702" s="1075" t="s">
        <v>7093</v>
      </c>
      <c r="J702" s="1075"/>
      <c r="K702" s="1075"/>
      <c r="L702" s="1075" t="s">
        <v>9888</v>
      </c>
      <c r="M702" s="1077" t="s">
        <v>7092</v>
      </c>
      <c r="N702" s="1078">
        <v>6512400</v>
      </c>
      <c r="O702" s="1078"/>
      <c r="P702" s="1078"/>
      <c r="Q702" s="1079"/>
      <c r="V702" s="1084"/>
    </row>
    <row r="703" spans="1:22" s="1082" customFormat="1" ht="24" customHeight="1">
      <c r="A703" s="1075">
        <v>684</v>
      </c>
      <c r="B703" s="1075"/>
      <c r="C703" s="1075"/>
      <c r="D703" s="1075"/>
      <c r="E703" s="1075" t="s">
        <v>10721</v>
      </c>
      <c r="F703" s="1076"/>
      <c r="G703" s="1075" t="s">
        <v>9065</v>
      </c>
      <c r="H703" s="1075" t="s">
        <v>9065</v>
      </c>
      <c r="I703" s="1075" t="s">
        <v>7095</v>
      </c>
      <c r="J703" s="1075"/>
      <c r="K703" s="1075"/>
      <c r="L703" s="1075" t="s">
        <v>9888</v>
      </c>
      <c r="M703" s="1077" t="s">
        <v>7094</v>
      </c>
      <c r="N703" s="1078">
        <v>6512400</v>
      </c>
      <c r="O703" s="1078"/>
      <c r="P703" s="1078"/>
      <c r="Q703" s="1079"/>
      <c r="V703" s="1084"/>
    </row>
    <row r="704" spans="1:22" s="1082" customFormat="1" ht="24" customHeight="1">
      <c r="A704" s="1075">
        <v>685</v>
      </c>
      <c r="B704" s="1075" t="s">
        <v>334</v>
      </c>
      <c r="C704" s="1075"/>
      <c r="D704" s="1075"/>
      <c r="E704" s="1075" t="s">
        <v>10722</v>
      </c>
      <c r="F704" s="1076"/>
      <c r="G704" s="1075" t="s">
        <v>9065</v>
      </c>
      <c r="H704" s="1075" t="s">
        <v>9065</v>
      </c>
      <c r="I704" s="1075" t="s">
        <v>5816</v>
      </c>
      <c r="J704" s="1075" t="s">
        <v>15615</v>
      </c>
      <c r="K704" s="1075" t="s">
        <v>15614</v>
      </c>
      <c r="L704" s="1075" t="s">
        <v>5130</v>
      </c>
      <c r="M704" s="1077" t="s">
        <v>5815</v>
      </c>
      <c r="N704" s="1078">
        <v>6512400</v>
      </c>
      <c r="O704" s="1078" t="s">
        <v>375</v>
      </c>
      <c r="P704" s="1078"/>
      <c r="Q704" s="1079"/>
      <c r="V704" s="1084"/>
    </row>
    <row r="705" spans="1:22" s="1082" customFormat="1" ht="24" customHeight="1">
      <c r="A705" s="1075">
        <v>686</v>
      </c>
      <c r="B705" s="1075"/>
      <c r="C705" s="1075"/>
      <c r="D705" s="1075"/>
      <c r="E705" s="1075" t="s">
        <v>10723</v>
      </c>
      <c r="F705" s="1076"/>
      <c r="G705" s="1075" t="s">
        <v>9065</v>
      </c>
      <c r="H705" s="1075" t="s">
        <v>9065</v>
      </c>
      <c r="I705" s="1075" t="s">
        <v>7097</v>
      </c>
      <c r="J705" s="1075"/>
      <c r="K705" s="1075"/>
      <c r="L705" s="1075" t="s">
        <v>9888</v>
      </c>
      <c r="M705" s="1077" t="s">
        <v>7096</v>
      </c>
      <c r="N705" s="1078">
        <v>6512400</v>
      </c>
      <c r="O705" s="1078"/>
      <c r="P705" s="1078"/>
      <c r="Q705" s="1079"/>
      <c r="V705" s="1084"/>
    </row>
    <row r="706" spans="1:22" s="1082" customFormat="1" ht="24" customHeight="1">
      <c r="A706" s="1075">
        <v>687</v>
      </c>
      <c r="B706" s="1075"/>
      <c r="C706" s="1075"/>
      <c r="D706" s="1075"/>
      <c r="E706" s="1075" t="s">
        <v>15907</v>
      </c>
      <c r="F706" s="1076"/>
      <c r="G706" s="1075" t="s">
        <v>9065</v>
      </c>
      <c r="H706" s="1075" t="s">
        <v>9065</v>
      </c>
      <c r="I706" s="1075" t="s">
        <v>5817</v>
      </c>
      <c r="J706" s="1075"/>
      <c r="K706" s="1075"/>
      <c r="L706" s="1075" t="s">
        <v>9888</v>
      </c>
      <c r="M706" s="1077" t="s">
        <v>15908</v>
      </c>
      <c r="N706" s="1078">
        <v>6512400</v>
      </c>
      <c r="O706" s="1078"/>
      <c r="P706" s="1078"/>
      <c r="Q706" s="1079"/>
      <c r="V706" s="1084"/>
    </row>
    <row r="707" spans="1:22" s="1082" customFormat="1" ht="24" customHeight="1">
      <c r="A707" s="1075">
        <v>688</v>
      </c>
      <c r="B707" s="1075"/>
      <c r="C707" s="1075"/>
      <c r="D707" s="1075"/>
      <c r="E707" s="1075" t="s">
        <v>10725</v>
      </c>
      <c r="F707" s="1076"/>
      <c r="G707" s="1075" t="s">
        <v>9065</v>
      </c>
      <c r="H707" s="1075" t="s">
        <v>9065</v>
      </c>
      <c r="I707" s="1075" t="s">
        <v>7099</v>
      </c>
      <c r="J707" s="1075"/>
      <c r="K707" s="1075"/>
      <c r="L707" s="1075" t="s">
        <v>9888</v>
      </c>
      <c r="M707" s="1077" t="s">
        <v>7098</v>
      </c>
      <c r="N707" s="1078">
        <v>6512400</v>
      </c>
      <c r="O707" s="1078"/>
      <c r="P707" s="1078"/>
      <c r="Q707" s="1079"/>
      <c r="V707" s="1084"/>
    </row>
    <row r="708" spans="1:22" s="1082" customFormat="1" ht="24" customHeight="1">
      <c r="A708" s="1075">
        <v>689</v>
      </c>
      <c r="B708" s="1075"/>
      <c r="C708" s="1075"/>
      <c r="D708" s="1075"/>
      <c r="E708" s="1075" t="s">
        <v>10726</v>
      </c>
      <c r="F708" s="1076"/>
      <c r="G708" s="1075" t="s">
        <v>9065</v>
      </c>
      <c r="H708" s="1075" t="s">
        <v>9065</v>
      </c>
      <c r="I708" s="1075" t="s">
        <v>7101</v>
      </c>
      <c r="J708" s="1075"/>
      <c r="K708" s="1075"/>
      <c r="L708" s="1075" t="s">
        <v>9888</v>
      </c>
      <c r="M708" s="1077" t="s">
        <v>7100</v>
      </c>
      <c r="N708" s="1078">
        <v>6512400</v>
      </c>
      <c r="O708" s="1078"/>
      <c r="P708" s="1078"/>
      <c r="Q708" s="1079"/>
      <c r="V708" s="1084"/>
    </row>
    <row r="709" spans="1:22" s="1082" customFormat="1" ht="24" customHeight="1">
      <c r="A709" s="1075">
        <v>690</v>
      </c>
      <c r="B709" s="1075"/>
      <c r="C709" s="1075"/>
      <c r="D709" s="1075"/>
      <c r="E709" s="1075" t="s">
        <v>10727</v>
      </c>
      <c r="F709" s="1076"/>
      <c r="G709" s="1075" t="s">
        <v>9065</v>
      </c>
      <c r="H709" s="1075" t="s">
        <v>9065</v>
      </c>
      <c r="I709" s="1075" t="s">
        <v>7103</v>
      </c>
      <c r="J709" s="1075"/>
      <c r="K709" s="1075"/>
      <c r="L709" s="1075" t="s">
        <v>9888</v>
      </c>
      <c r="M709" s="1077" t="s">
        <v>7102</v>
      </c>
      <c r="N709" s="1078">
        <v>6512400</v>
      </c>
      <c r="O709" s="1078"/>
      <c r="P709" s="1078"/>
      <c r="Q709" s="1079"/>
      <c r="V709" s="1084"/>
    </row>
    <row r="710" spans="1:22" s="1082" customFormat="1" ht="24" customHeight="1">
      <c r="A710" s="1075">
        <v>691</v>
      </c>
      <c r="B710" s="1075"/>
      <c r="C710" s="1075"/>
      <c r="D710" s="1075"/>
      <c r="E710" s="1075" t="s">
        <v>10728</v>
      </c>
      <c r="F710" s="1076"/>
      <c r="G710" s="1075" t="s">
        <v>9065</v>
      </c>
      <c r="H710" s="1075" t="s">
        <v>9065</v>
      </c>
      <c r="I710" s="1075" t="s">
        <v>7105</v>
      </c>
      <c r="J710" s="1075"/>
      <c r="K710" s="1075"/>
      <c r="L710" s="1075" t="s">
        <v>9888</v>
      </c>
      <c r="M710" s="1077" t="s">
        <v>7104</v>
      </c>
      <c r="N710" s="1078">
        <v>6512400</v>
      </c>
      <c r="O710" s="1078"/>
      <c r="P710" s="1078"/>
      <c r="Q710" s="1079"/>
      <c r="V710" s="1084"/>
    </row>
    <row r="711" spans="1:22" s="1082" customFormat="1" ht="24" customHeight="1">
      <c r="A711" s="1075">
        <v>692</v>
      </c>
      <c r="B711" s="1075"/>
      <c r="C711" s="1075"/>
      <c r="D711" s="1075"/>
      <c r="E711" s="1075" t="s">
        <v>10729</v>
      </c>
      <c r="F711" s="1076"/>
      <c r="G711" s="1075" t="s">
        <v>9065</v>
      </c>
      <c r="H711" s="1075" t="s">
        <v>9065</v>
      </c>
      <c r="I711" s="1075" t="s">
        <v>7107</v>
      </c>
      <c r="J711" s="1075"/>
      <c r="K711" s="1075"/>
      <c r="L711" s="1075" t="s">
        <v>9888</v>
      </c>
      <c r="M711" s="1077" t="s">
        <v>7106</v>
      </c>
      <c r="N711" s="1078">
        <v>6512400</v>
      </c>
      <c r="O711" s="1078"/>
      <c r="P711" s="1078"/>
      <c r="Q711" s="1079"/>
      <c r="V711" s="1084"/>
    </row>
    <row r="712" spans="1:22" s="1082" customFormat="1" ht="24" customHeight="1">
      <c r="A712" s="1075">
        <v>693</v>
      </c>
      <c r="B712" s="1075"/>
      <c r="C712" s="1075"/>
      <c r="D712" s="1075"/>
      <c r="E712" s="1075" t="s">
        <v>10730</v>
      </c>
      <c r="F712" s="1076"/>
      <c r="G712" s="1075" t="s">
        <v>9065</v>
      </c>
      <c r="H712" s="1075" t="s">
        <v>9065</v>
      </c>
      <c r="I712" s="1075" t="s">
        <v>7109</v>
      </c>
      <c r="J712" s="1075"/>
      <c r="K712" s="1075"/>
      <c r="L712" s="1075" t="s">
        <v>9888</v>
      </c>
      <c r="M712" s="1077" t="s">
        <v>7108</v>
      </c>
      <c r="N712" s="1078">
        <v>6512400</v>
      </c>
      <c r="O712" s="1078"/>
      <c r="P712" s="1078"/>
      <c r="Q712" s="1079"/>
      <c r="V712" s="1084"/>
    </row>
    <row r="713" spans="1:22" s="1082" customFormat="1" ht="24" customHeight="1">
      <c r="A713" s="1075">
        <v>694</v>
      </c>
      <c r="B713" s="1075"/>
      <c r="C713" s="1075"/>
      <c r="D713" s="1075"/>
      <c r="E713" s="1075" t="s">
        <v>10731</v>
      </c>
      <c r="F713" s="1076"/>
      <c r="G713" s="1075" t="s">
        <v>9065</v>
      </c>
      <c r="H713" s="1075" t="s">
        <v>9065</v>
      </c>
      <c r="I713" s="1075" t="s">
        <v>7111</v>
      </c>
      <c r="J713" s="1075"/>
      <c r="K713" s="1075"/>
      <c r="L713" s="1075" t="s">
        <v>9888</v>
      </c>
      <c r="M713" s="1077" t="s">
        <v>7110</v>
      </c>
      <c r="N713" s="1078">
        <v>6512400</v>
      </c>
      <c r="O713" s="1078"/>
      <c r="P713" s="1078"/>
      <c r="Q713" s="1079"/>
      <c r="V713" s="1084"/>
    </row>
    <row r="714" spans="1:22" s="1082" customFormat="1" ht="24" customHeight="1">
      <c r="A714" s="1075">
        <v>695</v>
      </c>
      <c r="B714" s="1075"/>
      <c r="C714" s="1075"/>
      <c r="D714" s="1075"/>
      <c r="E714" s="1075" t="s">
        <v>10732</v>
      </c>
      <c r="F714" s="1076"/>
      <c r="G714" s="1075" t="s">
        <v>9065</v>
      </c>
      <c r="H714" s="1075" t="s">
        <v>9065</v>
      </c>
      <c r="I714" s="1075" t="s">
        <v>7113</v>
      </c>
      <c r="J714" s="1075"/>
      <c r="K714" s="1075"/>
      <c r="L714" s="1075" t="s">
        <v>9888</v>
      </c>
      <c r="M714" s="1077" t="s">
        <v>7112</v>
      </c>
      <c r="N714" s="1078">
        <v>6512400</v>
      </c>
      <c r="O714" s="1078"/>
      <c r="P714" s="1078"/>
      <c r="Q714" s="1079"/>
      <c r="V714" s="1084"/>
    </row>
    <row r="715" spans="1:22" s="1082" customFormat="1" ht="24" customHeight="1">
      <c r="A715" s="1075">
        <v>696</v>
      </c>
      <c r="B715" s="1075"/>
      <c r="C715" s="1075"/>
      <c r="D715" s="1075"/>
      <c r="E715" s="1075" t="s">
        <v>10733</v>
      </c>
      <c r="F715" s="1076"/>
      <c r="G715" s="1075" t="s">
        <v>9065</v>
      </c>
      <c r="H715" s="1075" t="s">
        <v>9065</v>
      </c>
      <c r="I715" s="1075" t="s">
        <v>7115</v>
      </c>
      <c r="J715" s="1075"/>
      <c r="K715" s="1075"/>
      <c r="L715" s="1075" t="s">
        <v>9888</v>
      </c>
      <c r="M715" s="1077" t="s">
        <v>7114</v>
      </c>
      <c r="N715" s="1078">
        <v>6512400</v>
      </c>
      <c r="O715" s="1078"/>
      <c r="P715" s="1078"/>
      <c r="Q715" s="1079"/>
      <c r="V715" s="1084"/>
    </row>
    <row r="716" spans="1:22" s="1082" customFormat="1" ht="24" customHeight="1">
      <c r="A716" s="1075">
        <v>697</v>
      </c>
      <c r="B716" s="1075"/>
      <c r="C716" s="1075"/>
      <c r="D716" s="1075"/>
      <c r="E716" s="1075" t="s">
        <v>10734</v>
      </c>
      <c r="F716" s="1076"/>
      <c r="G716" s="1075" t="s">
        <v>9065</v>
      </c>
      <c r="H716" s="1075" t="s">
        <v>9065</v>
      </c>
      <c r="I716" s="1075" t="s">
        <v>7117</v>
      </c>
      <c r="J716" s="1075"/>
      <c r="K716" s="1075"/>
      <c r="L716" s="1075" t="s">
        <v>9888</v>
      </c>
      <c r="M716" s="1077" t="s">
        <v>7116</v>
      </c>
      <c r="N716" s="1078">
        <v>6512400</v>
      </c>
      <c r="O716" s="1078"/>
      <c r="P716" s="1078"/>
      <c r="Q716" s="1079"/>
      <c r="V716" s="1084"/>
    </row>
    <row r="717" spans="1:22" s="1082" customFormat="1" ht="24" customHeight="1">
      <c r="A717" s="1075">
        <v>698</v>
      </c>
      <c r="B717" s="376" t="s">
        <v>1595</v>
      </c>
      <c r="C717" s="376"/>
      <c r="D717" s="376"/>
      <c r="E717" s="1075" t="s">
        <v>10735</v>
      </c>
      <c r="F717" s="1076"/>
      <c r="G717" s="1075" t="s">
        <v>9065</v>
      </c>
      <c r="H717" s="1075" t="s">
        <v>9065</v>
      </c>
      <c r="I717" s="1075" t="s">
        <v>5819</v>
      </c>
      <c r="J717" s="1075" t="s">
        <v>2078</v>
      </c>
      <c r="K717" s="1075" t="s">
        <v>2077</v>
      </c>
      <c r="L717" s="1075" t="s">
        <v>5130</v>
      </c>
      <c r="M717" s="1077" t="s">
        <v>5818</v>
      </c>
      <c r="N717" s="1078">
        <v>6512400</v>
      </c>
      <c r="O717" s="1078" t="s">
        <v>985</v>
      </c>
      <c r="P717" s="1078"/>
      <c r="Q717" s="1079"/>
      <c r="V717" s="1084"/>
    </row>
    <row r="718" spans="1:22" s="1082" customFormat="1" ht="24" customHeight="1">
      <c r="A718" s="1075">
        <v>699</v>
      </c>
      <c r="B718" s="1075"/>
      <c r="C718" s="1075"/>
      <c r="D718" s="1075"/>
      <c r="E718" s="1075" t="s">
        <v>10736</v>
      </c>
      <c r="F718" s="1076"/>
      <c r="G718" s="1075" t="s">
        <v>9065</v>
      </c>
      <c r="H718" s="1075" t="s">
        <v>9065</v>
      </c>
      <c r="I718" s="1075" t="s">
        <v>5821</v>
      </c>
      <c r="J718" s="1075" t="s">
        <v>15597</v>
      </c>
      <c r="K718" s="1075" t="s">
        <v>15596</v>
      </c>
      <c r="L718" s="1075" t="s">
        <v>5130</v>
      </c>
      <c r="M718" s="1077" t="s">
        <v>5820</v>
      </c>
      <c r="N718" s="1078">
        <v>6512400</v>
      </c>
      <c r="O718" s="1078" t="s">
        <v>375</v>
      </c>
      <c r="P718" s="1078"/>
      <c r="Q718" s="1079"/>
      <c r="V718" s="1084"/>
    </row>
    <row r="719" spans="1:22" s="1082" customFormat="1" ht="24" customHeight="1">
      <c r="A719" s="1075">
        <v>700</v>
      </c>
      <c r="B719" s="1075"/>
      <c r="C719" s="1075"/>
      <c r="D719" s="1075"/>
      <c r="E719" s="1075" t="s">
        <v>10737</v>
      </c>
      <c r="F719" s="1076"/>
      <c r="G719" s="1075" t="s">
        <v>9065</v>
      </c>
      <c r="H719" s="1075" t="s">
        <v>9065</v>
      </c>
      <c r="I719" s="1075" t="s">
        <v>7119</v>
      </c>
      <c r="J719" s="1075"/>
      <c r="K719" s="1075"/>
      <c r="L719" s="1075" t="s">
        <v>9888</v>
      </c>
      <c r="M719" s="1077" t="s">
        <v>7118</v>
      </c>
      <c r="N719" s="1078">
        <v>6512400</v>
      </c>
      <c r="O719" s="1078"/>
      <c r="P719" s="1078"/>
      <c r="Q719" s="1079"/>
      <c r="V719" s="1084"/>
    </row>
    <row r="720" spans="1:22" s="1082" customFormat="1" ht="24" customHeight="1">
      <c r="A720" s="1075">
        <v>701</v>
      </c>
      <c r="B720" s="1075"/>
      <c r="C720" s="1075"/>
      <c r="D720" s="1075"/>
      <c r="E720" s="1075" t="s">
        <v>10738</v>
      </c>
      <c r="F720" s="1076"/>
      <c r="G720" s="1075" t="s">
        <v>9065</v>
      </c>
      <c r="H720" s="1075" t="s">
        <v>9065</v>
      </c>
      <c r="I720" s="1075" t="s">
        <v>7121</v>
      </c>
      <c r="J720" s="1075"/>
      <c r="K720" s="1075"/>
      <c r="L720" s="1075" t="s">
        <v>9888</v>
      </c>
      <c r="M720" s="1077" t="s">
        <v>7120</v>
      </c>
      <c r="N720" s="1078">
        <v>6512400</v>
      </c>
      <c r="O720" s="1078"/>
      <c r="P720" s="1078"/>
      <c r="Q720" s="1079"/>
      <c r="V720" s="1084"/>
    </row>
    <row r="721" spans="1:22" s="1082" customFormat="1" ht="24" customHeight="1">
      <c r="A721" s="1075">
        <v>702</v>
      </c>
      <c r="B721" s="1075"/>
      <c r="C721" s="1075"/>
      <c r="D721" s="1075"/>
      <c r="E721" s="1075" t="s">
        <v>10740</v>
      </c>
      <c r="F721" s="1076"/>
      <c r="G721" s="1075" t="s">
        <v>9065</v>
      </c>
      <c r="H721" s="1075" t="s">
        <v>9065</v>
      </c>
      <c r="I721" s="1075" t="s">
        <v>7125</v>
      </c>
      <c r="J721" s="1075"/>
      <c r="K721" s="1075"/>
      <c r="L721" s="1075" t="s">
        <v>9888</v>
      </c>
      <c r="M721" s="1077" t="s">
        <v>7124</v>
      </c>
      <c r="N721" s="1078">
        <v>6512400</v>
      </c>
      <c r="O721" s="1078"/>
      <c r="P721" s="1078"/>
      <c r="Q721" s="1079"/>
      <c r="V721" s="1084"/>
    </row>
    <row r="722" spans="1:22" s="1082" customFormat="1" ht="24" customHeight="1">
      <c r="A722" s="1075">
        <v>703</v>
      </c>
      <c r="B722" s="1075" t="s">
        <v>423</v>
      </c>
      <c r="C722" s="1075"/>
      <c r="D722" s="1075"/>
      <c r="E722" s="1075" t="s">
        <v>15909</v>
      </c>
      <c r="F722" s="1076"/>
      <c r="G722" s="1075" t="s">
        <v>9065</v>
      </c>
      <c r="H722" s="1075" t="s">
        <v>9065</v>
      </c>
      <c r="I722" s="1075" t="s">
        <v>5822</v>
      </c>
      <c r="J722" s="1075" t="s">
        <v>1149</v>
      </c>
      <c r="K722" s="1075" t="s">
        <v>1148</v>
      </c>
      <c r="L722" s="1075" t="s">
        <v>5130</v>
      </c>
      <c r="M722" s="1077" t="s">
        <v>15910</v>
      </c>
      <c r="N722" s="1078">
        <v>6512400</v>
      </c>
      <c r="O722" s="1078" t="s">
        <v>375</v>
      </c>
      <c r="P722" s="1078"/>
      <c r="Q722" s="1079"/>
      <c r="V722" s="1084"/>
    </row>
    <row r="723" spans="1:22" s="1082" customFormat="1" ht="24" customHeight="1">
      <c r="A723" s="1075">
        <v>704</v>
      </c>
      <c r="B723" s="1075"/>
      <c r="C723" s="1075"/>
      <c r="D723" s="1075"/>
      <c r="E723" s="1075" t="s">
        <v>10742</v>
      </c>
      <c r="F723" s="1076"/>
      <c r="G723" s="1075" t="s">
        <v>9065</v>
      </c>
      <c r="H723" s="1075" t="s">
        <v>9065</v>
      </c>
      <c r="I723" s="1075" t="s">
        <v>7127</v>
      </c>
      <c r="J723" s="1075"/>
      <c r="K723" s="1075"/>
      <c r="L723" s="1075" t="s">
        <v>9888</v>
      </c>
      <c r="M723" s="1077" t="s">
        <v>7126</v>
      </c>
      <c r="N723" s="1078">
        <v>6512400</v>
      </c>
      <c r="O723" s="1078"/>
      <c r="P723" s="1078"/>
      <c r="Q723" s="1079"/>
      <c r="V723" s="1084"/>
    </row>
    <row r="724" spans="1:22" s="1082" customFormat="1" ht="24" customHeight="1">
      <c r="A724" s="1075">
        <v>705</v>
      </c>
      <c r="B724" s="1075"/>
      <c r="C724" s="1075"/>
      <c r="D724" s="1075"/>
      <c r="E724" s="1075" t="s">
        <v>10743</v>
      </c>
      <c r="F724" s="1076"/>
      <c r="G724" s="1075" t="s">
        <v>9065</v>
      </c>
      <c r="H724" s="1075" t="s">
        <v>9065</v>
      </c>
      <c r="I724" s="1075" t="s">
        <v>7130</v>
      </c>
      <c r="J724" s="1075"/>
      <c r="K724" s="1075"/>
      <c r="L724" s="1075" t="s">
        <v>9888</v>
      </c>
      <c r="M724" s="1077" t="s">
        <v>7129</v>
      </c>
      <c r="N724" s="1078">
        <v>6512400</v>
      </c>
      <c r="O724" s="1078"/>
      <c r="P724" s="1078"/>
      <c r="Q724" s="1079"/>
      <c r="V724" s="1084"/>
    </row>
    <row r="725" spans="1:22" s="1082" customFormat="1" ht="24" customHeight="1">
      <c r="A725" s="1075">
        <v>706</v>
      </c>
      <c r="B725" s="1075"/>
      <c r="C725" s="1075"/>
      <c r="D725" s="1075"/>
      <c r="E725" s="1075" t="s">
        <v>10744</v>
      </c>
      <c r="F725" s="1076"/>
      <c r="G725" s="1075" t="s">
        <v>9065</v>
      </c>
      <c r="H725" s="1075" t="s">
        <v>9065</v>
      </c>
      <c r="I725" s="1075" t="s">
        <v>7132</v>
      </c>
      <c r="J725" s="1075"/>
      <c r="K725" s="1075"/>
      <c r="L725" s="1075" t="s">
        <v>9888</v>
      </c>
      <c r="M725" s="1077" t="s">
        <v>7131</v>
      </c>
      <c r="N725" s="1078">
        <v>6512400</v>
      </c>
      <c r="O725" s="1078"/>
      <c r="P725" s="1078"/>
      <c r="Q725" s="1079"/>
      <c r="V725" s="1084"/>
    </row>
    <row r="726" spans="1:22" s="1082" customFormat="1" ht="24" customHeight="1">
      <c r="A726" s="1075">
        <v>707</v>
      </c>
      <c r="B726" s="1075"/>
      <c r="C726" s="1075"/>
      <c r="D726" s="1075"/>
      <c r="E726" s="1075" t="s">
        <v>10745</v>
      </c>
      <c r="F726" s="1076"/>
      <c r="G726" s="1075" t="s">
        <v>9065</v>
      </c>
      <c r="H726" s="1075" t="s">
        <v>9065</v>
      </c>
      <c r="I726" s="1075" t="s">
        <v>7134</v>
      </c>
      <c r="J726" s="1075"/>
      <c r="K726" s="1075"/>
      <c r="L726" s="1075" t="s">
        <v>9888</v>
      </c>
      <c r="M726" s="1077" t="s">
        <v>7133</v>
      </c>
      <c r="N726" s="1078">
        <v>6512400</v>
      </c>
      <c r="O726" s="1078"/>
      <c r="P726" s="1078"/>
      <c r="Q726" s="1079"/>
      <c r="V726" s="1084"/>
    </row>
    <row r="727" spans="1:22" s="1082" customFormat="1" ht="24" customHeight="1">
      <c r="A727" s="1075">
        <v>708</v>
      </c>
      <c r="B727" s="1075" t="s">
        <v>3212</v>
      </c>
      <c r="C727" s="1075"/>
      <c r="D727" s="1075"/>
      <c r="E727" s="1075" t="s">
        <v>10747</v>
      </c>
      <c r="F727" s="1076"/>
      <c r="G727" s="1075" t="s">
        <v>9065</v>
      </c>
      <c r="H727" s="1075" t="s">
        <v>9065</v>
      </c>
      <c r="I727" s="1075" t="s">
        <v>5824</v>
      </c>
      <c r="J727" s="1075" t="s">
        <v>15593</v>
      </c>
      <c r="K727" s="1075" t="s">
        <v>15592</v>
      </c>
      <c r="L727" s="1075" t="s">
        <v>5130</v>
      </c>
      <c r="M727" s="1077" t="s">
        <v>5823</v>
      </c>
      <c r="N727" s="1078">
        <v>6512400</v>
      </c>
      <c r="O727" s="1078" t="s">
        <v>375</v>
      </c>
      <c r="P727" s="1078"/>
      <c r="Q727" s="1079"/>
      <c r="V727" s="1084"/>
    </row>
    <row r="728" spans="1:22" s="1082" customFormat="1" ht="24" customHeight="1">
      <c r="A728" s="1075">
        <v>709</v>
      </c>
      <c r="B728" s="1075"/>
      <c r="C728" s="1075"/>
      <c r="D728" s="1075"/>
      <c r="E728" s="1075" t="s">
        <v>10749</v>
      </c>
      <c r="F728" s="1076"/>
      <c r="G728" s="1075" t="s">
        <v>9065</v>
      </c>
      <c r="H728" s="1075" t="s">
        <v>9065</v>
      </c>
      <c r="I728" s="1075" t="s">
        <v>7140</v>
      </c>
      <c r="J728" s="1075"/>
      <c r="K728" s="1075"/>
      <c r="L728" s="1075" t="s">
        <v>9888</v>
      </c>
      <c r="M728" s="1077" t="s">
        <v>7139</v>
      </c>
      <c r="N728" s="1078">
        <v>6512400</v>
      </c>
      <c r="O728" s="1078"/>
      <c r="P728" s="1078"/>
      <c r="Q728" s="1079"/>
      <c r="V728" s="1084"/>
    </row>
    <row r="729" spans="1:22" s="1082" customFormat="1" ht="24" customHeight="1">
      <c r="A729" s="1075">
        <v>710</v>
      </c>
      <c r="B729" s="1075"/>
      <c r="C729" s="1075"/>
      <c r="D729" s="1075"/>
      <c r="E729" s="1075" t="s">
        <v>10750</v>
      </c>
      <c r="F729" s="1076"/>
      <c r="G729" s="1075" t="s">
        <v>9065</v>
      </c>
      <c r="H729" s="1075" t="s">
        <v>9065</v>
      </c>
      <c r="I729" s="1075" t="s">
        <v>7142</v>
      </c>
      <c r="J729" s="1075"/>
      <c r="K729" s="1075"/>
      <c r="L729" s="1075" t="s">
        <v>9888</v>
      </c>
      <c r="M729" s="1077" t="s">
        <v>7141</v>
      </c>
      <c r="N729" s="1078">
        <v>6512400</v>
      </c>
      <c r="O729" s="1078"/>
      <c r="P729" s="1078"/>
      <c r="Q729" s="1079"/>
      <c r="V729" s="1084"/>
    </row>
    <row r="730" spans="1:22" s="1082" customFormat="1" ht="24" customHeight="1">
      <c r="A730" s="1075">
        <v>711</v>
      </c>
      <c r="B730" s="1075"/>
      <c r="C730" s="1075"/>
      <c r="D730" s="1075"/>
      <c r="E730" s="1075" t="s">
        <v>10751</v>
      </c>
      <c r="F730" s="1076"/>
      <c r="G730" s="1075" t="s">
        <v>9065</v>
      </c>
      <c r="H730" s="1075" t="s">
        <v>9065</v>
      </c>
      <c r="I730" s="1075" t="s">
        <v>7144</v>
      </c>
      <c r="J730" s="1075"/>
      <c r="K730" s="1075"/>
      <c r="L730" s="1075" t="s">
        <v>9888</v>
      </c>
      <c r="M730" s="1077" t="s">
        <v>7143</v>
      </c>
      <c r="N730" s="1078">
        <v>6512400</v>
      </c>
      <c r="O730" s="1078"/>
      <c r="P730" s="1078"/>
      <c r="Q730" s="1079"/>
      <c r="V730" s="1084"/>
    </row>
    <row r="731" spans="1:22" s="1082" customFormat="1" ht="24" customHeight="1">
      <c r="A731" s="1075">
        <v>712</v>
      </c>
      <c r="B731" s="1075"/>
      <c r="C731" s="1075"/>
      <c r="D731" s="1075"/>
      <c r="E731" s="1075" t="s">
        <v>10752</v>
      </c>
      <c r="F731" s="1076"/>
      <c r="G731" s="1075" t="s">
        <v>9065</v>
      </c>
      <c r="H731" s="1075" t="s">
        <v>9065</v>
      </c>
      <c r="I731" s="1075" t="s">
        <v>7146</v>
      </c>
      <c r="J731" s="1075"/>
      <c r="K731" s="1075"/>
      <c r="L731" s="1075" t="s">
        <v>9888</v>
      </c>
      <c r="M731" s="1077" t="s">
        <v>7145</v>
      </c>
      <c r="N731" s="1078">
        <v>6512400</v>
      </c>
      <c r="O731" s="1078"/>
      <c r="P731" s="1078"/>
      <c r="Q731" s="1079"/>
      <c r="V731" s="1084"/>
    </row>
    <row r="732" spans="1:22" s="1082" customFormat="1" ht="24" customHeight="1">
      <c r="A732" s="1075">
        <v>713</v>
      </c>
      <c r="B732" s="1075"/>
      <c r="C732" s="1075"/>
      <c r="D732" s="1075"/>
      <c r="E732" s="1075" t="s">
        <v>10755</v>
      </c>
      <c r="F732" s="1076"/>
      <c r="G732" s="1075" t="s">
        <v>9065</v>
      </c>
      <c r="H732" s="1075" t="s">
        <v>9065</v>
      </c>
      <c r="I732" s="1075" t="s">
        <v>7154</v>
      </c>
      <c r="J732" s="1075"/>
      <c r="K732" s="1075"/>
      <c r="L732" s="1075" t="s">
        <v>9888</v>
      </c>
      <c r="M732" s="1077" t="s">
        <v>7153</v>
      </c>
      <c r="N732" s="1078">
        <v>6512400</v>
      </c>
      <c r="O732" s="1078"/>
      <c r="P732" s="1078"/>
      <c r="Q732" s="1079"/>
      <c r="V732" s="1084"/>
    </row>
    <row r="733" spans="1:22" s="1082" customFormat="1" ht="24" customHeight="1">
      <c r="A733" s="1075">
        <v>714</v>
      </c>
      <c r="B733" s="1075"/>
      <c r="C733" s="1075"/>
      <c r="D733" s="1075"/>
      <c r="E733" s="1075" t="s">
        <v>10757</v>
      </c>
      <c r="F733" s="1076"/>
      <c r="G733" s="1075" t="s">
        <v>9065</v>
      </c>
      <c r="H733" s="1075" t="s">
        <v>9065</v>
      </c>
      <c r="I733" s="1075" t="s">
        <v>7158</v>
      </c>
      <c r="J733" s="1075"/>
      <c r="K733" s="1075"/>
      <c r="L733" s="1075" t="s">
        <v>9888</v>
      </c>
      <c r="M733" s="1077" t="s">
        <v>7157</v>
      </c>
      <c r="N733" s="1078">
        <v>6512400</v>
      </c>
      <c r="O733" s="1078"/>
      <c r="P733" s="1078"/>
      <c r="Q733" s="1079"/>
      <c r="V733" s="1084"/>
    </row>
    <row r="734" spans="1:22" s="1082" customFormat="1" ht="24" customHeight="1">
      <c r="A734" s="1075">
        <v>715</v>
      </c>
      <c r="B734" s="1075"/>
      <c r="C734" s="1075"/>
      <c r="D734" s="1075"/>
      <c r="E734" s="1075" t="s">
        <v>10758</v>
      </c>
      <c r="F734" s="1076"/>
      <c r="G734" s="1075" t="s">
        <v>9065</v>
      </c>
      <c r="H734" s="1075" t="s">
        <v>9065</v>
      </c>
      <c r="I734" s="1075" t="s">
        <v>7160</v>
      </c>
      <c r="J734" s="1075"/>
      <c r="K734" s="1075"/>
      <c r="L734" s="1075" t="s">
        <v>9888</v>
      </c>
      <c r="M734" s="1077" t="s">
        <v>7159</v>
      </c>
      <c r="N734" s="1078">
        <v>6512400</v>
      </c>
      <c r="O734" s="1078"/>
      <c r="P734" s="1078"/>
      <c r="Q734" s="1079"/>
      <c r="V734" s="1084"/>
    </row>
    <row r="735" spans="1:22" s="1082" customFormat="1" ht="24" customHeight="1">
      <c r="A735" s="1075">
        <v>716</v>
      </c>
      <c r="B735" s="1075"/>
      <c r="C735" s="1075"/>
      <c r="D735" s="1075"/>
      <c r="E735" s="1075" t="s">
        <v>10761</v>
      </c>
      <c r="F735" s="1076"/>
      <c r="G735" s="1075" t="s">
        <v>9065</v>
      </c>
      <c r="H735" s="1075" t="s">
        <v>9065</v>
      </c>
      <c r="I735" s="1075" t="s">
        <v>7162</v>
      </c>
      <c r="J735" s="1075"/>
      <c r="K735" s="1075"/>
      <c r="L735" s="1075" t="s">
        <v>9888</v>
      </c>
      <c r="M735" s="1077" t="s">
        <v>7161</v>
      </c>
      <c r="N735" s="1078">
        <v>6512400</v>
      </c>
      <c r="O735" s="1078"/>
      <c r="P735" s="1078"/>
      <c r="Q735" s="1079"/>
      <c r="V735" s="1084"/>
    </row>
    <row r="736" spans="1:22" s="1082" customFormat="1" ht="24" customHeight="1">
      <c r="A736" s="1075">
        <v>717</v>
      </c>
      <c r="B736" s="1075"/>
      <c r="C736" s="1075"/>
      <c r="D736" s="1075"/>
      <c r="E736" s="1075" t="s">
        <v>10762</v>
      </c>
      <c r="F736" s="1076"/>
      <c r="G736" s="1075" t="s">
        <v>9065</v>
      </c>
      <c r="H736" s="1075" t="s">
        <v>9065</v>
      </c>
      <c r="I736" s="1075" t="s">
        <v>7164</v>
      </c>
      <c r="J736" s="1075"/>
      <c r="K736" s="1075"/>
      <c r="L736" s="1075" t="s">
        <v>9888</v>
      </c>
      <c r="M736" s="1077" t="s">
        <v>7163</v>
      </c>
      <c r="N736" s="1078">
        <v>6512400</v>
      </c>
      <c r="O736" s="1078"/>
      <c r="P736" s="1078"/>
      <c r="Q736" s="1079"/>
      <c r="V736" s="1084"/>
    </row>
    <row r="737" spans="1:22" s="1082" customFormat="1" ht="24" customHeight="1">
      <c r="A737" s="1075">
        <v>718</v>
      </c>
      <c r="B737" s="1075"/>
      <c r="C737" s="1075"/>
      <c r="D737" s="1075"/>
      <c r="E737" s="1075" t="s">
        <v>10763</v>
      </c>
      <c r="F737" s="1076"/>
      <c r="G737" s="1075" t="s">
        <v>9065</v>
      </c>
      <c r="H737" s="1075" t="s">
        <v>9065</v>
      </c>
      <c r="I737" s="1075" t="s">
        <v>7166</v>
      </c>
      <c r="J737" s="1075"/>
      <c r="K737" s="1075"/>
      <c r="L737" s="1075" t="s">
        <v>9888</v>
      </c>
      <c r="M737" s="1077" t="s">
        <v>7165</v>
      </c>
      <c r="N737" s="1078">
        <v>6512400</v>
      </c>
      <c r="O737" s="1078"/>
      <c r="P737" s="1078"/>
      <c r="Q737" s="1079"/>
      <c r="V737" s="1084"/>
    </row>
    <row r="738" spans="1:22" s="1082" customFormat="1" ht="24" customHeight="1">
      <c r="A738" s="1075">
        <v>719</v>
      </c>
      <c r="B738" s="1075"/>
      <c r="C738" s="1075"/>
      <c r="D738" s="1075"/>
      <c r="E738" s="1075" t="s">
        <v>10764</v>
      </c>
      <c r="F738" s="1076"/>
      <c r="G738" s="1075" t="s">
        <v>9065</v>
      </c>
      <c r="H738" s="1075" t="s">
        <v>9065</v>
      </c>
      <c r="I738" s="1075" t="s">
        <v>7168</v>
      </c>
      <c r="J738" s="1075"/>
      <c r="K738" s="1075"/>
      <c r="L738" s="1075" t="s">
        <v>9888</v>
      </c>
      <c r="M738" s="1077" t="s">
        <v>7167</v>
      </c>
      <c r="N738" s="1078">
        <v>6512400</v>
      </c>
      <c r="O738" s="1078"/>
      <c r="P738" s="1078"/>
      <c r="Q738" s="1079"/>
      <c r="V738" s="1084"/>
    </row>
    <row r="739" spans="1:22" s="1082" customFormat="1" ht="24" customHeight="1">
      <c r="A739" s="1075">
        <v>720</v>
      </c>
      <c r="B739" s="1075"/>
      <c r="C739" s="1075"/>
      <c r="D739" s="1075"/>
      <c r="E739" s="1075" t="s">
        <v>10767</v>
      </c>
      <c r="F739" s="1076"/>
      <c r="G739" s="1075" t="s">
        <v>9065</v>
      </c>
      <c r="H739" s="1075" t="s">
        <v>9065</v>
      </c>
      <c r="I739" s="1075" t="s">
        <v>7174</v>
      </c>
      <c r="J739" s="1075"/>
      <c r="K739" s="1075"/>
      <c r="L739" s="1075" t="s">
        <v>9888</v>
      </c>
      <c r="M739" s="1077" t="s">
        <v>7173</v>
      </c>
      <c r="N739" s="1078">
        <v>6512400</v>
      </c>
      <c r="O739" s="1078"/>
      <c r="P739" s="1078"/>
      <c r="Q739" s="1079"/>
      <c r="V739" s="1084"/>
    </row>
    <row r="740" spans="1:22" s="1082" customFormat="1" ht="24" customHeight="1">
      <c r="A740" s="1075">
        <v>721</v>
      </c>
      <c r="B740" s="1075"/>
      <c r="C740" s="1075"/>
      <c r="D740" s="1075"/>
      <c r="E740" s="1075" t="s">
        <v>10768</v>
      </c>
      <c r="F740" s="1076"/>
      <c r="G740" s="1075" t="s">
        <v>9065</v>
      </c>
      <c r="H740" s="1075" t="s">
        <v>9065</v>
      </c>
      <c r="I740" s="1075" t="s">
        <v>7176</v>
      </c>
      <c r="J740" s="1075"/>
      <c r="K740" s="1075"/>
      <c r="L740" s="1075" t="s">
        <v>9888</v>
      </c>
      <c r="M740" s="1077" t="s">
        <v>7175</v>
      </c>
      <c r="N740" s="1078">
        <v>6512400</v>
      </c>
      <c r="O740" s="1078"/>
      <c r="P740" s="1078"/>
      <c r="Q740" s="1079"/>
      <c r="V740" s="1084"/>
    </row>
    <row r="741" spans="1:22" s="1082" customFormat="1" ht="24" customHeight="1">
      <c r="A741" s="1075">
        <v>722</v>
      </c>
      <c r="B741" s="1075"/>
      <c r="C741" s="1075"/>
      <c r="D741" s="1075"/>
      <c r="E741" s="1075" t="s">
        <v>10770</v>
      </c>
      <c r="F741" s="1076"/>
      <c r="G741" s="1075" t="s">
        <v>9065</v>
      </c>
      <c r="H741" s="1075" t="s">
        <v>9065</v>
      </c>
      <c r="I741" s="1075" t="s">
        <v>7180</v>
      </c>
      <c r="J741" s="1075"/>
      <c r="K741" s="1075"/>
      <c r="L741" s="1075" t="s">
        <v>9888</v>
      </c>
      <c r="M741" s="1077" t="s">
        <v>7179</v>
      </c>
      <c r="N741" s="1078">
        <v>6512400</v>
      </c>
      <c r="O741" s="1078"/>
      <c r="P741" s="1078"/>
      <c r="Q741" s="1079"/>
      <c r="V741" s="1084"/>
    </row>
    <row r="742" spans="1:22" s="1082" customFormat="1" ht="24" customHeight="1">
      <c r="A742" s="1075">
        <v>723</v>
      </c>
      <c r="B742" s="1075"/>
      <c r="C742" s="1075"/>
      <c r="D742" s="1075"/>
      <c r="E742" s="1075" t="s">
        <v>10772</v>
      </c>
      <c r="F742" s="1076"/>
      <c r="G742" s="1075" t="s">
        <v>9065</v>
      </c>
      <c r="H742" s="1075" t="s">
        <v>9065</v>
      </c>
      <c r="I742" s="1075" t="s">
        <v>7184</v>
      </c>
      <c r="J742" s="1075"/>
      <c r="K742" s="1075"/>
      <c r="L742" s="1075" t="s">
        <v>9888</v>
      </c>
      <c r="M742" s="1077" t="s">
        <v>7183</v>
      </c>
      <c r="N742" s="1078">
        <v>6512400</v>
      </c>
      <c r="O742" s="1078"/>
      <c r="P742" s="1078"/>
      <c r="Q742" s="1079"/>
      <c r="V742" s="1084"/>
    </row>
    <row r="743" spans="1:22" s="1082" customFormat="1" ht="24" customHeight="1">
      <c r="A743" s="1075">
        <v>724</v>
      </c>
      <c r="B743" s="1075"/>
      <c r="C743" s="1075"/>
      <c r="D743" s="1075"/>
      <c r="E743" s="1075" t="s">
        <v>10773</v>
      </c>
      <c r="F743" s="1076"/>
      <c r="G743" s="1075" t="s">
        <v>9065</v>
      </c>
      <c r="H743" s="1075" t="s">
        <v>9065</v>
      </c>
      <c r="I743" s="1075" t="s">
        <v>7186</v>
      </c>
      <c r="J743" s="1075"/>
      <c r="K743" s="1075"/>
      <c r="L743" s="1075" t="s">
        <v>9888</v>
      </c>
      <c r="M743" s="1077" t="s">
        <v>7185</v>
      </c>
      <c r="N743" s="1078">
        <v>6512400</v>
      </c>
      <c r="O743" s="1078"/>
      <c r="P743" s="1078"/>
      <c r="Q743" s="1079"/>
      <c r="V743" s="1084"/>
    </row>
    <row r="744" spans="1:22" s="1082" customFormat="1" ht="24" customHeight="1">
      <c r="A744" s="1075">
        <v>725</v>
      </c>
      <c r="B744" s="1075"/>
      <c r="C744" s="1075"/>
      <c r="D744" s="1075"/>
      <c r="E744" s="1075" t="s">
        <v>10774</v>
      </c>
      <c r="F744" s="1076"/>
      <c r="G744" s="1075" t="s">
        <v>9065</v>
      </c>
      <c r="H744" s="1075" t="s">
        <v>9065</v>
      </c>
      <c r="I744" s="1075" t="s">
        <v>7188</v>
      </c>
      <c r="J744" s="1075"/>
      <c r="K744" s="1075"/>
      <c r="L744" s="1075" t="s">
        <v>9888</v>
      </c>
      <c r="M744" s="1077" t="s">
        <v>7187</v>
      </c>
      <c r="N744" s="1078">
        <v>6512400</v>
      </c>
      <c r="O744" s="1078"/>
      <c r="P744" s="1078"/>
      <c r="Q744" s="1079"/>
      <c r="V744" s="1084"/>
    </row>
    <row r="745" spans="1:22" s="1082" customFormat="1" ht="24" customHeight="1">
      <c r="A745" s="1075">
        <v>726</v>
      </c>
      <c r="B745" s="1075"/>
      <c r="C745" s="1075"/>
      <c r="D745" s="1075"/>
      <c r="E745" s="1075" t="s">
        <v>10775</v>
      </c>
      <c r="F745" s="1076"/>
      <c r="G745" s="1075" t="s">
        <v>9065</v>
      </c>
      <c r="H745" s="1075" t="s">
        <v>9065</v>
      </c>
      <c r="I745" s="1075" t="s">
        <v>7190</v>
      </c>
      <c r="J745" s="1075"/>
      <c r="K745" s="1075"/>
      <c r="L745" s="1075" t="s">
        <v>9888</v>
      </c>
      <c r="M745" s="1077" t="s">
        <v>7189</v>
      </c>
      <c r="N745" s="1078">
        <v>6512400</v>
      </c>
      <c r="O745" s="1078"/>
      <c r="P745" s="1078"/>
      <c r="Q745" s="1079"/>
      <c r="V745" s="1084"/>
    </row>
    <row r="746" spans="1:22" s="1082" customFormat="1" ht="24" customHeight="1">
      <c r="A746" s="1075">
        <v>727</v>
      </c>
      <c r="B746" s="1075"/>
      <c r="C746" s="1075"/>
      <c r="D746" s="1075"/>
      <c r="E746" s="1075" t="s">
        <v>10776</v>
      </c>
      <c r="F746" s="1076"/>
      <c r="G746" s="1075" t="s">
        <v>9065</v>
      </c>
      <c r="H746" s="1075" t="s">
        <v>9065</v>
      </c>
      <c r="I746" s="1075" t="s">
        <v>7192</v>
      </c>
      <c r="J746" s="1075"/>
      <c r="K746" s="1075"/>
      <c r="L746" s="1075" t="s">
        <v>9888</v>
      </c>
      <c r="M746" s="1077" t="s">
        <v>7191</v>
      </c>
      <c r="N746" s="1078">
        <v>6512400</v>
      </c>
      <c r="O746" s="1078"/>
      <c r="P746" s="1078"/>
      <c r="Q746" s="1079"/>
      <c r="V746" s="1084"/>
    </row>
    <row r="747" spans="1:22" s="1082" customFormat="1" ht="24" customHeight="1">
      <c r="A747" s="1075">
        <v>728</v>
      </c>
      <c r="B747" s="1075"/>
      <c r="C747" s="1075"/>
      <c r="D747" s="1075"/>
      <c r="E747" s="1075" t="s">
        <v>10777</v>
      </c>
      <c r="F747" s="1076"/>
      <c r="G747" s="1075" t="s">
        <v>9065</v>
      </c>
      <c r="H747" s="1075" t="s">
        <v>9065</v>
      </c>
      <c r="I747" s="1075" t="s">
        <v>7194</v>
      </c>
      <c r="J747" s="1075"/>
      <c r="K747" s="1075"/>
      <c r="L747" s="1075" t="s">
        <v>9888</v>
      </c>
      <c r="M747" s="1077" t="s">
        <v>7193</v>
      </c>
      <c r="N747" s="1078">
        <v>6512400</v>
      </c>
      <c r="O747" s="1078"/>
      <c r="P747" s="1078"/>
      <c r="Q747" s="1079"/>
      <c r="V747" s="1084"/>
    </row>
    <row r="748" spans="1:22" s="1082" customFormat="1" ht="24" customHeight="1">
      <c r="A748" s="1075">
        <v>729</v>
      </c>
      <c r="B748" s="1075"/>
      <c r="C748" s="1075"/>
      <c r="D748" s="1075"/>
      <c r="E748" s="1075" t="s">
        <v>10778</v>
      </c>
      <c r="F748" s="1076"/>
      <c r="G748" s="1075" t="s">
        <v>9065</v>
      </c>
      <c r="H748" s="1075" t="s">
        <v>9065</v>
      </c>
      <c r="I748" s="1075" t="s">
        <v>7196</v>
      </c>
      <c r="J748" s="1075"/>
      <c r="K748" s="1075"/>
      <c r="L748" s="1075" t="s">
        <v>9888</v>
      </c>
      <c r="M748" s="1077" t="s">
        <v>7195</v>
      </c>
      <c r="N748" s="1078">
        <v>6512400</v>
      </c>
      <c r="O748" s="1078"/>
      <c r="P748" s="1078"/>
      <c r="Q748" s="1079"/>
      <c r="V748" s="1084"/>
    </row>
    <row r="749" spans="1:22" s="1082" customFormat="1" ht="24" customHeight="1">
      <c r="A749" s="1075">
        <v>730</v>
      </c>
      <c r="B749" s="1075"/>
      <c r="C749" s="1075"/>
      <c r="D749" s="1075"/>
      <c r="E749" s="1075" t="s">
        <v>10779</v>
      </c>
      <c r="F749" s="1076"/>
      <c r="G749" s="1075" t="s">
        <v>9065</v>
      </c>
      <c r="H749" s="1075" t="s">
        <v>9065</v>
      </c>
      <c r="I749" s="1075" t="s">
        <v>7198</v>
      </c>
      <c r="J749" s="1075"/>
      <c r="K749" s="1075"/>
      <c r="L749" s="1075" t="s">
        <v>9888</v>
      </c>
      <c r="M749" s="1077" t="s">
        <v>7197</v>
      </c>
      <c r="N749" s="1078">
        <v>6512400</v>
      </c>
      <c r="O749" s="1078"/>
      <c r="P749" s="1078"/>
      <c r="Q749" s="1079"/>
      <c r="V749" s="1084"/>
    </row>
    <row r="750" spans="1:22" s="1082" customFormat="1" ht="24" customHeight="1">
      <c r="A750" s="1075">
        <v>731</v>
      </c>
      <c r="B750" s="1075"/>
      <c r="C750" s="1075"/>
      <c r="D750" s="1075"/>
      <c r="E750" s="1075" t="s">
        <v>10780</v>
      </c>
      <c r="F750" s="1076"/>
      <c r="G750" s="1075" t="s">
        <v>9065</v>
      </c>
      <c r="H750" s="1075" t="s">
        <v>9065</v>
      </c>
      <c r="I750" s="1075" t="s">
        <v>7200</v>
      </c>
      <c r="J750" s="1075"/>
      <c r="K750" s="1075"/>
      <c r="L750" s="1075" t="s">
        <v>9888</v>
      </c>
      <c r="M750" s="1077" t="s">
        <v>7199</v>
      </c>
      <c r="N750" s="1078">
        <v>6512400</v>
      </c>
      <c r="O750" s="1078"/>
      <c r="P750" s="1078"/>
      <c r="Q750" s="1079"/>
      <c r="V750" s="1084"/>
    </row>
    <row r="751" spans="1:22" s="1082" customFormat="1" ht="24" customHeight="1">
      <c r="A751" s="1075">
        <v>732</v>
      </c>
      <c r="B751" s="1075"/>
      <c r="C751" s="1075"/>
      <c r="D751" s="1075"/>
      <c r="E751" s="1075" t="s">
        <v>10781</v>
      </c>
      <c r="F751" s="1076"/>
      <c r="G751" s="1075" t="s">
        <v>9065</v>
      </c>
      <c r="H751" s="1075" t="s">
        <v>9065</v>
      </c>
      <c r="I751" s="1075" t="s">
        <v>7202</v>
      </c>
      <c r="J751" s="1075"/>
      <c r="K751" s="1075"/>
      <c r="L751" s="1075" t="s">
        <v>9888</v>
      </c>
      <c r="M751" s="1077" t="s">
        <v>7201</v>
      </c>
      <c r="N751" s="1078">
        <v>6512400</v>
      </c>
      <c r="O751" s="1078"/>
      <c r="P751" s="1078"/>
      <c r="Q751" s="1079"/>
      <c r="V751" s="1084"/>
    </row>
    <row r="752" spans="1:22" s="1082" customFormat="1" ht="24" customHeight="1">
      <c r="A752" s="1075">
        <v>733</v>
      </c>
      <c r="B752" s="1075"/>
      <c r="C752" s="1075"/>
      <c r="D752" s="1075"/>
      <c r="E752" s="1075" t="s">
        <v>10782</v>
      </c>
      <c r="F752" s="1076"/>
      <c r="G752" s="1075" t="s">
        <v>9065</v>
      </c>
      <c r="H752" s="1075" t="s">
        <v>9065</v>
      </c>
      <c r="I752" s="1075" t="s">
        <v>7204</v>
      </c>
      <c r="J752" s="1075"/>
      <c r="K752" s="1075"/>
      <c r="L752" s="1075" t="s">
        <v>9888</v>
      </c>
      <c r="M752" s="1077" t="s">
        <v>7203</v>
      </c>
      <c r="N752" s="1078">
        <v>6512400</v>
      </c>
      <c r="O752" s="1078"/>
      <c r="P752" s="1078"/>
      <c r="Q752" s="1079"/>
      <c r="V752" s="1084"/>
    </row>
    <row r="753" spans="1:22" s="1082" customFormat="1" ht="24" customHeight="1">
      <c r="A753" s="1075">
        <v>734</v>
      </c>
      <c r="B753" s="1075"/>
      <c r="C753" s="1075"/>
      <c r="D753" s="1075"/>
      <c r="E753" s="1075" t="s">
        <v>10783</v>
      </c>
      <c r="F753" s="1076"/>
      <c r="G753" s="1075" t="s">
        <v>9065</v>
      </c>
      <c r="H753" s="1075" t="s">
        <v>9065</v>
      </c>
      <c r="I753" s="1075" t="s">
        <v>7206</v>
      </c>
      <c r="J753" s="1075"/>
      <c r="K753" s="1075"/>
      <c r="L753" s="1075" t="s">
        <v>9888</v>
      </c>
      <c r="M753" s="1077" t="s">
        <v>7205</v>
      </c>
      <c r="N753" s="1078">
        <v>6512400</v>
      </c>
      <c r="O753" s="1078"/>
      <c r="P753" s="1078"/>
      <c r="Q753" s="1079"/>
      <c r="V753" s="1084"/>
    </row>
    <row r="754" spans="1:22" s="1082" customFormat="1" ht="24" customHeight="1">
      <c r="A754" s="1075">
        <v>735</v>
      </c>
      <c r="B754" s="1075" t="s">
        <v>423</v>
      </c>
      <c r="C754" s="1075"/>
      <c r="D754" s="1075"/>
      <c r="E754" s="1075" t="s">
        <v>10784</v>
      </c>
      <c r="F754" s="1076"/>
      <c r="G754" s="1075" t="s">
        <v>9065</v>
      </c>
      <c r="H754" s="1075" t="s">
        <v>9065</v>
      </c>
      <c r="I754" s="1075" t="s">
        <v>5829</v>
      </c>
      <c r="J754" s="1075" t="s">
        <v>12121</v>
      </c>
      <c r="K754" s="1075" t="s">
        <v>12122</v>
      </c>
      <c r="L754" s="1075" t="s">
        <v>5130</v>
      </c>
      <c r="M754" s="1077" t="s">
        <v>5828</v>
      </c>
      <c r="N754" s="1078">
        <v>6512400</v>
      </c>
      <c r="O754" s="1078" t="s">
        <v>12123</v>
      </c>
      <c r="P754" s="1078"/>
      <c r="Q754" s="1079"/>
      <c r="V754" s="1084"/>
    </row>
    <row r="755" spans="1:22" s="1082" customFormat="1" ht="24" customHeight="1">
      <c r="A755" s="1075">
        <v>736</v>
      </c>
      <c r="B755" s="1075"/>
      <c r="C755" s="1075"/>
      <c r="D755" s="1075"/>
      <c r="E755" s="1075" t="s">
        <v>10785</v>
      </c>
      <c r="F755" s="1076"/>
      <c r="G755" s="1075" t="s">
        <v>9065</v>
      </c>
      <c r="H755" s="1075" t="s">
        <v>9065</v>
      </c>
      <c r="I755" s="1075" t="s">
        <v>7208</v>
      </c>
      <c r="J755" s="1075"/>
      <c r="K755" s="1075"/>
      <c r="L755" s="1075" t="s">
        <v>9888</v>
      </c>
      <c r="M755" s="1077" t="s">
        <v>7207</v>
      </c>
      <c r="N755" s="1078">
        <v>6512400</v>
      </c>
      <c r="O755" s="1078"/>
      <c r="P755" s="1078"/>
      <c r="Q755" s="1079"/>
      <c r="V755" s="1084"/>
    </row>
    <row r="756" spans="1:22" s="1082" customFormat="1" ht="24" customHeight="1">
      <c r="A756" s="1075">
        <v>737</v>
      </c>
      <c r="B756" s="1075"/>
      <c r="C756" s="1075"/>
      <c r="D756" s="1075"/>
      <c r="E756" s="1075" t="s">
        <v>10786</v>
      </c>
      <c r="F756" s="1076"/>
      <c r="G756" s="1075" t="s">
        <v>9065</v>
      </c>
      <c r="H756" s="1075" t="s">
        <v>9065</v>
      </c>
      <c r="I756" s="1075" t="s">
        <v>7209</v>
      </c>
      <c r="J756" s="1075"/>
      <c r="K756" s="1075"/>
      <c r="L756" s="1075" t="s">
        <v>9888</v>
      </c>
      <c r="M756" s="1077" t="s">
        <v>7185</v>
      </c>
      <c r="N756" s="1078">
        <v>6512400</v>
      </c>
      <c r="O756" s="1078"/>
      <c r="P756" s="1078"/>
      <c r="Q756" s="1079"/>
      <c r="V756" s="1084"/>
    </row>
    <row r="757" spans="1:22" s="1082" customFormat="1" ht="24" customHeight="1">
      <c r="A757" s="1075">
        <v>738</v>
      </c>
      <c r="B757" s="1075"/>
      <c r="C757" s="1075"/>
      <c r="D757" s="1075"/>
      <c r="E757" s="1075" t="s">
        <v>10787</v>
      </c>
      <c r="F757" s="1076"/>
      <c r="G757" s="1075" t="s">
        <v>9065</v>
      </c>
      <c r="H757" s="1075" t="s">
        <v>9065</v>
      </c>
      <c r="I757" s="1075" t="s">
        <v>7211</v>
      </c>
      <c r="J757" s="1075"/>
      <c r="K757" s="1075"/>
      <c r="L757" s="1075" t="s">
        <v>9888</v>
      </c>
      <c r="M757" s="1077" t="s">
        <v>7210</v>
      </c>
      <c r="N757" s="1078">
        <v>6512400</v>
      </c>
      <c r="O757" s="1078"/>
      <c r="P757" s="1078"/>
      <c r="Q757" s="1079"/>
      <c r="V757" s="1084"/>
    </row>
    <row r="758" spans="1:22" s="1082" customFormat="1" ht="24" customHeight="1">
      <c r="A758" s="1075">
        <v>739</v>
      </c>
      <c r="B758" s="1075"/>
      <c r="C758" s="1075"/>
      <c r="D758" s="1075"/>
      <c r="E758" s="1075" t="s">
        <v>10788</v>
      </c>
      <c r="F758" s="1076"/>
      <c r="G758" s="1075" t="s">
        <v>9065</v>
      </c>
      <c r="H758" s="1075" t="s">
        <v>9065</v>
      </c>
      <c r="I758" s="1075" t="s">
        <v>7213</v>
      </c>
      <c r="J758" s="1075"/>
      <c r="K758" s="1075"/>
      <c r="L758" s="1075" t="s">
        <v>9888</v>
      </c>
      <c r="M758" s="1077" t="s">
        <v>7212</v>
      </c>
      <c r="N758" s="1078">
        <v>6512400</v>
      </c>
      <c r="O758" s="1078"/>
      <c r="P758" s="1078"/>
      <c r="Q758" s="1079"/>
      <c r="V758" s="1084"/>
    </row>
    <row r="759" spans="1:22" s="1082" customFormat="1" ht="24" customHeight="1">
      <c r="A759" s="1075">
        <v>740</v>
      </c>
      <c r="B759" s="1075"/>
      <c r="C759" s="1075"/>
      <c r="D759" s="1075"/>
      <c r="E759" s="1075" t="s">
        <v>10789</v>
      </c>
      <c r="F759" s="1076"/>
      <c r="G759" s="1075" t="s">
        <v>9065</v>
      </c>
      <c r="H759" s="1075" t="s">
        <v>9065</v>
      </c>
      <c r="I759" s="1075" t="s">
        <v>7215</v>
      </c>
      <c r="J759" s="1075"/>
      <c r="K759" s="1075"/>
      <c r="L759" s="1075" t="s">
        <v>9888</v>
      </c>
      <c r="M759" s="1077" t="s">
        <v>7214</v>
      </c>
      <c r="N759" s="1078">
        <v>6512400</v>
      </c>
      <c r="O759" s="1078"/>
      <c r="P759" s="1078"/>
      <c r="Q759" s="1079"/>
      <c r="V759" s="1084"/>
    </row>
    <row r="760" spans="1:22" s="1082" customFormat="1" ht="24" customHeight="1">
      <c r="A760" s="1075">
        <v>741</v>
      </c>
      <c r="B760" s="1075"/>
      <c r="C760" s="1075"/>
      <c r="D760" s="1075"/>
      <c r="E760" s="1075" t="s">
        <v>10790</v>
      </c>
      <c r="F760" s="1076"/>
      <c r="G760" s="1075" t="s">
        <v>9065</v>
      </c>
      <c r="H760" s="1075" t="s">
        <v>9065</v>
      </c>
      <c r="I760" s="1075" t="s">
        <v>7217</v>
      </c>
      <c r="J760" s="1075"/>
      <c r="K760" s="1075"/>
      <c r="L760" s="1075" t="s">
        <v>9888</v>
      </c>
      <c r="M760" s="1077" t="s">
        <v>7216</v>
      </c>
      <c r="N760" s="1078">
        <v>6512400</v>
      </c>
      <c r="O760" s="1078"/>
      <c r="P760" s="1078"/>
      <c r="Q760" s="1079"/>
      <c r="V760" s="1084"/>
    </row>
    <row r="761" spans="1:22" s="1082" customFormat="1" ht="24" customHeight="1">
      <c r="A761" s="1075">
        <v>742</v>
      </c>
      <c r="B761" s="1075"/>
      <c r="C761" s="1075"/>
      <c r="D761" s="1075"/>
      <c r="E761" s="1075" t="s">
        <v>10791</v>
      </c>
      <c r="F761" s="1076"/>
      <c r="G761" s="1075" t="s">
        <v>9065</v>
      </c>
      <c r="H761" s="1075" t="s">
        <v>9065</v>
      </c>
      <c r="I761" s="1075" t="s">
        <v>7219</v>
      </c>
      <c r="J761" s="1075"/>
      <c r="K761" s="1075"/>
      <c r="L761" s="1075" t="s">
        <v>9888</v>
      </c>
      <c r="M761" s="1077" t="s">
        <v>7218</v>
      </c>
      <c r="N761" s="1078">
        <v>6512400</v>
      </c>
      <c r="O761" s="1078"/>
      <c r="P761" s="1078"/>
      <c r="Q761" s="1079"/>
      <c r="V761" s="1084"/>
    </row>
    <row r="762" spans="1:22" s="1082" customFormat="1" ht="24" customHeight="1">
      <c r="A762" s="1075">
        <v>743</v>
      </c>
      <c r="B762" s="1075"/>
      <c r="C762" s="1075"/>
      <c r="D762" s="1075"/>
      <c r="E762" s="1075" t="s">
        <v>10792</v>
      </c>
      <c r="F762" s="1076"/>
      <c r="G762" s="1075" t="s">
        <v>9065</v>
      </c>
      <c r="H762" s="1075" t="s">
        <v>9065</v>
      </c>
      <c r="I762" s="1075" t="s">
        <v>7221</v>
      </c>
      <c r="J762" s="1075"/>
      <c r="K762" s="1075"/>
      <c r="L762" s="1075" t="s">
        <v>9888</v>
      </c>
      <c r="M762" s="1077" t="s">
        <v>7220</v>
      </c>
      <c r="N762" s="1078">
        <v>6512400</v>
      </c>
      <c r="O762" s="1078"/>
      <c r="P762" s="1078"/>
      <c r="Q762" s="1079"/>
      <c r="V762" s="1084"/>
    </row>
    <row r="763" spans="1:22" s="1082" customFormat="1" ht="24" customHeight="1">
      <c r="A763" s="1075">
        <v>744</v>
      </c>
      <c r="B763" s="1075"/>
      <c r="C763" s="1075"/>
      <c r="D763" s="1075"/>
      <c r="E763" s="1075" t="s">
        <v>10794</v>
      </c>
      <c r="F763" s="1076"/>
      <c r="G763" s="1075" t="s">
        <v>9065</v>
      </c>
      <c r="H763" s="1075" t="s">
        <v>9065</v>
      </c>
      <c r="I763" s="1075" t="s">
        <v>7223</v>
      </c>
      <c r="J763" s="1075"/>
      <c r="K763" s="1075"/>
      <c r="L763" s="1075" t="s">
        <v>9888</v>
      </c>
      <c r="M763" s="1077" t="s">
        <v>7222</v>
      </c>
      <c r="N763" s="1078">
        <v>6512400</v>
      </c>
      <c r="O763" s="1078"/>
      <c r="P763" s="1078"/>
      <c r="Q763" s="1079"/>
      <c r="V763" s="1084"/>
    </row>
    <row r="764" spans="1:22" s="1082" customFormat="1" ht="24" customHeight="1">
      <c r="A764" s="1075">
        <v>745</v>
      </c>
      <c r="B764" s="1075"/>
      <c r="C764" s="1075"/>
      <c r="D764" s="1075"/>
      <c r="E764" s="1075" t="s">
        <v>10795</v>
      </c>
      <c r="F764" s="1076"/>
      <c r="G764" s="1075" t="s">
        <v>9065</v>
      </c>
      <c r="H764" s="1075" t="s">
        <v>9065</v>
      </c>
      <c r="I764" s="1075" t="s">
        <v>7225</v>
      </c>
      <c r="J764" s="1075"/>
      <c r="K764" s="1075"/>
      <c r="L764" s="1075" t="s">
        <v>9888</v>
      </c>
      <c r="M764" s="1077" t="s">
        <v>7224</v>
      </c>
      <c r="N764" s="1078">
        <v>6512400</v>
      </c>
      <c r="O764" s="1078"/>
      <c r="P764" s="1078"/>
      <c r="Q764" s="1079"/>
      <c r="V764" s="1084"/>
    </row>
    <row r="765" spans="1:22" s="1082" customFormat="1" ht="24" customHeight="1">
      <c r="A765" s="1075">
        <v>746</v>
      </c>
      <c r="B765" s="1075"/>
      <c r="C765" s="1075"/>
      <c r="D765" s="1075"/>
      <c r="E765" s="1075" t="s">
        <v>10796</v>
      </c>
      <c r="F765" s="1076"/>
      <c r="G765" s="1075" t="s">
        <v>9065</v>
      </c>
      <c r="H765" s="1075" t="s">
        <v>9065</v>
      </c>
      <c r="I765" s="1075" t="s">
        <v>7227</v>
      </c>
      <c r="J765" s="1075"/>
      <c r="K765" s="1075"/>
      <c r="L765" s="1075" t="s">
        <v>9888</v>
      </c>
      <c r="M765" s="1077" t="s">
        <v>7226</v>
      </c>
      <c r="N765" s="1078">
        <v>6512400</v>
      </c>
      <c r="O765" s="1078"/>
      <c r="P765" s="1078"/>
      <c r="Q765" s="1079"/>
      <c r="V765" s="1084"/>
    </row>
    <row r="766" spans="1:22" s="1082" customFormat="1" ht="24" customHeight="1">
      <c r="A766" s="1075">
        <v>747</v>
      </c>
      <c r="B766" s="1075"/>
      <c r="C766" s="1075"/>
      <c r="D766" s="1075"/>
      <c r="E766" s="1075" t="s">
        <v>10797</v>
      </c>
      <c r="F766" s="1076"/>
      <c r="G766" s="1075" t="s">
        <v>9065</v>
      </c>
      <c r="H766" s="1075" t="s">
        <v>9065</v>
      </c>
      <c r="I766" s="1075" t="s">
        <v>7229</v>
      </c>
      <c r="J766" s="1075"/>
      <c r="K766" s="1075"/>
      <c r="L766" s="1075" t="s">
        <v>9888</v>
      </c>
      <c r="M766" s="1077" t="s">
        <v>7228</v>
      </c>
      <c r="N766" s="1078">
        <v>6512400</v>
      </c>
      <c r="O766" s="1078"/>
      <c r="P766" s="1078"/>
      <c r="Q766" s="1079"/>
      <c r="V766" s="1084"/>
    </row>
    <row r="767" spans="1:22" s="1082" customFormat="1" ht="24" customHeight="1">
      <c r="A767" s="1075">
        <v>748</v>
      </c>
      <c r="B767" s="1075"/>
      <c r="C767" s="1075"/>
      <c r="D767" s="1075"/>
      <c r="E767" s="1075" t="s">
        <v>10798</v>
      </c>
      <c r="F767" s="1076"/>
      <c r="G767" s="1075" t="s">
        <v>9065</v>
      </c>
      <c r="H767" s="1075" t="s">
        <v>9065</v>
      </c>
      <c r="I767" s="1075" t="s">
        <v>7231</v>
      </c>
      <c r="J767" s="1075"/>
      <c r="K767" s="1075"/>
      <c r="L767" s="1075" t="s">
        <v>9888</v>
      </c>
      <c r="M767" s="1077" t="s">
        <v>7230</v>
      </c>
      <c r="N767" s="1078">
        <v>6512400</v>
      </c>
      <c r="O767" s="1078"/>
      <c r="P767" s="1078"/>
      <c r="Q767" s="1079"/>
      <c r="V767" s="1084"/>
    </row>
    <row r="768" spans="1:22" s="1082" customFormat="1" ht="24" customHeight="1">
      <c r="A768" s="1075">
        <v>749</v>
      </c>
      <c r="B768" s="1075"/>
      <c r="C768" s="1075"/>
      <c r="D768" s="1075"/>
      <c r="E768" s="1075" t="s">
        <v>10799</v>
      </c>
      <c r="F768" s="1076"/>
      <c r="G768" s="1075" t="s">
        <v>9065</v>
      </c>
      <c r="H768" s="1075" t="s">
        <v>9065</v>
      </c>
      <c r="I768" s="1075" t="s">
        <v>7233</v>
      </c>
      <c r="J768" s="1075"/>
      <c r="K768" s="1075"/>
      <c r="L768" s="1075" t="s">
        <v>9888</v>
      </c>
      <c r="M768" s="1077" t="s">
        <v>7232</v>
      </c>
      <c r="N768" s="1078">
        <v>6512400</v>
      </c>
      <c r="O768" s="1078"/>
      <c r="P768" s="1078"/>
      <c r="Q768" s="1079"/>
      <c r="V768" s="1084"/>
    </row>
    <row r="769" spans="1:22" s="1082" customFormat="1" ht="24" customHeight="1">
      <c r="A769" s="1075">
        <v>750</v>
      </c>
      <c r="B769" s="1075"/>
      <c r="C769" s="1075"/>
      <c r="D769" s="1075"/>
      <c r="E769" s="1075" t="s">
        <v>10801</v>
      </c>
      <c r="F769" s="1076"/>
      <c r="G769" s="1075" t="s">
        <v>9065</v>
      </c>
      <c r="H769" s="1075" t="s">
        <v>9065</v>
      </c>
      <c r="I769" s="1075" t="s">
        <v>7235</v>
      </c>
      <c r="J769" s="1075"/>
      <c r="K769" s="1075"/>
      <c r="L769" s="1075" t="s">
        <v>9888</v>
      </c>
      <c r="M769" s="1077" t="s">
        <v>7234</v>
      </c>
      <c r="N769" s="1078">
        <v>6512400</v>
      </c>
      <c r="O769" s="1078"/>
      <c r="P769" s="1078"/>
      <c r="Q769" s="1079"/>
      <c r="V769" s="1084"/>
    </row>
    <row r="770" spans="1:22" s="1082" customFormat="1" ht="24" customHeight="1">
      <c r="A770" s="1075">
        <v>751</v>
      </c>
      <c r="B770" s="1075"/>
      <c r="C770" s="1075"/>
      <c r="D770" s="1075"/>
      <c r="E770" s="1075" t="s">
        <v>10802</v>
      </c>
      <c r="F770" s="1076"/>
      <c r="G770" s="1075" t="s">
        <v>9065</v>
      </c>
      <c r="H770" s="1075" t="s">
        <v>9065</v>
      </c>
      <c r="I770" s="1075" t="s">
        <v>7237</v>
      </c>
      <c r="J770" s="1075"/>
      <c r="K770" s="1075"/>
      <c r="L770" s="1075" t="s">
        <v>9888</v>
      </c>
      <c r="M770" s="1077" t="s">
        <v>7236</v>
      </c>
      <c r="N770" s="1078">
        <v>6512400</v>
      </c>
      <c r="O770" s="1078"/>
      <c r="P770" s="1078"/>
      <c r="Q770" s="1079"/>
      <c r="V770" s="1084"/>
    </row>
    <row r="771" spans="1:22" s="1082" customFormat="1" ht="24" customHeight="1">
      <c r="A771" s="1075">
        <v>752</v>
      </c>
      <c r="B771" s="1075"/>
      <c r="C771" s="1075"/>
      <c r="D771" s="1075"/>
      <c r="E771" s="1075" t="s">
        <v>10803</v>
      </c>
      <c r="F771" s="1076"/>
      <c r="G771" s="1075" t="s">
        <v>9065</v>
      </c>
      <c r="H771" s="1075" t="s">
        <v>9065</v>
      </c>
      <c r="I771" s="1075" t="s">
        <v>7239</v>
      </c>
      <c r="J771" s="1075"/>
      <c r="K771" s="1075"/>
      <c r="L771" s="1075" t="s">
        <v>9888</v>
      </c>
      <c r="M771" s="1077" t="s">
        <v>7238</v>
      </c>
      <c r="N771" s="1078">
        <v>6512400</v>
      </c>
      <c r="O771" s="1078"/>
      <c r="P771" s="1078"/>
      <c r="Q771" s="1079"/>
      <c r="V771" s="1084"/>
    </row>
    <row r="772" spans="1:22" s="1082" customFormat="1" ht="24" customHeight="1">
      <c r="A772" s="1075">
        <v>753</v>
      </c>
      <c r="B772" s="1075"/>
      <c r="C772" s="1075"/>
      <c r="D772" s="1075"/>
      <c r="E772" s="1075" t="s">
        <v>10804</v>
      </c>
      <c r="F772" s="1076"/>
      <c r="G772" s="1075" t="s">
        <v>9065</v>
      </c>
      <c r="H772" s="1075" t="s">
        <v>9065</v>
      </c>
      <c r="I772" s="1075" t="s">
        <v>7241</v>
      </c>
      <c r="J772" s="1075"/>
      <c r="K772" s="1075"/>
      <c r="L772" s="1075" t="s">
        <v>9888</v>
      </c>
      <c r="M772" s="1077" t="s">
        <v>7240</v>
      </c>
      <c r="N772" s="1078">
        <v>6512400</v>
      </c>
      <c r="O772" s="1078"/>
      <c r="P772" s="1078"/>
      <c r="Q772" s="1079"/>
      <c r="V772" s="1084"/>
    </row>
    <row r="773" spans="1:22" s="1082" customFormat="1" ht="24" customHeight="1">
      <c r="A773" s="1075">
        <v>754</v>
      </c>
      <c r="B773" s="1075" t="s">
        <v>1592</v>
      </c>
      <c r="C773" s="1075"/>
      <c r="D773" s="1075"/>
      <c r="E773" s="1075" t="s">
        <v>10805</v>
      </c>
      <c r="F773" s="1076"/>
      <c r="G773" s="1075" t="s">
        <v>9065</v>
      </c>
      <c r="H773" s="1075" t="s">
        <v>9065</v>
      </c>
      <c r="I773" s="1075" t="s">
        <v>10806</v>
      </c>
      <c r="J773" s="1075" t="s">
        <v>12065</v>
      </c>
      <c r="K773" s="1075" t="s">
        <v>1660</v>
      </c>
      <c r="L773" s="1075" t="s">
        <v>5130</v>
      </c>
      <c r="M773" s="1077" t="s">
        <v>10807</v>
      </c>
      <c r="N773" s="1078">
        <v>6512400</v>
      </c>
      <c r="O773" s="1078" t="s">
        <v>375</v>
      </c>
      <c r="P773" s="1078"/>
      <c r="Q773" s="1079"/>
      <c r="V773" s="1084"/>
    </row>
    <row r="774" spans="1:22" s="1133" customFormat="1" ht="24" customHeight="1">
      <c r="A774" s="1075">
        <v>755</v>
      </c>
      <c r="B774" s="1128" t="s">
        <v>1595</v>
      </c>
      <c r="C774" s="1128"/>
      <c r="D774" s="1128"/>
      <c r="E774" s="1128" t="s">
        <v>15911</v>
      </c>
      <c r="F774" s="1129"/>
      <c r="G774" s="1128" t="s">
        <v>9065</v>
      </c>
      <c r="H774" s="1128" t="s">
        <v>9065</v>
      </c>
      <c r="I774" s="1128" t="s">
        <v>5834</v>
      </c>
      <c r="J774" s="1128"/>
      <c r="K774" s="1128" t="s">
        <v>15912</v>
      </c>
      <c r="L774" s="1128" t="s">
        <v>5130</v>
      </c>
      <c r="M774" s="1130" t="s">
        <v>15913</v>
      </c>
      <c r="N774" s="1131">
        <v>6512400</v>
      </c>
      <c r="O774" s="1131"/>
      <c r="P774" s="1131" t="s">
        <v>16146</v>
      </c>
      <c r="Q774" s="1132" t="s">
        <v>16205</v>
      </c>
      <c r="V774" s="1134"/>
    </row>
    <row r="775" spans="1:22" s="1082" customFormat="1" ht="24" customHeight="1">
      <c r="A775" s="1075">
        <v>756</v>
      </c>
      <c r="B775" s="1075"/>
      <c r="C775" s="1075"/>
      <c r="D775" s="1075"/>
      <c r="E775" s="1075" t="s">
        <v>10809</v>
      </c>
      <c r="F775" s="1076"/>
      <c r="G775" s="1075" t="s">
        <v>9065</v>
      </c>
      <c r="H775" s="1075" t="s">
        <v>9065</v>
      </c>
      <c r="I775" s="1075" t="s">
        <v>7243</v>
      </c>
      <c r="J775" s="1075"/>
      <c r="K775" s="1075"/>
      <c r="L775" s="1075" t="s">
        <v>9888</v>
      </c>
      <c r="M775" s="1077" t="s">
        <v>7242</v>
      </c>
      <c r="N775" s="1078">
        <v>6512400</v>
      </c>
      <c r="O775" s="1078"/>
      <c r="P775" s="1078"/>
      <c r="Q775" s="1079"/>
      <c r="V775" s="1084"/>
    </row>
    <row r="776" spans="1:22" s="1082" customFormat="1" ht="24" customHeight="1">
      <c r="A776" s="1075">
        <v>757</v>
      </c>
      <c r="B776" s="1075"/>
      <c r="C776" s="1075"/>
      <c r="D776" s="1075"/>
      <c r="E776" s="1075" t="s">
        <v>10811</v>
      </c>
      <c r="F776" s="1076"/>
      <c r="G776" s="1075" t="s">
        <v>9065</v>
      </c>
      <c r="H776" s="1075" t="s">
        <v>9065</v>
      </c>
      <c r="I776" s="1075" t="s">
        <v>5836</v>
      </c>
      <c r="J776" s="1075"/>
      <c r="K776" s="1075"/>
      <c r="L776" s="1075" t="s">
        <v>9888</v>
      </c>
      <c r="M776" s="1077" t="s">
        <v>5835</v>
      </c>
      <c r="N776" s="1078">
        <v>6512400</v>
      </c>
      <c r="O776" s="1078"/>
      <c r="P776" s="1078"/>
      <c r="Q776" s="1079"/>
      <c r="V776" s="1084"/>
    </row>
    <row r="777" spans="1:22" s="1082" customFormat="1" ht="24" customHeight="1">
      <c r="A777" s="1075">
        <v>758</v>
      </c>
      <c r="B777" s="1075"/>
      <c r="C777" s="1075"/>
      <c r="D777" s="1075"/>
      <c r="E777" s="1075" t="s">
        <v>10812</v>
      </c>
      <c r="F777" s="1076"/>
      <c r="G777" s="1075" t="s">
        <v>9065</v>
      </c>
      <c r="H777" s="1075" t="s">
        <v>9065</v>
      </c>
      <c r="I777" s="1075" t="s">
        <v>7246</v>
      </c>
      <c r="J777" s="1075"/>
      <c r="K777" s="1075"/>
      <c r="L777" s="1075" t="s">
        <v>9888</v>
      </c>
      <c r="M777" s="1077" t="s">
        <v>7245</v>
      </c>
      <c r="N777" s="1078">
        <v>6512400</v>
      </c>
      <c r="O777" s="1078"/>
      <c r="P777" s="1078"/>
      <c r="Q777" s="1079"/>
      <c r="V777" s="1084"/>
    </row>
    <row r="778" spans="1:22" s="1082" customFormat="1" ht="24" customHeight="1">
      <c r="A778" s="1075">
        <v>759</v>
      </c>
      <c r="B778" s="1075"/>
      <c r="C778" s="1075"/>
      <c r="D778" s="1075"/>
      <c r="E778" s="1075" t="s">
        <v>10813</v>
      </c>
      <c r="F778" s="1076"/>
      <c r="G778" s="1075" t="s">
        <v>9065</v>
      </c>
      <c r="H778" s="1075" t="s">
        <v>9065</v>
      </c>
      <c r="I778" s="1075" t="s">
        <v>7248</v>
      </c>
      <c r="J778" s="1075"/>
      <c r="K778" s="1075"/>
      <c r="L778" s="1075" t="s">
        <v>9888</v>
      </c>
      <c r="M778" s="1077" t="s">
        <v>7247</v>
      </c>
      <c r="N778" s="1078">
        <v>6512400</v>
      </c>
      <c r="O778" s="1078"/>
      <c r="P778" s="1078"/>
      <c r="Q778" s="1079"/>
      <c r="V778" s="1084"/>
    </row>
    <row r="779" spans="1:22" s="1082" customFormat="1" ht="24" customHeight="1">
      <c r="A779" s="1075">
        <v>760</v>
      </c>
      <c r="B779" s="1075"/>
      <c r="C779" s="1075"/>
      <c r="D779" s="1075"/>
      <c r="E779" s="1075" t="s">
        <v>10815</v>
      </c>
      <c r="F779" s="1076"/>
      <c r="G779" s="1075" t="s">
        <v>9065</v>
      </c>
      <c r="H779" s="1075" t="s">
        <v>9065</v>
      </c>
      <c r="I779" s="1075" t="s">
        <v>7252</v>
      </c>
      <c r="J779" s="1075"/>
      <c r="K779" s="1075"/>
      <c r="L779" s="1075" t="s">
        <v>9888</v>
      </c>
      <c r="M779" s="1077" t="s">
        <v>7251</v>
      </c>
      <c r="N779" s="1078">
        <v>6512400</v>
      </c>
      <c r="O779" s="1078"/>
      <c r="P779" s="1078"/>
      <c r="Q779" s="1079"/>
      <c r="V779" s="1084"/>
    </row>
    <row r="780" spans="1:22" s="1082" customFormat="1" ht="24" customHeight="1">
      <c r="A780" s="1075">
        <v>761</v>
      </c>
      <c r="B780" s="1075"/>
      <c r="C780" s="1075"/>
      <c r="D780" s="1075"/>
      <c r="E780" s="1075" t="s">
        <v>10817</v>
      </c>
      <c r="F780" s="1076"/>
      <c r="G780" s="1075" t="s">
        <v>9065</v>
      </c>
      <c r="H780" s="1075" t="s">
        <v>9065</v>
      </c>
      <c r="I780" s="1075" t="s">
        <v>7254</v>
      </c>
      <c r="J780" s="1075"/>
      <c r="K780" s="1075"/>
      <c r="L780" s="1075" t="s">
        <v>9888</v>
      </c>
      <c r="M780" s="1077" t="s">
        <v>7253</v>
      </c>
      <c r="N780" s="1078">
        <v>6512400</v>
      </c>
      <c r="O780" s="1078"/>
      <c r="P780" s="1078"/>
      <c r="Q780" s="1079"/>
      <c r="V780" s="1084"/>
    </row>
    <row r="781" spans="1:22" s="1082" customFormat="1" ht="24" customHeight="1">
      <c r="A781" s="1075">
        <v>762</v>
      </c>
      <c r="B781" s="1075"/>
      <c r="C781" s="1075"/>
      <c r="D781" s="1075"/>
      <c r="E781" s="1075" t="s">
        <v>10818</v>
      </c>
      <c r="F781" s="1076"/>
      <c r="G781" s="1075" t="s">
        <v>9065</v>
      </c>
      <c r="H781" s="1075" t="s">
        <v>9065</v>
      </c>
      <c r="I781" s="1075" t="s">
        <v>7256</v>
      </c>
      <c r="J781" s="1075"/>
      <c r="K781" s="1075"/>
      <c r="L781" s="1075" t="s">
        <v>9888</v>
      </c>
      <c r="M781" s="1077" t="s">
        <v>7255</v>
      </c>
      <c r="N781" s="1078">
        <v>6512400</v>
      </c>
      <c r="O781" s="1078"/>
      <c r="P781" s="1078"/>
      <c r="Q781" s="1079"/>
      <c r="V781" s="1084"/>
    </row>
    <row r="782" spans="1:22" s="1082" customFormat="1" ht="24" customHeight="1">
      <c r="A782" s="1075">
        <v>763</v>
      </c>
      <c r="B782" s="1075"/>
      <c r="C782" s="1075"/>
      <c r="D782" s="1075"/>
      <c r="E782" s="1075" t="s">
        <v>10819</v>
      </c>
      <c r="F782" s="1076"/>
      <c r="G782" s="1075" t="s">
        <v>9065</v>
      </c>
      <c r="H782" s="1075" t="s">
        <v>9065</v>
      </c>
      <c r="I782" s="1075" t="s">
        <v>7258</v>
      </c>
      <c r="J782" s="1075"/>
      <c r="K782" s="1075"/>
      <c r="L782" s="1075" t="s">
        <v>9888</v>
      </c>
      <c r="M782" s="1077" t="s">
        <v>7257</v>
      </c>
      <c r="N782" s="1078">
        <v>6512400</v>
      </c>
      <c r="O782" s="1078"/>
      <c r="P782" s="1078"/>
      <c r="Q782" s="1079"/>
      <c r="V782" s="1084"/>
    </row>
    <row r="783" spans="1:22" s="1082" customFormat="1" ht="24" customHeight="1">
      <c r="A783" s="1075">
        <v>764</v>
      </c>
      <c r="B783" s="1075" t="s">
        <v>1604</v>
      </c>
      <c r="C783" s="1075"/>
      <c r="D783" s="1075"/>
      <c r="E783" s="1075" t="s">
        <v>10821</v>
      </c>
      <c r="F783" s="1076"/>
      <c r="G783" s="1075" t="s">
        <v>9065</v>
      </c>
      <c r="H783" s="1075" t="s">
        <v>9065</v>
      </c>
      <c r="I783" s="1075" t="s">
        <v>5839</v>
      </c>
      <c r="J783" s="1075" t="s">
        <v>12059</v>
      </c>
      <c r="K783" s="1075" t="s">
        <v>2317</v>
      </c>
      <c r="L783" s="1075" t="s">
        <v>5130</v>
      </c>
      <c r="M783" s="1077" t="s">
        <v>5838</v>
      </c>
      <c r="N783" s="1078">
        <v>6512400</v>
      </c>
      <c r="O783" s="1078" t="s">
        <v>375</v>
      </c>
      <c r="P783" s="1078"/>
      <c r="Q783" s="1079"/>
      <c r="V783" s="1084"/>
    </row>
    <row r="784" spans="1:22" s="1082" customFormat="1" ht="24" customHeight="1">
      <c r="A784" s="1075">
        <v>765</v>
      </c>
      <c r="B784" s="1075"/>
      <c r="C784" s="1075"/>
      <c r="D784" s="1075"/>
      <c r="E784" s="1075" t="s">
        <v>10822</v>
      </c>
      <c r="F784" s="1076"/>
      <c r="G784" s="1075" t="s">
        <v>9065</v>
      </c>
      <c r="H784" s="1075" t="s">
        <v>9065</v>
      </c>
      <c r="I784" s="1075" t="s">
        <v>7262</v>
      </c>
      <c r="J784" s="1075"/>
      <c r="K784" s="1075"/>
      <c r="L784" s="1075" t="s">
        <v>9888</v>
      </c>
      <c r="M784" s="1077" t="s">
        <v>7261</v>
      </c>
      <c r="N784" s="1078">
        <v>6512400</v>
      </c>
      <c r="O784" s="1078"/>
      <c r="P784" s="1078"/>
      <c r="Q784" s="1079"/>
      <c r="V784" s="1084"/>
    </row>
    <row r="785" spans="1:22" s="1082" customFormat="1" ht="24" customHeight="1">
      <c r="A785" s="1075">
        <v>766</v>
      </c>
      <c r="B785" s="1075"/>
      <c r="C785" s="1075"/>
      <c r="D785" s="1075"/>
      <c r="E785" s="1075" t="s">
        <v>10823</v>
      </c>
      <c r="F785" s="1076"/>
      <c r="G785" s="1075" t="s">
        <v>9065</v>
      </c>
      <c r="H785" s="1075" t="s">
        <v>9065</v>
      </c>
      <c r="I785" s="1075" t="s">
        <v>7264</v>
      </c>
      <c r="J785" s="1075"/>
      <c r="K785" s="1075"/>
      <c r="L785" s="1075" t="s">
        <v>9888</v>
      </c>
      <c r="M785" s="1077" t="s">
        <v>7263</v>
      </c>
      <c r="N785" s="1078">
        <v>6512400</v>
      </c>
      <c r="O785" s="1078"/>
      <c r="P785" s="1078"/>
      <c r="Q785" s="1079"/>
      <c r="V785" s="1084"/>
    </row>
    <row r="786" spans="1:22" s="1082" customFormat="1" ht="24" customHeight="1">
      <c r="A786" s="1075">
        <v>767</v>
      </c>
      <c r="B786" s="1075"/>
      <c r="C786" s="1075"/>
      <c r="D786" s="1075"/>
      <c r="E786" s="1075" t="s">
        <v>10824</v>
      </c>
      <c r="F786" s="1076"/>
      <c r="G786" s="1075" t="s">
        <v>9065</v>
      </c>
      <c r="H786" s="1075" t="s">
        <v>9065</v>
      </c>
      <c r="I786" s="1075" t="s">
        <v>7266</v>
      </c>
      <c r="J786" s="1075"/>
      <c r="K786" s="1075"/>
      <c r="L786" s="1075" t="s">
        <v>9888</v>
      </c>
      <c r="M786" s="1077" t="s">
        <v>7265</v>
      </c>
      <c r="N786" s="1078">
        <v>6512400</v>
      </c>
      <c r="O786" s="1078"/>
      <c r="P786" s="1078"/>
      <c r="Q786" s="1079"/>
      <c r="V786" s="1084"/>
    </row>
    <row r="787" spans="1:22" s="1082" customFormat="1" ht="24" customHeight="1">
      <c r="A787" s="1075">
        <v>768</v>
      </c>
      <c r="B787" s="1075"/>
      <c r="C787" s="1075"/>
      <c r="D787" s="1075"/>
      <c r="E787" s="1075" t="s">
        <v>10825</v>
      </c>
      <c r="F787" s="1076"/>
      <c r="G787" s="1075" t="s">
        <v>9065</v>
      </c>
      <c r="H787" s="1075" t="s">
        <v>9065</v>
      </c>
      <c r="I787" s="1075" t="s">
        <v>7268</v>
      </c>
      <c r="J787" s="1075"/>
      <c r="K787" s="1075"/>
      <c r="L787" s="1075" t="s">
        <v>9888</v>
      </c>
      <c r="M787" s="1077" t="s">
        <v>7267</v>
      </c>
      <c r="N787" s="1078">
        <v>6512400</v>
      </c>
      <c r="O787" s="1078"/>
      <c r="P787" s="1078"/>
      <c r="Q787" s="1079"/>
      <c r="V787" s="1084"/>
    </row>
    <row r="788" spans="1:22" s="1082" customFormat="1" ht="24" customHeight="1">
      <c r="A788" s="1075">
        <v>769</v>
      </c>
      <c r="B788" s="1075"/>
      <c r="C788" s="1075"/>
      <c r="D788" s="1075"/>
      <c r="E788" s="1075" t="s">
        <v>10826</v>
      </c>
      <c r="F788" s="1076"/>
      <c r="G788" s="1075" t="s">
        <v>9065</v>
      </c>
      <c r="H788" s="1075" t="s">
        <v>9065</v>
      </c>
      <c r="I788" s="1075" t="s">
        <v>7270</v>
      </c>
      <c r="J788" s="1075"/>
      <c r="K788" s="1075"/>
      <c r="L788" s="1075" t="s">
        <v>9888</v>
      </c>
      <c r="M788" s="1077" t="s">
        <v>7269</v>
      </c>
      <c r="N788" s="1078">
        <v>6512400</v>
      </c>
      <c r="O788" s="1078"/>
      <c r="P788" s="1078"/>
      <c r="Q788" s="1079"/>
      <c r="V788" s="1084"/>
    </row>
    <row r="789" spans="1:22" s="1082" customFormat="1" ht="24" customHeight="1">
      <c r="A789" s="1075">
        <v>770</v>
      </c>
      <c r="B789" s="1075"/>
      <c r="C789" s="1075"/>
      <c r="D789" s="1075"/>
      <c r="E789" s="1075" t="s">
        <v>10827</v>
      </c>
      <c r="F789" s="1076"/>
      <c r="G789" s="1075" t="s">
        <v>9065</v>
      </c>
      <c r="H789" s="1075" t="s">
        <v>9065</v>
      </c>
      <c r="I789" s="1075" t="s">
        <v>7272</v>
      </c>
      <c r="J789" s="1075"/>
      <c r="K789" s="1075"/>
      <c r="L789" s="1075" t="s">
        <v>9888</v>
      </c>
      <c r="M789" s="1077" t="s">
        <v>7271</v>
      </c>
      <c r="N789" s="1078">
        <v>6512400</v>
      </c>
      <c r="O789" s="1078"/>
      <c r="P789" s="1078"/>
      <c r="Q789" s="1079"/>
      <c r="V789" s="1084"/>
    </row>
    <row r="790" spans="1:22" s="1082" customFormat="1" ht="24" customHeight="1">
      <c r="A790" s="1075">
        <v>771</v>
      </c>
      <c r="B790" s="1075"/>
      <c r="C790" s="1075"/>
      <c r="D790" s="1075"/>
      <c r="E790" s="1075" t="s">
        <v>10828</v>
      </c>
      <c r="F790" s="1076"/>
      <c r="G790" s="1075" t="s">
        <v>9065</v>
      </c>
      <c r="H790" s="1075" t="s">
        <v>9065</v>
      </c>
      <c r="I790" s="1075" t="s">
        <v>7274</v>
      </c>
      <c r="J790" s="1075"/>
      <c r="K790" s="1075"/>
      <c r="L790" s="1075" t="s">
        <v>9888</v>
      </c>
      <c r="M790" s="1077" t="s">
        <v>7273</v>
      </c>
      <c r="N790" s="1078">
        <v>6512400</v>
      </c>
      <c r="O790" s="1078"/>
      <c r="P790" s="1078"/>
      <c r="Q790" s="1079"/>
      <c r="V790" s="1084"/>
    </row>
    <row r="791" spans="1:22" s="1082" customFormat="1" ht="24" customHeight="1">
      <c r="A791" s="1075">
        <v>772</v>
      </c>
      <c r="B791" s="1075"/>
      <c r="C791" s="1075"/>
      <c r="D791" s="1075"/>
      <c r="E791" s="1075" t="s">
        <v>10829</v>
      </c>
      <c r="F791" s="1076"/>
      <c r="G791" s="1075" t="s">
        <v>9065</v>
      </c>
      <c r="H791" s="1075" t="s">
        <v>9065</v>
      </c>
      <c r="I791" s="1075" t="s">
        <v>7276</v>
      </c>
      <c r="J791" s="1075"/>
      <c r="K791" s="1075"/>
      <c r="L791" s="1075" t="s">
        <v>9888</v>
      </c>
      <c r="M791" s="1077" t="s">
        <v>7275</v>
      </c>
      <c r="N791" s="1078">
        <v>6512400</v>
      </c>
      <c r="O791" s="1078"/>
      <c r="P791" s="1078"/>
      <c r="Q791" s="1079"/>
      <c r="V791" s="1084"/>
    </row>
    <row r="792" spans="1:22" s="1082" customFormat="1" ht="24" customHeight="1">
      <c r="A792" s="1075">
        <v>773</v>
      </c>
      <c r="B792" s="1075"/>
      <c r="C792" s="1075"/>
      <c r="D792" s="1075"/>
      <c r="E792" s="1075" t="s">
        <v>10830</v>
      </c>
      <c r="F792" s="1076"/>
      <c r="G792" s="1075" t="s">
        <v>9065</v>
      </c>
      <c r="H792" s="1075" t="s">
        <v>9065</v>
      </c>
      <c r="I792" s="1075" t="s">
        <v>7278</v>
      </c>
      <c r="J792" s="1075"/>
      <c r="K792" s="1075"/>
      <c r="L792" s="1075" t="s">
        <v>9888</v>
      </c>
      <c r="M792" s="1077" t="s">
        <v>7277</v>
      </c>
      <c r="N792" s="1078">
        <v>6512400</v>
      </c>
      <c r="O792" s="1078"/>
      <c r="P792" s="1078"/>
      <c r="Q792" s="1079"/>
      <c r="V792" s="1084"/>
    </row>
    <row r="793" spans="1:22" s="1082" customFormat="1" ht="24" customHeight="1">
      <c r="A793" s="1075">
        <v>774</v>
      </c>
      <c r="B793" s="1075"/>
      <c r="C793" s="1075"/>
      <c r="D793" s="1075"/>
      <c r="E793" s="1075" t="s">
        <v>10831</v>
      </c>
      <c r="F793" s="1076"/>
      <c r="G793" s="1075" t="s">
        <v>9065</v>
      </c>
      <c r="H793" s="1075" t="s">
        <v>9065</v>
      </c>
      <c r="I793" s="1075" t="s">
        <v>7280</v>
      </c>
      <c r="J793" s="1075"/>
      <c r="K793" s="1075"/>
      <c r="L793" s="1075" t="s">
        <v>9888</v>
      </c>
      <c r="M793" s="1077" t="s">
        <v>7279</v>
      </c>
      <c r="N793" s="1078">
        <v>6512400</v>
      </c>
      <c r="O793" s="1078"/>
      <c r="P793" s="1078"/>
      <c r="Q793" s="1079"/>
      <c r="V793" s="1084"/>
    </row>
    <row r="794" spans="1:22" s="1082" customFormat="1" ht="24" customHeight="1">
      <c r="A794" s="1075">
        <v>775</v>
      </c>
      <c r="B794" s="1075"/>
      <c r="C794" s="1075"/>
      <c r="D794" s="1075"/>
      <c r="E794" s="1075" t="s">
        <v>10832</v>
      </c>
      <c r="F794" s="1076"/>
      <c r="G794" s="1075" t="s">
        <v>9065</v>
      </c>
      <c r="H794" s="1075" t="s">
        <v>9065</v>
      </c>
      <c r="I794" s="1075" t="s">
        <v>7282</v>
      </c>
      <c r="J794" s="1075"/>
      <c r="K794" s="1075"/>
      <c r="L794" s="1075" t="s">
        <v>9888</v>
      </c>
      <c r="M794" s="1077" t="s">
        <v>7281</v>
      </c>
      <c r="N794" s="1078">
        <v>6512400</v>
      </c>
      <c r="O794" s="1078"/>
      <c r="P794" s="1078"/>
      <c r="Q794" s="1079"/>
      <c r="V794" s="1084"/>
    </row>
    <row r="795" spans="1:22" s="1082" customFormat="1" ht="24" customHeight="1">
      <c r="A795" s="1075">
        <v>776</v>
      </c>
      <c r="B795" s="1075"/>
      <c r="C795" s="1075"/>
      <c r="D795" s="1075"/>
      <c r="E795" s="1075" t="s">
        <v>10833</v>
      </c>
      <c r="F795" s="1076"/>
      <c r="G795" s="1075" t="s">
        <v>9065</v>
      </c>
      <c r="H795" s="1075" t="s">
        <v>9065</v>
      </c>
      <c r="I795" s="1075" t="s">
        <v>7284</v>
      </c>
      <c r="J795" s="1075"/>
      <c r="K795" s="1075"/>
      <c r="L795" s="1075" t="s">
        <v>9888</v>
      </c>
      <c r="M795" s="1077" t="s">
        <v>7283</v>
      </c>
      <c r="N795" s="1078">
        <v>6512400</v>
      </c>
      <c r="O795" s="1078"/>
      <c r="P795" s="1078"/>
      <c r="Q795" s="1079"/>
      <c r="V795" s="1084"/>
    </row>
    <row r="796" spans="1:22" s="1082" customFormat="1" ht="24" customHeight="1">
      <c r="A796" s="1075">
        <v>777</v>
      </c>
      <c r="B796" s="1075"/>
      <c r="C796" s="1075"/>
      <c r="D796" s="1075"/>
      <c r="E796" s="1075" t="s">
        <v>10835</v>
      </c>
      <c r="F796" s="1076"/>
      <c r="G796" s="1075" t="s">
        <v>9065</v>
      </c>
      <c r="H796" s="1075" t="s">
        <v>9065</v>
      </c>
      <c r="I796" s="1075" t="s">
        <v>7288</v>
      </c>
      <c r="J796" s="1075"/>
      <c r="K796" s="1075"/>
      <c r="L796" s="1075" t="s">
        <v>9888</v>
      </c>
      <c r="M796" s="1077" t="s">
        <v>7287</v>
      </c>
      <c r="N796" s="1078">
        <v>6512400</v>
      </c>
      <c r="O796" s="1078"/>
      <c r="P796" s="1078"/>
      <c r="Q796" s="1079"/>
      <c r="V796" s="1084"/>
    </row>
    <row r="797" spans="1:22" s="1082" customFormat="1" ht="24" customHeight="1">
      <c r="A797" s="1075">
        <v>778</v>
      </c>
      <c r="B797" s="1075"/>
      <c r="C797" s="1075"/>
      <c r="D797" s="1075"/>
      <c r="E797" s="1075" t="s">
        <v>10836</v>
      </c>
      <c r="F797" s="1076"/>
      <c r="G797" s="1075" t="s">
        <v>9065</v>
      </c>
      <c r="H797" s="1075" t="s">
        <v>9065</v>
      </c>
      <c r="I797" s="1075" t="s">
        <v>7290</v>
      </c>
      <c r="J797" s="1075"/>
      <c r="K797" s="1075"/>
      <c r="L797" s="1075" t="s">
        <v>9888</v>
      </c>
      <c r="M797" s="1077" t="s">
        <v>7289</v>
      </c>
      <c r="N797" s="1078">
        <v>6512400</v>
      </c>
      <c r="O797" s="1078"/>
      <c r="P797" s="1078"/>
      <c r="Q797" s="1079"/>
      <c r="V797" s="1084"/>
    </row>
    <row r="798" spans="1:22" s="1082" customFormat="1" ht="24" customHeight="1">
      <c r="A798" s="1075">
        <v>779</v>
      </c>
      <c r="B798" s="1075"/>
      <c r="C798" s="1075"/>
      <c r="D798" s="1075"/>
      <c r="E798" s="1075" t="s">
        <v>10837</v>
      </c>
      <c r="F798" s="1076"/>
      <c r="G798" s="1075" t="s">
        <v>9065</v>
      </c>
      <c r="H798" s="1075" t="s">
        <v>9065</v>
      </c>
      <c r="I798" s="1075" t="s">
        <v>7292</v>
      </c>
      <c r="J798" s="1075"/>
      <c r="K798" s="1075"/>
      <c r="L798" s="1075" t="s">
        <v>9888</v>
      </c>
      <c r="M798" s="1077" t="s">
        <v>7291</v>
      </c>
      <c r="N798" s="1078">
        <v>6512400</v>
      </c>
      <c r="O798" s="1078"/>
      <c r="P798" s="1078"/>
      <c r="Q798" s="1079"/>
      <c r="V798" s="1084"/>
    </row>
    <row r="799" spans="1:22" s="1082" customFormat="1" ht="24" customHeight="1">
      <c r="A799" s="1075">
        <v>780</v>
      </c>
      <c r="B799" s="1075"/>
      <c r="C799" s="1075"/>
      <c r="D799" s="1075"/>
      <c r="E799" s="1075" t="s">
        <v>10839</v>
      </c>
      <c r="F799" s="1076"/>
      <c r="G799" s="1075" t="s">
        <v>9065</v>
      </c>
      <c r="H799" s="1075" t="s">
        <v>9065</v>
      </c>
      <c r="I799" s="1075" t="s">
        <v>7296</v>
      </c>
      <c r="J799" s="1075"/>
      <c r="K799" s="1075"/>
      <c r="L799" s="1075" t="s">
        <v>9888</v>
      </c>
      <c r="M799" s="1077" t="s">
        <v>7295</v>
      </c>
      <c r="N799" s="1078">
        <v>6512400</v>
      </c>
      <c r="O799" s="1078"/>
      <c r="P799" s="1078"/>
      <c r="Q799" s="1079"/>
      <c r="V799" s="1084"/>
    </row>
    <row r="800" spans="1:22" s="1082" customFormat="1" ht="24" customHeight="1">
      <c r="A800" s="1075">
        <v>781</v>
      </c>
      <c r="B800" s="1075" t="s">
        <v>4623</v>
      </c>
      <c r="C800" s="1075"/>
      <c r="D800" s="1075"/>
      <c r="E800" s="1075" t="s">
        <v>10840</v>
      </c>
      <c r="F800" s="1076"/>
      <c r="G800" s="1075" t="s">
        <v>9065</v>
      </c>
      <c r="H800" s="1075" t="s">
        <v>9065</v>
      </c>
      <c r="I800" s="1075" t="s">
        <v>7298</v>
      </c>
      <c r="J800" s="1075" t="s">
        <v>2587</v>
      </c>
      <c r="K800" s="1075" t="s">
        <v>2586</v>
      </c>
      <c r="L800" s="1075" t="s">
        <v>5130</v>
      </c>
      <c r="M800" s="1077" t="s">
        <v>7297</v>
      </c>
      <c r="N800" s="1078">
        <v>6512400</v>
      </c>
      <c r="O800" s="1078" t="s">
        <v>375</v>
      </c>
      <c r="P800" s="1078"/>
      <c r="Q800" s="1079"/>
      <c r="V800" s="1084"/>
    </row>
    <row r="801" spans="1:22" s="1082" customFormat="1" ht="24" customHeight="1">
      <c r="A801" s="1075">
        <v>782</v>
      </c>
      <c r="B801" s="1075"/>
      <c r="C801" s="1075"/>
      <c r="D801" s="1075"/>
      <c r="E801" s="1075" t="s">
        <v>10841</v>
      </c>
      <c r="F801" s="1076"/>
      <c r="G801" s="1075" t="s">
        <v>9065</v>
      </c>
      <c r="H801" s="1075" t="s">
        <v>9065</v>
      </c>
      <c r="I801" s="1075" t="s">
        <v>7300</v>
      </c>
      <c r="J801" s="1075"/>
      <c r="K801" s="1075"/>
      <c r="L801" s="1075" t="s">
        <v>9888</v>
      </c>
      <c r="M801" s="1077" t="s">
        <v>7299</v>
      </c>
      <c r="N801" s="1078">
        <v>6512400</v>
      </c>
      <c r="O801" s="1078"/>
      <c r="P801" s="1078"/>
      <c r="Q801" s="1079"/>
      <c r="V801" s="1084"/>
    </row>
    <row r="802" spans="1:22" s="1082" customFormat="1" ht="24" customHeight="1">
      <c r="A802" s="1075">
        <v>783</v>
      </c>
      <c r="B802" s="1075"/>
      <c r="C802" s="1075"/>
      <c r="D802" s="1075"/>
      <c r="E802" s="1075" t="s">
        <v>10842</v>
      </c>
      <c r="F802" s="1076"/>
      <c r="G802" s="1075" t="s">
        <v>9065</v>
      </c>
      <c r="H802" s="1075" t="s">
        <v>9065</v>
      </c>
      <c r="I802" s="1075" t="s">
        <v>7302</v>
      </c>
      <c r="J802" s="1075"/>
      <c r="K802" s="1075"/>
      <c r="L802" s="1075" t="s">
        <v>9888</v>
      </c>
      <c r="M802" s="1077" t="s">
        <v>7301</v>
      </c>
      <c r="N802" s="1078">
        <v>6512400</v>
      </c>
      <c r="O802" s="1078"/>
      <c r="P802" s="1078"/>
      <c r="Q802" s="1079"/>
      <c r="V802" s="1084"/>
    </row>
    <row r="803" spans="1:22" s="1082" customFormat="1" ht="24" customHeight="1">
      <c r="A803" s="1075">
        <v>784</v>
      </c>
      <c r="B803" s="1075" t="s">
        <v>423</v>
      </c>
      <c r="C803" s="1075"/>
      <c r="D803" s="1075"/>
      <c r="E803" s="1075" t="s">
        <v>10843</v>
      </c>
      <c r="F803" s="1076"/>
      <c r="G803" s="1075" t="s">
        <v>9065</v>
      </c>
      <c r="H803" s="1075" t="s">
        <v>9065</v>
      </c>
      <c r="I803" s="1075" t="s">
        <v>7304</v>
      </c>
      <c r="J803" s="1075" t="s">
        <v>12101</v>
      </c>
      <c r="K803" s="1075" t="s">
        <v>1245</v>
      </c>
      <c r="L803" s="1075" t="s">
        <v>5130</v>
      </c>
      <c r="M803" s="1077" t="s">
        <v>7303</v>
      </c>
      <c r="N803" s="1078">
        <v>6512400</v>
      </c>
      <c r="O803" s="1078" t="s">
        <v>375</v>
      </c>
      <c r="P803" s="1078"/>
      <c r="Q803" s="1079"/>
      <c r="V803" s="1084"/>
    </row>
    <row r="804" spans="1:22" s="1082" customFormat="1" ht="24" customHeight="1">
      <c r="A804" s="1075">
        <v>785</v>
      </c>
      <c r="B804" s="1075"/>
      <c r="C804" s="1075"/>
      <c r="D804" s="1075"/>
      <c r="E804" s="1075" t="s">
        <v>10844</v>
      </c>
      <c r="F804" s="1076"/>
      <c r="G804" s="1075" t="s">
        <v>9065</v>
      </c>
      <c r="H804" s="1075" t="s">
        <v>9065</v>
      </c>
      <c r="I804" s="1075" t="s">
        <v>7306</v>
      </c>
      <c r="J804" s="1075"/>
      <c r="K804" s="1075"/>
      <c r="L804" s="1075" t="s">
        <v>9888</v>
      </c>
      <c r="M804" s="1077" t="s">
        <v>7305</v>
      </c>
      <c r="N804" s="1078">
        <v>6512400</v>
      </c>
      <c r="O804" s="1078"/>
      <c r="P804" s="1078"/>
      <c r="Q804" s="1079"/>
      <c r="V804" s="1084"/>
    </row>
    <row r="805" spans="1:22" s="1082" customFormat="1" ht="24" customHeight="1">
      <c r="A805" s="1075">
        <v>786</v>
      </c>
      <c r="B805" s="1075"/>
      <c r="C805" s="1075"/>
      <c r="D805" s="1075"/>
      <c r="E805" s="1075" t="s">
        <v>10845</v>
      </c>
      <c r="F805" s="1076"/>
      <c r="G805" s="1075" t="s">
        <v>9065</v>
      </c>
      <c r="H805" s="1075" t="s">
        <v>9065</v>
      </c>
      <c r="I805" s="1075" t="s">
        <v>7308</v>
      </c>
      <c r="J805" s="1075"/>
      <c r="K805" s="1075"/>
      <c r="L805" s="1075" t="s">
        <v>9888</v>
      </c>
      <c r="M805" s="1077" t="s">
        <v>7307</v>
      </c>
      <c r="N805" s="1078">
        <v>6512400</v>
      </c>
      <c r="O805" s="1078"/>
      <c r="P805" s="1078"/>
      <c r="Q805" s="1079"/>
      <c r="V805" s="1084"/>
    </row>
    <row r="806" spans="1:22" s="1082" customFormat="1" ht="24" customHeight="1">
      <c r="A806" s="1075">
        <v>787</v>
      </c>
      <c r="B806" s="1075"/>
      <c r="C806" s="1075"/>
      <c r="D806" s="1075"/>
      <c r="E806" s="1075" t="s">
        <v>10847</v>
      </c>
      <c r="F806" s="1076"/>
      <c r="G806" s="1075" t="s">
        <v>9065</v>
      </c>
      <c r="H806" s="1075" t="s">
        <v>9065</v>
      </c>
      <c r="I806" s="1075" t="s">
        <v>7312</v>
      </c>
      <c r="J806" s="1075"/>
      <c r="K806" s="1075"/>
      <c r="L806" s="1075" t="s">
        <v>9888</v>
      </c>
      <c r="M806" s="1077" t="s">
        <v>7311</v>
      </c>
      <c r="N806" s="1078">
        <v>6512400</v>
      </c>
      <c r="O806" s="1078"/>
      <c r="P806" s="1078"/>
      <c r="Q806" s="1079"/>
      <c r="V806" s="1084"/>
    </row>
    <row r="807" spans="1:22" s="1082" customFormat="1" ht="24" customHeight="1">
      <c r="A807" s="1075">
        <v>788</v>
      </c>
      <c r="B807" s="1075"/>
      <c r="C807" s="1075"/>
      <c r="D807" s="1075"/>
      <c r="E807" s="1075" t="s">
        <v>10848</v>
      </c>
      <c r="F807" s="1076"/>
      <c r="G807" s="1075" t="s">
        <v>9065</v>
      </c>
      <c r="H807" s="1075" t="s">
        <v>9065</v>
      </c>
      <c r="I807" s="1075" t="s">
        <v>7314</v>
      </c>
      <c r="J807" s="1075"/>
      <c r="K807" s="1075"/>
      <c r="L807" s="1075" t="s">
        <v>9888</v>
      </c>
      <c r="M807" s="1077" t="s">
        <v>7313</v>
      </c>
      <c r="N807" s="1078">
        <v>6512400</v>
      </c>
      <c r="O807" s="1078"/>
      <c r="P807" s="1078"/>
      <c r="Q807" s="1079"/>
      <c r="V807" s="1084"/>
    </row>
    <row r="808" spans="1:22" s="1082" customFormat="1" ht="24" customHeight="1">
      <c r="A808" s="1075">
        <v>789</v>
      </c>
      <c r="B808" s="1075"/>
      <c r="C808" s="1075"/>
      <c r="D808" s="1075"/>
      <c r="E808" s="1075" t="s">
        <v>10849</v>
      </c>
      <c r="F808" s="1076"/>
      <c r="G808" s="1075" t="s">
        <v>9065</v>
      </c>
      <c r="H808" s="1075" t="s">
        <v>9065</v>
      </c>
      <c r="I808" s="1075" t="s">
        <v>7316</v>
      </c>
      <c r="J808" s="1075"/>
      <c r="K808" s="1075"/>
      <c r="L808" s="1075" t="s">
        <v>9888</v>
      </c>
      <c r="M808" s="1077" t="s">
        <v>7315</v>
      </c>
      <c r="N808" s="1078">
        <v>6512400</v>
      </c>
      <c r="O808" s="1078"/>
      <c r="P808" s="1078"/>
      <c r="Q808" s="1079"/>
      <c r="V808" s="1084"/>
    </row>
    <row r="809" spans="1:22" s="1082" customFormat="1" ht="24" customHeight="1">
      <c r="A809" s="1075">
        <v>790</v>
      </c>
      <c r="B809" s="1075"/>
      <c r="C809" s="1075"/>
      <c r="D809" s="1075"/>
      <c r="E809" s="1075" t="s">
        <v>10850</v>
      </c>
      <c r="F809" s="1076"/>
      <c r="G809" s="1075" t="s">
        <v>9065</v>
      </c>
      <c r="H809" s="1075" t="s">
        <v>9065</v>
      </c>
      <c r="I809" s="1075" t="s">
        <v>7318</v>
      </c>
      <c r="J809" s="1075"/>
      <c r="K809" s="1075"/>
      <c r="L809" s="1075" t="s">
        <v>9888</v>
      </c>
      <c r="M809" s="1077" t="s">
        <v>7317</v>
      </c>
      <c r="N809" s="1078">
        <v>6512400</v>
      </c>
      <c r="O809" s="1078"/>
      <c r="P809" s="1078"/>
      <c r="Q809" s="1079"/>
      <c r="V809" s="1084"/>
    </row>
    <row r="810" spans="1:22" s="1082" customFormat="1" ht="24" customHeight="1">
      <c r="A810" s="1075">
        <v>791</v>
      </c>
      <c r="B810" s="1075"/>
      <c r="C810" s="1075"/>
      <c r="D810" s="1075"/>
      <c r="E810" s="1075" t="s">
        <v>10851</v>
      </c>
      <c r="F810" s="1076"/>
      <c r="G810" s="1075" t="s">
        <v>9065</v>
      </c>
      <c r="H810" s="1075" t="s">
        <v>9065</v>
      </c>
      <c r="I810" s="1075" t="s">
        <v>7320</v>
      </c>
      <c r="J810" s="1075"/>
      <c r="K810" s="1075"/>
      <c r="L810" s="1075" t="s">
        <v>9888</v>
      </c>
      <c r="M810" s="1077" t="s">
        <v>7319</v>
      </c>
      <c r="N810" s="1078">
        <v>6512400</v>
      </c>
      <c r="O810" s="1078"/>
      <c r="P810" s="1078"/>
      <c r="Q810" s="1079"/>
      <c r="V810" s="1084"/>
    </row>
    <row r="811" spans="1:22" s="1082" customFormat="1" ht="24" customHeight="1">
      <c r="A811" s="1075">
        <v>792</v>
      </c>
      <c r="B811" s="1075"/>
      <c r="C811" s="1075"/>
      <c r="D811" s="1075"/>
      <c r="E811" s="1075" t="s">
        <v>10852</v>
      </c>
      <c r="F811" s="1076"/>
      <c r="G811" s="1075" t="s">
        <v>9065</v>
      </c>
      <c r="H811" s="1075" t="s">
        <v>9065</v>
      </c>
      <c r="I811" s="1075" t="s">
        <v>7323</v>
      </c>
      <c r="J811" s="1075"/>
      <c r="K811" s="1075"/>
      <c r="L811" s="1075" t="s">
        <v>9888</v>
      </c>
      <c r="M811" s="1077" t="s">
        <v>7322</v>
      </c>
      <c r="N811" s="1078">
        <v>6512400</v>
      </c>
      <c r="O811" s="1078"/>
      <c r="P811" s="1078"/>
      <c r="Q811" s="1079"/>
      <c r="V811" s="1084"/>
    </row>
    <row r="812" spans="1:22" s="1082" customFormat="1" ht="24" customHeight="1">
      <c r="A812" s="1075">
        <v>793</v>
      </c>
      <c r="B812" s="1075"/>
      <c r="C812" s="1075"/>
      <c r="D812" s="1075"/>
      <c r="E812" s="1075" t="s">
        <v>10853</v>
      </c>
      <c r="F812" s="1076"/>
      <c r="G812" s="1075" t="s">
        <v>9065</v>
      </c>
      <c r="H812" s="1075" t="s">
        <v>9065</v>
      </c>
      <c r="I812" s="1075" t="s">
        <v>7325</v>
      </c>
      <c r="J812" s="1075"/>
      <c r="K812" s="1075"/>
      <c r="L812" s="1075" t="s">
        <v>9888</v>
      </c>
      <c r="M812" s="1077" t="s">
        <v>7324</v>
      </c>
      <c r="N812" s="1078">
        <v>6512400</v>
      </c>
      <c r="O812" s="1078"/>
      <c r="P812" s="1078"/>
      <c r="Q812" s="1079"/>
      <c r="V812" s="1084"/>
    </row>
    <row r="813" spans="1:22" s="1082" customFormat="1" ht="24" customHeight="1">
      <c r="A813" s="1075">
        <v>794</v>
      </c>
      <c r="B813" s="1075"/>
      <c r="C813" s="1075"/>
      <c r="D813" s="1075"/>
      <c r="E813" s="1075" t="s">
        <v>10855</v>
      </c>
      <c r="F813" s="1076"/>
      <c r="G813" s="1075" t="s">
        <v>9065</v>
      </c>
      <c r="H813" s="1075" t="s">
        <v>9065</v>
      </c>
      <c r="I813" s="1075" t="s">
        <v>7329</v>
      </c>
      <c r="J813" s="1075"/>
      <c r="K813" s="1075"/>
      <c r="L813" s="1075" t="s">
        <v>9888</v>
      </c>
      <c r="M813" s="1077" t="s">
        <v>7328</v>
      </c>
      <c r="N813" s="1078">
        <v>6512400</v>
      </c>
      <c r="O813" s="1078"/>
      <c r="P813" s="1078"/>
      <c r="Q813" s="1079"/>
      <c r="V813" s="1084"/>
    </row>
    <row r="814" spans="1:22" s="1082" customFormat="1" ht="24" customHeight="1">
      <c r="A814" s="1075">
        <v>795</v>
      </c>
      <c r="B814" s="1075"/>
      <c r="C814" s="1075"/>
      <c r="D814" s="1075"/>
      <c r="E814" s="1075" t="s">
        <v>10857</v>
      </c>
      <c r="F814" s="1076"/>
      <c r="G814" s="1075" t="s">
        <v>9065</v>
      </c>
      <c r="H814" s="1075" t="s">
        <v>9065</v>
      </c>
      <c r="I814" s="1075" t="s">
        <v>7333</v>
      </c>
      <c r="J814" s="1075"/>
      <c r="K814" s="1075"/>
      <c r="L814" s="1075" t="s">
        <v>9888</v>
      </c>
      <c r="M814" s="1077" t="s">
        <v>7332</v>
      </c>
      <c r="N814" s="1078">
        <v>6512400</v>
      </c>
      <c r="O814" s="1078"/>
      <c r="P814" s="1078"/>
      <c r="Q814" s="1079"/>
      <c r="V814" s="1084"/>
    </row>
    <row r="815" spans="1:22" s="1082" customFormat="1" ht="24" customHeight="1">
      <c r="A815" s="1075">
        <v>796</v>
      </c>
      <c r="B815" s="1075"/>
      <c r="C815" s="1075"/>
      <c r="D815" s="1075"/>
      <c r="E815" s="1075" t="s">
        <v>10858</v>
      </c>
      <c r="F815" s="1076"/>
      <c r="G815" s="1075" t="s">
        <v>9065</v>
      </c>
      <c r="H815" s="1075" t="s">
        <v>9065</v>
      </c>
      <c r="I815" s="1075" t="s">
        <v>7335</v>
      </c>
      <c r="J815" s="1075"/>
      <c r="K815" s="1075"/>
      <c r="L815" s="1075" t="s">
        <v>9888</v>
      </c>
      <c r="M815" s="1077" t="s">
        <v>7334</v>
      </c>
      <c r="N815" s="1078">
        <v>6512400</v>
      </c>
      <c r="O815" s="1078"/>
      <c r="P815" s="1078"/>
      <c r="Q815" s="1079"/>
      <c r="V815" s="1084"/>
    </row>
    <row r="816" spans="1:22" s="1082" customFormat="1" ht="24" customHeight="1">
      <c r="A816" s="1075">
        <v>797</v>
      </c>
      <c r="B816" s="1075"/>
      <c r="C816" s="1075"/>
      <c r="D816" s="1075"/>
      <c r="E816" s="1075" t="s">
        <v>10859</v>
      </c>
      <c r="F816" s="1076"/>
      <c r="G816" s="1075" t="s">
        <v>9065</v>
      </c>
      <c r="H816" s="1075" t="s">
        <v>9065</v>
      </c>
      <c r="I816" s="1075" t="s">
        <v>7337</v>
      </c>
      <c r="J816" s="1075"/>
      <c r="K816" s="1075"/>
      <c r="L816" s="1075" t="s">
        <v>9888</v>
      </c>
      <c r="M816" s="1077" t="s">
        <v>7336</v>
      </c>
      <c r="N816" s="1078">
        <v>6512400</v>
      </c>
      <c r="O816" s="1078"/>
      <c r="P816" s="1078"/>
      <c r="Q816" s="1079"/>
      <c r="V816" s="1084"/>
    </row>
    <row r="817" spans="1:22" s="1082" customFormat="1" ht="24" customHeight="1">
      <c r="A817" s="1075">
        <v>798</v>
      </c>
      <c r="B817" s="1075"/>
      <c r="C817" s="1075"/>
      <c r="D817" s="1075"/>
      <c r="E817" s="1075" t="s">
        <v>10860</v>
      </c>
      <c r="F817" s="1076"/>
      <c r="G817" s="1075" t="s">
        <v>9065</v>
      </c>
      <c r="H817" s="1075" t="s">
        <v>9065</v>
      </c>
      <c r="I817" s="1075" t="s">
        <v>7339</v>
      </c>
      <c r="J817" s="1075"/>
      <c r="K817" s="1075"/>
      <c r="L817" s="1075" t="s">
        <v>9888</v>
      </c>
      <c r="M817" s="1077" t="s">
        <v>7338</v>
      </c>
      <c r="N817" s="1078">
        <v>6512400</v>
      </c>
      <c r="O817" s="1078"/>
      <c r="P817" s="1078"/>
      <c r="Q817" s="1079"/>
      <c r="V817" s="1084"/>
    </row>
    <row r="818" spans="1:22" s="1082" customFormat="1" ht="24" customHeight="1">
      <c r="A818" s="1075">
        <v>799</v>
      </c>
      <c r="B818" s="1075"/>
      <c r="C818" s="1075"/>
      <c r="D818" s="1075"/>
      <c r="E818" s="1075" t="s">
        <v>10861</v>
      </c>
      <c r="F818" s="1076"/>
      <c r="G818" s="1075" t="s">
        <v>9065</v>
      </c>
      <c r="H818" s="1075" t="s">
        <v>9065</v>
      </c>
      <c r="I818" s="1075" t="s">
        <v>7341</v>
      </c>
      <c r="J818" s="1075"/>
      <c r="K818" s="1075"/>
      <c r="L818" s="1075" t="s">
        <v>9888</v>
      </c>
      <c r="M818" s="1077" t="s">
        <v>7340</v>
      </c>
      <c r="N818" s="1078">
        <v>6512400</v>
      </c>
      <c r="O818" s="1078"/>
      <c r="P818" s="1078"/>
      <c r="Q818" s="1079"/>
      <c r="V818" s="1084"/>
    </row>
    <row r="819" spans="1:22" s="1082" customFormat="1" ht="24" customHeight="1">
      <c r="A819" s="1075">
        <v>800</v>
      </c>
      <c r="B819" s="1075"/>
      <c r="C819" s="1075"/>
      <c r="D819" s="1075"/>
      <c r="E819" s="1075" t="s">
        <v>10862</v>
      </c>
      <c r="F819" s="1076"/>
      <c r="G819" s="1075" t="s">
        <v>9065</v>
      </c>
      <c r="H819" s="1075" t="s">
        <v>9065</v>
      </c>
      <c r="I819" s="1075" t="s">
        <v>7343</v>
      </c>
      <c r="J819" s="1075"/>
      <c r="K819" s="1075"/>
      <c r="L819" s="1075" t="s">
        <v>9888</v>
      </c>
      <c r="M819" s="1077" t="s">
        <v>7342</v>
      </c>
      <c r="N819" s="1078">
        <v>6512400</v>
      </c>
      <c r="O819" s="1078"/>
      <c r="P819" s="1078"/>
      <c r="Q819" s="1079"/>
      <c r="V819" s="1084"/>
    </row>
    <row r="820" spans="1:22" s="1082" customFormat="1" ht="24" customHeight="1">
      <c r="A820" s="1075">
        <v>801</v>
      </c>
      <c r="B820" s="1075"/>
      <c r="C820" s="1075"/>
      <c r="D820" s="1075"/>
      <c r="E820" s="1075" t="s">
        <v>10863</v>
      </c>
      <c r="F820" s="1076"/>
      <c r="G820" s="1075" t="s">
        <v>9065</v>
      </c>
      <c r="H820" s="1075" t="s">
        <v>9065</v>
      </c>
      <c r="I820" s="1075" t="s">
        <v>7345</v>
      </c>
      <c r="J820" s="1075"/>
      <c r="K820" s="1075"/>
      <c r="L820" s="1075" t="s">
        <v>9888</v>
      </c>
      <c r="M820" s="1077" t="s">
        <v>7344</v>
      </c>
      <c r="N820" s="1078">
        <v>6512400</v>
      </c>
      <c r="O820" s="1078"/>
      <c r="P820" s="1078"/>
      <c r="Q820" s="1079"/>
      <c r="V820" s="1084"/>
    </row>
    <row r="821" spans="1:22" s="1082" customFormat="1" ht="24" customHeight="1">
      <c r="A821" s="1075">
        <v>802</v>
      </c>
      <c r="B821" s="1075"/>
      <c r="C821" s="1075"/>
      <c r="D821" s="1075"/>
      <c r="E821" s="1075" t="s">
        <v>10865</v>
      </c>
      <c r="F821" s="1076"/>
      <c r="G821" s="1075" t="s">
        <v>9065</v>
      </c>
      <c r="H821" s="1075" t="s">
        <v>9065</v>
      </c>
      <c r="I821" s="1075" t="s">
        <v>7349</v>
      </c>
      <c r="J821" s="1075"/>
      <c r="K821" s="1075"/>
      <c r="L821" s="1075" t="s">
        <v>9888</v>
      </c>
      <c r="M821" s="1077" t="s">
        <v>7348</v>
      </c>
      <c r="N821" s="1078">
        <v>6512400</v>
      </c>
      <c r="O821" s="1078"/>
      <c r="P821" s="1078"/>
      <c r="Q821" s="1079"/>
      <c r="V821" s="1084"/>
    </row>
    <row r="822" spans="1:22" s="1082" customFormat="1" ht="24" customHeight="1">
      <c r="A822" s="1075">
        <v>803</v>
      </c>
      <c r="B822" s="1075"/>
      <c r="C822" s="1075"/>
      <c r="D822" s="1075"/>
      <c r="E822" s="1075" t="s">
        <v>10866</v>
      </c>
      <c r="F822" s="1076"/>
      <c r="G822" s="1075" t="s">
        <v>9065</v>
      </c>
      <c r="H822" s="1075" t="s">
        <v>9065</v>
      </c>
      <c r="I822" s="1075" t="s">
        <v>7351</v>
      </c>
      <c r="J822" s="1075"/>
      <c r="K822" s="1075"/>
      <c r="L822" s="1075" t="s">
        <v>9888</v>
      </c>
      <c r="M822" s="1077" t="s">
        <v>7350</v>
      </c>
      <c r="N822" s="1078">
        <v>6512400</v>
      </c>
      <c r="O822" s="1078"/>
      <c r="P822" s="1078"/>
      <c r="Q822" s="1079"/>
      <c r="V822" s="1084"/>
    </row>
    <row r="823" spans="1:22" s="1082" customFormat="1" ht="24" customHeight="1">
      <c r="A823" s="1075">
        <v>804</v>
      </c>
      <c r="B823" s="1075"/>
      <c r="C823" s="1075"/>
      <c r="D823" s="1075"/>
      <c r="E823" s="1075" t="s">
        <v>10868</v>
      </c>
      <c r="F823" s="1076"/>
      <c r="G823" s="1075" t="s">
        <v>9065</v>
      </c>
      <c r="H823" s="1075" t="s">
        <v>9065</v>
      </c>
      <c r="I823" s="1075" t="s">
        <v>7353</v>
      </c>
      <c r="J823" s="1075"/>
      <c r="K823" s="1075"/>
      <c r="L823" s="1075" t="s">
        <v>9888</v>
      </c>
      <c r="M823" s="1077" t="s">
        <v>7352</v>
      </c>
      <c r="N823" s="1078">
        <v>6512400</v>
      </c>
      <c r="O823" s="1078"/>
      <c r="P823" s="1078"/>
      <c r="Q823" s="1079"/>
      <c r="V823" s="1084"/>
    </row>
    <row r="824" spans="1:22" s="1083" customFormat="1" ht="24" customHeight="1">
      <c r="A824" s="1075">
        <v>805</v>
      </c>
      <c r="B824" s="1069"/>
      <c r="C824" s="1069"/>
      <c r="D824" s="1069"/>
      <c r="E824" s="1069" t="s">
        <v>10869</v>
      </c>
      <c r="F824" s="1070"/>
      <c r="G824" s="1069" t="s">
        <v>9065</v>
      </c>
      <c r="H824" s="1069" t="s">
        <v>9065</v>
      </c>
      <c r="I824" s="1069" t="s">
        <v>5843</v>
      </c>
      <c r="J824" s="1069"/>
      <c r="K824" s="1069"/>
      <c r="L824" s="1069" t="s">
        <v>5130</v>
      </c>
      <c r="M824" s="1071" t="s">
        <v>5842</v>
      </c>
      <c r="N824" s="1072">
        <v>6512400</v>
      </c>
      <c r="O824" s="1072"/>
      <c r="P824" s="1072"/>
      <c r="Q824" s="1073"/>
      <c r="V824" s="1085"/>
    </row>
    <row r="825" spans="1:22" s="1082" customFormat="1" ht="24" customHeight="1">
      <c r="A825" s="1075">
        <v>806</v>
      </c>
      <c r="B825" s="1075"/>
      <c r="C825" s="1075"/>
      <c r="D825" s="1075"/>
      <c r="E825" s="1075" t="s">
        <v>10870</v>
      </c>
      <c r="F825" s="1076"/>
      <c r="G825" s="1075" t="s">
        <v>9065</v>
      </c>
      <c r="H825" s="1075" t="s">
        <v>9065</v>
      </c>
      <c r="I825" s="1075" t="s">
        <v>7355</v>
      </c>
      <c r="J825" s="1075"/>
      <c r="K825" s="1075"/>
      <c r="L825" s="1075" t="s">
        <v>9888</v>
      </c>
      <c r="M825" s="1077" t="s">
        <v>7354</v>
      </c>
      <c r="N825" s="1078">
        <v>6512400</v>
      </c>
      <c r="O825" s="1078"/>
      <c r="P825" s="1078"/>
      <c r="Q825" s="1079"/>
      <c r="V825" s="1084"/>
    </row>
    <row r="826" spans="1:22" s="1082" customFormat="1" ht="24" customHeight="1">
      <c r="A826" s="1075">
        <v>807</v>
      </c>
      <c r="B826" s="1075"/>
      <c r="C826" s="1075"/>
      <c r="D826" s="1075"/>
      <c r="E826" s="1075" t="s">
        <v>10871</v>
      </c>
      <c r="F826" s="1076"/>
      <c r="G826" s="1075" t="s">
        <v>9065</v>
      </c>
      <c r="H826" s="1075" t="s">
        <v>9065</v>
      </c>
      <c r="I826" s="1075" t="s">
        <v>7357</v>
      </c>
      <c r="J826" s="1075"/>
      <c r="K826" s="1075"/>
      <c r="L826" s="1075" t="s">
        <v>9888</v>
      </c>
      <c r="M826" s="1077" t="s">
        <v>7356</v>
      </c>
      <c r="N826" s="1078">
        <v>6512400</v>
      </c>
      <c r="O826" s="1078"/>
      <c r="P826" s="1078"/>
      <c r="Q826" s="1079"/>
      <c r="V826" s="1084"/>
    </row>
    <row r="827" spans="1:22" s="1082" customFormat="1" ht="24" customHeight="1">
      <c r="A827" s="1075">
        <v>808</v>
      </c>
      <c r="B827" s="1075"/>
      <c r="C827" s="1075"/>
      <c r="D827" s="1075"/>
      <c r="E827" s="1075" t="s">
        <v>10872</v>
      </c>
      <c r="F827" s="1076"/>
      <c r="G827" s="1075" t="s">
        <v>9065</v>
      </c>
      <c r="H827" s="1075" t="s">
        <v>9065</v>
      </c>
      <c r="I827" s="1075" t="s">
        <v>7359</v>
      </c>
      <c r="J827" s="1075"/>
      <c r="K827" s="1075"/>
      <c r="L827" s="1075" t="s">
        <v>9888</v>
      </c>
      <c r="M827" s="1077" t="s">
        <v>7358</v>
      </c>
      <c r="N827" s="1078">
        <v>6512400</v>
      </c>
      <c r="O827" s="1078"/>
      <c r="P827" s="1078"/>
      <c r="Q827" s="1079"/>
      <c r="V827" s="1084"/>
    </row>
    <row r="828" spans="1:22" s="1082" customFormat="1" ht="24" customHeight="1">
      <c r="A828" s="1075">
        <v>809</v>
      </c>
      <c r="B828" s="1075"/>
      <c r="C828" s="1075"/>
      <c r="D828" s="1075"/>
      <c r="E828" s="1075" t="s">
        <v>10873</v>
      </c>
      <c r="F828" s="1076"/>
      <c r="G828" s="1075" t="s">
        <v>9065</v>
      </c>
      <c r="H828" s="1075" t="s">
        <v>9065</v>
      </c>
      <c r="I828" s="1075" t="s">
        <v>7361</v>
      </c>
      <c r="J828" s="1075"/>
      <c r="K828" s="1075"/>
      <c r="L828" s="1075" t="s">
        <v>9888</v>
      </c>
      <c r="M828" s="1077" t="s">
        <v>7360</v>
      </c>
      <c r="N828" s="1078">
        <v>6512400</v>
      </c>
      <c r="O828" s="1078"/>
      <c r="P828" s="1078"/>
      <c r="Q828" s="1079"/>
      <c r="V828" s="1084"/>
    </row>
    <row r="829" spans="1:22" s="1082" customFormat="1" ht="24" customHeight="1">
      <c r="A829" s="1075">
        <v>810</v>
      </c>
      <c r="B829" s="1075"/>
      <c r="C829" s="1075"/>
      <c r="D829" s="1075"/>
      <c r="E829" s="1075" t="s">
        <v>10874</v>
      </c>
      <c r="F829" s="1076"/>
      <c r="G829" s="1075" t="s">
        <v>9065</v>
      </c>
      <c r="H829" s="1075" t="s">
        <v>9065</v>
      </c>
      <c r="I829" s="1075" t="s">
        <v>7363</v>
      </c>
      <c r="J829" s="1075"/>
      <c r="K829" s="1075"/>
      <c r="L829" s="1075" t="s">
        <v>9888</v>
      </c>
      <c r="M829" s="1077" t="s">
        <v>7362</v>
      </c>
      <c r="N829" s="1078">
        <v>6512400</v>
      </c>
      <c r="O829" s="1078"/>
      <c r="P829" s="1078"/>
      <c r="Q829" s="1079"/>
      <c r="V829" s="1084"/>
    </row>
    <row r="830" spans="1:22" s="1082" customFormat="1" ht="24" customHeight="1">
      <c r="A830" s="1075">
        <v>811</v>
      </c>
      <c r="B830" s="1075"/>
      <c r="C830" s="1075"/>
      <c r="D830" s="1075"/>
      <c r="E830" s="1075" t="s">
        <v>10875</v>
      </c>
      <c r="F830" s="1076"/>
      <c r="G830" s="1075" t="s">
        <v>9065</v>
      </c>
      <c r="H830" s="1075" t="s">
        <v>9065</v>
      </c>
      <c r="I830" s="1075" t="s">
        <v>7365</v>
      </c>
      <c r="J830" s="1075"/>
      <c r="K830" s="1075"/>
      <c r="L830" s="1075" t="s">
        <v>9888</v>
      </c>
      <c r="M830" s="1077" t="s">
        <v>7364</v>
      </c>
      <c r="N830" s="1078">
        <v>6512400</v>
      </c>
      <c r="O830" s="1078"/>
      <c r="P830" s="1078"/>
      <c r="Q830" s="1079"/>
      <c r="V830" s="1084"/>
    </row>
    <row r="831" spans="1:22" s="1082" customFormat="1" ht="24" customHeight="1">
      <c r="A831" s="1075">
        <v>812</v>
      </c>
      <c r="B831" s="1075"/>
      <c r="C831" s="1075"/>
      <c r="D831" s="1075"/>
      <c r="E831" s="1075" t="s">
        <v>10876</v>
      </c>
      <c r="F831" s="1076"/>
      <c r="G831" s="1075" t="s">
        <v>9065</v>
      </c>
      <c r="H831" s="1075" t="s">
        <v>9065</v>
      </c>
      <c r="I831" s="1075" t="s">
        <v>7367</v>
      </c>
      <c r="J831" s="1075"/>
      <c r="K831" s="1075"/>
      <c r="L831" s="1075" t="s">
        <v>9888</v>
      </c>
      <c r="M831" s="1077" t="s">
        <v>7366</v>
      </c>
      <c r="N831" s="1078">
        <v>6512400</v>
      </c>
      <c r="O831" s="1078"/>
      <c r="P831" s="1078"/>
      <c r="Q831" s="1079"/>
      <c r="V831" s="1084"/>
    </row>
    <row r="832" spans="1:22" s="1082" customFormat="1" ht="24" customHeight="1">
      <c r="A832" s="1075">
        <v>813</v>
      </c>
      <c r="B832" s="1075"/>
      <c r="C832" s="1075"/>
      <c r="D832" s="1075"/>
      <c r="E832" s="1075" t="s">
        <v>10880</v>
      </c>
      <c r="F832" s="1076"/>
      <c r="G832" s="1075" t="s">
        <v>9065</v>
      </c>
      <c r="H832" s="1075" t="s">
        <v>9065</v>
      </c>
      <c r="I832" s="1075" t="s">
        <v>7373</v>
      </c>
      <c r="J832" s="1075"/>
      <c r="K832" s="1075"/>
      <c r="L832" s="1075" t="s">
        <v>9888</v>
      </c>
      <c r="M832" s="1077" t="s">
        <v>7372</v>
      </c>
      <c r="N832" s="1078">
        <v>6512400</v>
      </c>
      <c r="O832" s="1078"/>
      <c r="P832" s="1078"/>
      <c r="Q832" s="1079"/>
      <c r="V832" s="1084"/>
    </row>
    <row r="833" spans="1:22" s="1082" customFormat="1" ht="24" customHeight="1">
      <c r="A833" s="1075">
        <v>814</v>
      </c>
      <c r="B833" s="1075"/>
      <c r="C833" s="1075"/>
      <c r="D833" s="1075"/>
      <c r="E833" s="1075" t="s">
        <v>10881</v>
      </c>
      <c r="F833" s="1076"/>
      <c r="G833" s="1075" t="s">
        <v>9065</v>
      </c>
      <c r="H833" s="1075" t="s">
        <v>9065</v>
      </c>
      <c r="I833" s="1075" t="s">
        <v>7375</v>
      </c>
      <c r="J833" s="1075"/>
      <c r="K833" s="1075"/>
      <c r="L833" s="1075" t="s">
        <v>9888</v>
      </c>
      <c r="M833" s="1077" t="s">
        <v>7374</v>
      </c>
      <c r="N833" s="1078">
        <v>6512400</v>
      </c>
      <c r="O833" s="1078"/>
      <c r="P833" s="1078"/>
      <c r="Q833" s="1079"/>
      <c r="V833" s="1084"/>
    </row>
    <row r="834" spans="1:22" s="1082" customFormat="1" ht="24" customHeight="1">
      <c r="A834" s="1075">
        <v>815</v>
      </c>
      <c r="B834" s="1075"/>
      <c r="C834" s="1075"/>
      <c r="D834" s="1075"/>
      <c r="E834" s="1075" t="s">
        <v>10882</v>
      </c>
      <c r="F834" s="1076"/>
      <c r="G834" s="1075" t="s">
        <v>9065</v>
      </c>
      <c r="H834" s="1075" t="s">
        <v>9065</v>
      </c>
      <c r="I834" s="1075" t="s">
        <v>7377</v>
      </c>
      <c r="J834" s="1075"/>
      <c r="K834" s="1075"/>
      <c r="L834" s="1075" t="s">
        <v>9888</v>
      </c>
      <c r="M834" s="1077" t="s">
        <v>7376</v>
      </c>
      <c r="N834" s="1078">
        <v>6512400</v>
      </c>
      <c r="O834" s="1078"/>
      <c r="P834" s="1078"/>
      <c r="Q834" s="1079"/>
      <c r="V834" s="1084"/>
    </row>
    <row r="835" spans="1:22" s="1082" customFormat="1" ht="24" customHeight="1">
      <c r="A835" s="1075">
        <v>816</v>
      </c>
      <c r="B835" s="1075"/>
      <c r="C835" s="1075"/>
      <c r="D835" s="1075"/>
      <c r="E835" s="1075" t="s">
        <v>10883</v>
      </c>
      <c r="F835" s="1076"/>
      <c r="G835" s="1075" t="s">
        <v>9065</v>
      </c>
      <c r="H835" s="1075" t="s">
        <v>9065</v>
      </c>
      <c r="I835" s="1075" t="s">
        <v>7379</v>
      </c>
      <c r="J835" s="1075"/>
      <c r="K835" s="1075"/>
      <c r="L835" s="1075" t="s">
        <v>9888</v>
      </c>
      <c r="M835" s="1077" t="s">
        <v>7378</v>
      </c>
      <c r="N835" s="1078">
        <v>6512400</v>
      </c>
      <c r="O835" s="1078"/>
      <c r="P835" s="1078"/>
      <c r="Q835" s="1079"/>
      <c r="V835" s="1084"/>
    </row>
    <row r="836" spans="1:22" s="1082" customFormat="1" ht="24" customHeight="1">
      <c r="A836" s="1075">
        <v>817</v>
      </c>
      <c r="B836" s="1075"/>
      <c r="C836" s="1075"/>
      <c r="D836" s="1075"/>
      <c r="E836" s="1075" t="s">
        <v>10884</v>
      </c>
      <c r="F836" s="1076"/>
      <c r="G836" s="1075" t="s">
        <v>9065</v>
      </c>
      <c r="H836" s="1075" t="s">
        <v>9065</v>
      </c>
      <c r="I836" s="1075" t="s">
        <v>7381</v>
      </c>
      <c r="J836" s="1075"/>
      <c r="K836" s="1075"/>
      <c r="L836" s="1075" t="s">
        <v>9888</v>
      </c>
      <c r="M836" s="1077" t="s">
        <v>7380</v>
      </c>
      <c r="N836" s="1078">
        <v>6512400</v>
      </c>
      <c r="O836" s="1078"/>
      <c r="P836" s="1078"/>
      <c r="Q836" s="1079"/>
      <c r="V836" s="1084"/>
    </row>
    <row r="837" spans="1:22" s="1082" customFormat="1" ht="24" customHeight="1">
      <c r="A837" s="1075">
        <v>818</v>
      </c>
      <c r="B837" s="1075"/>
      <c r="C837" s="1075"/>
      <c r="D837" s="1075"/>
      <c r="E837" s="1075" t="s">
        <v>10885</v>
      </c>
      <c r="F837" s="1076"/>
      <c r="G837" s="1075" t="s">
        <v>9065</v>
      </c>
      <c r="H837" s="1075" t="s">
        <v>9065</v>
      </c>
      <c r="I837" s="1075" t="s">
        <v>7383</v>
      </c>
      <c r="J837" s="1075"/>
      <c r="K837" s="1075"/>
      <c r="L837" s="1075" t="s">
        <v>9888</v>
      </c>
      <c r="M837" s="1077" t="s">
        <v>7382</v>
      </c>
      <c r="N837" s="1078">
        <v>6512400</v>
      </c>
      <c r="O837" s="1078"/>
      <c r="P837" s="1078"/>
      <c r="Q837" s="1079"/>
      <c r="V837" s="1084"/>
    </row>
    <row r="838" spans="1:22" s="1082" customFormat="1" ht="24" customHeight="1">
      <c r="A838" s="1075">
        <v>819</v>
      </c>
      <c r="B838" s="1075"/>
      <c r="C838" s="1075"/>
      <c r="D838" s="1075"/>
      <c r="E838" s="1075" t="s">
        <v>10886</v>
      </c>
      <c r="F838" s="1076"/>
      <c r="G838" s="1075" t="s">
        <v>9065</v>
      </c>
      <c r="H838" s="1075" t="s">
        <v>9065</v>
      </c>
      <c r="I838" s="1075" t="s">
        <v>7385</v>
      </c>
      <c r="J838" s="1075"/>
      <c r="K838" s="1075"/>
      <c r="L838" s="1075" t="s">
        <v>9888</v>
      </c>
      <c r="M838" s="1077" t="s">
        <v>7384</v>
      </c>
      <c r="N838" s="1078">
        <v>6512400</v>
      </c>
      <c r="O838" s="1078"/>
      <c r="P838" s="1078"/>
      <c r="Q838" s="1079"/>
      <c r="V838" s="1084"/>
    </row>
    <row r="839" spans="1:22" s="1082" customFormat="1" ht="24" customHeight="1">
      <c r="A839" s="1075">
        <v>820</v>
      </c>
      <c r="B839" s="376" t="s">
        <v>1595</v>
      </c>
      <c r="C839" s="376"/>
      <c r="D839" s="376"/>
      <c r="E839" s="1075" t="s">
        <v>10887</v>
      </c>
      <c r="F839" s="1076"/>
      <c r="G839" s="1075" t="s">
        <v>9065</v>
      </c>
      <c r="H839" s="1075" t="s">
        <v>9065</v>
      </c>
      <c r="I839" s="1075" t="s">
        <v>5847</v>
      </c>
      <c r="J839" s="1075" t="s">
        <v>2040</v>
      </c>
      <c r="K839" s="1075" t="s">
        <v>2039</v>
      </c>
      <c r="L839" s="1075" t="s">
        <v>5130</v>
      </c>
      <c r="M839" s="1077" t="s">
        <v>5846</v>
      </c>
      <c r="N839" s="1078">
        <v>6512400</v>
      </c>
      <c r="O839" s="1078" t="s">
        <v>375</v>
      </c>
      <c r="P839" s="1078"/>
      <c r="Q839" s="1079"/>
      <c r="V839" s="1084"/>
    </row>
    <row r="840" spans="1:22" s="1082" customFormat="1" ht="24" customHeight="1">
      <c r="A840" s="1075">
        <v>821</v>
      </c>
      <c r="B840" s="1075"/>
      <c r="C840" s="1075"/>
      <c r="D840" s="1075"/>
      <c r="E840" s="1075" t="s">
        <v>10888</v>
      </c>
      <c r="F840" s="1076"/>
      <c r="G840" s="1075" t="s">
        <v>9065</v>
      </c>
      <c r="H840" s="1075" t="s">
        <v>9065</v>
      </c>
      <c r="I840" s="1075" t="s">
        <v>7387</v>
      </c>
      <c r="J840" s="1075"/>
      <c r="K840" s="1075"/>
      <c r="L840" s="1075" t="s">
        <v>9888</v>
      </c>
      <c r="M840" s="1077" t="s">
        <v>7386</v>
      </c>
      <c r="N840" s="1078">
        <v>6512400</v>
      </c>
      <c r="O840" s="1078"/>
      <c r="P840" s="1078"/>
      <c r="Q840" s="1079"/>
      <c r="V840" s="1084"/>
    </row>
    <row r="841" spans="1:22" s="1082" customFormat="1" ht="24" customHeight="1">
      <c r="A841" s="1075">
        <v>822</v>
      </c>
      <c r="B841" s="1075"/>
      <c r="C841" s="1075"/>
      <c r="D841" s="1075"/>
      <c r="E841" s="1075" t="s">
        <v>10889</v>
      </c>
      <c r="F841" s="1076"/>
      <c r="G841" s="1075" t="s">
        <v>9065</v>
      </c>
      <c r="H841" s="1075" t="s">
        <v>9065</v>
      </c>
      <c r="I841" s="1075" t="s">
        <v>7389</v>
      </c>
      <c r="J841" s="1075"/>
      <c r="K841" s="1075"/>
      <c r="L841" s="1075" t="s">
        <v>9888</v>
      </c>
      <c r="M841" s="1077" t="s">
        <v>7388</v>
      </c>
      <c r="N841" s="1078">
        <v>6512400</v>
      </c>
      <c r="O841" s="1078"/>
      <c r="P841" s="1078"/>
      <c r="Q841" s="1079"/>
      <c r="V841" s="1084"/>
    </row>
    <row r="842" spans="1:22" s="1082" customFormat="1" ht="24" customHeight="1">
      <c r="A842" s="1075">
        <v>823</v>
      </c>
      <c r="B842" s="1075"/>
      <c r="C842" s="1075"/>
      <c r="D842" s="1075"/>
      <c r="E842" s="1075" t="s">
        <v>10890</v>
      </c>
      <c r="F842" s="1076"/>
      <c r="G842" s="1075" t="s">
        <v>9065</v>
      </c>
      <c r="H842" s="1075" t="s">
        <v>9065</v>
      </c>
      <c r="I842" s="1075" t="s">
        <v>7391</v>
      </c>
      <c r="J842" s="1075"/>
      <c r="K842" s="1075"/>
      <c r="L842" s="1075" t="s">
        <v>9888</v>
      </c>
      <c r="M842" s="1077" t="s">
        <v>7390</v>
      </c>
      <c r="N842" s="1078">
        <v>6512400</v>
      </c>
      <c r="O842" s="1078"/>
      <c r="P842" s="1078"/>
      <c r="Q842" s="1079"/>
      <c r="V842" s="1084"/>
    </row>
    <row r="843" spans="1:22" s="1082" customFormat="1" ht="24" customHeight="1">
      <c r="A843" s="1075">
        <v>824</v>
      </c>
      <c r="B843" s="1075"/>
      <c r="C843" s="1075"/>
      <c r="D843" s="1075"/>
      <c r="E843" s="1075" t="s">
        <v>10891</v>
      </c>
      <c r="F843" s="1076"/>
      <c r="G843" s="1075" t="s">
        <v>9065</v>
      </c>
      <c r="H843" s="1075" t="s">
        <v>9065</v>
      </c>
      <c r="I843" s="1075" t="s">
        <v>7393</v>
      </c>
      <c r="J843" s="1075"/>
      <c r="K843" s="1075"/>
      <c r="L843" s="1075" t="s">
        <v>9888</v>
      </c>
      <c r="M843" s="1077" t="s">
        <v>7392</v>
      </c>
      <c r="N843" s="1078">
        <v>6512400</v>
      </c>
      <c r="O843" s="1078"/>
      <c r="P843" s="1078"/>
      <c r="Q843" s="1079"/>
      <c r="V843" s="1084"/>
    </row>
    <row r="844" spans="1:22" s="1082" customFormat="1" ht="24" customHeight="1">
      <c r="A844" s="1075">
        <v>825</v>
      </c>
      <c r="B844" s="1075"/>
      <c r="C844" s="1075"/>
      <c r="D844" s="1075"/>
      <c r="E844" s="1075" t="s">
        <v>10892</v>
      </c>
      <c r="F844" s="1076"/>
      <c r="G844" s="1075" t="s">
        <v>9065</v>
      </c>
      <c r="H844" s="1075" t="s">
        <v>9065</v>
      </c>
      <c r="I844" s="1075" t="s">
        <v>7395</v>
      </c>
      <c r="J844" s="1075"/>
      <c r="K844" s="1075"/>
      <c r="L844" s="1075" t="s">
        <v>9888</v>
      </c>
      <c r="M844" s="1077" t="s">
        <v>7394</v>
      </c>
      <c r="N844" s="1078">
        <v>6512400</v>
      </c>
      <c r="O844" s="1078"/>
      <c r="P844" s="1078"/>
      <c r="Q844" s="1079"/>
      <c r="V844" s="1084"/>
    </row>
    <row r="845" spans="1:22" s="1082" customFormat="1" ht="24" customHeight="1">
      <c r="A845" s="1075">
        <v>826</v>
      </c>
      <c r="B845" s="1075"/>
      <c r="C845" s="1075"/>
      <c r="D845" s="1075"/>
      <c r="E845" s="1075" t="s">
        <v>10893</v>
      </c>
      <c r="F845" s="1076"/>
      <c r="G845" s="1075" t="s">
        <v>9065</v>
      </c>
      <c r="H845" s="1075" t="s">
        <v>9065</v>
      </c>
      <c r="I845" s="1075" t="s">
        <v>7397</v>
      </c>
      <c r="J845" s="1075"/>
      <c r="K845" s="1075"/>
      <c r="L845" s="1075" t="s">
        <v>9888</v>
      </c>
      <c r="M845" s="1077" t="s">
        <v>7396</v>
      </c>
      <c r="N845" s="1078">
        <v>6512400</v>
      </c>
      <c r="O845" s="1078"/>
      <c r="P845" s="1078"/>
      <c r="Q845" s="1079"/>
      <c r="V845" s="1084"/>
    </row>
    <row r="846" spans="1:22" s="1082" customFormat="1" ht="24" customHeight="1">
      <c r="A846" s="1075">
        <v>827</v>
      </c>
      <c r="B846" s="1075"/>
      <c r="C846" s="1075"/>
      <c r="D846" s="1075"/>
      <c r="E846" s="1075" t="s">
        <v>10895</v>
      </c>
      <c r="F846" s="1076"/>
      <c r="G846" s="1075" t="s">
        <v>9065</v>
      </c>
      <c r="H846" s="1075" t="s">
        <v>9065</v>
      </c>
      <c r="I846" s="1075" t="s">
        <v>7399</v>
      </c>
      <c r="J846" s="1075"/>
      <c r="K846" s="1075"/>
      <c r="L846" s="1075" t="s">
        <v>9888</v>
      </c>
      <c r="M846" s="1077" t="s">
        <v>7398</v>
      </c>
      <c r="N846" s="1078">
        <v>6512400</v>
      </c>
      <c r="O846" s="1078"/>
      <c r="P846" s="1078"/>
      <c r="Q846" s="1079"/>
      <c r="V846" s="1084"/>
    </row>
    <row r="847" spans="1:22" s="1082" customFormat="1" ht="24" customHeight="1">
      <c r="A847" s="1075">
        <v>828</v>
      </c>
      <c r="B847" s="1075"/>
      <c r="C847" s="1075"/>
      <c r="D847" s="1075"/>
      <c r="E847" s="1075" t="s">
        <v>10896</v>
      </c>
      <c r="F847" s="1076"/>
      <c r="G847" s="1075" t="s">
        <v>9065</v>
      </c>
      <c r="H847" s="1075" t="s">
        <v>9065</v>
      </c>
      <c r="I847" s="1075" t="s">
        <v>7401</v>
      </c>
      <c r="J847" s="1075"/>
      <c r="K847" s="1075"/>
      <c r="L847" s="1075" t="s">
        <v>9888</v>
      </c>
      <c r="M847" s="1077" t="s">
        <v>7400</v>
      </c>
      <c r="N847" s="1078">
        <v>6512400</v>
      </c>
      <c r="O847" s="1078"/>
      <c r="P847" s="1078"/>
      <c r="Q847" s="1079"/>
      <c r="V847" s="1084"/>
    </row>
    <row r="848" spans="1:22" s="1082" customFormat="1" ht="24" customHeight="1">
      <c r="A848" s="1075">
        <v>829</v>
      </c>
      <c r="B848" s="1075" t="s">
        <v>2476</v>
      </c>
      <c r="C848" s="1075"/>
      <c r="D848" s="1075"/>
      <c r="E848" s="1075" t="s">
        <v>10897</v>
      </c>
      <c r="F848" s="1076"/>
      <c r="G848" s="1075" t="s">
        <v>9065</v>
      </c>
      <c r="H848" s="1075" t="s">
        <v>9065</v>
      </c>
      <c r="I848" s="1075" t="s">
        <v>5850</v>
      </c>
      <c r="J848" s="1075" t="s">
        <v>15573</v>
      </c>
      <c r="K848" s="1075" t="s">
        <v>15574</v>
      </c>
      <c r="L848" s="1075" t="s">
        <v>5130</v>
      </c>
      <c r="M848" s="1077" t="s">
        <v>5849</v>
      </c>
      <c r="N848" s="1078">
        <v>6512400</v>
      </c>
      <c r="O848" s="1078" t="s">
        <v>375</v>
      </c>
      <c r="P848" s="1078"/>
      <c r="Q848" s="1079"/>
      <c r="V848" s="1084"/>
    </row>
    <row r="849" spans="1:22" s="1082" customFormat="1" ht="24" customHeight="1">
      <c r="A849" s="1075">
        <v>830</v>
      </c>
      <c r="B849" s="1075"/>
      <c r="C849" s="1075"/>
      <c r="D849" s="1075"/>
      <c r="E849" s="1075" t="s">
        <v>10900</v>
      </c>
      <c r="F849" s="1076"/>
      <c r="G849" s="1075" t="s">
        <v>9065</v>
      </c>
      <c r="H849" s="1075" t="s">
        <v>9065</v>
      </c>
      <c r="I849" s="1075" t="s">
        <v>7407</v>
      </c>
      <c r="J849" s="1075"/>
      <c r="K849" s="1075"/>
      <c r="L849" s="1075" t="s">
        <v>9888</v>
      </c>
      <c r="M849" s="1077" t="s">
        <v>7406</v>
      </c>
      <c r="N849" s="1078">
        <v>6512400</v>
      </c>
      <c r="O849" s="1078"/>
      <c r="P849" s="1078"/>
      <c r="Q849" s="1079"/>
      <c r="V849" s="1084"/>
    </row>
    <row r="850" spans="1:22" s="1082" customFormat="1" ht="24" customHeight="1">
      <c r="A850" s="1075">
        <v>831</v>
      </c>
      <c r="B850" s="376" t="s">
        <v>1595</v>
      </c>
      <c r="C850" s="376"/>
      <c r="D850" s="376"/>
      <c r="E850" s="1075" t="s">
        <v>10901</v>
      </c>
      <c r="F850" s="1076"/>
      <c r="G850" s="1075" t="s">
        <v>9065</v>
      </c>
      <c r="H850" s="1075" t="s">
        <v>9065</v>
      </c>
      <c r="I850" s="1075" t="s">
        <v>5852</v>
      </c>
      <c r="J850" s="1075" t="s">
        <v>2128</v>
      </c>
      <c r="K850" s="1075" t="s">
        <v>2127</v>
      </c>
      <c r="L850" s="1075" t="s">
        <v>5130</v>
      </c>
      <c r="M850" s="1077" t="s">
        <v>5851</v>
      </c>
      <c r="N850" s="1078">
        <v>6512400</v>
      </c>
      <c r="O850" s="1078" t="s">
        <v>375</v>
      </c>
      <c r="P850" s="1078"/>
      <c r="Q850" s="1079"/>
      <c r="V850" s="1084"/>
    </row>
    <row r="851" spans="1:22" s="1082" customFormat="1" ht="24" customHeight="1">
      <c r="A851" s="1075">
        <v>832</v>
      </c>
      <c r="B851" s="1075"/>
      <c r="C851" s="1075"/>
      <c r="D851" s="1075"/>
      <c r="E851" s="1075" t="s">
        <v>10902</v>
      </c>
      <c r="F851" s="1076"/>
      <c r="G851" s="1075" t="s">
        <v>9065</v>
      </c>
      <c r="H851" s="1075" t="s">
        <v>9065</v>
      </c>
      <c r="I851" s="1075" t="s">
        <v>7409</v>
      </c>
      <c r="J851" s="1075"/>
      <c r="K851" s="1075"/>
      <c r="L851" s="1075" t="s">
        <v>9888</v>
      </c>
      <c r="M851" s="1077" t="s">
        <v>7408</v>
      </c>
      <c r="N851" s="1078">
        <v>6512400</v>
      </c>
      <c r="O851" s="1078"/>
      <c r="P851" s="1078"/>
      <c r="Q851" s="1079"/>
      <c r="V851" s="1084"/>
    </row>
    <row r="852" spans="1:22" s="1082" customFormat="1" ht="24" customHeight="1">
      <c r="A852" s="1075">
        <v>833</v>
      </c>
      <c r="B852" s="1075"/>
      <c r="C852" s="1075"/>
      <c r="D852" s="1075"/>
      <c r="E852" s="1075" t="s">
        <v>10903</v>
      </c>
      <c r="F852" s="1076"/>
      <c r="G852" s="1075" t="s">
        <v>9065</v>
      </c>
      <c r="H852" s="1075" t="s">
        <v>9065</v>
      </c>
      <c r="I852" s="1075" t="s">
        <v>7411</v>
      </c>
      <c r="J852" s="1075"/>
      <c r="K852" s="1075"/>
      <c r="L852" s="1075" t="s">
        <v>9888</v>
      </c>
      <c r="M852" s="1077" t="s">
        <v>7410</v>
      </c>
      <c r="N852" s="1078">
        <v>6512400</v>
      </c>
      <c r="O852" s="1078"/>
      <c r="P852" s="1078"/>
      <c r="Q852" s="1079"/>
      <c r="V852" s="1084"/>
    </row>
    <row r="853" spans="1:22" s="1082" customFormat="1" ht="24" customHeight="1">
      <c r="A853" s="1075">
        <v>834</v>
      </c>
      <c r="B853" s="1075"/>
      <c r="C853" s="1075"/>
      <c r="D853" s="1075"/>
      <c r="E853" s="1075" t="s">
        <v>10904</v>
      </c>
      <c r="F853" s="1076"/>
      <c r="G853" s="1075" t="s">
        <v>9065</v>
      </c>
      <c r="H853" s="1075" t="s">
        <v>9065</v>
      </c>
      <c r="I853" s="1075" t="s">
        <v>7413</v>
      </c>
      <c r="J853" s="1075"/>
      <c r="K853" s="1075"/>
      <c r="L853" s="1075" t="s">
        <v>9888</v>
      </c>
      <c r="M853" s="1077" t="s">
        <v>7412</v>
      </c>
      <c r="N853" s="1078">
        <v>6512400</v>
      </c>
      <c r="O853" s="1078"/>
      <c r="P853" s="1078"/>
      <c r="Q853" s="1079"/>
      <c r="V853" s="1084"/>
    </row>
    <row r="854" spans="1:22" s="1082" customFormat="1" ht="24" customHeight="1">
      <c r="A854" s="1075">
        <v>835</v>
      </c>
      <c r="B854" s="376" t="s">
        <v>1595</v>
      </c>
      <c r="C854" s="376"/>
      <c r="D854" s="376"/>
      <c r="E854" s="1075" t="s">
        <v>10906</v>
      </c>
      <c r="F854" s="1076"/>
      <c r="G854" s="1075" t="s">
        <v>9065</v>
      </c>
      <c r="H854" s="1075" t="s">
        <v>9065</v>
      </c>
      <c r="I854" s="1075" t="s">
        <v>5856</v>
      </c>
      <c r="J854" s="1075" t="s">
        <v>12015</v>
      </c>
      <c r="K854" s="1075" t="s">
        <v>2008</v>
      </c>
      <c r="L854" s="1075" t="s">
        <v>5130</v>
      </c>
      <c r="M854" s="1077" t="s">
        <v>5855</v>
      </c>
      <c r="N854" s="1078">
        <v>6512400</v>
      </c>
      <c r="O854" s="1078" t="s">
        <v>375</v>
      </c>
      <c r="P854" s="1078"/>
      <c r="Q854" s="1079"/>
      <c r="V854" s="1084"/>
    </row>
    <row r="855" spans="1:22" s="1082" customFormat="1" ht="24" customHeight="1">
      <c r="A855" s="1075">
        <v>836</v>
      </c>
      <c r="B855" s="1075"/>
      <c r="C855" s="1075"/>
      <c r="D855" s="1075"/>
      <c r="E855" s="1075" t="s">
        <v>10907</v>
      </c>
      <c r="F855" s="1076"/>
      <c r="G855" s="1075" t="s">
        <v>9065</v>
      </c>
      <c r="H855" s="1075" t="s">
        <v>9065</v>
      </c>
      <c r="I855" s="1075" t="s">
        <v>7415</v>
      </c>
      <c r="J855" s="1075"/>
      <c r="K855" s="1075"/>
      <c r="L855" s="1075" t="s">
        <v>9888</v>
      </c>
      <c r="M855" s="1077" t="s">
        <v>7414</v>
      </c>
      <c r="N855" s="1078">
        <v>6512400</v>
      </c>
      <c r="O855" s="1078"/>
      <c r="P855" s="1078"/>
      <c r="Q855" s="1079"/>
      <c r="V855" s="1084"/>
    </row>
    <row r="856" spans="1:22" s="1082" customFormat="1" ht="24" customHeight="1">
      <c r="A856" s="1075">
        <v>837</v>
      </c>
      <c r="B856" s="376" t="s">
        <v>1595</v>
      </c>
      <c r="C856" s="376"/>
      <c r="D856" s="376"/>
      <c r="E856" s="1075" t="s">
        <v>10908</v>
      </c>
      <c r="F856" s="1076"/>
      <c r="G856" s="1075" t="s">
        <v>9065</v>
      </c>
      <c r="H856" s="1075" t="s">
        <v>9699</v>
      </c>
      <c r="I856" s="1075" t="s">
        <v>5858</v>
      </c>
      <c r="J856" s="1075" t="s">
        <v>2018</v>
      </c>
      <c r="K856" s="1075" t="s">
        <v>2017</v>
      </c>
      <c r="L856" s="1075" t="s">
        <v>5130</v>
      </c>
      <c r="M856" s="1077" t="s">
        <v>5857</v>
      </c>
      <c r="N856" s="1078">
        <v>6512400</v>
      </c>
      <c r="O856" s="1078" t="s">
        <v>985</v>
      </c>
      <c r="P856" s="1078"/>
      <c r="Q856" s="1079"/>
      <c r="V856" s="1084"/>
    </row>
    <row r="857" spans="1:22" s="1082" customFormat="1" ht="24" customHeight="1">
      <c r="A857" s="1075">
        <v>838</v>
      </c>
      <c r="B857" s="1075"/>
      <c r="C857" s="1075"/>
      <c r="D857" s="1075"/>
      <c r="E857" s="1075" t="s">
        <v>10910</v>
      </c>
      <c r="F857" s="1076"/>
      <c r="G857" s="1075" t="s">
        <v>9065</v>
      </c>
      <c r="H857" s="1075" t="s">
        <v>9065</v>
      </c>
      <c r="I857" s="1075" t="s">
        <v>5860</v>
      </c>
      <c r="J857" s="1075" t="s">
        <v>15652</v>
      </c>
      <c r="K857" s="1075" t="s">
        <v>15653</v>
      </c>
      <c r="L857" s="1075" t="s">
        <v>5130</v>
      </c>
      <c r="M857" s="1077" t="s">
        <v>5859</v>
      </c>
      <c r="N857" s="1078">
        <v>6512400</v>
      </c>
      <c r="O857" s="1078"/>
      <c r="P857" s="1078"/>
      <c r="Q857" s="1079"/>
      <c r="V857" s="1084"/>
    </row>
    <row r="858" spans="1:22" s="1082" customFormat="1" ht="24" customHeight="1">
      <c r="A858" s="1075">
        <v>839</v>
      </c>
      <c r="B858" s="1075"/>
      <c r="C858" s="1075"/>
      <c r="D858" s="1075"/>
      <c r="E858" s="1075" t="s">
        <v>10911</v>
      </c>
      <c r="F858" s="1076"/>
      <c r="G858" s="1075" t="s">
        <v>9065</v>
      </c>
      <c r="H858" s="1075" t="s">
        <v>9065</v>
      </c>
      <c r="I858" s="1075" t="s">
        <v>7419</v>
      </c>
      <c r="J858" s="1075"/>
      <c r="K858" s="1075"/>
      <c r="L858" s="1075" t="s">
        <v>9888</v>
      </c>
      <c r="M858" s="1077" t="s">
        <v>7418</v>
      </c>
      <c r="N858" s="1078">
        <v>6512400</v>
      </c>
      <c r="O858" s="1078"/>
      <c r="P858" s="1078"/>
      <c r="Q858" s="1079"/>
      <c r="V858" s="1084"/>
    </row>
    <row r="859" spans="1:22" s="1082" customFormat="1" ht="24" customHeight="1">
      <c r="A859" s="1075">
        <v>840</v>
      </c>
      <c r="B859" s="1075"/>
      <c r="C859" s="1075"/>
      <c r="D859" s="1075"/>
      <c r="E859" s="1075" t="s">
        <v>10912</v>
      </c>
      <c r="F859" s="1076"/>
      <c r="G859" s="1075" t="s">
        <v>9065</v>
      </c>
      <c r="H859" s="1075" t="s">
        <v>9065</v>
      </c>
      <c r="I859" s="1075" t="s">
        <v>7421</v>
      </c>
      <c r="J859" s="1075"/>
      <c r="K859" s="1075"/>
      <c r="L859" s="1075" t="s">
        <v>9888</v>
      </c>
      <c r="M859" s="1077" t="s">
        <v>7420</v>
      </c>
      <c r="N859" s="1078">
        <v>6512400</v>
      </c>
      <c r="O859" s="1078"/>
      <c r="P859" s="1078"/>
      <c r="Q859" s="1079"/>
      <c r="V859" s="1084"/>
    </row>
    <row r="860" spans="1:22" s="1082" customFormat="1" ht="24" customHeight="1">
      <c r="A860" s="1075">
        <v>841</v>
      </c>
      <c r="B860" s="1075"/>
      <c r="C860" s="1075"/>
      <c r="D860" s="1075"/>
      <c r="E860" s="1075" t="s">
        <v>10914</v>
      </c>
      <c r="F860" s="1076"/>
      <c r="G860" s="1075" t="s">
        <v>9065</v>
      </c>
      <c r="H860" s="1075" t="s">
        <v>9065</v>
      </c>
      <c r="I860" s="1075" t="s">
        <v>7423</v>
      </c>
      <c r="J860" s="1075"/>
      <c r="K860" s="1075"/>
      <c r="L860" s="1075" t="s">
        <v>9888</v>
      </c>
      <c r="M860" s="1077" t="s">
        <v>7422</v>
      </c>
      <c r="N860" s="1078">
        <v>6512400</v>
      </c>
      <c r="O860" s="1078"/>
      <c r="P860" s="1078"/>
      <c r="Q860" s="1079"/>
      <c r="V860" s="1084"/>
    </row>
    <row r="861" spans="1:22" s="1082" customFormat="1" ht="24" customHeight="1">
      <c r="A861" s="1075">
        <v>842</v>
      </c>
      <c r="B861" s="1075"/>
      <c r="C861" s="1075"/>
      <c r="D861" s="1075"/>
      <c r="E861" s="1075" t="s">
        <v>10915</v>
      </c>
      <c r="F861" s="1076"/>
      <c r="G861" s="1075" t="s">
        <v>9065</v>
      </c>
      <c r="H861" s="1075" t="s">
        <v>9065</v>
      </c>
      <c r="I861" s="1075" t="s">
        <v>7425</v>
      </c>
      <c r="J861" s="1075"/>
      <c r="K861" s="1075"/>
      <c r="L861" s="1075" t="s">
        <v>9888</v>
      </c>
      <c r="M861" s="1077" t="s">
        <v>7424</v>
      </c>
      <c r="N861" s="1078">
        <v>6512400</v>
      </c>
      <c r="O861" s="1078"/>
      <c r="P861" s="1078"/>
      <c r="Q861" s="1079"/>
      <c r="V861" s="1084"/>
    </row>
    <row r="862" spans="1:22" s="1082" customFormat="1" ht="24" customHeight="1">
      <c r="A862" s="1075">
        <v>843</v>
      </c>
      <c r="B862" s="1075"/>
      <c r="C862" s="1075"/>
      <c r="D862" s="1075"/>
      <c r="E862" s="1075" t="s">
        <v>10916</v>
      </c>
      <c r="F862" s="1076"/>
      <c r="G862" s="1075" t="s">
        <v>9065</v>
      </c>
      <c r="H862" s="1075" t="s">
        <v>9065</v>
      </c>
      <c r="I862" s="1075" t="s">
        <v>7427</v>
      </c>
      <c r="J862" s="1075"/>
      <c r="K862" s="1075"/>
      <c r="L862" s="1075" t="s">
        <v>9888</v>
      </c>
      <c r="M862" s="1077" t="s">
        <v>7426</v>
      </c>
      <c r="N862" s="1078">
        <v>6512400</v>
      </c>
      <c r="O862" s="1078"/>
      <c r="P862" s="1078"/>
      <c r="Q862" s="1079"/>
      <c r="V862" s="1084"/>
    </row>
    <row r="863" spans="1:22" s="1082" customFormat="1" ht="24" customHeight="1">
      <c r="A863" s="1075">
        <v>844</v>
      </c>
      <c r="B863" s="376" t="s">
        <v>1595</v>
      </c>
      <c r="C863" s="376"/>
      <c r="D863" s="376"/>
      <c r="E863" s="1075" t="s">
        <v>10917</v>
      </c>
      <c r="F863" s="1076"/>
      <c r="G863" s="1075" t="s">
        <v>9065</v>
      </c>
      <c r="H863" s="1075" t="s">
        <v>9065</v>
      </c>
      <c r="I863" s="1075" t="s">
        <v>5864</v>
      </c>
      <c r="J863" s="1075" t="s">
        <v>2054</v>
      </c>
      <c r="K863" s="1075" t="s">
        <v>2053</v>
      </c>
      <c r="L863" s="1075" t="s">
        <v>5130</v>
      </c>
      <c r="M863" s="1077" t="s">
        <v>5863</v>
      </c>
      <c r="N863" s="1078">
        <v>6512400</v>
      </c>
      <c r="O863" s="1078" t="s">
        <v>375</v>
      </c>
      <c r="P863" s="1078"/>
      <c r="Q863" s="1079"/>
      <c r="V863" s="1084"/>
    </row>
    <row r="864" spans="1:22" s="1082" customFormat="1" ht="24" customHeight="1">
      <c r="A864" s="1075">
        <v>845</v>
      </c>
      <c r="B864" s="1075"/>
      <c r="C864" s="1075"/>
      <c r="D864" s="1075"/>
      <c r="E864" s="1075" t="s">
        <v>10918</v>
      </c>
      <c r="F864" s="1076"/>
      <c r="G864" s="1075" t="s">
        <v>9065</v>
      </c>
      <c r="H864" s="1075" t="s">
        <v>9065</v>
      </c>
      <c r="I864" s="1075" t="s">
        <v>7429</v>
      </c>
      <c r="J864" s="1075"/>
      <c r="K864" s="1075"/>
      <c r="L864" s="1075" t="s">
        <v>9888</v>
      </c>
      <c r="M864" s="1077" t="s">
        <v>7428</v>
      </c>
      <c r="N864" s="1078">
        <v>6512400</v>
      </c>
      <c r="O864" s="1078"/>
      <c r="P864" s="1078"/>
      <c r="Q864" s="1079"/>
      <c r="V864" s="1084"/>
    </row>
    <row r="865" spans="1:22" s="1082" customFormat="1" ht="24" customHeight="1">
      <c r="A865" s="1075">
        <v>846</v>
      </c>
      <c r="B865" s="1075" t="s">
        <v>3212</v>
      </c>
      <c r="C865" s="1075"/>
      <c r="D865" s="1075"/>
      <c r="E865" s="1075" t="s">
        <v>10920</v>
      </c>
      <c r="F865" s="1076"/>
      <c r="G865" s="1075" t="s">
        <v>9065</v>
      </c>
      <c r="H865" s="1075" t="s">
        <v>9065</v>
      </c>
      <c r="I865" s="1075" t="s">
        <v>5868</v>
      </c>
      <c r="J865" s="1075" t="s">
        <v>15569</v>
      </c>
      <c r="K865" s="1075" t="s">
        <v>15570</v>
      </c>
      <c r="L865" s="1075" t="s">
        <v>5130</v>
      </c>
      <c r="M865" s="1077" t="s">
        <v>5867</v>
      </c>
      <c r="N865" s="1078">
        <v>6512400</v>
      </c>
      <c r="O865" s="1078" t="s">
        <v>375</v>
      </c>
      <c r="P865" s="1078"/>
      <c r="Q865" s="1079"/>
      <c r="V865" s="1084"/>
    </row>
    <row r="866" spans="1:22" s="1082" customFormat="1" ht="24" customHeight="1">
      <c r="A866" s="1075">
        <v>847</v>
      </c>
      <c r="B866" s="1075"/>
      <c r="C866" s="1075"/>
      <c r="D866" s="1075"/>
      <c r="E866" s="1075" t="s">
        <v>10921</v>
      </c>
      <c r="F866" s="1076"/>
      <c r="G866" s="1075" t="s">
        <v>9065</v>
      </c>
      <c r="H866" s="1075" t="s">
        <v>9065</v>
      </c>
      <c r="I866" s="1075" t="s">
        <v>7431</v>
      </c>
      <c r="J866" s="1075"/>
      <c r="K866" s="1075"/>
      <c r="L866" s="1075" t="s">
        <v>9888</v>
      </c>
      <c r="M866" s="1077" t="s">
        <v>7430</v>
      </c>
      <c r="N866" s="1078">
        <v>6512400</v>
      </c>
      <c r="O866" s="1078"/>
      <c r="P866" s="1078"/>
      <c r="Q866" s="1079"/>
      <c r="V866" s="1084"/>
    </row>
    <row r="867" spans="1:22" s="1082" customFormat="1" ht="24" customHeight="1">
      <c r="A867" s="1075">
        <v>848</v>
      </c>
      <c r="B867" s="1075"/>
      <c r="C867" s="1075"/>
      <c r="D867" s="1075"/>
      <c r="E867" s="1075" t="s">
        <v>10922</v>
      </c>
      <c r="F867" s="1076"/>
      <c r="G867" s="1075" t="s">
        <v>9065</v>
      </c>
      <c r="H867" s="1075" t="s">
        <v>9065</v>
      </c>
      <c r="I867" s="1075" t="s">
        <v>7433</v>
      </c>
      <c r="J867" s="1075"/>
      <c r="K867" s="1075"/>
      <c r="L867" s="1075" t="s">
        <v>9888</v>
      </c>
      <c r="M867" s="1077" t="s">
        <v>7432</v>
      </c>
      <c r="N867" s="1078">
        <v>6512400</v>
      </c>
      <c r="O867" s="1078"/>
      <c r="P867" s="1078"/>
      <c r="Q867" s="1079"/>
      <c r="V867" s="1084"/>
    </row>
    <row r="868" spans="1:22" s="1082" customFormat="1" ht="24" customHeight="1">
      <c r="A868" s="1075">
        <v>849</v>
      </c>
      <c r="B868" s="1075"/>
      <c r="C868" s="1075"/>
      <c r="D868" s="1075"/>
      <c r="E868" s="1075" t="s">
        <v>10923</v>
      </c>
      <c r="F868" s="1076"/>
      <c r="G868" s="1075" t="s">
        <v>9065</v>
      </c>
      <c r="H868" s="1075" t="s">
        <v>9065</v>
      </c>
      <c r="I868" s="1075" t="s">
        <v>7435</v>
      </c>
      <c r="J868" s="1075"/>
      <c r="K868" s="1075"/>
      <c r="L868" s="1075" t="s">
        <v>9888</v>
      </c>
      <c r="M868" s="1077" t="s">
        <v>7434</v>
      </c>
      <c r="N868" s="1078">
        <v>6512400</v>
      </c>
      <c r="O868" s="1078"/>
      <c r="P868" s="1078"/>
      <c r="Q868" s="1079"/>
      <c r="V868" s="1084"/>
    </row>
    <row r="869" spans="1:22" s="1082" customFormat="1" ht="24" customHeight="1">
      <c r="A869" s="1075">
        <v>850</v>
      </c>
      <c r="B869" s="376" t="s">
        <v>1595</v>
      </c>
      <c r="C869" s="376"/>
      <c r="D869" s="376"/>
      <c r="E869" s="1075" t="s">
        <v>10924</v>
      </c>
      <c r="F869" s="1076"/>
      <c r="G869" s="1075" t="s">
        <v>9065</v>
      </c>
      <c r="H869" s="1075" t="s">
        <v>9065</v>
      </c>
      <c r="I869" s="1075" t="s">
        <v>5870</v>
      </c>
      <c r="J869" s="1075" t="s">
        <v>2097</v>
      </c>
      <c r="K869" s="1075" t="s">
        <v>2096</v>
      </c>
      <c r="L869" s="1075" t="s">
        <v>5130</v>
      </c>
      <c r="M869" s="1077" t="s">
        <v>5869</v>
      </c>
      <c r="N869" s="1078">
        <v>6512400</v>
      </c>
      <c r="O869" s="1078" t="s">
        <v>375</v>
      </c>
      <c r="P869" s="1078"/>
      <c r="Q869" s="1079"/>
      <c r="V869" s="1084"/>
    </row>
    <row r="870" spans="1:22" s="1082" customFormat="1" ht="24" customHeight="1">
      <c r="A870" s="1075">
        <v>851</v>
      </c>
      <c r="B870" s="376" t="s">
        <v>1595</v>
      </c>
      <c r="C870" s="376"/>
      <c r="D870" s="376"/>
      <c r="E870" s="1075" t="s">
        <v>10925</v>
      </c>
      <c r="F870" s="1076"/>
      <c r="G870" s="1075" t="s">
        <v>9065</v>
      </c>
      <c r="H870" s="1075" t="s">
        <v>9065</v>
      </c>
      <c r="I870" s="1075" t="s">
        <v>5872</v>
      </c>
      <c r="J870" s="1075" t="s">
        <v>2168</v>
      </c>
      <c r="K870" s="1075" t="s">
        <v>15914</v>
      </c>
      <c r="L870" s="1075" t="s">
        <v>5130</v>
      </c>
      <c r="M870" s="1077" t="s">
        <v>5871</v>
      </c>
      <c r="N870" s="1078">
        <v>6512400</v>
      </c>
      <c r="O870" s="1078" t="s">
        <v>375</v>
      </c>
      <c r="P870" s="1078"/>
      <c r="Q870" s="1079"/>
      <c r="V870" s="1084"/>
    </row>
    <row r="871" spans="1:22" s="1082" customFormat="1" ht="24" customHeight="1">
      <c r="A871" s="1075">
        <v>852</v>
      </c>
      <c r="B871" s="1075"/>
      <c r="C871" s="1075"/>
      <c r="D871" s="1075"/>
      <c r="E871" s="1075" t="s">
        <v>10926</v>
      </c>
      <c r="F871" s="1076"/>
      <c r="G871" s="1075" t="s">
        <v>9065</v>
      </c>
      <c r="H871" s="1075" t="s">
        <v>9065</v>
      </c>
      <c r="I871" s="1075" t="s">
        <v>7437</v>
      </c>
      <c r="J871" s="1075"/>
      <c r="K871" s="1075"/>
      <c r="L871" s="1075" t="s">
        <v>9888</v>
      </c>
      <c r="M871" s="1077" t="s">
        <v>7436</v>
      </c>
      <c r="N871" s="1078">
        <v>6512400</v>
      </c>
      <c r="O871" s="1078"/>
      <c r="P871" s="1078"/>
      <c r="Q871" s="1079"/>
      <c r="V871" s="1084"/>
    </row>
    <row r="872" spans="1:22" s="1082" customFormat="1" ht="24" customHeight="1">
      <c r="A872" s="1075">
        <v>853</v>
      </c>
      <c r="B872" s="1075"/>
      <c r="C872" s="1075"/>
      <c r="D872" s="1075"/>
      <c r="E872" s="1075" t="s">
        <v>10928</v>
      </c>
      <c r="F872" s="1076"/>
      <c r="G872" s="1075" t="s">
        <v>9065</v>
      </c>
      <c r="H872" s="1075" t="s">
        <v>9065</v>
      </c>
      <c r="I872" s="1075" t="s">
        <v>7441</v>
      </c>
      <c r="J872" s="1075"/>
      <c r="K872" s="1075"/>
      <c r="L872" s="1075" t="s">
        <v>9888</v>
      </c>
      <c r="M872" s="1077" t="s">
        <v>7440</v>
      </c>
      <c r="N872" s="1078">
        <v>6512400</v>
      </c>
      <c r="O872" s="1078"/>
      <c r="P872" s="1078"/>
      <c r="Q872" s="1079"/>
      <c r="V872" s="1084"/>
    </row>
    <row r="873" spans="1:22" s="1082" customFormat="1" ht="24" customHeight="1">
      <c r="A873" s="1075">
        <v>854</v>
      </c>
      <c r="B873" s="1075"/>
      <c r="C873" s="1075"/>
      <c r="D873" s="1075"/>
      <c r="E873" s="1075" t="s">
        <v>10930</v>
      </c>
      <c r="F873" s="1076"/>
      <c r="G873" s="1075" t="s">
        <v>9065</v>
      </c>
      <c r="H873" s="1075" t="s">
        <v>9065</v>
      </c>
      <c r="I873" s="1075" t="s">
        <v>7445</v>
      </c>
      <c r="J873" s="1075"/>
      <c r="K873" s="1075"/>
      <c r="L873" s="1075" t="s">
        <v>9888</v>
      </c>
      <c r="M873" s="1077" t="s">
        <v>7444</v>
      </c>
      <c r="N873" s="1078">
        <v>6512400</v>
      </c>
      <c r="O873" s="1078"/>
      <c r="P873" s="1078"/>
      <c r="Q873" s="1079"/>
      <c r="V873" s="1084"/>
    </row>
    <row r="874" spans="1:22" s="1082" customFormat="1" ht="24" customHeight="1">
      <c r="A874" s="1075">
        <v>855</v>
      </c>
      <c r="B874" s="1075"/>
      <c r="C874" s="1075"/>
      <c r="D874" s="1075"/>
      <c r="E874" s="1075" t="s">
        <v>10932</v>
      </c>
      <c r="F874" s="1076"/>
      <c r="G874" s="1075" t="s">
        <v>9065</v>
      </c>
      <c r="H874" s="1075" t="s">
        <v>9065</v>
      </c>
      <c r="I874" s="1075" t="s">
        <v>7449</v>
      </c>
      <c r="J874" s="1075"/>
      <c r="K874" s="1075"/>
      <c r="L874" s="1075" t="s">
        <v>9888</v>
      </c>
      <c r="M874" s="1077" t="s">
        <v>7448</v>
      </c>
      <c r="N874" s="1078">
        <v>6512400</v>
      </c>
      <c r="O874" s="1078"/>
      <c r="P874" s="1078"/>
      <c r="Q874" s="1079"/>
      <c r="V874" s="1084"/>
    </row>
    <row r="875" spans="1:22" s="1082" customFormat="1" ht="24" customHeight="1">
      <c r="A875" s="1075">
        <v>856</v>
      </c>
      <c r="B875" s="1075"/>
      <c r="C875" s="1075"/>
      <c r="D875" s="1075"/>
      <c r="E875" s="1075" t="s">
        <v>10933</v>
      </c>
      <c r="F875" s="1076"/>
      <c r="G875" s="1075" t="s">
        <v>9065</v>
      </c>
      <c r="H875" s="1075" t="s">
        <v>9065</v>
      </c>
      <c r="I875" s="1075" t="s">
        <v>7451</v>
      </c>
      <c r="J875" s="1075"/>
      <c r="K875" s="1075"/>
      <c r="L875" s="1075" t="s">
        <v>9888</v>
      </c>
      <c r="M875" s="1077" t="s">
        <v>7450</v>
      </c>
      <c r="N875" s="1078">
        <v>6512400</v>
      </c>
      <c r="O875" s="1078"/>
      <c r="P875" s="1078"/>
      <c r="Q875" s="1079"/>
      <c r="V875" s="1084"/>
    </row>
    <row r="876" spans="1:22" s="1082" customFormat="1" ht="24" customHeight="1">
      <c r="A876" s="1075">
        <v>857</v>
      </c>
      <c r="B876" s="1075"/>
      <c r="C876" s="1075"/>
      <c r="D876" s="1075"/>
      <c r="E876" s="1075" t="s">
        <v>10935</v>
      </c>
      <c r="F876" s="1076"/>
      <c r="G876" s="1075" t="s">
        <v>9065</v>
      </c>
      <c r="H876" s="1075" t="s">
        <v>9065</v>
      </c>
      <c r="I876" s="1075" t="s">
        <v>7453</v>
      </c>
      <c r="J876" s="1075"/>
      <c r="K876" s="1075"/>
      <c r="L876" s="1075" t="s">
        <v>9888</v>
      </c>
      <c r="M876" s="1077" t="s">
        <v>7452</v>
      </c>
      <c r="N876" s="1078">
        <v>6512400</v>
      </c>
      <c r="O876" s="1078"/>
      <c r="P876" s="1078"/>
      <c r="Q876" s="1079"/>
      <c r="V876" s="1084"/>
    </row>
    <row r="877" spans="1:22" s="1082" customFormat="1" ht="24" customHeight="1">
      <c r="A877" s="1075">
        <v>858</v>
      </c>
      <c r="B877" s="1075"/>
      <c r="C877" s="1075"/>
      <c r="D877" s="1075"/>
      <c r="E877" s="1075" t="s">
        <v>10936</v>
      </c>
      <c r="F877" s="1076"/>
      <c r="G877" s="1075" t="s">
        <v>9065</v>
      </c>
      <c r="H877" s="1075" t="s">
        <v>9065</v>
      </c>
      <c r="I877" s="1075" t="s">
        <v>7455</v>
      </c>
      <c r="J877" s="1075"/>
      <c r="K877" s="1075"/>
      <c r="L877" s="1075" t="s">
        <v>9888</v>
      </c>
      <c r="M877" s="1077" t="s">
        <v>7454</v>
      </c>
      <c r="N877" s="1078">
        <v>6512400</v>
      </c>
      <c r="O877" s="1078"/>
      <c r="P877" s="1078"/>
      <c r="Q877" s="1079"/>
      <c r="V877" s="1084"/>
    </row>
    <row r="878" spans="1:22" s="1082" customFormat="1" ht="24" customHeight="1">
      <c r="A878" s="1075">
        <v>859</v>
      </c>
      <c r="B878" s="1075"/>
      <c r="C878" s="1075"/>
      <c r="D878" s="1075"/>
      <c r="E878" s="1075" t="s">
        <v>10937</v>
      </c>
      <c r="F878" s="1076"/>
      <c r="G878" s="1075" t="s">
        <v>9065</v>
      </c>
      <c r="H878" s="1075" t="s">
        <v>9065</v>
      </c>
      <c r="I878" s="1075" t="s">
        <v>7457</v>
      </c>
      <c r="J878" s="1075"/>
      <c r="K878" s="1075"/>
      <c r="L878" s="1075" t="s">
        <v>9888</v>
      </c>
      <c r="M878" s="1077" t="s">
        <v>7456</v>
      </c>
      <c r="N878" s="1078">
        <v>6512400</v>
      </c>
      <c r="O878" s="1078"/>
      <c r="P878" s="1078"/>
      <c r="Q878" s="1079"/>
      <c r="V878" s="1084"/>
    </row>
    <row r="879" spans="1:22" s="1082" customFormat="1" ht="24" customHeight="1">
      <c r="A879" s="1075">
        <v>860</v>
      </c>
      <c r="B879" s="1075"/>
      <c r="C879" s="1075"/>
      <c r="D879" s="1075"/>
      <c r="E879" s="1075" t="s">
        <v>10938</v>
      </c>
      <c r="F879" s="1076"/>
      <c r="G879" s="1075" t="s">
        <v>9065</v>
      </c>
      <c r="H879" s="1075" t="s">
        <v>9065</v>
      </c>
      <c r="I879" s="1075" t="s">
        <v>7459</v>
      </c>
      <c r="J879" s="1075"/>
      <c r="K879" s="1075"/>
      <c r="L879" s="1075" t="s">
        <v>9888</v>
      </c>
      <c r="M879" s="1077" t="s">
        <v>7458</v>
      </c>
      <c r="N879" s="1078">
        <v>6512400</v>
      </c>
      <c r="O879" s="1078"/>
      <c r="P879" s="1078"/>
      <c r="Q879" s="1079"/>
      <c r="V879" s="1084"/>
    </row>
    <row r="880" spans="1:22" s="1082" customFormat="1" ht="24" customHeight="1">
      <c r="A880" s="1075">
        <v>861</v>
      </c>
      <c r="B880" s="1075"/>
      <c r="C880" s="1075"/>
      <c r="D880" s="1075"/>
      <c r="E880" s="1075" t="s">
        <v>10939</v>
      </c>
      <c r="F880" s="1076"/>
      <c r="G880" s="1075" t="s">
        <v>9065</v>
      </c>
      <c r="H880" s="1075" t="s">
        <v>9065</v>
      </c>
      <c r="I880" s="1075" t="s">
        <v>7461</v>
      </c>
      <c r="J880" s="1075"/>
      <c r="K880" s="1075"/>
      <c r="L880" s="1075" t="s">
        <v>9888</v>
      </c>
      <c r="M880" s="1077" t="s">
        <v>7460</v>
      </c>
      <c r="N880" s="1078">
        <v>6512400</v>
      </c>
      <c r="O880" s="1078"/>
      <c r="P880" s="1078"/>
      <c r="Q880" s="1079"/>
      <c r="V880" s="1084"/>
    </row>
    <row r="881" spans="1:22" s="1082" customFormat="1" ht="24" customHeight="1">
      <c r="A881" s="1075">
        <v>862</v>
      </c>
      <c r="B881" s="1075"/>
      <c r="C881" s="1075"/>
      <c r="D881" s="1075"/>
      <c r="E881" s="1075" t="s">
        <v>10940</v>
      </c>
      <c r="F881" s="1076"/>
      <c r="G881" s="1075" t="s">
        <v>9065</v>
      </c>
      <c r="H881" s="1075" t="s">
        <v>9065</v>
      </c>
      <c r="I881" s="1075" t="s">
        <v>7463</v>
      </c>
      <c r="J881" s="1075"/>
      <c r="K881" s="1075"/>
      <c r="L881" s="1075" t="s">
        <v>9888</v>
      </c>
      <c r="M881" s="1077" t="s">
        <v>7462</v>
      </c>
      <c r="N881" s="1078">
        <v>6512400</v>
      </c>
      <c r="O881" s="1078"/>
      <c r="P881" s="1078"/>
      <c r="Q881" s="1079"/>
      <c r="V881" s="1084"/>
    </row>
    <row r="882" spans="1:22" s="1082" customFormat="1" ht="24" customHeight="1">
      <c r="A882" s="1075">
        <v>863</v>
      </c>
      <c r="B882" s="1075"/>
      <c r="C882" s="1075"/>
      <c r="D882" s="1075"/>
      <c r="E882" s="1075" t="s">
        <v>10941</v>
      </c>
      <c r="F882" s="1076"/>
      <c r="G882" s="1075" t="s">
        <v>9065</v>
      </c>
      <c r="H882" s="1075" t="s">
        <v>9065</v>
      </c>
      <c r="I882" s="1075" t="s">
        <v>7465</v>
      </c>
      <c r="J882" s="1075"/>
      <c r="K882" s="1075"/>
      <c r="L882" s="1075" t="s">
        <v>9888</v>
      </c>
      <c r="M882" s="1077" t="s">
        <v>7464</v>
      </c>
      <c r="N882" s="1078">
        <v>6512400</v>
      </c>
      <c r="O882" s="1078"/>
      <c r="P882" s="1078"/>
      <c r="Q882" s="1079"/>
      <c r="V882" s="1084"/>
    </row>
    <row r="883" spans="1:22" s="1082" customFormat="1" ht="24" customHeight="1">
      <c r="A883" s="1075">
        <v>864</v>
      </c>
      <c r="B883" s="1075"/>
      <c r="C883" s="1075"/>
      <c r="D883" s="1075"/>
      <c r="E883" s="1075" t="s">
        <v>10942</v>
      </c>
      <c r="F883" s="1076"/>
      <c r="G883" s="1075" t="s">
        <v>9065</v>
      </c>
      <c r="H883" s="1075" t="s">
        <v>9065</v>
      </c>
      <c r="I883" s="1075" t="s">
        <v>7467</v>
      </c>
      <c r="J883" s="1075"/>
      <c r="K883" s="1075"/>
      <c r="L883" s="1075" t="s">
        <v>9888</v>
      </c>
      <c r="M883" s="1077" t="s">
        <v>7466</v>
      </c>
      <c r="N883" s="1078">
        <v>6512400</v>
      </c>
      <c r="O883" s="1078"/>
      <c r="P883" s="1078"/>
      <c r="Q883" s="1079"/>
      <c r="V883" s="1084"/>
    </row>
    <row r="884" spans="1:22" s="1082" customFormat="1" ht="24" customHeight="1">
      <c r="A884" s="1075">
        <v>865</v>
      </c>
      <c r="B884" s="1075"/>
      <c r="C884" s="1075"/>
      <c r="D884" s="1075"/>
      <c r="E884" s="1075" t="s">
        <v>10943</v>
      </c>
      <c r="F884" s="1076"/>
      <c r="G884" s="1075" t="s">
        <v>9065</v>
      </c>
      <c r="H884" s="1075" t="s">
        <v>9065</v>
      </c>
      <c r="I884" s="1075" t="s">
        <v>7469</v>
      </c>
      <c r="J884" s="1075"/>
      <c r="K884" s="1075"/>
      <c r="L884" s="1075" t="s">
        <v>9888</v>
      </c>
      <c r="M884" s="1077" t="s">
        <v>7468</v>
      </c>
      <c r="N884" s="1078">
        <v>6512400</v>
      </c>
      <c r="O884" s="1078"/>
      <c r="P884" s="1078"/>
      <c r="Q884" s="1079"/>
      <c r="V884" s="1084"/>
    </row>
    <row r="885" spans="1:22" s="1082" customFormat="1" ht="24" customHeight="1">
      <c r="A885" s="1075">
        <v>866</v>
      </c>
      <c r="B885" s="1075"/>
      <c r="C885" s="1075"/>
      <c r="D885" s="1075"/>
      <c r="E885" s="1075" t="s">
        <v>10944</v>
      </c>
      <c r="F885" s="1076"/>
      <c r="G885" s="1075" t="s">
        <v>9065</v>
      </c>
      <c r="H885" s="1075" t="s">
        <v>9065</v>
      </c>
      <c r="I885" s="1075" t="s">
        <v>7471</v>
      </c>
      <c r="J885" s="1075"/>
      <c r="K885" s="1075"/>
      <c r="L885" s="1075" t="s">
        <v>9888</v>
      </c>
      <c r="M885" s="1077" t="s">
        <v>7470</v>
      </c>
      <c r="N885" s="1078">
        <v>6512400</v>
      </c>
      <c r="O885" s="1078"/>
      <c r="P885" s="1078"/>
      <c r="Q885" s="1079"/>
      <c r="V885" s="1084"/>
    </row>
    <row r="886" spans="1:22" s="1082" customFormat="1" ht="24" customHeight="1">
      <c r="A886" s="1075">
        <v>867</v>
      </c>
      <c r="B886" s="1075"/>
      <c r="C886" s="1075"/>
      <c r="D886" s="1075"/>
      <c r="E886" s="1075" t="s">
        <v>10946</v>
      </c>
      <c r="F886" s="1076"/>
      <c r="G886" s="1075" t="s">
        <v>9065</v>
      </c>
      <c r="H886" s="1075" t="s">
        <v>9065</v>
      </c>
      <c r="I886" s="1075" t="s">
        <v>7475</v>
      </c>
      <c r="J886" s="1075"/>
      <c r="K886" s="1075"/>
      <c r="L886" s="1075" t="s">
        <v>9888</v>
      </c>
      <c r="M886" s="1077" t="s">
        <v>7474</v>
      </c>
      <c r="N886" s="1078">
        <v>6512400</v>
      </c>
      <c r="O886" s="1078"/>
      <c r="P886" s="1078"/>
      <c r="Q886" s="1079"/>
      <c r="V886" s="1084"/>
    </row>
    <row r="887" spans="1:22" s="1082" customFormat="1" ht="24" customHeight="1">
      <c r="A887" s="1075">
        <v>868</v>
      </c>
      <c r="B887" s="1075"/>
      <c r="C887" s="1075"/>
      <c r="D887" s="1075"/>
      <c r="E887" s="1075" t="s">
        <v>10947</v>
      </c>
      <c r="F887" s="1076"/>
      <c r="G887" s="1075" t="s">
        <v>9065</v>
      </c>
      <c r="H887" s="1075" t="s">
        <v>9065</v>
      </c>
      <c r="I887" s="1075" t="s">
        <v>7477</v>
      </c>
      <c r="J887" s="1075"/>
      <c r="K887" s="1075"/>
      <c r="L887" s="1075" t="s">
        <v>9888</v>
      </c>
      <c r="M887" s="1077" t="s">
        <v>7476</v>
      </c>
      <c r="N887" s="1078">
        <v>6512400</v>
      </c>
      <c r="O887" s="1078"/>
      <c r="P887" s="1078"/>
      <c r="Q887" s="1079"/>
      <c r="V887" s="1084"/>
    </row>
    <row r="888" spans="1:22" s="1082" customFormat="1" ht="24" customHeight="1">
      <c r="A888" s="1075">
        <v>869</v>
      </c>
      <c r="B888" s="1075"/>
      <c r="C888" s="1075"/>
      <c r="D888" s="1075"/>
      <c r="E888" s="1075" t="s">
        <v>10948</v>
      </c>
      <c r="F888" s="1076"/>
      <c r="G888" s="1075" t="s">
        <v>9065</v>
      </c>
      <c r="H888" s="1075" t="s">
        <v>9065</v>
      </c>
      <c r="I888" s="1075" t="s">
        <v>7479</v>
      </c>
      <c r="J888" s="1075"/>
      <c r="K888" s="1075"/>
      <c r="L888" s="1075" t="s">
        <v>9888</v>
      </c>
      <c r="M888" s="1077" t="s">
        <v>7478</v>
      </c>
      <c r="N888" s="1078">
        <v>6512400</v>
      </c>
      <c r="O888" s="1078"/>
      <c r="P888" s="1078"/>
      <c r="Q888" s="1079"/>
      <c r="V888" s="1084"/>
    </row>
    <row r="889" spans="1:22" s="1082" customFormat="1" ht="24" customHeight="1">
      <c r="A889" s="1075">
        <v>870</v>
      </c>
      <c r="B889" s="1075"/>
      <c r="C889" s="1075"/>
      <c r="D889" s="1075"/>
      <c r="E889" s="1075" t="s">
        <v>10950</v>
      </c>
      <c r="F889" s="1076"/>
      <c r="G889" s="1075" t="s">
        <v>9065</v>
      </c>
      <c r="H889" s="884" t="s">
        <v>9699</v>
      </c>
      <c r="I889" s="1075" t="s">
        <v>5876</v>
      </c>
      <c r="J889" s="1075" t="s">
        <v>15571</v>
      </c>
      <c r="K889" s="1075" t="s">
        <v>15572</v>
      </c>
      <c r="L889" s="1075" t="s">
        <v>5130</v>
      </c>
      <c r="M889" s="1077" t="s">
        <v>5875</v>
      </c>
      <c r="N889" s="1078">
        <v>6512400</v>
      </c>
      <c r="O889" s="1078" t="s">
        <v>375</v>
      </c>
      <c r="P889" s="1078"/>
      <c r="Q889" s="1079"/>
      <c r="V889" s="1084"/>
    </row>
    <row r="890" spans="1:22" s="1082" customFormat="1" ht="24" customHeight="1">
      <c r="A890" s="1075">
        <v>871</v>
      </c>
      <c r="B890" s="1075"/>
      <c r="C890" s="1075"/>
      <c r="D890" s="1075"/>
      <c r="E890" s="1075" t="s">
        <v>10951</v>
      </c>
      <c r="F890" s="1076"/>
      <c r="G890" s="1075" t="s">
        <v>9065</v>
      </c>
      <c r="H890" s="1075" t="s">
        <v>9065</v>
      </c>
      <c r="I890" s="1075" t="s">
        <v>7481</v>
      </c>
      <c r="J890" s="1075"/>
      <c r="K890" s="1075"/>
      <c r="L890" s="1075" t="s">
        <v>9888</v>
      </c>
      <c r="M890" s="1077" t="s">
        <v>7480</v>
      </c>
      <c r="N890" s="1078">
        <v>6512400</v>
      </c>
      <c r="O890" s="1078"/>
      <c r="P890" s="1078"/>
      <c r="Q890" s="1079"/>
      <c r="V890" s="1084"/>
    </row>
    <row r="891" spans="1:22" s="1082" customFormat="1" ht="24" customHeight="1">
      <c r="A891" s="1075">
        <v>872</v>
      </c>
      <c r="B891" s="1075"/>
      <c r="C891" s="1075"/>
      <c r="D891" s="1075"/>
      <c r="E891" s="1075" t="s">
        <v>10953</v>
      </c>
      <c r="F891" s="1076"/>
      <c r="G891" s="1075" t="s">
        <v>9065</v>
      </c>
      <c r="H891" s="1075" t="s">
        <v>9065</v>
      </c>
      <c r="I891" s="1075" t="s">
        <v>7485</v>
      </c>
      <c r="J891" s="1075"/>
      <c r="K891" s="1075"/>
      <c r="L891" s="1075" t="s">
        <v>9888</v>
      </c>
      <c r="M891" s="1077" t="s">
        <v>7484</v>
      </c>
      <c r="N891" s="1078">
        <v>6512400</v>
      </c>
      <c r="O891" s="1078"/>
      <c r="P891" s="1078"/>
      <c r="Q891" s="1079"/>
      <c r="V891" s="1084"/>
    </row>
    <row r="892" spans="1:22" s="1082" customFormat="1" ht="24" customHeight="1">
      <c r="A892" s="1075">
        <v>873</v>
      </c>
      <c r="B892" s="1075"/>
      <c r="C892" s="1075"/>
      <c r="D892" s="1075"/>
      <c r="E892" s="1075" t="s">
        <v>10954</v>
      </c>
      <c r="F892" s="1076"/>
      <c r="G892" s="1075" t="s">
        <v>9065</v>
      </c>
      <c r="H892" s="1075" t="s">
        <v>9065</v>
      </c>
      <c r="I892" s="1075" t="s">
        <v>7487</v>
      </c>
      <c r="J892" s="1075"/>
      <c r="K892" s="1075"/>
      <c r="L892" s="1075" t="s">
        <v>9888</v>
      </c>
      <c r="M892" s="1077" t="s">
        <v>7486</v>
      </c>
      <c r="N892" s="1078">
        <v>6512400</v>
      </c>
      <c r="O892" s="1078"/>
      <c r="P892" s="1078"/>
      <c r="Q892" s="1079"/>
      <c r="V892" s="1084"/>
    </row>
    <row r="893" spans="1:22" s="1082" customFormat="1" ht="24" customHeight="1">
      <c r="A893" s="1075">
        <v>874</v>
      </c>
      <c r="B893" s="1075" t="s">
        <v>1595</v>
      </c>
      <c r="C893" s="1075"/>
      <c r="D893" s="1075"/>
      <c r="E893" s="1075" t="s">
        <v>10955</v>
      </c>
      <c r="F893" s="1076"/>
      <c r="G893" s="1075" t="s">
        <v>9065</v>
      </c>
      <c r="H893" s="1075" t="s">
        <v>9065</v>
      </c>
      <c r="I893" s="1075" t="s">
        <v>5878</v>
      </c>
      <c r="J893" s="1075" t="s">
        <v>12042</v>
      </c>
      <c r="K893" s="1075" t="s">
        <v>2176</v>
      </c>
      <c r="L893" s="1075" t="s">
        <v>5130</v>
      </c>
      <c r="M893" s="1077" t="s">
        <v>5877</v>
      </c>
      <c r="N893" s="1078">
        <v>6512400</v>
      </c>
      <c r="O893" s="1078" t="s">
        <v>375</v>
      </c>
      <c r="P893" s="1078"/>
      <c r="Q893" s="1079"/>
      <c r="V893" s="1084"/>
    </row>
    <row r="894" spans="1:22" s="1082" customFormat="1" ht="24" customHeight="1">
      <c r="A894" s="1075">
        <v>875</v>
      </c>
      <c r="B894" s="1075"/>
      <c r="C894" s="1075"/>
      <c r="D894" s="1075"/>
      <c r="E894" s="1075" t="s">
        <v>10956</v>
      </c>
      <c r="F894" s="1076"/>
      <c r="G894" s="1075" t="s">
        <v>9065</v>
      </c>
      <c r="H894" s="1075" t="s">
        <v>9065</v>
      </c>
      <c r="I894" s="1075" t="s">
        <v>7489</v>
      </c>
      <c r="J894" s="1075"/>
      <c r="K894" s="1075"/>
      <c r="L894" s="1075" t="s">
        <v>9888</v>
      </c>
      <c r="M894" s="1077" t="s">
        <v>7488</v>
      </c>
      <c r="N894" s="1078">
        <v>6512400</v>
      </c>
      <c r="O894" s="1078"/>
      <c r="P894" s="1078"/>
      <c r="Q894" s="1079"/>
      <c r="V894" s="1084"/>
    </row>
    <row r="895" spans="1:22" s="1082" customFormat="1" ht="24" customHeight="1">
      <c r="A895" s="1075">
        <v>876</v>
      </c>
      <c r="B895" s="1075"/>
      <c r="C895" s="1075"/>
      <c r="D895" s="1075"/>
      <c r="E895" s="1075" t="s">
        <v>10957</v>
      </c>
      <c r="F895" s="1076"/>
      <c r="G895" s="1075" t="s">
        <v>9065</v>
      </c>
      <c r="H895" s="1075" t="s">
        <v>9065</v>
      </c>
      <c r="I895" s="1075" t="s">
        <v>7491</v>
      </c>
      <c r="J895" s="1075"/>
      <c r="K895" s="1075"/>
      <c r="L895" s="1075" t="s">
        <v>9888</v>
      </c>
      <c r="M895" s="1077" t="s">
        <v>7490</v>
      </c>
      <c r="N895" s="1078">
        <v>6512400</v>
      </c>
      <c r="O895" s="1078"/>
      <c r="P895" s="1078"/>
      <c r="Q895" s="1079"/>
      <c r="V895" s="1084"/>
    </row>
    <row r="896" spans="1:22" s="1082" customFormat="1" ht="24" customHeight="1">
      <c r="A896" s="1075">
        <v>877</v>
      </c>
      <c r="B896" s="1075"/>
      <c r="C896" s="1075"/>
      <c r="D896" s="1075"/>
      <c r="E896" s="1075" t="s">
        <v>10958</v>
      </c>
      <c r="F896" s="1076"/>
      <c r="G896" s="1075" t="s">
        <v>9065</v>
      </c>
      <c r="H896" s="1075" t="s">
        <v>9065</v>
      </c>
      <c r="I896" s="1075" t="s">
        <v>5880</v>
      </c>
      <c r="J896" s="1075" t="s">
        <v>1277</v>
      </c>
      <c r="K896" s="1075" t="s">
        <v>1276</v>
      </c>
      <c r="L896" s="1075" t="s">
        <v>5130</v>
      </c>
      <c r="M896" s="1077" t="s">
        <v>5879</v>
      </c>
      <c r="N896" s="1078">
        <v>6512400</v>
      </c>
      <c r="O896" s="1078" t="s">
        <v>375</v>
      </c>
      <c r="P896" s="1078"/>
      <c r="Q896" s="1079"/>
      <c r="V896" s="1084"/>
    </row>
    <row r="897" spans="1:22" s="1082" customFormat="1" ht="24" customHeight="1">
      <c r="A897" s="1075">
        <v>878</v>
      </c>
      <c r="B897" s="1075"/>
      <c r="C897" s="1075"/>
      <c r="D897" s="1075"/>
      <c r="E897" s="1075" t="s">
        <v>10959</v>
      </c>
      <c r="F897" s="1076"/>
      <c r="G897" s="1075" t="s">
        <v>9065</v>
      </c>
      <c r="H897" s="1075" t="s">
        <v>9065</v>
      </c>
      <c r="I897" s="1075" t="s">
        <v>5882</v>
      </c>
      <c r="J897" s="1075" t="s">
        <v>2148</v>
      </c>
      <c r="K897" s="1075" t="s">
        <v>15661</v>
      </c>
      <c r="L897" s="1075" t="s">
        <v>5130</v>
      </c>
      <c r="M897" s="1077" t="s">
        <v>5881</v>
      </c>
      <c r="N897" s="1078">
        <v>6512400</v>
      </c>
      <c r="O897" s="1078" t="s">
        <v>375</v>
      </c>
      <c r="P897" s="1078"/>
      <c r="Q897" s="1079"/>
      <c r="V897" s="1084"/>
    </row>
    <row r="898" spans="1:22" s="1082" customFormat="1" ht="24" customHeight="1">
      <c r="A898" s="1075">
        <v>879</v>
      </c>
      <c r="B898" s="1075"/>
      <c r="C898" s="1075"/>
      <c r="D898" s="1075"/>
      <c r="E898" s="1075" t="s">
        <v>10960</v>
      </c>
      <c r="F898" s="1076"/>
      <c r="G898" s="1075" t="s">
        <v>9065</v>
      </c>
      <c r="H898" s="1075" t="s">
        <v>9065</v>
      </c>
      <c r="I898" s="1075" t="s">
        <v>7493</v>
      </c>
      <c r="J898" s="1075"/>
      <c r="K898" s="1075"/>
      <c r="L898" s="1075" t="s">
        <v>9888</v>
      </c>
      <c r="M898" s="1077" t="s">
        <v>7492</v>
      </c>
      <c r="N898" s="1078">
        <v>6512400</v>
      </c>
      <c r="O898" s="1078"/>
      <c r="P898" s="1078"/>
      <c r="Q898" s="1079"/>
      <c r="V898" s="1084"/>
    </row>
    <row r="899" spans="1:22" s="1082" customFormat="1" ht="24" customHeight="1">
      <c r="A899" s="1075">
        <v>880</v>
      </c>
      <c r="B899" s="1075"/>
      <c r="C899" s="1075"/>
      <c r="D899" s="1075"/>
      <c r="E899" s="1075" t="s">
        <v>10961</v>
      </c>
      <c r="F899" s="1076"/>
      <c r="G899" s="1075" t="s">
        <v>9065</v>
      </c>
      <c r="H899" s="1075" t="s">
        <v>9065</v>
      </c>
      <c r="I899" s="1075" t="s">
        <v>7495</v>
      </c>
      <c r="J899" s="1075"/>
      <c r="K899" s="1075"/>
      <c r="L899" s="1075" t="s">
        <v>9888</v>
      </c>
      <c r="M899" s="1077" t="s">
        <v>7494</v>
      </c>
      <c r="N899" s="1078">
        <v>6512400</v>
      </c>
      <c r="O899" s="1078"/>
      <c r="P899" s="1078"/>
      <c r="Q899" s="1079"/>
      <c r="V899" s="1084"/>
    </row>
    <row r="900" spans="1:22" s="1082" customFormat="1" ht="24" customHeight="1">
      <c r="A900" s="1075">
        <v>881</v>
      </c>
      <c r="B900" s="1075"/>
      <c r="C900" s="1075"/>
      <c r="D900" s="1075"/>
      <c r="E900" s="1075" t="s">
        <v>10962</v>
      </c>
      <c r="F900" s="1076"/>
      <c r="G900" s="1075" t="s">
        <v>9065</v>
      </c>
      <c r="H900" s="1075" t="s">
        <v>9065</v>
      </c>
      <c r="I900" s="1075" t="s">
        <v>7497</v>
      </c>
      <c r="J900" s="1075"/>
      <c r="K900" s="1075"/>
      <c r="L900" s="1075" t="s">
        <v>9888</v>
      </c>
      <c r="M900" s="1077" t="s">
        <v>7496</v>
      </c>
      <c r="N900" s="1078">
        <v>6512400</v>
      </c>
      <c r="O900" s="1078"/>
      <c r="P900" s="1078"/>
      <c r="Q900" s="1079"/>
      <c r="V900" s="1084"/>
    </row>
    <row r="901" spans="1:22" s="1082" customFormat="1" ht="24" customHeight="1">
      <c r="A901" s="1075">
        <v>882</v>
      </c>
      <c r="B901" s="1075"/>
      <c r="C901" s="1075"/>
      <c r="D901" s="1075"/>
      <c r="E901" s="1075" t="s">
        <v>10963</v>
      </c>
      <c r="F901" s="1076"/>
      <c r="G901" s="1075" t="s">
        <v>9065</v>
      </c>
      <c r="H901" s="1075" t="s">
        <v>9065</v>
      </c>
      <c r="I901" s="1075" t="s">
        <v>7499</v>
      </c>
      <c r="J901" s="1075"/>
      <c r="K901" s="1075"/>
      <c r="L901" s="1075" t="s">
        <v>9888</v>
      </c>
      <c r="M901" s="1077" t="s">
        <v>7498</v>
      </c>
      <c r="N901" s="1078">
        <v>6512400</v>
      </c>
      <c r="O901" s="1078"/>
      <c r="P901" s="1078"/>
      <c r="Q901" s="1079"/>
      <c r="V901" s="1084"/>
    </row>
    <row r="902" spans="1:22" s="1082" customFormat="1" ht="24" customHeight="1">
      <c r="A902" s="1075">
        <v>883</v>
      </c>
      <c r="B902" s="1075" t="s">
        <v>423</v>
      </c>
      <c r="C902" s="1075"/>
      <c r="D902" s="1075"/>
      <c r="E902" s="1075" t="s">
        <v>10964</v>
      </c>
      <c r="F902" s="1076"/>
      <c r="G902" s="1075" t="s">
        <v>9065</v>
      </c>
      <c r="H902" s="1075" t="s">
        <v>9065</v>
      </c>
      <c r="I902" s="1075" t="s">
        <v>7501</v>
      </c>
      <c r="J902" s="1075" t="s">
        <v>1330</v>
      </c>
      <c r="K902" s="1075" t="s">
        <v>1329</v>
      </c>
      <c r="L902" s="1075" t="s">
        <v>9888</v>
      </c>
      <c r="M902" s="1077" t="s">
        <v>7500</v>
      </c>
      <c r="N902" s="1078">
        <v>6512400</v>
      </c>
      <c r="O902" s="1078" t="s">
        <v>375</v>
      </c>
      <c r="P902" s="1078"/>
      <c r="Q902" s="1079"/>
      <c r="V902" s="1084"/>
    </row>
    <row r="903" spans="1:22" s="1082" customFormat="1" ht="24" customHeight="1">
      <c r="A903" s="1075">
        <v>884</v>
      </c>
      <c r="B903" s="1075"/>
      <c r="C903" s="1075"/>
      <c r="D903" s="1075"/>
      <c r="E903" s="1075" t="s">
        <v>11444</v>
      </c>
      <c r="F903" s="1076"/>
      <c r="G903" s="1075" t="s">
        <v>9065</v>
      </c>
      <c r="H903" s="1075" t="s">
        <v>9065</v>
      </c>
      <c r="I903" s="1075" t="s">
        <v>11445</v>
      </c>
      <c r="J903" s="1075"/>
      <c r="K903" s="1075"/>
      <c r="L903" s="1075" t="s">
        <v>9888</v>
      </c>
      <c r="M903" s="1077" t="s">
        <v>11446</v>
      </c>
      <c r="N903" s="1078">
        <v>6512400</v>
      </c>
      <c r="O903" s="1078"/>
      <c r="P903" s="1078"/>
      <c r="Q903" s="1079"/>
      <c r="V903" s="1084"/>
    </row>
    <row r="904" spans="1:22" s="1082" customFormat="1" ht="24" customHeight="1">
      <c r="A904" s="1075">
        <v>885</v>
      </c>
      <c r="B904" s="1075"/>
      <c r="C904" s="1075"/>
      <c r="D904" s="1075"/>
      <c r="E904" s="1075" t="s">
        <v>10965</v>
      </c>
      <c r="F904" s="1076"/>
      <c r="G904" s="1075" t="s">
        <v>9065</v>
      </c>
      <c r="H904" s="1075" t="s">
        <v>9065</v>
      </c>
      <c r="I904" s="1075" t="s">
        <v>10966</v>
      </c>
      <c r="J904" s="1075"/>
      <c r="K904" s="1075"/>
      <c r="L904" s="1075" t="s">
        <v>9888</v>
      </c>
      <c r="M904" s="1077" t="s">
        <v>10967</v>
      </c>
      <c r="N904" s="1078">
        <v>6512400</v>
      </c>
      <c r="O904" s="1078"/>
      <c r="P904" s="1078"/>
      <c r="Q904" s="1079"/>
      <c r="V904" s="1084"/>
    </row>
    <row r="905" spans="1:22" s="1082" customFormat="1" ht="24" customHeight="1">
      <c r="A905" s="1075">
        <v>886</v>
      </c>
      <c r="B905" s="1075"/>
      <c r="C905" s="1075"/>
      <c r="D905" s="1075"/>
      <c r="E905" s="1075" t="s">
        <v>10968</v>
      </c>
      <c r="F905" s="1076"/>
      <c r="G905" s="1075" t="s">
        <v>9065</v>
      </c>
      <c r="H905" s="1075" t="s">
        <v>9065</v>
      </c>
      <c r="I905" s="1075" t="s">
        <v>10418</v>
      </c>
      <c r="J905" s="1075"/>
      <c r="K905" s="1075"/>
      <c r="L905" s="1075" t="s">
        <v>9888</v>
      </c>
      <c r="M905" s="1077" t="s">
        <v>10419</v>
      </c>
      <c r="N905" s="1078">
        <v>6512400</v>
      </c>
      <c r="O905" s="1078"/>
      <c r="P905" s="1078"/>
      <c r="Q905" s="1079"/>
      <c r="V905" s="1084"/>
    </row>
    <row r="906" spans="1:22" s="1082" customFormat="1" ht="24" customHeight="1">
      <c r="A906" s="1075">
        <v>887</v>
      </c>
      <c r="B906" s="1075"/>
      <c r="C906" s="1075"/>
      <c r="D906" s="1075"/>
      <c r="E906" s="1075" t="s">
        <v>15308</v>
      </c>
      <c r="F906" s="1076"/>
      <c r="G906" s="1075" t="s">
        <v>9065</v>
      </c>
      <c r="H906" s="1075" t="s">
        <v>9065</v>
      </c>
      <c r="I906" s="1075" t="s">
        <v>10969</v>
      </c>
      <c r="J906" s="1075"/>
      <c r="K906" s="1075"/>
      <c r="L906" s="1075" t="s">
        <v>9888</v>
      </c>
      <c r="M906" s="1077" t="s">
        <v>10970</v>
      </c>
      <c r="N906" s="1078">
        <v>6512400</v>
      </c>
      <c r="O906" s="1078"/>
      <c r="P906" s="1078"/>
      <c r="Q906" s="1079"/>
      <c r="V906" s="1084"/>
    </row>
    <row r="907" spans="1:22" s="1082" customFormat="1" ht="24" customHeight="1">
      <c r="A907" s="1075">
        <v>888</v>
      </c>
      <c r="B907" s="1075"/>
      <c r="C907" s="1075"/>
      <c r="D907" s="1075"/>
      <c r="E907" s="1075" t="s">
        <v>10971</v>
      </c>
      <c r="F907" s="1076"/>
      <c r="G907" s="1075" t="s">
        <v>9065</v>
      </c>
      <c r="H907" s="1075" t="s">
        <v>9065</v>
      </c>
      <c r="I907" s="1075" t="s">
        <v>10806</v>
      </c>
      <c r="J907" s="1075" t="s">
        <v>12065</v>
      </c>
      <c r="K907" s="1075" t="s">
        <v>1660</v>
      </c>
      <c r="L907" s="1075" t="s">
        <v>5130</v>
      </c>
      <c r="M907" s="1077" t="s">
        <v>10807</v>
      </c>
      <c r="N907" s="1078">
        <v>6512400</v>
      </c>
      <c r="O907" s="1078" t="s">
        <v>375</v>
      </c>
      <c r="P907" s="1078"/>
      <c r="Q907" s="1079"/>
      <c r="V907" s="1084"/>
    </row>
    <row r="908" spans="1:22" s="1082" customFormat="1" ht="24" customHeight="1">
      <c r="A908" s="1075">
        <v>889</v>
      </c>
      <c r="B908" s="1075"/>
      <c r="C908" s="1075"/>
      <c r="D908" s="1075"/>
      <c r="E908" s="1075" t="s">
        <v>11419</v>
      </c>
      <c r="F908" s="1076"/>
      <c r="G908" s="1075" t="s">
        <v>9065</v>
      </c>
      <c r="H908" s="1075" t="s">
        <v>9065</v>
      </c>
      <c r="I908" s="1075" t="s">
        <v>11420</v>
      </c>
      <c r="J908" s="1075"/>
      <c r="K908" s="1075"/>
      <c r="L908" s="1075" t="s">
        <v>9888</v>
      </c>
      <c r="M908" s="1077" t="s">
        <v>11421</v>
      </c>
      <c r="N908" s="1078">
        <v>6512400</v>
      </c>
      <c r="O908" s="1078"/>
      <c r="P908" s="1078"/>
      <c r="Q908" s="1079"/>
      <c r="V908" s="1084"/>
    </row>
    <row r="909" spans="1:22" s="1082" customFormat="1" ht="24" customHeight="1">
      <c r="A909" s="1075">
        <v>890</v>
      </c>
      <c r="B909" s="1075"/>
      <c r="C909" s="1075"/>
      <c r="D909" s="1075"/>
      <c r="E909" s="1075" t="s">
        <v>11422</v>
      </c>
      <c r="F909" s="1076"/>
      <c r="G909" s="1075" t="s">
        <v>9065</v>
      </c>
      <c r="H909" s="1075" t="s">
        <v>9065</v>
      </c>
      <c r="I909" s="1075" t="s">
        <v>11423</v>
      </c>
      <c r="J909" s="1075"/>
      <c r="K909" s="1075"/>
      <c r="L909" s="1075" t="s">
        <v>9888</v>
      </c>
      <c r="M909" s="1077" t="s">
        <v>11424</v>
      </c>
      <c r="N909" s="1078">
        <v>6512400</v>
      </c>
      <c r="O909" s="1078"/>
      <c r="P909" s="1078"/>
      <c r="Q909" s="1079"/>
      <c r="V909" s="1084"/>
    </row>
    <row r="910" spans="1:22" s="1133" customFormat="1" ht="24" customHeight="1">
      <c r="A910" s="1075">
        <v>891</v>
      </c>
      <c r="B910" s="1128" t="s">
        <v>2592</v>
      </c>
      <c r="C910" s="1128"/>
      <c r="D910" s="1128"/>
      <c r="E910" s="1128" t="s">
        <v>11425</v>
      </c>
      <c r="F910" s="1129"/>
      <c r="G910" s="1128" t="s">
        <v>9065</v>
      </c>
      <c r="H910" s="1128" t="s">
        <v>9065</v>
      </c>
      <c r="I910" s="1128" t="s">
        <v>11426</v>
      </c>
      <c r="J910" s="1128"/>
      <c r="K910" s="1128" t="s">
        <v>16182</v>
      </c>
      <c r="L910" s="1128" t="s">
        <v>5130</v>
      </c>
      <c r="M910" s="1130" t="s">
        <v>11427</v>
      </c>
      <c r="N910" s="1131">
        <v>6512400</v>
      </c>
      <c r="O910" s="1131"/>
      <c r="P910" s="1131" t="s">
        <v>16146</v>
      </c>
      <c r="Q910" s="1132" t="s">
        <v>16205</v>
      </c>
      <c r="V910" s="1134"/>
    </row>
    <row r="911" spans="1:22" s="1082" customFormat="1" ht="24" customHeight="1">
      <c r="A911" s="1075">
        <v>892</v>
      </c>
      <c r="B911" s="1075"/>
      <c r="C911" s="1075"/>
      <c r="D911" s="1075"/>
      <c r="E911" s="1075" t="s">
        <v>11428</v>
      </c>
      <c r="F911" s="1076"/>
      <c r="G911" s="1075" t="s">
        <v>9065</v>
      </c>
      <c r="H911" s="1075" t="s">
        <v>9065</v>
      </c>
      <c r="I911" s="1075" t="s">
        <v>11429</v>
      </c>
      <c r="J911" s="1075"/>
      <c r="K911" s="1075"/>
      <c r="L911" s="1075" t="s">
        <v>9888</v>
      </c>
      <c r="M911" s="1077" t="s">
        <v>11430</v>
      </c>
      <c r="N911" s="1078">
        <v>6512400</v>
      </c>
      <c r="O911" s="1078"/>
      <c r="P911" s="1078"/>
      <c r="Q911" s="1079"/>
      <c r="V911" s="1084"/>
    </row>
    <row r="912" spans="1:22" s="1082" customFormat="1" ht="24" customHeight="1">
      <c r="A912" s="1075">
        <v>893</v>
      </c>
      <c r="B912" s="1075"/>
      <c r="C912" s="1075"/>
      <c r="D912" s="1075"/>
      <c r="E912" s="1075" t="s">
        <v>11431</v>
      </c>
      <c r="F912" s="1076"/>
      <c r="G912" s="1075" t="s">
        <v>9065</v>
      </c>
      <c r="H912" s="1075" t="s">
        <v>9065</v>
      </c>
      <c r="I912" s="1075" t="s">
        <v>11432</v>
      </c>
      <c r="J912" s="1075"/>
      <c r="K912" s="1075"/>
      <c r="L912" s="1075" t="s">
        <v>9888</v>
      </c>
      <c r="M912" s="1077" t="s">
        <v>11433</v>
      </c>
      <c r="N912" s="1078">
        <v>6512400</v>
      </c>
      <c r="O912" s="1078"/>
      <c r="P912" s="1078"/>
      <c r="Q912" s="1079"/>
      <c r="V912" s="1084"/>
    </row>
    <row r="913" spans="1:22" s="1082" customFormat="1" ht="24" customHeight="1">
      <c r="A913" s="1075">
        <v>894</v>
      </c>
      <c r="B913" s="376" t="s">
        <v>1595</v>
      </c>
      <c r="C913" s="376"/>
      <c r="D913" s="376"/>
      <c r="E913" s="1075" t="s">
        <v>11436</v>
      </c>
      <c r="F913" s="1076"/>
      <c r="G913" s="1075" t="s">
        <v>9065</v>
      </c>
      <c r="H913" s="1075" t="s">
        <v>9065</v>
      </c>
      <c r="I913" s="1075" t="s">
        <v>11437</v>
      </c>
      <c r="J913" s="1075" t="s">
        <v>12034</v>
      </c>
      <c r="K913" s="1075" t="s">
        <v>2114</v>
      </c>
      <c r="L913" s="1075" t="s">
        <v>5130</v>
      </c>
      <c r="M913" s="1077" t="s">
        <v>11438</v>
      </c>
      <c r="N913" s="1078">
        <v>6512400</v>
      </c>
      <c r="O913" s="1078" t="s">
        <v>375</v>
      </c>
      <c r="P913" s="1078"/>
      <c r="Q913" s="1079"/>
      <c r="V913" s="1084"/>
    </row>
    <row r="914" spans="1:22" s="1082" customFormat="1" ht="24" customHeight="1">
      <c r="A914" s="1075">
        <v>895</v>
      </c>
      <c r="B914" s="1075"/>
      <c r="C914" s="1075"/>
      <c r="D914" s="1075"/>
      <c r="E914" s="1075" t="s">
        <v>14534</v>
      </c>
      <c r="F914" s="1076"/>
      <c r="G914" s="1075" t="s">
        <v>9065</v>
      </c>
      <c r="H914" s="1075" t="s">
        <v>9065</v>
      </c>
      <c r="I914" s="1075" t="s">
        <v>11439</v>
      </c>
      <c r="J914" s="1075"/>
      <c r="K914" s="1075"/>
      <c r="L914" s="1075" t="s">
        <v>9888</v>
      </c>
      <c r="M914" s="1077" t="s">
        <v>11440</v>
      </c>
      <c r="N914" s="1078">
        <v>6512400</v>
      </c>
      <c r="O914" s="1078"/>
      <c r="P914" s="1078"/>
      <c r="Q914" s="1079"/>
      <c r="V914" s="1084"/>
    </row>
    <row r="915" spans="1:22" s="1082" customFormat="1" ht="24" customHeight="1">
      <c r="A915" s="1075">
        <v>896</v>
      </c>
      <c r="B915" s="1075"/>
      <c r="C915" s="1075"/>
      <c r="D915" s="1075"/>
      <c r="E915" s="1075" t="s">
        <v>11448</v>
      </c>
      <c r="F915" s="1076"/>
      <c r="G915" s="1075" t="s">
        <v>9065</v>
      </c>
      <c r="H915" s="1075" t="s">
        <v>9065</v>
      </c>
      <c r="I915" s="1075" t="s">
        <v>11449</v>
      </c>
      <c r="J915" s="1075"/>
      <c r="K915" s="1075"/>
      <c r="L915" s="1075" t="s">
        <v>9888</v>
      </c>
      <c r="M915" s="1077" t="s">
        <v>11450</v>
      </c>
      <c r="N915" s="1078">
        <v>6512400</v>
      </c>
      <c r="O915" s="1078"/>
      <c r="P915" s="1078"/>
      <c r="Q915" s="1079"/>
      <c r="V915" s="1084"/>
    </row>
    <row r="916" spans="1:22" s="1133" customFormat="1" ht="24" customHeight="1">
      <c r="A916" s="1075">
        <v>897</v>
      </c>
      <c r="B916" s="1128" t="s">
        <v>2592</v>
      </c>
      <c r="C916" s="1128"/>
      <c r="D916" s="1128"/>
      <c r="E916" s="1128" t="s">
        <v>11457</v>
      </c>
      <c r="F916" s="1129"/>
      <c r="G916" s="1128" t="s">
        <v>9065</v>
      </c>
      <c r="H916" s="1128" t="s">
        <v>9065</v>
      </c>
      <c r="I916" s="1128" t="s">
        <v>11458</v>
      </c>
      <c r="J916" s="1128" t="s">
        <v>15625</v>
      </c>
      <c r="K916" s="1128" t="s">
        <v>16183</v>
      </c>
      <c r="L916" s="1128" t="s">
        <v>5130</v>
      </c>
      <c r="M916" s="1130" t="s">
        <v>11459</v>
      </c>
      <c r="N916" s="1131">
        <v>6512400</v>
      </c>
      <c r="O916" s="1131" t="s">
        <v>375</v>
      </c>
      <c r="P916" s="1131" t="s">
        <v>16131</v>
      </c>
      <c r="Q916" s="1132" t="s">
        <v>16205</v>
      </c>
      <c r="V916" s="1134"/>
    </row>
    <row r="917" spans="1:22" s="1082" customFormat="1" ht="24" customHeight="1">
      <c r="A917" s="1075">
        <v>898</v>
      </c>
      <c r="B917" s="1075"/>
      <c r="C917" s="1075"/>
      <c r="D917" s="1075"/>
      <c r="E917" s="1075" t="s">
        <v>11460</v>
      </c>
      <c r="F917" s="1076"/>
      <c r="G917" s="1075" t="s">
        <v>9065</v>
      </c>
      <c r="H917" s="1075" t="s">
        <v>9065</v>
      </c>
      <c r="I917" s="1075" t="s">
        <v>11461</v>
      </c>
      <c r="J917" s="1075" t="s">
        <v>15654</v>
      </c>
      <c r="K917" s="1075" t="s">
        <v>2670</v>
      </c>
      <c r="L917" s="1075" t="s">
        <v>5130</v>
      </c>
      <c r="M917" s="1077" t="s">
        <v>11462</v>
      </c>
      <c r="N917" s="1078">
        <v>6512400</v>
      </c>
      <c r="O917" s="1078" t="s">
        <v>375</v>
      </c>
      <c r="P917" s="1078"/>
      <c r="Q917" s="1079"/>
      <c r="V917" s="1084"/>
    </row>
    <row r="918" spans="1:22" s="1082" customFormat="1" ht="24" customHeight="1">
      <c r="A918" s="1075">
        <v>899</v>
      </c>
      <c r="B918" s="1075"/>
      <c r="C918" s="1075"/>
      <c r="D918" s="1075"/>
      <c r="E918" s="1075" t="s">
        <v>11469</v>
      </c>
      <c r="F918" s="1076"/>
      <c r="G918" s="1075" t="s">
        <v>9065</v>
      </c>
      <c r="H918" s="1075" t="s">
        <v>9065</v>
      </c>
      <c r="I918" s="1075" t="s">
        <v>11470</v>
      </c>
      <c r="J918" s="1075"/>
      <c r="K918" s="1075"/>
      <c r="L918" s="1075" t="s">
        <v>9888</v>
      </c>
      <c r="M918" s="1077" t="s">
        <v>11471</v>
      </c>
      <c r="N918" s="1078">
        <v>6512400</v>
      </c>
      <c r="O918" s="1078"/>
      <c r="P918" s="1078"/>
      <c r="Q918" s="1079"/>
      <c r="V918" s="1084"/>
    </row>
    <row r="919" spans="1:22" s="1082" customFormat="1" ht="24" customHeight="1">
      <c r="A919" s="1075">
        <v>900</v>
      </c>
      <c r="B919" s="1075"/>
      <c r="C919" s="1075"/>
      <c r="D919" s="1075"/>
      <c r="E919" s="1075" t="s">
        <v>11472</v>
      </c>
      <c r="F919" s="1076"/>
      <c r="G919" s="1075" t="s">
        <v>9065</v>
      </c>
      <c r="H919" s="1075" t="s">
        <v>9065</v>
      </c>
      <c r="I919" s="1075" t="s">
        <v>11473</v>
      </c>
      <c r="J919" s="1075"/>
      <c r="K919" s="1075"/>
      <c r="L919" s="1075" t="s">
        <v>9888</v>
      </c>
      <c r="M919" s="1077" t="s">
        <v>11474</v>
      </c>
      <c r="N919" s="1078">
        <v>6512400</v>
      </c>
      <c r="O919" s="1078"/>
      <c r="P919" s="1078"/>
      <c r="Q919" s="1079"/>
      <c r="V919" s="1084"/>
    </row>
    <row r="920" spans="1:22" s="1082" customFormat="1" ht="24" customHeight="1">
      <c r="A920" s="1075">
        <v>901</v>
      </c>
      <c r="B920" s="1075"/>
      <c r="C920" s="1075"/>
      <c r="D920" s="1075"/>
      <c r="E920" s="1075" t="s">
        <v>11740</v>
      </c>
      <c r="F920" s="1076"/>
      <c r="G920" s="1075" t="s">
        <v>9065</v>
      </c>
      <c r="H920" s="1075" t="s">
        <v>9065</v>
      </c>
      <c r="I920" s="1075" t="s">
        <v>11741</v>
      </c>
      <c r="J920" s="1075"/>
      <c r="K920" s="1075"/>
      <c r="L920" s="1075" t="s">
        <v>9888</v>
      </c>
      <c r="M920" s="1077" t="s">
        <v>11742</v>
      </c>
      <c r="N920" s="1078">
        <v>6512400</v>
      </c>
      <c r="O920" s="1078"/>
      <c r="P920" s="1078"/>
    </row>
    <row r="921" spans="1:22" s="1082" customFormat="1" ht="24" customHeight="1">
      <c r="A921" s="1075">
        <v>902</v>
      </c>
      <c r="B921" s="1075"/>
      <c r="C921" s="1075"/>
      <c r="D921" s="1075"/>
      <c r="E921" s="1075" t="s">
        <v>11743</v>
      </c>
      <c r="F921" s="1076"/>
      <c r="G921" s="1075" t="s">
        <v>9065</v>
      </c>
      <c r="H921" s="1075" t="s">
        <v>9065</v>
      </c>
      <c r="I921" s="1075" t="s">
        <v>11745</v>
      </c>
      <c r="J921" s="1075"/>
      <c r="K921" s="1075"/>
      <c r="L921" s="1075" t="s">
        <v>9888</v>
      </c>
      <c r="M921" s="1077" t="s">
        <v>11744</v>
      </c>
      <c r="N921" s="1078">
        <v>6512400</v>
      </c>
      <c r="O921" s="1078"/>
      <c r="P921" s="1078"/>
    </row>
    <row r="922" spans="1:22" s="1082" customFormat="1" ht="24" customHeight="1">
      <c r="A922" s="1075">
        <v>903</v>
      </c>
      <c r="B922" s="1075"/>
      <c r="C922" s="1075"/>
      <c r="D922" s="1075"/>
      <c r="E922" s="1075" t="s">
        <v>11746</v>
      </c>
      <c r="F922" s="1076"/>
      <c r="G922" s="1075" t="s">
        <v>9065</v>
      </c>
      <c r="H922" s="1075" t="s">
        <v>9065</v>
      </c>
      <c r="I922" s="1075" t="s">
        <v>11747</v>
      </c>
      <c r="J922" s="1075"/>
      <c r="K922" s="1075"/>
      <c r="L922" s="1075" t="s">
        <v>9888</v>
      </c>
      <c r="M922" s="1077" t="s">
        <v>11748</v>
      </c>
      <c r="N922" s="1078">
        <v>6512400</v>
      </c>
      <c r="O922" s="1078"/>
      <c r="P922" s="1078"/>
    </row>
    <row r="923" spans="1:22" s="1082" customFormat="1" ht="24" customHeight="1">
      <c r="A923" s="1075">
        <v>904</v>
      </c>
      <c r="B923" s="1075"/>
      <c r="C923" s="1075"/>
      <c r="D923" s="1075"/>
      <c r="E923" s="1075" t="s">
        <v>11749</v>
      </c>
      <c r="F923" s="1076"/>
      <c r="G923" s="1075" t="s">
        <v>9065</v>
      </c>
      <c r="H923" s="1075" t="s">
        <v>9065</v>
      </c>
      <c r="I923" s="1075" t="s">
        <v>11750</v>
      </c>
      <c r="J923" s="1075" t="s">
        <v>15627</v>
      </c>
      <c r="K923" s="1075" t="s">
        <v>2688</v>
      </c>
      <c r="L923" s="1075" t="s">
        <v>5130</v>
      </c>
      <c r="M923" s="1077" t="s">
        <v>11751</v>
      </c>
      <c r="N923" s="1078">
        <v>6512400</v>
      </c>
      <c r="O923" s="1078" t="s">
        <v>375</v>
      </c>
      <c r="P923" s="1078"/>
    </row>
    <row r="924" spans="1:22" s="1082" customFormat="1" ht="24" customHeight="1">
      <c r="A924" s="1075">
        <v>905</v>
      </c>
      <c r="B924" s="1075"/>
      <c r="C924" s="1075"/>
      <c r="D924" s="1075"/>
      <c r="E924" s="1075" t="s">
        <v>11805</v>
      </c>
      <c r="F924" s="1076"/>
      <c r="G924" s="1075" t="s">
        <v>9065</v>
      </c>
      <c r="H924" s="1075" t="s">
        <v>9065</v>
      </c>
      <c r="I924" s="1075" t="s">
        <v>11806</v>
      </c>
      <c r="J924" s="1075"/>
      <c r="K924" s="1075"/>
      <c r="L924" s="1075" t="s">
        <v>9888</v>
      </c>
      <c r="M924" s="1077" t="s">
        <v>11807</v>
      </c>
      <c r="N924" s="1078">
        <v>6512400</v>
      </c>
      <c r="O924" s="1078"/>
      <c r="P924" s="1078"/>
    </row>
    <row r="925" spans="1:22" s="1082" customFormat="1" ht="24" customHeight="1">
      <c r="A925" s="1075">
        <v>906</v>
      </c>
      <c r="B925" s="1075"/>
      <c r="C925" s="1075"/>
      <c r="D925" s="1075"/>
      <c r="E925" s="1075" t="s">
        <v>11808</v>
      </c>
      <c r="F925" s="1076"/>
      <c r="G925" s="1075" t="s">
        <v>9065</v>
      </c>
      <c r="H925" s="1075" t="s">
        <v>9065</v>
      </c>
      <c r="I925" s="1075" t="s">
        <v>11809</v>
      </c>
      <c r="J925" s="1075"/>
      <c r="K925" s="1075"/>
      <c r="L925" s="1075" t="s">
        <v>9888</v>
      </c>
      <c r="M925" s="1077" t="s">
        <v>11810</v>
      </c>
      <c r="N925" s="1078">
        <v>6512400</v>
      </c>
      <c r="O925" s="1078"/>
      <c r="P925" s="1078"/>
    </row>
    <row r="926" spans="1:22" s="1082" customFormat="1" ht="24" customHeight="1">
      <c r="A926" s="1075">
        <v>907</v>
      </c>
      <c r="B926" s="1075"/>
      <c r="C926" s="1075"/>
      <c r="D926" s="1075"/>
      <c r="E926" s="1075" t="s">
        <v>11811</v>
      </c>
      <c r="F926" s="1076"/>
      <c r="G926" s="1075" t="s">
        <v>9065</v>
      </c>
      <c r="H926" s="1075" t="s">
        <v>9065</v>
      </c>
      <c r="I926" s="1075" t="s">
        <v>11812</v>
      </c>
      <c r="J926" s="1075"/>
      <c r="K926" s="1075"/>
      <c r="L926" s="1075" t="s">
        <v>9888</v>
      </c>
      <c r="M926" s="1077" t="s">
        <v>11813</v>
      </c>
      <c r="N926" s="1078">
        <v>6512400</v>
      </c>
      <c r="O926" s="1078"/>
      <c r="P926" s="1078"/>
    </row>
    <row r="927" spans="1:22" s="1133" customFormat="1" ht="24" customHeight="1">
      <c r="A927" s="1075">
        <v>908</v>
      </c>
      <c r="B927" s="1128" t="s">
        <v>2592</v>
      </c>
      <c r="C927" s="1128"/>
      <c r="D927" s="1128"/>
      <c r="E927" s="1128" t="s">
        <v>11863</v>
      </c>
      <c r="F927" s="1129"/>
      <c r="G927" s="1128" t="s">
        <v>9065</v>
      </c>
      <c r="H927" s="1128" t="s">
        <v>9065</v>
      </c>
      <c r="I927" s="1128" t="s">
        <v>11864</v>
      </c>
      <c r="J927" s="1128" t="s">
        <v>16132</v>
      </c>
      <c r="K927" s="1128" t="s">
        <v>16184</v>
      </c>
      <c r="L927" s="1128" t="s">
        <v>5130</v>
      </c>
      <c r="M927" s="1130" t="s">
        <v>11865</v>
      </c>
      <c r="N927" s="1131">
        <v>6512400</v>
      </c>
      <c r="O927" s="1131" t="s">
        <v>16132</v>
      </c>
      <c r="P927" s="1131" t="s">
        <v>16146</v>
      </c>
      <c r="Q927" s="1133" t="s">
        <v>16207</v>
      </c>
    </row>
    <row r="928" spans="1:22" s="1133" customFormat="1" ht="24" customHeight="1">
      <c r="A928" s="1075">
        <v>909</v>
      </c>
      <c r="B928" s="1128"/>
      <c r="C928" s="1128"/>
      <c r="D928" s="1128"/>
      <c r="E928" s="1128" t="s">
        <v>11866</v>
      </c>
      <c r="F928" s="1129"/>
      <c r="G928" s="1128" t="s">
        <v>9065</v>
      </c>
      <c r="H928" s="1128" t="s">
        <v>9065</v>
      </c>
      <c r="I928" s="1128" t="s">
        <v>11867</v>
      </c>
      <c r="J928" s="1128"/>
      <c r="K928" s="1128" t="s">
        <v>16134</v>
      </c>
      <c r="L928" s="1128" t="s">
        <v>5130</v>
      </c>
      <c r="M928" s="1130" t="s">
        <v>11868</v>
      </c>
      <c r="N928" s="1131">
        <v>6512400</v>
      </c>
      <c r="O928" s="1131" t="s">
        <v>16135</v>
      </c>
      <c r="P928" s="1131" t="s">
        <v>16146</v>
      </c>
      <c r="Q928" s="1133" t="s">
        <v>16205</v>
      </c>
    </row>
    <row r="929" spans="1:16" s="1082" customFormat="1" ht="24" customHeight="1">
      <c r="A929" s="1075">
        <v>910</v>
      </c>
      <c r="B929" s="376" t="s">
        <v>1595</v>
      </c>
      <c r="C929" s="376"/>
      <c r="D929" s="376"/>
      <c r="E929" s="1077" t="s">
        <v>2226</v>
      </c>
      <c r="F929" s="1076"/>
      <c r="G929" s="1075" t="s">
        <v>9065</v>
      </c>
      <c r="H929" s="1075" t="s">
        <v>9065</v>
      </c>
      <c r="I929" s="1075" t="s">
        <v>12014</v>
      </c>
      <c r="J929" s="84" t="s">
        <v>2228</v>
      </c>
      <c r="K929" s="84" t="s">
        <v>2227</v>
      </c>
      <c r="L929" s="1075" t="s">
        <v>5130</v>
      </c>
      <c r="M929" s="1077" t="s">
        <v>2226</v>
      </c>
      <c r="N929" s="1078">
        <v>6512400</v>
      </c>
      <c r="O929" s="1078" t="s">
        <v>375</v>
      </c>
      <c r="P929" s="1078"/>
    </row>
    <row r="930" spans="1:16" s="1082" customFormat="1" ht="24" customHeight="1">
      <c r="A930" s="1075">
        <v>911</v>
      </c>
      <c r="B930" s="376" t="s">
        <v>1595</v>
      </c>
      <c r="C930" s="376"/>
      <c r="D930" s="376"/>
      <c r="E930" s="1077" t="s">
        <v>2047</v>
      </c>
      <c r="F930" s="1076"/>
      <c r="G930" s="1075" t="s">
        <v>9065</v>
      </c>
      <c r="H930" s="1075" t="s">
        <v>9065</v>
      </c>
      <c r="I930" s="1075" t="s">
        <v>12023</v>
      </c>
      <c r="J930" s="84" t="s">
        <v>2049</v>
      </c>
      <c r="K930" s="84" t="s">
        <v>2048</v>
      </c>
      <c r="L930" s="1075" t="s">
        <v>5130</v>
      </c>
      <c r="M930" s="1077" t="s">
        <v>2047</v>
      </c>
      <c r="N930" s="1078">
        <v>6512400</v>
      </c>
      <c r="O930" s="1124" t="s">
        <v>985</v>
      </c>
      <c r="P930" s="1078"/>
    </row>
    <row r="931" spans="1:16" s="1082" customFormat="1" ht="24" customHeight="1">
      <c r="A931" s="1075">
        <v>912</v>
      </c>
      <c r="B931" s="376" t="s">
        <v>1595</v>
      </c>
      <c r="C931" s="376"/>
      <c r="D931" s="376"/>
      <c r="E931" s="1077" t="s">
        <v>2108</v>
      </c>
      <c r="F931" s="1076"/>
      <c r="G931" s="1075" t="s">
        <v>9065</v>
      </c>
      <c r="H931" s="1075" t="s">
        <v>9065</v>
      </c>
      <c r="I931" s="1075" t="s">
        <v>2110</v>
      </c>
      <c r="J931" s="84" t="s">
        <v>2111</v>
      </c>
      <c r="K931" s="84" t="s">
        <v>2109</v>
      </c>
      <c r="L931" s="1075" t="s">
        <v>12032</v>
      </c>
      <c r="M931" s="1077" t="s">
        <v>2108</v>
      </c>
      <c r="N931" s="1078">
        <v>6512400</v>
      </c>
      <c r="O931" s="1078" t="s">
        <v>375</v>
      </c>
      <c r="P931" s="1078" t="s">
        <v>11566</v>
      </c>
    </row>
    <row r="932" spans="1:16" s="1082" customFormat="1" ht="24" customHeight="1">
      <c r="A932" s="1075">
        <v>913</v>
      </c>
      <c r="B932" s="376" t="s">
        <v>423</v>
      </c>
      <c r="C932" s="376"/>
      <c r="D932" s="376"/>
      <c r="E932" s="1077" t="s">
        <v>15915</v>
      </c>
      <c r="F932" s="1076"/>
      <c r="G932" s="1075" t="s">
        <v>9065</v>
      </c>
      <c r="H932" s="1075" t="s">
        <v>9065</v>
      </c>
      <c r="I932" s="1075" t="s">
        <v>5394</v>
      </c>
      <c r="J932" s="84" t="s">
        <v>1383</v>
      </c>
      <c r="K932" s="84" t="s">
        <v>15916</v>
      </c>
      <c r="L932" s="1075" t="s">
        <v>5130</v>
      </c>
      <c r="M932" s="1077" t="s">
        <v>15915</v>
      </c>
      <c r="N932" s="1078">
        <v>6512400</v>
      </c>
      <c r="O932" s="1078" t="s">
        <v>375</v>
      </c>
      <c r="P932" s="1078"/>
    </row>
    <row r="933" spans="1:16" s="1082" customFormat="1" ht="24" customHeight="1">
      <c r="A933" s="1075">
        <v>914</v>
      </c>
      <c r="B933" s="376" t="s">
        <v>423</v>
      </c>
      <c r="C933" s="376"/>
      <c r="D933" s="376"/>
      <c r="E933" s="1077" t="s">
        <v>1431</v>
      </c>
      <c r="F933" s="1076"/>
      <c r="G933" s="1075" t="s">
        <v>9065</v>
      </c>
      <c r="H933" s="1075" t="s">
        <v>9065</v>
      </c>
      <c r="I933" s="1075" t="s">
        <v>1433</v>
      </c>
      <c r="J933" s="84" t="s">
        <v>1434</v>
      </c>
      <c r="K933" s="84" t="s">
        <v>1432</v>
      </c>
      <c r="L933" s="1075" t="s">
        <v>5130</v>
      </c>
      <c r="M933" s="1077" t="s">
        <v>1431</v>
      </c>
      <c r="N933" s="1078">
        <v>6512400</v>
      </c>
      <c r="O933" s="1078" t="s">
        <v>375</v>
      </c>
      <c r="P933" s="1078"/>
    </row>
    <row r="934" spans="1:16" s="1082" customFormat="1" ht="24" customHeight="1">
      <c r="A934" s="1075">
        <v>915</v>
      </c>
      <c r="B934" s="376" t="s">
        <v>423</v>
      </c>
      <c r="C934" s="376"/>
      <c r="D934" s="376"/>
      <c r="E934" s="1077" t="s">
        <v>1454</v>
      </c>
      <c r="F934" s="1076"/>
      <c r="G934" s="1075" t="s">
        <v>9065</v>
      </c>
      <c r="H934" s="1075" t="s">
        <v>9065</v>
      </c>
      <c r="I934" s="1075" t="s">
        <v>1456</v>
      </c>
      <c r="J934" s="84" t="s">
        <v>1457</v>
      </c>
      <c r="K934" s="84" t="s">
        <v>1455</v>
      </c>
      <c r="L934" s="1075" t="s">
        <v>5130</v>
      </c>
      <c r="M934" s="1077" t="s">
        <v>1454</v>
      </c>
      <c r="N934" s="1078">
        <v>6512400</v>
      </c>
      <c r="O934" s="1078" t="s">
        <v>375</v>
      </c>
      <c r="P934" s="1078"/>
    </row>
    <row r="935" spans="1:16" s="1082" customFormat="1" ht="24" customHeight="1">
      <c r="A935" s="1075">
        <v>916</v>
      </c>
      <c r="B935" s="1075"/>
      <c r="C935" s="1075"/>
      <c r="D935" s="1075"/>
      <c r="E935" s="1075" t="s">
        <v>9557</v>
      </c>
      <c r="F935" s="1076"/>
      <c r="G935" s="1075" t="s">
        <v>9065</v>
      </c>
      <c r="H935" s="1075" t="s">
        <v>9065</v>
      </c>
      <c r="I935" s="1075" t="s">
        <v>14535</v>
      </c>
      <c r="J935" s="1075"/>
      <c r="K935" s="1075"/>
      <c r="L935" s="1075" t="s">
        <v>9888</v>
      </c>
      <c r="M935" s="1077" t="s">
        <v>14536</v>
      </c>
      <c r="N935" s="1078">
        <v>6512400</v>
      </c>
      <c r="O935" s="1078"/>
      <c r="P935" s="1078"/>
    </row>
    <row r="936" spans="1:16" s="1082" customFormat="1" ht="24" customHeight="1">
      <c r="A936" s="1075">
        <v>917</v>
      </c>
      <c r="B936" s="1075"/>
      <c r="C936" s="1075"/>
      <c r="D936" s="1075"/>
      <c r="E936" s="1075" t="s">
        <v>14537</v>
      </c>
      <c r="F936" s="1076"/>
      <c r="G936" s="1075" t="s">
        <v>9065</v>
      </c>
      <c r="H936" s="1075" t="s">
        <v>9065</v>
      </c>
      <c r="I936" s="1075" t="s">
        <v>14538</v>
      </c>
      <c r="J936" s="1075"/>
      <c r="K936" s="1075"/>
      <c r="L936" s="1075" t="s">
        <v>9888</v>
      </c>
      <c r="M936" s="1077" t="s">
        <v>14539</v>
      </c>
      <c r="N936" s="1078">
        <v>6512400</v>
      </c>
      <c r="O936" s="1078"/>
      <c r="P936" s="1078"/>
    </row>
    <row r="937" spans="1:16" s="1082" customFormat="1" ht="24" customHeight="1">
      <c r="A937" s="1075">
        <v>918</v>
      </c>
      <c r="B937" s="1075"/>
      <c r="C937" s="1075"/>
      <c r="D937" s="1075"/>
      <c r="E937" s="1075" t="s">
        <v>14540</v>
      </c>
      <c r="F937" s="1076"/>
      <c r="G937" s="1075" t="s">
        <v>9065</v>
      </c>
      <c r="H937" s="1075" t="s">
        <v>9065</v>
      </c>
      <c r="I937" s="1075" t="s">
        <v>14541</v>
      </c>
      <c r="J937" s="1075"/>
      <c r="K937" s="1075"/>
      <c r="L937" s="1075" t="s">
        <v>9888</v>
      </c>
      <c r="M937" s="1077" t="s">
        <v>14542</v>
      </c>
      <c r="N937" s="1078">
        <v>6512400</v>
      </c>
      <c r="O937" s="1078"/>
      <c r="P937" s="1078"/>
    </row>
    <row r="938" spans="1:16" s="1082" customFormat="1" ht="24" customHeight="1">
      <c r="A938" s="1075">
        <v>919</v>
      </c>
      <c r="B938" s="1075"/>
      <c r="C938" s="1075"/>
      <c r="D938" s="1075"/>
      <c r="E938" s="1075" t="s">
        <v>14543</v>
      </c>
      <c r="F938" s="1076"/>
      <c r="G938" s="1075" t="s">
        <v>9065</v>
      </c>
      <c r="H938" s="1075" t="s">
        <v>9065</v>
      </c>
      <c r="I938" s="1075" t="s">
        <v>14544</v>
      </c>
      <c r="J938" s="1075"/>
      <c r="K938" s="1075"/>
      <c r="L938" s="1075" t="s">
        <v>9888</v>
      </c>
      <c r="M938" s="1077" t="s">
        <v>14545</v>
      </c>
      <c r="N938" s="1078">
        <v>6512400</v>
      </c>
      <c r="O938" s="1078"/>
      <c r="P938" s="1078"/>
    </row>
    <row r="939" spans="1:16" s="1082" customFormat="1" ht="24" customHeight="1">
      <c r="A939" s="1075">
        <v>920</v>
      </c>
      <c r="B939" s="1075"/>
      <c r="C939" s="1075"/>
      <c r="D939" s="1075"/>
      <c r="E939" s="1075" t="s">
        <v>14546</v>
      </c>
      <c r="F939" s="1076"/>
      <c r="G939" s="1075" t="s">
        <v>9065</v>
      </c>
      <c r="H939" s="1075" t="s">
        <v>9065</v>
      </c>
      <c r="I939" s="1075" t="s">
        <v>14547</v>
      </c>
      <c r="J939" s="1075"/>
      <c r="K939" s="1075"/>
      <c r="L939" s="1075" t="s">
        <v>9888</v>
      </c>
      <c r="M939" s="1077" t="s">
        <v>14548</v>
      </c>
      <c r="N939" s="1078">
        <v>6512400</v>
      </c>
      <c r="O939" s="1078"/>
      <c r="P939" s="1078"/>
    </row>
    <row r="940" spans="1:16" s="1082" customFormat="1" ht="24" customHeight="1">
      <c r="A940" s="1075">
        <v>921</v>
      </c>
      <c r="B940" s="1075"/>
      <c r="C940" s="1075"/>
      <c r="D940" s="1075"/>
      <c r="E940" s="1075" t="s">
        <v>14549</v>
      </c>
      <c r="F940" s="1076"/>
      <c r="G940" s="1075" t="s">
        <v>9065</v>
      </c>
      <c r="H940" s="1075" t="s">
        <v>9065</v>
      </c>
      <c r="I940" s="1075" t="s">
        <v>14550</v>
      </c>
      <c r="J940" s="1075"/>
      <c r="K940" s="1075"/>
      <c r="L940" s="1075" t="s">
        <v>9888</v>
      </c>
      <c r="M940" s="1077" t="s">
        <v>14551</v>
      </c>
      <c r="N940" s="1078">
        <v>6512400</v>
      </c>
      <c r="O940" s="1078"/>
      <c r="P940" s="1078"/>
    </row>
    <row r="941" spans="1:16" s="1082" customFormat="1" ht="24" customHeight="1">
      <c r="A941" s="1075">
        <v>922</v>
      </c>
      <c r="B941" s="1075"/>
      <c r="C941" s="1075"/>
      <c r="D941" s="1075"/>
      <c r="E941" s="1075" t="s">
        <v>14552</v>
      </c>
      <c r="F941" s="1076"/>
      <c r="G941" s="1075" t="s">
        <v>9065</v>
      </c>
      <c r="H941" s="1075" t="s">
        <v>9065</v>
      </c>
      <c r="I941" s="1075" t="s">
        <v>14553</v>
      </c>
      <c r="J941" s="1075"/>
      <c r="K941" s="1075"/>
      <c r="L941" s="1075" t="s">
        <v>9888</v>
      </c>
      <c r="M941" s="1077" t="s">
        <v>14554</v>
      </c>
      <c r="N941" s="1078">
        <v>6512400</v>
      </c>
      <c r="O941" s="1078"/>
      <c r="P941" s="1078"/>
    </row>
    <row r="942" spans="1:16" s="1082" customFormat="1" ht="24" customHeight="1">
      <c r="A942" s="1075">
        <v>923</v>
      </c>
      <c r="B942" s="1075"/>
      <c r="C942" s="1075"/>
      <c r="D942" s="1075"/>
      <c r="E942" s="1075" t="s">
        <v>14555</v>
      </c>
      <c r="F942" s="1076"/>
      <c r="G942" s="1075" t="s">
        <v>9065</v>
      </c>
      <c r="H942" s="1075" t="s">
        <v>9065</v>
      </c>
      <c r="I942" s="1075" t="s">
        <v>14556</v>
      </c>
      <c r="J942" s="1075"/>
      <c r="K942" s="1075"/>
      <c r="L942" s="1075" t="s">
        <v>9888</v>
      </c>
      <c r="M942" s="1077" t="s">
        <v>14557</v>
      </c>
      <c r="N942" s="1078">
        <v>6512400</v>
      </c>
      <c r="O942" s="1078"/>
      <c r="P942" s="1078"/>
    </row>
    <row r="943" spans="1:16" s="1082" customFormat="1" ht="24" customHeight="1">
      <c r="A943" s="1075">
        <v>924</v>
      </c>
      <c r="B943" s="1075"/>
      <c r="C943" s="1075"/>
      <c r="D943" s="1075"/>
      <c r="E943" s="1075" t="s">
        <v>14558</v>
      </c>
      <c r="F943" s="1076"/>
      <c r="G943" s="1075" t="s">
        <v>9065</v>
      </c>
      <c r="H943" s="1075" t="s">
        <v>9065</v>
      </c>
      <c r="I943" s="1075" t="s">
        <v>14559</v>
      </c>
      <c r="J943" s="1075"/>
      <c r="K943" s="1075"/>
      <c r="L943" s="1075" t="s">
        <v>9888</v>
      </c>
      <c r="M943" s="1077" t="s">
        <v>14560</v>
      </c>
      <c r="N943" s="1078">
        <v>6512400</v>
      </c>
      <c r="O943" s="1078"/>
      <c r="P943" s="1078"/>
    </row>
    <row r="944" spans="1:16" s="1082" customFormat="1" ht="24" customHeight="1">
      <c r="A944" s="1075">
        <v>925</v>
      </c>
      <c r="B944" s="1075"/>
      <c r="C944" s="1075"/>
      <c r="D944" s="1075"/>
      <c r="E944" s="1075" t="s">
        <v>14561</v>
      </c>
      <c r="F944" s="1076"/>
      <c r="G944" s="1075" t="s">
        <v>9065</v>
      </c>
      <c r="H944" s="1075" t="s">
        <v>9065</v>
      </c>
      <c r="I944" s="1075" t="s">
        <v>14562</v>
      </c>
      <c r="J944" s="1075"/>
      <c r="K944" s="1075"/>
      <c r="L944" s="1075" t="s">
        <v>9888</v>
      </c>
      <c r="M944" s="1077" t="s">
        <v>14563</v>
      </c>
      <c r="N944" s="1078">
        <v>6512400</v>
      </c>
      <c r="O944" s="1078"/>
      <c r="P944" s="1078"/>
    </row>
    <row r="945" spans="1:16" s="1082" customFormat="1" ht="24" customHeight="1">
      <c r="A945" s="1075">
        <v>926</v>
      </c>
      <c r="B945" s="1075"/>
      <c r="C945" s="1075"/>
      <c r="D945" s="1075"/>
      <c r="E945" s="1075" t="s">
        <v>9458</v>
      </c>
      <c r="F945" s="1076"/>
      <c r="G945" s="1075" t="s">
        <v>9065</v>
      </c>
      <c r="H945" s="1075" t="s">
        <v>9065</v>
      </c>
      <c r="I945" s="1075" t="s">
        <v>14564</v>
      </c>
      <c r="J945" s="1075" t="s">
        <v>15547</v>
      </c>
      <c r="K945" s="1075" t="s">
        <v>1113</v>
      </c>
      <c r="L945" s="1075" t="s">
        <v>5130</v>
      </c>
      <c r="M945" s="1077" t="s">
        <v>14565</v>
      </c>
      <c r="N945" s="1078">
        <v>6512400</v>
      </c>
      <c r="O945" s="1078" t="s">
        <v>375</v>
      </c>
      <c r="P945" s="1078"/>
    </row>
    <row r="946" spans="1:16" s="1082" customFormat="1" ht="24" customHeight="1">
      <c r="A946" s="1075">
        <v>927</v>
      </c>
      <c r="B946" s="1075"/>
      <c r="C946" s="1075"/>
      <c r="D946" s="1075"/>
      <c r="E946" s="1075" t="s">
        <v>14566</v>
      </c>
      <c r="F946" s="1076"/>
      <c r="G946" s="1075" t="s">
        <v>9065</v>
      </c>
      <c r="H946" s="1075" t="s">
        <v>9065</v>
      </c>
      <c r="I946" s="1075" t="s">
        <v>14567</v>
      </c>
      <c r="J946" s="1075"/>
      <c r="K946" s="1075"/>
      <c r="L946" s="1075" t="s">
        <v>9888</v>
      </c>
      <c r="M946" s="1077" t="s">
        <v>14568</v>
      </c>
      <c r="N946" s="1078">
        <v>6512400</v>
      </c>
      <c r="O946" s="1078"/>
      <c r="P946" s="1078"/>
    </row>
    <row r="947" spans="1:16" s="1082" customFormat="1" ht="24" customHeight="1">
      <c r="A947" s="1075">
        <v>928</v>
      </c>
      <c r="B947" s="1075"/>
      <c r="C947" s="1075"/>
      <c r="D947" s="1075"/>
      <c r="E947" s="1075" t="s">
        <v>14569</v>
      </c>
      <c r="F947" s="1076"/>
      <c r="G947" s="1075" t="s">
        <v>9065</v>
      </c>
      <c r="H947" s="1075" t="s">
        <v>9065</v>
      </c>
      <c r="I947" s="1075" t="s">
        <v>14570</v>
      </c>
      <c r="J947" s="1075"/>
      <c r="K947" s="1075"/>
      <c r="L947" s="1075" t="s">
        <v>9888</v>
      </c>
      <c r="M947" s="1077" t="s">
        <v>14571</v>
      </c>
      <c r="N947" s="1078">
        <v>6512400</v>
      </c>
      <c r="O947" s="1078"/>
      <c r="P947" s="1078"/>
    </row>
    <row r="948" spans="1:16" s="1082" customFormat="1" ht="24" customHeight="1">
      <c r="A948" s="1075">
        <v>929</v>
      </c>
      <c r="B948" s="1075"/>
      <c r="C948" s="1075"/>
      <c r="D948" s="1075"/>
      <c r="E948" s="1075" t="s">
        <v>14572</v>
      </c>
      <c r="F948" s="1076"/>
      <c r="G948" s="1075" t="s">
        <v>9065</v>
      </c>
      <c r="H948" s="1075" t="s">
        <v>9065</v>
      </c>
      <c r="I948" s="1075" t="s">
        <v>14573</v>
      </c>
      <c r="J948" s="1075"/>
      <c r="K948" s="1075"/>
      <c r="L948" s="1075" t="s">
        <v>9888</v>
      </c>
      <c r="M948" s="1077" t="s">
        <v>14574</v>
      </c>
      <c r="N948" s="1078">
        <v>6512400</v>
      </c>
      <c r="O948" s="1078"/>
      <c r="P948" s="1078"/>
    </row>
    <row r="949" spans="1:16" s="1082" customFormat="1" ht="24" customHeight="1">
      <c r="A949" s="1075">
        <v>930</v>
      </c>
      <c r="B949" s="1075"/>
      <c r="C949" s="1075"/>
      <c r="D949" s="1075"/>
      <c r="E949" s="1075" t="s">
        <v>14575</v>
      </c>
      <c r="F949" s="1076"/>
      <c r="G949" s="1075" t="s">
        <v>9065</v>
      </c>
      <c r="H949" s="1075" t="s">
        <v>9065</v>
      </c>
      <c r="I949" s="1075" t="s">
        <v>14576</v>
      </c>
      <c r="J949" s="1075" t="s">
        <v>15655</v>
      </c>
      <c r="K949" s="1075" t="s">
        <v>15657</v>
      </c>
      <c r="L949" s="1075" t="s">
        <v>5130</v>
      </c>
      <c r="M949" s="1077" t="s">
        <v>14577</v>
      </c>
      <c r="N949" s="1078">
        <v>6512400</v>
      </c>
      <c r="O949" s="1078" t="s">
        <v>375</v>
      </c>
      <c r="P949" s="1078"/>
    </row>
    <row r="950" spans="1:16" s="1083" customFormat="1" ht="24" customHeight="1">
      <c r="A950" s="1075">
        <v>931</v>
      </c>
      <c r="B950" s="1069"/>
      <c r="C950" s="1069"/>
      <c r="D950" s="1069"/>
      <c r="E950" s="1069" t="s">
        <v>14578</v>
      </c>
      <c r="F950" s="1070"/>
      <c r="G950" s="1069" t="s">
        <v>9065</v>
      </c>
      <c r="H950" s="1069" t="s">
        <v>9065</v>
      </c>
      <c r="I950" s="1069" t="s">
        <v>14579</v>
      </c>
      <c r="J950" s="1069"/>
      <c r="K950" s="1125" t="s">
        <v>16185</v>
      </c>
      <c r="L950" s="1069" t="s">
        <v>5130</v>
      </c>
      <c r="M950" s="1071" t="s">
        <v>14580</v>
      </c>
      <c r="N950" s="1072">
        <v>6512400</v>
      </c>
      <c r="O950" s="1072" t="s">
        <v>375</v>
      </c>
      <c r="P950" s="1072" t="s">
        <v>16146</v>
      </c>
    </row>
    <row r="951" spans="1:16" s="1082" customFormat="1" ht="24" customHeight="1">
      <c r="A951" s="1075">
        <v>932</v>
      </c>
      <c r="B951" s="1075"/>
      <c r="C951" s="1075"/>
      <c r="D951" s="1075"/>
      <c r="E951" s="1075" t="s">
        <v>14581</v>
      </c>
      <c r="F951" s="1076"/>
      <c r="G951" s="1075" t="s">
        <v>9065</v>
      </c>
      <c r="H951" s="1075" t="s">
        <v>9065</v>
      </c>
      <c r="I951" s="1075" t="s">
        <v>14582</v>
      </c>
      <c r="J951" s="1075" t="s">
        <v>15656</v>
      </c>
      <c r="K951" s="1075" t="s">
        <v>1223</v>
      </c>
      <c r="L951" s="1075" t="s">
        <v>5130</v>
      </c>
      <c r="M951" s="1077" t="s">
        <v>14583</v>
      </c>
      <c r="N951" s="1078">
        <v>6512400</v>
      </c>
      <c r="O951" s="1078" t="s">
        <v>375</v>
      </c>
      <c r="P951" s="1078"/>
    </row>
    <row r="952" spans="1:16" s="1082" customFormat="1" ht="24" customHeight="1">
      <c r="A952" s="1075">
        <v>933</v>
      </c>
      <c r="B952" s="1075"/>
      <c r="C952" s="1075"/>
      <c r="D952" s="1075"/>
      <c r="E952" s="1075" t="s">
        <v>14584</v>
      </c>
      <c r="F952" s="1076"/>
      <c r="G952" s="1075" t="s">
        <v>9065</v>
      </c>
      <c r="H952" s="1075" t="s">
        <v>9065</v>
      </c>
      <c r="I952" s="1075" t="s">
        <v>14585</v>
      </c>
      <c r="J952" s="1075" t="s">
        <v>15548</v>
      </c>
      <c r="K952" s="1075" t="s">
        <v>1122</v>
      </c>
      <c r="L952" s="1075" t="s">
        <v>5130</v>
      </c>
      <c r="M952" s="1077" t="s">
        <v>14586</v>
      </c>
      <c r="N952" s="1078">
        <v>6512400</v>
      </c>
      <c r="O952" s="1078" t="s">
        <v>375</v>
      </c>
      <c r="P952" s="1078"/>
    </row>
    <row r="953" spans="1:16" s="1082" customFormat="1" ht="24" customHeight="1">
      <c r="A953" s="1075">
        <v>934</v>
      </c>
      <c r="B953" s="1075"/>
      <c r="C953" s="1075"/>
      <c r="D953" s="1075"/>
      <c r="E953" s="1075" t="s">
        <v>14587</v>
      </c>
      <c r="F953" s="1076"/>
      <c r="G953" s="1075" t="s">
        <v>9065</v>
      </c>
      <c r="H953" s="1075" t="s">
        <v>9065</v>
      </c>
      <c r="I953" s="1075" t="s">
        <v>14588</v>
      </c>
      <c r="J953" s="1075"/>
      <c r="K953" s="1075"/>
      <c r="L953" s="1075" t="s">
        <v>9888</v>
      </c>
      <c r="M953" s="1077" t="s">
        <v>14589</v>
      </c>
      <c r="N953" s="1078">
        <v>6512400</v>
      </c>
      <c r="O953" s="1078"/>
      <c r="P953" s="1078"/>
    </row>
    <row r="954" spans="1:16" s="1082" customFormat="1" ht="24" customHeight="1">
      <c r="A954" s="1075">
        <v>935</v>
      </c>
      <c r="B954" s="1075"/>
      <c r="C954" s="1075"/>
      <c r="D954" s="1075"/>
      <c r="E954" s="1075" t="s">
        <v>14590</v>
      </c>
      <c r="F954" s="1076"/>
      <c r="G954" s="1075" t="s">
        <v>9065</v>
      </c>
      <c r="H954" s="1075" t="s">
        <v>9065</v>
      </c>
      <c r="I954" s="1075" t="s">
        <v>14591</v>
      </c>
      <c r="J954" s="1075"/>
      <c r="K954" s="1075"/>
      <c r="L954" s="1075" t="s">
        <v>9888</v>
      </c>
      <c r="M954" s="1077" t="s">
        <v>14592</v>
      </c>
      <c r="N954" s="1078">
        <v>6512400</v>
      </c>
      <c r="O954" s="1078"/>
      <c r="P954" s="1078"/>
    </row>
    <row r="955" spans="1:16" s="1082" customFormat="1" ht="24" customHeight="1">
      <c r="A955" s="1075">
        <v>936</v>
      </c>
      <c r="B955" s="1075"/>
      <c r="C955" s="1075"/>
      <c r="D955" s="1075"/>
      <c r="E955" s="1075" t="s">
        <v>14593</v>
      </c>
      <c r="F955" s="1076"/>
      <c r="G955" s="1075" t="s">
        <v>9065</v>
      </c>
      <c r="H955" s="1075" t="s">
        <v>9065</v>
      </c>
      <c r="I955" s="1075" t="s">
        <v>14594</v>
      </c>
      <c r="J955" s="1075"/>
      <c r="K955" s="1075"/>
      <c r="L955" s="1075" t="s">
        <v>9888</v>
      </c>
      <c r="M955" s="1077" t="s">
        <v>14595</v>
      </c>
      <c r="N955" s="1078">
        <v>6512400</v>
      </c>
      <c r="O955" s="1078"/>
      <c r="P955" s="1078"/>
    </row>
    <row r="956" spans="1:16" s="1082" customFormat="1" ht="24" customHeight="1">
      <c r="A956" s="1075">
        <v>937</v>
      </c>
      <c r="B956" s="1075"/>
      <c r="C956" s="1075"/>
      <c r="D956" s="1075"/>
      <c r="E956" s="1075" t="s">
        <v>14596</v>
      </c>
      <c r="F956" s="1076"/>
      <c r="G956" s="1075" t="s">
        <v>9065</v>
      </c>
      <c r="H956" s="1075" t="s">
        <v>9065</v>
      </c>
      <c r="I956" s="1075" t="s">
        <v>14597</v>
      </c>
      <c r="J956" s="1075"/>
      <c r="K956" s="1075"/>
      <c r="L956" s="1075" t="s">
        <v>9888</v>
      </c>
      <c r="M956" s="1077" t="s">
        <v>14598</v>
      </c>
      <c r="N956" s="1078">
        <v>6512400</v>
      </c>
      <c r="O956" s="1078"/>
      <c r="P956" s="1078"/>
    </row>
    <row r="957" spans="1:16" s="1082" customFormat="1" ht="24" customHeight="1">
      <c r="A957" s="1075">
        <v>938</v>
      </c>
      <c r="B957" s="1075"/>
      <c r="C957" s="1075"/>
      <c r="D957" s="1075"/>
      <c r="E957" s="1075" t="s">
        <v>14599</v>
      </c>
      <c r="F957" s="1076"/>
      <c r="G957" s="1075" t="s">
        <v>9065</v>
      </c>
      <c r="H957" s="1075" t="s">
        <v>9065</v>
      </c>
      <c r="I957" s="1075" t="s">
        <v>14600</v>
      </c>
      <c r="J957" s="1075"/>
      <c r="K957" s="1075"/>
      <c r="L957" s="1075" t="s">
        <v>9888</v>
      </c>
      <c r="M957" s="1077" t="s">
        <v>14601</v>
      </c>
      <c r="N957" s="1078">
        <v>6512400</v>
      </c>
      <c r="O957" s="1078"/>
      <c r="P957" s="1078"/>
    </row>
    <row r="958" spans="1:16" s="1083" customFormat="1" ht="24" customHeight="1">
      <c r="A958" s="1075">
        <v>939</v>
      </c>
      <c r="B958" s="1069" t="s">
        <v>1595</v>
      </c>
      <c r="C958" s="1069"/>
      <c r="D958" s="1069"/>
      <c r="E958" s="1069" t="s">
        <v>15309</v>
      </c>
      <c r="F958" s="1070"/>
      <c r="G958" s="1069" t="s">
        <v>9065</v>
      </c>
      <c r="H958" s="1069" t="s">
        <v>9065</v>
      </c>
      <c r="I958" s="1069" t="s">
        <v>15310</v>
      </c>
      <c r="J958" s="1069"/>
      <c r="K958" s="1125" t="s">
        <v>16185</v>
      </c>
      <c r="L958" s="1069" t="s">
        <v>5130</v>
      </c>
      <c r="M958" s="1071" t="s">
        <v>15311</v>
      </c>
      <c r="N958" s="1072">
        <v>6512400</v>
      </c>
      <c r="O958" s="1072"/>
      <c r="P958" s="1072" t="s">
        <v>16146</v>
      </c>
    </row>
    <row r="959" spans="1:16" s="1082" customFormat="1" ht="24" customHeight="1">
      <c r="A959" s="1075">
        <v>940</v>
      </c>
      <c r="B959" s="1075"/>
      <c r="C959" s="1075"/>
      <c r="D959" s="1075"/>
      <c r="E959" s="1075" t="s">
        <v>15312</v>
      </c>
      <c r="F959" s="1076"/>
      <c r="G959" s="1075" t="s">
        <v>9065</v>
      </c>
      <c r="H959" s="1075" t="s">
        <v>9065</v>
      </c>
      <c r="I959" s="1075" t="s">
        <v>15313</v>
      </c>
      <c r="J959" s="1075"/>
      <c r="K959" s="1075"/>
      <c r="L959" s="1075" t="s">
        <v>9888</v>
      </c>
      <c r="M959" s="1077" t="s">
        <v>15314</v>
      </c>
      <c r="N959" s="1078">
        <v>6512400</v>
      </c>
      <c r="O959" s="1078"/>
      <c r="P959" s="1078"/>
    </row>
    <row r="960" spans="1:16" s="1082" customFormat="1" ht="24" customHeight="1">
      <c r="A960" s="1075">
        <v>941</v>
      </c>
      <c r="B960" s="1075"/>
      <c r="C960" s="1075"/>
      <c r="D960" s="1075"/>
      <c r="E960" s="1075" t="s">
        <v>15315</v>
      </c>
      <c r="F960" s="1076"/>
      <c r="G960" s="1075" t="s">
        <v>9065</v>
      </c>
      <c r="H960" s="1075" t="s">
        <v>9065</v>
      </c>
      <c r="I960" s="1075" t="s">
        <v>15316</v>
      </c>
      <c r="J960" s="1075"/>
      <c r="K960" s="1075"/>
      <c r="L960" s="1075" t="s">
        <v>9888</v>
      </c>
      <c r="M960" s="1077" t="s">
        <v>15317</v>
      </c>
      <c r="N960" s="1078">
        <v>6512400</v>
      </c>
      <c r="O960" s="1078"/>
      <c r="P960" s="1078"/>
    </row>
    <row r="961" spans="1:16" s="1082" customFormat="1" ht="24" customHeight="1">
      <c r="A961" s="1075">
        <v>942</v>
      </c>
      <c r="B961" s="1075"/>
      <c r="C961" s="1075"/>
      <c r="D961" s="1075"/>
      <c r="E961" s="1075" t="s">
        <v>15318</v>
      </c>
      <c r="F961" s="1076"/>
      <c r="G961" s="1075" t="s">
        <v>9065</v>
      </c>
      <c r="H961" s="1075" t="s">
        <v>9065</v>
      </c>
      <c r="I961" s="1075" t="s">
        <v>15319</v>
      </c>
      <c r="J961" s="1075"/>
      <c r="K961" s="1075"/>
      <c r="L961" s="1075" t="s">
        <v>9888</v>
      </c>
      <c r="M961" s="1077" t="s">
        <v>15320</v>
      </c>
      <c r="N961" s="1078">
        <v>6512400</v>
      </c>
      <c r="O961" s="1078"/>
      <c r="P961" s="1078"/>
    </row>
    <row r="962" spans="1:16" s="1082" customFormat="1" ht="24" customHeight="1">
      <c r="A962" s="1075">
        <v>943</v>
      </c>
      <c r="B962" s="1075"/>
      <c r="C962" s="1075"/>
      <c r="D962" s="1075"/>
      <c r="E962" s="1075" t="s">
        <v>15321</v>
      </c>
      <c r="F962" s="1076"/>
      <c r="G962" s="1075" t="s">
        <v>9065</v>
      </c>
      <c r="H962" s="1075" t="s">
        <v>9065</v>
      </c>
      <c r="I962" s="1075" t="s">
        <v>15322</v>
      </c>
      <c r="J962" s="1075"/>
      <c r="K962" s="1075"/>
      <c r="L962" s="1075" t="s">
        <v>9888</v>
      </c>
      <c r="M962" s="1077" t="s">
        <v>15323</v>
      </c>
      <c r="N962" s="1078">
        <v>6512400</v>
      </c>
      <c r="O962" s="1078"/>
      <c r="P962" s="1078"/>
    </row>
    <row r="963" spans="1:16" s="1082" customFormat="1" ht="24" customHeight="1">
      <c r="A963" s="1075">
        <v>944</v>
      </c>
      <c r="B963" s="1075"/>
      <c r="C963" s="1075"/>
      <c r="D963" s="1075"/>
      <c r="E963" s="1075" t="s">
        <v>15283</v>
      </c>
      <c r="F963" s="1076"/>
      <c r="G963" s="1075" t="s">
        <v>9065</v>
      </c>
      <c r="H963" s="1075" t="s">
        <v>9065</v>
      </c>
      <c r="I963" s="1075" t="s">
        <v>15324</v>
      </c>
      <c r="J963" s="1075"/>
      <c r="K963" s="1075"/>
      <c r="L963" s="1075" t="s">
        <v>9888</v>
      </c>
      <c r="M963" s="1077" t="s">
        <v>15325</v>
      </c>
      <c r="N963" s="1078">
        <v>6512400</v>
      </c>
      <c r="O963" s="1078"/>
      <c r="P963" s="1078"/>
    </row>
    <row r="964" spans="1:16" s="1082" customFormat="1" ht="24" customHeight="1">
      <c r="A964" s="1075">
        <v>945</v>
      </c>
      <c r="B964" s="1075"/>
      <c r="C964" s="1075"/>
      <c r="D964" s="1075"/>
      <c r="E964" s="1075" t="s">
        <v>9483</v>
      </c>
      <c r="F964" s="1076"/>
      <c r="G964" s="1075" t="s">
        <v>9065</v>
      </c>
      <c r="H964" s="1075" t="s">
        <v>9065</v>
      </c>
      <c r="I964" s="1075" t="s">
        <v>15326</v>
      </c>
      <c r="J964" s="1075"/>
      <c r="K964" s="1075"/>
      <c r="L964" s="1075" t="s">
        <v>9888</v>
      </c>
      <c r="M964" s="1077" t="s">
        <v>15327</v>
      </c>
      <c r="N964" s="1078">
        <v>6512400</v>
      </c>
      <c r="O964" s="1078"/>
      <c r="P964" s="1078"/>
    </row>
    <row r="965" spans="1:16" s="1082" customFormat="1" ht="24" customHeight="1">
      <c r="A965" s="1075">
        <v>946</v>
      </c>
      <c r="B965" s="1075"/>
      <c r="C965" s="1075"/>
      <c r="D965" s="1075"/>
      <c r="E965" s="1075" t="s">
        <v>15328</v>
      </c>
      <c r="F965" s="1076"/>
      <c r="G965" s="1075" t="s">
        <v>9065</v>
      </c>
      <c r="H965" s="1075" t="s">
        <v>9065</v>
      </c>
      <c r="I965" s="1075" t="s">
        <v>15329</v>
      </c>
      <c r="J965" s="1075"/>
      <c r="K965" s="1075"/>
      <c r="L965" s="1075" t="s">
        <v>9888</v>
      </c>
      <c r="M965" s="1077" t="s">
        <v>15330</v>
      </c>
      <c r="N965" s="1078">
        <v>6512400</v>
      </c>
      <c r="O965" s="1078"/>
      <c r="P965" s="1078"/>
    </row>
    <row r="966" spans="1:16" s="1082" customFormat="1" ht="24" customHeight="1">
      <c r="A966" s="1075">
        <v>947</v>
      </c>
      <c r="B966" s="1075"/>
      <c r="C966" s="1075"/>
      <c r="D966" s="1075"/>
      <c r="E966" s="1075" t="s">
        <v>15331</v>
      </c>
      <c r="F966" s="1076"/>
      <c r="G966" s="1075" t="s">
        <v>9065</v>
      </c>
      <c r="H966" s="1075" t="s">
        <v>9065</v>
      </c>
      <c r="I966" s="1075" t="s">
        <v>15332</v>
      </c>
      <c r="J966" s="1075"/>
      <c r="K966" s="1075"/>
      <c r="L966" s="1075" t="s">
        <v>9888</v>
      </c>
      <c r="M966" s="1077" t="s">
        <v>15333</v>
      </c>
      <c r="N966" s="1078">
        <v>6512400</v>
      </c>
      <c r="O966" s="1078"/>
      <c r="P966" s="1078"/>
    </row>
    <row r="967" spans="1:16" s="1082" customFormat="1" ht="24" customHeight="1">
      <c r="A967" s="1075">
        <v>948</v>
      </c>
      <c r="B967" s="1075"/>
      <c r="C967" s="1075"/>
      <c r="D967" s="1075"/>
      <c r="E967" s="1075" t="s">
        <v>15334</v>
      </c>
      <c r="F967" s="1076"/>
      <c r="G967" s="1075" t="s">
        <v>9065</v>
      </c>
      <c r="H967" s="1075" t="s">
        <v>9065</v>
      </c>
      <c r="I967" s="1075" t="s">
        <v>15335</v>
      </c>
      <c r="J967" s="1075" t="s">
        <v>15660</v>
      </c>
      <c r="K967" s="1075" t="s">
        <v>16150</v>
      </c>
      <c r="L967" s="1075" t="s">
        <v>5130</v>
      </c>
      <c r="M967" s="1077" t="s">
        <v>15336</v>
      </c>
      <c r="N967" s="1078">
        <v>6512400</v>
      </c>
      <c r="O967" s="1078" t="s">
        <v>375</v>
      </c>
      <c r="P967" s="1078"/>
    </row>
    <row r="968" spans="1:16" s="1082" customFormat="1" ht="24" customHeight="1">
      <c r="A968" s="1075">
        <v>949</v>
      </c>
      <c r="B968" s="1075"/>
      <c r="C968" s="1075"/>
      <c r="D968" s="1075"/>
      <c r="E968" s="1075" t="s">
        <v>15337</v>
      </c>
      <c r="F968" s="1076"/>
      <c r="G968" s="1075" t="s">
        <v>9065</v>
      </c>
      <c r="H968" s="1075" t="s">
        <v>9065</v>
      </c>
      <c r="I968" s="1075" t="s">
        <v>15338</v>
      </c>
      <c r="J968" s="1075"/>
      <c r="K968" s="1075"/>
      <c r="L968" s="1075" t="s">
        <v>9888</v>
      </c>
      <c r="M968" s="1077" t="s">
        <v>15339</v>
      </c>
      <c r="N968" s="1078">
        <v>6512400</v>
      </c>
      <c r="O968" s="1078"/>
      <c r="P968" s="1078"/>
    </row>
    <row r="969" spans="1:16" s="1082" customFormat="1" ht="24" customHeight="1">
      <c r="A969" s="1075">
        <v>950</v>
      </c>
      <c r="B969" s="1075"/>
      <c r="C969" s="1075"/>
      <c r="D969" s="1075"/>
      <c r="E969" s="1075" t="s">
        <v>15340</v>
      </c>
      <c r="F969" s="1076"/>
      <c r="G969" s="1075" t="s">
        <v>9065</v>
      </c>
      <c r="H969" s="1075" t="s">
        <v>9065</v>
      </c>
      <c r="I969" s="1075" t="s">
        <v>15341</v>
      </c>
      <c r="J969" s="1075"/>
      <c r="K969" s="1075"/>
      <c r="L969" s="1075" t="s">
        <v>9888</v>
      </c>
      <c r="M969" s="1077" t="s">
        <v>15342</v>
      </c>
      <c r="N969" s="1078">
        <v>6512400</v>
      </c>
      <c r="O969" s="1078"/>
      <c r="P969" s="1078"/>
    </row>
    <row r="970" spans="1:16" s="1082" customFormat="1" ht="24" customHeight="1">
      <c r="A970" s="1075">
        <v>951</v>
      </c>
      <c r="B970" s="1075"/>
      <c r="C970" s="1075"/>
      <c r="D970" s="1075"/>
      <c r="E970" s="1075" t="s">
        <v>15343</v>
      </c>
      <c r="F970" s="1076"/>
      <c r="G970" s="1075" t="s">
        <v>9065</v>
      </c>
      <c r="H970" s="1075" t="s">
        <v>9065</v>
      </c>
      <c r="I970" s="1075" t="s">
        <v>15344</v>
      </c>
      <c r="J970" s="1075"/>
      <c r="K970" s="1075"/>
      <c r="L970" s="1075" t="s">
        <v>9888</v>
      </c>
      <c r="M970" s="1077" t="s">
        <v>15345</v>
      </c>
      <c r="N970" s="1078">
        <v>6512400</v>
      </c>
      <c r="O970" s="1078"/>
      <c r="P970" s="1078"/>
    </row>
    <row r="971" spans="1:16" s="1082" customFormat="1" ht="24" customHeight="1">
      <c r="A971" s="1075">
        <v>952</v>
      </c>
      <c r="B971" s="1075"/>
      <c r="C971" s="1075"/>
      <c r="D971" s="1075"/>
      <c r="E971" s="1075" t="s">
        <v>15346</v>
      </c>
      <c r="F971" s="1076"/>
      <c r="G971" s="1075" t="s">
        <v>9065</v>
      </c>
      <c r="H971" s="1075" t="s">
        <v>9065</v>
      </c>
      <c r="I971" s="1075" t="s">
        <v>15347</v>
      </c>
      <c r="J971" s="1075"/>
      <c r="K971" s="1075"/>
      <c r="L971" s="1075" t="s">
        <v>9888</v>
      </c>
      <c r="M971" s="1077" t="s">
        <v>15348</v>
      </c>
      <c r="N971" s="1078">
        <v>6512400</v>
      </c>
      <c r="O971" s="1078"/>
      <c r="P971" s="1078"/>
    </row>
    <row r="972" spans="1:16" s="1082" customFormat="1" ht="24" customHeight="1">
      <c r="A972" s="1075">
        <v>953</v>
      </c>
      <c r="B972" s="1075"/>
      <c r="C972" s="1075"/>
      <c r="D972" s="1075"/>
      <c r="E972" s="1075" t="s">
        <v>15349</v>
      </c>
      <c r="F972" s="1076"/>
      <c r="G972" s="1075" t="s">
        <v>9065</v>
      </c>
      <c r="H972" s="1075" t="s">
        <v>9065</v>
      </c>
      <c r="I972" s="1075" t="s">
        <v>15350</v>
      </c>
      <c r="J972" s="1075"/>
      <c r="K972" s="1075"/>
      <c r="L972" s="1075" t="s">
        <v>9888</v>
      </c>
      <c r="M972" s="1077" t="s">
        <v>15351</v>
      </c>
      <c r="N972" s="1078">
        <v>6512400</v>
      </c>
      <c r="O972" s="1078"/>
      <c r="P972" s="1078"/>
    </row>
    <row r="973" spans="1:16" s="1082" customFormat="1" ht="24" customHeight="1">
      <c r="A973" s="1075">
        <v>954</v>
      </c>
      <c r="B973" s="1075"/>
      <c r="C973" s="1075"/>
      <c r="D973" s="1075"/>
      <c r="E973" s="1075" t="s">
        <v>15352</v>
      </c>
      <c r="F973" s="1076"/>
      <c r="G973" s="1075" t="s">
        <v>9065</v>
      </c>
      <c r="H973" s="1075" t="s">
        <v>9065</v>
      </c>
      <c r="I973" s="1075" t="s">
        <v>7331</v>
      </c>
      <c r="J973" s="1075"/>
      <c r="K973" s="1075"/>
      <c r="L973" s="1075" t="s">
        <v>9888</v>
      </c>
      <c r="M973" s="1077" t="s">
        <v>15353</v>
      </c>
      <c r="N973" s="1078">
        <v>6512400</v>
      </c>
      <c r="O973" s="1078"/>
      <c r="P973" s="1078"/>
    </row>
    <row r="974" spans="1:16" s="1082" customFormat="1" ht="24" customHeight="1">
      <c r="A974" s="1075">
        <v>955</v>
      </c>
      <c r="B974" s="1075"/>
      <c r="C974" s="1075"/>
      <c r="D974" s="1075"/>
      <c r="E974" s="1075" t="s">
        <v>15354</v>
      </c>
      <c r="F974" s="1076"/>
      <c r="G974" s="1075" t="s">
        <v>9065</v>
      </c>
      <c r="H974" s="1075" t="s">
        <v>9065</v>
      </c>
      <c r="I974" s="1075" t="s">
        <v>5564</v>
      </c>
      <c r="J974" s="1075"/>
      <c r="K974" s="1075"/>
      <c r="L974" s="1075" t="s">
        <v>9888</v>
      </c>
      <c r="M974" s="1077" t="s">
        <v>15355</v>
      </c>
      <c r="N974" s="1078">
        <v>6512400</v>
      </c>
      <c r="O974" s="1078"/>
      <c r="P974" s="1078"/>
    </row>
    <row r="975" spans="1:16" s="1082" customFormat="1" ht="24" customHeight="1">
      <c r="A975" s="1075">
        <v>956</v>
      </c>
      <c r="B975" s="1075"/>
      <c r="C975" s="1075"/>
      <c r="D975" s="1075"/>
      <c r="E975" s="1075" t="s">
        <v>15917</v>
      </c>
      <c r="F975" s="1076"/>
      <c r="G975" s="1075" t="s">
        <v>9065</v>
      </c>
      <c r="H975" s="1075" t="s">
        <v>9065</v>
      </c>
      <c r="I975" s="1075" t="s">
        <v>6049</v>
      </c>
      <c r="J975" s="1075"/>
      <c r="K975" s="1075"/>
      <c r="L975" s="1075" t="s">
        <v>9888</v>
      </c>
      <c r="M975" s="1077" t="s">
        <v>15918</v>
      </c>
      <c r="N975" s="1078">
        <v>6512400</v>
      </c>
      <c r="O975" s="1078"/>
      <c r="P975" s="1078"/>
    </row>
    <row r="976" spans="1:16" s="1082" customFormat="1" ht="24" customHeight="1">
      <c r="A976" s="1075">
        <v>957</v>
      </c>
      <c r="B976" s="1075"/>
      <c r="C976" s="1075"/>
      <c r="D976" s="1075"/>
      <c r="E976" s="1075" t="s">
        <v>15919</v>
      </c>
      <c r="F976" s="1076"/>
      <c r="G976" s="1075" t="s">
        <v>9065</v>
      </c>
      <c r="H976" s="1075" t="s">
        <v>9065</v>
      </c>
      <c r="I976" s="1075" t="s">
        <v>6145</v>
      </c>
      <c r="J976" s="1075"/>
      <c r="K976" s="1075"/>
      <c r="L976" s="1075" t="s">
        <v>9888</v>
      </c>
      <c r="M976" s="1077" t="s">
        <v>15920</v>
      </c>
      <c r="N976" s="1078">
        <v>6512400</v>
      </c>
      <c r="O976" s="1078"/>
      <c r="P976" s="1078"/>
    </row>
    <row r="977" spans="1:16" s="1082" customFormat="1" ht="24" customHeight="1">
      <c r="A977" s="1075">
        <v>958</v>
      </c>
      <c r="B977" s="1075"/>
      <c r="C977" s="1075"/>
      <c r="D977" s="1075"/>
      <c r="E977" s="1075" t="s">
        <v>15921</v>
      </c>
      <c r="F977" s="1076"/>
      <c r="G977" s="1075" t="s">
        <v>9065</v>
      </c>
      <c r="H977" s="1075" t="s">
        <v>9065</v>
      </c>
      <c r="I977" s="1075" t="s">
        <v>14520</v>
      </c>
      <c r="J977" s="1075"/>
      <c r="K977" s="1075"/>
      <c r="L977" s="1075" t="s">
        <v>9888</v>
      </c>
      <c r="M977" s="1077" t="s">
        <v>15922</v>
      </c>
      <c r="N977" s="1078">
        <v>6512400</v>
      </c>
      <c r="O977" s="1078"/>
      <c r="P977" s="1078"/>
    </row>
    <row r="978" spans="1:16" s="1082" customFormat="1" ht="24" customHeight="1">
      <c r="A978" s="1075">
        <v>959</v>
      </c>
      <c r="B978" s="1075"/>
      <c r="C978" s="1075"/>
      <c r="D978" s="1075"/>
      <c r="E978" s="1075" t="s">
        <v>15923</v>
      </c>
      <c r="F978" s="1076"/>
      <c r="G978" s="1075" t="s">
        <v>9065</v>
      </c>
      <c r="H978" s="1075" t="s">
        <v>9065</v>
      </c>
      <c r="I978" s="1075" t="s">
        <v>15924</v>
      </c>
      <c r="J978" s="1075"/>
      <c r="K978" s="1075"/>
      <c r="L978" s="1075" t="s">
        <v>9888</v>
      </c>
      <c r="M978" s="1077" t="s">
        <v>15925</v>
      </c>
      <c r="N978" s="1078">
        <v>6512400</v>
      </c>
      <c r="O978" s="1078"/>
      <c r="P978" s="1078"/>
    </row>
    <row r="979" spans="1:16" s="1082" customFormat="1" ht="24" customHeight="1">
      <c r="A979" s="1075">
        <v>960</v>
      </c>
      <c r="B979" s="1075"/>
      <c r="C979" s="1075"/>
      <c r="D979" s="1075"/>
      <c r="E979" s="1075" t="s">
        <v>15926</v>
      </c>
      <c r="F979" s="1076"/>
      <c r="G979" s="1075" t="s">
        <v>9065</v>
      </c>
      <c r="H979" s="1075" t="s">
        <v>9065</v>
      </c>
      <c r="I979" s="1075" t="s">
        <v>15927</v>
      </c>
      <c r="J979" s="1075"/>
      <c r="K979" s="1075"/>
      <c r="L979" s="1075" t="s">
        <v>9888</v>
      </c>
      <c r="M979" s="1077" t="s">
        <v>15928</v>
      </c>
      <c r="N979" s="1078">
        <v>6512400</v>
      </c>
      <c r="O979" s="1078"/>
      <c r="P979" s="1078"/>
    </row>
    <row r="980" spans="1:16" s="1082" customFormat="1" ht="24" customHeight="1">
      <c r="A980" s="1075">
        <v>961</v>
      </c>
      <c r="B980" s="1075" t="s">
        <v>2592</v>
      </c>
      <c r="C980" s="1075" t="s">
        <v>2593</v>
      </c>
      <c r="D980" s="1075" t="s">
        <v>15929</v>
      </c>
      <c r="E980" s="1075" t="s">
        <v>15930</v>
      </c>
      <c r="F980" s="1076"/>
      <c r="G980" s="1075" t="s">
        <v>9065</v>
      </c>
      <c r="H980" s="1075" t="s">
        <v>9065</v>
      </c>
      <c r="I980" s="1075" t="s">
        <v>15931</v>
      </c>
      <c r="J980" s="1075"/>
      <c r="K980" s="1075"/>
      <c r="L980" s="1075" t="s">
        <v>9888</v>
      </c>
      <c r="M980" s="1077" t="s">
        <v>15932</v>
      </c>
      <c r="N980" s="1078">
        <v>6512400</v>
      </c>
      <c r="O980" s="1078"/>
      <c r="P980" s="1078"/>
    </row>
    <row r="981" spans="1:16" s="1082" customFormat="1" ht="24" customHeight="1">
      <c r="A981" s="1075">
        <v>962</v>
      </c>
      <c r="B981" s="1075" t="s">
        <v>2592</v>
      </c>
      <c r="C981" s="1075" t="s">
        <v>2593</v>
      </c>
      <c r="D981" s="1075" t="s">
        <v>15933</v>
      </c>
      <c r="E981" s="1075" t="s">
        <v>15934</v>
      </c>
      <c r="F981" s="1076"/>
      <c r="G981" s="1075" t="s">
        <v>9065</v>
      </c>
      <c r="H981" s="1075" t="s">
        <v>9065</v>
      </c>
      <c r="I981" s="1075" t="s">
        <v>6441</v>
      </c>
      <c r="J981" s="1075"/>
      <c r="K981" s="1075"/>
      <c r="L981" s="1075" t="s">
        <v>9888</v>
      </c>
      <c r="M981" s="1077" t="s">
        <v>15935</v>
      </c>
      <c r="N981" s="1078">
        <v>6512400</v>
      </c>
      <c r="O981" s="1078"/>
      <c r="P981" s="1078"/>
    </row>
    <row r="982" spans="1:16" s="1082" customFormat="1" ht="24" customHeight="1">
      <c r="A982" s="1075">
        <v>963</v>
      </c>
      <c r="B982" s="1075" t="s">
        <v>1595</v>
      </c>
      <c r="C982" s="1075" t="s">
        <v>1598</v>
      </c>
      <c r="D982" s="1075" t="s">
        <v>15936</v>
      </c>
      <c r="E982" s="1075" t="s">
        <v>15937</v>
      </c>
      <c r="F982" s="1076"/>
      <c r="G982" s="1075" t="s">
        <v>9065</v>
      </c>
      <c r="H982" s="1075" t="s">
        <v>9065</v>
      </c>
      <c r="I982" s="1075" t="s">
        <v>5610</v>
      </c>
      <c r="J982" s="1075"/>
      <c r="K982" s="1075"/>
      <c r="L982" s="1075" t="s">
        <v>9888</v>
      </c>
      <c r="M982" s="1077" t="s">
        <v>15938</v>
      </c>
      <c r="N982" s="1078">
        <v>6512400</v>
      </c>
      <c r="O982" s="1078"/>
      <c r="P982" s="1078"/>
    </row>
    <row r="983" spans="1:16" s="1082" customFormat="1" ht="24" customHeight="1">
      <c r="A983" s="1075">
        <v>964</v>
      </c>
      <c r="B983" s="1075" t="s">
        <v>3212</v>
      </c>
      <c r="C983" s="1075" t="s">
        <v>3213</v>
      </c>
      <c r="D983" s="1075" t="s">
        <v>15939</v>
      </c>
      <c r="E983" s="1075" t="s">
        <v>15940</v>
      </c>
      <c r="F983" s="1076"/>
      <c r="G983" s="1075" t="s">
        <v>9065</v>
      </c>
      <c r="H983" s="1075" t="s">
        <v>9065</v>
      </c>
      <c r="I983" s="1075" t="s">
        <v>15941</v>
      </c>
      <c r="J983" s="1075"/>
      <c r="K983" s="1075"/>
      <c r="L983" s="1075" t="s">
        <v>9888</v>
      </c>
      <c r="M983" s="1077" t="s">
        <v>15942</v>
      </c>
      <c r="N983" s="1078">
        <v>6512400</v>
      </c>
      <c r="O983" s="1078"/>
      <c r="P983" s="1078"/>
    </row>
    <row r="984" spans="1:16" s="1082" customFormat="1" ht="24" customHeight="1">
      <c r="A984" s="1075">
        <v>965</v>
      </c>
      <c r="B984" s="1075" t="s">
        <v>3018</v>
      </c>
      <c r="C984" s="1075" t="s">
        <v>3051</v>
      </c>
      <c r="D984" s="1075" t="s">
        <v>15943</v>
      </c>
      <c r="E984" s="1075" t="s">
        <v>15944</v>
      </c>
      <c r="F984" s="1076"/>
      <c r="G984" s="1075" t="s">
        <v>9065</v>
      </c>
      <c r="H984" s="1075" t="s">
        <v>9065</v>
      </c>
      <c r="I984" s="1075" t="s">
        <v>5419</v>
      </c>
      <c r="J984" s="1075"/>
      <c r="K984" s="1075"/>
      <c r="L984" s="1075" t="s">
        <v>9888</v>
      </c>
      <c r="M984" s="1077" t="s">
        <v>15945</v>
      </c>
      <c r="N984" s="1078">
        <v>6512400</v>
      </c>
      <c r="O984" s="1078"/>
      <c r="P984" s="1078"/>
    </row>
    <row r="985" spans="1:16" s="1082" customFormat="1" ht="24" customHeight="1">
      <c r="A985" s="1075">
        <v>966</v>
      </c>
      <c r="B985" s="1075" t="s">
        <v>267</v>
      </c>
      <c r="C985" s="1075" t="s">
        <v>267</v>
      </c>
      <c r="D985" s="1075" t="s">
        <v>15943</v>
      </c>
      <c r="E985" s="1075" t="s">
        <v>15946</v>
      </c>
      <c r="F985" s="1076"/>
      <c r="G985" s="1075" t="s">
        <v>9065</v>
      </c>
      <c r="H985" s="1075" t="s">
        <v>9065</v>
      </c>
      <c r="I985" s="1075" t="s">
        <v>15947</v>
      </c>
      <c r="J985" s="1075"/>
      <c r="K985" s="1075"/>
      <c r="L985" s="1075" t="s">
        <v>9888</v>
      </c>
      <c r="M985" s="1077" t="s">
        <v>15948</v>
      </c>
      <c r="N985" s="1078">
        <v>6512400</v>
      </c>
      <c r="O985" s="1078"/>
      <c r="P985" s="1078"/>
    </row>
    <row r="986" spans="1:16" s="1082" customFormat="1" ht="24" customHeight="1">
      <c r="A986" s="1075">
        <v>967</v>
      </c>
      <c r="B986" s="1075" t="s">
        <v>15949</v>
      </c>
      <c r="C986" s="1075">
        <v>451</v>
      </c>
      <c r="D986" s="1075" t="s">
        <v>15950</v>
      </c>
      <c r="E986" s="1075" t="s">
        <v>15951</v>
      </c>
      <c r="F986" s="1076"/>
      <c r="G986" s="1075" t="s">
        <v>9065</v>
      </c>
      <c r="H986" s="1075" t="s">
        <v>9065</v>
      </c>
      <c r="I986" s="1075" t="s">
        <v>15952</v>
      </c>
      <c r="J986" s="1075"/>
      <c r="K986" s="1075"/>
      <c r="L986" s="1075" t="s">
        <v>9888</v>
      </c>
      <c r="M986" s="1077" t="s">
        <v>15953</v>
      </c>
      <c r="N986" s="1078">
        <v>6512400</v>
      </c>
      <c r="O986" s="1078"/>
      <c r="P986" s="1078"/>
    </row>
    <row r="987" spans="1:16" s="1082" customFormat="1" ht="24" customHeight="1">
      <c r="A987" s="1075">
        <v>968</v>
      </c>
      <c r="B987" s="1075" t="s">
        <v>2592</v>
      </c>
      <c r="C987" s="1075" t="s">
        <v>2593</v>
      </c>
      <c r="D987" s="1075" t="s">
        <v>15954</v>
      </c>
      <c r="E987" s="1075" t="s">
        <v>15955</v>
      </c>
      <c r="F987" s="1076"/>
      <c r="G987" s="1075" t="s">
        <v>9065</v>
      </c>
      <c r="H987" s="1075" t="s">
        <v>9065</v>
      </c>
      <c r="I987" s="1075" t="s">
        <v>15956</v>
      </c>
      <c r="J987" s="1075"/>
      <c r="K987" s="1075"/>
      <c r="L987" s="1075" t="s">
        <v>9888</v>
      </c>
      <c r="M987" s="1077" t="s">
        <v>15957</v>
      </c>
      <c r="N987" s="1078">
        <v>6512400</v>
      </c>
      <c r="O987" s="1078"/>
      <c r="P987" s="1078"/>
    </row>
    <row r="988" spans="1:16" s="1082" customFormat="1" ht="24" customHeight="1">
      <c r="A988" s="1075">
        <v>969</v>
      </c>
      <c r="B988" s="1075" t="s">
        <v>1609</v>
      </c>
      <c r="C988" s="1075" t="s">
        <v>2432</v>
      </c>
      <c r="D988" s="1075" t="s">
        <v>15958</v>
      </c>
      <c r="E988" s="1075" t="s">
        <v>15959</v>
      </c>
      <c r="F988" s="1076"/>
      <c r="G988" s="1075" t="s">
        <v>9065</v>
      </c>
      <c r="H988" s="1075" t="s">
        <v>9065</v>
      </c>
      <c r="I988" s="1075" t="s">
        <v>5406</v>
      </c>
      <c r="J988" s="1075"/>
      <c r="K988" s="1075"/>
      <c r="L988" s="1075" t="s">
        <v>9888</v>
      </c>
      <c r="M988" s="1077" t="s">
        <v>15960</v>
      </c>
      <c r="N988" s="1078">
        <v>6512400</v>
      </c>
      <c r="O988" s="1078"/>
      <c r="P988" s="1078"/>
    </row>
    <row r="989" spans="1:16" s="1082" customFormat="1" ht="24" customHeight="1">
      <c r="A989" s="1075">
        <v>970</v>
      </c>
      <c r="B989" s="1075" t="s">
        <v>3191</v>
      </c>
      <c r="C989" s="1075" t="s">
        <v>3191</v>
      </c>
      <c r="D989" s="1075" t="s">
        <v>15958</v>
      </c>
      <c r="E989" s="1075" t="s">
        <v>15961</v>
      </c>
      <c r="F989" s="1076"/>
      <c r="G989" s="1075" t="s">
        <v>9065</v>
      </c>
      <c r="H989" s="1075" t="s">
        <v>9065</v>
      </c>
      <c r="I989" s="1075" t="s">
        <v>15962</v>
      </c>
      <c r="J989" s="1075"/>
      <c r="K989" s="1075"/>
      <c r="L989" s="1075" t="s">
        <v>9888</v>
      </c>
      <c r="M989" s="1077" t="s">
        <v>15963</v>
      </c>
      <c r="N989" s="1078">
        <v>6512400</v>
      </c>
      <c r="O989" s="1078"/>
      <c r="P989" s="1078"/>
    </row>
    <row r="990" spans="1:16" s="1082" customFormat="1" ht="24" customHeight="1">
      <c r="A990" s="1075">
        <v>971</v>
      </c>
      <c r="B990" s="1075" t="s">
        <v>376</v>
      </c>
      <c r="C990" s="1075" t="s">
        <v>396</v>
      </c>
      <c r="D990" s="1075" t="s">
        <v>16248</v>
      </c>
      <c r="E990" s="1075" t="s">
        <v>16254</v>
      </c>
      <c r="F990" s="1076"/>
      <c r="G990" s="1075" t="s">
        <v>9065</v>
      </c>
      <c r="H990" s="1075" t="s">
        <v>9065</v>
      </c>
      <c r="I990" s="1075" t="s">
        <v>5950</v>
      </c>
      <c r="J990" s="1075"/>
      <c r="K990" s="1075"/>
      <c r="L990" s="1075" t="s">
        <v>9888</v>
      </c>
      <c r="M990" s="1077" t="s">
        <v>16255</v>
      </c>
      <c r="N990" s="1078">
        <v>6512400</v>
      </c>
      <c r="O990" s="1078"/>
      <c r="P990" s="1078"/>
    </row>
    <row r="991" spans="1:16" s="1082" customFormat="1" ht="24" customHeight="1">
      <c r="A991" s="1075">
        <v>972</v>
      </c>
      <c r="B991" s="1075" t="s">
        <v>423</v>
      </c>
      <c r="C991" s="1075" t="s">
        <v>423</v>
      </c>
      <c r="D991" s="1075" t="s">
        <v>16486</v>
      </c>
      <c r="E991" s="1075" t="s">
        <v>15290</v>
      </c>
      <c r="F991" s="1076"/>
      <c r="G991" s="1075" t="s">
        <v>9065</v>
      </c>
      <c r="H991" s="1075" t="s">
        <v>9065</v>
      </c>
      <c r="I991" s="1075" t="s">
        <v>16487</v>
      </c>
      <c r="J991" s="1075"/>
      <c r="K991" s="1075"/>
      <c r="L991" s="1075" t="s">
        <v>9888</v>
      </c>
      <c r="M991" s="1077" t="s">
        <v>16488</v>
      </c>
      <c r="N991" s="1078">
        <v>6512400</v>
      </c>
      <c r="O991" s="1078"/>
      <c r="P991" s="1078"/>
    </row>
    <row r="992" spans="1:16" s="1082" customFormat="1" ht="24" customHeight="1">
      <c r="A992" s="1075">
        <v>973</v>
      </c>
      <c r="B992" s="1075"/>
      <c r="C992" s="1075"/>
      <c r="D992" s="1075"/>
      <c r="E992" s="1075" t="s">
        <v>11441</v>
      </c>
      <c r="F992" s="1076"/>
      <c r="G992" s="1075" t="s">
        <v>9065</v>
      </c>
      <c r="H992" s="1075" t="s">
        <v>9065</v>
      </c>
      <c r="I992" s="1075" t="s">
        <v>11442</v>
      </c>
      <c r="J992" s="1075"/>
      <c r="K992" s="1075"/>
      <c r="L992" s="1075" t="s">
        <v>9888</v>
      </c>
      <c r="M992" s="1077" t="s">
        <v>11443</v>
      </c>
      <c r="N992" s="1078">
        <v>6512400</v>
      </c>
      <c r="O992" s="1078"/>
      <c r="P992" s="1078"/>
    </row>
    <row r="993" spans="1:22" ht="24" customHeight="1">
      <c r="A993" s="1975"/>
      <c r="B993" s="1976"/>
      <c r="C993" s="1976"/>
      <c r="D993" s="1976"/>
      <c r="E993" s="1976"/>
      <c r="F993" s="1976"/>
      <c r="G993" s="1976"/>
      <c r="H993" s="1976"/>
      <c r="I993" s="1976"/>
      <c r="J993" s="1976"/>
      <c r="K993" s="1976"/>
      <c r="L993" s="1976"/>
      <c r="M993" s="1977"/>
      <c r="N993" s="335">
        <f>SUM(N20:N992)</f>
        <v>6347419200</v>
      </c>
      <c r="O993" s="335"/>
      <c r="P993" s="335"/>
      <c r="Q993" s="328"/>
      <c r="V993" s="328"/>
    </row>
    <row r="994" spans="1:22" ht="24" customHeight="1">
      <c r="A994" s="1968" t="s">
        <v>10972</v>
      </c>
      <c r="B994" s="1969"/>
      <c r="C994" s="1969"/>
      <c r="D994" s="1969"/>
      <c r="E994" s="1969"/>
      <c r="F994" s="1969"/>
      <c r="G994" s="1969"/>
      <c r="H994" s="1969"/>
      <c r="I994" s="1969"/>
      <c r="J994" s="1969"/>
      <c r="K994" s="1969"/>
      <c r="L994" s="1969"/>
      <c r="M994" s="1969"/>
      <c r="N994" s="1970"/>
      <c r="O994" s="556"/>
      <c r="P994" s="556"/>
      <c r="Q994" s="328"/>
      <c r="V994" s="328"/>
    </row>
    <row r="995" spans="1:22" s="1056" customFormat="1" ht="24" customHeight="1">
      <c r="A995" s="1055" t="s">
        <v>9677</v>
      </c>
      <c r="B995" s="1055"/>
      <c r="C995" s="1055"/>
      <c r="D995" s="1055"/>
      <c r="E995" s="1055" t="s">
        <v>9813</v>
      </c>
      <c r="F995" s="1055"/>
      <c r="G995" s="1055" t="s">
        <v>9680</v>
      </c>
      <c r="H995" s="1055" t="s">
        <v>10973</v>
      </c>
      <c r="I995" s="1055" t="s">
        <v>4325</v>
      </c>
      <c r="J995" s="1055"/>
      <c r="K995" s="1055"/>
      <c r="L995" s="1055" t="s">
        <v>9682</v>
      </c>
      <c r="M995" s="1055" t="s">
        <v>9813</v>
      </c>
      <c r="N995" s="336" t="s">
        <v>9683</v>
      </c>
      <c r="O995" s="336"/>
      <c r="P995" s="336"/>
    </row>
    <row r="996" spans="1:22" ht="24" customHeight="1">
      <c r="A996" s="493">
        <v>1</v>
      </c>
      <c r="B996" s="493"/>
      <c r="C996" s="493"/>
      <c r="D996" s="493"/>
      <c r="E996" s="493" t="s">
        <v>10974</v>
      </c>
      <c r="F996" s="493"/>
      <c r="G996" s="493" t="s">
        <v>9692</v>
      </c>
      <c r="H996" s="493" t="s">
        <v>9065</v>
      </c>
      <c r="I996" s="493" t="s">
        <v>10975</v>
      </c>
      <c r="J996" s="493"/>
      <c r="K996" s="493"/>
      <c r="L996" s="493" t="s">
        <v>10976</v>
      </c>
      <c r="M996" s="493" t="s">
        <v>10974</v>
      </c>
      <c r="N996" s="646">
        <v>6512400</v>
      </c>
      <c r="O996" s="646"/>
      <c r="P996" s="646"/>
      <c r="Q996" s="328"/>
      <c r="V996" s="328"/>
    </row>
    <row r="997" spans="1:22" ht="22.5" customHeight="1">
      <c r="A997" s="493">
        <v>2</v>
      </c>
      <c r="B997" s="493"/>
      <c r="C997" s="493"/>
      <c r="D997" s="493"/>
      <c r="E997" s="493" t="s">
        <v>10977</v>
      </c>
      <c r="F997" s="493"/>
      <c r="G997" s="493" t="s">
        <v>9692</v>
      </c>
      <c r="H997" s="493"/>
      <c r="I997" s="493" t="s">
        <v>10978</v>
      </c>
      <c r="J997" s="493"/>
      <c r="K997" s="493"/>
      <c r="L997" s="493" t="s">
        <v>10976</v>
      </c>
      <c r="M997" s="493" t="s">
        <v>10977</v>
      </c>
      <c r="N997" s="646">
        <v>6512400</v>
      </c>
      <c r="O997" s="646"/>
      <c r="P997" s="646"/>
      <c r="Q997" s="328"/>
      <c r="V997" s="328"/>
    </row>
    <row r="998" spans="1:22" ht="24" customHeight="1">
      <c r="A998" s="493">
        <v>3</v>
      </c>
      <c r="B998" s="493"/>
      <c r="C998" s="493"/>
      <c r="D998" s="493"/>
      <c r="E998" s="493" t="s">
        <v>10979</v>
      </c>
      <c r="F998" s="493"/>
      <c r="G998" s="493" t="s">
        <v>9065</v>
      </c>
      <c r="H998" s="493" t="s">
        <v>9699</v>
      </c>
      <c r="I998" s="493" t="s">
        <v>10980</v>
      </c>
      <c r="J998" s="493"/>
      <c r="K998" s="493"/>
      <c r="L998" s="493" t="s">
        <v>10976</v>
      </c>
      <c r="M998" s="493" t="s">
        <v>10979</v>
      </c>
      <c r="N998" s="646">
        <v>6512400</v>
      </c>
      <c r="O998" s="646"/>
      <c r="P998" s="646"/>
      <c r="Q998" s="328"/>
      <c r="V998" s="328"/>
    </row>
    <row r="999" spans="1:22" ht="24" customHeight="1">
      <c r="A999" s="493">
        <v>4</v>
      </c>
      <c r="B999" s="493"/>
      <c r="C999" s="493"/>
      <c r="D999" s="493"/>
      <c r="E999" s="493" t="s">
        <v>10981</v>
      </c>
      <c r="F999" s="493"/>
      <c r="G999" s="493" t="s">
        <v>9065</v>
      </c>
      <c r="H999" s="493" t="s">
        <v>9691</v>
      </c>
      <c r="I999" s="493" t="s">
        <v>10982</v>
      </c>
      <c r="J999" s="493"/>
      <c r="K999" s="493"/>
      <c r="L999" s="493" t="s">
        <v>10976</v>
      </c>
      <c r="M999" s="493" t="s">
        <v>10981</v>
      </c>
      <c r="N999" s="646">
        <v>6512400</v>
      </c>
      <c r="O999" s="646"/>
      <c r="P999" s="646"/>
      <c r="Q999" s="328"/>
      <c r="V999" s="328"/>
    </row>
    <row r="1000" spans="1:22" ht="24" customHeight="1">
      <c r="A1000" s="493">
        <v>5</v>
      </c>
      <c r="B1000" s="493"/>
      <c r="C1000" s="493"/>
      <c r="D1000" s="493"/>
      <c r="E1000" s="493" t="s">
        <v>10983</v>
      </c>
      <c r="F1000" s="493"/>
      <c r="G1000" s="493" t="s">
        <v>9692</v>
      </c>
      <c r="H1000" s="493" t="s">
        <v>9692</v>
      </c>
      <c r="I1000" s="493" t="s">
        <v>10984</v>
      </c>
      <c r="J1000" s="493"/>
      <c r="K1000" s="493"/>
      <c r="L1000" s="493" t="s">
        <v>10976</v>
      </c>
      <c r="M1000" s="493" t="s">
        <v>10983</v>
      </c>
      <c r="N1000" s="646">
        <v>6512400</v>
      </c>
      <c r="O1000" s="646"/>
      <c r="P1000" s="646"/>
      <c r="Q1000" s="328"/>
      <c r="V1000" s="328"/>
    </row>
    <row r="1001" spans="1:22" ht="24" customHeight="1">
      <c r="A1001" s="493">
        <v>6</v>
      </c>
      <c r="B1001" s="493"/>
      <c r="C1001" s="493"/>
      <c r="D1001" s="493"/>
      <c r="E1001" s="493" t="s">
        <v>10985</v>
      </c>
      <c r="F1001" s="493"/>
      <c r="G1001" s="493" t="s">
        <v>9692</v>
      </c>
      <c r="H1001" s="493" t="s">
        <v>9065</v>
      </c>
      <c r="I1001" s="493" t="s">
        <v>10986</v>
      </c>
      <c r="J1001" s="493"/>
      <c r="K1001" s="493"/>
      <c r="L1001" s="493" t="s">
        <v>10976</v>
      </c>
      <c r="M1001" s="493" t="s">
        <v>10985</v>
      </c>
      <c r="N1001" s="646">
        <v>6512400</v>
      </c>
      <c r="O1001" s="646"/>
      <c r="P1001" s="646"/>
      <c r="Q1001" s="328"/>
      <c r="V1001" s="328"/>
    </row>
    <row r="1002" spans="1:22" ht="24" customHeight="1">
      <c r="A1002" s="493">
        <v>7</v>
      </c>
      <c r="B1002" s="493"/>
      <c r="C1002" s="493"/>
      <c r="D1002" s="493"/>
      <c r="E1002" s="493" t="s">
        <v>10987</v>
      </c>
      <c r="F1002" s="493"/>
      <c r="G1002" s="493" t="s">
        <v>9065</v>
      </c>
      <c r="H1002" s="493" t="s">
        <v>9065</v>
      </c>
      <c r="I1002" s="493" t="s">
        <v>10988</v>
      </c>
      <c r="J1002" s="493"/>
      <c r="K1002" s="493"/>
      <c r="L1002" s="493" t="s">
        <v>10976</v>
      </c>
      <c r="M1002" s="493" t="s">
        <v>10987</v>
      </c>
      <c r="N1002" s="646">
        <v>6512400</v>
      </c>
      <c r="O1002" s="646"/>
      <c r="P1002" s="646"/>
      <c r="Q1002" s="328"/>
      <c r="V1002" s="328"/>
    </row>
    <row r="1003" spans="1:22" ht="24" customHeight="1">
      <c r="A1003" s="493">
        <v>8</v>
      </c>
      <c r="B1003" s="493"/>
      <c r="C1003" s="493"/>
      <c r="D1003" s="493"/>
      <c r="E1003" s="493" t="s">
        <v>10989</v>
      </c>
      <c r="F1003" s="493"/>
      <c r="G1003" s="493" t="s">
        <v>9065</v>
      </c>
      <c r="H1003" s="493" t="s">
        <v>9065</v>
      </c>
      <c r="I1003" s="493" t="s">
        <v>10990</v>
      </c>
      <c r="J1003" s="493"/>
      <c r="K1003" s="493"/>
      <c r="L1003" s="493" t="s">
        <v>10976</v>
      </c>
      <c r="M1003" s="493" t="s">
        <v>10989</v>
      </c>
      <c r="N1003" s="646">
        <v>6512400</v>
      </c>
      <c r="O1003" s="646"/>
      <c r="P1003" s="646"/>
      <c r="Q1003" s="328"/>
      <c r="V1003" s="328"/>
    </row>
    <row r="1004" spans="1:22" ht="24" customHeight="1">
      <c r="A1004" s="493">
        <v>9</v>
      </c>
      <c r="B1004" s="493"/>
      <c r="C1004" s="493"/>
      <c r="D1004" s="493"/>
      <c r="E1004" s="493" t="s">
        <v>10991</v>
      </c>
      <c r="F1004" s="493"/>
      <c r="G1004" s="493" t="s">
        <v>9692</v>
      </c>
      <c r="H1004" s="493" t="s">
        <v>9065</v>
      </c>
      <c r="I1004" s="493" t="s">
        <v>10992</v>
      </c>
      <c r="J1004" s="493"/>
      <c r="K1004" s="493"/>
      <c r="L1004" s="493" t="s">
        <v>10976</v>
      </c>
      <c r="M1004" s="493" t="s">
        <v>10991</v>
      </c>
      <c r="N1004" s="646">
        <v>6512400</v>
      </c>
      <c r="O1004" s="646"/>
      <c r="P1004" s="646"/>
      <c r="Q1004" s="328"/>
      <c r="V1004" s="328"/>
    </row>
    <row r="1005" spans="1:22" ht="24" customHeight="1">
      <c r="A1005" s="493">
        <v>10</v>
      </c>
      <c r="B1005" s="493"/>
      <c r="C1005" s="493"/>
      <c r="D1005" s="493"/>
      <c r="E1005" s="493" t="s">
        <v>10993</v>
      </c>
      <c r="F1005" s="493"/>
      <c r="G1005" s="493" t="s">
        <v>9692</v>
      </c>
      <c r="H1005" s="493" t="s">
        <v>9065</v>
      </c>
      <c r="I1005" s="493" t="s">
        <v>10994</v>
      </c>
      <c r="J1005" s="493"/>
      <c r="K1005" s="493"/>
      <c r="L1005" s="493" t="s">
        <v>10976</v>
      </c>
      <c r="M1005" s="493" t="s">
        <v>10993</v>
      </c>
      <c r="N1005" s="646">
        <v>6512400</v>
      </c>
      <c r="O1005" s="646"/>
      <c r="P1005" s="646"/>
      <c r="Q1005" s="328"/>
      <c r="V1005" s="328"/>
    </row>
    <row r="1006" spans="1:22" ht="24" customHeight="1">
      <c r="A1006" s="493">
        <v>11</v>
      </c>
      <c r="B1006" s="493"/>
      <c r="C1006" s="493"/>
      <c r="D1006" s="493"/>
      <c r="E1006" s="493" t="s">
        <v>10995</v>
      </c>
      <c r="F1006" s="493"/>
      <c r="G1006" s="493" t="s">
        <v>9065</v>
      </c>
      <c r="H1006" s="493" t="s">
        <v>9065</v>
      </c>
      <c r="I1006" s="493" t="s">
        <v>10996</v>
      </c>
      <c r="J1006" s="493"/>
      <c r="K1006" s="493"/>
      <c r="L1006" s="493" t="s">
        <v>10976</v>
      </c>
      <c r="M1006" s="493" t="s">
        <v>10995</v>
      </c>
      <c r="N1006" s="646">
        <v>6512400</v>
      </c>
      <c r="O1006" s="646"/>
      <c r="P1006" s="646"/>
      <c r="Q1006" s="328"/>
      <c r="V1006" s="328"/>
    </row>
    <row r="1007" spans="1:22" ht="24" customHeight="1">
      <c r="A1007" s="493">
        <v>12</v>
      </c>
      <c r="B1007" s="493"/>
      <c r="C1007" s="493"/>
      <c r="D1007" s="493"/>
      <c r="E1007" s="493" t="s">
        <v>10997</v>
      </c>
      <c r="F1007" s="493"/>
      <c r="G1007" s="493" t="s">
        <v>9691</v>
      </c>
      <c r="H1007" s="698"/>
      <c r="I1007" s="493" t="s">
        <v>10998</v>
      </c>
      <c r="J1007" s="493"/>
      <c r="K1007" s="493"/>
      <c r="L1007" s="493" t="s">
        <v>10976</v>
      </c>
      <c r="M1007" s="493" t="s">
        <v>10997</v>
      </c>
      <c r="N1007" s="646">
        <v>6512400</v>
      </c>
      <c r="O1007" s="646"/>
      <c r="P1007" s="646"/>
      <c r="Q1007" s="328"/>
      <c r="V1007" s="328"/>
    </row>
    <row r="1008" spans="1:22" ht="24" customHeight="1">
      <c r="A1008" s="493">
        <v>13</v>
      </c>
      <c r="B1008" s="493"/>
      <c r="C1008" s="493"/>
      <c r="D1008" s="493"/>
      <c r="E1008" s="493" t="s">
        <v>10999</v>
      </c>
      <c r="F1008" s="493"/>
      <c r="G1008" s="493" t="s">
        <v>9065</v>
      </c>
      <c r="H1008" s="493" t="s">
        <v>9065</v>
      </c>
      <c r="I1008" s="493" t="s">
        <v>11000</v>
      </c>
      <c r="J1008" s="493"/>
      <c r="K1008" s="493"/>
      <c r="L1008" s="493" t="s">
        <v>10976</v>
      </c>
      <c r="M1008" s="493" t="s">
        <v>10999</v>
      </c>
      <c r="N1008" s="646">
        <v>6512400</v>
      </c>
      <c r="O1008" s="646"/>
      <c r="P1008" s="646"/>
      <c r="Q1008" s="328"/>
      <c r="V1008" s="328"/>
    </row>
    <row r="1009" spans="1:22" ht="24" customHeight="1">
      <c r="A1009" s="493">
        <v>14</v>
      </c>
      <c r="B1009" s="493"/>
      <c r="C1009" s="493"/>
      <c r="D1009" s="493"/>
      <c r="E1009" s="493" t="s">
        <v>11001</v>
      </c>
      <c r="F1009" s="493"/>
      <c r="G1009" s="493" t="s">
        <v>9065</v>
      </c>
      <c r="H1009" s="493" t="s">
        <v>9692</v>
      </c>
      <c r="I1009" s="493" t="s">
        <v>11002</v>
      </c>
      <c r="J1009" s="493"/>
      <c r="K1009" s="493"/>
      <c r="L1009" s="493" t="s">
        <v>10976</v>
      </c>
      <c r="M1009" s="493" t="s">
        <v>11001</v>
      </c>
      <c r="N1009" s="646">
        <v>6512400</v>
      </c>
      <c r="O1009" s="646"/>
      <c r="P1009" s="646"/>
      <c r="Q1009" s="328"/>
      <c r="V1009" s="328"/>
    </row>
    <row r="1010" spans="1:22" ht="24" customHeight="1">
      <c r="A1010" s="493">
        <v>15</v>
      </c>
      <c r="B1010" s="493"/>
      <c r="C1010" s="493"/>
      <c r="D1010" s="493"/>
      <c r="E1010" s="493" t="s">
        <v>11003</v>
      </c>
      <c r="F1010" s="493"/>
      <c r="G1010" s="493" t="s">
        <v>9065</v>
      </c>
      <c r="H1010" s="493" t="s">
        <v>9065</v>
      </c>
      <c r="I1010" s="493" t="s">
        <v>11004</v>
      </c>
      <c r="J1010" s="493"/>
      <c r="K1010" s="493"/>
      <c r="L1010" s="493" t="s">
        <v>10976</v>
      </c>
      <c r="M1010" s="493" t="s">
        <v>11003</v>
      </c>
      <c r="N1010" s="646">
        <v>6512400</v>
      </c>
      <c r="O1010" s="646"/>
      <c r="P1010" s="646"/>
      <c r="Q1010" s="328"/>
      <c r="V1010" s="328"/>
    </row>
    <row r="1011" spans="1:22" ht="24" customHeight="1">
      <c r="A1011" s="493">
        <v>16</v>
      </c>
      <c r="B1011" s="493"/>
      <c r="C1011" s="493"/>
      <c r="D1011" s="493"/>
      <c r="E1011" s="493" t="s">
        <v>11005</v>
      </c>
      <c r="F1011" s="493"/>
      <c r="G1011" s="493" t="s">
        <v>9065</v>
      </c>
      <c r="H1011" s="493" t="s">
        <v>9699</v>
      </c>
      <c r="I1011" s="493" t="s">
        <v>11006</v>
      </c>
      <c r="J1011" s="493"/>
      <c r="K1011" s="493"/>
      <c r="L1011" s="493" t="s">
        <v>10976</v>
      </c>
      <c r="M1011" s="493" t="s">
        <v>11005</v>
      </c>
      <c r="N1011" s="646">
        <v>6512400</v>
      </c>
      <c r="O1011" s="646"/>
      <c r="P1011" s="646"/>
      <c r="Q1011" s="328"/>
      <c r="V1011" s="328"/>
    </row>
    <row r="1012" spans="1:22" ht="24" customHeight="1">
      <c r="A1012" s="493">
        <v>17</v>
      </c>
      <c r="B1012" s="493"/>
      <c r="C1012" s="493"/>
      <c r="D1012" s="493"/>
      <c r="E1012" s="493" t="s">
        <v>11007</v>
      </c>
      <c r="F1012" s="493"/>
      <c r="G1012" s="493" t="s">
        <v>9692</v>
      </c>
      <c r="H1012" s="493" t="s">
        <v>9065</v>
      </c>
      <c r="I1012" s="493" t="s">
        <v>11008</v>
      </c>
      <c r="J1012" s="493"/>
      <c r="K1012" s="493"/>
      <c r="L1012" s="493" t="s">
        <v>10976</v>
      </c>
      <c r="M1012" s="493" t="s">
        <v>11007</v>
      </c>
      <c r="N1012" s="646">
        <v>6512400</v>
      </c>
      <c r="O1012" s="646"/>
      <c r="P1012" s="646"/>
      <c r="Q1012" s="328"/>
      <c r="V1012" s="328"/>
    </row>
    <row r="1013" spans="1:22" ht="24" customHeight="1">
      <c r="A1013" s="493">
        <v>18</v>
      </c>
      <c r="B1013" s="493"/>
      <c r="C1013" s="493"/>
      <c r="D1013" s="493"/>
      <c r="E1013" s="493" t="s">
        <v>11009</v>
      </c>
      <c r="F1013" s="493"/>
      <c r="G1013" s="493" t="s">
        <v>9065</v>
      </c>
      <c r="H1013" s="493" t="s">
        <v>9065</v>
      </c>
      <c r="I1013" s="493" t="s">
        <v>11010</v>
      </c>
      <c r="J1013" s="493"/>
      <c r="K1013" s="493"/>
      <c r="L1013" s="493" t="s">
        <v>10976</v>
      </c>
      <c r="M1013" s="493" t="s">
        <v>11009</v>
      </c>
      <c r="N1013" s="646">
        <v>6512400</v>
      </c>
      <c r="O1013" s="646"/>
      <c r="P1013" s="646"/>
      <c r="Q1013" s="328"/>
      <c r="V1013" s="328"/>
    </row>
    <row r="1014" spans="1:22" ht="24" customHeight="1">
      <c r="A1014" s="493">
        <v>19</v>
      </c>
      <c r="B1014" s="493"/>
      <c r="C1014" s="493"/>
      <c r="D1014" s="493"/>
      <c r="E1014" s="493" t="s">
        <v>11011</v>
      </c>
      <c r="F1014" s="493"/>
      <c r="G1014" s="493" t="s">
        <v>9692</v>
      </c>
      <c r="H1014" s="493" t="s">
        <v>9065</v>
      </c>
      <c r="I1014" s="493" t="s">
        <v>11012</v>
      </c>
      <c r="J1014" s="493"/>
      <c r="K1014" s="493"/>
      <c r="L1014" s="493" t="s">
        <v>10976</v>
      </c>
      <c r="M1014" s="493" t="s">
        <v>11011</v>
      </c>
      <c r="N1014" s="646">
        <v>6512400</v>
      </c>
      <c r="O1014" s="646"/>
      <c r="P1014" s="646"/>
      <c r="Q1014" s="328"/>
      <c r="V1014" s="328"/>
    </row>
    <row r="1015" spans="1:22" ht="24" customHeight="1">
      <c r="A1015" s="493">
        <v>20</v>
      </c>
      <c r="B1015" s="493"/>
      <c r="C1015" s="493"/>
      <c r="D1015" s="493"/>
      <c r="E1015" s="493" t="s">
        <v>11013</v>
      </c>
      <c r="F1015" s="493"/>
      <c r="G1015" s="493" t="s">
        <v>9692</v>
      </c>
      <c r="H1015" s="493" t="s">
        <v>9065</v>
      </c>
      <c r="I1015" s="493" t="s">
        <v>11014</v>
      </c>
      <c r="J1015" s="493"/>
      <c r="K1015" s="493"/>
      <c r="L1015" s="493" t="s">
        <v>10976</v>
      </c>
      <c r="M1015" s="493" t="s">
        <v>11013</v>
      </c>
      <c r="N1015" s="646">
        <v>6512400</v>
      </c>
      <c r="O1015" s="646"/>
      <c r="P1015" s="646"/>
      <c r="Q1015" s="328"/>
      <c r="V1015" s="328"/>
    </row>
    <row r="1016" spans="1:22" ht="24" customHeight="1">
      <c r="A1016" s="493">
        <v>21</v>
      </c>
      <c r="B1016" s="493"/>
      <c r="C1016" s="493"/>
      <c r="D1016" s="493"/>
      <c r="E1016" s="493" t="s">
        <v>11015</v>
      </c>
      <c r="F1016" s="493"/>
      <c r="G1016" s="493" t="s">
        <v>9065</v>
      </c>
      <c r="H1016" s="493" t="s">
        <v>9692</v>
      </c>
      <c r="I1016" s="493" t="s">
        <v>11016</v>
      </c>
      <c r="J1016" s="493"/>
      <c r="K1016" s="493"/>
      <c r="L1016" s="493" t="s">
        <v>10976</v>
      </c>
      <c r="M1016" s="493" t="s">
        <v>11015</v>
      </c>
      <c r="N1016" s="1057">
        <v>12168000</v>
      </c>
      <c r="O1016" s="646"/>
      <c r="P1016" s="646"/>
      <c r="Q1016" s="328"/>
      <c r="V1016" s="328"/>
    </row>
    <row r="1017" spans="1:22" ht="24" customHeight="1">
      <c r="A1017" s="493">
        <v>22</v>
      </c>
      <c r="B1017" s="493"/>
      <c r="C1017" s="493"/>
      <c r="D1017" s="493"/>
      <c r="E1017" s="493" t="s">
        <v>11017</v>
      </c>
      <c r="F1017" s="493"/>
      <c r="G1017" s="493" t="s">
        <v>9065</v>
      </c>
      <c r="H1017" s="493" t="s">
        <v>9691</v>
      </c>
      <c r="I1017" s="493" t="s">
        <v>11018</v>
      </c>
      <c r="J1017" s="493"/>
      <c r="K1017" s="493"/>
      <c r="L1017" s="493" t="s">
        <v>10976</v>
      </c>
      <c r="M1017" s="493" t="s">
        <v>11017</v>
      </c>
      <c r="N1017" s="646">
        <v>6512400</v>
      </c>
      <c r="O1017" s="646"/>
      <c r="P1017" s="646"/>
      <c r="Q1017" s="328"/>
      <c r="V1017" s="328"/>
    </row>
    <row r="1018" spans="1:22" ht="24" customHeight="1">
      <c r="A1018" s="493">
        <v>23</v>
      </c>
      <c r="B1018" s="493"/>
      <c r="C1018" s="493"/>
      <c r="D1018" s="493"/>
      <c r="E1018" s="493" t="s">
        <v>11019</v>
      </c>
      <c r="F1018" s="493"/>
      <c r="G1018" s="493" t="s">
        <v>9065</v>
      </c>
      <c r="H1018" s="493" t="s">
        <v>9691</v>
      </c>
      <c r="I1018" s="493" t="s">
        <v>11020</v>
      </c>
      <c r="J1018" s="493"/>
      <c r="K1018" s="493"/>
      <c r="L1018" s="493" t="s">
        <v>10976</v>
      </c>
      <c r="M1018" s="493" t="s">
        <v>11019</v>
      </c>
      <c r="N1018" s="646">
        <v>6512400</v>
      </c>
      <c r="O1018" s="646"/>
      <c r="P1018" s="646"/>
      <c r="Q1018" s="328"/>
      <c r="V1018" s="328"/>
    </row>
    <row r="1019" spans="1:22" ht="24" customHeight="1">
      <c r="A1019" s="493">
        <v>24</v>
      </c>
      <c r="B1019" s="493"/>
      <c r="C1019" s="493"/>
      <c r="D1019" s="493"/>
      <c r="E1019" s="493" t="s">
        <v>11021</v>
      </c>
      <c r="F1019" s="493"/>
      <c r="G1019" s="493" t="s">
        <v>9065</v>
      </c>
      <c r="H1019" s="493" t="s">
        <v>9691</v>
      </c>
      <c r="I1019" s="493" t="s">
        <v>11022</v>
      </c>
      <c r="J1019" s="493"/>
      <c r="K1019" s="493"/>
      <c r="L1019" s="493" t="s">
        <v>10976</v>
      </c>
      <c r="M1019" s="493" t="s">
        <v>11021</v>
      </c>
      <c r="N1019" s="646">
        <v>6512400</v>
      </c>
      <c r="O1019" s="646"/>
      <c r="P1019" s="646"/>
      <c r="Q1019" s="328"/>
      <c r="V1019" s="328"/>
    </row>
    <row r="1020" spans="1:22" ht="24" customHeight="1">
      <c r="A1020" s="493">
        <v>25</v>
      </c>
      <c r="B1020" s="493"/>
      <c r="C1020" s="493"/>
      <c r="D1020" s="493"/>
      <c r="E1020" s="493" t="s">
        <v>11023</v>
      </c>
      <c r="F1020" s="493"/>
      <c r="G1020" s="493" t="s">
        <v>9065</v>
      </c>
      <c r="H1020" s="493" t="s">
        <v>9691</v>
      </c>
      <c r="I1020" s="493" t="s">
        <v>11024</v>
      </c>
      <c r="J1020" s="493"/>
      <c r="K1020" s="493"/>
      <c r="L1020" s="493" t="s">
        <v>10976</v>
      </c>
      <c r="M1020" s="493" t="s">
        <v>11023</v>
      </c>
      <c r="N1020" s="646">
        <v>6512400</v>
      </c>
      <c r="O1020" s="646"/>
      <c r="P1020" s="646"/>
      <c r="Q1020" s="328"/>
      <c r="V1020" s="328"/>
    </row>
    <row r="1021" spans="1:22" ht="24" customHeight="1">
      <c r="A1021" s="493">
        <v>26</v>
      </c>
      <c r="B1021" s="493"/>
      <c r="C1021" s="493"/>
      <c r="D1021" s="493"/>
      <c r="E1021" s="493" t="s">
        <v>11025</v>
      </c>
      <c r="F1021" s="493"/>
      <c r="G1021" s="493" t="s">
        <v>9065</v>
      </c>
      <c r="H1021" s="493" t="s">
        <v>9065</v>
      </c>
      <c r="I1021" s="493" t="s">
        <v>11026</v>
      </c>
      <c r="J1021" s="493"/>
      <c r="K1021" s="493"/>
      <c r="L1021" s="493" t="s">
        <v>10976</v>
      </c>
      <c r="M1021" s="493" t="s">
        <v>11025</v>
      </c>
      <c r="N1021" s="646">
        <v>6512400</v>
      </c>
      <c r="O1021" s="646"/>
      <c r="P1021" s="646"/>
      <c r="Q1021" s="328"/>
      <c r="V1021" s="328"/>
    </row>
    <row r="1022" spans="1:22" ht="24" customHeight="1">
      <c r="A1022" s="493">
        <v>27</v>
      </c>
      <c r="B1022" s="493"/>
      <c r="C1022" s="493"/>
      <c r="D1022" s="493"/>
      <c r="E1022" s="493" t="s">
        <v>15964</v>
      </c>
      <c r="F1022" s="493"/>
      <c r="G1022" s="493" t="s">
        <v>9065</v>
      </c>
      <c r="H1022" s="493" t="s">
        <v>9685</v>
      </c>
      <c r="I1022" s="493" t="s">
        <v>11028</v>
      </c>
      <c r="J1022" s="493"/>
      <c r="K1022" s="493"/>
      <c r="L1022" s="493" t="s">
        <v>10976</v>
      </c>
      <c r="M1022" s="493" t="s">
        <v>11027</v>
      </c>
      <c r="N1022" s="646">
        <v>6512400</v>
      </c>
      <c r="O1022" s="646"/>
      <c r="P1022" s="646"/>
      <c r="Q1022" s="328"/>
      <c r="V1022" s="328"/>
    </row>
    <row r="1023" spans="1:22" ht="24" customHeight="1">
      <c r="A1023" s="493">
        <v>28</v>
      </c>
      <c r="B1023" s="493"/>
      <c r="C1023" s="493"/>
      <c r="D1023" s="493"/>
      <c r="E1023" s="493" t="s">
        <v>11029</v>
      </c>
      <c r="F1023" s="493"/>
      <c r="G1023" s="493" t="s">
        <v>9065</v>
      </c>
      <c r="H1023" s="493" t="s">
        <v>9065</v>
      </c>
      <c r="I1023" s="493" t="s">
        <v>11030</v>
      </c>
      <c r="J1023" s="493"/>
      <c r="K1023" s="493"/>
      <c r="L1023" s="493" t="s">
        <v>10976</v>
      </c>
      <c r="M1023" s="493" t="s">
        <v>11029</v>
      </c>
      <c r="N1023" s="646">
        <v>6512400</v>
      </c>
      <c r="O1023" s="646"/>
      <c r="P1023" s="646"/>
      <c r="Q1023" s="328"/>
      <c r="V1023" s="328"/>
    </row>
    <row r="1024" spans="1:22" ht="24" customHeight="1">
      <c r="A1024" s="493">
        <v>29</v>
      </c>
      <c r="B1024" s="493"/>
      <c r="C1024" s="493"/>
      <c r="D1024" s="493"/>
      <c r="E1024" s="493" t="s">
        <v>15965</v>
      </c>
      <c r="F1024" s="493"/>
      <c r="G1024" s="493" t="s">
        <v>9691</v>
      </c>
      <c r="H1024" s="493" t="s">
        <v>9685</v>
      </c>
      <c r="I1024" s="493" t="s">
        <v>11032</v>
      </c>
      <c r="J1024" s="493"/>
      <c r="K1024" s="493"/>
      <c r="L1024" s="493" t="s">
        <v>10976</v>
      </c>
      <c r="M1024" s="493" t="s">
        <v>11031</v>
      </c>
      <c r="N1024" s="646">
        <v>6512400</v>
      </c>
      <c r="O1024" s="646"/>
      <c r="P1024" s="646"/>
      <c r="Q1024" s="328"/>
      <c r="V1024" s="328"/>
    </row>
    <row r="1025" spans="1:22" ht="24" customHeight="1">
      <c r="A1025" s="493">
        <v>30</v>
      </c>
      <c r="B1025" s="493"/>
      <c r="C1025" s="493"/>
      <c r="D1025" s="493"/>
      <c r="E1025" s="493" t="s">
        <v>15966</v>
      </c>
      <c r="F1025" s="493"/>
      <c r="G1025" s="493" t="s">
        <v>9692</v>
      </c>
      <c r="H1025" s="493" t="s">
        <v>9065</v>
      </c>
      <c r="I1025" s="493" t="s">
        <v>11034</v>
      </c>
      <c r="J1025" s="493"/>
      <c r="K1025" s="493"/>
      <c r="L1025" s="493" t="s">
        <v>10976</v>
      </c>
      <c r="M1025" s="493" t="s">
        <v>11033</v>
      </c>
      <c r="N1025" s="1057">
        <v>12168000</v>
      </c>
      <c r="O1025" s="646"/>
      <c r="P1025" s="646"/>
      <c r="Q1025" s="328"/>
      <c r="V1025" s="328"/>
    </row>
    <row r="1026" spans="1:22" ht="24" customHeight="1">
      <c r="A1026" s="493">
        <v>31</v>
      </c>
      <c r="B1026" s="493"/>
      <c r="C1026" s="493"/>
      <c r="D1026" s="493"/>
      <c r="E1026" s="493" t="s">
        <v>11035</v>
      </c>
      <c r="F1026" s="493"/>
      <c r="G1026" s="493" t="s">
        <v>9065</v>
      </c>
      <c r="H1026" s="493" t="s">
        <v>9065</v>
      </c>
      <c r="I1026" s="493" t="s">
        <v>11036</v>
      </c>
      <c r="J1026" s="493"/>
      <c r="K1026" s="493"/>
      <c r="L1026" s="493" t="s">
        <v>10976</v>
      </c>
      <c r="M1026" s="493" t="s">
        <v>11035</v>
      </c>
      <c r="N1026" s="646">
        <v>6512400</v>
      </c>
      <c r="O1026" s="646"/>
      <c r="P1026" s="646"/>
      <c r="Q1026" s="328"/>
      <c r="V1026" s="328"/>
    </row>
    <row r="1027" spans="1:22" ht="24" customHeight="1">
      <c r="A1027" s="493">
        <v>32</v>
      </c>
      <c r="B1027" s="493"/>
      <c r="C1027" s="493"/>
      <c r="D1027" s="493"/>
      <c r="E1027" s="493" t="s">
        <v>11037</v>
      </c>
      <c r="F1027" s="493"/>
      <c r="G1027" s="493" t="s">
        <v>9691</v>
      </c>
      <c r="H1027" s="698"/>
      <c r="I1027" s="493" t="s">
        <v>11038</v>
      </c>
      <c r="J1027" s="493"/>
      <c r="K1027" s="493"/>
      <c r="L1027" s="493" t="s">
        <v>10976</v>
      </c>
      <c r="M1027" s="493" t="s">
        <v>11037</v>
      </c>
      <c r="N1027" s="1057">
        <v>12168000</v>
      </c>
      <c r="O1027" s="646"/>
      <c r="P1027" s="646"/>
      <c r="Q1027" s="328"/>
      <c r="V1027" s="328"/>
    </row>
    <row r="1028" spans="1:22" ht="24" customHeight="1">
      <c r="A1028" s="493">
        <v>33</v>
      </c>
      <c r="B1028" s="493"/>
      <c r="C1028" s="493"/>
      <c r="D1028" s="493"/>
      <c r="E1028" s="493" t="s">
        <v>11039</v>
      </c>
      <c r="F1028" s="493"/>
      <c r="G1028" s="493" t="s">
        <v>9692</v>
      </c>
      <c r="H1028" s="493" t="s">
        <v>9691</v>
      </c>
      <c r="I1028" s="493" t="s">
        <v>11040</v>
      </c>
      <c r="J1028" s="493"/>
      <c r="K1028" s="493"/>
      <c r="L1028" s="493" t="s">
        <v>10976</v>
      </c>
      <c r="M1028" s="493" t="s">
        <v>11039</v>
      </c>
      <c r="N1028" s="646">
        <v>6512400</v>
      </c>
      <c r="O1028" s="646"/>
      <c r="P1028" s="646"/>
      <c r="Q1028" s="328"/>
      <c r="V1028" s="328"/>
    </row>
    <row r="1029" spans="1:22" ht="24" customHeight="1">
      <c r="A1029" s="493">
        <v>34</v>
      </c>
      <c r="B1029" s="493"/>
      <c r="C1029" s="493"/>
      <c r="D1029" s="493"/>
      <c r="E1029" s="493" t="s">
        <v>11041</v>
      </c>
      <c r="F1029" s="493"/>
      <c r="G1029" s="493" t="s">
        <v>9691</v>
      </c>
      <c r="H1029" s="698"/>
      <c r="I1029" s="493" t="s">
        <v>11042</v>
      </c>
      <c r="J1029" s="493"/>
      <c r="K1029" s="493"/>
      <c r="L1029" s="493" t="s">
        <v>10976</v>
      </c>
      <c r="M1029" s="493" t="s">
        <v>11041</v>
      </c>
      <c r="N1029" s="646">
        <v>6512400</v>
      </c>
      <c r="O1029" s="646"/>
      <c r="P1029" s="646"/>
      <c r="Q1029" s="328"/>
      <c r="V1029" s="328"/>
    </row>
    <row r="1030" spans="1:22" ht="24" customHeight="1">
      <c r="A1030" s="493">
        <v>35</v>
      </c>
      <c r="B1030" s="493"/>
      <c r="C1030" s="493"/>
      <c r="D1030" s="493"/>
      <c r="E1030" s="493" t="s">
        <v>11043</v>
      </c>
      <c r="F1030" s="493"/>
      <c r="G1030" s="493" t="s">
        <v>9065</v>
      </c>
      <c r="H1030" s="493" t="s">
        <v>9691</v>
      </c>
      <c r="I1030" s="493" t="s">
        <v>11044</v>
      </c>
      <c r="J1030" s="493"/>
      <c r="K1030" s="493"/>
      <c r="L1030" s="493" t="s">
        <v>10976</v>
      </c>
      <c r="M1030" s="493" t="s">
        <v>11043</v>
      </c>
      <c r="N1030" s="646">
        <v>6512400</v>
      </c>
      <c r="O1030" s="646"/>
      <c r="P1030" s="646"/>
      <c r="Q1030" s="328"/>
      <c r="V1030" s="328"/>
    </row>
    <row r="1031" spans="1:22" ht="24" customHeight="1">
      <c r="A1031" s="493">
        <v>36</v>
      </c>
      <c r="B1031" s="493"/>
      <c r="C1031" s="493"/>
      <c r="D1031" s="493"/>
      <c r="E1031" s="493" t="s">
        <v>11045</v>
      </c>
      <c r="F1031" s="493"/>
      <c r="G1031" s="493" t="s">
        <v>9065</v>
      </c>
      <c r="H1031" s="493" t="s">
        <v>9065</v>
      </c>
      <c r="I1031" s="493" t="s">
        <v>11046</v>
      </c>
      <c r="J1031" s="493"/>
      <c r="K1031" s="493"/>
      <c r="L1031" s="493" t="s">
        <v>10976</v>
      </c>
      <c r="M1031" s="493" t="s">
        <v>11045</v>
      </c>
      <c r="N1031" s="646">
        <v>6512400</v>
      </c>
      <c r="O1031" s="646"/>
      <c r="P1031" s="646"/>
      <c r="Q1031" s="328"/>
      <c r="V1031" s="328"/>
    </row>
    <row r="1032" spans="1:22" ht="24" customHeight="1">
      <c r="A1032" s="493">
        <v>37</v>
      </c>
      <c r="B1032" s="493"/>
      <c r="C1032" s="493"/>
      <c r="D1032" s="493"/>
      <c r="E1032" s="493" t="s">
        <v>15967</v>
      </c>
      <c r="F1032" s="493"/>
      <c r="G1032" s="493" t="s">
        <v>9691</v>
      </c>
      <c r="H1032" s="698"/>
      <c r="I1032" s="493" t="s">
        <v>11048</v>
      </c>
      <c r="J1032" s="493"/>
      <c r="K1032" s="493"/>
      <c r="L1032" s="493" t="s">
        <v>10976</v>
      </c>
      <c r="M1032" s="493" t="s">
        <v>11047</v>
      </c>
      <c r="N1032" s="646">
        <v>6512400</v>
      </c>
      <c r="O1032" s="646"/>
      <c r="P1032" s="646"/>
      <c r="Q1032" s="328"/>
      <c r="V1032" s="328"/>
    </row>
    <row r="1033" spans="1:22" ht="24" customHeight="1">
      <c r="A1033" s="493">
        <v>38</v>
      </c>
      <c r="B1033" s="493"/>
      <c r="C1033" s="493"/>
      <c r="D1033" s="493"/>
      <c r="E1033" s="493" t="s">
        <v>11049</v>
      </c>
      <c r="F1033" s="493"/>
      <c r="G1033" s="493" t="s">
        <v>9065</v>
      </c>
      <c r="H1033" s="493" t="s">
        <v>9065</v>
      </c>
      <c r="I1033" s="493" t="s">
        <v>11050</v>
      </c>
      <c r="J1033" s="493"/>
      <c r="K1033" s="493"/>
      <c r="L1033" s="493" t="s">
        <v>10976</v>
      </c>
      <c r="M1033" s="493" t="s">
        <v>11049</v>
      </c>
      <c r="N1033" s="646">
        <v>6512400</v>
      </c>
      <c r="O1033" s="646"/>
      <c r="P1033" s="646"/>
      <c r="Q1033" s="328"/>
      <c r="V1033" s="328"/>
    </row>
    <row r="1034" spans="1:22" ht="24" customHeight="1">
      <c r="A1034" s="493">
        <v>39</v>
      </c>
      <c r="B1034" s="493"/>
      <c r="C1034" s="493"/>
      <c r="D1034" s="493"/>
      <c r="E1034" s="493" t="s">
        <v>11051</v>
      </c>
      <c r="F1034" s="493"/>
      <c r="G1034" s="493" t="s">
        <v>9065</v>
      </c>
      <c r="H1034" s="493" t="s">
        <v>9065</v>
      </c>
      <c r="I1034" s="493" t="s">
        <v>11052</v>
      </c>
      <c r="J1034" s="493"/>
      <c r="K1034" s="493"/>
      <c r="L1034" s="493" t="s">
        <v>10976</v>
      </c>
      <c r="M1034" s="493" t="s">
        <v>11051</v>
      </c>
      <c r="N1034" s="646">
        <v>6512400</v>
      </c>
      <c r="O1034" s="646"/>
      <c r="P1034" s="646"/>
      <c r="Q1034" s="328"/>
      <c r="V1034" s="328"/>
    </row>
    <row r="1035" spans="1:22" ht="24" customHeight="1">
      <c r="A1035" s="493">
        <v>40</v>
      </c>
      <c r="B1035" s="493"/>
      <c r="C1035" s="493"/>
      <c r="D1035" s="493"/>
      <c r="E1035" s="493" t="s">
        <v>11053</v>
      </c>
      <c r="F1035" s="493"/>
      <c r="G1035" s="493" t="s">
        <v>9065</v>
      </c>
      <c r="H1035" s="493" t="s">
        <v>9065</v>
      </c>
      <c r="I1035" s="493" t="s">
        <v>11054</v>
      </c>
      <c r="J1035" s="493"/>
      <c r="K1035" s="493"/>
      <c r="L1035" s="493" t="s">
        <v>10976</v>
      </c>
      <c r="M1035" s="493" t="s">
        <v>11053</v>
      </c>
      <c r="N1035" s="646">
        <v>6512400</v>
      </c>
      <c r="O1035" s="646"/>
      <c r="P1035" s="646"/>
      <c r="Q1035" s="328"/>
      <c r="V1035" s="328"/>
    </row>
    <row r="1036" spans="1:22" ht="24" customHeight="1">
      <c r="A1036" s="493">
        <v>41</v>
      </c>
      <c r="B1036" s="493"/>
      <c r="C1036" s="493"/>
      <c r="D1036" s="493"/>
      <c r="E1036" s="493" t="s">
        <v>14602</v>
      </c>
      <c r="F1036" s="493"/>
      <c r="G1036" s="493" t="s">
        <v>9685</v>
      </c>
      <c r="H1036" s="493"/>
      <c r="I1036" s="493" t="s">
        <v>14603</v>
      </c>
      <c r="J1036" s="493"/>
      <c r="K1036" s="493"/>
      <c r="L1036" s="493" t="s">
        <v>10976</v>
      </c>
      <c r="M1036" s="493" t="s">
        <v>14602</v>
      </c>
      <c r="N1036" s="1057">
        <v>12168000</v>
      </c>
      <c r="O1036" s="646"/>
      <c r="P1036" s="646"/>
      <c r="Q1036" s="328"/>
      <c r="V1036" s="328"/>
    </row>
    <row r="1037" spans="1:22" ht="24" customHeight="1">
      <c r="A1037" s="493">
        <v>42</v>
      </c>
      <c r="B1037" s="493"/>
      <c r="C1037" s="493"/>
      <c r="D1037" s="493"/>
      <c r="E1037" s="493" t="s">
        <v>14604</v>
      </c>
      <c r="F1037" s="493"/>
      <c r="G1037" s="493" t="s">
        <v>9065</v>
      </c>
      <c r="H1037" s="493"/>
      <c r="I1037" s="493" t="s">
        <v>14605</v>
      </c>
      <c r="J1037" s="493"/>
      <c r="K1037" s="493"/>
      <c r="L1037" s="493" t="s">
        <v>10976</v>
      </c>
      <c r="M1037" s="493" t="s">
        <v>14604</v>
      </c>
      <c r="N1037" s="1057">
        <v>12168000</v>
      </c>
      <c r="O1037" s="646"/>
      <c r="P1037" s="646"/>
      <c r="Q1037" s="328"/>
      <c r="V1037" s="328"/>
    </row>
    <row r="1038" spans="1:22" ht="24" customHeight="1">
      <c r="A1038" s="493">
        <v>43</v>
      </c>
      <c r="B1038" s="493"/>
      <c r="C1038" s="493"/>
      <c r="D1038" s="493"/>
      <c r="E1038" s="493" t="s">
        <v>14606</v>
      </c>
      <c r="F1038" s="493"/>
      <c r="G1038" s="493" t="s">
        <v>9065</v>
      </c>
      <c r="H1038" s="493"/>
      <c r="I1038" s="493" t="s">
        <v>14607</v>
      </c>
      <c r="J1038" s="493"/>
      <c r="K1038" s="493"/>
      <c r="L1038" s="493" t="s">
        <v>10976</v>
      </c>
      <c r="M1038" s="493" t="s">
        <v>14606</v>
      </c>
      <c r="N1038" s="1057">
        <v>12168000</v>
      </c>
      <c r="O1038" s="646"/>
      <c r="P1038" s="646"/>
      <c r="Q1038" s="328"/>
      <c r="V1038" s="328"/>
    </row>
    <row r="1039" spans="1:22" ht="24" customHeight="1">
      <c r="A1039" s="493">
        <v>44</v>
      </c>
      <c r="B1039" s="493"/>
      <c r="C1039" s="493"/>
      <c r="D1039" s="493"/>
      <c r="E1039" s="493" t="s">
        <v>11055</v>
      </c>
      <c r="F1039" s="493"/>
      <c r="G1039" s="493" t="s">
        <v>9065</v>
      </c>
      <c r="H1039" s="493" t="s">
        <v>9065</v>
      </c>
      <c r="I1039" s="493" t="s">
        <v>11056</v>
      </c>
      <c r="J1039" s="493"/>
      <c r="K1039" s="493"/>
      <c r="L1039" s="493" t="s">
        <v>10976</v>
      </c>
      <c r="M1039" s="493" t="s">
        <v>11055</v>
      </c>
      <c r="N1039" s="646">
        <v>6512400</v>
      </c>
      <c r="O1039" s="646"/>
      <c r="P1039" s="646"/>
      <c r="Q1039" s="328"/>
      <c r="V1039" s="328"/>
    </row>
    <row r="1040" spans="1:22" ht="24" customHeight="1">
      <c r="A1040" s="1971"/>
      <c r="B1040" s="1972"/>
      <c r="C1040" s="1972"/>
      <c r="D1040" s="1972"/>
      <c r="E1040" s="1972"/>
      <c r="F1040" s="1972"/>
      <c r="G1040" s="1972"/>
      <c r="H1040" s="1972"/>
      <c r="I1040" s="1972"/>
      <c r="J1040" s="1972"/>
      <c r="K1040" s="1972"/>
      <c r="L1040" s="1972"/>
      <c r="M1040" s="1973"/>
      <c r="N1040" s="344">
        <f>SUM(N996:N1039)</f>
        <v>320479200</v>
      </c>
      <c r="O1040" s="553"/>
      <c r="P1040" s="553"/>
      <c r="Q1040" s="328"/>
      <c r="V1040" s="328"/>
    </row>
    <row r="1041" spans="1:22" ht="24" customHeight="1">
      <c r="A1041" s="328"/>
      <c r="B1041" s="328"/>
      <c r="C1041" s="328"/>
      <c r="D1041" s="328"/>
      <c r="E1041" s="328"/>
      <c r="F1041" s="328"/>
      <c r="G1041" s="328"/>
      <c r="H1041" s="328"/>
      <c r="I1041" s="328"/>
      <c r="J1041" s="328"/>
      <c r="K1041" s="328"/>
      <c r="L1041" s="328"/>
      <c r="M1041" s="328"/>
      <c r="N1041" s="329"/>
      <c r="O1041" s="329"/>
      <c r="P1041" s="329"/>
      <c r="Q1041" s="328"/>
      <c r="V1041" s="328"/>
    </row>
    <row r="1042" spans="1:22" ht="24" customHeight="1">
      <c r="A1042" s="328"/>
      <c r="B1042" s="328"/>
      <c r="C1042" s="328"/>
      <c r="D1042" s="328"/>
      <c r="E1042" s="328"/>
      <c r="F1042" s="328"/>
      <c r="G1042" s="328"/>
      <c r="H1042" s="328"/>
      <c r="I1042" s="328"/>
      <c r="J1042" s="328"/>
      <c r="K1042" s="328"/>
      <c r="L1042" s="328"/>
      <c r="M1042" s="328"/>
      <c r="N1042" s="329"/>
      <c r="O1042" s="329"/>
      <c r="P1042" s="329"/>
      <c r="Q1042" s="328"/>
      <c r="V1042" s="328"/>
    </row>
    <row r="1043" spans="1:22" ht="24" customHeight="1">
      <c r="A1043" s="328"/>
      <c r="B1043" s="328"/>
      <c r="C1043" s="328"/>
      <c r="D1043" s="328"/>
      <c r="E1043" s="328"/>
      <c r="F1043" s="328"/>
      <c r="G1043" s="328"/>
      <c r="H1043" s="328"/>
      <c r="I1043" s="328"/>
      <c r="J1043" s="328"/>
      <c r="K1043" s="328"/>
      <c r="L1043" s="328"/>
      <c r="M1043" s="328"/>
      <c r="N1043" s="329"/>
      <c r="O1043" s="329"/>
      <c r="P1043" s="329"/>
      <c r="Q1043" s="342"/>
    </row>
    <row r="1044" spans="1:22" ht="24" customHeight="1">
      <c r="A1044" s="328"/>
      <c r="B1044" s="328"/>
      <c r="C1044" s="328"/>
      <c r="D1044" s="328"/>
      <c r="E1044" s="328"/>
      <c r="F1044" s="328"/>
      <c r="G1044" s="328"/>
      <c r="H1044" s="328"/>
      <c r="I1044" s="328"/>
      <c r="J1044" s="328"/>
      <c r="K1044" s="328"/>
      <c r="L1044" s="328"/>
      <c r="M1044" s="328"/>
      <c r="N1044" s="329"/>
      <c r="O1044" s="329"/>
      <c r="P1044" s="329"/>
      <c r="Q1044" s="342"/>
    </row>
    <row r="1045" spans="1:22" ht="24" customHeight="1">
      <c r="A1045" s="1986" t="s">
        <v>16502</v>
      </c>
      <c r="B1045" s="1987"/>
      <c r="C1045" s="1987"/>
      <c r="D1045" s="1987"/>
      <c r="E1045" s="1987"/>
      <c r="F1045" s="1987"/>
      <c r="G1045" s="1987"/>
      <c r="H1045" s="1987"/>
      <c r="I1045" s="1987"/>
      <c r="J1045" s="1987"/>
      <c r="K1045" s="1987"/>
      <c r="L1045" s="1987"/>
      <c r="M1045" s="1987"/>
      <c r="N1045" s="1988"/>
      <c r="O1045" s="556"/>
      <c r="P1045" s="556"/>
      <c r="Q1045" s="328"/>
      <c r="V1045" s="328"/>
    </row>
    <row r="1046" spans="1:22" s="1056" customFormat="1" ht="24" customHeight="1">
      <c r="A1046" s="1054" t="s">
        <v>9677</v>
      </c>
      <c r="B1046" s="1054"/>
      <c r="C1046" s="1054"/>
      <c r="D1046" s="1054"/>
      <c r="E1046" s="1054" t="s">
        <v>9813</v>
      </c>
      <c r="F1046" s="1054"/>
      <c r="G1046" s="1054" t="s">
        <v>9680</v>
      </c>
      <c r="H1046" s="1054" t="s">
        <v>10973</v>
      </c>
      <c r="I1046" s="1054" t="s">
        <v>4324</v>
      </c>
      <c r="J1046" s="1054"/>
      <c r="K1046" s="1054"/>
      <c r="L1046" s="1054" t="s">
        <v>9682</v>
      </c>
      <c r="M1046" s="1054" t="s">
        <v>9813</v>
      </c>
      <c r="N1046" s="1054" t="s">
        <v>9683</v>
      </c>
      <c r="O1046" s="1054"/>
      <c r="P1046" s="1054"/>
    </row>
    <row r="1047" spans="1:22" s="329" customFormat="1" ht="18.75" customHeight="1">
      <c r="A1047" s="1058">
        <v>1</v>
      </c>
      <c r="B1047" s="1058"/>
      <c r="C1047" s="1058"/>
      <c r="D1047" s="1058" t="s">
        <v>16501</v>
      </c>
      <c r="E1047" s="1059" t="s">
        <v>16503</v>
      </c>
      <c r="F1047" s="1060" t="s">
        <v>7745</v>
      </c>
      <c r="G1047" s="1058" t="s">
        <v>9686</v>
      </c>
      <c r="H1047" s="1058" t="s">
        <v>9686</v>
      </c>
      <c r="I1047" s="1058" t="s">
        <v>4693</v>
      </c>
      <c r="J1047" s="1058"/>
      <c r="K1047" s="1058"/>
      <c r="L1047" s="1058"/>
      <c r="M1047" s="1058"/>
      <c r="N1047" s="1062">
        <v>54000000</v>
      </c>
      <c r="O1047" s="1062"/>
      <c r="P1047" s="1062"/>
      <c r="Q1047" s="339"/>
      <c r="R1047" s="1097">
        <v>5</v>
      </c>
      <c r="S1047" s="1097" t="s">
        <v>7594</v>
      </c>
      <c r="T1047" s="1097" t="s">
        <v>7739</v>
      </c>
      <c r="U1047" s="1097" t="s">
        <v>7737</v>
      </c>
      <c r="V1047" s="1098">
        <v>72000000</v>
      </c>
    </row>
    <row r="1048" spans="1:22" s="329" customFormat="1" ht="18.75" customHeight="1">
      <c r="A1048" s="1058">
        <v>2</v>
      </c>
      <c r="B1048" s="1058"/>
      <c r="C1048" s="1058"/>
      <c r="D1048" s="1058" t="s">
        <v>16501</v>
      </c>
      <c r="E1048" s="1059" t="s">
        <v>16504</v>
      </c>
      <c r="F1048" s="1060" t="s">
        <v>7745</v>
      </c>
      <c r="G1048" s="1058" t="s">
        <v>9686</v>
      </c>
      <c r="H1048" s="1058" t="s">
        <v>9690</v>
      </c>
      <c r="I1048" s="1058" t="s">
        <v>4688</v>
      </c>
      <c r="J1048" s="153"/>
      <c r="K1048" s="1058"/>
      <c r="L1048" s="1058"/>
      <c r="M1048" s="1058"/>
      <c r="N1048" s="1062">
        <v>54000000</v>
      </c>
      <c r="O1048" s="1062"/>
      <c r="P1048" s="1062"/>
      <c r="Q1048" s="339"/>
      <c r="R1048" s="1101" t="s">
        <v>11467</v>
      </c>
      <c r="S1048" s="1101"/>
      <c r="T1048" s="1101"/>
      <c r="U1048" s="1101"/>
      <c r="V1048" s="290">
        <v>1013473600</v>
      </c>
    </row>
    <row r="1049" spans="1:22" ht="24" customHeight="1">
      <c r="A1049" s="1234"/>
      <c r="B1049" s="1234"/>
      <c r="C1049" s="1234"/>
      <c r="D1049" s="1234"/>
      <c r="E1049" s="328"/>
      <c r="F1049" s="328"/>
      <c r="G1049" s="328"/>
      <c r="H1049" s="328"/>
      <c r="I1049" s="333"/>
      <c r="J1049" s="333"/>
      <c r="K1049" s="333"/>
      <c r="L1049" s="343"/>
      <c r="M1049" s="343"/>
      <c r="N1049" s="343"/>
      <c r="O1049" s="343"/>
      <c r="P1049" s="343"/>
      <c r="Q1049" s="328"/>
      <c r="V1049" s="328"/>
    </row>
    <row r="1050" spans="1:22" ht="24" customHeight="1">
      <c r="A1050" s="342"/>
      <c r="B1050" s="342"/>
      <c r="C1050" s="342"/>
      <c r="D1050" s="342"/>
      <c r="E1050" s="328"/>
      <c r="F1050" s="328"/>
      <c r="G1050" s="328"/>
      <c r="H1050" s="328"/>
      <c r="I1050" s="333"/>
      <c r="J1050" s="333"/>
      <c r="K1050" s="333"/>
      <c r="L1050" s="328"/>
      <c r="M1050" s="328"/>
      <c r="N1050" s="328"/>
      <c r="O1050" s="328"/>
      <c r="P1050" s="328"/>
      <c r="Q1050" s="328"/>
      <c r="V1050" s="328"/>
    </row>
    <row r="1051" spans="1:22" ht="24" customHeight="1">
      <c r="A1051" s="342"/>
      <c r="B1051" s="342"/>
      <c r="C1051" s="342"/>
      <c r="D1051" s="342"/>
      <c r="E1051" s="328"/>
      <c r="F1051" s="328"/>
      <c r="G1051" s="328"/>
      <c r="H1051" s="328"/>
      <c r="I1051" s="333"/>
      <c r="J1051" s="333"/>
      <c r="K1051" s="333"/>
      <c r="L1051" s="328"/>
      <c r="M1051" s="328"/>
      <c r="N1051" s="328"/>
      <c r="O1051" s="328"/>
      <c r="P1051" s="328"/>
      <c r="Q1051" s="328"/>
      <c r="V1051" s="328"/>
    </row>
    <row r="1052" spans="1:22" ht="24" customHeight="1">
      <c r="A1052" s="342"/>
      <c r="B1052" s="342"/>
      <c r="C1052" s="342"/>
      <c r="D1052" s="342"/>
      <c r="E1052" s="328"/>
      <c r="F1052" s="328"/>
      <c r="G1052" s="328"/>
      <c r="H1052" s="328"/>
      <c r="I1052" s="333"/>
      <c r="J1052" s="333"/>
      <c r="K1052" s="333"/>
      <c r="L1052" s="328"/>
      <c r="M1052" s="328"/>
      <c r="N1052" s="328"/>
      <c r="O1052" s="328"/>
      <c r="P1052" s="328"/>
      <c r="Q1052" s="328"/>
      <c r="V1052" s="328"/>
    </row>
    <row r="1053" spans="1:22" ht="24" customHeight="1">
      <c r="A1053" s="342"/>
      <c r="B1053" s="342"/>
      <c r="C1053" s="342"/>
      <c r="D1053" s="342"/>
      <c r="E1053" s="328"/>
      <c r="F1053" s="328"/>
      <c r="G1053" s="328"/>
      <c r="H1053" s="328"/>
      <c r="I1053" s="333"/>
      <c r="J1053" s="333"/>
      <c r="K1053" s="333"/>
      <c r="L1053" s="328"/>
      <c r="M1053" s="328"/>
      <c r="N1053" s="328"/>
      <c r="O1053" s="328"/>
      <c r="P1053" s="328"/>
      <c r="Q1053" s="328"/>
      <c r="V1053" s="328"/>
    </row>
    <row r="1054" spans="1:22" ht="24" customHeight="1">
      <c r="A1054" s="342"/>
      <c r="B1054" s="342"/>
      <c r="C1054" s="342"/>
      <c r="D1054" s="342"/>
      <c r="E1054" s="328"/>
      <c r="F1054" s="328"/>
      <c r="G1054" s="328"/>
      <c r="H1054" s="328"/>
      <c r="I1054" s="333"/>
      <c r="J1054" s="333"/>
      <c r="K1054" s="333"/>
      <c r="L1054" s="328"/>
      <c r="M1054" s="328"/>
      <c r="N1054" s="328"/>
      <c r="O1054" s="328"/>
      <c r="P1054" s="328"/>
      <c r="Q1054" s="328"/>
      <c r="V1054" s="328"/>
    </row>
    <row r="1055" spans="1:22" ht="24" customHeight="1">
      <c r="A1055" s="342"/>
      <c r="B1055" s="342"/>
      <c r="C1055" s="342"/>
      <c r="D1055" s="342"/>
      <c r="E1055" s="328"/>
      <c r="F1055" s="328"/>
      <c r="G1055" s="328"/>
      <c r="H1055" s="328"/>
      <c r="I1055" s="333"/>
      <c r="J1055" s="333"/>
      <c r="K1055" s="333"/>
      <c r="L1055" s="328"/>
      <c r="M1055" s="328"/>
      <c r="N1055" s="328"/>
      <c r="O1055" s="328"/>
      <c r="P1055" s="328"/>
      <c r="Q1055" s="328"/>
      <c r="V1055" s="328"/>
    </row>
    <row r="1056" spans="1:22" ht="24" customHeight="1">
      <c r="A1056" s="342"/>
      <c r="B1056" s="342"/>
      <c r="C1056" s="342"/>
      <c r="D1056" s="342"/>
      <c r="E1056" s="328"/>
      <c r="F1056" s="328"/>
      <c r="G1056" s="328"/>
      <c r="H1056" s="328"/>
      <c r="I1056" s="333"/>
      <c r="J1056" s="333"/>
      <c r="K1056" s="333"/>
      <c r="L1056" s="328"/>
      <c r="M1056" s="328"/>
      <c r="N1056" s="328"/>
      <c r="O1056" s="328"/>
      <c r="P1056" s="328"/>
      <c r="Q1056" s="328"/>
      <c r="V1056" s="328"/>
    </row>
    <row r="1057" spans="1:22" ht="24" customHeight="1">
      <c r="A1057" s="342"/>
      <c r="B1057" s="342"/>
      <c r="C1057" s="342"/>
      <c r="D1057" s="342"/>
      <c r="E1057" s="328"/>
      <c r="F1057" s="328"/>
      <c r="G1057" s="328"/>
      <c r="H1057" s="328"/>
      <c r="I1057" s="333"/>
      <c r="J1057" s="333"/>
      <c r="K1057" s="333"/>
      <c r="L1057" s="328"/>
      <c r="M1057" s="328"/>
      <c r="N1057" s="328"/>
      <c r="O1057" s="328"/>
      <c r="P1057" s="328"/>
      <c r="Q1057" s="328"/>
      <c r="V1057" s="328"/>
    </row>
    <row r="1058" spans="1:22" ht="24" customHeight="1">
      <c r="A1058" s="342"/>
      <c r="B1058" s="342"/>
      <c r="C1058" s="342"/>
      <c r="D1058" s="342"/>
      <c r="E1058" s="328"/>
      <c r="F1058" s="328"/>
      <c r="G1058" s="328"/>
      <c r="H1058" s="328"/>
      <c r="I1058" s="333"/>
      <c r="J1058" s="333"/>
      <c r="K1058" s="333"/>
      <c r="L1058" s="328"/>
      <c r="M1058" s="328"/>
      <c r="N1058" s="328"/>
      <c r="O1058" s="328"/>
      <c r="P1058" s="328"/>
      <c r="Q1058" s="328"/>
      <c r="V1058" s="328"/>
    </row>
    <row r="1059" spans="1:22" ht="24" customHeight="1">
      <c r="A1059" s="342"/>
      <c r="B1059" s="342"/>
      <c r="C1059" s="342"/>
      <c r="D1059" s="342"/>
      <c r="E1059" s="328"/>
      <c r="F1059" s="328"/>
      <c r="G1059" s="328"/>
      <c r="H1059" s="328"/>
      <c r="I1059" s="333"/>
      <c r="J1059" s="333"/>
      <c r="K1059" s="333"/>
      <c r="L1059" s="328"/>
      <c r="M1059" s="328"/>
      <c r="N1059" s="328"/>
      <c r="O1059" s="328"/>
      <c r="P1059" s="328"/>
      <c r="Q1059" s="328"/>
      <c r="V1059" s="328"/>
    </row>
    <row r="1060" spans="1:22" ht="24" customHeight="1">
      <c r="A1060" s="342"/>
      <c r="B1060" s="342"/>
      <c r="C1060" s="342"/>
      <c r="D1060" s="342"/>
      <c r="E1060" s="328"/>
      <c r="F1060" s="328"/>
      <c r="G1060" s="328"/>
      <c r="H1060" s="328"/>
      <c r="I1060" s="333"/>
      <c r="J1060" s="333"/>
      <c r="K1060" s="333"/>
      <c r="L1060" s="328"/>
      <c r="M1060" s="328"/>
      <c r="N1060" s="328"/>
      <c r="O1060" s="328"/>
      <c r="P1060" s="328"/>
      <c r="Q1060" s="328"/>
      <c r="V1060" s="328"/>
    </row>
    <row r="1061" spans="1:22" ht="24" customHeight="1">
      <c r="A1061" s="342"/>
      <c r="B1061" s="342"/>
      <c r="C1061" s="342"/>
      <c r="D1061" s="342"/>
      <c r="E1061" s="328"/>
      <c r="F1061" s="328"/>
      <c r="G1061" s="328"/>
      <c r="H1061" s="328"/>
      <c r="I1061" s="333"/>
      <c r="J1061" s="333"/>
      <c r="K1061" s="333"/>
      <c r="L1061" s="328"/>
      <c r="M1061" s="328"/>
      <c r="N1061" s="328"/>
      <c r="O1061" s="328"/>
      <c r="P1061" s="328"/>
      <c r="Q1061" s="328"/>
      <c r="V1061" s="328"/>
    </row>
    <row r="1062" spans="1:22" ht="24" customHeight="1">
      <c r="A1062" s="342"/>
      <c r="B1062" s="342"/>
      <c r="C1062" s="342"/>
      <c r="D1062" s="342"/>
      <c r="E1062" s="328"/>
      <c r="F1062" s="328"/>
      <c r="G1062" s="328"/>
      <c r="H1062" s="328"/>
      <c r="I1062" s="333"/>
      <c r="J1062" s="333"/>
      <c r="K1062" s="333"/>
      <c r="L1062" s="328"/>
      <c r="M1062" s="328"/>
      <c r="N1062" s="328"/>
      <c r="O1062" s="328"/>
      <c r="P1062" s="328"/>
      <c r="Q1062" s="328"/>
      <c r="V1062" s="328"/>
    </row>
    <row r="1063" spans="1:22" ht="24" customHeight="1">
      <c r="A1063" s="342"/>
      <c r="B1063" s="342"/>
      <c r="C1063" s="342"/>
      <c r="D1063" s="342"/>
      <c r="E1063" s="328"/>
      <c r="F1063" s="328"/>
      <c r="G1063" s="328"/>
      <c r="H1063" s="328"/>
      <c r="I1063" s="333"/>
      <c r="J1063" s="333"/>
      <c r="K1063" s="333"/>
      <c r="L1063" s="328"/>
      <c r="M1063" s="328"/>
      <c r="N1063" s="328"/>
      <c r="O1063" s="328"/>
      <c r="P1063" s="328"/>
      <c r="Q1063" s="328"/>
      <c r="V1063" s="328"/>
    </row>
    <row r="1064" spans="1:22" ht="24" customHeight="1">
      <c r="A1064" s="342"/>
      <c r="B1064" s="342"/>
      <c r="C1064" s="342"/>
      <c r="D1064" s="342"/>
      <c r="E1064" s="328"/>
      <c r="F1064" s="328"/>
      <c r="G1064" s="328"/>
      <c r="H1064" s="328"/>
      <c r="I1064" s="333"/>
      <c r="J1064" s="333"/>
      <c r="K1064" s="333"/>
      <c r="L1064" s="328"/>
      <c r="M1064" s="328"/>
      <c r="N1064" s="328"/>
      <c r="O1064" s="328"/>
      <c r="P1064" s="328"/>
      <c r="Q1064" s="328"/>
      <c r="V1064" s="328"/>
    </row>
    <row r="1065" spans="1:22" ht="24" customHeight="1">
      <c r="A1065" s="342"/>
      <c r="B1065" s="342"/>
      <c r="C1065" s="342"/>
      <c r="D1065" s="342"/>
      <c r="E1065" s="328"/>
      <c r="F1065" s="328"/>
      <c r="G1065" s="328"/>
      <c r="H1065" s="328"/>
      <c r="I1065" s="333"/>
      <c r="J1065" s="333"/>
      <c r="K1065" s="333"/>
      <c r="L1065" s="328"/>
      <c r="M1065" s="328"/>
      <c r="N1065" s="328"/>
      <c r="O1065" s="328"/>
      <c r="P1065" s="328"/>
      <c r="Q1065" s="328"/>
      <c r="V1065" s="328"/>
    </row>
    <row r="1066" spans="1:22" ht="24" customHeight="1">
      <c r="A1066" s="342"/>
      <c r="B1066" s="342"/>
      <c r="C1066" s="342"/>
      <c r="D1066" s="342"/>
      <c r="E1066" s="328"/>
      <c r="F1066" s="328"/>
      <c r="G1066" s="328"/>
      <c r="H1066" s="328"/>
      <c r="I1066" s="333"/>
      <c r="J1066" s="333"/>
      <c r="K1066" s="333"/>
      <c r="L1066" s="328"/>
      <c r="M1066" s="328"/>
      <c r="N1066" s="328"/>
      <c r="O1066" s="328"/>
      <c r="P1066" s="328"/>
      <c r="Q1066" s="328"/>
      <c r="V1066" s="328"/>
    </row>
    <row r="1067" spans="1:22" ht="24" customHeight="1">
      <c r="A1067" s="342"/>
      <c r="B1067" s="342"/>
      <c r="C1067" s="342"/>
      <c r="D1067" s="342"/>
      <c r="E1067" s="328"/>
      <c r="F1067" s="328"/>
      <c r="G1067" s="328"/>
      <c r="H1067" s="328"/>
      <c r="I1067" s="333"/>
      <c r="J1067" s="333"/>
      <c r="K1067" s="333"/>
      <c r="L1067" s="328"/>
      <c r="M1067" s="328"/>
      <c r="N1067" s="328"/>
      <c r="O1067" s="328"/>
      <c r="P1067" s="328"/>
      <c r="Q1067" s="328"/>
      <c r="V1067" s="328"/>
    </row>
    <row r="1068" spans="1:22" ht="24" customHeight="1">
      <c r="A1068" s="342"/>
      <c r="B1068" s="342"/>
      <c r="C1068" s="342"/>
      <c r="D1068" s="342"/>
      <c r="E1068" s="328"/>
      <c r="F1068" s="328"/>
      <c r="G1068" s="328"/>
      <c r="H1068" s="328"/>
      <c r="I1068" s="333"/>
      <c r="J1068" s="333"/>
      <c r="K1068" s="333"/>
      <c r="L1068" s="328"/>
      <c r="M1068" s="328"/>
      <c r="N1068" s="328"/>
      <c r="O1068" s="328"/>
      <c r="P1068" s="328"/>
      <c r="Q1068" s="328"/>
      <c r="V1068" s="328"/>
    </row>
    <row r="1069" spans="1:22" ht="24" customHeight="1">
      <c r="A1069" s="342"/>
      <c r="B1069" s="342"/>
      <c r="C1069" s="342"/>
      <c r="D1069" s="342"/>
      <c r="E1069" s="328"/>
      <c r="F1069" s="328"/>
      <c r="G1069" s="328"/>
      <c r="H1069" s="328"/>
      <c r="I1069" s="333"/>
      <c r="J1069" s="333"/>
      <c r="K1069" s="333"/>
      <c r="L1069" s="328"/>
      <c r="M1069" s="328"/>
      <c r="N1069" s="328"/>
      <c r="O1069" s="328"/>
      <c r="P1069" s="328"/>
      <c r="Q1069" s="328"/>
      <c r="V1069" s="328"/>
    </row>
    <row r="1070" spans="1:22" ht="24" customHeight="1">
      <c r="A1070" s="342"/>
      <c r="B1070" s="342"/>
      <c r="C1070" s="342"/>
      <c r="D1070" s="342"/>
      <c r="E1070" s="328"/>
      <c r="F1070" s="328"/>
      <c r="G1070" s="328"/>
      <c r="H1070" s="328"/>
      <c r="I1070" s="333"/>
      <c r="J1070" s="333"/>
      <c r="K1070" s="333"/>
      <c r="L1070" s="328"/>
      <c r="M1070" s="328"/>
      <c r="N1070" s="328"/>
      <c r="O1070" s="328"/>
      <c r="P1070" s="328"/>
      <c r="Q1070" s="328"/>
      <c r="V1070" s="328"/>
    </row>
    <row r="1071" spans="1:22" ht="24" customHeight="1">
      <c r="A1071" s="342"/>
      <c r="B1071" s="342"/>
      <c r="C1071" s="342"/>
      <c r="D1071" s="342"/>
      <c r="E1071" s="328"/>
      <c r="F1071" s="328"/>
      <c r="G1071" s="328"/>
      <c r="H1071" s="328"/>
      <c r="I1071" s="333"/>
      <c r="J1071" s="333"/>
      <c r="K1071" s="333"/>
      <c r="L1071" s="328"/>
      <c r="M1071" s="328"/>
      <c r="N1071" s="328"/>
      <c r="O1071" s="328"/>
      <c r="P1071" s="328"/>
      <c r="Q1071" s="328"/>
      <c r="V1071" s="328"/>
    </row>
    <row r="1072" spans="1:22" ht="24" customHeight="1">
      <c r="A1072" s="342"/>
      <c r="B1072" s="342"/>
      <c r="C1072" s="342"/>
      <c r="D1072" s="342"/>
      <c r="E1072" s="328"/>
      <c r="F1072" s="328"/>
      <c r="G1072" s="328"/>
      <c r="H1072" s="328"/>
      <c r="I1072" s="333"/>
      <c r="J1072" s="333"/>
      <c r="K1072" s="333"/>
      <c r="L1072" s="328"/>
      <c r="M1072" s="328"/>
      <c r="N1072" s="328"/>
      <c r="O1072" s="328"/>
      <c r="P1072" s="328"/>
      <c r="Q1072" s="328"/>
      <c r="V1072" s="328"/>
    </row>
    <row r="1073" spans="1:22" ht="24" customHeight="1">
      <c r="A1073" s="342"/>
      <c r="B1073" s="342"/>
      <c r="C1073" s="342"/>
      <c r="D1073" s="342"/>
      <c r="E1073" s="328"/>
      <c r="F1073" s="328"/>
      <c r="G1073" s="328"/>
      <c r="H1073" s="328"/>
      <c r="I1073" s="333"/>
      <c r="J1073" s="333"/>
      <c r="K1073" s="333"/>
      <c r="L1073" s="328"/>
      <c r="M1073" s="328"/>
      <c r="N1073" s="328"/>
      <c r="O1073" s="328"/>
      <c r="P1073" s="328"/>
      <c r="Q1073" s="328"/>
      <c r="V1073" s="328"/>
    </row>
    <row r="1074" spans="1:22" ht="24" customHeight="1">
      <c r="A1074" s="342"/>
      <c r="B1074" s="342"/>
      <c r="C1074" s="342"/>
      <c r="D1074" s="342"/>
      <c r="E1074" s="328"/>
      <c r="F1074" s="328"/>
      <c r="G1074" s="328"/>
      <c r="H1074" s="328"/>
      <c r="I1074" s="333"/>
      <c r="J1074" s="333"/>
      <c r="K1074" s="333"/>
      <c r="L1074" s="328"/>
      <c r="M1074" s="328"/>
      <c r="N1074" s="328"/>
      <c r="O1074" s="328"/>
      <c r="P1074" s="328"/>
      <c r="Q1074" s="328"/>
      <c r="V1074" s="328"/>
    </row>
    <row r="1075" spans="1:22" ht="24" customHeight="1">
      <c r="A1075" s="342"/>
      <c r="B1075" s="342"/>
      <c r="C1075" s="342"/>
      <c r="D1075" s="342"/>
      <c r="E1075" s="328"/>
      <c r="F1075" s="328"/>
      <c r="G1075" s="328"/>
      <c r="H1075" s="328"/>
      <c r="I1075" s="333"/>
      <c r="J1075" s="333"/>
      <c r="K1075" s="333"/>
      <c r="L1075" s="328"/>
      <c r="M1075" s="328"/>
      <c r="N1075" s="328"/>
      <c r="O1075" s="328"/>
      <c r="P1075" s="328"/>
      <c r="Q1075" s="328"/>
      <c r="V1075" s="328"/>
    </row>
    <row r="1076" spans="1:22" ht="24" customHeight="1">
      <c r="A1076" s="342"/>
      <c r="B1076" s="342"/>
      <c r="C1076" s="342"/>
      <c r="D1076" s="342"/>
      <c r="E1076" s="328"/>
      <c r="F1076" s="328"/>
      <c r="G1076" s="328"/>
      <c r="H1076" s="328"/>
      <c r="I1076" s="333"/>
      <c r="J1076" s="333"/>
      <c r="K1076" s="333"/>
      <c r="L1076" s="328"/>
      <c r="M1076" s="328"/>
      <c r="N1076" s="328"/>
      <c r="O1076" s="328"/>
      <c r="P1076" s="328"/>
      <c r="Q1076" s="328"/>
      <c r="V1076" s="328"/>
    </row>
    <row r="1077" spans="1:22" ht="24" customHeight="1">
      <c r="A1077" s="342"/>
      <c r="B1077" s="342"/>
      <c r="C1077" s="342"/>
      <c r="D1077" s="342"/>
      <c r="E1077" s="328"/>
      <c r="F1077" s="328"/>
      <c r="G1077" s="328"/>
      <c r="H1077" s="328"/>
      <c r="I1077" s="333"/>
      <c r="J1077" s="333"/>
      <c r="K1077" s="333"/>
      <c r="L1077" s="328"/>
      <c r="M1077" s="328"/>
      <c r="N1077" s="328"/>
      <c r="O1077" s="328"/>
      <c r="P1077" s="328"/>
      <c r="Q1077" s="328"/>
      <c r="V1077" s="328"/>
    </row>
    <row r="1078" spans="1:22" ht="24" customHeight="1">
      <c r="A1078" s="342"/>
      <c r="B1078" s="342"/>
      <c r="C1078" s="342"/>
      <c r="D1078" s="342"/>
      <c r="E1078" s="328"/>
      <c r="F1078" s="328"/>
      <c r="G1078" s="328"/>
      <c r="H1078" s="328"/>
      <c r="I1078" s="333"/>
      <c r="J1078" s="333"/>
      <c r="K1078" s="333"/>
      <c r="L1078" s="328"/>
      <c r="M1078" s="328"/>
      <c r="N1078" s="328"/>
      <c r="O1078" s="328"/>
      <c r="P1078" s="328"/>
      <c r="Q1078" s="328"/>
      <c r="V1078" s="328"/>
    </row>
    <row r="1079" spans="1:22" ht="24" customHeight="1">
      <c r="A1079" s="342"/>
      <c r="B1079" s="342"/>
      <c r="C1079" s="342"/>
      <c r="D1079" s="342"/>
      <c r="E1079" s="328"/>
      <c r="F1079" s="328"/>
      <c r="G1079" s="328"/>
      <c r="H1079" s="328"/>
      <c r="I1079" s="333"/>
      <c r="J1079" s="333"/>
      <c r="K1079" s="333"/>
      <c r="L1079" s="328"/>
      <c r="M1079" s="328"/>
      <c r="N1079" s="328"/>
      <c r="O1079" s="328"/>
      <c r="P1079" s="328"/>
      <c r="Q1079" s="328"/>
      <c r="V1079" s="328"/>
    </row>
    <row r="1080" spans="1:22" ht="24" customHeight="1">
      <c r="A1080" s="342"/>
      <c r="B1080" s="342"/>
      <c r="C1080" s="342"/>
      <c r="D1080" s="342"/>
      <c r="E1080" s="328"/>
      <c r="F1080" s="328"/>
      <c r="G1080" s="328"/>
      <c r="H1080" s="328"/>
      <c r="I1080" s="333"/>
      <c r="J1080" s="333"/>
      <c r="K1080" s="333"/>
      <c r="L1080" s="328"/>
      <c r="M1080" s="328"/>
      <c r="N1080" s="328"/>
      <c r="O1080" s="328"/>
      <c r="P1080" s="328"/>
      <c r="Q1080" s="328"/>
      <c r="V1080" s="328"/>
    </row>
    <row r="1081" spans="1:22" ht="24" customHeight="1">
      <c r="A1081" s="342"/>
      <c r="B1081" s="342"/>
      <c r="C1081" s="342"/>
      <c r="D1081" s="342"/>
      <c r="E1081" s="328"/>
      <c r="F1081" s="328"/>
      <c r="G1081" s="328"/>
      <c r="H1081" s="328"/>
      <c r="I1081" s="333"/>
      <c r="J1081" s="333"/>
      <c r="K1081" s="333"/>
      <c r="L1081" s="328"/>
      <c r="M1081" s="328"/>
      <c r="N1081" s="328"/>
      <c r="O1081" s="328"/>
      <c r="P1081" s="328"/>
      <c r="Q1081" s="328"/>
      <c r="V1081" s="328"/>
    </row>
    <row r="1082" spans="1:22" ht="24" customHeight="1">
      <c r="A1082" s="342"/>
      <c r="B1082" s="342"/>
      <c r="C1082" s="342"/>
      <c r="D1082" s="342"/>
      <c r="E1082" s="328"/>
      <c r="F1082" s="328"/>
      <c r="G1082" s="328"/>
      <c r="H1082" s="328"/>
      <c r="I1082" s="333"/>
      <c r="J1082" s="333"/>
      <c r="K1082" s="333"/>
      <c r="L1082" s="328"/>
      <c r="M1082" s="328"/>
      <c r="N1082" s="328"/>
      <c r="O1082" s="328"/>
      <c r="P1082" s="328"/>
      <c r="Q1082" s="328"/>
      <c r="V1082" s="328"/>
    </row>
    <row r="1083" spans="1:22" ht="24" customHeight="1">
      <c r="A1083" s="342"/>
      <c r="B1083" s="342"/>
      <c r="C1083" s="342"/>
      <c r="D1083" s="342"/>
      <c r="E1083" s="328"/>
      <c r="F1083" s="328"/>
      <c r="G1083" s="328"/>
      <c r="H1083" s="328"/>
      <c r="I1083" s="333"/>
      <c r="J1083" s="333"/>
      <c r="K1083" s="333"/>
      <c r="L1083" s="328"/>
      <c r="M1083" s="328"/>
      <c r="N1083" s="328"/>
      <c r="O1083" s="328"/>
      <c r="P1083" s="328"/>
      <c r="Q1083" s="328"/>
      <c r="V1083" s="328"/>
    </row>
    <row r="1084" spans="1:22" ht="24" customHeight="1">
      <c r="A1084" s="342"/>
      <c r="B1084" s="342"/>
      <c r="C1084" s="342"/>
      <c r="D1084" s="342"/>
      <c r="E1084" s="328"/>
      <c r="F1084" s="328"/>
      <c r="G1084" s="328"/>
      <c r="H1084" s="328"/>
      <c r="I1084" s="333"/>
      <c r="J1084" s="333"/>
      <c r="K1084" s="333"/>
      <c r="L1084" s="328"/>
      <c r="M1084" s="328"/>
      <c r="N1084" s="328"/>
      <c r="O1084" s="328"/>
      <c r="P1084" s="328"/>
      <c r="Q1084" s="328"/>
      <c r="V1084" s="328"/>
    </row>
    <row r="1085" spans="1:22" ht="24" customHeight="1">
      <c r="A1085" s="342"/>
      <c r="B1085" s="342"/>
      <c r="C1085" s="342"/>
      <c r="D1085" s="342"/>
      <c r="E1085" s="328"/>
      <c r="F1085" s="328"/>
      <c r="G1085" s="328"/>
      <c r="H1085" s="328"/>
      <c r="I1085" s="333"/>
      <c r="J1085" s="333"/>
      <c r="K1085" s="333"/>
      <c r="L1085" s="328"/>
      <c r="M1085" s="328"/>
      <c r="N1085" s="328"/>
      <c r="O1085" s="328"/>
      <c r="P1085" s="328"/>
      <c r="Q1085" s="328"/>
      <c r="V1085" s="328"/>
    </row>
    <row r="1086" spans="1:22" ht="24" customHeight="1">
      <c r="A1086" s="342"/>
      <c r="B1086" s="342"/>
      <c r="C1086" s="342"/>
      <c r="D1086" s="342"/>
      <c r="E1086" s="328"/>
      <c r="F1086" s="328"/>
      <c r="G1086" s="328"/>
      <c r="H1086" s="328"/>
      <c r="I1086" s="333"/>
      <c r="J1086" s="333"/>
      <c r="K1086" s="333"/>
      <c r="L1086" s="328"/>
      <c r="M1086" s="328"/>
      <c r="N1086" s="328"/>
      <c r="O1086" s="328"/>
      <c r="P1086" s="328"/>
      <c r="Q1086" s="328"/>
      <c r="V1086" s="328"/>
    </row>
    <row r="1087" spans="1:22" ht="24" customHeight="1">
      <c r="A1087" s="342"/>
      <c r="B1087" s="342"/>
      <c r="C1087" s="342"/>
      <c r="D1087" s="342"/>
      <c r="E1087" s="328"/>
      <c r="F1087" s="328"/>
      <c r="G1087" s="328"/>
      <c r="H1087" s="328"/>
      <c r="I1087" s="333"/>
      <c r="J1087" s="333"/>
      <c r="K1087" s="333"/>
      <c r="L1087" s="328"/>
      <c r="M1087" s="328"/>
      <c r="N1087" s="328"/>
      <c r="O1087" s="328"/>
      <c r="P1087" s="328"/>
      <c r="Q1087" s="328"/>
      <c r="V1087" s="328"/>
    </row>
    <row r="1088" spans="1:22" ht="24" customHeight="1">
      <c r="A1088" s="342"/>
      <c r="B1088" s="342"/>
      <c r="C1088" s="342"/>
      <c r="D1088" s="342"/>
      <c r="E1088" s="328"/>
      <c r="F1088" s="328"/>
      <c r="G1088" s="328"/>
      <c r="H1088" s="328"/>
      <c r="I1088" s="333"/>
      <c r="J1088" s="333"/>
      <c r="K1088" s="333"/>
      <c r="L1088" s="328"/>
      <c r="M1088" s="328"/>
      <c r="N1088" s="328"/>
      <c r="O1088" s="328"/>
      <c r="P1088" s="328"/>
      <c r="Q1088" s="328"/>
      <c r="V1088" s="328"/>
    </row>
    <row r="1089" spans="1:22" ht="24" customHeight="1">
      <c r="A1089" s="342"/>
      <c r="B1089" s="342"/>
      <c r="C1089" s="342"/>
      <c r="D1089" s="342"/>
      <c r="E1089" s="328"/>
      <c r="F1089" s="328"/>
      <c r="G1089" s="328"/>
      <c r="H1089" s="328"/>
      <c r="I1089" s="333"/>
      <c r="J1089" s="333"/>
      <c r="K1089" s="333"/>
      <c r="L1089" s="328"/>
      <c r="M1089" s="328"/>
      <c r="N1089" s="328"/>
      <c r="O1089" s="328"/>
      <c r="P1089" s="328"/>
      <c r="Q1089" s="328"/>
      <c r="V1089" s="328"/>
    </row>
    <row r="1090" spans="1:22" ht="24" customHeight="1">
      <c r="A1090" s="342"/>
      <c r="B1090" s="342"/>
      <c r="C1090" s="342"/>
      <c r="D1090" s="342"/>
      <c r="E1090" s="328"/>
      <c r="F1090" s="328"/>
      <c r="G1090" s="328"/>
      <c r="H1090" s="328"/>
      <c r="I1090" s="333"/>
      <c r="J1090" s="333"/>
      <c r="K1090" s="333"/>
      <c r="L1090" s="328"/>
      <c r="M1090" s="328"/>
      <c r="N1090" s="328"/>
      <c r="O1090" s="328"/>
      <c r="P1090" s="328"/>
      <c r="Q1090" s="328"/>
      <c r="V1090" s="328"/>
    </row>
    <row r="1091" spans="1:22" ht="23.25" customHeight="1">
      <c r="A1091" s="342"/>
      <c r="B1091" s="342"/>
      <c r="C1091" s="342"/>
      <c r="D1091" s="342"/>
      <c r="E1091" s="328"/>
      <c r="F1091" s="328"/>
      <c r="G1091" s="328"/>
      <c r="H1091" s="328"/>
      <c r="I1091" s="333"/>
      <c r="J1091" s="333"/>
      <c r="K1091" s="333"/>
      <c r="L1091" s="328"/>
      <c r="M1091" s="328"/>
      <c r="N1091" s="328"/>
      <c r="O1091" s="328"/>
      <c r="P1091" s="328"/>
      <c r="Q1091" s="328"/>
      <c r="V1091" s="328"/>
    </row>
    <row r="1092" spans="1:22" ht="24" customHeight="1">
      <c r="A1092" s="342"/>
      <c r="B1092" s="342"/>
      <c r="C1092" s="342"/>
      <c r="D1092" s="342"/>
      <c r="E1092" s="328"/>
      <c r="F1092" s="328"/>
      <c r="G1092" s="328"/>
      <c r="H1092" s="328"/>
      <c r="I1092" s="333"/>
      <c r="J1092" s="333"/>
      <c r="K1092" s="333"/>
      <c r="L1092" s="328"/>
      <c r="M1092" s="328"/>
      <c r="N1092" s="328"/>
      <c r="O1092" s="328"/>
      <c r="P1092" s="328"/>
      <c r="Q1092" s="328"/>
      <c r="V1092" s="328"/>
    </row>
    <row r="1093" spans="1:22" ht="24" customHeight="1">
      <c r="A1093" s="342"/>
      <c r="B1093" s="342"/>
      <c r="C1093" s="342"/>
      <c r="D1093" s="342"/>
      <c r="E1093" s="328"/>
      <c r="F1093" s="328"/>
      <c r="G1093" s="328"/>
      <c r="H1093" s="328"/>
      <c r="I1093" s="333"/>
      <c r="J1093" s="333"/>
      <c r="K1093" s="333"/>
      <c r="L1093" s="328"/>
      <c r="M1093" s="328"/>
      <c r="N1093" s="328"/>
      <c r="O1093" s="328"/>
      <c r="P1093" s="328"/>
      <c r="Q1093" s="328"/>
      <c r="V1093" s="328"/>
    </row>
    <row r="1094" spans="1:22" ht="24" customHeight="1">
      <c r="A1094" s="342"/>
      <c r="B1094" s="342"/>
      <c r="C1094" s="342"/>
      <c r="D1094" s="342"/>
      <c r="E1094" s="328"/>
      <c r="F1094" s="328"/>
      <c r="G1094" s="328"/>
      <c r="H1094" s="328"/>
      <c r="I1094" s="333"/>
      <c r="J1094" s="333"/>
      <c r="K1094" s="333"/>
      <c r="L1094" s="328"/>
      <c r="M1094" s="328"/>
      <c r="N1094" s="328"/>
      <c r="O1094" s="328"/>
      <c r="P1094" s="328"/>
      <c r="Q1094" s="328"/>
      <c r="V1094" s="328"/>
    </row>
    <row r="1095" spans="1:22" ht="24" customHeight="1">
      <c r="A1095" s="342"/>
      <c r="B1095" s="342"/>
      <c r="C1095" s="342"/>
      <c r="D1095" s="342"/>
      <c r="E1095" s="328"/>
      <c r="F1095" s="328"/>
      <c r="G1095" s="328"/>
      <c r="H1095" s="328"/>
      <c r="I1095" s="333"/>
      <c r="J1095" s="333"/>
      <c r="K1095" s="333"/>
      <c r="L1095" s="328"/>
      <c r="M1095" s="328"/>
      <c r="N1095" s="328"/>
      <c r="O1095" s="328"/>
      <c r="P1095" s="328"/>
      <c r="Q1095" s="328"/>
      <c r="V1095" s="328"/>
    </row>
    <row r="1096" spans="1:22" ht="24" customHeight="1">
      <c r="A1096" s="342"/>
      <c r="B1096" s="342"/>
      <c r="C1096" s="342"/>
      <c r="D1096" s="342"/>
      <c r="E1096" s="328"/>
      <c r="F1096" s="328"/>
      <c r="G1096" s="328"/>
      <c r="H1096" s="328"/>
      <c r="I1096" s="333"/>
      <c r="J1096" s="333"/>
      <c r="K1096" s="333"/>
      <c r="L1096" s="328"/>
      <c r="M1096" s="328"/>
      <c r="N1096" s="328"/>
      <c r="O1096" s="328"/>
      <c r="P1096" s="328"/>
      <c r="Q1096" s="328"/>
      <c r="V1096" s="328"/>
    </row>
    <row r="1097" spans="1:22" ht="24" customHeight="1">
      <c r="A1097" s="342"/>
      <c r="B1097" s="342"/>
      <c r="C1097" s="342"/>
      <c r="D1097" s="342"/>
      <c r="E1097" s="328"/>
      <c r="F1097" s="328"/>
      <c r="G1097" s="328"/>
      <c r="H1097" s="328"/>
      <c r="I1097" s="333"/>
      <c r="J1097" s="333"/>
      <c r="K1097" s="333"/>
      <c r="L1097" s="328"/>
      <c r="M1097" s="328"/>
      <c r="N1097" s="328"/>
      <c r="O1097" s="328"/>
      <c r="P1097" s="328"/>
      <c r="Q1097" s="328"/>
      <c r="V1097" s="328"/>
    </row>
    <row r="1098" spans="1:22" ht="24" customHeight="1">
      <c r="A1098" s="342"/>
      <c r="B1098" s="342"/>
      <c r="C1098" s="342"/>
      <c r="D1098" s="342"/>
      <c r="E1098" s="328"/>
      <c r="F1098" s="328"/>
      <c r="G1098" s="328"/>
      <c r="H1098" s="328"/>
      <c r="I1098" s="333"/>
      <c r="J1098" s="333"/>
      <c r="K1098" s="333"/>
      <c r="L1098" s="328"/>
      <c r="M1098" s="328"/>
      <c r="N1098" s="328"/>
      <c r="O1098" s="328"/>
      <c r="P1098" s="328"/>
      <c r="Q1098" s="328"/>
      <c r="V1098" s="328"/>
    </row>
    <row r="1099" spans="1:22" ht="24" customHeight="1">
      <c r="A1099" s="342"/>
      <c r="B1099" s="342"/>
      <c r="C1099" s="342"/>
      <c r="D1099" s="342"/>
      <c r="E1099" s="328"/>
      <c r="F1099" s="328"/>
      <c r="G1099" s="328"/>
      <c r="H1099" s="328"/>
      <c r="I1099" s="333"/>
      <c r="J1099" s="333"/>
      <c r="K1099" s="333"/>
      <c r="L1099" s="328"/>
      <c r="M1099" s="328"/>
      <c r="N1099" s="328"/>
      <c r="O1099" s="328"/>
      <c r="P1099" s="328"/>
      <c r="Q1099" s="328"/>
      <c r="V1099" s="328"/>
    </row>
    <row r="1100" spans="1:22" ht="24" customHeight="1">
      <c r="A1100" s="342"/>
      <c r="B1100" s="342"/>
      <c r="C1100" s="342"/>
      <c r="D1100" s="342"/>
      <c r="E1100" s="328"/>
      <c r="F1100" s="328"/>
      <c r="G1100" s="328"/>
      <c r="H1100" s="328"/>
      <c r="I1100" s="333"/>
      <c r="J1100" s="333"/>
      <c r="K1100" s="333"/>
      <c r="L1100" s="328"/>
      <c r="M1100" s="328"/>
      <c r="N1100" s="328"/>
      <c r="O1100" s="328"/>
      <c r="P1100" s="328"/>
      <c r="Q1100" s="328"/>
      <c r="V1100" s="328"/>
    </row>
    <row r="1101" spans="1:22" ht="24" customHeight="1">
      <c r="A1101" s="342"/>
      <c r="B1101" s="342"/>
      <c r="C1101" s="342"/>
      <c r="D1101" s="342"/>
      <c r="E1101" s="328"/>
      <c r="F1101" s="328"/>
      <c r="G1101" s="328"/>
      <c r="H1101" s="328"/>
      <c r="I1101" s="333"/>
      <c r="J1101" s="333"/>
      <c r="K1101" s="333"/>
      <c r="L1101" s="328"/>
      <c r="M1101" s="328"/>
      <c r="N1101" s="328"/>
      <c r="O1101" s="328"/>
      <c r="P1101" s="328"/>
      <c r="Q1101" s="328"/>
      <c r="V1101" s="328"/>
    </row>
    <row r="1102" spans="1:22" ht="24" customHeight="1">
      <c r="A1102" s="342"/>
      <c r="B1102" s="342"/>
      <c r="C1102" s="342"/>
      <c r="D1102" s="342"/>
      <c r="E1102" s="328"/>
      <c r="F1102" s="328"/>
      <c r="G1102" s="328"/>
      <c r="H1102" s="328"/>
      <c r="I1102" s="333"/>
      <c r="J1102" s="333"/>
      <c r="K1102" s="333"/>
      <c r="L1102" s="328"/>
      <c r="M1102" s="328"/>
      <c r="N1102" s="328"/>
      <c r="O1102" s="328"/>
      <c r="P1102" s="328"/>
      <c r="Q1102" s="328"/>
      <c r="V1102" s="328"/>
    </row>
    <row r="1103" spans="1:22" ht="24" customHeight="1">
      <c r="A1103" s="342"/>
      <c r="B1103" s="342"/>
      <c r="C1103" s="342"/>
      <c r="D1103" s="342"/>
      <c r="E1103" s="328"/>
      <c r="F1103" s="328"/>
      <c r="G1103" s="328"/>
      <c r="H1103" s="328"/>
      <c r="I1103" s="333"/>
      <c r="J1103" s="333"/>
      <c r="K1103" s="333"/>
      <c r="L1103" s="328"/>
      <c r="M1103" s="328"/>
      <c r="N1103" s="328"/>
      <c r="O1103" s="328"/>
      <c r="P1103" s="328"/>
      <c r="Q1103" s="328"/>
      <c r="V1103" s="328"/>
    </row>
    <row r="1104" spans="1:22" ht="24" customHeight="1">
      <c r="A1104" s="342"/>
      <c r="B1104" s="342"/>
      <c r="C1104" s="342"/>
      <c r="D1104" s="342"/>
      <c r="E1104" s="328"/>
      <c r="F1104" s="328"/>
      <c r="G1104" s="328"/>
      <c r="H1104" s="328"/>
      <c r="I1104" s="333"/>
      <c r="J1104" s="333"/>
      <c r="K1104" s="333"/>
      <c r="L1104" s="328"/>
      <c r="M1104" s="328"/>
      <c r="N1104" s="328"/>
      <c r="O1104" s="328"/>
      <c r="P1104" s="328"/>
      <c r="Q1104" s="328"/>
      <c r="V1104" s="328"/>
    </row>
    <row r="1105" spans="1:22" ht="24" customHeight="1">
      <c r="A1105" s="342"/>
      <c r="B1105" s="342"/>
      <c r="C1105" s="342"/>
      <c r="D1105" s="342"/>
      <c r="E1105" s="328"/>
      <c r="F1105" s="328"/>
      <c r="G1105" s="328"/>
      <c r="H1105" s="328"/>
      <c r="I1105" s="333"/>
      <c r="J1105" s="333"/>
      <c r="K1105" s="333"/>
      <c r="L1105" s="328"/>
      <c r="M1105" s="328"/>
      <c r="N1105" s="328"/>
      <c r="O1105" s="328"/>
      <c r="P1105" s="328"/>
      <c r="Q1105" s="328"/>
      <c r="V1105" s="328"/>
    </row>
    <row r="1106" spans="1:22" ht="24" customHeight="1">
      <c r="A1106" s="342"/>
      <c r="B1106" s="342"/>
      <c r="C1106" s="342"/>
      <c r="D1106" s="342"/>
      <c r="E1106" s="328"/>
      <c r="F1106" s="328"/>
      <c r="G1106" s="328"/>
      <c r="H1106" s="328"/>
      <c r="I1106" s="333"/>
      <c r="J1106" s="333"/>
      <c r="K1106" s="333"/>
      <c r="L1106" s="328"/>
      <c r="M1106" s="328"/>
      <c r="N1106" s="328"/>
      <c r="O1106" s="328"/>
      <c r="P1106" s="328"/>
      <c r="Q1106" s="328"/>
      <c r="V1106" s="328"/>
    </row>
    <row r="1107" spans="1:22" ht="24" customHeight="1">
      <c r="A1107" s="342"/>
      <c r="B1107" s="342"/>
      <c r="C1107" s="342"/>
      <c r="D1107" s="342"/>
      <c r="E1107" s="328"/>
      <c r="F1107" s="328"/>
      <c r="G1107" s="328"/>
      <c r="H1107" s="328"/>
      <c r="I1107" s="333"/>
      <c r="J1107" s="333"/>
      <c r="K1107" s="333"/>
      <c r="L1107" s="328"/>
      <c r="M1107" s="328"/>
      <c r="N1107" s="328"/>
      <c r="O1107" s="328"/>
      <c r="P1107" s="328"/>
      <c r="Q1107" s="328"/>
      <c r="V1107" s="328"/>
    </row>
    <row r="1108" spans="1:22" ht="24" customHeight="1">
      <c r="A1108" s="342"/>
      <c r="B1108" s="342"/>
      <c r="C1108" s="342"/>
      <c r="D1108" s="342"/>
      <c r="E1108" s="328"/>
      <c r="F1108" s="328"/>
      <c r="G1108" s="328"/>
      <c r="H1108" s="328"/>
      <c r="I1108" s="333"/>
      <c r="J1108" s="333"/>
      <c r="K1108" s="333"/>
      <c r="L1108" s="328"/>
      <c r="M1108" s="328"/>
      <c r="N1108" s="328"/>
      <c r="O1108" s="328"/>
      <c r="P1108" s="328"/>
      <c r="Q1108" s="328"/>
      <c r="V1108" s="328"/>
    </row>
    <row r="1109" spans="1:22" ht="24" customHeight="1">
      <c r="A1109" s="342"/>
      <c r="B1109" s="342"/>
      <c r="C1109" s="342"/>
      <c r="D1109" s="342"/>
      <c r="E1109" s="328"/>
      <c r="F1109" s="328"/>
      <c r="G1109" s="328"/>
      <c r="H1109" s="328"/>
      <c r="I1109" s="333"/>
      <c r="J1109" s="333"/>
      <c r="K1109" s="333"/>
      <c r="L1109" s="328"/>
      <c r="M1109" s="328"/>
      <c r="N1109" s="328"/>
      <c r="O1109" s="328"/>
      <c r="P1109" s="328"/>
      <c r="Q1109" s="328"/>
      <c r="V1109" s="328"/>
    </row>
    <row r="1110" spans="1:22" ht="24" customHeight="1">
      <c r="A1110" s="342"/>
      <c r="B1110" s="342"/>
      <c r="C1110" s="342"/>
      <c r="D1110" s="342"/>
      <c r="E1110" s="328"/>
      <c r="F1110" s="328"/>
      <c r="G1110" s="328"/>
      <c r="H1110" s="328"/>
      <c r="I1110" s="333"/>
      <c r="J1110" s="333"/>
      <c r="K1110" s="333"/>
      <c r="L1110" s="328"/>
      <c r="M1110" s="328"/>
      <c r="N1110" s="328"/>
      <c r="O1110" s="328"/>
      <c r="P1110" s="328"/>
      <c r="Q1110" s="328"/>
      <c r="V1110" s="328"/>
    </row>
    <row r="1111" spans="1:22" ht="24" customHeight="1">
      <c r="A1111" s="342"/>
      <c r="B1111" s="342"/>
      <c r="C1111" s="342"/>
      <c r="D1111" s="342"/>
      <c r="E1111" s="328"/>
      <c r="F1111" s="328"/>
      <c r="G1111" s="328"/>
      <c r="H1111" s="328"/>
      <c r="I1111" s="333"/>
      <c r="J1111" s="333"/>
      <c r="K1111" s="333"/>
      <c r="L1111" s="328"/>
      <c r="M1111" s="328"/>
      <c r="N1111" s="328"/>
      <c r="O1111" s="328"/>
      <c r="P1111" s="328"/>
      <c r="Q1111" s="328"/>
      <c r="V1111" s="328"/>
    </row>
    <row r="1112" spans="1:22" ht="24" customHeight="1">
      <c r="A1112" s="342"/>
      <c r="B1112" s="342"/>
      <c r="C1112" s="342"/>
      <c r="D1112" s="342"/>
      <c r="E1112" s="328"/>
      <c r="F1112" s="328"/>
      <c r="G1112" s="328"/>
      <c r="H1112" s="328"/>
      <c r="I1112" s="333"/>
      <c r="J1112" s="333"/>
      <c r="K1112" s="333"/>
      <c r="L1112" s="328"/>
      <c r="M1112" s="328"/>
      <c r="N1112" s="328"/>
      <c r="O1112" s="328"/>
      <c r="P1112" s="328"/>
      <c r="Q1112" s="328"/>
      <c r="V1112" s="328"/>
    </row>
    <row r="1113" spans="1:22" ht="24" customHeight="1">
      <c r="A1113" s="342"/>
      <c r="B1113" s="342"/>
      <c r="C1113" s="342"/>
      <c r="D1113" s="342"/>
      <c r="E1113" s="328"/>
      <c r="F1113" s="328"/>
      <c r="G1113" s="328"/>
      <c r="H1113" s="328"/>
      <c r="I1113" s="333"/>
      <c r="J1113" s="333"/>
      <c r="K1113" s="333"/>
      <c r="L1113" s="328"/>
      <c r="M1113" s="328"/>
      <c r="N1113" s="328"/>
      <c r="O1113" s="328"/>
      <c r="P1113" s="328"/>
      <c r="Q1113" s="328"/>
      <c r="V1113" s="328"/>
    </row>
    <row r="1114" spans="1:22" ht="24" customHeight="1">
      <c r="A1114" s="342"/>
      <c r="B1114" s="342"/>
      <c r="C1114" s="342"/>
      <c r="D1114" s="342"/>
      <c r="E1114" s="328"/>
      <c r="F1114" s="328"/>
      <c r="G1114" s="328"/>
      <c r="H1114" s="328"/>
      <c r="I1114" s="333"/>
      <c r="J1114" s="333"/>
      <c r="K1114" s="333"/>
      <c r="L1114" s="328"/>
      <c r="M1114" s="328"/>
      <c r="N1114" s="328"/>
      <c r="O1114" s="328"/>
      <c r="P1114" s="328"/>
      <c r="Q1114" s="328"/>
      <c r="V1114" s="328"/>
    </row>
    <row r="1115" spans="1:22" ht="24" customHeight="1">
      <c r="A1115" s="342"/>
      <c r="B1115" s="342"/>
      <c r="C1115" s="342"/>
      <c r="D1115" s="342"/>
      <c r="E1115" s="328"/>
      <c r="F1115" s="328"/>
      <c r="G1115" s="328"/>
      <c r="H1115" s="328"/>
      <c r="I1115" s="333"/>
      <c r="J1115" s="333"/>
      <c r="K1115" s="333"/>
      <c r="L1115" s="328"/>
      <c r="M1115" s="328"/>
      <c r="N1115" s="328"/>
      <c r="O1115" s="328"/>
      <c r="P1115" s="328"/>
      <c r="Q1115" s="328"/>
      <c r="V1115" s="328"/>
    </row>
    <row r="1116" spans="1:22" ht="24" customHeight="1">
      <c r="A1116" s="342"/>
      <c r="B1116" s="342"/>
      <c r="C1116" s="342"/>
      <c r="D1116" s="342"/>
      <c r="E1116" s="328"/>
      <c r="F1116" s="328"/>
      <c r="G1116" s="328"/>
      <c r="H1116" s="328"/>
      <c r="I1116" s="333"/>
      <c r="J1116" s="333"/>
      <c r="K1116" s="333"/>
      <c r="L1116" s="328"/>
      <c r="M1116" s="328"/>
      <c r="N1116" s="328"/>
      <c r="O1116" s="328"/>
      <c r="P1116" s="328"/>
      <c r="Q1116" s="328"/>
      <c r="V1116" s="328"/>
    </row>
    <row r="1117" spans="1:22" ht="24" customHeight="1">
      <c r="A1117" s="342"/>
      <c r="B1117" s="342"/>
      <c r="C1117" s="342"/>
      <c r="D1117" s="342"/>
      <c r="E1117" s="328"/>
      <c r="F1117" s="328"/>
      <c r="G1117" s="328"/>
      <c r="H1117" s="328"/>
      <c r="I1117" s="333"/>
      <c r="J1117" s="333"/>
      <c r="K1117" s="333"/>
      <c r="L1117" s="328"/>
      <c r="M1117" s="328"/>
      <c r="N1117" s="328"/>
      <c r="O1117" s="328"/>
      <c r="P1117" s="328"/>
      <c r="Q1117" s="328"/>
      <c r="V1117" s="328"/>
    </row>
    <row r="1118" spans="1:22" ht="24" customHeight="1">
      <c r="A1118" s="342"/>
      <c r="B1118" s="342"/>
      <c r="C1118" s="342"/>
      <c r="D1118" s="342"/>
      <c r="E1118" s="328"/>
      <c r="F1118" s="328"/>
      <c r="G1118" s="328"/>
      <c r="H1118" s="328"/>
      <c r="I1118" s="333"/>
      <c r="J1118" s="333"/>
      <c r="K1118" s="333"/>
      <c r="L1118" s="328"/>
      <c r="M1118" s="328"/>
      <c r="N1118" s="328"/>
      <c r="O1118" s="328"/>
      <c r="P1118" s="328"/>
      <c r="Q1118" s="328"/>
      <c r="V1118" s="328"/>
    </row>
    <row r="1119" spans="1:22" ht="24" customHeight="1">
      <c r="A1119" s="342"/>
      <c r="B1119" s="342"/>
      <c r="C1119" s="342"/>
      <c r="D1119" s="342"/>
      <c r="E1119" s="328"/>
      <c r="F1119" s="328"/>
      <c r="G1119" s="328"/>
      <c r="H1119" s="328"/>
      <c r="I1119" s="333"/>
      <c r="J1119" s="333"/>
      <c r="K1119" s="333"/>
      <c r="L1119" s="328"/>
      <c r="M1119" s="328"/>
      <c r="N1119" s="328"/>
      <c r="O1119" s="328"/>
      <c r="P1119" s="328"/>
      <c r="Q1119" s="328"/>
      <c r="V1119" s="328"/>
    </row>
    <row r="1120" spans="1:22" ht="24" customHeight="1">
      <c r="A1120" s="342"/>
      <c r="B1120" s="342"/>
      <c r="C1120" s="342"/>
      <c r="D1120" s="342"/>
      <c r="E1120" s="328"/>
      <c r="F1120" s="328"/>
      <c r="G1120" s="328"/>
      <c r="H1120" s="328"/>
      <c r="I1120" s="333"/>
      <c r="J1120" s="333"/>
      <c r="K1120" s="333"/>
      <c r="L1120" s="328"/>
      <c r="M1120" s="328"/>
      <c r="N1120" s="328"/>
      <c r="O1120" s="328"/>
      <c r="P1120" s="328"/>
      <c r="Q1120" s="328"/>
      <c r="V1120" s="328"/>
    </row>
    <row r="1121" spans="1:22" ht="24" customHeight="1">
      <c r="A1121" s="342"/>
      <c r="B1121" s="342"/>
      <c r="C1121" s="342"/>
      <c r="D1121" s="342"/>
      <c r="E1121" s="328"/>
      <c r="F1121" s="328"/>
      <c r="G1121" s="328"/>
      <c r="H1121" s="328"/>
      <c r="I1121" s="333"/>
      <c r="J1121" s="333"/>
      <c r="K1121" s="333"/>
      <c r="L1121" s="328"/>
      <c r="M1121" s="328"/>
      <c r="N1121" s="328"/>
      <c r="O1121" s="328"/>
      <c r="P1121" s="328"/>
      <c r="Q1121" s="328"/>
      <c r="V1121" s="328"/>
    </row>
    <row r="1122" spans="1:22" ht="24" customHeight="1">
      <c r="A1122" s="342"/>
      <c r="B1122" s="342"/>
      <c r="C1122" s="342"/>
      <c r="D1122" s="342"/>
      <c r="E1122" s="328"/>
      <c r="F1122" s="328"/>
      <c r="G1122" s="328"/>
      <c r="H1122" s="328"/>
      <c r="I1122" s="333"/>
      <c r="J1122" s="333"/>
      <c r="K1122" s="333"/>
      <c r="L1122" s="328"/>
      <c r="M1122" s="328"/>
      <c r="N1122" s="328"/>
      <c r="O1122" s="328"/>
      <c r="P1122" s="328"/>
      <c r="Q1122" s="328"/>
      <c r="V1122" s="328"/>
    </row>
    <row r="1123" spans="1:22" ht="24" customHeight="1">
      <c r="A1123" s="342"/>
      <c r="B1123" s="342"/>
      <c r="C1123" s="342"/>
      <c r="D1123" s="342"/>
      <c r="E1123" s="328"/>
      <c r="F1123" s="328"/>
      <c r="G1123" s="328"/>
      <c r="H1123" s="328"/>
      <c r="I1123" s="333"/>
      <c r="J1123" s="333"/>
      <c r="K1123" s="333"/>
      <c r="L1123" s="328"/>
      <c r="M1123" s="328"/>
      <c r="N1123" s="328"/>
      <c r="O1123" s="328"/>
      <c r="P1123" s="328"/>
      <c r="Q1123" s="328"/>
      <c r="V1123" s="328"/>
    </row>
    <row r="1124" spans="1:22" ht="24" customHeight="1">
      <c r="A1124" s="342"/>
      <c r="B1124" s="342"/>
      <c r="C1124" s="342"/>
      <c r="D1124" s="342"/>
      <c r="E1124" s="328"/>
      <c r="F1124" s="328"/>
      <c r="G1124" s="328"/>
      <c r="H1124" s="328"/>
      <c r="I1124" s="333"/>
      <c r="J1124" s="333"/>
      <c r="K1124" s="333"/>
      <c r="L1124" s="328"/>
      <c r="M1124" s="328"/>
      <c r="N1124" s="328"/>
      <c r="O1124" s="328"/>
      <c r="P1124" s="328"/>
      <c r="Q1124" s="328"/>
      <c r="V1124" s="328"/>
    </row>
    <row r="1125" spans="1:22" ht="24" customHeight="1">
      <c r="A1125" s="342"/>
      <c r="B1125" s="342"/>
      <c r="C1125" s="342"/>
      <c r="D1125" s="342"/>
      <c r="E1125" s="328"/>
      <c r="F1125" s="328"/>
      <c r="G1125" s="328"/>
      <c r="H1125" s="328"/>
      <c r="I1125" s="333"/>
      <c r="J1125" s="333"/>
      <c r="K1125" s="333"/>
      <c r="L1125" s="328"/>
      <c r="M1125" s="328"/>
      <c r="N1125" s="328"/>
      <c r="O1125" s="328"/>
      <c r="P1125" s="328"/>
      <c r="Q1125" s="328"/>
      <c r="V1125" s="328"/>
    </row>
    <row r="1126" spans="1:22" ht="24" customHeight="1">
      <c r="A1126" s="342"/>
      <c r="B1126" s="342"/>
      <c r="C1126" s="342"/>
      <c r="D1126" s="342"/>
      <c r="E1126" s="328"/>
      <c r="F1126" s="328"/>
      <c r="G1126" s="328"/>
      <c r="H1126" s="328"/>
      <c r="I1126" s="333"/>
      <c r="J1126" s="333"/>
      <c r="K1126" s="333"/>
      <c r="L1126" s="328"/>
      <c r="M1126" s="328"/>
      <c r="N1126" s="328"/>
      <c r="O1126" s="328"/>
      <c r="P1126" s="328"/>
      <c r="Q1126" s="328"/>
      <c r="V1126" s="328"/>
    </row>
    <row r="1127" spans="1:22" ht="24" customHeight="1">
      <c r="A1127" s="342"/>
      <c r="B1127" s="342"/>
      <c r="C1127" s="342"/>
      <c r="D1127" s="342"/>
      <c r="E1127" s="328"/>
      <c r="F1127" s="328"/>
      <c r="G1127" s="328"/>
      <c r="H1127" s="328"/>
      <c r="I1127" s="333"/>
      <c r="J1127" s="333"/>
      <c r="K1127" s="333"/>
      <c r="L1127" s="328"/>
      <c r="M1127" s="328"/>
      <c r="N1127" s="328"/>
      <c r="O1127" s="328"/>
      <c r="P1127" s="328"/>
      <c r="Q1127" s="328"/>
      <c r="V1127" s="328"/>
    </row>
    <row r="1128" spans="1:22" ht="24" customHeight="1">
      <c r="A1128" s="342"/>
      <c r="B1128" s="342"/>
      <c r="C1128" s="342"/>
      <c r="D1128" s="342"/>
      <c r="E1128" s="328"/>
      <c r="F1128" s="328"/>
      <c r="G1128" s="328"/>
      <c r="H1128" s="328"/>
      <c r="I1128" s="333"/>
      <c r="J1128" s="333"/>
      <c r="K1128" s="333"/>
      <c r="L1128" s="328"/>
      <c r="M1128" s="328"/>
      <c r="N1128" s="328"/>
      <c r="O1128" s="328"/>
      <c r="P1128" s="328"/>
      <c r="Q1128" s="328"/>
      <c r="V1128" s="328"/>
    </row>
    <row r="1129" spans="1:22" ht="24" customHeight="1">
      <c r="A1129" s="342"/>
      <c r="B1129" s="342"/>
      <c r="C1129" s="342"/>
      <c r="D1129" s="342"/>
      <c r="E1129" s="328"/>
      <c r="F1129" s="328"/>
      <c r="G1129" s="328"/>
      <c r="H1129" s="328"/>
      <c r="I1129" s="333"/>
      <c r="J1129" s="333"/>
      <c r="K1129" s="333"/>
      <c r="L1129" s="328"/>
      <c r="M1129" s="328"/>
      <c r="N1129" s="328"/>
      <c r="O1129" s="328"/>
      <c r="P1129" s="328"/>
      <c r="Q1129" s="328"/>
      <c r="V1129" s="328"/>
    </row>
    <row r="1130" spans="1:22" ht="24" customHeight="1">
      <c r="A1130" s="342"/>
      <c r="B1130" s="342"/>
      <c r="C1130" s="342"/>
      <c r="D1130" s="342"/>
      <c r="E1130" s="328"/>
      <c r="F1130" s="328"/>
      <c r="G1130" s="328"/>
      <c r="H1130" s="328"/>
      <c r="I1130" s="333"/>
      <c r="J1130" s="333"/>
      <c r="K1130" s="333"/>
      <c r="L1130" s="328"/>
      <c r="M1130" s="328"/>
      <c r="N1130" s="328"/>
      <c r="O1130" s="328"/>
      <c r="P1130" s="328"/>
      <c r="Q1130" s="328"/>
      <c r="V1130" s="328"/>
    </row>
    <row r="1131" spans="1:22" ht="24" customHeight="1">
      <c r="A1131" s="342"/>
      <c r="B1131" s="342"/>
      <c r="C1131" s="342"/>
      <c r="D1131" s="342"/>
      <c r="E1131" s="328"/>
      <c r="F1131" s="328"/>
      <c r="G1131" s="328"/>
      <c r="H1131" s="328"/>
      <c r="I1131" s="333"/>
      <c r="J1131" s="333"/>
      <c r="K1131" s="333"/>
      <c r="L1131" s="328"/>
      <c r="M1131" s="328"/>
      <c r="N1131" s="328"/>
      <c r="O1131" s="328"/>
      <c r="P1131" s="328"/>
      <c r="Q1131" s="328"/>
      <c r="V1131" s="328"/>
    </row>
    <row r="1132" spans="1:22" ht="24" customHeight="1">
      <c r="A1132" s="342"/>
      <c r="B1132" s="342"/>
      <c r="C1132" s="342"/>
      <c r="D1132" s="342"/>
      <c r="E1132" s="328"/>
      <c r="F1132" s="328"/>
      <c r="G1132" s="328"/>
      <c r="H1132" s="328"/>
      <c r="I1132" s="333"/>
      <c r="J1132" s="333"/>
      <c r="K1132" s="333"/>
      <c r="L1132" s="328"/>
      <c r="M1132" s="328"/>
      <c r="N1132" s="328"/>
      <c r="O1132" s="328"/>
      <c r="P1132" s="328"/>
      <c r="Q1132" s="328"/>
      <c r="V1132" s="328"/>
    </row>
    <row r="1133" spans="1:22" ht="24" customHeight="1">
      <c r="A1133" s="342"/>
      <c r="B1133" s="342"/>
      <c r="C1133" s="342"/>
      <c r="D1133" s="342"/>
      <c r="E1133" s="328"/>
      <c r="F1133" s="328"/>
      <c r="G1133" s="328"/>
      <c r="H1133" s="328"/>
      <c r="I1133" s="333"/>
      <c r="J1133" s="333"/>
      <c r="K1133" s="333"/>
      <c r="L1133" s="328"/>
      <c r="M1133" s="328"/>
      <c r="N1133" s="328"/>
      <c r="O1133" s="328"/>
      <c r="P1133" s="328"/>
      <c r="Q1133" s="328"/>
      <c r="V1133" s="328"/>
    </row>
    <row r="1134" spans="1:22" ht="24" customHeight="1">
      <c r="A1134" s="342"/>
      <c r="B1134" s="342"/>
      <c r="C1134" s="342"/>
      <c r="D1134" s="342"/>
      <c r="E1134" s="328"/>
      <c r="F1134" s="328"/>
      <c r="G1134" s="328"/>
      <c r="H1134" s="328"/>
      <c r="I1134" s="333"/>
      <c r="J1134" s="333"/>
      <c r="K1134" s="333"/>
      <c r="L1134" s="328"/>
      <c r="M1134" s="328"/>
      <c r="N1134" s="328"/>
      <c r="O1134" s="328"/>
      <c r="P1134" s="328"/>
      <c r="Q1134" s="328"/>
      <c r="V1134" s="328"/>
    </row>
    <row r="1135" spans="1:22" ht="24" customHeight="1">
      <c r="A1135" s="342"/>
      <c r="B1135" s="342"/>
      <c r="C1135" s="342"/>
      <c r="D1135" s="342"/>
      <c r="E1135" s="328"/>
      <c r="F1135" s="328"/>
      <c r="G1135" s="328"/>
      <c r="H1135" s="328"/>
      <c r="I1135" s="333"/>
      <c r="J1135" s="333"/>
      <c r="K1135" s="333"/>
      <c r="L1135" s="328"/>
      <c r="M1135" s="328"/>
      <c r="N1135" s="328"/>
      <c r="O1135" s="328"/>
      <c r="P1135" s="328"/>
      <c r="Q1135" s="328"/>
      <c r="V1135" s="328"/>
    </row>
    <row r="1136" spans="1:22" ht="24" customHeight="1">
      <c r="A1136" s="342"/>
      <c r="B1136" s="342"/>
      <c r="C1136" s="342"/>
      <c r="D1136" s="342"/>
      <c r="E1136" s="328"/>
      <c r="F1136" s="328"/>
      <c r="G1136" s="328"/>
      <c r="H1136" s="328"/>
      <c r="I1136" s="333"/>
      <c r="J1136" s="333"/>
      <c r="K1136" s="333"/>
      <c r="L1136" s="328"/>
      <c r="M1136" s="328"/>
      <c r="N1136" s="328"/>
      <c r="O1136" s="328"/>
      <c r="P1136" s="328"/>
      <c r="Q1136" s="328"/>
      <c r="V1136" s="328"/>
    </row>
    <row r="1137" spans="1:26" ht="24" customHeight="1">
      <c r="A1137" s="342"/>
      <c r="B1137" s="342"/>
      <c r="C1137" s="342"/>
      <c r="D1137" s="342"/>
      <c r="E1137" s="328"/>
      <c r="F1137" s="328"/>
      <c r="G1137" s="328"/>
      <c r="H1137" s="328"/>
      <c r="I1137" s="333"/>
      <c r="J1137" s="333"/>
      <c r="K1137" s="333"/>
      <c r="L1137" s="328"/>
      <c r="M1137" s="328"/>
      <c r="N1137" s="328"/>
      <c r="O1137" s="328"/>
      <c r="P1137" s="328"/>
      <c r="Q1137" s="328"/>
      <c r="V1137" s="328"/>
    </row>
    <row r="1138" spans="1:26" ht="24" customHeight="1">
      <c r="A1138" s="342"/>
      <c r="B1138" s="342"/>
      <c r="C1138" s="342"/>
      <c r="D1138" s="342"/>
      <c r="E1138" s="328"/>
      <c r="F1138" s="328"/>
      <c r="G1138" s="328"/>
      <c r="H1138" s="328"/>
      <c r="I1138" s="333"/>
      <c r="J1138" s="333"/>
      <c r="K1138" s="333"/>
      <c r="L1138" s="328"/>
      <c r="M1138" s="328"/>
      <c r="N1138" s="328"/>
      <c r="O1138" s="328"/>
      <c r="P1138" s="328"/>
      <c r="Q1138" s="328"/>
      <c r="V1138" s="328"/>
    </row>
    <row r="1139" spans="1:26" ht="24" customHeight="1">
      <c r="A1139" s="342"/>
      <c r="B1139" s="342"/>
      <c r="C1139" s="342"/>
      <c r="D1139" s="342"/>
      <c r="E1139" s="328"/>
      <c r="F1139" s="328"/>
      <c r="G1139" s="328"/>
      <c r="H1139" s="328"/>
      <c r="I1139" s="333"/>
      <c r="J1139" s="333"/>
      <c r="K1139" s="333"/>
      <c r="L1139" s="328"/>
      <c r="M1139" s="328"/>
      <c r="N1139" s="328"/>
      <c r="O1139" s="328"/>
      <c r="P1139" s="328"/>
    </row>
    <row r="1140" spans="1:26" ht="24" customHeight="1">
      <c r="A1140" s="342"/>
      <c r="B1140" s="342"/>
      <c r="C1140" s="342"/>
      <c r="D1140" s="342"/>
      <c r="E1140" s="328"/>
      <c r="F1140" s="328"/>
      <c r="G1140" s="328"/>
      <c r="H1140" s="328"/>
      <c r="I1140" s="333"/>
      <c r="J1140" s="333"/>
      <c r="K1140" s="333"/>
      <c r="L1140" s="328"/>
      <c r="M1140" s="328"/>
      <c r="N1140" s="328"/>
      <c r="O1140" s="328"/>
      <c r="P1140" s="328"/>
    </row>
    <row r="1141" spans="1:26" ht="24" customHeight="1">
      <c r="A1141" s="342"/>
      <c r="B1141" s="342"/>
      <c r="C1141" s="342"/>
      <c r="D1141" s="342"/>
      <c r="E1141" s="328"/>
      <c r="F1141" s="328"/>
      <c r="G1141" s="328"/>
      <c r="H1141" s="328"/>
      <c r="I1141" s="333"/>
      <c r="J1141" s="333"/>
      <c r="K1141" s="333"/>
      <c r="L1141" s="328"/>
      <c r="M1141" s="328"/>
      <c r="N1141" s="328"/>
      <c r="O1141" s="328"/>
      <c r="P1141" s="328"/>
    </row>
    <row r="1142" spans="1:26" ht="24" customHeight="1">
      <c r="A1142" s="342"/>
      <c r="B1142" s="342"/>
      <c r="C1142" s="342"/>
      <c r="D1142" s="342"/>
      <c r="E1142" s="328"/>
      <c r="F1142" s="328"/>
      <c r="G1142" s="328"/>
      <c r="H1142" s="328"/>
      <c r="I1142" s="333"/>
      <c r="J1142" s="333"/>
      <c r="K1142" s="333"/>
      <c r="L1142" s="328"/>
      <c r="M1142" s="328"/>
      <c r="N1142" s="328"/>
      <c r="O1142" s="328"/>
      <c r="P1142" s="328"/>
    </row>
    <row r="1143" spans="1:26" ht="24" customHeight="1">
      <c r="A1143" s="342"/>
      <c r="B1143" s="342"/>
      <c r="C1143" s="342"/>
      <c r="D1143" s="342"/>
      <c r="E1143" s="328"/>
      <c r="F1143" s="328"/>
      <c r="G1143" s="328"/>
      <c r="H1143" s="328"/>
      <c r="I1143" s="333"/>
      <c r="J1143" s="333"/>
      <c r="K1143" s="333"/>
      <c r="L1143" s="328"/>
      <c r="M1143" s="328"/>
      <c r="N1143" s="328"/>
      <c r="O1143" s="328"/>
      <c r="P1143" s="328"/>
    </row>
    <row r="1144" spans="1:26" ht="24" customHeight="1">
      <c r="A1144" s="342"/>
      <c r="B1144" s="342"/>
      <c r="C1144" s="342"/>
      <c r="D1144" s="342"/>
      <c r="E1144" s="328"/>
      <c r="F1144" s="328"/>
      <c r="G1144" s="328"/>
      <c r="H1144" s="328"/>
      <c r="I1144" s="333"/>
      <c r="J1144" s="333"/>
      <c r="K1144" s="333"/>
      <c r="L1144" s="328"/>
      <c r="M1144" s="328"/>
      <c r="N1144" s="328"/>
      <c r="O1144" s="328"/>
      <c r="P1144" s="328"/>
    </row>
    <row r="1145" spans="1:26" ht="24" customHeight="1">
      <c r="A1145" s="342"/>
      <c r="B1145" s="342"/>
      <c r="C1145" s="342"/>
      <c r="D1145" s="342"/>
      <c r="E1145" s="328"/>
      <c r="F1145" s="328"/>
      <c r="G1145" s="328"/>
      <c r="H1145" s="328"/>
      <c r="I1145" s="333"/>
      <c r="J1145" s="333"/>
      <c r="K1145" s="333"/>
      <c r="L1145" s="328"/>
      <c r="M1145" s="328"/>
      <c r="N1145" s="328"/>
      <c r="O1145" s="328"/>
      <c r="P1145" s="328"/>
    </row>
    <row r="1146" spans="1:26" ht="24" customHeight="1">
      <c r="A1146" s="342"/>
      <c r="B1146" s="342"/>
      <c r="C1146" s="342"/>
      <c r="D1146" s="342"/>
      <c r="E1146" s="328"/>
      <c r="F1146" s="328"/>
      <c r="G1146" s="328"/>
      <c r="H1146" s="328"/>
      <c r="I1146" s="333"/>
      <c r="J1146" s="333"/>
      <c r="K1146" s="333"/>
      <c r="L1146" s="328"/>
      <c r="M1146" s="328"/>
      <c r="N1146" s="328"/>
      <c r="O1146" s="328"/>
      <c r="P1146" s="328"/>
    </row>
    <row r="1147" spans="1:26" ht="24" customHeight="1">
      <c r="A1147" s="342"/>
      <c r="B1147" s="342"/>
      <c r="C1147" s="342"/>
      <c r="D1147" s="342"/>
      <c r="E1147" s="328"/>
      <c r="F1147" s="328"/>
      <c r="G1147" s="328"/>
      <c r="H1147" s="328"/>
      <c r="I1147" s="333"/>
      <c r="J1147" s="333"/>
      <c r="K1147" s="333"/>
      <c r="L1147" s="328"/>
      <c r="M1147" s="328"/>
      <c r="N1147" s="328"/>
      <c r="O1147" s="328"/>
      <c r="P1147" s="328"/>
    </row>
    <row r="1148" spans="1:26" s="329" customFormat="1" ht="24" customHeight="1">
      <c r="A1148" s="342"/>
      <c r="B1148" s="342"/>
      <c r="C1148" s="342"/>
      <c r="D1148" s="342"/>
      <c r="E1148" s="328"/>
      <c r="F1148" s="328"/>
      <c r="G1148" s="328"/>
      <c r="H1148" s="328"/>
      <c r="I1148" s="333"/>
      <c r="J1148" s="333"/>
      <c r="K1148" s="333"/>
      <c r="L1148" s="328"/>
      <c r="M1148" s="328"/>
      <c r="N1148" s="328"/>
      <c r="O1148" s="328"/>
      <c r="P1148" s="328"/>
      <c r="R1148" s="328"/>
      <c r="S1148" s="328"/>
      <c r="T1148" s="328"/>
      <c r="U1148" s="328"/>
      <c r="V1148" s="333"/>
      <c r="W1148" s="328"/>
      <c r="X1148" s="328"/>
      <c r="Y1148" s="328"/>
      <c r="Z1148" s="328"/>
    </row>
    <row r="1149" spans="1:26" s="329" customFormat="1" ht="24" customHeight="1">
      <c r="A1149" s="342"/>
      <c r="B1149" s="342"/>
      <c r="C1149" s="342"/>
      <c r="D1149" s="342"/>
      <c r="E1149" s="328"/>
      <c r="F1149" s="328"/>
      <c r="G1149" s="328"/>
      <c r="H1149" s="328"/>
      <c r="I1149" s="333"/>
      <c r="J1149" s="333"/>
      <c r="K1149" s="333"/>
      <c r="L1149" s="328"/>
      <c r="M1149" s="328"/>
      <c r="N1149" s="328"/>
      <c r="O1149" s="328"/>
      <c r="P1149" s="328"/>
      <c r="R1149" s="328"/>
      <c r="S1149" s="328"/>
      <c r="T1149" s="328"/>
      <c r="U1149" s="328"/>
      <c r="V1149" s="333"/>
      <c r="W1149" s="328"/>
      <c r="X1149" s="328"/>
      <c r="Y1149" s="328"/>
      <c r="Z1149" s="328"/>
    </row>
    <row r="1150" spans="1:26" s="329" customFormat="1" ht="24" customHeight="1">
      <c r="A1150" s="342"/>
      <c r="B1150" s="342"/>
      <c r="C1150" s="342"/>
      <c r="D1150" s="342"/>
      <c r="E1150" s="328"/>
      <c r="F1150" s="328"/>
      <c r="G1150" s="328"/>
      <c r="H1150" s="328"/>
      <c r="I1150" s="333"/>
      <c r="J1150" s="333"/>
      <c r="K1150" s="333"/>
      <c r="L1150" s="328"/>
      <c r="M1150" s="328"/>
      <c r="N1150" s="328"/>
      <c r="O1150" s="328"/>
      <c r="P1150" s="328"/>
      <c r="R1150" s="328"/>
      <c r="S1150" s="328"/>
      <c r="T1150" s="328"/>
      <c r="U1150" s="328"/>
      <c r="V1150" s="333"/>
      <c r="W1150" s="328"/>
      <c r="X1150" s="328"/>
      <c r="Y1150" s="328"/>
      <c r="Z1150" s="328"/>
    </row>
    <row r="1151" spans="1:26" s="329" customFormat="1" ht="24" customHeight="1">
      <c r="A1151" s="342"/>
      <c r="B1151" s="342"/>
      <c r="C1151" s="342"/>
      <c r="D1151" s="342"/>
      <c r="E1151" s="328"/>
      <c r="F1151" s="328"/>
      <c r="G1151" s="328"/>
      <c r="H1151" s="328"/>
      <c r="I1151" s="333"/>
      <c r="J1151" s="333"/>
      <c r="K1151" s="333"/>
      <c r="L1151" s="328"/>
      <c r="M1151" s="328"/>
      <c r="N1151" s="328"/>
      <c r="O1151" s="328"/>
      <c r="P1151" s="328"/>
      <c r="R1151" s="328"/>
      <c r="S1151" s="328"/>
      <c r="T1151" s="328"/>
      <c r="U1151" s="328"/>
      <c r="V1151" s="333"/>
      <c r="W1151" s="328"/>
      <c r="X1151" s="328"/>
      <c r="Y1151" s="328"/>
      <c r="Z1151" s="328"/>
    </row>
    <row r="1152" spans="1:26" s="329" customFormat="1" ht="24" customHeight="1">
      <c r="A1152" s="342"/>
      <c r="B1152" s="342"/>
      <c r="C1152" s="342"/>
      <c r="D1152" s="342"/>
      <c r="E1152" s="328"/>
      <c r="F1152" s="328"/>
      <c r="G1152" s="328"/>
      <c r="H1152" s="328"/>
      <c r="I1152" s="333"/>
      <c r="J1152" s="333"/>
      <c r="K1152" s="333"/>
      <c r="L1152" s="328"/>
      <c r="M1152" s="328"/>
      <c r="N1152" s="328"/>
      <c r="O1152" s="328"/>
      <c r="P1152" s="328"/>
      <c r="R1152" s="328"/>
      <c r="S1152" s="328"/>
      <c r="T1152" s="328"/>
      <c r="U1152" s="328"/>
      <c r="V1152" s="333"/>
      <c r="W1152" s="328"/>
      <c r="X1152" s="328"/>
      <c r="Y1152" s="328"/>
      <c r="Z1152" s="328"/>
    </row>
    <row r="1153" spans="1:26" s="329" customFormat="1" ht="24" customHeight="1">
      <c r="A1153" s="342"/>
      <c r="B1153" s="342"/>
      <c r="C1153" s="342"/>
      <c r="D1153" s="342"/>
      <c r="E1153" s="328"/>
      <c r="F1153" s="328"/>
      <c r="G1153" s="328"/>
      <c r="H1153" s="328"/>
      <c r="I1153" s="333"/>
      <c r="J1153" s="333"/>
      <c r="K1153" s="333"/>
      <c r="L1153" s="328"/>
      <c r="M1153" s="328"/>
      <c r="N1153" s="328"/>
      <c r="O1153" s="328"/>
      <c r="P1153" s="328"/>
      <c r="R1153" s="328"/>
      <c r="S1153" s="328"/>
      <c r="T1153" s="328"/>
      <c r="U1153" s="328"/>
      <c r="V1153" s="333"/>
      <c r="W1153" s="328"/>
      <c r="X1153" s="328"/>
      <c r="Y1153" s="328"/>
      <c r="Z1153" s="328"/>
    </row>
    <row r="1154" spans="1:26" s="329" customFormat="1" ht="24" customHeight="1">
      <c r="A1154" s="342"/>
      <c r="B1154" s="342"/>
      <c r="C1154" s="342"/>
      <c r="D1154" s="342"/>
      <c r="E1154" s="328"/>
      <c r="F1154" s="328"/>
      <c r="G1154" s="328"/>
      <c r="H1154" s="328"/>
      <c r="I1154" s="333"/>
      <c r="J1154" s="333"/>
      <c r="K1154" s="333"/>
      <c r="L1154" s="328"/>
      <c r="M1154" s="328"/>
      <c r="N1154" s="328"/>
      <c r="O1154" s="328"/>
      <c r="P1154" s="328"/>
      <c r="R1154" s="328"/>
      <c r="S1154" s="328"/>
      <c r="T1154" s="328"/>
      <c r="U1154" s="328"/>
      <c r="V1154" s="333"/>
      <c r="W1154" s="328"/>
      <c r="X1154" s="328"/>
      <c r="Y1154" s="328"/>
      <c r="Z1154" s="328"/>
    </row>
    <row r="1155" spans="1:26" s="329" customFormat="1" ht="24" customHeight="1">
      <c r="A1155" s="342"/>
      <c r="B1155" s="342"/>
      <c r="C1155" s="342"/>
      <c r="D1155" s="342"/>
      <c r="E1155" s="328"/>
      <c r="F1155" s="328"/>
      <c r="G1155" s="328"/>
      <c r="H1155" s="328"/>
      <c r="I1155" s="333"/>
      <c r="J1155" s="333"/>
      <c r="K1155" s="333"/>
      <c r="L1155" s="328"/>
      <c r="M1155" s="328"/>
      <c r="N1155" s="328"/>
      <c r="O1155" s="328"/>
      <c r="P1155" s="328"/>
      <c r="R1155" s="328"/>
      <c r="S1155" s="328"/>
      <c r="T1155" s="328"/>
      <c r="U1155" s="328"/>
      <c r="V1155" s="333"/>
      <c r="W1155" s="328"/>
      <c r="X1155" s="328"/>
      <c r="Y1155" s="328"/>
      <c r="Z1155" s="328"/>
    </row>
    <row r="1156" spans="1:26" s="329" customFormat="1" ht="24" customHeight="1">
      <c r="A1156" s="342"/>
      <c r="B1156" s="342"/>
      <c r="C1156" s="342"/>
      <c r="D1156" s="342"/>
      <c r="E1156" s="328"/>
      <c r="F1156" s="328"/>
      <c r="G1156" s="328"/>
      <c r="H1156" s="328"/>
      <c r="I1156" s="333"/>
      <c r="J1156" s="333"/>
      <c r="K1156" s="333"/>
      <c r="L1156" s="328"/>
      <c r="M1156" s="328"/>
      <c r="N1156" s="328"/>
      <c r="O1156" s="328"/>
      <c r="P1156" s="328"/>
      <c r="R1156" s="328"/>
      <c r="S1156" s="328"/>
      <c r="T1156" s="328"/>
      <c r="U1156" s="328"/>
      <c r="V1156" s="333"/>
      <c r="W1156" s="328"/>
      <c r="X1156" s="328"/>
      <c r="Y1156" s="328"/>
      <c r="Z1156" s="328"/>
    </row>
    <row r="1157" spans="1:26" s="329" customFormat="1" ht="24" customHeight="1">
      <c r="A1157" s="342"/>
      <c r="B1157" s="342"/>
      <c r="C1157" s="342"/>
      <c r="D1157" s="342"/>
      <c r="E1157" s="328"/>
      <c r="F1157" s="328"/>
      <c r="G1157" s="328"/>
      <c r="H1157" s="328"/>
      <c r="I1157" s="333"/>
      <c r="J1157" s="333"/>
      <c r="K1157" s="333"/>
      <c r="L1157" s="328"/>
      <c r="M1157" s="328"/>
      <c r="N1157" s="328"/>
      <c r="O1157" s="328"/>
      <c r="P1157" s="328"/>
      <c r="R1157" s="328"/>
      <c r="S1157" s="328"/>
      <c r="T1157" s="328"/>
      <c r="U1157" s="328"/>
      <c r="V1157" s="333"/>
      <c r="W1157" s="328"/>
      <c r="X1157" s="328"/>
      <c r="Y1157" s="328"/>
      <c r="Z1157" s="328"/>
    </row>
    <row r="1158" spans="1:26" s="329" customFormat="1" ht="24" customHeight="1">
      <c r="A1158" s="342"/>
      <c r="B1158" s="342"/>
      <c r="C1158" s="342"/>
      <c r="D1158" s="342"/>
      <c r="E1158" s="328"/>
      <c r="F1158" s="328"/>
      <c r="G1158" s="328"/>
      <c r="H1158" s="328"/>
      <c r="I1158" s="333"/>
      <c r="J1158" s="333"/>
      <c r="K1158" s="333"/>
      <c r="L1158" s="328"/>
      <c r="M1158" s="328"/>
      <c r="N1158" s="328"/>
      <c r="O1158" s="328"/>
      <c r="P1158" s="328"/>
      <c r="R1158" s="328"/>
      <c r="S1158" s="328"/>
      <c r="T1158" s="328"/>
      <c r="U1158" s="328"/>
      <c r="V1158" s="333"/>
      <c r="W1158" s="328"/>
      <c r="X1158" s="328"/>
      <c r="Y1158" s="328"/>
      <c r="Z1158" s="328"/>
    </row>
    <row r="1159" spans="1:26" s="329" customFormat="1" ht="24" customHeight="1">
      <c r="A1159" s="342"/>
      <c r="B1159" s="342"/>
      <c r="C1159" s="342"/>
      <c r="D1159" s="342"/>
      <c r="E1159" s="328"/>
      <c r="F1159" s="328"/>
      <c r="G1159" s="328"/>
      <c r="H1159" s="328"/>
      <c r="I1159" s="333"/>
      <c r="J1159" s="333"/>
      <c r="K1159" s="333"/>
      <c r="L1159" s="328"/>
      <c r="M1159" s="328"/>
      <c r="N1159" s="328"/>
      <c r="O1159" s="328"/>
      <c r="P1159" s="328"/>
      <c r="R1159" s="328"/>
      <c r="S1159" s="328"/>
      <c r="T1159" s="328"/>
      <c r="U1159" s="328"/>
      <c r="V1159" s="333"/>
      <c r="W1159" s="328"/>
      <c r="X1159" s="328"/>
      <c r="Y1159" s="328"/>
      <c r="Z1159" s="328"/>
    </row>
    <row r="1160" spans="1:26" s="329" customFormat="1" ht="24" customHeight="1">
      <c r="A1160" s="342"/>
      <c r="B1160" s="342"/>
      <c r="C1160" s="342"/>
      <c r="D1160" s="342"/>
      <c r="E1160" s="328"/>
      <c r="F1160" s="328"/>
      <c r="G1160" s="328"/>
      <c r="H1160" s="328"/>
      <c r="I1160" s="333"/>
      <c r="J1160" s="333"/>
      <c r="K1160" s="333"/>
      <c r="L1160" s="328"/>
      <c r="M1160" s="328"/>
      <c r="N1160" s="328"/>
      <c r="O1160" s="328"/>
      <c r="P1160" s="328"/>
      <c r="R1160" s="328"/>
      <c r="S1160" s="328"/>
      <c r="T1160" s="328"/>
      <c r="U1160" s="328"/>
      <c r="V1160" s="333"/>
      <c r="W1160" s="328"/>
      <c r="X1160" s="328"/>
      <c r="Y1160" s="328"/>
      <c r="Z1160" s="328"/>
    </row>
    <row r="1161" spans="1:26" s="329" customFormat="1" ht="24" customHeight="1">
      <c r="A1161" s="342"/>
      <c r="B1161" s="342"/>
      <c r="C1161" s="342"/>
      <c r="D1161" s="342"/>
      <c r="E1161" s="328"/>
      <c r="F1161" s="328"/>
      <c r="G1161" s="328"/>
      <c r="H1161" s="328"/>
      <c r="I1161" s="333"/>
      <c r="J1161" s="333"/>
      <c r="K1161" s="333"/>
      <c r="L1161" s="328"/>
      <c r="M1161" s="328"/>
      <c r="N1161" s="328"/>
      <c r="O1161" s="328"/>
      <c r="P1161" s="328"/>
      <c r="R1161" s="328"/>
      <c r="S1161" s="328"/>
      <c r="T1161" s="328"/>
      <c r="U1161" s="328"/>
      <c r="V1161" s="333"/>
      <c r="W1161" s="328"/>
      <c r="X1161" s="328"/>
      <c r="Y1161" s="328"/>
      <c r="Z1161" s="328"/>
    </row>
    <row r="1162" spans="1:26" s="329" customFormat="1" ht="24" customHeight="1">
      <c r="A1162" s="342"/>
      <c r="B1162" s="342"/>
      <c r="C1162" s="342"/>
      <c r="D1162" s="342"/>
      <c r="E1162" s="328"/>
      <c r="F1162" s="328"/>
      <c r="G1162" s="328"/>
      <c r="H1162" s="328"/>
      <c r="I1162" s="333"/>
      <c r="J1162" s="333"/>
      <c r="K1162" s="333"/>
      <c r="L1162" s="328"/>
      <c r="M1162" s="328"/>
      <c r="N1162" s="328"/>
      <c r="O1162" s="328"/>
      <c r="P1162" s="328"/>
      <c r="R1162" s="328"/>
      <c r="S1162" s="328"/>
      <c r="T1162" s="328"/>
      <c r="U1162" s="328"/>
      <c r="V1162" s="333"/>
      <c r="W1162" s="328"/>
      <c r="X1162" s="328"/>
      <c r="Y1162" s="328"/>
      <c r="Z1162" s="328"/>
    </row>
    <row r="1163" spans="1:26" s="329" customFormat="1" ht="24" customHeight="1">
      <c r="A1163" s="342"/>
      <c r="B1163" s="342"/>
      <c r="C1163" s="342"/>
      <c r="D1163" s="342"/>
      <c r="E1163" s="328"/>
      <c r="F1163" s="328"/>
      <c r="G1163" s="328"/>
      <c r="H1163" s="328"/>
      <c r="I1163" s="333"/>
      <c r="J1163" s="333"/>
      <c r="K1163" s="333"/>
      <c r="L1163" s="328"/>
      <c r="M1163" s="328"/>
      <c r="N1163" s="328"/>
      <c r="O1163" s="328"/>
      <c r="P1163" s="328"/>
      <c r="R1163" s="328"/>
      <c r="S1163" s="328"/>
      <c r="T1163" s="328"/>
      <c r="U1163" s="328"/>
      <c r="V1163" s="333"/>
      <c r="W1163" s="328"/>
      <c r="X1163" s="328"/>
      <c r="Y1163" s="328"/>
      <c r="Z1163" s="328"/>
    </row>
    <row r="1164" spans="1:26" s="329" customFormat="1" ht="24" customHeight="1">
      <c r="A1164" s="342"/>
      <c r="B1164" s="342"/>
      <c r="C1164" s="342"/>
      <c r="D1164" s="342"/>
      <c r="E1164" s="328"/>
      <c r="F1164" s="328"/>
      <c r="G1164" s="328"/>
      <c r="H1164" s="328"/>
      <c r="I1164" s="333"/>
      <c r="J1164" s="333"/>
      <c r="K1164" s="333"/>
      <c r="L1164" s="328"/>
      <c r="M1164" s="328"/>
      <c r="N1164" s="328"/>
      <c r="O1164" s="328"/>
      <c r="P1164" s="328"/>
      <c r="R1164" s="328"/>
      <c r="S1164" s="328"/>
      <c r="T1164" s="328"/>
      <c r="U1164" s="328"/>
      <c r="V1164" s="333"/>
      <c r="W1164" s="328"/>
      <c r="X1164" s="328"/>
      <c r="Y1164" s="328"/>
      <c r="Z1164" s="328"/>
    </row>
    <row r="1165" spans="1:26" s="329" customFormat="1" ht="24" customHeight="1">
      <c r="A1165" s="342"/>
      <c r="B1165" s="342"/>
      <c r="C1165" s="342"/>
      <c r="D1165" s="342"/>
      <c r="E1165" s="328"/>
      <c r="F1165" s="328"/>
      <c r="G1165" s="328"/>
      <c r="H1165" s="328"/>
      <c r="I1165" s="333"/>
      <c r="J1165" s="333"/>
      <c r="K1165" s="333"/>
      <c r="L1165" s="328"/>
      <c r="M1165" s="328"/>
      <c r="N1165" s="328"/>
      <c r="O1165" s="328"/>
      <c r="P1165" s="328"/>
      <c r="R1165" s="328"/>
      <c r="S1165" s="328"/>
      <c r="T1165" s="328"/>
      <c r="U1165" s="328"/>
      <c r="V1165" s="333"/>
      <c r="W1165" s="328"/>
      <c r="X1165" s="328"/>
      <c r="Y1165" s="328"/>
      <c r="Z1165" s="328"/>
    </row>
    <row r="1166" spans="1:26" s="329" customFormat="1" ht="24" customHeight="1">
      <c r="A1166" s="342"/>
      <c r="B1166" s="342"/>
      <c r="C1166" s="342"/>
      <c r="D1166" s="342"/>
      <c r="E1166" s="328"/>
      <c r="F1166" s="328"/>
      <c r="G1166" s="328"/>
      <c r="H1166" s="328"/>
      <c r="I1166" s="333"/>
      <c r="J1166" s="333"/>
      <c r="K1166" s="333"/>
      <c r="L1166" s="328"/>
      <c r="M1166" s="328"/>
      <c r="N1166" s="328"/>
      <c r="O1166" s="328"/>
      <c r="P1166" s="328"/>
      <c r="R1166" s="328"/>
      <c r="S1166" s="328"/>
      <c r="T1166" s="328"/>
      <c r="U1166" s="328"/>
      <c r="V1166" s="333"/>
      <c r="W1166" s="328"/>
      <c r="X1166" s="328"/>
      <c r="Y1166" s="328"/>
      <c r="Z1166" s="328"/>
    </row>
    <row r="1167" spans="1:26" s="329" customFormat="1" ht="24" customHeight="1">
      <c r="A1167" s="342"/>
      <c r="B1167" s="342"/>
      <c r="C1167" s="342"/>
      <c r="D1167" s="342"/>
      <c r="E1167" s="328"/>
      <c r="F1167" s="328"/>
      <c r="G1167" s="328"/>
      <c r="H1167" s="328"/>
      <c r="I1167" s="333"/>
      <c r="J1167" s="333"/>
      <c r="K1167" s="333"/>
      <c r="L1167" s="328"/>
      <c r="M1167" s="328"/>
      <c r="N1167" s="328"/>
      <c r="O1167" s="328"/>
      <c r="P1167" s="328"/>
      <c r="R1167" s="328"/>
      <c r="S1167" s="328"/>
      <c r="T1167" s="328"/>
      <c r="U1167" s="328"/>
      <c r="V1167" s="333"/>
      <c r="W1167" s="328"/>
      <c r="X1167" s="328"/>
      <c r="Y1167" s="328"/>
      <c r="Z1167" s="328"/>
    </row>
    <row r="1168" spans="1:26" s="329" customFormat="1" ht="24" customHeight="1">
      <c r="A1168" s="342"/>
      <c r="B1168" s="342"/>
      <c r="C1168" s="342"/>
      <c r="D1168" s="342"/>
      <c r="E1168" s="328"/>
      <c r="F1168" s="328"/>
      <c r="G1168" s="328"/>
      <c r="H1168" s="328"/>
      <c r="I1168" s="333"/>
      <c r="J1168" s="333"/>
      <c r="K1168" s="333"/>
      <c r="L1168" s="328"/>
      <c r="M1168" s="328"/>
      <c r="N1168" s="328"/>
      <c r="O1168" s="328"/>
      <c r="P1168" s="328"/>
      <c r="R1168" s="328"/>
      <c r="S1168" s="328"/>
      <c r="T1168" s="328"/>
      <c r="U1168" s="328"/>
      <c r="V1168" s="333"/>
      <c r="W1168" s="328"/>
      <c r="X1168" s="328"/>
      <c r="Y1168" s="328"/>
      <c r="Z1168" s="328"/>
    </row>
    <row r="1169" spans="1:26" s="329" customFormat="1" ht="24" customHeight="1">
      <c r="A1169" s="342"/>
      <c r="B1169" s="342"/>
      <c r="C1169" s="342"/>
      <c r="D1169" s="342"/>
      <c r="E1169" s="328"/>
      <c r="F1169" s="328"/>
      <c r="G1169" s="328"/>
      <c r="H1169" s="328"/>
      <c r="I1169" s="333"/>
      <c r="J1169" s="333"/>
      <c r="K1169" s="333"/>
      <c r="L1169" s="328"/>
      <c r="M1169" s="328"/>
      <c r="N1169" s="328"/>
      <c r="O1169" s="328"/>
      <c r="P1169" s="328"/>
      <c r="R1169" s="328"/>
      <c r="S1169" s="328"/>
      <c r="T1169" s="328"/>
      <c r="U1169" s="328"/>
      <c r="V1169" s="333"/>
      <c r="W1169" s="328"/>
      <c r="X1169" s="328"/>
      <c r="Y1169" s="328"/>
      <c r="Z1169" s="328"/>
    </row>
    <row r="1170" spans="1:26" s="329" customFormat="1" ht="24" customHeight="1">
      <c r="A1170" s="342"/>
      <c r="B1170" s="342"/>
      <c r="C1170" s="342"/>
      <c r="D1170" s="342"/>
      <c r="E1170" s="328"/>
      <c r="F1170" s="328"/>
      <c r="G1170" s="328"/>
      <c r="H1170" s="328"/>
      <c r="I1170" s="333"/>
      <c r="J1170" s="333"/>
      <c r="K1170" s="333"/>
      <c r="L1170" s="328"/>
      <c r="M1170" s="328"/>
      <c r="N1170" s="328"/>
      <c r="O1170" s="328"/>
      <c r="P1170" s="328"/>
      <c r="R1170" s="328"/>
      <c r="S1170" s="328"/>
      <c r="T1170" s="328"/>
      <c r="U1170" s="328"/>
      <c r="V1170" s="333"/>
      <c r="W1170" s="328"/>
      <c r="X1170" s="328"/>
      <c r="Y1170" s="328"/>
      <c r="Z1170" s="328"/>
    </row>
    <row r="1171" spans="1:26" s="329" customFormat="1" ht="24" customHeight="1">
      <c r="A1171" s="342"/>
      <c r="B1171" s="342"/>
      <c r="C1171" s="342"/>
      <c r="D1171" s="342"/>
      <c r="E1171" s="328"/>
      <c r="F1171" s="328"/>
      <c r="G1171" s="328"/>
      <c r="H1171" s="328"/>
      <c r="I1171" s="333"/>
      <c r="J1171" s="333"/>
      <c r="K1171" s="333"/>
      <c r="L1171" s="328"/>
      <c r="M1171" s="328"/>
      <c r="N1171" s="328"/>
      <c r="O1171" s="328"/>
      <c r="P1171" s="328"/>
      <c r="R1171" s="328"/>
      <c r="S1171" s="328"/>
      <c r="T1171" s="328"/>
      <c r="U1171" s="328"/>
      <c r="V1171" s="333"/>
      <c r="W1171" s="328"/>
      <c r="X1171" s="328"/>
      <c r="Y1171" s="328"/>
      <c r="Z1171" s="328"/>
    </row>
    <row r="1172" spans="1:26" s="329" customFormat="1" ht="24" customHeight="1">
      <c r="A1172" s="342"/>
      <c r="B1172" s="342"/>
      <c r="C1172" s="342"/>
      <c r="D1172" s="342"/>
      <c r="E1172" s="328"/>
      <c r="F1172" s="328"/>
      <c r="G1172" s="328"/>
      <c r="H1172" s="328"/>
      <c r="I1172" s="333"/>
      <c r="J1172" s="333"/>
      <c r="K1172" s="333"/>
      <c r="L1172" s="328"/>
      <c r="M1172" s="328"/>
      <c r="N1172" s="328"/>
      <c r="O1172" s="328"/>
      <c r="P1172" s="328"/>
      <c r="R1172" s="328"/>
      <c r="S1172" s="328"/>
      <c r="T1172" s="328"/>
      <c r="U1172" s="328"/>
      <c r="V1172" s="333"/>
      <c r="W1172" s="328"/>
      <c r="X1172" s="328"/>
      <c r="Y1172" s="328"/>
      <c r="Z1172" s="328"/>
    </row>
    <row r="1173" spans="1:26" s="329" customFormat="1" ht="24" customHeight="1">
      <c r="A1173" s="342"/>
      <c r="B1173" s="342"/>
      <c r="C1173" s="342"/>
      <c r="D1173" s="342"/>
      <c r="E1173" s="328"/>
      <c r="F1173" s="328"/>
      <c r="G1173" s="328"/>
      <c r="H1173" s="328"/>
      <c r="I1173" s="333"/>
      <c r="J1173" s="333"/>
      <c r="K1173" s="333"/>
      <c r="L1173" s="328"/>
      <c r="M1173" s="328"/>
      <c r="N1173" s="328"/>
      <c r="O1173" s="328"/>
      <c r="P1173" s="328"/>
      <c r="R1173" s="328"/>
      <c r="S1173" s="328"/>
      <c r="T1173" s="328"/>
      <c r="U1173" s="328"/>
      <c r="V1173" s="333"/>
      <c r="W1173" s="328"/>
      <c r="X1173" s="328"/>
      <c r="Y1173" s="328"/>
      <c r="Z1173" s="328"/>
    </row>
    <row r="1174" spans="1:26" s="329" customFormat="1" ht="24" customHeight="1">
      <c r="A1174" s="342"/>
      <c r="B1174" s="342"/>
      <c r="C1174" s="342"/>
      <c r="D1174" s="342"/>
      <c r="E1174" s="328"/>
      <c r="F1174" s="328"/>
      <c r="G1174" s="328"/>
      <c r="H1174" s="328"/>
      <c r="I1174" s="333"/>
      <c r="J1174" s="333"/>
      <c r="K1174" s="333"/>
      <c r="L1174" s="328"/>
      <c r="M1174" s="328"/>
      <c r="N1174" s="328"/>
      <c r="O1174" s="328"/>
      <c r="P1174" s="328"/>
      <c r="R1174" s="328"/>
      <c r="S1174" s="328"/>
      <c r="T1174" s="328"/>
      <c r="U1174" s="328"/>
      <c r="V1174" s="333"/>
      <c r="W1174" s="328"/>
      <c r="X1174" s="328"/>
      <c r="Y1174" s="328"/>
      <c r="Z1174" s="328"/>
    </row>
    <row r="1175" spans="1:26" s="329" customFormat="1" ht="24" customHeight="1">
      <c r="A1175" s="342"/>
      <c r="B1175" s="342"/>
      <c r="C1175" s="342"/>
      <c r="D1175" s="342"/>
      <c r="E1175" s="328"/>
      <c r="F1175" s="328"/>
      <c r="G1175" s="328"/>
      <c r="H1175" s="328"/>
      <c r="I1175" s="333"/>
      <c r="J1175" s="333"/>
      <c r="K1175" s="333"/>
      <c r="L1175" s="328"/>
      <c r="M1175" s="328"/>
      <c r="N1175" s="328"/>
      <c r="O1175" s="328"/>
      <c r="P1175" s="328"/>
      <c r="R1175" s="328"/>
      <c r="S1175" s="328"/>
      <c r="T1175" s="328"/>
      <c r="U1175" s="328"/>
      <c r="V1175" s="333"/>
      <c r="W1175" s="328"/>
      <c r="X1175" s="328"/>
      <c r="Y1175" s="328"/>
      <c r="Z1175" s="328"/>
    </row>
    <row r="1176" spans="1:26" s="329" customFormat="1" ht="24" customHeight="1">
      <c r="A1176" s="342"/>
      <c r="B1176" s="342"/>
      <c r="C1176" s="342"/>
      <c r="D1176" s="342"/>
      <c r="E1176" s="328"/>
      <c r="F1176" s="328"/>
      <c r="G1176" s="328"/>
      <c r="H1176" s="328"/>
      <c r="I1176" s="333"/>
      <c r="J1176" s="333"/>
      <c r="K1176" s="333"/>
      <c r="L1176" s="328"/>
      <c r="M1176" s="328"/>
      <c r="N1176" s="328"/>
      <c r="O1176" s="328"/>
      <c r="P1176" s="328"/>
      <c r="R1176" s="328"/>
      <c r="S1176" s="328"/>
      <c r="T1176" s="328"/>
      <c r="U1176" s="328"/>
      <c r="V1176" s="333"/>
      <c r="W1176" s="328"/>
      <c r="X1176" s="328"/>
      <c r="Y1176" s="328"/>
      <c r="Z1176" s="328"/>
    </row>
    <row r="1177" spans="1:26" s="329" customFormat="1" ht="24" customHeight="1">
      <c r="A1177" s="342"/>
      <c r="B1177" s="342"/>
      <c r="C1177" s="342"/>
      <c r="D1177" s="342"/>
      <c r="E1177" s="328"/>
      <c r="F1177" s="328"/>
      <c r="G1177" s="328"/>
      <c r="H1177" s="328"/>
      <c r="I1177" s="333"/>
      <c r="J1177" s="333"/>
      <c r="K1177" s="333"/>
      <c r="L1177" s="328"/>
      <c r="M1177" s="328"/>
      <c r="N1177" s="328"/>
      <c r="O1177" s="328"/>
      <c r="P1177" s="328"/>
      <c r="R1177" s="328"/>
      <c r="S1177" s="328"/>
      <c r="T1177" s="328"/>
      <c r="U1177" s="328"/>
      <c r="V1177" s="333"/>
      <c r="W1177" s="328"/>
      <c r="X1177" s="328"/>
      <c r="Y1177" s="328"/>
      <c r="Z1177" s="328"/>
    </row>
    <row r="1178" spans="1:26" s="329" customFormat="1" ht="24" customHeight="1">
      <c r="A1178" s="342"/>
      <c r="B1178" s="342"/>
      <c r="C1178" s="342"/>
      <c r="D1178" s="342"/>
      <c r="E1178" s="328"/>
      <c r="F1178" s="328"/>
      <c r="G1178" s="328"/>
      <c r="H1178" s="328"/>
      <c r="I1178" s="333"/>
      <c r="J1178" s="333"/>
      <c r="K1178" s="333"/>
      <c r="L1178" s="328"/>
      <c r="M1178" s="328"/>
      <c r="N1178" s="328"/>
      <c r="O1178" s="328"/>
      <c r="P1178" s="328"/>
      <c r="R1178" s="328"/>
      <c r="S1178" s="328"/>
      <c r="T1178" s="328"/>
      <c r="U1178" s="328"/>
      <c r="V1178" s="333"/>
      <c r="W1178" s="328"/>
      <c r="X1178" s="328"/>
      <c r="Y1178" s="328"/>
      <c r="Z1178" s="328"/>
    </row>
    <row r="1179" spans="1:26" s="329" customFormat="1" ht="24" customHeight="1">
      <c r="A1179" s="342"/>
      <c r="B1179" s="342"/>
      <c r="C1179" s="342"/>
      <c r="D1179" s="342"/>
      <c r="E1179" s="328"/>
      <c r="F1179" s="328"/>
      <c r="G1179" s="328"/>
      <c r="H1179" s="328"/>
      <c r="I1179" s="333"/>
      <c r="J1179" s="333"/>
      <c r="K1179" s="333"/>
      <c r="L1179" s="328"/>
      <c r="M1179" s="328"/>
      <c r="N1179" s="328"/>
      <c r="O1179" s="328"/>
      <c r="P1179" s="328"/>
      <c r="R1179" s="328"/>
      <c r="S1179" s="328"/>
      <c r="T1179" s="328"/>
      <c r="U1179" s="328"/>
      <c r="V1179" s="333"/>
      <c r="W1179" s="328"/>
      <c r="X1179" s="328"/>
      <c r="Y1179" s="328"/>
      <c r="Z1179" s="328"/>
    </row>
    <row r="1180" spans="1:26" s="329" customFormat="1" ht="24" customHeight="1">
      <c r="A1180" s="342"/>
      <c r="B1180" s="342"/>
      <c r="C1180" s="342"/>
      <c r="D1180" s="342"/>
      <c r="E1180" s="328"/>
      <c r="F1180" s="328"/>
      <c r="G1180" s="328"/>
      <c r="H1180" s="328"/>
      <c r="I1180" s="333"/>
      <c r="J1180" s="333"/>
      <c r="K1180" s="333"/>
      <c r="L1180" s="328"/>
      <c r="M1180" s="328"/>
      <c r="N1180" s="328"/>
      <c r="O1180" s="328"/>
      <c r="P1180" s="328"/>
      <c r="R1180" s="328"/>
      <c r="S1180" s="328"/>
      <c r="T1180" s="328"/>
      <c r="U1180" s="328"/>
      <c r="V1180" s="333"/>
      <c r="W1180" s="328"/>
      <c r="X1180" s="328"/>
      <c r="Y1180" s="328"/>
      <c r="Z1180" s="328"/>
    </row>
    <row r="1181" spans="1:26" s="329" customFormat="1" ht="24" customHeight="1">
      <c r="A1181" s="342"/>
      <c r="B1181" s="342"/>
      <c r="C1181" s="342"/>
      <c r="D1181" s="342"/>
      <c r="E1181" s="328"/>
      <c r="F1181" s="328"/>
      <c r="G1181" s="328"/>
      <c r="H1181" s="328"/>
      <c r="I1181" s="333"/>
      <c r="J1181" s="333"/>
      <c r="K1181" s="333"/>
      <c r="L1181" s="328"/>
      <c r="M1181" s="328"/>
      <c r="N1181" s="328"/>
      <c r="O1181" s="328"/>
      <c r="P1181" s="328"/>
      <c r="R1181" s="328"/>
      <c r="S1181" s="328"/>
      <c r="T1181" s="328"/>
      <c r="U1181" s="328"/>
      <c r="V1181" s="333"/>
      <c r="W1181" s="328"/>
      <c r="X1181" s="328"/>
      <c r="Y1181" s="328"/>
      <c r="Z1181" s="328"/>
    </row>
    <row r="1182" spans="1:26" s="329" customFormat="1" ht="24" customHeight="1">
      <c r="A1182" s="342"/>
      <c r="B1182" s="342"/>
      <c r="C1182" s="342"/>
      <c r="D1182" s="342"/>
      <c r="E1182" s="328"/>
      <c r="F1182" s="328"/>
      <c r="G1182" s="328"/>
      <c r="H1182" s="328"/>
      <c r="I1182" s="333"/>
      <c r="J1182" s="333"/>
      <c r="K1182" s="333"/>
      <c r="L1182" s="328"/>
      <c r="M1182" s="328"/>
      <c r="N1182" s="328"/>
      <c r="O1182" s="328"/>
      <c r="P1182" s="328"/>
      <c r="R1182" s="328"/>
      <c r="S1182" s="328"/>
      <c r="T1182" s="328"/>
      <c r="U1182" s="328"/>
      <c r="V1182" s="333"/>
      <c r="W1182" s="328"/>
      <c r="X1182" s="328"/>
      <c r="Y1182" s="328"/>
      <c r="Z1182" s="328"/>
    </row>
    <row r="1183" spans="1:26" s="329" customFormat="1" ht="24" customHeight="1">
      <c r="A1183" s="342"/>
      <c r="B1183" s="342"/>
      <c r="C1183" s="342"/>
      <c r="D1183" s="342"/>
      <c r="E1183" s="328"/>
      <c r="F1183" s="328"/>
      <c r="G1183" s="328"/>
      <c r="H1183" s="328"/>
      <c r="I1183" s="333"/>
      <c r="J1183" s="333"/>
      <c r="K1183" s="333"/>
      <c r="L1183" s="328"/>
      <c r="M1183" s="328"/>
      <c r="N1183" s="328"/>
      <c r="O1183" s="328"/>
      <c r="P1183" s="328"/>
      <c r="R1183" s="328"/>
      <c r="S1183" s="328"/>
      <c r="T1183" s="328"/>
      <c r="U1183" s="328"/>
      <c r="V1183" s="333"/>
      <c r="W1183" s="328"/>
      <c r="X1183" s="328"/>
      <c r="Y1183" s="328"/>
      <c r="Z1183" s="328"/>
    </row>
    <row r="1184" spans="1:26" s="329" customFormat="1" ht="24" customHeight="1">
      <c r="A1184" s="342"/>
      <c r="B1184" s="342"/>
      <c r="C1184" s="342"/>
      <c r="D1184" s="342"/>
      <c r="E1184" s="328"/>
      <c r="F1184" s="328"/>
      <c r="G1184" s="328"/>
      <c r="H1184" s="328"/>
      <c r="I1184" s="333"/>
      <c r="J1184" s="333"/>
      <c r="K1184" s="333"/>
      <c r="L1184" s="328"/>
      <c r="M1184" s="328"/>
      <c r="N1184" s="328"/>
      <c r="O1184" s="328"/>
      <c r="P1184" s="328"/>
      <c r="R1184" s="328"/>
      <c r="S1184" s="328"/>
      <c r="T1184" s="328"/>
      <c r="U1184" s="328"/>
      <c r="V1184" s="333"/>
      <c r="W1184" s="328"/>
      <c r="X1184" s="328"/>
      <c r="Y1184" s="328"/>
      <c r="Z1184" s="328"/>
    </row>
    <row r="1185" spans="1:26" s="329" customFormat="1" ht="24" customHeight="1">
      <c r="A1185" s="342"/>
      <c r="B1185" s="342"/>
      <c r="C1185" s="342"/>
      <c r="D1185" s="342"/>
      <c r="E1185" s="328"/>
      <c r="F1185" s="328"/>
      <c r="G1185" s="328"/>
      <c r="H1185" s="328"/>
      <c r="I1185" s="333"/>
      <c r="J1185" s="333"/>
      <c r="K1185" s="333"/>
      <c r="L1185" s="328"/>
      <c r="M1185" s="328"/>
      <c r="N1185" s="328"/>
      <c r="O1185" s="328"/>
      <c r="P1185" s="328"/>
      <c r="R1185" s="328"/>
      <c r="S1185" s="328"/>
      <c r="T1185" s="328"/>
      <c r="U1185" s="328"/>
      <c r="V1185" s="333"/>
      <c r="W1185" s="328"/>
      <c r="X1185" s="328"/>
      <c r="Y1185" s="328"/>
      <c r="Z1185" s="328"/>
    </row>
    <row r="1186" spans="1:26" s="329" customFormat="1" ht="24" customHeight="1">
      <c r="A1186" s="342"/>
      <c r="B1186" s="342"/>
      <c r="C1186" s="342"/>
      <c r="D1186" s="342"/>
      <c r="E1186" s="328"/>
      <c r="F1186" s="328"/>
      <c r="G1186" s="328"/>
      <c r="H1186" s="328"/>
      <c r="I1186" s="333"/>
      <c r="J1186" s="333"/>
      <c r="K1186" s="333"/>
      <c r="L1186" s="328"/>
      <c r="M1186" s="328"/>
      <c r="N1186" s="328"/>
      <c r="O1186" s="328"/>
      <c r="P1186" s="328"/>
      <c r="R1186" s="328"/>
      <c r="S1186" s="328"/>
      <c r="T1186" s="328"/>
      <c r="U1186" s="328"/>
      <c r="V1186" s="333"/>
      <c r="W1186" s="328"/>
      <c r="X1186" s="328"/>
      <c r="Y1186" s="328"/>
      <c r="Z1186" s="328"/>
    </row>
    <row r="1187" spans="1:26" s="329" customFormat="1" ht="24" customHeight="1">
      <c r="A1187" s="342"/>
      <c r="B1187" s="342"/>
      <c r="C1187" s="342"/>
      <c r="D1187" s="342"/>
      <c r="E1187" s="328"/>
      <c r="F1187" s="328"/>
      <c r="G1187" s="328"/>
      <c r="H1187" s="328"/>
      <c r="I1187" s="333"/>
      <c r="J1187" s="333"/>
      <c r="K1187" s="333"/>
      <c r="L1187" s="328"/>
      <c r="M1187" s="328"/>
      <c r="N1187" s="328"/>
      <c r="O1187" s="328"/>
      <c r="P1187" s="328"/>
      <c r="R1187" s="328"/>
      <c r="S1187" s="328"/>
      <c r="T1187" s="328"/>
      <c r="U1187" s="328"/>
      <c r="V1187" s="333"/>
      <c r="W1187" s="328"/>
      <c r="X1187" s="328"/>
      <c r="Y1187" s="328"/>
      <c r="Z1187" s="328"/>
    </row>
    <row r="1188" spans="1:26" s="329" customFormat="1" ht="24" customHeight="1">
      <c r="A1188" s="342"/>
      <c r="B1188" s="342"/>
      <c r="C1188" s="342"/>
      <c r="D1188" s="342"/>
      <c r="E1188" s="328"/>
      <c r="F1188" s="328"/>
      <c r="G1188" s="328"/>
      <c r="H1188" s="328"/>
      <c r="I1188" s="333"/>
      <c r="J1188" s="333"/>
      <c r="K1188" s="333"/>
      <c r="L1188" s="328"/>
      <c r="M1188" s="328"/>
      <c r="N1188" s="328"/>
      <c r="O1188" s="328"/>
      <c r="P1188" s="328"/>
      <c r="R1188" s="328"/>
      <c r="S1188" s="328"/>
      <c r="T1188" s="328"/>
      <c r="U1188" s="328"/>
      <c r="V1188" s="333"/>
      <c r="W1188" s="328"/>
      <c r="X1188" s="328"/>
      <c r="Y1188" s="328"/>
      <c r="Z1188" s="328"/>
    </row>
    <row r="1189" spans="1:26" s="329" customFormat="1" ht="24" customHeight="1">
      <c r="A1189" s="342"/>
      <c r="B1189" s="342"/>
      <c r="C1189" s="342"/>
      <c r="D1189" s="342"/>
      <c r="E1189" s="328"/>
      <c r="F1189" s="328"/>
      <c r="G1189" s="328"/>
      <c r="H1189" s="328"/>
      <c r="I1189" s="333"/>
      <c r="J1189" s="333"/>
      <c r="K1189" s="333"/>
      <c r="L1189" s="328"/>
      <c r="M1189" s="328"/>
      <c r="N1189" s="328"/>
      <c r="O1189" s="328"/>
      <c r="P1189" s="328"/>
      <c r="R1189" s="328"/>
      <c r="S1189" s="328"/>
      <c r="T1189" s="328"/>
      <c r="U1189" s="328"/>
      <c r="V1189" s="333"/>
      <c r="W1189" s="328"/>
      <c r="X1189" s="328"/>
      <c r="Y1189" s="328"/>
      <c r="Z1189" s="328"/>
    </row>
    <row r="1190" spans="1:26" s="329" customFormat="1" ht="24" customHeight="1">
      <c r="A1190" s="342"/>
      <c r="B1190" s="342"/>
      <c r="C1190" s="342"/>
      <c r="D1190" s="342"/>
      <c r="E1190" s="328"/>
      <c r="F1190" s="328"/>
      <c r="G1190" s="328"/>
      <c r="H1190" s="328"/>
      <c r="I1190" s="333"/>
      <c r="J1190" s="333"/>
      <c r="K1190" s="333"/>
      <c r="L1190" s="328"/>
      <c r="M1190" s="328"/>
      <c r="N1190" s="328"/>
      <c r="O1190" s="328"/>
      <c r="P1190" s="328"/>
      <c r="R1190" s="328"/>
      <c r="S1190" s="328"/>
      <c r="T1190" s="328"/>
      <c r="U1190" s="328"/>
      <c r="V1190" s="333"/>
      <c r="W1190" s="328"/>
      <c r="X1190" s="328"/>
      <c r="Y1190" s="328"/>
      <c r="Z1190" s="328"/>
    </row>
    <row r="1191" spans="1:26" s="329" customFormat="1" ht="24" customHeight="1">
      <c r="A1191" s="342"/>
      <c r="B1191" s="342"/>
      <c r="C1191" s="342"/>
      <c r="D1191" s="342"/>
      <c r="E1191" s="328"/>
      <c r="F1191" s="328"/>
      <c r="G1191" s="328"/>
      <c r="H1191" s="328"/>
      <c r="I1191" s="333"/>
      <c r="J1191" s="333"/>
      <c r="K1191" s="333"/>
      <c r="L1191" s="328"/>
      <c r="M1191" s="328"/>
      <c r="N1191" s="328"/>
      <c r="O1191" s="328"/>
      <c r="P1191" s="328"/>
      <c r="R1191" s="328"/>
      <c r="S1191" s="328"/>
      <c r="T1191" s="328"/>
      <c r="U1191" s="328"/>
      <c r="V1191" s="333"/>
      <c r="W1191" s="328"/>
      <c r="X1191" s="328"/>
      <c r="Y1191" s="328"/>
      <c r="Z1191" s="328"/>
    </row>
    <row r="1192" spans="1:26" s="329" customFormat="1" ht="24" customHeight="1">
      <c r="A1192" s="342"/>
      <c r="B1192" s="342"/>
      <c r="C1192" s="342"/>
      <c r="D1192" s="342"/>
      <c r="E1192" s="328"/>
      <c r="F1192" s="328"/>
      <c r="G1192" s="328"/>
      <c r="H1192" s="328"/>
      <c r="I1192" s="333"/>
      <c r="J1192" s="333"/>
      <c r="K1192" s="333"/>
      <c r="L1192" s="328"/>
      <c r="M1192" s="328"/>
      <c r="N1192" s="328"/>
      <c r="O1192" s="328"/>
      <c r="P1192" s="328"/>
      <c r="R1192" s="328"/>
      <c r="S1192" s="328"/>
      <c r="T1192" s="328"/>
      <c r="U1192" s="328"/>
      <c r="V1192" s="333"/>
      <c r="W1192" s="328"/>
      <c r="X1192" s="328"/>
      <c r="Y1192" s="328"/>
      <c r="Z1192" s="328"/>
    </row>
    <row r="1193" spans="1:26" s="329" customFormat="1" ht="24" customHeight="1">
      <c r="A1193" s="342"/>
      <c r="B1193" s="342"/>
      <c r="C1193" s="342"/>
      <c r="D1193" s="342"/>
      <c r="E1193" s="328"/>
      <c r="F1193" s="328"/>
      <c r="G1193" s="328"/>
      <c r="H1193" s="328"/>
      <c r="I1193" s="333"/>
      <c r="J1193" s="333"/>
      <c r="K1193" s="333"/>
      <c r="L1193" s="328"/>
      <c r="M1193" s="328"/>
      <c r="N1193" s="328"/>
      <c r="O1193" s="328"/>
      <c r="P1193" s="328"/>
      <c r="R1193" s="328"/>
      <c r="S1193" s="328"/>
      <c r="T1193" s="328"/>
      <c r="U1193" s="328"/>
      <c r="V1193" s="333"/>
      <c r="W1193" s="328"/>
      <c r="X1193" s="328"/>
      <c r="Y1193" s="328"/>
      <c r="Z1193" s="328"/>
    </row>
    <row r="1194" spans="1:26" s="329" customFormat="1" ht="24" customHeight="1">
      <c r="A1194" s="342"/>
      <c r="B1194" s="342"/>
      <c r="C1194" s="342"/>
      <c r="D1194" s="342"/>
      <c r="E1194" s="328"/>
      <c r="F1194" s="328"/>
      <c r="G1194" s="328"/>
      <c r="H1194" s="328"/>
      <c r="I1194" s="333"/>
      <c r="J1194" s="333"/>
      <c r="K1194" s="333"/>
      <c r="L1194" s="328"/>
      <c r="M1194" s="328"/>
      <c r="N1194" s="328"/>
      <c r="O1194" s="328"/>
      <c r="P1194" s="328"/>
      <c r="R1194" s="328"/>
      <c r="S1194" s="328"/>
      <c r="T1194" s="328"/>
      <c r="U1194" s="328"/>
      <c r="V1194" s="333"/>
      <c r="W1194" s="328"/>
      <c r="X1194" s="328"/>
      <c r="Y1194" s="328"/>
      <c r="Z1194" s="328"/>
    </row>
    <row r="1195" spans="1:26" s="329" customFormat="1" ht="24" customHeight="1">
      <c r="A1195" s="342"/>
      <c r="B1195" s="342"/>
      <c r="C1195" s="342"/>
      <c r="D1195" s="342"/>
      <c r="E1195" s="328"/>
      <c r="F1195" s="328"/>
      <c r="G1195" s="328"/>
      <c r="H1195" s="328"/>
      <c r="I1195" s="333"/>
      <c r="J1195" s="333"/>
      <c r="K1195" s="333"/>
      <c r="L1195" s="328"/>
      <c r="M1195" s="328"/>
      <c r="N1195" s="328"/>
      <c r="O1195" s="328"/>
      <c r="P1195" s="328"/>
      <c r="R1195" s="328"/>
      <c r="S1195" s="328"/>
      <c r="T1195" s="328"/>
      <c r="U1195" s="328"/>
      <c r="V1195" s="333"/>
      <c r="W1195" s="328"/>
      <c r="X1195" s="328"/>
      <c r="Y1195" s="328"/>
      <c r="Z1195" s="328"/>
    </row>
    <row r="1196" spans="1:26" s="329" customFormat="1" ht="24" customHeight="1">
      <c r="A1196" s="342"/>
      <c r="B1196" s="342"/>
      <c r="C1196" s="342"/>
      <c r="D1196" s="342"/>
      <c r="E1196" s="328"/>
      <c r="F1196" s="328"/>
      <c r="G1196" s="328"/>
      <c r="H1196" s="328"/>
      <c r="I1196" s="333"/>
      <c r="J1196" s="333"/>
      <c r="K1196" s="333"/>
      <c r="L1196" s="328"/>
      <c r="M1196" s="328"/>
      <c r="N1196" s="328"/>
      <c r="O1196" s="328"/>
      <c r="P1196" s="328"/>
      <c r="R1196" s="328"/>
      <c r="S1196" s="328"/>
      <c r="T1196" s="328"/>
      <c r="U1196" s="328"/>
      <c r="V1196" s="333"/>
      <c r="W1196" s="328"/>
      <c r="X1196" s="328"/>
      <c r="Y1196" s="328"/>
      <c r="Z1196" s="328"/>
    </row>
    <row r="1197" spans="1:26" s="329" customFormat="1" ht="24" customHeight="1">
      <c r="A1197" s="342"/>
      <c r="B1197" s="342"/>
      <c r="C1197" s="342"/>
      <c r="D1197" s="342"/>
      <c r="E1197" s="328"/>
      <c r="F1197" s="328"/>
      <c r="G1197" s="328"/>
      <c r="H1197" s="328"/>
      <c r="I1197" s="333"/>
      <c r="J1197" s="333"/>
      <c r="K1197" s="333"/>
      <c r="L1197" s="328"/>
      <c r="M1197" s="328"/>
      <c r="N1197" s="328"/>
      <c r="O1197" s="328"/>
      <c r="P1197" s="328"/>
      <c r="R1197" s="328"/>
      <c r="S1197" s="328"/>
      <c r="T1197" s="328"/>
      <c r="U1197" s="328"/>
      <c r="V1197" s="333"/>
      <c r="W1197" s="328"/>
      <c r="X1197" s="328"/>
      <c r="Y1197" s="328"/>
      <c r="Z1197" s="328"/>
    </row>
    <row r="1198" spans="1:26" s="329" customFormat="1" ht="24" customHeight="1">
      <c r="A1198" s="342"/>
      <c r="B1198" s="342"/>
      <c r="C1198" s="342"/>
      <c r="D1198" s="342"/>
      <c r="E1198" s="328"/>
      <c r="F1198" s="328"/>
      <c r="G1198" s="328"/>
      <c r="H1198" s="328"/>
      <c r="I1198" s="333"/>
      <c r="J1198" s="333"/>
      <c r="K1198" s="333"/>
      <c r="L1198" s="328"/>
      <c r="M1198" s="328"/>
      <c r="N1198" s="328"/>
      <c r="O1198" s="328"/>
      <c r="P1198" s="328"/>
      <c r="R1198" s="328"/>
      <c r="S1198" s="328"/>
      <c r="T1198" s="328"/>
      <c r="U1198" s="328"/>
      <c r="V1198" s="333"/>
      <c r="W1198" s="328"/>
      <c r="X1198" s="328"/>
      <c r="Y1198" s="328"/>
      <c r="Z1198" s="328"/>
    </row>
    <row r="1199" spans="1:26" s="329" customFormat="1" ht="24" customHeight="1">
      <c r="A1199" s="342"/>
      <c r="B1199" s="342"/>
      <c r="C1199" s="342"/>
      <c r="D1199" s="342"/>
      <c r="E1199" s="328"/>
      <c r="F1199" s="328"/>
      <c r="G1199" s="328"/>
      <c r="H1199" s="328"/>
      <c r="I1199" s="333"/>
      <c r="J1199" s="333"/>
      <c r="K1199" s="333"/>
      <c r="L1199" s="328"/>
      <c r="M1199" s="328"/>
      <c r="N1199" s="328"/>
      <c r="O1199" s="328"/>
      <c r="P1199" s="328"/>
      <c r="R1199" s="328"/>
      <c r="S1199" s="328"/>
      <c r="T1199" s="328"/>
      <c r="U1199" s="328"/>
      <c r="V1199" s="333"/>
      <c r="W1199" s="328"/>
      <c r="X1199" s="328"/>
      <c r="Y1199" s="328"/>
      <c r="Z1199" s="328"/>
    </row>
    <row r="1200" spans="1:26" s="329" customFormat="1" ht="24" customHeight="1">
      <c r="A1200" s="342"/>
      <c r="B1200" s="342"/>
      <c r="C1200" s="342"/>
      <c r="D1200" s="342"/>
      <c r="E1200" s="328"/>
      <c r="F1200" s="328"/>
      <c r="G1200" s="328"/>
      <c r="H1200" s="328"/>
      <c r="I1200" s="333"/>
      <c r="J1200" s="333"/>
      <c r="K1200" s="333"/>
      <c r="L1200" s="328"/>
      <c r="M1200" s="328"/>
      <c r="N1200" s="328"/>
      <c r="O1200" s="328"/>
      <c r="P1200" s="328"/>
      <c r="R1200" s="328"/>
      <c r="S1200" s="328"/>
      <c r="T1200" s="328"/>
      <c r="U1200" s="328"/>
      <c r="V1200" s="333"/>
      <c r="W1200" s="328"/>
      <c r="X1200" s="328"/>
      <c r="Y1200" s="328"/>
      <c r="Z1200" s="328"/>
    </row>
    <row r="1201" spans="1:26" s="329" customFormat="1" ht="24" customHeight="1">
      <c r="A1201" s="342"/>
      <c r="B1201" s="342"/>
      <c r="C1201" s="342"/>
      <c r="D1201" s="342"/>
      <c r="E1201" s="328"/>
      <c r="F1201" s="328"/>
      <c r="G1201" s="328"/>
      <c r="H1201" s="328"/>
      <c r="I1201" s="333"/>
      <c r="J1201" s="333"/>
      <c r="K1201" s="333"/>
      <c r="L1201" s="328"/>
      <c r="M1201" s="328"/>
      <c r="N1201" s="328"/>
      <c r="O1201" s="328"/>
      <c r="P1201" s="328"/>
      <c r="R1201" s="328"/>
      <c r="S1201" s="328"/>
      <c r="T1201" s="328"/>
      <c r="U1201" s="328"/>
      <c r="V1201" s="333"/>
      <c r="W1201" s="328"/>
      <c r="X1201" s="328"/>
      <c r="Y1201" s="328"/>
      <c r="Z1201" s="328"/>
    </row>
    <row r="1202" spans="1:26" s="329" customFormat="1" ht="24" customHeight="1">
      <c r="A1202" s="342"/>
      <c r="B1202" s="342"/>
      <c r="C1202" s="342"/>
      <c r="D1202" s="342"/>
      <c r="E1202" s="328"/>
      <c r="F1202" s="328"/>
      <c r="G1202" s="328"/>
      <c r="H1202" s="328"/>
      <c r="I1202" s="333"/>
      <c r="J1202" s="333"/>
      <c r="K1202" s="333"/>
      <c r="L1202" s="328"/>
      <c r="M1202" s="328"/>
      <c r="N1202" s="328"/>
      <c r="O1202" s="328"/>
      <c r="P1202" s="328"/>
      <c r="R1202" s="328"/>
      <c r="S1202" s="328"/>
      <c r="T1202" s="328"/>
      <c r="U1202" s="328"/>
      <c r="V1202" s="333"/>
      <c r="W1202" s="328"/>
      <c r="X1202" s="328"/>
      <c r="Y1202" s="328"/>
      <c r="Z1202" s="328"/>
    </row>
    <row r="1203" spans="1:26" s="329" customFormat="1" ht="24" customHeight="1">
      <c r="A1203" s="342"/>
      <c r="B1203" s="342"/>
      <c r="C1203" s="342"/>
      <c r="D1203" s="342"/>
      <c r="E1203" s="328"/>
      <c r="F1203" s="328"/>
      <c r="G1203" s="328"/>
      <c r="H1203" s="328"/>
      <c r="I1203" s="333"/>
      <c r="J1203" s="333"/>
      <c r="K1203" s="333"/>
      <c r="L1203" s="328"/>
      <c r="M1203" s="328"/>
      <c r="N1203" s="328"/>
      <c r="O1203" s="328"/>
      <c r="P1203" s="328"/>
      <c r="R1203" s="328"/>
      <c r="S1203" s="328"/>
      <c r="T1203" s="328"/>
      <c r="U1203" s="328"/>
      <c r="V1203" s="333"/>
      <c r="W1203" s="328"/>
      <c r="X1203" s="328"/>
      <c r="Y1203" s="328"/>
      <c r="Z1203" s="328"/>
    </row>
    <row r="1204" spans="1:26" s="329" customFormat="1" ht="24" customHeight="1">
      <c r="A1204" s="342"/>
      <c r="B1204" s="342"/>
      <c r="C1204" s="342"/>
      <c r="D1204" s="342"/>
      <c r="E1204" s="328"/>
      <c r="F1204" s="328"/>
      <c r="G1204" s="328"/>
      <c r="H1204" s="328"/>
      <c r="I1204" s="333"/>
      <c r="J1204" s="333"/>
      <c r="K1204" s="333"/>
      <c r="L1204" s="328"/>
      <c r="M1204" s="328"/>
      <c r="N1204" s="328"/>
      <c r="O1204" s="328"/>
      <c r="P1204" s="328"/>
      <c r="R1204" s="328"/>
      <c r="S1204" s="328"/>
      <c r="T1204" s="328"/>
      <c r="U1204" s="328"/>
      <c r="V1204" s="333"/>
      <c r="W1204" s="328"/>
      <c r="X1204" s="328"/>
      <c r="Y1204" s="328"/>
      <c r="Z1204" s="328"/>
    </row>
    <row r="1205" spans="1:26" s="329" customFormat="1" ht="24" customHeight="1">
      <c r="A1205" s="342"/>
      <c r="B1205" s="342"/>
      <c r="C1205" s="342"/>
      <c r="D1205" s="342"/>
      <c r="E1205" s="328"/>
      <c r="F1205" s="328"/>
      <c r="G1205" s="328"/>
      <c r="H1205" s="328"/>
      <c r="I1205" s="333"/>
      <c r="J1205" s="333"/>
      <c r="K1205" s="333"/>
      <c r="L1205" s="328"/>
      <c r="M1205" s="328"/>
      <c r="N1205" s="328"/>
      <c r="O1205" s="328"/>
      <c r="P1205" s="328"/>
      <c r="R1205" s="328"/>
      <c r="S1205" s="328"/>
      <c r="T1205" s="328"/>
      <c r="U1205" s="328"/>
      <c r="V1205" s="333"/>
      <c r="W1205" s="328"/>
      <c r="X1205" s="328"/>
      <c r="Y1205" s="328"/>
      <c r="Z1205" s="328"/>
    </row>
    <row r="1206" spans="1:26" s="329" customFormat="1" ht="24" customHeight="1">
      <c r="A1206" s="342"/>
      <c r="B1206" s="342"/>
      <c r="C1206" s="342"/>
      <c r="D1206" s="342"/>
      <c r="E1206" s="328"/>
      <c r="F1206" s="328"/>
      <c r="G1206" s="328"/>
      <c r="H1206" s="328"/>
      <c r="I1206" s="333"/>
      <c r="J1206" s="333"/>
      <c r="K1206" s="333"/>
      <c r="L1206" s="328"/>
      <c r="M1206" s="328"/>
      <c r="N1206" s="328"/>
      <c r="O1206" s="328"/>
      <c r="P1206" s="328"/>
      <c r="R1206" s="328"/>
      <c r="S1206" s="328"/>
      <c r="T1206" s="328"/>
      <c r="U1206" s="328"/>
      <c r="V1206" s="333"/>
      <c r="W1206" s="328"/>
      <c r="X1206" s="328"/>
      <c r="Y1206" s="328"/>
      <c r="Z1206" s="328"/>
    </row>
    <row r="1207" spans="1:26" s="329" customFormat="1" ht="24" customHeight="1">
      <c r="A1207" s="342"/>
      <c r="B1207" s="342"/>
      <c r="C1207" s="342"/>
      <c r="D1207" s="342"/>
      <c r="E1207" s="328"/>
      <c r="F1207" s="328"/>
      <c r="G1207" s="328"/>
      <c r="H1207" s="328"/>
      <c r="I1207" s="333"/>
      <c r="J1207" s="333"/>
      <c r="K1207" s="333"/>
      <c r="L1207" s="328"/>
      <c r="M1207" s="328"/>
      <c r="N1207" s="328"/>
      <c r="O1207" s="328"/>
      <c r="P1207" s="328"/>
      <c r="R1207" s="328"/>
      <c r="S1207" s="328"/>
      <c r="T1207" s="328"/>
      <c r="U1207" s="328"/>
      <c r="V1207" s="333"/>
      <c r="W1207" s="328"/>
      <c r="X1207" s="328"/>
      <c r="Y1207" s="328"/>
      <c r="Z1207" s="328"/>
    </row>
    <row r="1208" spans="1:26" s="329" customFormat="1" ht="24" customHeight="1">
      <c r="A1208" s="342"/>
      <c r="B1208" s="342"/>
      <c r="C1208" s="342"/>
      <c r="D1208" s="342"/>
      <c r="E1208" s="328"/>
      <c r="F1208" s="328"/>
      <c r="G1208" s="328"/>
      <c r="H1208" s="328"/>
      <c r="I1208" s="333"/>
      <c r="J1208" s="333"/>
      <c r="K1208" s="333"/>
      <c r="L1208" s="328"/>
      <c r="M1208" s="328"/>
      <c r="N1208" s="328"/>
      <c r="O1208" s="328"/>
      <c r="P1208" s="328"/>
      <c r="R1208" s="328"/>
      <c r="S1208" s="328"/>
      <c r="T1208" s="328"/>
      <c r="U1208" s="328"/>
      <c r="V1208" s="333"/>
      <c r="W1208" s="328"/>
      <c r="X1208" s="328"/>
      <c r="Y1208" s="328"/>
      <c r="Z1208" s="328"/>
    </row>
    <row r="1209" spans="1:26" s="329" customFormat="1" ht="24" customHeight="1">
      <c r="A1209" s="342"/>
      <c r="B1209" s="342"/>
      <c r="C1209" s="342"/>
      <c r="D1209" s="342"/>
      <c r="E1209" s="328"/>
      <c r="F1209" s="328"/>
      <c r="G1209" s="328"/>
      <c r="H1209" s="328"/>
      <c r="I1209" s="333"/>
      <c r="J1209" s="333"/>
      <c r="K1209" s="333"/>
      <c r="L1209" s="328"/>
      <c r="M1209" s="328"/>
      <c r="N1209" s="328"/>
      <c r="O1209" s="328"/>
      <c r="P1209" s="328"/>
      <c r="R1209" s="328"/>
      <c r="S1209" s="328"/>
      <c r="T1209" s="328"/>
      <c r="U1209" s="328"/>
      <c r="V1209" s="333"/>
      <c r="W1209" s="328"/>
      <c r="X1209" s="328"/>
      <c r="Y1209" s="328"/>
      <c r="Z1209" s="328"/>
    </row>
    <row r="1210" spans="1:26" s="329" customFormat="1" ht="24" customHeight="1">
      <c r="A1210" s="342"/>
      <c r="B1210" s="342"/>
      <c r="C1210" s="342"/>
      <c r="D1210" s="342"/>
      <c r="E1210" s="328"/>
      <c r="F1210" s="328"/>
      <c r="G1210" s="328"/>
      <c r="H1210" s="328"/>
      <c r="I1210" s="333"/>
      <c r="J1210" s="333"/>
      <c r="K1210" s="333"/>
      <c r="L1210" s="328"/>
      <c r="M1210" s="328"/>
      <c r="N1210" s="328"/>
      <c r="O1210" s="328"/>
      <c r="P1210" s="328"/>
      <c r="R1210" s="328"/>
      <c r="S1210" s="328"/>
      <c r="T1210" s="328"/>
      <c r="U1210" s="328"/>
      <c r="V1210" s="333"/>
      <c r="W1210" s="328"/>
      <c r="X1210" s="328"/>
      <c r="Y1210" s="328"/>
      <c r="Z1210" s="328"/>
    </row>
    <row r="1211" spans="1:26" s="329" customFormat="1" ht="24" customHeight="1">
      <c r="A1211" s="342"/>
      <c r="B1211" s="342"/>
      <c r="C1211" s="342"/>
      <c r="D1211" s="342"/>
      <c r="E1211" s="328"/>
      <c r="F1211" s="328"/>
      <c r="G1211" s="328"/>
      <c r="H1211" s="328"/>
      <c r="I1211" s="333"/>
      <c r="J1211" s="333"/>
      <c r="K1211" s="333"/>
      <c r="L1211" s="328"/>
      <c r="M1211" s="328"/>
      <c r="N1211" s="328"/>
      <c r="O1211" s="328"/>
      <c r="P1211" s="328"/>
      <c r="R1211" s="328"/>
      <c r="S1211" s="328"/>
      <c r="T1211" s="328"/>
      <c r="U1211" s="328"/>
      <c r="V1211" s="333"/>
      <c r="W1211" s="328"/>
      <c r="X1211" s="328"/>
      <c r="Y1211" s="328"/>
      <c r="Z1211" s="328"/>
    </row>
    <row r="1212" spans="1:26" s="329" customFormat="1" ht="24" customHeight="1">
      <c r="A1212" s="342"/>
      <c r="B1212" s="342"/>
      <c r="C1212" s="342"/>
      <c r="D1212" s="342"/>
      <c r="E1212" s="328"/>
      <c r="F1212" s="328"/>
      <c r="G1212" s="328"/>
      <c r="H1212" s="328"/>
      <c r="I1212" s="333"/>
      <c r="J1212" s="333"/>
      <c r="K1212" s="333"/>
      <c r="L1212" s="328"/>
      <c r="M1212" s="328"/>
      <c r="N1212" s="328"/>
      <c r="O1212" s="328"/>
      <c r="P1212" s="328"/>
      <c r="R1212" s="328"/>
      <c r="S1212" s="328"/>
      <c r="T1212" s="328"/>
      <c r="U1212" s="328"/>
      <c r="V1212" s="333"/>
      <c r="W1212" s="328"/>
      <c r="X1212" s="328"/>
      <c r="Y1212" s="328"/>
      <c r="Z1212" s="328"/>
    </row>
    <row r="1213" spans="1:26" s="329" customFormat="1" ht="24" customHeight="1">
      <c r="A1213" s="342"/>
      <c r="B1213" s="342"/>
      <c r="C1213" s="342"/>
      <c r="D1213" s="342"/>
      <c r="E1213" s="328"/>
      <c r="F1213" s="328"/>
      <c r="G1213" s="328"/>
      <c r="H1213" s="328"/>
      <c r="I1213" s="333"/>
      <c r="J1213" s="333"/>
      <c r="K1213" s="333"/>
      <c r="L1213" s="328"/>
      <c r="M1213" s="328"/>
      <c r="N1213" s="328"/>
      <c r="O1213" s="328"/>
      <c r="P1213" s="328"/>
      <c r="R1213" s="328"/>
      <c r="S1213" s="328"/>
      <c r="T1213" s="328"/>
      <c r="U1213" s="328"/>
      <c r="V1213" s="333"/>
      <c r="W1213" s="328"/>
      <c r="X1213" s="328"/>
      <c r="Y1213" s="328"/>
      <c r="Z1213" s="328"/>
    </row>
    <row r="1214" spans="1:26" s="329" customFormat="1" ht="24" customHeight="1">
      <c r="A1214" s="342"/>
      <c r="B1214" s="342"/>
      <c r="C1214" s="342"/>
      <c r="D1214" s="342"/>
      <c r="E1214" s="328"/>
      <c r="F1214" s="328"/>
      <c r="G1214" s="328"/>
      <c r="H1214" s="328"/>
      <c r="I1214" s="333"/>
      <c r="J1214" s="333"/>
      <c r="K1214" s="333"/>
      <c r="L1214" s="328"/>
      <c r="M1214" s="328"/>
      <c r="N1214" s="328"/>
      <c r="O1214" s="328"/>
      <c r="P1214" s="328"/>
      <c r="R1214" s="328"/>
      <c r="S1214" s="328"/>
      <c r="T1214" s="328"/>
      <c r="U1214" s="328"/>
      <c r="V1214" s="333"/>
      <c r="W1214" s="328"/>
      <c r="X1214" s="328"/>
      <c r="Y1214" s="328"/>
      <c r="Z1214" s="328"/>
    </row>
    <row r="1215" spans="1:26" s="329" customFormat="1" ht="24" customHeight="1">
      <c r="A1215" s="342"/>
      <c r="B1215" s="342"/>
      <c r="C1215" s="342"/>
      <c r="D1215" s="342"/>
      <c r="E1215" s="328"/>
      <c r="F1215" s="328"/>
      <c r="G1215" s="328"/>
      <c r="H1215" s="328"/>
      <c r="I1215" s="333"/>
      <c r="J1215" s="333"/>
      <c r="K1215" s="333"/>
      <c r="L1215" s="328"/>
      <c r="M1215" s="328"/>
      <c r="N1215" s="328"/>
      <c r="O1215" s="328"/>
      <c r="P1215" s="328"/>
      <c r="R1215" s="328"/>
      <c r="S1215" s="328"/>
      <c r="T1215" s="328"/>
      <c r="U1215" s="328"/>
      <c r="V1215" s="333"/>
      <c r="W1215" s="328"/>
      <c r="X1215" s="328"/>
      <c r="Y1215" s="328"/>
      <c r="Z1215" s="328"/>
    </row>
    <row r="1216" spans="1:26" s="329" customFormat="1" ht="24" customHeight="1">
      <c r="A1216" s="342"/>
      <c r="B1216" s="342"/>
      <c r="C1216" s="342"/>
      <c r="D1216" s="342"/>
      <c r="E1216" s="328"/>
      <c r="F1216" s="328"/>
      <c r="G1216" s="328"/>
      <c r="H1216" s="328"/>
      <c r="I1216" s="333"/>
      <c r="J1216" s="333"/>
      <c r="K1216" s="333"/>
      <c r="L1216" s="328"/>
      <c r="M1216" s="328"/>
      <c r="N1216" s="328"/>
      <c r="O1216" s="328"/>
      <c r="P1216" s="328"/>
      <c r="R1216" s="328"/>
      <c r="S1216" s="328"/>
      <c r="T1216" s="328"/>
      <c r="U1216" s="328"/>
      <c r="V1216" s="333"/>
      <c r="W1216" s="328"/>
      <c r="X1216" s="328"/>
      <c r="Y1216" s="328"/>
      <c r="Z1216" s="328"/>
    </row>
    <row r="1217" spans="1:26" s="329" customFormat="1" ht="24" customHeight="1">
      <c r="A1217" s="342"/>
      <c r="B1217" s="342"/>
      <c r="C1217" s="342"/>
      <c r="D1217" s="342"/>
      <c r="E1217" s="328"/>
      <c r="F1217" s="328"/>
      <c r="G1217" s="328"/>
      <c r="H1217" s="328"/>
      <c r="I1217" s="333"/>
      <c r="J1217" s="333"/>
      <c r="K1217" s="333"/>
      <c r="L1217" s="328"/>
      <c r="M1217" s="328"/>
      <c r="N1217" s="328"/>
      <c r="O1217" s="328"/>
      <c r="P1217" s="328"/>
      <c r="R1217" s="328"/>
      <c r="S1217" s="328"/>
      <c r="T1217" s="328"/>
      <c r="U1217" s="328"/>
      <c r="V1217" s="333"/>
      <c r="W1217" s="328"/>
      <c r="X1217" s="328"/>
      <c r="Y1217" s="328"/>
      <c r="Z1217" s="328"/>
    </row>
    <row r="1218" spans="1:26" s="329" customFormat="1" ht="24" customHeight="1">
      <c r="A1218" s="342"/>
      <c r="B1218" s="342"/>
      <c r="C1218" s="342"/>
      <c r="D1218" s="342"/>
      <c r="E1218" s="328"/>
      <c r="F1218" s="328"/>
      <c r="G1218" s="328"/>
      <c r="H1218" s="328"/>
      <c r="I1218" s="333"/>
      <c r="J1218" s="333"/>
      <c r="K1218" s="333"/>
      <c r="L1218" s="328"/>
      <c r="M1218" s="328"/>
      <c r="N1218" s="328"/>
      <c r="O1218" s="328"/>
      <c r="P1218" s="328"/>
      <c r="R1218" s="328"/>
      <c r="S1218" s="328"/>
      <c r="T1218" s="328"/>
      <c r="U1218" s="328"/>
      <c r="V1218" s="333"/>
      <c r="W1218" s="328"/>
      <c r="X1218" s="328"/>
      <c r="Y1218" s="328"/>
      <c r="Z1218" s="328"/>
    </row>
    <row r="1219" spans="1:26" s="329" customFormat="1" ht="24" customHeight="1">
      <c r="A1219" s="342"/>
      <c r="B1219" s="342"/>
      <c r="C1219" s="342"/>
      <c r="D1219" s="342"/>
      <c r="E1219" s="328"/>
      <c r="F1219" s="328"/>
      <c r="G1219" s="328"/>
      <c r="H1219" s="328"/>
      <c r="I1219" s="333"/>
      <c r="J1219" s="333"/>
      <c r="K1219" s="333"/>
      <c r="L1219" s="328"/>
      <c r="M1219" s="328"/>
      <c r="N1219" s="328"/>
      <c r="O1219" s="328"/>
      <c r="P1219" s="328"/>
      <c r="R1219" s="328"/>
      <c r="S1219" s="328"/>
      <c r="T1219" s="328"/>
      <c r="U1219" s="328"/>
      <c r="V1219" s="333"/>
      <c r="W1219" s="328"/>
      <c r="X1219" s="328"/>
      <c r="Y1219" s="328"/>
      <c r="Z1219" s="328"/>
    </row>
    <row r="1220" spans="1:26" s="329" customFormat="1" ht="24" customHeight="1">
      <c r="A1220" s="342"/>
      <c r="B1220" s="342"/>
      <c r="C1220" s="342"/>
      <c r="D1220" s="342"/>
      <c r="E1220" s="328"/>
      <c r="F1220" s="328"/>
      <c r="G1220" s="328"/>
      <c r="H1220" s="328"/>
      <c r="I1220" s="333"/>
      <c r="J1220" s="333"/>
      <c r="K1220" s="333"/>
      <c r="L1220" s="328"/>
      <c r="M1220" s="328"/>
      <c r="N1220" s="328"/>
      <c r="O1220" s="328"/>
      <c r="P1220" s="328"/>
      <c r="R1220" s="328"/>
      <c r="S1220" s="328"/>
      <c r="T1220" s="328"/>
      <c r="U1220" s="328"/>
      <c r="V1220" s="333"/>
      <c r="W1220" s="328"/>
      <c r="X1220" s="328"/>
      <c r="Y1220" s="328"/>
      <c r="Z1220" s="328"/>
    </row>
    <row r="1221" spans="1:26" s="329" customFormat="1" ht="24" customHeight="1">
      <c r="A1221" s="342"/>
      <c r="B1221" s="342"/>
      <c r="C1221" s="342"/>
      <c r="D1221" s="342"/>
      <c r="E1221" s="328"/>
      <c r="F1221" s="328"/>
      <c r="G1221" s="328"/>
      <c r="H1221" s="328"/>
      <c r="I1221" s="333"/>
      <c r="J1221" s="333"/>
      <c r="K1221" s="333"/>
      <c r="L1221" s="328"/>
      <c r="M1221" s="328"/>
      <c r="N1221" s="328"/>
      <c r="O1221" s="328"/>
      <c r="P1221" s="328"/>
      <c r="R1221" s="328"/>
      <c r="S1221" s="328"/>
      <c r="T1221" s="328"/>
      <c r="U1221" s="328"/>
      <c r="V1221" s="333"/>
      <c r="W1221" s="328"/>
      <c r="X1221" s="328"/>
      <c r="Y1221" s="328"/>
      <c r="Z1221" s="328"/>
    </row>
    <row r="1222" spans="1:26" s="329" customFormat="1" ht="24" customHeight="1">
      <c r="A1222" s="342"/>
      <c r="B1222" s="342"/>
      <c r="C1222" s="342"/>
      <c r="D1222" s="342"/>
      <c r="E1222" s="328"/>
      <c r="F1222" s="328"/>
      <c r="G1222" s="328"/>
      <c r="H1222" s="328"/>
      <c r="I1222" s="333"/>
      <c r="J1222" s="333"/>
      <c r="K1222" s="333"/>
      <c r="L1222" s="328"/>
      <c r="M1222" s="328"/>
      <c r="N1222" s="328"/>
      <c r="O1222" s="328"/>
      <c r="P1222" s="328"/>
      <c r="R1222" s="328"/>
      <c r="S1222" s="328"/>
      <c r="T1222" s="328"/>
      <c r="U1222" s="328"/>
      <c r="V1222" s="333"/>
      <c r="W1222" s="328"/>
      <c r="X1222" s="328"/>
      <c r="Y1222" s="328"/>
      <c r="Z1222" s="328"/>
    </row>
    <row r="1223" spans="1:26" s="329" customFormat="1" ht="24" customHeight="1">
      <c r="A1223" s="342"/>
      <c r="B1223" s="342"/>
      <c r="C1223" s="342"/>
      <c r="D1223" s="342"/>
      <c r="E1223" s="328"/>
      <c r="F1223" s="328"/>
      <c r="G1223" s="328"/>
      <c r="H1223" s="328"/>
      <c r="I1223" s="333"/>
      <c r="J1223" s="333"/>
      <c r="K1223" s="333"/>
      <c r="L1223" s="328"/>
      <c r="M1223" s="328"/>
      <c r="N1223" s="328"/>
      <c r="O1223" s="328"/>
      <c r="P1223" s="328"/>
      <c r="R1223" s="328"/>
      <c r="S1223" s="328"/>
      <c r="T1223" s="328"/>
      <c r="U1223" s="328"/>
      <c r="V1223" s="333"/>
      <c r="W1223" s="328"/>
      <c r="X1223" s="328"/>
      <c r="Y1223" s="328"/>
      <c r="Z1223" s="328"/>
    </row>
    <row r="1224" spans="1:26" s="329" customFormat="1" ht="24" customHeight="1">
      <c r="A1224" s="342"/>
      <c r="B1224" s="342"/>
      <c r="C1224" s="342"/>
      <c r="D1224" s="342"/>
      <c r="E1224" s="328"/>
      <c r="F1224" s="328"/>
      <c r="G1224" s="328"/>
      <c r="H1224" s="328"/>
      <c r="I1224" s="333"/>
      <c r="J1224" s="333"/>
      <c r="K1224" s="333"/>
      <c r="L1224" s="328"/>
      <c r="M1224" s="328"/>
      <c r="N1224" s="328"/>
      <c r="O1224" s="328"/>
      <c r="P1224" s="328"/>
      <c r="R1224" s="328"/>
      <c r="S1224" s="328"/>
      <c r="T1224" s="328"/>
      <c r="U1224" s="328"/>
      <c r="V1224" s="333"/>
      <c r="W1224" s="328"/>
      <c r="X1224" s="328"/>
      <c r="Y1224" s="328"/>
      <c r="Z1224" s="328"/>
    </row>
    <row r="1225" spans="1:26" s="329" customFormat="1" ht="24" customHeight="1">
      <c r="A1225" s="342"/>
      <c r="B1225" s="342"/>
      <c r="C1225" s="342"/>
      <c r="D1225" s="342"/>
      <c r="E1225" s="328"/>
      <c r="F1225" s="328"/>
      <c r="G1225" s="328"/>
      <c r="H1225" s="328"/>
      <c r="I1225" s="333"/>
      <c r="J1225" s="333"/>
      <c r="K1225" s="333"/>
      <c r="L1225" s="328"/>
      <c r="M1225" s="328"/>
      <c r="N1225" s="328"/>
      <c r="O1225" s="328"/>
      <c r="P1225" s="328"/>
      <c r="R1225" s="328"/>
      <c r="S1225" s="328"/>
      <c r="T1225" s="328"/>
      <c r="U1225" s="328"/>
      <c r="V1225" s="333"/>
      <c r="W1225" s="328"/>
      <c r="X1225" s="328"/>
      <c r="Y1225" s="328"/>
      <c r="Z1225" s="328"/>
    </row>
    <row r="1226" spans="1:26" s="329" customFormat="1" ht="24" customHeight="1">
      <c r="A1226" s="342"/>
      <c r="B1226" s="342"/>
      <c r="C1226" s="342"/>
      <c r="D1226" s="342"/>
      <c r="E1226" s="328"/>
      <c r="F1226" s="328"/>
      <c r="G1226" s="328"/>
      <c r="H1226" s="328"/>
      <c r="I1226" s="333"/>
      <c r="J1226" s="333"/>
      <c r="K1226" s="333"/>
      <c r="L1226" s="328"/>
      <c r="M1226" s="328"/>
      <c r="N1226" s="328"/>
      <c r="O1226" s="328"/>
      <c r="P1226" s="328"/>
      <c r="R1226" s="328"/>
      <c r="S1226" s="328"/>
      <c r="T1226" s="328"/>
      <c r="U1226" s="328"/>
      <c r="V1226" s="333"/>
      <c r="W1226" s="328"/>
      <c r="X1226" s="328"/>
      <c r="Y1226" s="328"/>
      <c r="Z1226" s="328"/>
    </row>
    <row r="1227" spans="1:26" s="329" customFormat="1" ht="24" customHeight="1">
      <c r="A1227" s="342"/>
      <c r="B1227" s="342"/>
      <c r="C1227" s="342"/>
      <c r="D1227" s="342"/>
      <c r="E1227" s="328"/>
      <c r="F1227" s="328"/>
      <c r="G1227" s="328"/>
      <c r="H1227" s="328"/>
      <c r="I1227" s="333"/>
      <c r="J1227" s="333"/>
      <c r="K1227" s="333"/>
      <c r="L1227" s="328"/>
      <c r="M1227" s="328"/>
      <c r="N1227" s="328"/>
      <c r="O1227" s="328"/>
      <c r="P1227" s="328"/>
      <c r="R1227" s="328"/>
      <c r="S1227" s="328"/>
      <c r="T1227" s="328"/>
      <c r="U1227" s="328"/>
      <c r="V1227" s="333"/>
      <c r="W1227" s="328"/>
      <c r="X1227" s="328"/>
      <c r="Y1227" s="328"/>
      <c r="Z1227" s="328"/>
    </row>
    <row r="1228" spans="1:26" s="329" customFormat="1" ht="24" customHeight="1">
      <c r="A1228" s="342"/>
      <c r="B1228" s="342"/>
      <c r="C1228" s="342"/>
      <c r="D1228" s="342"/>
      <c r="E1228" s="328"/>
      <c r="F1228" s="328"/>
      <c r="G1228" s="328"/>
      <c r="H1228" s="328"/>
      <c r="I1228" s="333"/>
      <c r="J1228" s="333"/>
      <c r="K1228" s="333"/>
      <c r="L1228" s="328"/>
      <c r="M1228" s="328"/>
      <c r="N1228" s="328"/>
      <c r="O1228" s="328"/>
      <c r="P1228" s="328"/>
      <c r="R1228" s="328"/>
      <c r="S1228" s="328"/>
      <c r="T1228" s="328"/>
      <c r="U1228" s="328"/>
      <c r="V1228" s="333"/>
      <c r="W1228" s="328"/>
      <c r="X1228" s="328"/>
      <c r="Y1228" s="328"/>
      <c r="Z1228" s="328"/>
    </row>
    <row r="1229" spans="1:26" s="329" customFormat="1" ht="24" customHeight="1">
      <c r="A1229" s="342"/>
      <c r="B1229" s="342"/>
      <c r="C1229" s="342"/>
      <c r="D1229" s="342"/>
      <c r="E1229" s="328"/>
      <c r="F1229" s="328"/>
      <c r="G1229" s="328"/>
      <c r="H1229" s="328"/>
      <c r="I1229" s="333"/>
      <c r="J1229" s="333"/>
      <c r="K1229" s="333"/>
      <c r="L1229" s="328"/>
      <c r="M1229" s="328"/>
      <c r="N1229" s="328"/>
      <c r="O1229" s="328"/>
      <c r="P1229" s="328"/>
      <c r="R1229" s="328"/>
      <c r="S1229" s="328"/>
      <c r="T1229" s="328"/>
      <c r="U1229" s="328"/>
      <c r="V1229" s="333"/>
      <c r="W1229" s="328"/>
      <c r="X1229" s="328"/>
      <c r="Y1229" s="328"/>
      <c r="Z1229" s="328"/>
    </row>
    <row r="1230" spans="1:26" s="329" customFormat="1" ht="24" customHeight="1">
      <c r="A1230" s="342"/>
      <c r="B1230" s="342"/>
      <c r="C1230" s="342"/>
      <c r="D1230" s="342"/>
      <c r="E1230" s="328"/>
      <c r="F1230" s="328"/>
      <c r="G1230" s="328"/>
      <c r="H1230" s="328"/>
      <c r="I1230" s="333"/>
      <c r="J1230" s="333"/>
      <c r="K1230" s="333"/>
      <c r="L1230" s="328"/>
      <c r="M1230" s="328"/>
      <c r="N1230" s="328"/>
      <c r="O1230" s="328"/>
      <c r="P1230" s="328"/>
      <c r="R1230" s="328"/>
      <c r="S1230" s="328"/>
      <c r="T1230" s="328"/>
      <c r="U1230" s="328"/>
      <c r="V1230" s="333"/>
      <c r="W1230" s="328"/>
      <c r="X1230" s="328"/>
      <c r="Y1230" s="328"/>
      <c r="Z1230" s="328"/>
    </row>
    <row r="1231" spans="1:26" s="329" customFormat="1" ht="24" customHeight="1">
      <c r="A1231" s="342"/>
      <c r="B1231" s="342"/>
      <c r="C1231" s="342"/>
      <c r="D1231" s="342"/>
      <c r="E1231" s="328"/>
      <c r="F1231" s="328"/>
      <c r="G1231" s="328"/>
      <c r="H1231" s="328"/>
      <c r="I1231" s="333"/>
      <c r="J1231" s="333"/>
      <c r="K1231" s="333"/>
      <c r="L1231" s="328"/>
      <c r="M1231" s="328"/>
      <c r="N1231" s="328"/>
      <c r="O1231" s="328"/>
      <c r="P1231" s="328"/>
      <c r="R1231" s="328"/>
      <c r="S1231" s="328"/>
      <c r="T1231" s="328"/>
      <c r="U1231" s="328"/>
      <c r="V1231" s="333"/>
      <c r="W1231" s="328"/>
      <c r="X1231" s="328"/>
      <c r="Y1231" s="328"/>
      <c r="Z1231" s="328"/>
    </row>
    <row r="1232" spans="1:26" s="329" customFormat="1" ht="24" customHeight="1">
      <c r="A1232" s="342"/>
      <c r="B1232" s="342"/>
      <c r="C1232" s="342"/>
      <c r="D1232" s="342"/>
      <c r="E1232" s="328"/>
      <c r="F1232" s="328"/>
      <c r="G1232" s="328"/>
      <c r="H1232" s="328"/>
      <c r="I1232" s="333"/>
      <c r="J1232" s="333"/>
      <c r="K1232" s="333"/>
      <c r="L1232" s="328"/>
      <c r="M1232" s="328"/>
      <c r="N1232" s="328"/>
      <c r="O1232" s="328"/>
      <c r="P1232" s="328"/>
      <c r="R1232" s="328"/>
      <c r="S1232" s="328"/>
      <c r="T1232" s="328"/>
      <c r="U1232" s="328"/>
      <c r="V1232" s="333"/>
      <c r="W1232" s="328"/>
      <c r="X1232" s="328"/>
      <c r="Y1232" s="328"/>
      <c r="Z1232" s="328"/>
    </row>
    <row r="1233" spans="1:26" s="329" customFormat="1" ht="24" customHeight="1">
      <c r="A1233" s="342"/>
      <c r="B1233" s="342"/>
      <c r="C1233" s="342"/>
      <c r="D1233" s="342"/>
      <c r="E1233" s="328"/>
      <c r="F1233" s="328"/>
      <c r="G1233" s="328"/>
      <c r="H1233" s="328"/>
      <c r="I1233" s="333"/>
      <c r="J1233" s="333"/>
      <c r="K1233" s="333"/>
      <c r="L1233" s="328"/>
      <c r="M1233" s="328"/>
      <c r="N1233" s="328"/>
      <c r="O1233" s="328"/>
      <c r="P1233" s="328"/>
      <c r="R1233" s="328"/>
      <c r="S1233" s="328"/>
      <c r="T1233" s="328"/>
      <c r="U1233" s="328"/>
      <c r="V1233" s="333"/>
      <c r="W1233" s="328"/>
      <c r="X1233" s="328"/>
      <c r="Y1233" s="328"/>
      <c r="Z1233" s="328"/>
    </row>
    <row r="1234" spans="1:26" s="329" customFormat="1" ht="24" customHeight="1">
      <c r="A1234" s="342"/>
      <c r="B1234" s="342"/>
      <c r="C1234" s="342"/>
      <c r="D1234" s="342"/>
      <c r="E1234" s="328"/>
      <c r="F1234" s="328"/>
      <c r="G1234" s="328"/>
      <c r="H1234" s="328"/>
      <c r="I1234" s="333"/>
      <c r="J1234" s="333"/>
      <c r="K1234" s="333"/>
      <c r="L1234" s="328"/>
      <c r="M1234" s="328"/>
      <c r="N1234" s="328"/>
      <c r="O1234" s="328"/>
      <c r="P1234" s="328"/>
      <c r="R1234" s="328"/>
      <c r="S1234" s="328"/>
      <c r="T1234" s="328"/>
      <c r="U1234" s="328"/>
      <c r="V1234" s="333"/>
      <c r="W1234" s="328"/>
      <c r="X1234" s="328"/>
      <c r="Y1234" s="328"/>
      <c r="Z1234" s="328"/>
    </row>
    <row r="1235" spans="1:26" s="329" customFormat="1" ht="24" customHeight="1">
      <c r="A1235" s="342"/>
      <c r="B1235" s="342"/>
      <c r="C1235" s="342"/>
      <c r="D1235" s="342"/>
      <c r="E1235" s="328"/>
      <c r="F1235" s="328"/>
      <c r="G1235" s="328"/>
      <c r="H1235" s="328"/>
      <c r="I1235" s="333"/>
      <c r="J1235" s="333"/>
      <c r="K1235" s="333"/>
      <c r="L1235" s="328"/>
      <c r="M1235" s="328"/>
      <c r="N1235" s="328"/>
      <c r="O1235" s="328"/>
      <c r="P1235" s="328"/>
      <c r="R1235" s="328"/>
      <c r="S1235" s="328"/>
      <c r="T1235" s="328"/>
      <c r="U1235" s="328"/>
      <c r="V1235" s="333"/>
      <c r="W1235" s="328"/>
      <c r="X1235" s="328"/>
      <c r="Y1235" s="328"/>
      <c r="Z1235" s="328"/>
    </row>
    <row r="1236" spans="1:26" s="329" customFormat="1" ht="24" customHeight="1">
      <c r="A1236" s="342"/>
      <c r="B1236" s="342"/>
      <c r="C1236" s="342"/>
      <c r="D1236" s="342"/>
      <c r="E1236" s="328"/>
      <c r="F1236" s="328"/>
      <c r="G1236" s="328"/>
      <c r="H1236" s="328"/>
      <c r="I1236" s="333"/>
      <c r="J1236" s="333"/>
      <c r="K1236" s="333"/>
      <c r="L1236" s="328"/>
      <c r="M1236" s="328"/>
      <c r="N1236" s="328"/>
      <c r="O1236" s="328"/>
      <c r="P1236" s="328"/>
      <c r="R1236" s="328"/>
      <c r="S1236" s="328"/>
      <c r="T1236" s="328"/>
      <c r="U1236" s="328"/>
      <c r="V1236" s="333"/>
      <c r="W1236" s="328"/>
      <c r="X1236" s="328"/>
      <c r="Y1236" s="328"/>
      <c r="Z1236" s="328"/>
    </row>
    <row r="1237" spans="1:26" s="329" customFormat="1" ht="24" customHeight="1">
      <c r="A1237" s="342"/>
      <c r="B1237" s="342"/>
      <c r="C1237" s="342"/>
      <c r="D1237" s="342"/>
      <c r="E1237" s="328"/>
      <c r="F1237" s="328"/>
      <c r="G1237" s="328"/>
      <c r="H1237" s="328"/>
      <c r="I1237" s="333"/>
      <c r="J1237" s="333"/>
      <c r="K1237" s="333"/>
      <c r="L1237" s="328"/>
      <c r="M1237" s="328"/>
      <c r="N1237" s="328"/>
      <c r="O1237" s="328"/>
      <c r="P1237" s="328"/>
      <c r="R1237" s="328"/>
      <c r="S1237" s="328"/>
      <c r="T1237" s="328"/>
      <c r="U1237" s="328"/>
      <c r="V1237" s="333"/>
      <c r="W1237" s="328"/>
      <c r="X1237" s="328"/>
      <c r="Y1237" s="328"/>
      <c r="Z1237" s="328"/>
    </row>
    <row r="1238" spans="1:26" s="329" customFormat="1" ht="24" customHeight="1">
      <c r="A1238" s="342"/>
      <c r="B1238" s="342"/>
      <c r="C1238" s="342"/>
      <c r="D1238" s="342"/>
      <c r="E1238" s="328"/>
      <c r="F1238" s="328"/>
      <c r="G1238" s="328"/>
      <c r="H1238" s="328"/>
      <c r="I1238" s="333"/>
      <c r="J1238" s="333"/>
      <c r="K1238" s="333"/>
      <c r="L1238" s="328"/>
      <c r="M1238" s="328"/>
      <c r="N1238" s="328"/>
      <c r="O1238" s="328"/>
      <c r="P1238" s="328"/>
      <c r="R1238" s="328"/>
      <c r="S1238" s="328"/>
      <c r="T1238" s="328"/>
      <c r="U1238" s="328"/>
      <c r="V1238" s="333"/>
      <c r="W1238" s="328"/>
      <c r="X1238" s="328"/>
      <c r="Y1238" s="328"/>
      <c r="Z1238" s="328"/>
    </row>
    <row r="1239" spans="1:26" s="329" customFormat="1" ht="24" customHeight="1">
      <c r="A1239" s="342"/>
      <c r="B1239" s="342"/>
      <c r="C1239" s="342"/>
      <c r="D1239" s="342"/>
      <c r="E1239" s="328"/>
      <c r="F1239" s="328"/>
      <c r="G1239" s="328"/>
      <c r="H1239" s="328"/>
      <c r="I1239" s="333"/>
      <c r="J1239" s="333"/>
      <c r="K1239" s="333"/>
      <c r="L1239" s="328"/>
      <c r="M1239" s="328"/>
      <c r="N1239" s="328"/>
      <c r="O1239" s="328"/>
      <c r="P1239" s="328"/>
      <c r="R1239" s="328"/>
      <c r="S1239" s="328"/>
      <c r="T1239" s="328"/>
      <c r="U1239" s="328"/>
      <c r="V1239" s="333"/>
      <c r="W1239" s="328"/>
      <c r="X1239" s="328"/>
      <c r="Y1239" s="328"/>
      <c r="Z1239" s="328"/>
    </row>
    <row r="1240" spans="1:26" s="329" customFormat="1" ht="24" customHeight="1">
      <c r="A1240" s="342"/>
      <c r="B1240" s="342"/>
      <c r="C1240" s="342"/>
      <c r="D1240" s="342"/>
      <c r="E1240" s="328"/>
      <c r="F1240" s="328"/>
      <c r="G1240" s="328"/>
      <c r="H1240" s="328"/>
      <c r="I1240" s="333"/>
      <c r="J1240" s="333"/>
      <c r="K1240" s="333"/>
      <c r="L1240" s="328"/>
      <c r="M1240" s="328"/>
      <c r="N1240" s="328"/>
      <c r="O1240" s="328"/>
      <c r="P1240" s="328"/>
      <c r="R1240" s="328"/>
      <c r="S1240" s="328"/>
      <c r="T1240" s="328"/>
      <c r="U1240" s="328"/>
      <c r="V1240" s="333"/>
      <c r="W1240" s="328"/>
      <c r="X1240" s="328"/>
      <c r="Y1240" s="328"/>
      <c r="Z1240" s="328"/>
    </row>
    <row r="1241" spans="1:26" s="329" customFormat="1" ht="24" customHeight="1">
      <c r="A1241" s="342"/>
      <c r="B1241" s="342"/>
      <c r="C1241" s="342"/>
      <c r="D1241" s="342"/>
      <c r="E1241" s="328"/>
      <c r="F1241" s="328"/>
      <c r="G1241" s="328"/>
      <c r="H1241" s="328"/>
      <c r="I1241" s="333"/>
      <c r="J1241" s="333"/>
      <c r="K1241" s="333"/>
      <c r="L1241" s="328"/>
      <c r="M1241" s="328"/>
      <c r="N1241" s="328"/>
      <c r="O1241" s="328"/>
      <c r="P1241" s="328"/>
      <c r="R1241" s="328"/>
      <c r="S1241" s="328"/>
      <c r="T1241" s="328"/>
      <c r="U1241" s="328"/>
      <c r="V1241" s="333"/>
      <c r="W1241" s="328"/>
      <c r="X1241" s="328"/>
      <c r="Y1241" s="328"/>
      <c r="Z1241" s="328"/>
    </row>
    <row r="1242" spans="1:26" s="329" customFormat="1" ht="24" customHeight="1">
      <c r="A1242" s="342"/>
      <c r="B1242" s="342"/>
      <c r="C1242" s="342"/>
      <c r="D1242" s="342"/>
      <c r="E1242" s="328"/>
      <c r="F1242" s="328"/>
      <c r="G1242" s="328"/>
      <c r="H1242" s="328"/>
      <c r="I1242" s="333"/>
      <c r="J1242" s="333"/>
      <c r="K1242" s="333"/>
      <c r="L1242" s="328"/>
      <c r="M1242" s="328"/>
      <c r="N1242" s="328"/>
      <c r="O1242" s="328"/>
      <c r="P1242" s="328"/>
      <c r="R1242" s="328"/>
      <c r="S1242" s="328"/>
      <c r="T1242" s="328"/>
      <c r="U1242" s="328"/>
      <c r="V1242" s="333"/>
      <c r="W1242" s="328"/>
      <c r="X1242" s="328"/>
      <c r="Y1242" s="328"/>
      <c r="Z1242" s="328"/>
    </row>
    <row r="1243" spans="1:26" s="329" customFormat="1" ht="24" customHeight="1">
      <c r="A1243" s="342"/>
      <c r="B1243" s="342"/>
      <c r="C1243" s="342"/>
      <c r="D1243" s="342"/>
      <c r="E1243" s="328"/>
      <c r="F1243" s="328"/>
      <c r="G1243" s="328"/>
      <c r="H1243" s="328"/>
      <c r="I1243" s="333"/>
      <c r="J1243" s="333"/>
      <c r="K1243" s="333"/>
      <c r="L1243" s="328"/>
      <c r="M1243" s="328"/>
      <c r="N1243" s="328"/>
      <c r="O1243" s="328"/>
      <c r="P1243" s="328"/>
      <c r="R1243" s="328"/>
      <c r="S1243" s="328"/>
      <c r="T1243" s="328"/>
      <c r="U1243" s="328"/>
      <c r="V1243" s="333"/>
      <c r="W1243" s="328"/>
      <c r="X1243" s="328"/>
      <c r="Y1243" s="328"/>
      <c r="Z1243" s="328"/>
    </row>
    <row r="1244" spans="1:26" s="329" customFormat="1" ht="24" customHeight="1">
      <c r="A1244" s="342"/>
      <c r="B1244" s="342"/>
      <c r="C1244" s="342"/>
      <c r="D1244" s="342"/>
      <c r="E1244" s="328"/>
      <c r="F1244" s="328"/>
      <c r="G1244" s="328"/>
      <c r="H1244" s="328"/>
      <c r="I1244" s="333"/>
      <c r="J1244" s="333"/>
      <c r="K1244" s="333"/>
      <c r="L1244" s="328"/>
      <c r="M1244" s="328"/>
      <c r="N1244" s="328"/>
      <c r="O1244" s="328"/>
      <c r="P1244" s="328"/>
      <c r="R1244" s="328"/>
      <c r="S1244" s="328"/>
      <c r="T1244" s="328"/>
      <c r="U1244" s="328"/>
      <c r="V1244" s="333"/>
      <c r="W1244" s="328"/>
      <c r="X1244" s="328"/>
      <c r="Y1244" s="328"/>
      <c r="Z1244" s="328"/>
    </row>
    <row r="1245" spans="1:26" s="329" customFormat="1" ht="24" customHeight="1">
      <c r="E1245" s="328"/>
      <c r="F1245" s="328"/>
      <c r="G1245" s="328"/>
      <c r="H1245" s="328"/>
      <c r="I1245" s="333"/>
      <c r="J1245" s="333"/>
      <c r="K1245" s="333"/>
      <c r="L1245" s="328"/>
      <c r="M1245" s="328"/>
      <c r="N1245" s="328"/>
      <c r="O1245" s="328"/>
      <c r="P1245" s="328"/>
      <c r="R1245" s="328"/>
      <c r="S1245" s="328"/>
      <c r="T1245" s="328"/>
      <c r="U1245" s="328"/>
      <c r="V1245" s="333"/>
      <c r="W1245" s="328"/>
      <c r="X1245" s="328"/>
      <c r="Y1245" s="328"/>
      <c r="Z1245" s="328"/>
    </row>
  </sheetData>
  <autoFilter ref="L1:L1245"/>
  <mergeCells count="49">
    <mergeCell ref="V84:W84"/>
    <mergeCell ref="V85:W85"/>
    <mergeCell ref="V86:W86"/>
    <mergeCell ref="V87:W87"/>
    <mergeCell ref="V79:W79"/>
    <mergeCell ref="V80:W80"/>
    <mergeCell ref="V81:Y81"/>
    <mergeCell ref="V82:W82"/>
    <mergeCell ref="V83:W83"/>
    <mergeCell ref="A18:P18"/>
    <mergeCell ref="T18:U18"/>
    <mergeCell ref="I3:I4"/>
    <mergeCell ref="A1045:N1045"/>
    <mergeCell ref="V67:Y67"/>
    <mergeCell ref="V68:Y68"/>
    <mergeCell ref="V69:W69"/>
    <mergeCell ref="V70:W70"/>
    <mergeCell ref="V71:W71"/>
    <mergeCell ref="V72:W72"/>
    <mergeCell ref="V73:W73"/>
    <mergeCell ref="V74:W74"/>
    <mergeCell ref="V75:W75"/>
    <mergeCell ref="V76:Y76"/>
    <mergeCell ref="V77:W77"/>
    <mergeCell ref="V78:W78"/>
    <mergeCell ref="A1:P1"/>
    <mergeCell ref="T16:W16"/>
    <mergeCell ref="A17:M17"/>
    <mergeCell ref="T17:U17"/>
    <mergeCell ref="T30:U30"/>
    <mergeCell ref="T19:U19"/>
    <mergeCell ref="T20:U20"/>
    <mergeCell ref="T21:U21"/>
    <mergeCell ref="T22:U22"/>
    <mergeCell ref="T23:U23"/>
    <mergeCell ref="T24:W24"/>
    <mergeCell ref="T25:U25"/>
    <mergeCell ref="T26:U26"/>
    <mergeCell ref="T27:U27"/>
    <mergeCell ref="T28:U28"/>
    <mergeCell ref="T29:W29"/>
    <mergeCell ref="A994:N994"/>
    <mergeCell ref="A1040:M1040"/>
    <mergeCell ref="T31:U31"/>
    <mergeCell ref="T32:U32"/>
    <mergeCell ref="T33:U33"/>
    <mergeCell ref="T34:U34"/>
    <mergeCell ref="T35:U35"/>
    <mergeCell ref="A993:M993"/>
  </mergeCells>
  <conditionalFormatting sqref="K929">
    <cfRule type="duplicateValues" dxfId="24" priority="25"/>
  </conditionalFormatting>
  <conditionalFormatting sqref="J929">
    <cfRule type="duplicateValues" dxfId="23" priority="21"/>
    <cfRule type="duplicateValues" dxfId="22" priority="22"/>
    <cfRule type="duplicateValues" dxfId="21" priority="23"/>
    <cfRule type="duplicateValues" dxfId="20" priority="24"/>
  </conditionalFormatting>
  <conditionalFormatting sqref="K930">
    <cfRule type="duplicateValues" dxfId="19" priority="20"/>
  </conditionalFormatting>
  <conditionalFormatting sqref="J930">
    <cfRule type="duplicateValues" dxfId="18" priority="16"/>
    <cfRule type="duplicateValues" dxfId="17" priority="17"/>
    <cfRule type="duplicateValues" dxfId="16" priority="18"/>
    <cfRule type="duplicateValues" dxfId="15" priority="19"/>
  </conditionalFormatting>
  <conditionalFormatting sqref="K931:K932">
    <cfRule type="duplicateValues" dxfId="14" priority="15"/>
  </conditionalFormatting>
  <conditionalFormatting sqref="J931:J932">
    <cfRule type="duplicateValues" dxfId="13" priority="11"/>
    <cfRule type="duplicateValues" dxfId="12" priority="12"/>
    <cfRule type="duplicateValues" dxfId="11" priority="13"/>
    <cfRule type="duplicateValues" dxfId="10" priority="14"/>
  </conditionalFormatting>
  <conditionalFormatting sqref="K933">
    <cfRule type="duplicateValues" dxfId="9" priority="10"/>
  </conditionalFormatting>
  <conditionalFormatting sqref="J933">
    <cfRule type="duplicateValues" dxfId="8" priority="6"/>
    <cfRule type="duplicateValues" dxfId="7" priority="7"/>
    <cfRule type="duplicateValues" dxfId="6" priority="8"/>
    <cfRule type="duplicateValues" dxfId="5" priority="9"/>
  </conditionalFormatting>
  <conditionalFormatting sqref="K934">
    <cfRule type="duplicateValues" dxfId="4" priority="5"/>
  </conditionalFormatting>
  <conditionalFormatting sqref="J934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200" verticalDpi="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395"/>
  <sheetViews>
    <sheetView rightToLeft="1" topLeftCell="A373" zoomScale="90" zoomScaleNormal="90" workbookViewId="0">
      <selection activeCell="B383" sqref="B383"/>
    </sheetView>
  </sheetViews>
  <sheetFormatPr defaultRowHeight="15"/>
  <cols>
    <col min="1" max="1" width="5.85546875" customWidth="1"/>
    <col min="2" max="2" width="17" customWidth="1"/>
    <col min="3" max="3" width="10.85546875" customWidth="1"/>
    <col min="4" max="4" width="26.5703125" customWidth="1"/>
    <col min="5" max="5" width="10.28515625" customWidth="1"/>
    <col min="6" max="6" width="51.28515625" customWidth="1"/>
    <col min="7" max="7" width="22" customWidth="1"/>
    <col min="8" max="8" width="15.140625" customWidth="1"/>
    <col min="9" max="9" width="15.5703125" customWidth="1"/>
    <col min="10" max="10" width="18.140625" customWidth="1"/>
    <col min="11" max="11" width="25.28515625" customWidth="1"/>
    <col min="12" max="12" width="27.140625" customWidth="1"/>
    <col min="13" max="15" width="22.5703125" customWidth="1"/>
    <col min="17" max="17" width="26" customWidth="1"/>
    <col min="18" max="18" width="32.140625" customWidth="1"/>
    <col min="19" max="19" width="38.7109375" customWidth="1"/>
    <col min="20" max="20" width="35.7109375" customWidth="1"/>
  </cols>
  <sheetData>
    <row r="1" spans="1:20" s="989" customFormat="1" ht="22.5" customHeight="1">
      <c r="A1" s="438" t="s">
        <v>0</v>
      </c>
      <c r="B1" s="438" t="s">
        <v>2</v>
      </c>
      <c r="C1" s="438" t="s">
        <v>3</v>
      </c>
      <c r="D1" s="438" t="s">
        <v>480</v>
      </c>
      <c r="E1" s="438" t="s">
        <v>15864</v>
      </c>
      <c r="F1" s="438" t="s">
        <v>88</v>
      </c>
      <c r="G1" s="438" t="s">
        <v>4322</v>
      </c>
      <c r="H1" s="1108" t="s">
        <v>4324</v>
      </c>
      <c r="I1" s="1108" t="s">
        <v>7672</v>
      </c>
      <c r="J1" s="1108" t="s">
        <v>12012</v>
      </c>
      <c r="K1" s="1108" t="s">
        <v>4325</v>
      </c>
      <c r="L1" s="1108" t="s">
        <v>9334</v>
      </c>
      <c r="M1" s="438" t="s">
        <v>9161</v>
      </c>
      <c r="N1" s="438" t="s">
        <v>11551</v>
      </c>
      <c r="O1" s="438" t="s">
        <v>11550</v>
      </c>
    </row>
    <row r="2" spans="1:20" s="989" customFormat="1" ht="22.5" customHeight="1">
      <c r="A2" s="990">
        <v>1</v>
      </c>
      <c r="B2" s="991" t="s">
        <v>423</v>
      </c>
      <c r="C2" s="991" t="s">
        <v>423</v>
      </c>
      <c r="D2" s="991" t="s">
        <v>423</v>
      </c>
      <c r="E2" s="991"/>
      <c r="F2" s="991" t="s">
        <v>4595</v>
      </c>
      <c r="G2" s="991" t="s">
        <v>9335</v>
      </c>
      <c r="H2" s="992"/>
      <c r="I2" s="992"/>
      <c r="J2" s="992"/>
      <c r="K2" s="992"/>
      <c r="L2" s="992" t="s">
        <v>9336</v>
      </c>
      <c r="M2" s="993">
        <v>0</v>
      </c>
      <c r="N2" s="994"/>
      <c r="O2" s="994"/>
    </row>
    <row r="3" spans="1:20" s="989" customFormat="1" ht="22.5" customHeight="1">
      <c r="A3" s="990">
        <v>2</v>
      </c>
      <c r="B3" s="991" t="s">
        <v>2476</v>
      </c>
      <c r="C3" s="991" t="s">
        <v>2476</v>
      </c>
      <c r="D3" s="991" t="s">
        <v>2476</v>
      </c>
      <c r="E3" s="991"/>
      <c r="F3" s="991" t="s">
        <v>4594</v>
      </c>
      <c r="G3" s="991" t="s">
        <v>9335</v>
      </c>
      <c r="H3" s="995"/>
      <c r="I3" s="995"/>
      <c r="J3" s="995"/>
      <c r="K3" s="995"/>
      <c r="L3" s="992" t="s">
        <v>9337</v>
      </c>
      <c r="M3" s="993">
        <v>0</v>
      </c>
      <c r="N3" s="994"/>
      <c r="O3" s="994"/>
    </row>
    <row r="4" spans="1:20" s="1111" customFormat="1" ht="24.75" customHeight="1">
      <c r="A4" s="990">
        <v>3</v>
      </c>
      <c r="B4" s="882" t="s">
        <v>3467</v>
      </c>
      <c r="C4" s="882" t="s">
        <v>3496</v>
      </c>
      <c r="D4" s="882" t="s">
        <v>9338</v>
      </c>
      <c r="E4" s="882"/>
      <c r="F4" s="882" t="s">
        <v>9339</v>
      </c>
      <c r="G4" s="882" t="s">
        <v>9340</v>
      </c>
      <c r="H4" s="1109" t="s">
        <v>9341</v>
      </c>
      <c r="I4" s="1109"/>
      <c r="J4" s="1109"/>
      <c r="K4" s="1109"/>
      <c r="L4" s="1110" t="s">
        <v>201</v>
      </c>
      <c r="M4" s="883">
        <v>2210000</v>
      </c>
      <c r="N4" s="883"/>
      <c r="O4" s="883"/>
    </row>
    <row r="5" spans="1:20" s="1111" customFormat="1" ht="24.75" customHeight="1">
      <c r="A5" s="990">
        <v>4</v>
      </c>
      <c r="B5" s="882" t="s">
        <v>423</v>
      </c>
      <c r="C5" s="882" t="s">
        <v>423</v>
      </c>
      <c r="D5" s="882" t="s">
        <v>1562</v>
      </c>
      <c r="E5" s="882"/>
      <c r="F5" s="882" t="s">
        <v>11577</v>
      </c>
      <c r="G5" s="882" t="s">
        <v>9340</v>
      </c>
      <c r="H5" s="1109" t="s">
        <v>1588</v>
      </c>
      <c r="I5" s="1109"/>
      <c r="J5" s="1109"/>
      <c r="K5" s="1109"/>
      <c r="L5" s="1110" t="s">
        <v>201</v>
      </c>
      <c r="M5" s="883">
        <v>2210000</v>
      </c>
      <c r="N5" s="883"/>
      <c r="O5" s="883"/>
    </row>
    <row r="6" spans="1:20" s="1111" customFormat="1" ht="24.75" customHeight="1">
      <c r="A6" s="990">
        <v>5</v>
      </c>
      <c r="B6" s="882" t="s">
        <v>3467</v>
      </c>
      <c r="C6" s="882" t="s">
        <v>7587</v>
      </c>
      <c r="D6" s="882" t="s">
        <v>9342</v>
      </c>
      <c r="E6" s="882"/>
      <c r="F6" s="882" t="s">
        <v>11578</v>
      </c>
      <c r="G6" s="882" t="s">
        <v>9340</v>
      </c>
      <c r="H6" s="1109" t="s">
        <v>9343</v>
      </c>
      <c r="I6" s="1109"/>
      <c r="J6" s="1109"/>
      <c r="K6" s="1109"/>
      <c r="L6" s="1110" t="s">
        <v>201</v>
      </c>
      <c r="M6" s="883">
        <v>2210000</v>
      </c>
      <c r="N6" s="883"/>
      <c r="O6" s="883"/>
    </row>
    <row r="7" spans="1:20" s="1111" customFormat="1" ht="24.75" customHeight="1">
      <c r="A7" s="990">
        <v>6</v>
      </c>
      <c r="B7" s="882" t="s">
        <v>1595</v>
      </c>
      <c r="C7" s="882" t="s">
        <v>1598</v>
      </c>
      <c r="D7" s="882" t="s">
        <v>9344</v>
      </c>
      <c r="E7" s="882"/>
      <c r="F7" s="882" t="s">
        <v>11579</v>
      </c>
      <c r="G7" s="882" t="s">
        <v>9340</v>
      </c>
      <c r="H7" s="1109" t="s">
        <v>9345</v>
      </c>
      <c r="I7" s="1109"/>
      <c r="J7" s="1109"/>
      <c r="K7" s="1109"/>
      <c r="L7" s="1110" t="s">
        <v>201</v>
      </c>
      <c r="M7" s="883">
        <v>2210000</v>
      </c>
      <c r="N7" s="883"/>
      <c r="O7" s="883"/>
    </row>
    <row r="8" spans="1:20" s="1111" customFormat="1" ht="24.75" customHeight="1">
      <c r="A8" s="990">
        <v>7</v>
      </c>
      <c r="B8" s="882" t="s">
        <v>1595</v>
      </c>
      <c r="C8" s="882" t="s">
        <v>1598</v>
      </c>
      <c r="D8" s="882" t="s">
        <v>9346</v>
      </c>
      <c r="E8" s="882"/>
      <c r="F8" s="882" t="s">
        <v>11484</v>
      </c>
      <c r="G8" s="882" t="s">
        <v>9347</v>
      </c>
      <c r="H8" s="1109" t="s">
        <v>9348</v>
      </c>
      <c r="I8" s="1109"/>
      <c r="J8" s="1109"/>
      <c r="K8" s="1109"/>
      <c r="L8" s="1110" t="s">
        <v>969</v>
      </c>
      <c r="M8" s="883">
        <v>4725000</v>
      </c>
      <c r="N8" s="883"/>
      <c r="O8" s="883"/>
      <c r="Q8" s="1111" t="s">
        <v>11085</v>
      </c>
    </row>
    <row r="9" spans="1:20" s="1111" customFormat="1" ht="24.75" customHeight="1">
      <c r="A9" s="990">
        <v>8</v>
      </c>
      <c r="B9" s="882" t="s">
        <v>423</v>
      </c>
      <c r="C9" s="882" t="s">
        <v>423</v>
      </c>
      <c r="D9" s="882" t="s">
        <v>1546</v>
      </c>
      <c r="E9" s="882"/>
      <c r="F9" s="882" t="s">
        <v>9349</v>
      </c>
      <c r="G9" s="882" t="s">
        <v>9340</v>
      </c>
      <c r="H9" s="1109" t="s">
        <v>11580</v>
      </c>
      <c r="I9" s="1109"/>
      <c r="J9" s="1109"/>
      <c r="K9" s="1109"/>
      <c r="L9" s="1110" t="s">
        <v>201</v>
      </c>
      <c r="M9" s="883">
        <v>2210000</v>
      </c>
      <c r="N9" s="883"/>
      <c r="O9" s="883"/>
      <c r="Q9" s="1111" t="s">
        <v>11086</v>
      </c>
    </row>
    <row r="10" spans="1:20" s="1111" customFormat="1" ht="24.75" customHeight="1">
      <c r="A10" s="990">
        <v>9</v>
      </c>
      <c r="B10" s="882" t="s">
        <v>1609</v>
      </c>
      <c r="C10" s="882" t="s">
        <v>1610</v>
      </c>
      <c r="D10" s="882" t="s">
        <v>9350</v>
      </c>
      <c r="E10" s="882"/>
      <c r="F10" s="882" t="s">
        <v>11581</v>
      </c>
      <c r="G10" s="882" t="s">
        <v>9347</v>
      </c>
      <c r="H10" s="1109" t="s">
        <v>9351</v>
      </c>
      <c r="I10" s="1109"/>
      <c r="J10" s="1109"/>
      <c r="K10" s="1109"/>
      <c r="L10" s="1110" t="s">
        <v>969</v>
      </c>
      <c r="M10" s="883">
        <v>4725000</v>
      </c>
      <c r="N10" s="883"/>
      <c r="O10" s="883"/>
      <c r="Q10" s="1111" t="s">
        <v>11091</v>
      </c>
      <c r="S10" s="1111">
        <v>0</v>
      </c>
      <c r="T10" s="1111" t="s">
        <v>11107</v>
      </c>
    </row>
    <row r="11" spans="1:20" s="1111" customFormat="1" ht="24.75" customHeight="1">
      <c r="A11" s="990">
        <v>10</v>
      </c>
      <c r="B11" s="882" t="s">
        <v>2476</v>
      </c>
      <c r="C11" s="882" t="s">
        <v>2476</v>
      </c>
      <c r="D11" s="882" t="s">
        <v>9352</v>
      </c>
      <c r="E11" s="882"/>
      <c r="F11" s="882" t="s">
        <v>9353</v>
      </c>
      <c r="G11" s="882" t="s">
        <v>9347</v>
      </c>
      <c r="H11" s="1109" t="s">
        <v>7535</v>
      </c>
      <c r="I11" s="1109"/>
      <c r="J11" s="1109"/>
      <c r="K11" s="1109"/>
      <c r="L11" s="1110" t="s">
        <v>969</v>
      </c>
      <c r="M11" s="883">
        <v>4725000</v>
      </c>
      <c r="N11" s="883"/>
      <c r="O11" s="883"/>
      <c r="Q11" s="1111" t="s">
        <v>11069</v>
      </c>
      <c r="S11" s="1111">
        <v>1291895000</v>
      </c>
      <c r="T11" s="1111" t="s">
        <v>11107</v>
      </c>
    </row>
    <row r="12" spans="1:20" s="1111" customFormat="1" ht="24.75" customHeight="1">
      <c r="A12" s="990">
        <v>11</v>
      </c>
      <c r="B12" s="882" t="s">
        <v>423</v>
      </c>
      <c r="C12" s="882" t="s">
        <v>423</v>
      </c>
      <c r="D12" s="882" t="s">
        <v>9354</v>
      </c>
      <c r="E12" s="882"/>
      <c r="F12" s="882" t="s">
        <v>11483</v>
      </c>
      <c r="G12" s="882" t="s">
        <v>9347</v>
      </c>
      <c r="H12" s="1109" t="s">
        <v>9100</v>
      </c>
      <c r="I12" s="1109"/>
      <c r="J12" s="1109"/>
      <c r="K12" s="1109"/>
      <c r="L12" s="1110" t="s">
        <v>969</v>
      </c>
      <c r="M12" s="883">
        <v>4725000</v>
      </c>
      <c r="N12" s="883"/>
      <c r="O12" s="883"/>
      <c r="Q12" s="1111" t="s">
        <v>11105</v>
      </c>
      <c r="S12" s="1111">
        <v>0</v>
      </c>
      <c r="T12" s="1111" t="s">
        <v>11106</v>
      </c>
    </row>
    <row r="13" spans="1:20" s="1117" customFormat="1" ht="24.75" customHeight="1">
      <c r="A13" s="990">
        <v>12</v>
      </c>
      <c r="B13" s="1113" t="s">
        <v>2592</v>
      </c>
      <c r="C13" s="1113" t="s">
        <v>2627</v>
      </c>
      <c r="D13" s="1113" t="s">
        <v>2627</v>
      </c>
      <c r="E13" s="1113"/>
      <c r="F13" s="1113" t="s">
        <v>11485</v>
      </c>
      <c r="G13" s="1113" t="s">
        <v>9347</v>
      </c>
      <c r="H13" s="1114" t="s">
        <v>9355</v>
      </c>
      <c r="I13" s="1114" t="s">
        <v>16136</v>
      </c>
      <c r="J13" s="1114" t="s">
        <v>15620</v>
      </c>
      <c r="K13" s="1126" t="s">
        <v>16186</v>
      </c>
      <c r="L13" s="1115" t="s">
        <v>969</v>
      </c>
      <c r="M13" s="1116">
        <v>4725000</v>
      </c>
      <c r="N13" s="1116" t="s">
        <v>375</v>
      </c>
      <c r="O13" s="1116"/>
      <c r="Q13" s="1117" t="s">
        <v>11070</v>
      </c>
      <c r="S13" s="1117">
        <f>SUM(S10:S11)</f>
        <v>1291895000</v>
      </c>
    </row>
    <row r="14" spans="1:20" s="1111" customFormat="1" ht="24.75" customHeight="1">
      <c r="A14" s="990">
        <v>13</v>
      </c>
      <c r="B14" s="882" t="s">
        <v>1595</v>
      </c>
      <c r="C14" s="882" t="s">
        <v>1598</v>
      </c>
      <c r="D14" s="882" t="s">
        <v>9346</v>
      </c>
      <c r="E14" s="882"/>
      <c r="F14" s="882" t="s">
        <v>11486</v>
      </c>
      <c r="G14" s="882" t="s">
        <v>9347</v>
      </c>
      <c r="H14" s="1109" t="s">
        <v>9109</v>
      </c>
      <c r="I14" s="1109"/>
      <c r="J14" s="1109" t="s">
        <v>2223</v>
      </c>
      <c r="K14" s="1109" t="s">
        <v>2222</v>
      </c>
      <c r="L14" s="1110" t="s">
        <v>969</v>
      </c>
      <c r="M14" s="883">
        <v>4725000</v>
      </c>
      <c r="N14" s="883" t="s">
        <v>985</v>
      </c>
      <c r="O14" s="883"/>
      <c r="Q14" s="1111" t="s">
        <v>11071</v>
      </c>
    </row>
    <row r="15" spans="1:20" s="1111" customFormat="1" ht="24.75" customHeight="1">
      <c r="A15" s="990">
        <v>14</v>
      </c>
      <c r="B15" s="882" t="s">
        <v>2969</v>
      </c>
      <c r="C15" s="882" t="s">
        <v>2969</v>
      </c>
      <c r="D15" s="882" t="s">
        <v>9356</v>
      </c>
      <c r="E15" s="882"/>
      <c r="F15" s="882" t="s">
        <v>11583</v>
      </c>
      <c r="G15" s="882" t="s">
        <v>9347</v>
      </c>
      <c r="H15" s="1109" t="s">
        <v>9357</v>
      </c>
      <c r="I15" s="1109"/>
      <c r="J15" s="1109"/>
      <c r="K15" s="1109"/>
      <c r="L15" s="1110" t="s">
        <v>969</v>
      </c>
      <c r="M15" s="883">
        <v>4725000</v>
      </c>
      <c r="N15" s="883"/>
      <c r="O15" s="883"/>
      <c r="Q15" s="1111" t="s">
        <v>11091</v>
      </c>
      <c r="S15" s="1111">
        <v>2</v>
      </c>
    </row>
    <row r="16" spans="1:20" s="1111" customFormat="1" ht="24.75" customHeight="1">
      <c r="A16" s="990">
        <v>15</v>
      </c>
      <c r="B16" s="882" t="s">
        <v>3212</v>
      </c>
      <c r="C16" s="882" t="s">
        <v>7527</v>
      </c>
      <c r="D16" s="882" t="s">
        <v>9359</v>
      </c>
      <c r="E16" s="882"/>
      <c r="F16" s="882" t="s">
        <v>11487</v>
      </c>
      <c r="G16" s="882" t="s">
        <v>9347</v>
      </c>
      <c r="H16" s="1109" t="s">
        <v>9360</v>
      </c>
      <c r="I16" s="1109"/>
      <c r="J16" s="1109"/>
      <c r="K16" s="1109"/>
      <c r="L16" s="1110" t="s">
        <v>969</v>
      </c>
      <c r="M16" s="883">
        <v>4725000</v>
      </c>
      <c r="N16" s="883"/>
      <c r="O16" s="883"/>
      <c r="Q16" s="1111" t="s">
        <v>11070</v>
      </c>
      <c r="S16" s="1111">
        <v>354</v>
      </c>
    </row>
    <row r="17" spans="1:19" s="1111" customFormat="1" ht="24.75" customHeight="1">
      <c r="A17" s="990">
        <v>16</v>
      </c>
      <c r="B17" s="882" t="s">
        <v>9361</v>
      </c>
      <c r="C17" s="882" t="s">
        <v>4906</v>
      </c>
      <c r="D17" s="882" t="s">
        <v>9362</v>
      </c>
      <c r="E17" s="882"/>
      <c r="F17" s="882" t="s">
        <v>11488</v>
      </c>
      <c r="G17" s="882" t="s">
        <v>9347</v>
      </c>
      <c r="H17" s="1109" t="s">
        <v>7515</v>
      </c>
      <c r="I17" s="1109"/>
      <c r="J17" s="1109"/>
      <c r="K17" s="1109"/>
      <c r="L17" s="1110" t="s">
        <v>969</v>
      </c>
      <c r="M17" s="883">
        <v>4725000</v>
      </c>
      <c r="N17" s="883"/>
      <c r="O17" s="883"/>
      <c r="Q17" s="1111" t="s">
        <v>11112</v>
      </c>
      <c r="R17" s="1111" t="s">
        <v>7727</v>
      </c>
      <c r="S17" s="1111" t="s">
        <v>196</v>
      </c>
    </row>
    <row r="18" spans="1:19" s="1111" customFormat="1" ht="24.75" customHeight="1">
      <c r="A18" s="990">
        <v>17</v>
      </c>
      <c r="B18" s="882" t="s">
        <v>2970</v>
      </c>
      <c r="C18" s="882" t="s">
        <v>4842</v>
      </c>
      <c r="D18" s="882" t="s">
        <v>9363</v>
      </c>
      <c r="E18" s="882"/>
      <c r="F18" s="882" t="s">
        <v>11489</v>
      </c>
      <c r="G18" s="882" t="s">
        <v>9347</v>
      </c>
      <c r="H18" s="1109" t="s">
        <v>9138</v>
      </c>
      <c r="I18" s="1109"/>
      <c r="J18" s="1109"/>
      <c r="K18" s="1109"/>
      <c r="L18" s="1110" t="s">
        <v>969</v>
      </c>
      <c r="M18" s="883">
        <v>4725000</v>
      </c>
      <c r="N18" s="883"/>
      <c r="O18" s="883"/>
      <c r="Q18" s="1111" t="s">
        <v>11099</v>
      </c>
      <c r="R18" s="1111">
        <v>141</v>
      </c>
      <c r="S18" s="1111" t="s">
        <v>201</v>
      </c>
    </row>
    <row r="19" spans="1:19" s="1111" customFormat="1" ht="24.75" customHeight="1">
      <c r="A19" s="990">
        <v>18</v>
      </c>
      <c r="B19" s="882" t="s">
        <v>423</v>
      </c>
      <c r="C19" s="882" t="s">
        <v>423</v>
      </c>
      <c r="D19" s="882" t="s">
        <v>9364</v>
      </c>
      <c r="E19" s="882"/>
      <c r="F19" s="882" t="s">
        <v>9365</v>
      </c>
      <c r="G19" s="882" t="s">
        <v>9347</v>
      </c>
      <c r="H19" s="1109" t="s">
        <v>9119</v>
      </c>
      <c r="I19" s="1109"/>
      <c r="J19" s="1109"/>
      <c r="K19" s="1109"/>
      <c r="L19" s="1110" t="s">
        <v>969</v>
      </c>
      <c r="M19" s="883">
        <v>4725000</v>
      </c>
      <c r="N19" s="883"/>
      <c r="O19" s="883"/>
      <c r="Q19" s="1111" t="s">
        <v>11100</v>
      </c>
      <c r="R19" s="1111">
        <v>208</v>
      </c>
      <c r="S19" s="1111" t="s">
        <v>969</v>
      </c>
    </row>
    <row r="20" spans="1:19" s="1111" customFormat="1" ht="24.75" customHeight="1">
      <c r="A20" s="990">
        <v>19</v>
      </c>
      <c r="B20" s="882" t="s">
        <v>2554</v>
      </c>
      <c r="C20" s="882" t="s">
        <v>2555</v>
      </c>
      <c r="D20" s="882" t="s">
        <v>258</v>
      </c>
      <c r="E20" s="882"/>
      <c r="F20" s="882" t="s">
        <v>11585</v>
      </c>
      <c r="G20" s="882" t="s">
        <v>9347</v>
      </c>
      <c r="H20" s="1109" t="s">
        <v>9120</v>
      </c>
      <c r="I20" s="1109"/>
      <c r="J20" s="1109"/>
      <c r="K20" s="1109"/>
      <c r="L20" s="1110" t="s">
        <v>969</v>
      </c>
      <c r="M20" s="883">
        <v>4725000</v>
      </c>
      <c r="N20" s="883"/>
      <c r="O20" s="883"/>
      <c r="Q20" s="1111" t="s">
        <v>11101</v>
      </c>
      <c r="R20" s="1111">
        <v>2</v>
      </c>
      <c r="S20" s="1111" t="s">
        <v>4413</v>
      </c>
    </row>
    <row r="21" spans="1:19" s="1111" customFormat="1" ht="24.75" customHeight="1">
      <c r="A21" s="990">
        <v>20</v>
      </c>
      <c r="B21" s="882" t="s">
        <v>9361</v>
      </c>
      <c r="C21" s="882" t="s">
        <v>7526</v>
      </c>
      <c r="D21" s="882" t="s">
        <v>9366</v>
      </c>
      <c r="E21" s="882"/>
      <c r="F21" s="882" t="s">
        <v>11586</v>
      </c>
      <c r="G21" s="882" t="s">
        <v>9347</v>
      </c>
      <c r="H21" s="1109" t="s">
        <v>9137</v>
      </c>
      <c r="I21" s="1109"/>
      <c r="J21" s="1109"/>
      <c r="K21" s="1109"/>
      <c r="L21" s="1110" t="s">
        <v>969</v>
      </c>
      <c r="M21" s="883">
        <v>4725000</v>
      </c>
      <c r="N21" s="883"/>
      <c r="O21" s="883"/>
      <c r="Q21" s="1111" t="s">
        <v>11102</v>
      </c>
      <c r="R21" s="1111">
        <v>352</v>
      </c>
      <c r="S21" s="1111" t="s">
        <v>11103</v>
      </c>
    </row>
    <row r="22" spans="1:19" s="1111" customFormat="1" ht="24.75" customHeight="1">
      <c r="A22" s="990">
        <v>21</v>
      </c>
      <c r="B22" s="882" t="s">
        <v>9367</v>
      </c>
      <c r="C22" s="882" t="s">
        <v>1598</v>
      </c>
      <c r="D22" s="882" t="s">
        <v>9368</v>
      </c>
      <c r="E22" s="882"/>
      <c r="F22" s="882" t="s">
        <v>9369</v>
      </c>
      <c r="G22" s="882" t="s">
        <v>9347</v>
      </c>
      <c r="H22" s="1109" t="s">
        <v>7546</v>
      </c>
      <c r="I22" s="1109"/>
      <c r="J22" s="1109" t="s">
        <v>12030</v>
      </c>
      <c r="K22" s="1109" t="s">
        <v>2073</v>
      </c>
      <c r="L22" s="1110" t="s">
        <v>969</v>
      </c>
      <c r="M22" s="883">
        <v>4725000</v>
      </c>
      <c r="N22" s="883" t="s">
        <v>375</v>
      </c>
      <c r="O22" s="883"/>
    </row>
    <row r="23" spans="1:19" s="1111" customFormat="1" ht="24.75" customHeight="1">
      <c r="A23" s="990">
        <v>22</v>
      </c>
      <c r="B23" s="882" t="s">
        <v>2476</v>
      </c>
      <c r="C23" s="882" t="s">
        <v>2505</v>
      </c>
      <c r="D23" s="882" t="s">
        <v>1539</v>
      </c>
      <c r="E23" s="882"/>
      <c r="F23" s="882" t="s">
        <v>11587</v>
      </c>
      <c r="G23" s="882" t="s">
        <v>9347</v>
      </c>
      <c r="H23" s="1109" t="s">
        <v>9116</v>
      </c>
      <c r="I23" s="1109"/>
      <c r="J23" s="1109" t="s">
        <v>15580</v>
      </c>
      <c r="K23" s="1109" t="s">
        <v>15579</v>
      </c>
      <c r="L23" s="1110" t="s">
        <v>969</v>
      </c>
      <c r="M23" s="883">
        <v>4725000</v>
      </c>
      <c r="N23" s="883" t="s">
        <v>375</v>
      </c>
      <c r="O23" s="883"/>
    </row>
    <row r="24" spans="1:19" s="1111" customFormat="1" ht="24.75" customHeight="1">
      <c r="A24" s="990">
        <v>23</v>
      </c>
      <c r="B24" s="882" t="s">
        <v>3467</v>
      </c>
      <c r="C24" s="882" t="s">
        <v>3468</v>
      </c>
      <c r="D24" s="882" t="s">
        <v>9342</v>
      </c>
      <c r="E24" s="882"/>
      <c r="F24" s="882" t="s">
        <v>11588</v>
      </c>
      <c r="G24" s="882" t="s">
        <v>9347</v>
      </c>
      <c r="H24" s="1109" t="s">
        <v>9370</v>
      </c>
      <c r="I24" s="1109"/>
      <c r="J24" s="1109"/>
      <c r="K24" s="1109"/>
      <c r="L24" s="1110" t="s">
        <v>969</v>
      </c>
      <c r="M24" s="883">
        <v>4725000</v>
      </c>
      <c r="N24" s="883"/>
      <c r="O24" s="883"/>
    </row>
    <row r="25" spans="1:19" s="1111" customFormat="1" ht="24.75" customHeight="1">
      <c r="A25" s="990">
        <v>24</v>
      </c>
      <c r="B25" s="882" t="s">
        <v>2592</v>
      </c>
      <c r="C25" s="882" t="s">
        <v>2636</v>
      </c>
      <c r="D25" s="882" t="s">
        <v>2636</v>
      </c>
      <c r="E25" s="882"/>
      <c r="F25" s="882" t="s">
        <v>11589</v>
      </c>
      <c r="G25" s="882" t="s">
        <v>9347</v>
      </c>
      <c r="H25" s="1109" t="s">
        <v>9121</v>
      </c>
      <c r="I25" s="1109"/>
      <c r="J25" s="1109"/>
      <c r="K25" s="1109"/>
      <c r="L25" s="1110" t="s">
        <v>969</v>
      </c>
      <c r="M25" s="883">
        <v>4725000</v>
      </c>
      <c r="N25" s="883"/>
      <c r="O25" s="883"/>
    </row>
    <row r="26" spans="1:19" s="1111" customFormat="1" ht="24.75" customHeight="1">
      <c r="A26" s="990">
        <v>25</v>
      </c>
      <c r="B26" s="882" t="s">
        <v>7517</v>
      </c>
      <c r="C26" s="882" t="s">
        <v>7524</v>
      </c>
      <c r="D26" s="882" t="s">
        <v>9371</v>
      </c>
      <c r="E26" s="882"/>
      <c r="F26" s="882" t="s">
        <v>11590</v>
      </c>
      <c r="G26" s="882" t="s">
        <v>9347</v>
      </c>
      <c r="H26" s="1109" t="s">
        <v>9125</v>
      </c>
      <c r="I26" s="1109"/>
      <c r="J26" s="1109"/>
      <c r="K26" s="1109"/>
      <c r="L26" s="1110" t="s">
        <v>969</v>
      </c>
      <c r="M26" s="883">
        <v>4725000</v>
      </c>
      <c r="N26" s="883"/>
      <c r="O26" s="883"/>
    </row>
    <row r="27" spans="1:19" s="1111" customFormat="1" ht="24.75" customHeight="1">
      <c r="A27" s="990">
        <v>26</v>
      </c>
      <c r="B27" s="882" t="s">
        <v>423</v>
      </c>
      <c r="C27" s="882" t="s">
        <v>7522</v>
      </c>
      <c r="D27" s="882" t="s">
        <v>9372</v>
      </c>
      <c r="E27" s="882"/>
      <c r="F27" s="882" t="s">
        <v>11490</v>
      </c>
      <c r="G27" s="882" t="s">
        <v>9347</v>
      </c>
      <c r="H27" s="1109" t="s">
        <v>9091</v>
      </c>
      <c r="I27" s="1109"/>
      <c r="J27" s="1109"/>
      <c r="K27" s="1109"/>
      <c r="L27" s="1110" t="s">
        <v>969</v>
      </c>
      <c r="M27" s="883">
        <v>4725000</v>
      </c>
      <c r="N27" s="883"/>
      <c r="O27" s="883"/>
    </row>
    <row r="28" spans="1:19" s="1111" customFormat="1" ht="24.75" customHeight="1">
      <c r="A28" s="990">
        <v>27</v>
      </c>
      <c r="B28" s="882" t="s">
        <v>1595</v>
      </c>
      <c r="C28" s="882" t="s">
        <v>1598</v>
      </c>
      <c r="D28" s="882" t="s">
        <v>9373</v>
      </c>
      <c r="E28" s="882"/>
      <c r="F28" s="882" t="s">
        <v>11591</v>
      </c>
      <c r="G28" s="882" t="s">
        <v>9340</v>
      </c>
      <c r="H28" s="1109" t="s">
        <v>9374</v>
      </c>
      <c r="I28" s="1109"/>
      <c r="J28" s="1109"/>
      <c r="K28" s="1109"/>
      <c r="L28" s="1110" t="s">
        <v>969</v>
      </c>
      <c r="M28" s="883">
        <v>4725000</v>
      </c>
      <c r="N28" s="883"/>
      <c r="O28" s="883"/>
    </row>
    <row r="29" spans="1:19" s="1111" customFormat="1" ht="24.75" customHeight="1">
      <c r="A29" s="990">
        <v>28</v>
      </c>
      <c r="B29" s="882" t="s">
        <v>423</v>
      </c>
      <c r="C29" s="882" t="s">
        <v>7521</v>
      </c>
      <c r="D29" s="882" t="s">
        <v>9375</v>
      </c>
      <c r="E29" s="882"/>
      <c r="F29" s="882" t="s">
        <v>9376</v>
      </c>
      <c r="G29" s="882" t="s">
        <v>9347</v>
      </c>
      <c r="H29" s="1109" t="s">
        <v>9095</v>
      </c>
      <c r="I29" s="1109"/>
      <c r="J29" s="1109" t="s">
        <v>1481</v>
      </c>
      <c r="K29" s="1109" t="s">
        <v>1480</v>
      </c>
      <c r="L29" s="1110" t="s">
        <v>969</v>
      </c>
      <c r="M29" s="883">
        <v>4725000</v>
      </c>
      <c r="N29" s="883" t="s">
        <v>375</v>
      </c>
      <c r="O29" s="883"/>
    </row>
    <row r="30" spans="1:19" s="1111" customFormat="1" ht="24.75" customHeight="1">
      <c r="A30" s="990">
        <v>29</v>
      </c>
      <c r="B30" s="882" t="s">
        <v>423</v>
      </c>
      <c r="C30" s="882" t="s">
        <v>423</v>
      </c>
      <c r="D30" s="882" t="s">
        <v>1554</v>
      </c>
      <c r="E30" s="882"/>
      <c r="F30" s="882" t="s">
        <v>11491</v>
      </c>
      <c r="G30" s="882" t="s">
        <v>9347</v>
      </c>
      <c r="H30" s="1109" t="s">
        <v>15968</v>
      </c>
      <c r="I30" s="1109"/>
      <c r="J30" s="1109" t="s">
        <v>12109</v>
      </c>
      <c r="K30" s="1109" t="s">
        <v>12110</v>
      </c>
      <c r="L30" s="1110" t="s">
        <v>969</v>
      </c>
      <c r="M30" s="883">
        <v>4725000</v>
      </c>
      <c r="N30" s="883" t="s">
        <v>375</v>
      </c>
      <c r="O30" s="883"/>
    </row>
    <row r="31" spans="1:19" s="1111" customFormat="1" ht="24.75" customHeight="1">
      <c r="A31" s="990">
        <v>30</v>
      </c>
      <c r="B31" s="882" t="s">
        <v>423</v>
      </c>
      <c r="C31" s="882" t="s">
        <v>423</v>
      </c>
      <c r="D31" s="882" t="s">
        <v>9377</v>
      </c>
      <c r="E31" s="882"/>
      <c r="F31" s="882" t="s">
        <v>11492</v>
      </c>
      <c r="G31" s="882" t="s">
        <v>9347</v>
      </c>
      <c r="H31" s="1109" t="s">
        <v>9378</v>
      </c>
      <c r="I31" s="1109"/>
      <c r="J31" s="1109"/>
      <c r="K31" s="1109"/>
      <c r="L31" s="1110" t="s">
        <v>969</v>
      </c>
      <c r="M31" s="883">
        <v>4725000</v>
      </c>
      <c r="N31" s="883"/>
      <c r="O31" s="883"/>
    </row>
    <row r="32" spans="1:19" s="1111" customFormat="1" ht="24.75" customHeight="1">
      <c r="A32" s="990">
        <v>31</v>
      </c>
      <c r="B32" s="882" t="s">
        <v>423</v>
      </c>
      <c r="C32" s="882" t="s">
        <v>7521</v>
      </c>
      <c r="D32" s="882" t="s">
        <v>9379</v>
      </c>
      <c r="E32" s="882"/>
      <c r="F32" s="882" t="s">
        <v>11493</v>
      </c>
      <c r="G32" s="882" t="s">
        <v>9347</v>
      </c>
      <c r="H32" s="1109" t="s">
        <v>9088</v>
      </c>
      <c r="I32" s="1109"/>
      <c r="J32" s="1109"/>
      <c r="K32" s="1109"/>
      <c r="L32" s="1110" t="s">
        <v>969</v>
      </c>
      <c r="M32" s="883">
        <v>4725000</v>
      </c>
      <c r="N32" s="883"/>
      <c r="O32" s="883"/>
    </row>
    <row r="33" spans="1:15" s="1111" customFormat="1" ht="24.75" customHeight="1">
      <c r="A33" s="990">
        <v>32</v>
      </c>
      <c r="B33" s="882" t="s">
        <v>423</v>
      </c>
      <c r="C33" s="882" t="s">
        <v>423</v>
      </c>
      <c r="D33" s="882" t="s">
        <v>9380</v>
      </c>
      <c r="E33" s="882"/>
      <c r="F33" s="882" t="s">
        <v>11494</v>
      </c>
      <c r="G33" s="882" t="s">
        <v>9347</v>
      </c>
      <c r="H33" s="1109" t="s">
        <v>9086</v>
      </c>
      <c r="I33" s="1109"/>
      <c r="J33" s="1109"/>
      <c r="K33" s="1109"/>
      <c r="L33" s="1110" t="s">
        <v>969</v>
      </c>
      <c r="M33" s="883">
        <v>4725000</v>
      </c>
      <c r="N33" s="883"/>
      <c r="O33" s="883"/>
    </row>
    <row r="34" spans="1:15" s="1111" customFormat="1" ht="24.75" customHeight="1">
      <c r="A34" s="990">
        <v>33</v>
      </c>
      <c r="B34" s="882" t="s">
        <v>423</v>
      </c>
      <c r="C34" s="882" t="s">
        <v>423</v>
      </c>
      <c r="D34" s="882" t="s">
        <v>1544</v>
      </c>
      <c r="E34" s="882"/>
      <c r="F34" s="882" t="s">
        <v>11495</v>
      </c>
      <c r="G34" s="882" t="s">
        <v>9347</v>
      </c>
      <c r="H34" s="1109" t="s">
        <v>9087</v>
      </c>
      <c r="I34" s="1109"/>
      <c r="J34" s="1109"/>
      <c r="K34" s="1109"/>
      <c r="L34" s="1110" t="s">
        <v>969</v>
      </c>
      <c r="M34" s="883">
        <v>4725000</v>
      </c>
      <c r="N34" s="883"/>
      <c r="O34" s="883"/>
    </row>
    <row r="35" spans="1:15" s="1111" customFormat="1" ht="24.75" customHeight="1">
      <c r="A35" s="990">
        <v>34</v>
      </c>
      <c r="B35" s="882" t="s">
        <v>423</v>
      </c>
      <c r="C35" s="882" t="s">
        <v>7523</v>
      </c>
      <c r="D35" s="882" t="s">
        <v>9381</v>
      </c>
      <c r="E35" s="882"/>
      <c r="F35" s="882" t="s">
        <v>11496</v>
      </c>
      <c r="G35" s="882" t="s">
        <v>9347</v>
      </c>
      <c r="H35" s="1109" t="s">
        <v>9092</v>
      </c>
      <c r="I35" s="1109"/>
      <c r="J35" s="1109"/>
      <c r="K35" s="1109"/>
      <c r="L35" s="1110" t="s">
        <v>969</v>
      </c>
      <c r="M35" s="883">
        <v>4725000</v>
      </c>
      <c r="N35" s="883"/>
      <c r="O35" s="883"/>
    </row>
    <row r="36" spans="1:15" s="1111" customFormat="1" ht="24.75" customHeight="1">
      <c r="A36" s="990">
        <v>35</v>
      </c>
      <c r="B36" s="882" t="s">
        <v>1609</v>
      </c>
      <c r="C36" s="882" t="s">
        <v>1610</v>
      </c>
      <c r="D36" s="882" t="s">
        <v>9382</v>
      </c>
      <c r="E36" s="882"/>
      <c r="F36" s="882" t="s">
        <v>11592</v>
      </c>
      <c r="G36" s="882" t="s">
        <v>9340</v>
      </c>
      <c r="H36" s="1109" t="s">
        <v>9383</v>
      </c>
      <c r="I36" s="1109"/>
      <c r="J36" s="1109"/>
      <c r="K36" s="1109"/>
      <c r="L36" s="1110" t="s">
        <v>201</v>
      </c>
      <c r="M36" s="883">
        <v>2210000</v>
      </c>
      <c r="N36" s="883"/>
      <c r="O36" s="883"/>
    </row>
    <row r="37" spans="1:15" s="1111" customFormat="1" ht="24.75" customHeight="1">
      <c r="A37" s="990">
        <v>36</v>
      </c>
      <c r="B37" s="882" t="s">
        <v>423</v>
      </c>
      <c r="C37" s="882" t="s">
        <v>950</v>
      </c>
      <c r="D37" s="882" t="s">
        <v>1540</v>
      </c>
      <c r="E37" s="882"/>
      <c r="F37" s="882" t="s">
        <v>11593</v>
      </c>
      <c r="G37" s="882" t="s">
        <v>9340</v>
      </c>
      <c r="H37" s="1109" t="s">
        <v>1569</v>
      </c>
      <c r="I37" s="1109"/>
      <c r="J37" s="1109"/>
      <c r="K37" s="1109"/>
      <c r="L37" s="1110" t="s">
        <v>201</v>
      </c>
      <c r="M37" s="883">
        <v>2210000</v>
      </c>
      <c r="N37" s="883"/>
      <c r="O37" s="883"/>
    </row>
    <row r="38" spans="1:15" s="1111" customFormat="1" ht="24.75" customHeight="1">
      <c r="A38" s="990">
        <v>37</v>
      </c>
      <c r="B38" s="882" t="s">
        <v>3018</v>
      </c>
      <c r="C38" s="882" t="s">
        <v>3077</v>
      </c>
      <c r="D38" s="882" t="s">
        <v>3077</v>
      </c>
      <c r="E38" s="882"/>
      <c r="F38" s="882" t="s">
        <v>11594</v>
      </c>
      <c r="G38" s="882" t="s">
        <v>9340</v>
      </c>
      <c r="H38" s="1109" t="s">
        <v>9384</v>
      </c>
      <c r="I38" s="1109"/>
      <c r="J38" s="1109"/>
      <c r="K38" s="1109"/>
      <c r="L38" s="1110" t="s">
        <v>201</v>
      </c>
      <c r="M38" s="883">
        <v>2210000</v>
      </c>
      <c r="N38" s="883"/>
      <c r="O38" s="883"/>
    </row>
    <row r="39" spans="1:15" s="1111" customFormat="1" ht="24.75" customHeight="1">
      <c r="A39" s="990">
        <v>38</v>
      </c>
      <c r="B39" s="882" t="s">
        <v>423</v>
      </c>
      <c r="C39" s="882" t="s">
        <v>7521</v>
      </c>
      <c r="D39" s="882" t="s">
        <v>9385</v>
      </c>
      <c r="E39" s="882"/>
      <c r="F39" s="882" t="s">
        <v>11497</v>
      </c>
      <c r="G39" s="882" t="s">
        <v>9347</v>
      </c>
      <c r="H39" s="1109" t="s">
        <v>9089</v>
      </c>
      <c r="I39" s="1109"/>
      <c r="J39" s="1109"/>
      <c r="K39" s="1109"/>
      <c r="L39" s="1110" t="s">
        <v>969</v>
      </c>
      <c r="M39" s="883">
        <v>4725000</v>
      </c>
      <c r="N39" s="883"/>
      <c r="O39" s="883"/>
    </row>
    <row r="40" spans="1:15" s="1111" customFormat="1" ht="24.75" customHeight="1">
      <c r="A40" s="990">
        <v>39</v>
      </c>
      <c r="B40" s="882" t="s">
        <v>423</v>
      </c>
      <c r="C40" s="882" t="s">
        <v>7525</v>
      </c>
      <c r="D40" s="882" t="s">
        <v>7525</v>
      </c>
      <c r="E40" s="882"/>
      <c r="F40" s="882" t="s">
        <v>11498</v>
      </c>
      <c r="G40" s="882" t="s">
        <v>9347</v>
      </c>
      <c r="H40" s="1109" t="s">
        <v>9099</v>
      </c>
      <c r="I40" s="1109"/>
      <c r="J40" s="1109"/>
      <c r="K40" s="1109"/>
      <c r="L40" s="1110" t="s">
        <v>969</v>
      </c>
      <c r="M40" s="883">
        <v>4725000</v>
      </c>
      <c r="N40" s="883"/>
      <c r="O40" s="883"/>
    </row>
    <row r="41" spans="1:15" s="1111" customFormat="1" ht="24.75" customHeight="1">
      <c r="A41" s="990">
        <v>40</v>
      </c>
      <c r="B41" s="882" t="s">
        <v>1595</v>
      </c>
      <c r="C41" s="882" t="s">
        <v>1602</v>
      </c>
      <c r="D41" s="882" t="s">
        <v>1539</v>
      </c>
      <c r="E41" s="882"/>
      <c r="F41" s="882" t="s">
        <v>11595</v>
      </c>
      <c r="G41" s="882" t="s">
        <v>9340</v>
      </c>
      <c r="H41" s="1109" t="s">
        <v>9386</v>
      </c>
      <c r="I41" s="1109"/>
      <c r="J41" s="1109"/>
      <c r="K41" s="1109"/>
      <c r="L41" s="1110" t="s">
        <v>201</v>
      </c>
      <c r="M41" s="883">
        <v>2210000</v>
      </c>
      <c r="N41" s="883"/>
      <c r="O41" s="883"/>
    </row>
    <row r="42" spans="1:15" s="1111" customFormat="1" ht="24.75" customHeight="1">
      <c r="A42" s="990">
        <v>41</v>
      </c>
      <c r="B42" s="882" t="s">
        <v>1595</v>
      </c>
      <c r="C42" s="882" t="s">
        <v>1603</v>
      </c>
      <c r="D42" s="882" t="s">
        <v>1539</v>
      </c>
      <c r="E42" s="882"/>
      <c r="F42" s="882" t="s">
        <v>9387</v>
      </c>
      <c r="G42" s="882" t="s">
        <v>9340</v>
      </c>
      <c r="H42" s="1109" t="s">
        <v>9388</v>
      </c>
      <c r="I42" s="1109"/>
      <c r="J42" s="1109" t="s">
        <v>12061</v>
      </c>
      <c r="K42" s="1109" t="s">
        <v>2323</v>
      </c>
      <c r="L42" s="1110" t="s">
        <v>201</v>
      </c>
      <c r="M42" s="883">
        <v>2210000</v>
      </c>
      <c r="N42" s="883" t="s">
        <v>375</v>
      </c>
      <c r="O42" s="883"/>
    </row>
    <row r="43" spans="1:15" s="1111" customFormat="1" ht="24.75" customHeight="1">
      <c r="A43" s="990">
        <v>42</v>
      </c>
      <c r="B43" s="882" t="s">
        <v>423</v>
      </c>
      <c r="C43" s="882" t="s">
        <v>1565</v>
      </c>
      <c r="D43" s="882" t="s">
        <v>1548</v>
      </c>
      <c r="E43" s="882"/>
      <c r="F43" s="882" t="s">
        <v>11596</v>
      </c>
      <c r="G43" s="882" t="s">
        <v>9340</v>
      </c>
      <c r="H43" s="1109" t="s">
        <v>7588</v>
      </c>
      <c r="I43" s="1109"/>
      <c r="J43" s="1109"/>
      <c r="K43" s="1109"/>
      <c r="L43" s="1110" t="s">
        <v>201</v>
      </c>
      <c r="M43" s="883">
        <v>2210000</v>
      </c>
      <c r="N43" s="883"/>
      <c r="O43" s="883"/>
    </row>
    <row r="44" spans="1:15" s="1111" customFormat="1" ht="24.75" customHeight="1">
      <c r="A44" s="990">
        <v>43</v>
      </c>
      <c r="B44" s="882" t="s">
        <v>94</v>
      </c>
      <c r="C44" s="882" t="s">
        <v>126</v>
      </c>
      <c r="D44" s="882" t="s">
        <v>1601</v>
      </c>
      <c r="E44" s="882"/>
      <c r="F44" s="882" t="s">
        <v>11598</v>
      </c>
      <c r="G44" s="882" t="s">
        <v>9347</v>
      </c>
      <c r="H44" s="1109" t="s">
        <v>9070</v>
      </c>
      <c r="I44" s="1109"/>
      <c r="J44" s="1109"/>
      <c r="K44" s="1109"/>
      <c r="L44" s="1110" t="s">
        <v>969</v>
      </c>
      <c r="M44" s="883">
        <v>4725000</v>
      </c>
      <c r="N44" s="883"/>
      <c r="O44" s="883"/>
    </row>
    <row r="45" spans="1:15" s="1111" customFormat="1" ht="24.75" customHeight="1">
      <c r="A45" s="990">
        <v>44</v>
      </c>
      <c r="B45" s="882" t="s">
        <v>9367</v>
      </c>
      <c r="C45" s="882" t="s">
        <v>1598</v>
      </c>
      <c r="D45" s="882" t="s">
        <v>9390</v>
      </c>
      <c r="E45" s="882"/>
      <c r="F45" s="882" t="s">
        <v>9391</v>
      </c>
      <c r="G45" s="882" t="s">
        <v>9347</v>
      </c>
      <c r="H45" s="1109" t="s">
        <v>9392</v>
      </c>
      <c r="I45" s="1109"/>
      <c r="J45" s="1109"/>
      <c r="K45" s="1109"/>
      <c r="L45" s="1110" t="s">
        <v>969</v>
      </c>
      <c r="M45" s="883">
        <v>4725000</v>
      </c>
      <c r="N45" s="883"/>
      <c r="O45" s="883"/>
    </row>
    <row r="46" spans="1:15" s="1111" customFormat="1" ht="24.75" customHeight="1">
      <c r="A46" s="990">
        <v>45</v>
      </c>
      <c r="B46" s="882" t="s">
        <v>3212</v>
      </c>
      <c r="C46" s="882" t="s">
        <v>3213</v>
      </c>
      <c r="D46" s="882" t="s">
        <v>9393</v>
      </c>
      <c r="E46" s="882"/>
      <c r="F46" s="882" t="s">
        <v>11599</v>
      </c>
      <c r="G46" s="882" t="s">
        <v>9340</v>
      </c>
      <c r="H46" s="1109" t="s">
        <v>9394</v>
      </c>
      <c r="I46" s="1109"/>
      <c r="J46" s="1109"/>
      <c r="K46" s="1109"/>
      <c r="L46" s="1110" t="s">
        <v>201</v>
      </c>
      <c r="M46" s="883">
        <v>2210000</v>
      </c>
      <c r="N46" s="883"/>
      <c r="O46" s="883"/>
    </row>
    <row r="47" spans="1:15" s="1111" customFormat="1" ht="24.75" customHeight="1">
      <c r="A47" s="990">
        <v>46</v>
      </c>
      <c r="B47" s="882" t="s">
        <v>1595</v>
      </c>
      <c r="C47" s="882" t="s">
        <v>1598</v>
      </c>
      <c r="D47" s="882" t="s">
        <v>1601</v>
      </c>
      <c r="E47" s="882"/>
      <c r="F47" s="882" t="s">
        <v>11600</v>
      </c>
      <c r="G47" s="882" t="s">
        <v>9340</v>
      </c>
      <c r="H47" s="1109" t="s">
        <v>9395</v>
      </c>
      <c r="I47" s="1109"/>
      <c r="J47" s="1109"/>
      <c r="K47" s="1109"/>
      <c r="L47" s="1110" t="s">
        <v>201</v>
      </c>
      <c r="M47" s="883">
        <v>2210000</v>
      </c>
      <c r="N47" s="883"/>
      <c r="O47" s="883"/>
    </row>
    <row r="48" spans="1:15" s="1111" customFormat="1" ht="24.75" customHeight="1">
      <c r="A48" s="990">
        <v>47</v>
      </c>
      <c r="B48" s="882" t="s">
        <v>3467</v>
      </c>
      <c r="C48" s="882" t="s">
        <v>7587</v>
      </c>
      <c r="D48" s="882" t="s">
        <v>9342</v>
      </c>
      <c r="E48" s="882"/>
      <c r="F48" s="882" t="s">
        <v>11601</v>
      </c>
      <c r="G48" s="882" t="s">
        <v>9340</v>
      </c>
      <c r="H48" s="1109" t="s">
        <v>9396</v>
      </c>
      <c r="I48" s="1109"/>
      <c r="J48" s="1109"/>
      <c r="K48" s="1109"/>
      <c r="L48" s="1110" t="s">
        <v>201</v>
      </c>
      <c r="M48" s="883">
        <v>2210000</v>
      </c>
      <c r="N48" s="883"/>
      <c r="O48" s="883"/>
    </row>
    <row r="49" spans="1:15" s="1111" customFormat="1" ht="24.75" customHeight="1">
      <c r="A49" s="990">
        <v>48</v>
      </c>
      <c r="B49" s="882" t="s">
        <v>334</v>
      </c>
      <c r="C49" s="882" t="s">
        <v>334</v>
      </c>
      <c r="D49" s="882" t="s">
        <v>9397</v>
      </c>
      <c r="E49" s="882"/>
      <c r="F49" s="882" t="s">
        <v>11602</v>
      </c>
      <c r="G49" s="882" t="s">
        <v>9340</v>
      </c>
      <c r="H49" s="1109" t="s">
        <v>9398</v>
      </c>
      <c r="I49" s="1109"/>
      <c r="J49" s="1109"/>
      <c r="K49" s="1109"/>
      <c r="L49" s="1110" t="s">
        <v>201</v>
      </c>
      <c r="M49" s="883">
        <v>2210000</v>
      </c>
      <c r="N49" s="883"/>
      <c r="O49" s="883"/>
    </row>
    <row r="50" spans="1:15" s="1111" customFormat="1" ht="24.75" customHeight="1">
      <c r="A50" s="990">
        <v>49</v>
      </c>
      <c r="B50" s="882" t="s">
        <v>9367</v>
      </c>
      <c r="C50" s="882" t="s">
        <v>1598</v>
      </c>
      <c r="D50" s="882" t="s">
        <v>9400</v>
      </c>
      <c r="E50" s="882"/>
      <c r="F50" s="882" t="s">
        <v>9401</v>
      </c>
      <c r="G50" s="882" t="s">
        <v>9347</v>
      </c>
      <c r="H50" s="1109" t="s">
        <v>9402</v>
      </c>
      <c r="I50" s="1109"/>
      <c r="J50" s="1109"/>
      <c r="K50" s="1109"/>
      <c r="L50" s="1110" t="s">
        <v>969</v>
      </c>
      <c r="M50" s="883">
        <v>4725000</v>
      </c>
      <c r="N50" s="883"/>
      <c r="O50" s="883"/>
    </row>
    <row r="51" spans="1:15" s="1111" customFormat="1" ht="24.75" customHeight="1">
      <c r="A51" s="990">
        <v>50</v>
      </c>
      <c r="B51" s="882" t="s">
        <v>3467</v>
      </c>
      <c r="C51" s="882" t="s">
        <v>3489</v>
      </c>
      <c r="D51" s="882" t="s">
        <v>9342</v>
      </c>
      <c r="E51" s="882"/>
      <c r="F51" s="882" t="s">
        <v>11605</v>
      </c>
      <c r="G51" s="882" t="s">
        <v>9347</v>
      </c>
      <c r="H51" s="1109" t="s">
        <v>9134</v>
      </c>
      <c r="I51" s="1109"/>
      <c r="J51" s="1109"/>
      <c r="K51" s="1109"/>
      <c r="L51" s="1110" t="s">
        <v>969</v>
      </c>
      <c r="M51" s="883">
        <v>4725000</v>
      </c>
      <c r="N51" s="883"/>
      <c r="O51" s="883"/>
    </row>
    <row r="52" spans="1:15" s="1111" customFormat="1" ht="24.75" customHeight="1">
      <c r="A52" s="990">
        <v>51</v>
      </c>
      <c r="B52" s="882" t="s">
        <v>2476</v>
      </c>
      <c r="C52" s="882" t="s">
        <v>2476</v>
      </c>
      <c r="D52" s="882" t="s">
        <v>9403</v>
      </c>
      <c r="E52" s="882"/>
      <c r="F52" s="882" t="s">
        <v>11606</v>
      </c>
      <c r="G52" s="882" t="s">
        <v>9340</v>
      </c>
      <c r="H52" s="1109" t="s">
        <v>9404</v>
      </c>
      <c r="I52" s="1109"/>
      <c r="J52" s="1109"/>
      <c r="K52" s="1109"/>
      <c r="L52" s="1110" t="s">
        <v>201</v>
      </c>
      <c r="M52" s="883">
        <v>2210000</v>
      </c>
      <c r="N52" s="883"/>
      <c r="O52" s="883"/>
    </row>
    <row r="53" spans="1:15" s="1111" customFormat="1" ht="24.75" customHeight="1">
      <c r="A53" s="990">
        <v>52</v>
      </c>
      <c r="B53" s="882" t="s">
        <v>7517</v>
      </c>
      <c r="C53" s="882" t="s">
        <v>2641</v>
      </c>
      <c r="D53" s="882" t="s">
        <v>2641</v>
      </c>
      <c r="E53" s="882"/>
      <c r="F53" s="882" t="s">
        <v>11607</v>
      </c>
      <c r="G53" s="882" t="s">
        <v>9347</v>
      </c>
      <c r="H53" s="1109" t="s">
        <v>14608</v>
      </c>
      <c r="I53" s="1109"/>
      <c r="J53" s="1109"/>
      <c r="K53" s="1109"/>
      <c r="L53" s="1110" t="s">
        <v>969</v>
      </c>
      <c r="M53" s="883">
        <v>4725000</v>
      </c>
      <c r="N53" s="883"/>
      <c r="O53" s="883"/>
    </row>
    <row r="54" spans="1:15" s="1111" customFormat="1" ht="24.75" customHeight="1">
      <c r="A54" s="990">
        <v>53</v>
      </c>
      <c r="B54" s="882" t="s">
        <v>423</v>
      </c>
      <c r="C54" s="882" t="s">
        <v>423</v>
      </c>
      <c r="D54" s="882" t="s">
        <v>1545</v>
      </c>
      <c r="E54" s="882"/>
      <c r="F54" s="882" t="s">
        <v>11608</v>
      </c>
      <c r="G54" s="882" t="s">
        <v>9340</v>
      </c>
      <c r="H54" s="1109" t="s">
        <v>1584</v>
      </c>
      <c r="I54" s="1109"/>
      <c r="J54" s="1109"/>
      <c r="K54" s="1109"/>
      <c r="L54" s="1110" t="s">
        <v>201</v>
      </c>
      <c r="M54" s="883">
        <v>2210000</v>
      </c>
      <c r="N54" s="883"/>
      <c r="O54" s="883"/>
    </row>
    <row r="55" spans="1:15" s="1111" customFormat="1" ht="24.75" customHeight="1">
      <c r="A55" s="990">
        <v>54</v>
      </c>
      <c r="B55" s="882" t="s">
        <v>3705</v>
      </c>
      <c r="C55" s="882" t="s">
        <v>4886</v>
      </c>
      <c r="D55" s="882" t="s">
        <v>9405</v>
      </c>
      <c r="E55" s="882"/>
      <c r="F55" s="882" t="s">
        <v>9406</v>
      </c>
      <c r="G55" s="882" t="s">
        <v>9347</v>
      </c>
      <c r="H55" s="1109" t="s">
        <v>9407</v>
      </c>
      <c r="I55" s="1109"/>
      <c r="J55" s="1109"/>
      <c r="K55" s="1109"/>
      <c r="L55" s="1110" t="s">
        <v>969</v>
      </c>
      <c r="M55" s="883">
        <v>4725000</v>
      </c>
      <c r="N55" s="883"/>
      <c r="O55" s="883"/>
    </row>
    <row r="56" spans="1:15" s="1111" customFormat="1" ht="24.75" customHeight="1">
      <c r="A56" s="990">
        <v>55</v>
      </c>
      <c r="B56" s="882" t="s">
        <v>423</v>
      </c>
      <c r="C56" s="882" t="s">
        <v>423</v>
      </c>
      <c r="D56" s="882" t="s">
        <v>9408</v>
      </c>
      <c r="E56" s="882"/>
      <c r="F56" s="882" t="s">
        <v>9409</v>
      </c>
      <c r="G56" s="882" t="s">
        <v>9347</v>
      </c>
      <c r="H56" s="1109" t="s">
        <v>9410</v>
      </c>
      <c r="I56" s="1109"/>
      <c r="J56" s="1109" t="s">
        <v>12128</v>
      </c>
      <c r="K56" s="1109" t="s">
        <v>12129</v>
      </c>
      <c r="L56" s="1110" t="s">
        <v>969</v>
      </c>
      <c r="M56" s="883">
        <v>4725000</v>
      </c>
      <c r="N56" s="883" t="s">
        <v>12123</v>
      </c>
      <c r="O56" s="883"/>
    </row>
    <row r="57" spans="1:15" s="1111" customFormat="1" ht="24.75" customHeight="1">
      <c r="A57" s="990">
        <v>56</v>
      </c>
      <c r="B57" s="882" t="s">
        <v>423</v>
      </c>
      <c r="C57" s="882" t="s">
        <v>423</v>
      </c>
      <c r="D57" s="882" t="s">
        <v>1549</v>
      </c>
      <c r="E57" s="882"/>
      <c r="F57" s="882" t="s">
        <v>11609</v>
      </c>
      <c r="G57" s="882" t="s">
        <v>9340</v>
      </c>
      <c r="H57" s="1109" t="s">
        <v>14609</v>
      </c>
      <c r="I57" s="1109"/>
      <c r="J57" s="1109"/>
      <c r="K57" s="1109"/>
      <c r="L57" s="1110" t="s">
        <v>201</v>
      </c>
      <c r="M57" s="883">
        <v>2210000</v>
      </c>
      <c r="N57" s="883"/>
      <c r="O57" s="883"/>
    </row>
    <row r="58" spans="1:15" s="1111" customFormat="1" ht="24.75" customHeight="1">
      <c r="A58" s="990">
        <v>57</v>
      </c>
      <c r="B58" s="882" t="s">
        <v>423</v>
      </c>
      <c r="C58" s="882" t="s">
        <v>423</v>
      </c>
      <c r="D58" s="882" t="s">
        <v>1546</v>
      </c>
      <c r="E58" s="882"/>
      <c r="F58" s="882" t="s">
        <v>11610</v>
      </c>
      <c r="G58" s="882" t="s">
        <v>9340</v>
      </c>
      <c r="H58" s="1109" t="s">
        <v>1573</v>
      </c>
      <c r="I58" s="1109"/>
      <c r="J58" s="1109"/>
      <c r="K58" s="1109"/>
      <c r="L58" s="1110" t="s">
        <v>201</v>
      </c>
      <c r="M58" s="883">
        <v>2210000</v>
      </c>
      <c r="N58" s="883"/>
      <c r="O58" s="883"/>
    </row>
    <row r="59" spans="1:15" s="1111" customFormat="1" ht="24.75" customHeight="1">
      <c r="A59" s="990">
        <v>58</v>
      </c>
      <c r="B59" s="882" t="s">
        <v>2449</v>
      </c>
      <c r="C59" s="882" t="s">
        <v>2449</v>
      </c>
      <c r="D59" s="882" t="s">
        <v>9411</v>
      </c>
      <c r="E59" s="882"/>
      <c r="F59" s="882" t="s">
        <v>11611</v>
      </c>
      <c r="G59" s="882" t="s">
        <v>9347</v>
      </c>
      <c r="H59" s="1109" t="s">
        <v>9115</v>
      </c>
      <c r="I59" s="1109"/>
      <c r="J59" s="1109" t="s">
        <v>15602</v>
      </c>
      <c r="K59" s="1109" t="s">
        <v>15601</v>
      </c>
      <c r="L59" s="1110" t="s">
        <v>969</v>
      </c>
      <c r="M59" s="883">
        <v>4725000</v>
      </c>
      <c r="N59" s="883" t="s">
        <v>375</v>
      </c>
      <c r="O59" s="883"/>
    </row>
    <row r="60" spans="1:15" s="1111" customFormat="1" ht="24.75" customHeight="1">
      <c r="A60" s="990">
        <v>59</v>
      </c>
      <c r="B60" s="882" t="s">
        <v>423</v>
      </c>
      <c r="C60" s="882" t="s">
        <v>423</v>
      </c>
      <c r="D60" s="882" t="s">
        <v>1552</v>
      </c>
      <c r="E60" s="882"/>
      <c r="F60" s="882" t="s">
        <v>11612</v>
      </c>
      <c r="G60" s="882" t="s">
        <v>9340</v>
      </c>
      <c r="H60" s="1109" t="s">
        <v>1575</v>
      </c>
      <c r="I60" s="1109"/>
      <c r="J60" s="1109"/>
      <c r="K60" s="1109"/>
      <c r="L60" s="1110" t="s">
        <v>201</v>
      </c>
      <c r="M60" s="883">
        <v>2210000</v>
      </c>
      <c r="N60" s="883"/>
      <c r="O60" s="883"/>
    </row>
    <row r="61" spans="1:15" s="1111" customFormat="1" ht="24.75" customHeight="1">
      <c r="A61" s="990">
        <v>60</v>
      </c>
      <c r="B61" s="882" t="s">
        <v>423</v>
      </c>
      <c r="C61" s="882" t="s">
        <v>423</v>
      </c>
      <c r="D61" s="882" t="s">
        <v>1537</v>
      </c>
      <c r="E61" s="882"/>
      <c r="F61" s="882" t="s">
        <v>9412</v>
      </c>
      <c r="G61" s="882" t="s">
        <v>9340</v>
      </c>
      <c r="H61" s="1109" t="s">
        <v>1578</v>
      </c>
      <c r="I61" s="1109"/>
      <c r="J61" s="1109"/>
      <c r="K61" s="1109"/>
      <c r="L61" s="1110" t="s">
        <v>201</v>
      </c>
      <c r="M61" s="883">
        <v>2210000</v>
      </c>
      <c r="N61" s="883"/>
      <c r="O61" s="883"/>
    </row>
    <row r="62" spans="1:15" s="1111" customFormat="1" ht="24.75" customHeight="1">
      <c r="A62" s="990">
        <v>61</v>
      </c>
      <c r="B62" s="882" t="s">
        <v>1595</v>
      </c>
      <c r="C62" s="882" t="s">
        <v>1598</v>
      </c>
      <c r="D62" s="882" t="s">
        <v>9413</v>
      </c>
      <c r="E62" s="882"/>
      <c r="F62" s="882" t="s">
        <v>11697</v>
      </c>
      <c r="G62" s="882" t="s">
        <v>9340</v>
      </c>
      <c r="H62" s="1109" t="s">
        <v>9414</v>
      </c>
      <c r="I62" s="1109"/>
      <c r="J62" s="1109"/>
      <c r="K62" s="1109"/>
      <c r="L62" s="1110" t="s">
        <v>201</v>
      </c>
      <c r="M62" s="883">
        <v>2210000</v>
      </c>
      <c r="N62" s="883"/>
      <c r="O62" s="883"/>
    </row>
    <row r="63" spans="1:15" s="1111" customFormat="1" ht="24.75" customHeight="1">
      <c r="A63" s="990">
        <v>62</v>
      </c>
      <c r="B63" s="882" t="s">
        <v>423</v>
      </c>
      <c r="C63" s="882" t="s">
        <v>423</v>
      </c>
      <c r="D63" s="882" t="s">
        <v>9415</v>
      </c>
      <c r="E63" s="882"/>
      <c r="F63" s="882" t="s">
        <v>9416</v>
      </c>
      <c r="G63" s="882" t="s">
        <v>9347</v>
      </c>
      <c r="H63" s="1109" t="s">
        <v>9417</v>
      </c>
      <c r="I63" s="1109"/>
      <c r="J63" s="1109"/>
      <c r="K63" s="1109"/>
      <c r="L63" s="1110" t="s">
        <v>969</v>
      </c>
      <c r="M63" s="883">
        <v>4725000</v>
      </c>
      <c r="N63" s="883"/>
      <c r="O63" s="883"/>
    </row>
    <row r="64" spans="1:15" s="1111" customFormat="1" ht="24.75" customHeight="1">
      <c r="A64" s="990">
        <v>63</v>
      </c>
      <c r="B64" s="882" t="s">
        <v>423</v>
      </c>
      <c r="C64" s="882" t="s">
        <v>423</v>
      </c>
      <c r="D64" s="882" t="s">
        <v>9418</v>
      </c>
      <c r="E64" s="882"/>
      <c r="F64" s="882" t="s">
        <v>11698</v>
      </c>
      <c r="G64" s="882" t="s">
        <v>9347</v>
      </c>
      <c r="H64" s="1109" t="s">
        <v>9094</v>
      </c>
      <c r="I64" s="1109"/>
      <c r="J64" s="1109"/>
      <c r="K64" s="1109"/>
      <c r="L64" s="1110" t="s">
        <v>969</v>
      </c>
      <c r="M64" s="883">
        <v>4725000</v>
      </c>
      <c r="N64" s="883"/>
      <c r="O64" s="883"/>
    </row>
    <row r="65" spans="1:15" s="1111" customFormat="1" ht="24.75" customHeight="1">
      <c r="A65" s="990">
        <v>64</v>
      </c>
      <c r="B65" s="882" t="s">
        <v>7517</v>
      </c>
      <c r="C65" s="882" t="s">
        <v>2641</v>
      </c>
      <c r="D65" s="882" t="s">
        <v>2641</v>
      </c>
      <c r="E65" s="882"/>
      <c r="F65" s="882" t="s">
        <v>11699</v>
      </c>
      <c r="G65" s="882" t="s">
        <v>9347</v>
      </c>
      <c r="H65" s="1109" t="s">
        <v>9123</v>
      </c>
      <c r="I65" s="1109"/>
      <c r="J65" s="1109"/>
      <c r="K65" s="1109"/>
      <c r="L65" s="1110" t="s">
        <v>969</v>
      </c>
      <c r="M65" s="883">
        <v>4725000</v>
      </c>
      <c r="N65" s="883"/>
      <c r="O65" s="883"/>
    </row>
    <row r="66" spans="1:15" s="1111" customFormat="1" ht="24.75" customHeight="1">
      <c r="A66" s="990">
        <v>65</v>
      </c>
      <c r="B66" s="882" t="s">
        <v>1595</v>
      </c>
      <c r="C66" s="882" t="s">
        <v>1598</v>
      </c>
      <c r="D66" s="882" t="s">
        <v>9346</v>
      </c>
      <c r="E66" s="882"/>
      <c r="F66" s="882" t="s">
        <v>11700</v>
      </c>
      <c r="G66" s="882" t="s">
        <v>9347</v>
      </c>
      <c r="H66" s="1109" t="s">
        <v>9107</v>
      </c>
      <c r="I66" s="1109"/>
      <c r="J66" s="1109" t="s">
        <v>2240</v>
      </c>
      <c r="K66" s="1109" t="s">
        <v>2239</v>
      </c>
      <c r="L66" s="1110" t="s">
        <v>969</v>
      </c>
      <c r="M66" s="883">
        <v>4725000</v>
      </c>
      <c r="N66" s="883" t="s">
        <v>375</v>
      </c>
      <c r="O66" s="883"/>
    </row>
    <row r="67" spans="1:15" s="1111" customFormat="1" ht="24.75" customHeight="1">
      <c r="A67" s="990">
        <v>66</v>
      </c>
      <c r="B67" s="882" t="s">
        <v>1595</v>
      </c>
      <c r="C67" s="882" t="s">
        <v>1598</v>
      </c>
      <c r="D67" s="882" t="s">
        <v>9422</v>
      </c>
      <c r="E67" s="882"/>
      <c r="F67" s="882" t="s">
        <v>11701</v>
      </c>
      <c r="G67" s="882" t="s">
        <v>9340</v>
      </c>
      <c r="H67" s="1109" t="s">
        <v>9423</v>
      </c>
      <c r="I67" s="1109"/>
      <c r="J67" s="1109"/>
      <c r="K67" s="1109"/>
      <c r="L67" s="1110" t="s">
        <v>201</v>
      </c>
      <c r="M67" s="883">
        <v>2210000</v>
      </c>
      <c r="N67" s="883"/>
      <c r="O67" s="883"/>
    </row>
    <row r="68" spans="1:15" s="1111" customFormat="1" ht="24.75" customHeight="1">
      <c r="A68" s="990">
        <v>67</v>
      </c>
      <c r="B68" s="882" t="s">
        <v>7517</v>
      </c>
      <c r="C68" s="882" t="s">
        <v>2609</v>
      </c>
      <c r="D68" s="882" t="s">
        <v>9424</v>
      </c>
      <c r="E68" s="882"/>
      <c r="F68" s="882" t="s">
        <v>11702</v>
      </c>
      <c r="G68" s="882" t="s">
        <v>9347</v>
      </c>
      <c r="H68" s="1109" t="s">
        <v>9124</v>
      </c>
      <c r="I68" s="1109"/>
      <c r="J68" s="1109"/>
      <c r="K68" s="1109"/>
      <c r="L68" s="1110" t="s">
        <v>969</v>
      </c>
      <c r="M68" s="883">
        <v>4725000</v>
      </c>
      <c r="N68" s="883"/>
      <c r="O68" s="883"/>
    </row>
    <row r="69" spans="1:15" s="1111" customFormat="1" ht="24.75" customHeight="1">
      <c r="A69" s="990">
        <v>68</v>
      </c>
      <c r="B69" s="882" t="s">
        <v>423</v>
      </c>
      <c r="C69" s="882" t="s">
        <v>423</v>
      </c>
      <c r="D69" s="882" t="s">
        <v>9418</v>
      </c>
      <c r="E69" s="882"/>
      <c r="F69" s="882" t="s">
        <v>11703</v>
      </c>
      <c r="G69" s="882" t="s">
        <v>9347</v>
      </c>
      <c r="H69" s="1109" t="s">
        <v>9093</v>
      </c>
      <c r="I69" s="1109"/>
      <c r="J69" s="1109"/>
      <c r="K69" s="1109"/>
      <c r="L69" s="1110" t="s">
        <v>969</v>
      </c>
      <c r="M69" s="883">
        <v>4725000</v>
      </c>
      <c r="N69" s="883"/>
      <c r="O69" s="883"/>
    </row>
    <row r="70" spans="1:15" s="1111" customFormat="1" ht="24.75" customHeight="1">
      <c r="A70" s="990">
        <v>69</v>
      </c>
      <c r="B70" s="882" t="s">
        <v>1595</v>
      </c>
      <c r="C70" s="882" t="s">
        <v>1599</v>
      </c>
      <c r="D70" s="882" t="s">
        <v>9425</v>
      </c>
      <c r="E70" s="882"/>
      <c r="F70" s="882" t="s">
        <v>11704</v>
      </c>
      <c r="G70" s="882" t="s">
        <v>9340</v>
      </c>
      <c r="H70" s="1109" t="s">
        <v>7584</v>
      </c>
      <c r="I70" s="1109"/>
      <c r="J70" s="1109"/>
      <c r="K70" s="1109"/>
      <c r="L70" s="1110" t="s">
        <v>201</v>
      </c>
      <c r="M70" s="883">
        <v>2210000</v>
      </c>
      <c r="N70" s="883"/>
      <c r="O70" s="883"/>
    </row>
    <row r="71" spans="1:15" s="1111" customFormat="1" ht="24.75" customHeight="1">
      <c r="A71" s="990">
        <v>70</v>
      </c>
      <c r="B71" s="882" t="s">
        <v>1595</v>
      </c>
      <c r="C71" s="882" t="s">
        <v>1598</v>
      </c>
      <c r="D71" s="882" t="s">
        <v>258</v>
      </c>
      <c r="E71" s="882"/>
      <c r="F71" s="882" t="s">
        <v>11705</v>
      </c>
      <c r="G71" s="882" t="s">
        <v>9340</v>
      </c>
      <c r="H71" s="1109" t="s">
        <v>9426</v>
      </c>
      <c r="I71" s="1109"/>
      <c r="J71" s="1109"/>
      <c r="K71" s="1109"/>
      <c r="L71" s="1110" t="s">
        <v>201</v>
      </c>
      <c r="M71" s="883">
        <v>2210000</v>
      </c>
      <c r="N71" s="883"/>
      <c r="O71" s="883"/>
    </row>
    <row r="72" spans="1:15" s="1111" customFormat="1" ht="24.75" customHeight="1">
      <c r="A72" s="990">
        <v>71</v>
      </c>
      <c r="B72" s="882" t="s">
        <v>1595</v>
      </c>
      <c r="C72" s="882" t="s">
        <v>1598</v>
      </c>
      <c r="D72" s="882" t="s">
        <v>1601</v>
      </c>
      <c r="E72" s="882"/>
      <c r="F72" s="882" t="s">
        <v>11707</v>
      </c>
      <c r="G72" s="882" t="s">
        <v>9340</v>
      </c>
      <c r="H72" s="1109" t="s">
        <v>9428</v>
      </c>
      <c r="I72" s="1109"/>
      <c r="J72" s="1109"/>
      <c r="K72" s="1109"/>
      <c r="L72" s="1110" t="s">
        <v>201</v>
      </c>
      <c r="M72" s="883">
        <v>2210000</v>
      </c>
      <c r="N72" s="883"/>
      <c r="O72" s="883"/>
    </row>
    <row r="73" spans="1:15" s="1111" customFormat="1" ht="24.75" customHeight="1">
      <c r="A73" s="990">
        <v>72</v>
      </c>
      <c r="B73" s="882" t="s">
        <v>267</v>
      </c>
      <c r="C73" s="882" t="s">
        <v>267</v>
      </c>
      <c r="D73" s="882" t="s">
        <v>9429</v>
      </c>
      <c r="E73" s="882"/>
      <c r="F73" s="882" t="s">
        <v>9430</v>
      </c>
      <c r="G73" s="882" t="s">
        <v>9347</v>
      </c>
      <c r="H73" s="1109" t="s">
        <v>7531</v>
      </c>
      <c r="I73" s="1109"/>
      <c r="J73" s="1109"/>
      <c r="K73" s="1109"/>
      <c r="L73" s="1110" t="s">
        <v>969</v>
      </c>
      <c r="M73" s="883">
        <v>4725000</v>
      </c>
      <c r="N73" s="883"/>
      <c r="O73" s="883"/>
    </row>
    <row r="74" spans="1:15" s="1111" customFormat="1" ht="24.75" customHeight="1">
      <c r="A74" s="990">
        <v>73</v>
      </c>
      <c r="B74" s="882" t="s">
        <v>1609</v>
      </c>
      <c r="C74" s="882" t="s">
        <v>2420</v>
      </c>
      <c r="D74" s="882" t="s">
        <v>9431</v>
      </c>
      <c r="E74" s="882"/>
      <c r="F74" s="882" t="s">
        <v>9432</v>
      </c>
      <c r="G74" s="882" t="s">
        <v>9347</v>
      </c>
      <c r="H74" s="1109" t="s">
        <v>7532</v>
      </c>
      <c r="I74" s="1109"/>
      <c r="J74" s="1109"/>
      <c r="K74" s="1109"/>
      <c r="L74" s="1110" t="s">
        <v>969</v>
      </c>
      <c r="M74" s="883">
        <v>4725000</v>
      </c>
      <c r="N74" s="883"/>
      <c r="O74" s="883"/>
    </row>
    <row r="75" spans="1:15" s="1111" customFormat="1" ht="24.75" customHeight="1">
      <c r="A75" s="990">
        <v>74</v>
      </c>
      <c r="B75" s="882" t="s">
        <v>423</v>
      </c>
      <c r="C75" s="882" t="s">
        <v>423</v>
      </c>
      <c r="D75" s="882" t="s">
        <v>1539</v>
      </c>
      <c r="E75" s="882"/>
      <c r="F75" s="882" t="s">
        <v>15969</v>
      </c>
      <c r="G75" s="882" t="s">
        <v>9340</v>
      </c>
      <c r="H75" s="1109" t="s">
        <v>1581</v>
      </c>
      <c r="I75" s="1109"/>
      <c r="J75" s="1109"/>
      <c r="K75" s="1109"/>
      <c r="L75" s="1110" t="s">
        <v>201</v>
      </c>
      <c r="M75" s="883">
        <v>2210000</v>
      </c>
      <c r="N75" s="883"/>
      <c r="O75" s="883"/>
    </row>
    <row r="76" spans="1:15" s="1111" customFormat="1" ht="24.75" customHeight="1">
      <c r="A76" s="990">
        <v>75</v>
      </c>
      <c r="B76" s="882" t="s">
        <v>423</v>
      </c>
      <c r="C76" s="882" t="s">
        <v>423</v>
      </c>
      <c r="D76" s="882" t="s">
        <v>1549</v>
      </c>
      <c r="E76" s="882"/>
      <c r="F76" s="882" t="s">
        <v>11708</v>
      </c>
      <c r="G76" s="882" t="s">
        <v>9340</v>
      </c>
      <c r="H76" s="1109" t="s">
        <v>9433</v>
      </c>
      <c r="I76" s="1109"/>
      <c r="J76" s="1109" t="s">
        <v>15809</v>
      </c>
      <c r="K76" s="1109" t="s">
        <v>15808</v>
      </c>
      <c r="L76" s="1110" t="s">
        <v>201</v>
      </c>
      <c r="M76" s="883">
        <v>2210000</v>
      </c>
      <c r="N76" s="883" t="s">
        <v>375</v>
      </c>
      <c r="O76" s="883"/>
    </row>
    <row r="77" spans="1:15" s="1111" customFormat="1" ht="24.75" customHeight="1">
      <c r="A77" s="990">
        <v>76</v>
      </c>
      <c r="B77" s="882" t="s">
        <v>334</v>
      </c>
      <c r="C77" s="882" t="s">
        <v>334</v>
      </c>
      <c r="D77" s="882" t="s">
        <v>258</v>
      </c>
      <c r="E77" s="882"/>
      <c r="F77" s="882" t="s">
        <v>11709</v>
      </c>
      <c r="G77" s="882" t="s">
        <v>9347</v>
      </c>
      <c r="H77" s="1109" t="s">
        <v>9128</v>
      </c>
      <c r="I77" s="1109"/>
      <c r="J77" s="1109"/>
      <c r="K77" s="1109"/>
      <c r="L77" s="1110" t="s">
        <v>969</v>
      </c>
      <c r="M77" s="883">
        <v>4725000</v>
      </c>
      <c r="N77" s="883"/>
      <c r="O77" s="883"/>
    </row>
    <row r="78" spans="1:15" s="1111" customFormat="1" ht="24.75" customHeight="1">
      <c r="A78" s="990">
        <v>77</v>
      </c>
      <c r="B78" s="882" t="s">
        <v>2554</v>
      </c>
      <c r="C78" s="882" t="s">
        <v>2555</v>
      </c>
      <c r="D78" s="882" t="s">
        <v>258</v>
      </c>
      <c r="E78" s="882"/>
      <c r="F78" s="882" t="s">
        <v>11710</v>
      </c>
      <c r="G78" s="882" t="s">
        <v>9347</v>
      </c>
      <c r="H78" s="1109" t="s">
        <v>9118</v>
      </c>
      <c r="I78" s="1109"/>
      <c r="J78" s="1109" t="s">
        <v>15819</v>
      </c>
      <c r="K78" s="1109" t="s">
        <v>15818</v>
      </c>
      <c r="L78" s="1110" t="s">
        <v>969</v>
      </c>
      <c r="M78" s="883">
        <v>4725000</v>
      </c>
      <c r="N78" s="883" t="s">
        <v>375</v>
      </c>
      <c r="O78" s="883"/>
    </row>
    <row r="79" spans="1:15" s="1111" customFormat="1" ht="24.75" customHeight="1">
      <c r="A79" s="990">
        <v>78</v>
      </c>
      <c r="B79" s="882" t="s">
        <v>267</v>
      </c>
      <c r="C79" s="882" t="s">
        <v>7520</v>
      </c>
      <c r="D79" s="882" t="s">
        <v>9434</v>
      </c>
      <c r="E79" s="882"/>
      <c r="F79" s="882" t="s">
        <v>9435</v>
      </c>
      <c r="G79" s="882" t="s">
        <v>9340</v>
      </c>
      <c r="H79" s="1109" t="s">
        <v>9436</v>
      </c>
      <c r="I79" s="1109"/>
      <c r="J79" s="1109"/>
      <c r="K79" s="1109"/>
      <c r="L79" s="1110" t="s">
        <v>201</v>
      </c>
      <c r="M79" s="883">
        <v>2210000</v>
      </c>
      <c r="N79" s="883"/>
      <c r="O79" s="883"/>
    </row>
    <row r="80" spans="1:15" s="1111" customFormat="1" ht="24.75" customHeight="1">
      <c r="A80" s="990">
        <v>79</v>
      </c>
      <c r="B80" s="882" t="s">
        <v>1595</v>
      </c>
      <c r="C80" s="882" t="s">
        <v>1598</v>
      </c>
      <c r="D80" s="882" t="s">
        <v>9440</v>
      </c>
      <c r="E80" s="882"/>
      <c r="F80" s="882" t="s">
        <v>11712</v>
      </c>
      <c r="G80" s="882" t="s">
        <v>9340</v>
      </c>
      <c r="H80" s="1109" t="s">
        <v>9441</v>
      </c>
      <c r="I80" s="1109"/>
      <c r="J80" s="1109"/>
      <c r="K80" s="1109"/>
      <c r="L80" s="1110" t="s">
        <v>201</v>
      </c>
      <c r="M80" s="883">
        <v>2210000</v>
      </c>
      <c r="N80" s="883"/>
      <c r="O80" s="883"/>
    </row>
    <row r="81" spans="1:16" s="1111" customFormat="1" ht="24.75" customHeight="1">
      <c r="A81" s="990">
        <v>80</v>
      </c>
      <c r="B81" s="882" t="s">
        <v>1595</v>
      </c>
      <c r="C81" s="882" t="s">
        <v>1602</v>
      </c>
      <c r="D81" s="882" t="s">
        <v>1539</v>
      </c>
      <c r="E81" s="882"/>
      <c r="F81" s="882" t="s">
        <v>11713</v>
      </c>
      <c r="G81" s="882" t="s">
        <v>9340</v>
      </c>
      <c r="H81" s="1109" t="s">
        <v>9442</v>
      </c>
      <c r="I81" s="1109"/>
      <c r="J81" s="1109"/>
      <c r="K81" s="1109"/>
      <c r="L81" s="1110" t="s">
        <v>201</v>
      </c>
      <c r="M81" s="883">
        <v>2210000</v>
      </c>
      <c r="N81" s="883"/>
      <c r="O81" s="883"/>
    </row>
    <row r="82" spans="1:16" s="1111" customFormat="1" ht="24.75" customHeight="1">
      <c r="A82" s="990">
        <v>81</v>
      </c>
      <c r="B82" s="882" t="s">
        <v>423</v>
      </c>
      <c r="C82" s="882" t="s">
        <v>423</v>
      </c>
      <c r="D82" s="882" t="s">
        <v>1551</v>
      </c>
      <c r="E82" s="882"/>
      <c r="F82" s="882" t="s">
        <v>11714</v>
      </c>
      <c r="G82" s="882" t="s">
        <v>9340</v>
      </c>
      <c r="H82" s="1109" t="s">
        <v>1574</v>
      </c>
      <c r="I82" s="1109"/>
      <c r="J82" s="1109"/>
      <c r="K82" s="1109"/>
      <c r="L82" s="1110" t="s">
        <v>201</v>
      </c>
      <c r="M82" s="883">
        <v>2210000</v>
      </c>
      <c r="N82" s="883"/>
      <c r="O82" s="883"/>
    </row>
    <row r="83" spans="1:16" s="1111" customFormat="1" ht="24.75" customHeight="1">
      <c r="A83" s="990">
        <v>82</v>
      </c>
      <c r="B83" s="882" t="s">
        <v>1595</v>
      </c>
      <c r="C83" s="882" t="s">
        <v>1598</v>
      </c>
      <c r="D83" s="882" t="s">
        <v>9443</v>
      </c>
      <c r="E83" s="882"/>
      <c r="F83" s="882" t="s">
        <v>11715</v>
      </c>
      <c r="G83" s="882" t="s">
        <v>9340</v>
      </c>
      <c r="H83" s="1109" t="s">
        <v>9444</v>
      </c>
      <c r="I83" s="1109"/>
      <c r="J83" s="1109"/>
      <c r="K83" s="1109"/>
      <c r="L83" s="1110" t="s">
        <v>201</v>
      </c>
      <c r="M83" s="883">
        <v>2210000</v>
      </c>
      <c r="N83" s="883"/>
      <c r="O83" s="883"/>
    </row>
    <row r="84" spans="1:16" s="1111" customFormat="1" ht="24.75" customHeight="1">
      <c r="A84" s="990">
        <v>83</v>
      </c>
      <c r="B84" s="882" t="s">
        <v>423</v>
      </c>
      <c r="C84" s="882" t="s">
        <v>423</v>
      </c>
      <c r="D84" s="882" t="s">
        <v>1539</v>
      </c>
      <c r="E84" s="882"/>
      <c r="F84" s="882" t="s">
        <v>11716</v>
      </c>
      <c r="G84" s="882" t="s">
        <v>9340</v>
      </c>
      <c r="H84" s="1109" t="s">
        <v>1568</v>
      </c>
      <c r="I84" s="1109"/>
      <c r="J84" s="1109"/>
      <c r="K84" s="1109"/>
      <c r="L84" s="1110" t="s">
        <v>201</v>
      </c>
      <c r="M84" s="883">
        <v>2210000</v>
      </c>
      <c r="N84" s="883"/>
      <c r="O84" s="883"/>
    </row>
    <row r="85" spans="1:16" s="1111" customFormat="1" ht="24.75" customHeight="1">
      <c r="A85" s="990">
        <v>84</v>
      </c>
      <c r="B85" s="882" t="s">
        <v>2476</v>
      </c>
      <c r="C85" s="882" t="s">
        <v>2476</v>
      </c>
      <c r="D85" s="882" t="s">
        <v>9403</v>
      </c>
      <c r="E85" s="882"/>
      <c r="F85" s="882" t="s">
        <v>11717</v>
      </c>
      <c r="G85" s="882" t="s">
        <v>9340</v>
      </c>
      <c r="H85" s="1109" t="s">
        <v>7592</v>
      </c>
      <c r="I85" s="1109"/>
      <c r="J85" s="1109"/>
      <c r="K85" s="1109"/>
      <c r="L85" s="1110" t="s">
        <v>201</v>
      </c>
      <c r="M85" s="883">
        <v>2210000</v>
      </c>
      <c r="N85" s="883"/>
      <c r="O85" s="883"/>
    </row>
    <row r="86" spans="1:16" s="1111" customFormat="1" ht="24.75" customHeight="1">
      <c r="A86" s="990">
        <v>85</v>
      </c>
      <c r="B86" s="882" t="s">
        <v>1595</v>
      </c>
      <c r="C86" s="882" t="s">
        <v>1598</v>
      </c>
      <c r="D86" s="882" t="s">
        <v>9443</v>
      </c>
      <c r="E86" s="882"/>
      <c r="F86" s="882" t="s">
        <v>11718</v>
      </c>
      <c r="G86" s="882" t="s">
        <v>9340</v>
      </c>
      <c r="H86" s="1109" t="s">
        <v>9445</v>
      </c>
      <c r="I86" s="1109"/>
      <c r="J86" s="1109"/>
      <c r="K86" s="1109"/>
      <c r="L86" s="1110" t="s">
        <v>201</v>
      </c>
      <c r="M86" s="883">
        <v>2210000</v>
      </c>
      <c r="N86" s="883"/>
      <c r="O86" s="883"/>
      <c r="P86" s="1111" t="s">
        <v>15970</v>
      </c>
    </row>
    <row r="87" spans="1:16" s="1111" customFormat="1" ht="24.75" customHeight="1">
      <c r="A87" s="990">
        <v>86</v>
      </c>
      <c r="B87" s="882" t="s">
        <v>3018</v>
      </c>
      <c r="C87" s="882" t="s">
        <v>3077</v>
      </c>
      <c r="D87" s="882" t="s">
        <v>3077</v>
      </c>
      <c r="E87" s="882"/>
      <c r="F87" s="882" t="s">
        <v>11719</v>
      </c>
      <c r="G87" s="882" t="s">
        <v>9340</v>
      </c>
      <c r="H87" s="1109" t="s">
        <v>7591</v>
      </c>
      <c r="I87" s="1109"/>
      <c r="J87" s="1109"/>
      <c r="K87" s="1109"/>
      <c r="L87" s="1110" t="s">
        <v>201</v>
      </c>
      <c r="M87" s="883">
        <v>2210000</v>
      </c>
      <c r="N87" s="883"/>
      <c r="O87" s="883"/>
    </row>
    <row r="88" spans="1:16" s="1111" customFormat="1" ht="24.75" customHeight="1">
      <c r="A88" s="990">
        <v>87</v>
      </c>
      <c r="B88" s="882" t="s">
        <v>1592</v>
      </c>
      <c r="C88" s="882" t="s">
        <v>7593</v>
      </c>
      <c r="D88" s="882" t="s">
        <v>7593</v>
      </c>
      <c r="E88" s="882"/>
      <c r="F88" s="882" t="s">
        <v>15971</v>
      </c>
      <c r="G88" s="882" t="s">
        <v>9340</v>
      </c>
      <c r="H88" s="1109" t="s">
        <v>9446</v>
      </c>
      <c r="I88" s="1109"/>
      <c r="J88" s="1109"/>
      <c r="K88" s="1109"/>
      <c r="L88" s="1110" t="s">
        <v>201</v>
      </c>
      <c r="M88" s="883">
        <v>2210000</v>
      </c>
      <c r="N88" s="883"/>
      <c r="O88" s="883"/>
    </row>
    <row r="89" spans="1:16" s="1111" customFormat="1" ht="24.75" customHeight="1">
      <c r="A89" s="990">
        <v>88</v>
      </c>
      <c r="B89" s="882" t="s">
        <v>267</v>
      </c>
      <c r="C89" s="882" t="s">
        <v>267</v>
      </c>
      <c r="D89" s="882" t="s">
        <v>9447</v>
      </c>
      <c r="E89" s="882"/>
      <c r="F89" s="882" t="s">
        <v>11720</v>
      </c>
      <c r="G89" s="882" t="s">
        <v>9340</v>
      </c>
      <c r="H89" s="1109" t="s">
        <v>9448</v>
      </c>
      <c r="I89" s="1109"/>
      <c r="J89" s="1109"/>
      <c r="K89" s="1109"/>
      <c r="L89" s="1110" t="s">
        <v>201</v>
      </c>
      <c r="M89" s="883">
        <v>2210000</v>
      </c>
      <c r="N89" s="883"/>
      <c r="O89" s="883"/>
    </row>
    <row r="90" spans="1:16" s="1111" customFormat="1" ht="24.75" customHeight="1">
      <c r="A90" s="990">
        <v>89</v>
      </c>
      <c r="B90" s="882" t="s">
        <v>7519</v>
      </c>
      <c r="C90" s="882" t="s">
        <v>183</v>
      </c>
      <c r="D90" s="882" t="s">
        <v>1591</v>
      </c>
      <c r="E90" s="882"/>
      <c r="F90" s="882" t="s">
        <v>9449</v>
      </c>
      <c r="G90" s="882" t="s">
        <v>9347</v>
      </c>
      <c r="H90" s="1109" t="s">
        <v>9068</v>
      </c>
      <c r="I90" s="1109"/>
      <c r="J90" s="1109"/>
      <c r="K90" s="1109"/>
      <c r="L90" s="1110" t="s">
        <v>969</v>
      </c>
      <c r="M90" s="883">
        <v>4725000</v>
      </c>
      <c r="N90" s="883"/>
      <c r="O90" s="883"/>
    </row>
    <row r="91" spans="1:16" s="1111" customFormat="1" ht="24.75" customHeight="1">
      <c r="A91" s="990">
        <v>90</v>
      </c>
      <c r="B91" s="882" t="s">
        <v>7519</v>
      </c>
      <c r="C91" s="882" t="s">
        <v>183</v>
      </c>
      <c r="D91" s="882" t="s">
        <v>1591</v>
      </c>
      <c r="E91" s="882"/>
      <c r="F91" s="882" t="s">
        <v>9450</v>
      </c>
      <c r="G91" s="882" t="s">
        <v>9347</v>
      </c>
      <c r="H91" s="1109" t="s">
        <v>9069</v>
      </c>
      <c r="I91" s="1109"/>
      <c r="J91" s="1109"/>
      <c r="K91" s="1109"/>
      <c r="L91" s="1110" t="s">
        <v>969</v>
      </c>
      <c r="M91" s="883">
        <v>4725000</v>
      </c>
      <c r="N91" s="883"/>
      <c r="O91" s="883"/>
    </row>
    <row r="92" spans="1:16" s="1111" customFormat="1" ht="24.75" customHeight="1">
      <c r="A92" s="990">
        <v>91</v>
      </c>
      <c r="B92" s="882" t="s">
        <v>267</v>
      </c>
      <c r="C92" s="882" t="s">
        <v>7520</v>
      </c>
      <c r="D92" s="882" t="s">
        <v>9451</v>
      </c>
      <c r="E92" s="882"/>
      <c r="F92" s="882" t="s">
        <v>11499</v>
      </c>
      <c r="G92" s="882" t="s">
        <v>9347</v>
      </c>
      <c r="H92" s="1109" t="s">
        <v>9066</v>
      </c>
      <c r="I92" s="1109"/>
      <c r="J92" s="1109"/>
      <c r="K92" s="1109"/>
      <c r="L92" s="1110" t="s">
        <v>969</v>
      </c>
      <c r="M92" s="883">
        <v>4725000</v>
      </c>
      <c r="N92" s="883"/>
      <c r="O92" s="883"/>
    </row>
    <row r="93" spans="1:16" s="1111" customFormat="1" ht="24.75" customHeight="1">
      <c r="A93" s="990">
        <v>92</v>
      </c>
      <c r="B93" s="882" t="s">
        <v>933</v>
      </c>
      <c r="C93" s="882" t="s">
        <v>3328</v>
      </c>
      <c r="D93" s="882" t="s">
        <v>9452</v>
      </c>
      <c r="E93" s="882"/>
      <c r="F93" s="882" t="s">
        <v>11721</v>
      </c>
      <c r="G93" s="882" t="s">
        <v>9347</v>
      </c>
      <c r="H93" s="1109" t="s">
        <v>9130</v>
      </c>
      <c r="I93" s="1109"/>
      <c r="J93" s="1109" t="s">
        <v>12074</v>
      </c>
      <c r="K93" s="1109" t="s">
        <v>12073</v>
      </c>
      <c r="L93" s="1110" t="s">
        <v>969</v>
      </c>
      <c r="M93" s="883">
        <v>4725000</v>
      </c>
      <c r="N93" s="883" t="s">
        <v>375</v>
      </c>
      <c r="O93" s="883"/>
    </row>
    <row r="94" spans="1:16" s="1111" customFormat="1" ht="24.75" customHeight="1">
      <c r="A94" s="990">
        <v>93</v>
      </c>
      <c r="B94" s="882" t="s">
        <v>1592</v>
      </c>
      <c r="C94" s="882" t="s">
        <v>1594</v>
      </c>
      <c r="D94" s="882" t="s">
        <v>7845</v>
      </c>
      <c r="E94" s="882"/>
      <c r="F94" s="882" t="s">
        <v>11722</v>
      </c>
      <c r="G94" s="882" t="s">
        <v>9347</v>
      </c>
      <c r="H94" s="1109" t="s">
        <v>9105</v>
      </c>
      <c r="I94" s="1109"/>
      <c r="J94" s="1109"/>
      <c r="K94" s="1109"/>
      <c r="L94" s="1110" t="s">
        <v>969</v>
      </c>
      <c r="M94" s="883">
        <v>4725000</v>
      </c>
      <c r="N94" s="883"/>
      <c r="O94" s="883"/>
    </row>
    <row r="95" spans="1:16" s="1111" customFormat="1" ht="24.75" customHeight="1">
      <c r="A95" s="990">
        <v>94</v>
      </c>
      <c r="B95" s="882" t="s">
        <v>423</v>
      </c>
      <c r="C95" s="882" t="s">
        <v>423</v>
      </c>
      <c r="D95" s="882" t="s">
        <v>1547</v>
      </c>
      <c r="E95" s="882"/>
      <c r="F95" s="882" t="s">
        <v>11723</v>
      </c>
      <c r="G95" s="882" t="s">
        <v>9340</v>
      </c>
      <c r="H95" s="1109" t="s">
        <v>1579</v>
      </c>
      <c r="I95" s="1109"/>
      <c r="J95" s="1109"/>
      <c r="K95" s="1109"/>
      <c r="L95" s="1110" t="s">
        <v>201</v>
      </c>
      <c r="M95" s="883">
        <v>2210000</v>
      </c>
      <c r="N95" s="883"/>
      <c r="O95" s="883"/>
    </row>
    <row r="96" spans="1:16" s="1111" customFormat="1" ht="24.75" customHeight="1">
      <c r="A96" s="990">
        <v>95</v>
      </c>
      <c r="B96" s="882" t="s">
        <v>3018</v>
      </c>
      <c r="C96" s="882" t="s">
        <v>3018</v>
      </c>
      <c r="D96" s="882" t="s">
        <v>9453</v>
      </c>
      <c r="E96" s="882"/>
      <c r="F96" s="882" t="s">
        <v>9454</v>
      </c>
      <c r="G96" s="882" t="s">
        <v>9347</v>
      </c>
      <c r="H96" s="1109" t="s">
        <v>9129</v>
      </c>
      <c r="I96" s="1109"/>
      <c r="J96" s="1109"/>
      <c r="K96" s="1109"/>
      <c r="L96" s="1110" t="s">
        <v>969</v>
      </c>
      <c r="M96" s="883">
        <v>4725000</v>
      </c>
      <c r="N96" s="883"/>
      <c r="O96" s="883"/>
    </row>
    <row r="97" spans="1:15" s="1111" customFormat="1" ht="24.75" customHeight="1">
      <c r="A97" s="990">
        <v>96</v>
      </c>
      <c r="B97" s="882" t="s">
        <v>1595</v>
      </c>
      <c r="C97" s="882" t="s">
        <v>1598</v>
      </c>
      <c r="D97" s="882" t="s">
        <v>9455</v>
      </c>
      <c r="E97" s="882"/>
      <c r="F97" s="882" t="s">
        <v>11724</v>
      </c>
      <c r="G97" s="882" t="s">
        <v>9347</v>
      </c>
      <c r="H97" s="1109" t="s">
        <v>9106</v>
      </c>
      <c r="I97" s="1109"/>
      <c r="J97" s="1109"/>
      <c r="K97" s="1109"/>
      <c r="L97" s="1110" t="s">
        <v>969</v>
      </c>
      <c r="M97" s="883">
        <v>4725000</v>
      </c>
      <c r="N97" s="883"/>
      <c r="O97" s="883"/>
    </row>
    <row r="98" spans="1:15" s="1111" customFormat="1" ht="24.75" customHeight="1">
      <c r="A98" s="990">
        <v>97</v>
      </c>
      <c r="B98" s="882" t="s">
        <v>3467</v>
      </c>
      <c r="C98" s="882" t="s">
        <v>3489</v>
      </c>
      <c r="D98" s="882">
        <v>488</v>
      </c>
      <c r="E98" s="882"/>
      <c r="F98" s="882" t="s">
        <v>9456</v>
      </c>
      <c r="G98" s="882" t="s">
        <v>9347</v>
      </c>
      <c r="H98" s="1109" t="s">
        <v>7533</v>
      </c>
      <c r="I98" s="1109"/>
      <c r="J98" s="1109"/>
      <c r="K98" s="1109"/>
      <c r="L98" s="1110" t="s">
        <v>969</v>
      </c>
      <c r="M98" s="883">
        <v>4725000</v>
      </c>
      <c r="N98" s="883"/>
      <c r="O98" s="883"/>
    </row>
    <row r="99" spans="1:15" s="1111" customFormat="1" ht="24.75" customHeight="1">
      <c r="A99" s="990">
        <v>98</v>
      </c>
      <c r="B99" s="882" t="s">
        <v>423</v>
      </c>
      <c r="C99" s="882" t="s">
        <v>648</v>
      </c>
      <c r="D99" s="882">
        <v>465</v>
      </c>
      <c r="E99" s="882"/>
      <c r="F99" s="882" t="s">
        <v>9457</v>
      </c>
      <c r="G99" s="882" t="s">
        <v>9347</v>
      </c>
      <c r="H99" s="1109" t="s">
        <v>7534</v>
      </c>
      <c r="I99" s="1109"/>
      <c r="J99" s="1109"/>
      <c r="K99" s="1109"/>
      <c r="L99" s="1110" t="s">
        <v>969</v>
      </c>
      <c r="M99" s="883">
        <v>4725000</v>
      </c>
      <c r="N99" s="883"/>
      <c r="O99" s="883"/>
    </row>
    <row r="100" spans="1:15" s="1111" customFormat="1" ht="24.75" customHeight="1">
      <c r="A100" s="990">
        <v>99</v>
      </c>
      <c r="B100" s="882" t="s">
        <v>2449</v>
      </c>
      <c r="C100" s="882" t="s">
        <v>2449</v>
      </c>
      <c r="D100" s="882" t="s">
        <v>9342</v>
      </c>
      <c r="E100" s="882"/>
      <c r="F100" s="882" t="s">
        <v>9460</v>
      </c>
      <c r="G100" s="882" t="s">
        <v>9347</v>
      </c>
      <c r="H100" s="1109" t="s">
        <v>9114</v>
      </c>
      <c r="I100" s="1109"/>
      <c r="J100" s="1109"/>
      <c r="K100" s="1109"/>
      <c r="L100" s="1110" t="s">
        <v>969</v>
      </c>
      <c r="M100" s="883">
        <v>4725000</v>
      </c>
      <c r="N100" s="883"/>
      <c r="O100" s="883"/>
    </row>
    <row r="101" spans="1:15" s="1111" customFormat="1" ht="24.75" customHeight="1">
      <c r="A101" s="990">
        <v>100</v>
      </c>
      <c r="B101" s="882" t="s">
        <v>1595</v>
      </c>
      <c r="C101" s="882" t="s">
        <v>1596</v>
      </c>
      <c r="D101" s="882" t="s">
        <v>9461</v>
      </c>
      <c r="E101" s="882"/>
      <c r="F101" s="882" t="s">
        <v>15972</v>
      </c>
      <c r="G101" s="882" t="s">
        <v>9340</v>
      </c>
      <c r="H101" s="1109" t="s">
        <v>7589</v>
      </c>
      <c r="I101" s="1109"/>
      <c r="J101" s="1109"/>
      <c r="K101" s="1109"/>
      <c r="L101" s="1110" t="s">
        <v>201</v>
      </c>
      <c r="M101" s="883">
        <v>2210000</v>
      </c>
      <c r="N101" s="883"/>
      <c r="O101" s="883"/>
    </row>
    <row r="102" spans="1:15" s="1111" customFormat="1" ht="24.75" customHeight="1">
      <c r="A102" s="990">
        <v>101</v>
      </c>
      <c r="B102" s="882" t="s">
        <v>1609</v>
      </c>
      <c r="C102" s="882" t="s">
        <v>1610</v>
      </c>
      <c r="D102" s="882" t="s">
        <v>9382</v>
      </c>
      <c r="E102" s="882"/>
      <c r="F102" s="882" t="s">
        <v>11725</v>
      </c>
      <c r="G102" s="882" t="s">
        <v>9340</v>
      </c>
      <c r="H102" s="1109" t="s">
        <v>9462</v>
      </c>
      <c r="I102" s="1109"/>
      <c r="J102" s="1109"/>
      <c r="K102" s="1109"/>
      <c r="L102" s="1110" t="s">
        <v>201</v>
      </c>
      <c r="M102" s="883">
        <v>2210000</v>
      </c>
      <c r="N102" s="883"/>
      <c r="O102" s="883"/>
    </row>
    <row r="103" spans="1:15" s="1111" customFormat="1" ht="24.75" customHeight="1">
      <c r="A103" s="990">
        <v>102</v>
      </c>
      <c r="B103" s="882" t="s">
        <v>1595</v>
      </c>
      <c r="C103" s="882" t="s">
        <v>1599</v>
      </c>
      <c r="D103" s="882" t="s">
        <v>9425</v>
      </c>
      <c r="E103" s="882"/>
      <c r="F103" s="882" t="s">
        <v>11727</v>
      </c>
      <c r="G103" s="882" t="s">
        <v>9340</v>
      </c>
      <c r="H103" s="1109" t="s">
        <v>9463</v>
      </c>
      <c r="I103" s="1109"/>
      <c r="J103" s="1109"/>
      <c r="K103" s="1109"/>
      <c r="L103" s="1110" t="s">
        <v>201</v>
      </c>
      <c r="M103" s="883">
        <v>2210000</v>
      </c>
      <c r="N103" s="883"/>
      <c r="O103" s="883"/>
    </row>
    <row r="104" spans="1:15" s="1111" customFormat="1" ht="24.75" customHeight="1">
      <c r="A104" s="990">
        <v>103</v>
      </c>
      <c r="B104" s="882" t="s">
        <v>1609</v>
      </c>
      <c r="C104" s="882" t="s">
        <v>2420</v>
      </c>
      <c r="D104" s="882" t="s">
        <v>9464</v>
      </c>
      <c r="E104" s="882"/>
      <c r="F104" s="882" t="s">
        <v>9465</v>
      </c>
      <c r="G104" s="882" t="s">
        <v>9347</v>
      </c>
      <c r="H104" s="1109" t="s">
        <v>9466</v>
      </c>
      <c r="I104" s="1109"/>
      <c r="J104" s="1109"/>
      <c r="K104" s="1109"/>
      <c r="L104" s="1110" t="s">
        <v>969</v>
      </c>
      <c r="M104" s="883">
        <v>4725000</v>
      </c>
      <c r="N104" s="883"/>
      <c r="O104" s="883"/>
    </row>
    <row r="105" spans="1:15" s="1111" customFormat="1" ht="24.75" customHeight="1">
      <c r="A105" s="990">
        <v>104</v>
      </c>
      <c r="B105" s="882" t="s">
        <v>1506</v>
      </c>
      <c r="C105" s="882" t="s">
        <v>1507</v>
      </c>
      <c r="D105" s="882" t="s">
        <v>1601</v>
      </c>
      <c r="E105" s="882"/>
      <c r="F105" s="882" t="s">
        <v>11729</v>
      </c>
      <c r="G105" s="882" t="s">
        <v>9347</v>
      </c>
      <c r="H105" s="1109" t="s">
        <v>9104</v>
      </c>
      <c r="I105" s="1109"/>
      <c r="J105" s="1109" t="s">
        <v>15604</v>
      </c>
      <c r="K105" s="1109" t="s">
        <v>15603</v>
      </c>
      <c r="L105" s="1110" t="s">
        <v>969</v>
      </c>
      <c r="M105" s="883">
        <v>4725000</v>
      </c>
      <c r="N105" s="883" t="s">
        <v>375</v>
      </c>
      <c r="O105" s="883"/>
    </row>
    <row r="106" spans="1:15" s="1111" customFormat="1" ht="24.75" customHeight="1">
      <c r="A106" s="990">
        <v>105</v>
      </c>
      <c r="B106" s="882" t="s">
        <v>334</v>
      </c>
      <c r="C106" s="882" t="s">
        <v>334</v>
      </c>
      <c r="D106" s="882" t="s">
        <v>334</v>
      </c>
      <c r="E106" s="882"/>
      <c r="F106" s="882" t="s">
        <v>11730</v>
      </c>
      <c r="G106" s="882" t="s">
        <v>9347</v>
      </c>
      <c r="H106" s="1109" t="s">
        <v>9127</v>
      </c>
      <c r="I106" s="1109"/>
      <c r="J106" s="1109"/>
      <c r="K106" s="1109"/>
      <c r="L106" s="1110" t="s">
        <v>969</v>
      </c>
      <c r="M106" s="883">
        <v>4725000</v>
      </c>
      <c r="N106" s="883"/>
      <c r="O106" s="883"/>
    </row>
    <row r="107" spans="1:15" s="1111" customFormat="1" ht="24.75" customHeight="1">
      <c r="A107" s="990">
        <v>106</v>
      </c>
      <c r="B107" s="882" t="s">
        <v>3212</v>
      </c>
      <c r="C107" s="882" t="s">
        <v>3251</v>
      </c>
      <c r="D107" s="882" t="s">
        <v>3251</v>
      </c>
      <c r="E107" s="882"/>
      <c r="F107" s="882" t="s">
        <v>9467</v>
      </c>
      <c r="G107" s="882" t="s">
        <v>9347</v>
      </c>
      <c r="H107" s="1109" t="s">
        <v>9131</v>
      </c>
      <c r="I107" s="1109"/>
      <c r="J107" s="1109"/>
      <c r="K107" s="1109"/>
      <c r="L107" s="1110" t="s">
        <v>969</v>
      </c>
      <c r="M107" s="883">
        <v>4725000</v>
      </c>
      <c r="N107" s="883"/>
      <c r="O107" s="883"/>
    </row>
    <row r="108" spans="1:15" s="1111" customFormat="1" ht="24.75" customHeight="1">
      <c r="A108" s="990">
        <v>107</v>
      </c>
      <c r="B108" s="882" t="s">
        <v>423</v>
      </c>
      <c r="C108" s="882" t="s">
        <v>423</v>
      </c>
      <c r="D108" s="882" t="s">
        <v>1555</v>
      </c>
      <c r="E108" s="882"/>
      <c r="F108" s="882" t="s">
        <v>9468</v>
      </c>
      <c r="G108" s="882" t="s">
        <v>9340</v>
      </c>
      <c r="H108" s="1109" t="s">
        <v>1589</v>
      </c>
      <c r="I108" s="1109"/>
      <c r="J108" s="1109"/>
      <c r="K108" s="1109"/>
      <c r="L108" s="1110" t="s">
        <v>201</v>
      </c>
      <c r="M108" s="883">
        <v>2210000</v>
      </c>
      <c r="N108" s="883"/>
      <c r="O108" s="883"/>
    </row>
    <row r="109" spans="1:15" s="1111" customFormat="1" ht="24.75" customHeight="1">
      <c r="A109" s="990">
        <v>108</v>
      </c>
      <c r="B109" s="882" t="s">
        <v>423</v>
      </c>
      <c r="C109" s="882" t="s">
        <v>950</v>
      </c>
      <c r="D109" s="882" t="s">
        <v>1540</v>
      </c>
      <c r="E109" s="882"/>
      <c r="F109" s="882" t="s">
        <v>11732</v>
      </c>
      <c r="G109" s="882" t="s">
        <v>9340</v>
      </c>
      <c r="H109" s="1109" t="s">
        <v>9469</v>
      </c>
      <c r="I109" s="1109"/>
      <c r="J109" s="1109"/>
      <c r="K109" s="1109"/>
      <c r="L109" s="1110" t="s">
        <v>201</v>
      </c>
      <c r="M109" s="883">
        <v>2210000</v>
      </c>
      <c r="N109" s="883"/>
      <c r="O109" s="883"/>
    </row>
    <row r="110" spans="1:15" s="1111" customFormat="1" ht="24.75" customHeight="1">
      <c r="A110" s="990">
        <v>109</v>
      </c>
      <c r="B110" s="882" t="s">
        <v>423</v>
      </c>
      <c r="C110" s="882" t="s">
        <v>423</v>
      </c>
      <c r="D110" s="882" t="s">
        <v>1550</v>
      </c>
      <c r="E110" s="882"/>
      <c r="F110" s="882" t="s">
        <v>11733</v>
      </c>
      <c r="G110" s="882" t="s">
        <v>9340</v>
      </c>
      <c r="H110" s="1109" t="s">
        <v>1585</v>
      </c>
      <c r="I110" s="1109"/>
      <c r="J110" s="1109"/>
      <c r="K110" s="1109"/>
      <c r="L110" s="1110" t="s">
        <v>201</v>
      </c>
      <c r="M110" s="883">
        <v>2210000</v>
      </c>
      <c r="N110" s="883"/>
      <c r="O110" s="883"/>
    </row>
    <row r="111" spans="1:15" s="1111" customFormat="1" ht="24.75" customHeight="1">
      <c r="A111" s="990">
        <v>110</v>
      </c>
      <c r="B111" s="882" t="s">
        <v>423</v>
      </c>
      <c r="C111" s="882" t="s">
        <v>423</v>
      </c>
      <c r="D111" s="882" t="s">
        <v>9418</v>
      </c>
      <c r="E111" s="882"/>
      <c r="F111" s="882" t="s">
        <v>11734</v>
      </c>
      <c r="G111" s="882" t="s">
        <v>9347</v>
      </c>
      <c r="H111" s="1109" t="s">
        <v>9084</v>
      </c>
      <c r="I111" s="1109"/>
      <c r="J111" s="1109"/>
      <c r="K111" s="1109"/>
      <c r="L111" s="1110" t="s">
        <v>969</v>
      </c>
      <c r="M111" s="883">
        <v>4725000</v>
      </c>
      <c r="N111" s="883"/>
      <c r="O111" s="883"/>
    </row>
    <row r="112" spans="1:15" s="1111" customFormat="1" ht="24.75" customHeight="1">
      <c r="A112" s="990">
        <v>111</v>
      </c>
      <c r="B112" s="882" t="s">
        <v>9361</v>
      </c>
      <c r="C112" s="882" t="s">
        <v>4896</v>
      </c>
      <c r="D112" s="882" t="s">
        <v>9470</v>
      </c>
      <c r="E112" s="882"/>
      <c r="F112" s="882" t="s">
        <v>11735</v>
      </c>
      <c r="G112" s="882" t="s">
        <v>9347</v>
      </c>
      <c r="H112" s="1109" t="s">
        <v>9136</v>
      </c>
      <c r="I112" s="1109"/>
      <c r="J112" s="1109"/>
      <c r="K112" s="1109"/>
      <c r="L112" s="1110" t="s">
        <v>969</v>
      </c>
      <c r="M112" s="883">
        <v>4725000</v>
      </c>
      <c r="N112" s="883"/>
      <c r="O112" s="883"/>
    </row>
    <row r="113" spans="1:15" s="1111" customFormat="1" ht="24.75" customHeight="1">
      <c r="A113" s="990">
        <v>112</v>
      </c>
      <c r="B113" s="882" t="s">
        <v>1595</v>
      </c>
      <c r="C113" s="882" t="s">
        <v>1598</v>
      </c>
      <c r="D113" s="882" t="s">
        <v>9471</v>
      </c>
      <c r="E113" s="882"/>
      <c r="F113" s="882" t="s">
        <v>9472</v>
      </c>
      <c r="G113" s="882" t="s">
        <v>9347</v>
      </c>
      <c r="H113" s="1109" t="s">
        <v>9473</v>
      </c>
      <c r="I113" s="1109"/>
      <c r="J113" s="1109"/>
      <c r="K113" s="1109"/>
      <c r="L113" s="1110" t="s">
        <v>969</v>
      </c>
      <c r="M113" s="883">
        <v>4725000</v>
      </c>
      <c r="N113" s="883"/>
      <c r="O113" s="883"/>
    </row>
    <row r="114" spans="1:15" s="1111" customFormat="1" ht="24.75" customHeight="1">
      <c r="A114" s="990">
        <v>113</v>
      </c>
      <c r="B114" s="882" t="s">
        <v>7517</v>
      </c>
      <c r="C114" s="882" t="s">
        <v>2593</v>
      </c>
      <c r="D114" s="882" t="s">
        <v>1554</v>
      </c>
      <c r="E114" s="882"/>
      <c r="F114" s="882" t="s">
        <v>9474</v>
      </c>
      <c r="G114" s="882" t="s">
        <v>9347</v>
      </c>
      <c r="H114" s="1109" t="s">
        <v>9122</v>
      </c>
      <c r="I114" s="1109"/>
      <c r="J114" s="1109"/>
      <c r="K114" s="1109"/>
      <c r="L114" s="1110" t="s">
        <v>969</v>
      </c>
      <c r="M114" s="883">
        <v>4725000</v>
      </c>
      <c r="N114" s="883"/>
      <c r="O114" s="883"/>
    </row>
    <row r="115" spans="1:15" s="1111" customFormat="1" ht="24.75" customHeight="1">
      <c r="A115" s="990">
        <v>114</v>
      </c>
      <c r="B115" s="882" t="s">
        <v>3873</v>
      </c>
      <c r="C115" s="882" t="s">
        <v>7516</v>
      </c>
      <c r="D115" s="882" t="s">
        <v>7516</v>
      </c>
      <c r="E115" s="882"/>
      <c r="F115" s="882" t="s">
        <v>9475</v>
      </c>
      <c r="G115" s="882" t="s">
        <v>9347</v>
      </c>
      <c r="H115" s="1109" t="s">
        <v>9139</v>
      </c>
      <c r="I115" s="1109"/>
      <c r="J115" s="1109"/>
      <c r="K115" s="1109"/>
      <c r="L115" s="1110" t="s">
        <v>969</v>
      </c>
      <c r="M115" s="883">
        <v>4725000</v>
      </c>
      <c r="N115" s="883"/>
      <c r="O115" s="883"/>
    </row>
    <row r="116" spans="1:15" s="1111" customFormat="1" ht="24.75" customHeight="1">
      <c r="A116" s="990">
        <v>115</v>
      </c>
      <c r="B116" s="882" t="s">
        <v>423</v>
      </c>
      <c r="C116" s="882" t="s">
        <v>423</v>
      </c>
      <c r="D116" s="882" t="s">
        <v>9418</v>
      </c>
      <c r="E116" s="882"/>
      <c r="F116" s="882" t="s">
        <v>11736</v>
      </c>
      <c r="G116" s="882" t="s">
        <v>9347</v>
      </c>
      <c r="H116" s="1109" t="s">
        <v>9082</v>
      </c>
      <c r="I116" s="1109"/>
      <c r="J116" s="1109" t="s">
        <v>12086</v>
      </c>
      <c r="K116" s="1109" t="s">
        <v>1104</v>
      </c>
      <c r="L116" s="1110" t="s">
        <v>969</v>
      </c>
      <c r="M116" s="883">
        <v>4725000</v>
      </c>
      <c r="N116" s="883" t="s">
        <v>375</v>
      </c>
      <c r="O116" s="883"/>
    </row>
    <row r="117" spans="1:15" s="1111" customFormat="1" ht="24.75" customHeight="1">
      <c r="A117" s="990">
        <v>116</v>
      </c>
      <c r="B117" s="882" t="s">
        <v>267</v>
      </c>
      <c r="C117" s="882" t="s">
        <v>7520</v>
      </c>
      <c r="D117" s="882" t="s">
        <v>7846</v>
      </c>
      <c r="E117" s="882"/>
      <c r="F117" s="882" t="s">
        <v>11737</v>
      </c>
      <c r="G117" s="882" t="s">
        <v>9340</v>
      </c>
      <c r="H117" s="1109" t="s">
        <v>7585</v>
      </c>
      <c r="I117" s="1109"/>
      <c r="J117" s="1109"/>
      <c r="K117" s="1109"/>
      <c r="L117" s="1110" t="s">
        <v>201</v>
      </c>
      <c r="M117" s="883">
        <v>2210000</v>
      </c>
      <c r="N117" s="883"/>
      <c r="O117" s="883"/>
    </row>
    <row r="118" spans="1:15" s="1111" customFormat="1" ht="24.75" customHeight="1">
      <c r="A118" s="990">
        <v>117</v>
      </c>
      <c r="B118" s="882" t="s">
        <v>423</v>
      </c>
      <c r="C118" s="882" t="s">
        <v>423</v>
      </c>
      <c r="D118" s="882" t="s">
        <v>1559</v>
      </c>
      <c r="E118" s="882"/>
      <c r="F118" s="882" t="s">
        <v>11738</v>
      </c>
      <c r="G118" s="882" t="s">
        <v>9347</v>
      </c>
      <c r="H118" s="1109" t="s">
        <v>9085</v>
      </c>
      <c r="I118" s="1109"/>
      <c r="J118" s="1109"/>
      <c r="K118" s="1109"/>
      <c r="L118" s="1110" t="s">
        <v>969</v>
      </c>
      <c r="M118" s="883">
        <v>4725000</v>
      </c>
      <c r="N118" s="883"/>
      <c r="O118" s="883"/>
    </row>
    <row r="119" spans="1:15" s="1111" customFormat="1" ht="24.75" customHeight="1">
      <c r="A119" s="990">
        <v>118</v>
      </c>
      <c r="B119" s="882" t="s">
        <v>423</v>
      </c>
      <c r="C119" s="882" t="s">
        <v>423</v>
      </c>
      <c r="D119" s="882" t="s">
        <v>9418</v>
      </c>
      <c r="E119" s="882"/>
      <c r="F119" s="882" t="s">
        <v>11739</v>
      </c>
      <c r="G119" s="882" t="s">
        <v>9347</v>
      </c>
      <c r="H119" s="1109" t="s">
        <v>9083</v>
      </c>
      <c r="I119" s="1109"/>
      <c r="J119" s="1109"/>
      <c r="K119" s="1109"/>
      <c r="L119" s="1110" t="s">
        <v>969</v>
      </c>
      <c r="M119" s="883">
        <v>4725000</v>
      </c>
      <c r="N119" s="883"/>
      <c r="O119" s="883"/>
    </row>
    <row r="120" spans="1:15" s="1111" customFormat="1" ht="24.75" customHeight="1">
      <c r="A120" s="990">
        <v>119</v>
      </c>
      <c r="B120" s="882" t="s">
        <v>267</v>
      </c>
      <c r="C120" s="882" t="s">
        <v>267</v>
      </c>
      <c r="D120" s="882" t="s">
        <v>9476</v>
      </c>
      <c r="E120" s="882"/>
      <c r="F120" s="882" t="s">
        <v>11500</v>
      </c>
      <c r="G120" s="882" t="s">
        <v>9347</v>
      </c>
      <c r="H120" s="1109" t="s">
        <v>7536</v>
      </c>
      <c r="I120" s="1109"/>
      <c r="J120" s="1109"/>
      <c r="K120" s="1109"/>
      <c r="L120" s="1110" t="s">
        <v>969</v>
      </c>
      <c r="M120" s="883">
        <v>4725000</v>
      </c>
      <c r="N120" s="883"/>
      <c r="O120" s="883"/>
    </row>
    <row r="121" spans="1:15" s="1111" customFormat="1" ht="24.75" customHeight="1">
      <c r="A121" s="990">
        <v>120</v>
      </c>
      <c r="B121" s="882" t="s">
        <v>423</v>
      </c>
      <c r="C121" s="882" t="s">
        <v>423</v>
      </c>
      <c r="D121" s="882" t="s">
        <v>1545</v>
      </c>
      <c r="E121" s="882"/>
      <c r="F121" s="882" t="s">
        <v>9477</v>
      </c>
      <c r="G121" s="882" t="s">
        <v>9347</v>
      </c>
      <c r="H121" s="1109" t="s">
        <v>9081</v>
      </c>
      <c r="I121" s="1109"/>
      <c r="J121" s="1109" t="s">
        <v>15973</v>
      </c>
      <c r="K121" s="1109" t="s">
        <v>12119</v>
      </c>
      <c r="L121" s="1110" t="s">
        <v>969</v>
      </c>
      <c r="M121" s="883">
        <v>4725000</v>
      </c>
      <c r="N121" s="883" t="s">
        <v>375</v>
      </c>
      <c r="O121" s="883"/>
    </row>
    <row r="122" spans="1:15" s="1111" customFormat="1" ht="24.75" customHeight="1">
      <c r="A122" s="990">
        <v>121</v>
      </c>
      <c r="B122" s="882" t="s">
        <v>2449</v>
      </c>
      <c r="C122" s="882" t="s">
        <v>2449</v>
      </c>
      <c r="D122" s="882" t="s">
        <v>9478</v>
      </c>
      <c r="E122" s="882"/>
      <c r="F122" s="882" t="s">
        <v>11696</v>
      </c>
      <c r="G122" s="882" t="s">
        <v>9347</v>
      </c>
      <c r="H122" s="1109" t="s">
        <v>9113</v>
      </c>
      <c r="I122" s="1109"/>
      <c r="J122" s="1109"/>
      <c r="K122" s="1109"/>
      <c r="L122" s="1110" t="s">
        <v>969</v>
      </c>
      <c r="M122" s="883">
        <v>4725000</v>
      </c>
      <c r="N122" s="883"/>
      <c r="O122" s="883"/>
    </row>
    <row r="123" spans="1:15" s="1111" customFormat="1" ht="24.75" customHeight="1">
      <c r="A123" s="990">
        <v>122</v>
      </c>
      <c r="B123" s="882" t="s">
        <v>2476</v>
      </c>
      <c r="C123" s="882" t="s">
        <v>2499</v>
      </c>
      <c r="D123" s="882" t="s">
        <v>1542</v>
      </c>
      <c r="E123" s="882"/>
      <c r="F123" s="882" t="s">
        <v>11695</v>
      </c>
      <c r="G123" s="882" t="s">
        <v>9340</v>
      </c>
      <c r="H123" s="1109" t="s">
        <v>7586</v>
      </c>
      <c r="I123" s="1109"/>
      <c r="J123" s="1109"/>
      <c r="K123" s="1109"/>
      <c r="L123" s="1110" t="s">
        <v>201</v>
      </c>
      <c r="M123" s="883">
        <v>2210000</v>
      </c>
      <c r="N123" s="883"/>
      <c r="O123" s="883"/>
    </row>
    <row r="124" spans="1:15" s="1111" customFormat="1" ht="24.75" customHeight="1">
      <c r="A124" s="990">
        <v>123</v>
      </c>
      <c r="B124" s="882" t="s">
        <v>2476</v>
      </c>
      <c r="C124" s="882" t="s">
        <v>2476</v>
      </c>
      <c r="D124" s="882" t="s">
        <v>9479</v>
      </c>
      <c r="E124" s="882"/>
      <c r="F124" s="882" t="s">
        <v>9480</v>
      </c>
      <c r="G124" s="882" t="s">
        <v>9347</v>
      </c>
      <c r="H124" s="1109" t="s">
        <v>9481</v>
      </c>
      <c r="I124" s="1109"/>
      <c r="J124" s="1109"/>
      <c r="K124" s="1109"/>
      <c r="L124" s="1110" t="s">
        <v>969</v>
      </c>
      <c r="M124" s="883">
        <v>4725000</v>
      </c>
      <c r="N124" s="883"/>
      <c r="O124" s="883"/>
    </row>
    <row r="125" spans="1:15" s="1111" customFormat="1" ht="24.75" customHeight="1">
      <c r="A125" s="990">
        <v>124</v>
      </c>
      <c r="B125" s="882" t="s">
        <v>334</v>
      </c>
      <c r="C125" s="882" t="s">
        <v>334</v>
      </c>
      <c r="D125" s="882" t="s">
        <v>258</v>
      </c>
      <c r="E125" s="882"/>
      <c r="F125" s="882" t="s">
        <v>11694</v>
      </c>
      <c r="G125" s="882" t="s">
        <v>9347</v>
      </c>
      <c r="H125" s="1109" t="s">
        <v>9126</v>
      </c>
      <c r="I125" s="1109"/>
      <c r="J125" s="1109" t="s">
        <v>15609</v>
      </c>
      <c r="K125" s="1109" t="s">
        <v>2731</v>
      </c>
      <c r="L125" s="1110" t="s">
        <v>969</v>
      </c>
      <c r="M125" s="883">
        <v>4725000</v>
      </c>
      <c r="N125" s="883" t="s">
        <v>375</v>
      </c>
      <c r="O125" s="883"/>
    </row>
    <row r="126" spans="1:15" s="1111" customFormat="1" ht="24.75" customHeight="1">
      <c r="A126" s="990">
        <v>125</v>
      </c>
      <c r="B126" s="882" t="s">
        <v>1595</v>
      </c>
      <c r="C126" s="882" t="s">
        <v>1598</v>
      </c>
      <c r="D126" s="882" t="s">
        <v>1601</v>
      </c>
      <c r="E126" s="882"/>
      <c r="F126" s="882" t="s">
        <v>11693</v>
      </c>
      <c r="G126" s="882" t="s">
        <v>9340</v>
      </c>
      <c r="H126" s="1109" t="s">
        <v>9482</v>
      </c>
      <c r="I126" s="1109"/>
      <c r="J126" s="1109"/>
      <c r="K126" s="1109"/>
      <c r="L126" s="1110" t="s">
        <v>201</v>
      </c>
      <c r="M126" s="883">
        <v>2210000</v>
      </c>
      <c r="N126" s="883"/>
      <c r="O126" s="883"/>
    </row>
    <row r="127" spans="1:15" s="1111" customFormat="1" ht="24.75" customHeight="1">
      <c r="A127" s="990">
        <v>126</v>
      </c>
      <c r="B127" s="882" t="s">
        <v>1604</v>
      </c>
      <c r="C127" s="882" t="s">
        <v>1607</v>
      </c>
      <c r="D127" s="882" t="s">
        <v>9484</v>
      </c>
      <c r="E127" s="882"/>
      <c r="F127" s="882" t="s">
        <v>9485</v>
      </c>
      <c r="G127" s="882" t="s">
        <v>9347</v>
      </c>
      <c r="H127" s="1109" t="s">
        <v>9486</v>
      </c>
      <c r="I127" s="1109"/>
      <c r="J127" s="1109" t="s">
        <v>15974</v>
      </c>
      <c r="K127" s="1109" t="s">
        <v>12124</v>
      </c>
      <c r="L127" s="1110" t="s">
        <v>969</v>
      </c>
      <c r="M127" s="883">
        <v>4725000</v>
      </c>
      <c r="N127" s="883" t="s">
        <v>375</v>
      </c>
      <c r="O127" s="883"/>
    </row>
    <row r="128" spans="1:15" s="1111" customFormat="1" ht="24.75" customHeight="1">
      <c r="A128" s="990">
        <v>127</v>
      </c>
      <c r="B128" s="882" t="s">
        <v>1595</v>
      </c>
      <c r="C128" s="882" t="s">
        <v>1602</v>
      </c>
      <c r="D128" s="882" t="s">
        <v>1539</v>
      </c>
      <c r="E128" s="882"/>
      <c r="F128" s="882" t="s">
        <v>11692</v>
      </c>
      <c r="G128" s="882" t="s">
        <v>9340</v>
      </c>
      <c r="H128" s="1109" t="s">
        <v>7583</v>
      </c>
      <c r="I128" s="1109"/>
      <c r="J128" s="1109"/>
      <c r="K128" s="1109"/>
      <c r="L128" s="1110" t="s">
        <v>201</v>
      </c>
      <c r="M128" s="883">
        <v>2210000</v>
      </c>
      <c r="N128" s="883"/>
      <c r="O128" s="883"/>
    </row>
    <row r="129" spans="1:15" s="1111" customFormat="1" ht="24.75" customHeight="1">
      <c r="A129" s="990">
        <v>128</v>
      </c>
      <c r="B129" s="882" t="s">
        <v>423</v>
      </c>
      <c r="C129" s="882" t="s">
        <v>423</v>
      </c>
      <c r="D129" s="882" t="s">
        <v>1541</v>
      </c>
      <c r="E129" s="882"/>
      <c r="F129" s="882" t="s">
        <v>11691</v>
      </c>
      <c r="G129" s="882" t="s">
        <v>9340</v>
      </c>
      <c r="H129" s="1109" t="s">
        <v>1570</v>
      </c>
      <c r="I129" s="1109"/>
      <c r="J129" s="1109"/>
      <c r="K129" s="1109"/>
      <c r="L129" s="1110" t="s">
        <v>201</v>
      </c>
      <c r="M129" s="883">
        <v>2210000</v>
      </c>
      <c r="N129" s="883"/>
      <c r="O129" s="883"/>
    </row>
    <row r="130" spans="1:15" s="1111" customFormat="1" ht="24.75" customHeight="1">
      <c r="A130" s="990">
        <v>129</v>
      </c>
      <c r="B130" s="882" t="s">
        <v>1595</v>
      </c>
      <c r="C130" s="882" t="s">
        <v>1598</v>
      </c>
      <c r="D130" s="882" t="s">
        <v>9373</v>
      </c>
      <c r="E130" s="882"/>
      <c r="F130" s="882" t="s">
        <v>11690</v>
      </c>
      <c r="G130" s="882" t="s">
        <v>9340</v>
      </c>
      <c r="H130" s="1109" t="s">
        <v>9487</v>
      </c>
      <c r="I130" s="1109"/>
      <c r="J130" s="1109"/>
      <c r="K130" s="1109"/>
      <c r="L130" s="1110" t="s">
        <v>201</v>
      </c>
      <c r="M130" s="883">
        <v>2210000</v>
      </c>
      <c r="N130" s="883"/>
      <c r="O130" s="883"/>
    </row>
    <row r="131" spans="1:15" s="1111" customFormat="1" ht="24.75" customHeight="1">
      <c r="A131" s="990">
        <v>130</v>
      </c>
      <c r="B131" s="882" t="s">
        <v>3018</v>
      </c>
      <c r="C131" s="882" t="s">
        <v>3018</v>
      </c>
      <c r="D131" s="882" t="s">
        <v>9488</v>
      </c>
      <c r="E131" s="882"/>
      <c r="F131" s="882" t="s">
        <v>11689</v>
      </c>
      <c r="G131" s="882" t="s">
        <v>9340</v>
      </c>
      <c r="H131" s="1109" t="s">
        <v>9489</v>
      </c>
      <c r="I131" s="1109"/>
      <c r="J131" s="1109"/>
      <c r="K131" s="1109"/>
      <c r="L131" s="1110" t="s">
        <v>201</v>
      </c>
      <c r="M131" s="883">
        <v>2210000</v>
      </c>
      <c r="N131" s="883"/>
      <c r="O131" s="883"/>
    </row>
    <row r="132" spans="1:15" s="1111" customFormat="1" ht="24.75" customHeight="1">
      <c r="A132" s="990">
        <v>131</v>
      </c>
      <c r="B132" s="882" t="s">
        <v>1595</v>
      </c>
      <c r="C132" s="882" t="s">
        <v>1602</v>
      </c>
      <c r="D132" s="882" t="s">
        <v>1539</v>
      </c>
      <c r="E132" s="882"/>
      <c r="F132" s="882" t="s">
        <v>11688</v>
      </c>
      <c r="G132" s="882" t="s">
        <v>9340</v>
      </c>
      <c r="H132" s="1109" t="s">
        <v>7582</v>
      </c>
      <c r="I132" s="1109"/>
      <c r="J132" s="1109"/>
      <c r="K132" s="1109"/>
      <c r="L132" s="1110" t="s">
        <v>201</v>
      </c>
      <c r="M132" s="883">
        <v>2210000</v>
      </c>
      <c r="N132" s="883"/>
      <c r="O132" s="883"/>
    </row>
    <row r="133" spans="1:15" s="1111" customFormat="1" ht="24.75" customHeight="1">
      <c r="A133" s="990">
        <v>132</v>
      </c>
      <c r="B133" s="882" t="s">
        <v>1604</v>
      </c>
      <c r="C133" s="882" t="s">
        <v>1607</v>
      </c>
      <c r="D133" s="882" t="s">
        <v>9484</v>
      </c>
      <c r="E133" s="882"/>
      <c r="F133" s="882" t="s">
        <v>9491</v>
      </c>
      <c r="G133" s="882" t="s">
        <v>9347</v>
      </c>
      <c r="H133" s="1109" t="s">
        <v>7538</v>
      </c>
      <c r="I133" s="1109"/>
      <c r="J133" s="1109"/>
      <c r="K133" s="1109"/>
      <c r="L133" s="1110" t="s">
        <v>969</v>
      </c>
      <c r="M133" s="883">
        <v>4725000</v>
      </c>
      <c r="N133" s="883"/>
      <c r="O133" s="883"/>
    </row>
    <row r="134" spans="1:15" s="1111" customFormat="1" ht="24.75" customHeight="1">
      <c r="A134" s="990">
        <v>133</v>
      </c>
      <c r="B134" s="882" t="s">
        <v>9492</v>
      </c>
      <c r="C134" s="882" t="s">
        <v>9493</v>
      </c>
      <c r="D134" s="882" t="s">
        <v>9494</v>
      </c>
      <c r="E134" s="882"/>
      <c r="F134" s="882" t="s">
        <v>9495</v>
      </c>
      <c r="G134" s="882" t="s">
        <v>9347</v>
      </c>
      <c r="H134" s="1109" t="s">
        <v>7539</v>
      </c>
      <c r="I134" s="1109"/>
      <c r="J134" s="1109"/>
      <c r="K134" s="1109"/>
      <c r="L134" s="1110" t="s">
        <v>969</v>
      </c>
      <c r="M134" s="883">
        <v>4725000</v>
      </c>
      <c r="N134" s="883"/>
      <c r="O134" s="883"/>
    </row>
    <row r="135" spans="1:15" s="1111" customFormat="1" ht="24.75" customHeight="1">
      <c r="A135" s="990">
        <v>134</v>
      </c>
      <c r="B135" s="882" t="s">
        <v>423</v>
      </c>
      <c r="C135" s="882" t="s">
        <v>423</v>
      </c>
      <c r="D135" s="882" t="s">
        <v>1537</v>
      </c>
      <c r="E135" s="882"/>
      <c r="F135" s="882" t="s">
        <v>11686</v>
      </c>
      <c r="G135" s="882" t="s">
        <v>9340</v>
      </c>
      <c r="H135" s="1109" t="s">
        <v>1567</v>
      </c>
      <c r="I135" s="1109"/>
      <c r="J135" s="1109"/>
      <c r="K135" s="1109"/>
      <c r="L135" s="1110" t="s">
        <v>201</v>
      </c>
      <c r="M135" s="883">
        <v>2210000</v>
      </c>
      <c r="N135" s="883"/>
      <c r="O135" s="883"/>
    </row>
    <row r="136" spans="1:15" s="1111" customFormat="1" ht="24.75" customHeight="1">
      <c r="A136" s="990">
        <v>135</v>
      </c>
      <c r="B136" s="882" t="s">
        <v>423</v>
      </c>
      <c r="C136" s="882" t="s">
        <v>423</v>
      </c>
      <c r="D136" s="882" t="s">
        <v>9496</v>
      </c>
      <c r="E136" s="882"/>
      <c r="F136" s="882" t="s">
        <v>11685</v>
      </c>
      <c r="G136" s="882" t="s">
        <v>9347</v>
      </c>
      <c r="H136" s="1109" t="s">
        <v>9497</v>
      </c>
      <c r="I136" s="1109"/>
      <c r="J136" s="1109"/>
      <c r="K136" s="1109"/>
      <c r="L136" s="1110" t="s">
        <v>969</v>
      </c>
      <c r="M136" s="883">
        <v>4725000</v>
      </c>
      <c r="N136" s="883"/>
      <c r="O136" s="883"/>
    </row>
    <row r="137" spans="1:15" s="1111" customFormat="1" ht="24.75" customHeight="1">
      <c r="A137" s="990">
        <v>136</v>
      </c>
      <c r="B137" s="882" t="s">
        <v>423</v>
      </c>
      <c r="C137" s="882" t="s">
        <v>423</v>
      </c>
      <c r="D137" s="882" t="s">
        <v>1543</v>
      </c>
      <c r="E137" s="882"/>
      <c r="F137" s="882" t="s">
        <v>11684</v>
      </c>
      <c r="G137" s="882" t="s">
        <v>9347</v>
      </c>
      <c r="H137" s="1109" t="s">
        <v>9077</v>
      </c>
      <c r="I137" s="1109"/>
      <c r="J137" s="1109"/>
      <c r="K137" s="1109"/>
      <c r="L137" s="1110" t="s">
        <v>969</v>
      </c>
      <c r="M137" s="883">
        <v>4725000</v>
      </c>
      <c r="N137" s="883"/>
      <c r="O137" s="883"/>
    </row>
    <row r="138" spans="1:15" s="1111" customFormat="1" ht="24.75" customHeight="1">
      <c r="A138" s="990">
        <v>137</v>
      </c>
      <c r="B138" s="882" t="s">
        <v>331</v>
      </c>
      <c r="C138" s="882" t="s">
        <v>332</v>
      </c>
      <c r="D138" s="882" t="s">
        <v>9498</v>
      </c>
      <c r="E138" s="882"/>
      <c r="F138" s="882" t="s">
        <v>9499</v>
      </c>
      <c r="G138" s="882" t="s">
        <v>9347</v>
      </c>
      <c r="H138" s="1109" t="s">
        <v>7541</v>
      </c>
      <c r="I138" s="1109"/>
      <c r="J138" s="1109"/>
      <c r="K138" s="1109"/>
      <c r="L138" s="1110" t="s">
        <v>969</v>
      </c>
      <c r="M138" s="883">
        <v>4725000</v>
      </c>
      <c r="N138" s="883"/>
      <c r="O138" s="883"/>
    </row>
    <row r="139" spans="1:15" s="1111" customFormat="1" ht="24.75" customHeight="1">
      <c r="A139" s="990">
        <v>138</v>
      </c>
      <c r="B139" s="882" t="s">
        <v>423</v>
      </c>
      <c r="C139" s="882" t="s">
        <v>423</v>
      </c>
      <c r="D139" s="882" t="s">
        <v>1557</v>
      </c>
      <c r="E139" s="882"/>
      <c r="F139" s="882" t="s">
        <v>11683</v>
      </c>
      <c r="G139" s="882" t="s">
        <v>9347</v>
      </c>
      <c r="H139" s="1109" t="s">
        <v>9078</v>
      </c>
      <c r="I139" s="1109"/>
      <c r="J139" s="1109"/>
      <c r="K139" s="1109"/>
      <c r="L139" s="1110" t="s">
        <v>969</v>
      </c>
      <c r="M139" s="883">
        <v>4725000</v>
      </c>
      <c r="N139" s="883"/>
      <c r="O139" s="883"/>
    </row>
    <row r="140" spans="1:15" s="1111" customFormat="1" ht="24.75" customHeight="1">
      <c r="A140" s="990">
        <v>139</v>
      </c>
      <c r="B140" s="882" t="s">
        <v>423</v>
      </c>
      <c r="C140" s="882" t="s">
        <v>423</v>
      </c>
      <c r="D140" s="882" t="s">
        <v>1550</v>
      </c>
      <c r="E140" s="882"/>
      <c r="F140" s="882" t="s">
        <v>9500</v>
      </c>
      <c r="G140" s="882" t="s">
        <v>9347</v>
      </c>
      <c r="H140" s="1109" t="s">
        <v>9076</v>
      </c>
      <c r="I140" s="1109"/>
      <c r="J140" s="1109" t="s">
        <v>43</v>
      </c>
      <c r="K140" s="1109" t="s">
        <v>43</v>
      </c>
      <c r="L140" s="1110" t="s">
        <v>969</v>
      </c>
      <c r="M140" s="883">
        <v>4725000</v>
      </c>
      <c r="N140" s="883" t="s">
        <v>43</v>
      </c>
      <c r="O140" s="883" t="s">
        <v>43</v>
      </c>
    </row>
    <row r="141" spans="1:15" s="1111" customFormat="1" ht="24.75" customHeight="1">
      <c r="A141" s="990">
        <v>140</v>
      </c>
      <c r="B141" s="882" t="s">
        <v>1595</v>
      </c>
      <c r="C141" s="882" t="s">
        <v>1598</v>
      </c>
      <c r="D141" s="882">
        <v>222</v>
      </c>
      <c r="E141" s="882"/>
      <c r="F141" s="882" t="s">
        <v>9501</v>
      </c>
      <c r="G141" s="882" t="s">
        <v>9347</v>
      </c>
      <c r="H141" s="1109" t="s">
        <v>7540</v>
      </c>
      <c r="I141" s="1109"/>
      <c r="J141" s="1109"/>
      <c r="K141" s="1109"/>
      <c r="L141" s="1110" t="s">
        <v>969</v>
      </c>
      <c r="M141" s="883">
        <v>4725000</v>
      </c>
      <c r="N141" s="883"/>
      <c r="O141" s="883"/>
    </row>
    <row r="142" spans="1:15" s="1111" customFormat="1" ht="24.75" customHeight="1">
      <c r="A142" s="990">
        <v>141</v>
      </c>
      <c r="B142" s="882" t="s">
        <v>2476</v>
      </c>
      <c r="C142" s="882" t="s">
        <v>2476</v>
      </c>
      <c r="D142" s="882">
        <v>272</v>
      </c>
      <c r="E142" s="882"/>
      <c r="F142" s="882" t="s">
        <v>9502</v>
      </c>
      <c r="G142" s="882" t="s">
        <v>9347</v>
      </c>
      <c r="H142" s="1109" t="s">
        <v>7542</v>
      </c>
      <c r="I142" s="1109"/>
      <c r="J142" s="1109"/>
      <c r="K142" s="1109"/>
      <c r="L142" s="1110" t="s">
        <v>969</v>
      </c>
      <c r="M142" s="883">
        <v>4725000</v>
      </c>
      <c r="N142" s="883"/>
      <c r="O142" s="883"/>
    </row>
    <row r="143" spans="1:15" s="1111" customFormat="1" ht="24.75" customHeight="1">
      <c r="A143" s="990">
        <v>142</v>
      </c>
      <c r="B143" s="882" t="s">
        <v>1595</v>
      </c>
      <c r="C143" s="882" t="s">
        <v>1596</v>
      </c>
      <c r="D143" s="882" t="s">
        <v>5919</v>
      </c>
      <c r="E143" s="882"/>
      <c r="F143" s="882" t="s">
        <v>11682</v>
      </c>
      <c r="G143" s="882" t="s">
        <v>9340</v>
      </c>
      <c r="H143" s="1109" t="s">
        <v>7581</v>
      </c>
      <c r="I143" s="1109"/>
      <c r="J143" s="1109"/>
      <c r="K143" s="1109"/>
      <c r="L143" s="1110" t="s">
        <v>201</v>
      </c>
      <c r="M143" s="883">
        <v>2210000</v>
      </c>
      <c r="N143" s="883"/>
      <c r="O143" s="883"/>
    </row>
    <row r="144" spans="1:15" s="1111" customFormat="1" ht="24.75" customHeight="1">
      <c r="A144" s="990">
        <v>143</v>
      </c>
      <c r="B144" s="882" t="s">
        <v>1595</v>
      </c>
      <c r="C144" s="882" t="s">
        <v>1598</v>
      </c>
      <c r="D144" s="882" t="s">
        <v>1601</v>
      </c>
      <c r="E144" s="882"/>
      <c r="F144" s="882" t="s">
        <v>11681</v>
      </c>
      <c r="G144" s="882" t="s">
        <v>9340</v>
      </c>
      <c r="H144" s="1109" t="s">
        <v>7579</v>
      </c>
      <c r="I144" s="1109"/>
      <c r="J144" s="1109"/>
      <c r="K144" s="1109"/>
      <c r="L144" s="1110" t="s">
        <v>201</v>
      </c>
      <c r="M144" s="883">
        <v>2210000</v>
      </c>
      <c r="N144" s="883"/>
      <c r="O144" s="883"/>
    </row>
    <row r="145" spans="1:15" s="1111" customFormat="1" ht="24.75" customHeight="1">
      <c r="A145" s="990">
        <v>144</v>
      </c>
      <c r="B145" s="882" t="s">
        <v>423</v>
      </c>
      <c r="C145" s="882" t="s">
        <v>423</v>
      </c>
      <c r="D145" s="882" t="s">
        <v>9503</v>
      </c>
      <c r="E145" s="882"/>
      <c r="F145" s="882" t="s">
        <v>11680</v>
      </c>
      <c r="G145" s="882" t="s">
        <v>9347</v>
      </c>
      <c r="H145" s="1109" t="s">
        <v>9080</v>
      </c>
      <c r="I145" s="1109"/>
      <c r="J145" s="1109"/>
      <c r="K145" s="1109"/>
      <c r="L145" s="1110" t="s">
        <v>969</v>
      </c>
      <c r="M145" s="883">
        <v>4725000</v>
      </c>
      <c r="N145" s="883"/>
      <c r="O145" s="883"/>
    </row>
    <row r="146" spans="1:15" s="1111" customFormat="1" ht="24.75" customHeight="1">
      <c r="A146" s="990">
        <v>145</v>
      </c>
      <c r="B146" s="882" t="s">
        <v>423</v>
      </c>
      <c r="C146" s="882" t="s">
        <v>423</v>
      </c>
      <c r="D146" s="882" t="s">
        <v>1561</v>
      </c>
      <c r="E146" s="882"/>
      <c r="F146" s="882" t="s">
        <v>11679</v>
      </c>
      <c r="G146" s="882" t="s">
        <v>9347</v>
      </c>
      <c r="H146" s="1109" t="s">
        <v>9079</v>
      </c>
      <c r="I146" s="1109"/>
      <c r="J146" s="1109"/>
      <c r="K146" s="1109"/>
      <c r="L146" s="1110" t="s">
        <v>969</v>
      </c>
      <c r="M146" s="883">
        <v>4725000</v>
      </c>
      <c r="N146" s="883"/>
      <c r="O146" s="883"/>
    </row>
    <row r="147" spans="1:15" s="1111" customFormat="1" ht="24.75" customHeight="1">
      <c r="A147" s="990">
        <v>146</v>
      </c>
      <c r="B147" s="882" t="s">
        <v>423</v>
      </c>
      <c r="C147" s="882" t="s">
        <v>423</v>
      </c>
      <c r="D147" s="882" t="s">
        <v>1538</v>
      </c>
      <c r="E147" s="882"/>
      <c r="F147" s="882" t="s">
        <v>11677</v>
      </c>
      <c r="G147" s="882" t="s">
        <v>9347</v>
      </c>
      <c r="H147" s="1109" t="s">
        <v>9073</v>
      </c>
      <c r="I147" s="1109"/>
      <c r="J147" s="1109"/>
      <c r="K147" s="1109"/>
      <c r="L147" s="1110" t="s">
        <v>969</v>
      </c>
      <c r="M147" s="883">
        <v>4725000</v>
      </c>
      <c r="N147" s="883"/>
      <c r="O147" s="883"/>
    </row>
    <row r="148" spans="1:15" s="1111" customFormat="1" ht="24.75" customHeight="1">
      <c r="A148" s="990">
        <v>147</v>
      </c>
      <c r="B148" s="882" t="s">
        <v>423</v>
      </c>
      <c r="C148" s="882" t="s">
        <v>423</v>
      </c>
      <c r="D148" s="882" t="s">
        <v>1550</v>
      </c>
      <c r="E148" s="882"/>
      <c r="F148" s="882" t="s">
        <v>11676</v>
      </c>
      <c r="G148" s="882" t="s">
        <v>9347</v>
      </c>
      <c r="H148" s="1109" t="s">
        <v>9072</v>
      </c>
      <c r="I148" s="1109"/>
      <c r="J148" s="1109"/>
      <c r="K148" s="1109"/>
      <c r="L148" s="1110" t="s">
        <v>969</v>
      </c>
      <c r="M148" s="883">
        <v>4725000</v>
      </c>
      <c r="N148" s="883"/>
      <c r="O148" s="883"/>
    </row>
    <row r="149" spans="1:15" s="1111" customFormat="1" ht="24.75" customHeight="1">
      <c r="A149" s="990">
        <v>148</v>
      </c>
      <c r="B149" s="882" t="s">
        <v>423</v>
      </c>
      <c r="C149" s="882" t="s">
        <v>423</v>
      </c>
      <c r="D149" s="882" t="s">
        <v>9505</v>
      </c>
      <c r="E149" s="882"/>
      <c r="F149" s="882" t="s">
        <v>11675</v>
      </c>
      <c r="G149" s="882" t="s">
        <v>9347</v>
      </c>
      <c r="H149" s="1109" t="s">
        <v>9071</v>
      </c>
      <c r="I149" s="1109"/>
      <c r="J149" s="1109"/>
      <c r="K149" s="1109"/>
      <c r="L149" s="1110" t="s">
        <v>969</v>
      </c>
      <c r="M149" s="883">
        <v>4725000</v>
      </c>
      <c r="N149" s="883"/>
      <c r="O149" s="883"/>
    </row>
    <row r="150" spans="1:15" s="1111" customFormat="1" ht="24.75" customHeight="1">
      <c r="A150" s="990">
        <v>149</v>
      </c>
      <c r="B150" s="882" t="s">
        <v>1595</v>
      </c>
      <c r="C150" s="882" t="s">
        <v>1596</v>
      </c>
      <c r="D150" s="882" t="s">
        <v>5919</v>
      </c>
      <c r="E150" s="882"/>
      <c r="F150" s="882" t="s">
        <v>11674</v>
      </c>
      <c r="G150" s="882" t="s">
        <v>9340</v>
      </c>
      <c r="H150" s="1109" t="s">
        <v>9506</v>
      </c>
      <c r="I150" s="1109"/>
      <c r="J150" s="1109"/>
      <c r="K150" s="1109"/>
      <c r="L150" s="1110" t="s">
        <v>201</v>
      </c>
      <c r="M150" s="883">
        <v>2210000</v>
      </c>
      <c r="N150" s="883"/>
      <c r="O150" s="883"/>
    </row>
    <row r="151" spans="1:15" s="1111" customFormat="1" ht="24.75" customHeight="1">
      <c r="A151" s="990">
        <v>150</v>
      </c>
      <c r="B151" s="882" t="s">
        <v>423</v>
      </c>
      <c r="C151" s="882" t="s">
        <v>648</v>
      </c>
      <c r="D151" s="882" t="s">
        <v>1563</v>
      </c>
      <c r="E151" s="882"/>
      <c r="F151" s="882" t="s">
        <v>11673</v>
      </c>
      <c r="G151" s="882" t="s">
        <v>9340</v>
      </c>
      <c r="H151" s="1109" t="s">
        <v>1566</v>
      </c>
      <c r="I151" s="1109"/>
      <c r="J151" s="1109"/>
      <c r="K151" s="1109"/>
      <c r="L151" s="1110" t="s">
        <v>201</v>
      </c>
      <c r="M151" s="883">
        <v>2210000</v>
      </c>
      <c r="N151" s="883"/>
      <c r="O151" s="883"/>
    </row>
    <row r="152" spans="1:15" s="1111" customFormat="1" ht="24.75" customHeight="1">
      <c r="A152" s="990">
        <v>151</v>
      </c>
      <c r="B152" s="882" t="s">
        <v>1595</v>
      </c>
      <c r="C152" s="882" t="s">
        <v>1598</v>
      </c>
      <c r="D152" s="882" t="s">
        <v>9413</v>
      </c>
      <c r="E152" s="882"/>
      <c r="F152" s="882" t="s">
        <v>11672</v>
      </c>
      <c r="G152" s="882" t="s">
        <v>9340</v>
      </c>
      <c r="H152" s="1109" t="s">
        <v>7573</v>
      </c>
      <c r="I152" s="1109"/>
      <c r="J152" s="1109"/>
      <c r="K152" s="1109"/>
      <c r="L152" s="1110" t="s">
        <v>201</v>
      </c>
      <c r="M152" s="883">
        <v>2210000</v>
      </c>
      <c r="N152" s="883"/>
      <c r="O152" s="883"/>
    </row>
    <row r="153" spans="1:15" s="1111" customFormat="1" ht="24.75" customHeight="1">
      <c r="A153" s="990">
        <v>152</v>
      </c>
      <c r="B153" s="882" t="s">
        <v>1609</v>
      </c>
      <c r="C153" s="882" t="s">
        <v>1610</v>
      </c>
      <c r="D153" s="882" t="s">
        <v>9382</v>
      </c>
      <c r="E153" s="882"/>
      <c r="F153" s="882" t="s">
        <v>9507</v>
      </c>
      <c r="G153" s="882" t="s">
        <v>9340</v>
      </c>
      <c r="H153" s="1109" t="s">
        <v>9508</v>
      </c>
      <c r="I153" s="1109"/>
      <c r="J153" s="1109"/>
      <c r="K153" s="1109"/>
      <c r="L153" s="1110" t="s">
        <v>201</v>
      </c>
      <c r="M153" s="883">
        <v>2210000</v>
      </c>
      <c r="N153" s="883"/>
      <c r="O153" s="883"/>
    </row>
    <row r="154" spans="1:15" s="1111" customFormat="1" ht="24.75" customHeight="1">
      <c r="A154" s="990">
        <v>153</v>
      </c>
      <c r="B154" s="882" t="s">
        <v>1595</v>
      </c>
      <c r="C154" s="882" t="s">
        <v>1596</v>
      </c>
      <c r="D154" s="882" t="s">
        <v>9461</v>
      </c>
      <c r="E154" s="882"/>
      <c r="F154" s="882" t="s">
        <v>11671</v>
      </c>
      <c r="G154" s="882" t="s">
        <v>9340</v>
      </c>
      <c r="H154" s="1109" t="s">
        <v>9509</v>
      </c>
      <c r="I154" s="1109"/>
      <c r="J154" s="1109"/>
      <c r="K154" s="1109"/>
      <c r="L154" s="1110" t="s">
        <v>201</v>
      </c>
      <c r="M154" s="883">
        <v>2210000</v>
      </c>
      <c r="N154" s="883"/>
      <c r="O154" s="883"/>
    </row>
    <row r="155" spans="1:15" s="1111" customFormat="1" ht="24.75" customHeight="1">
      <c r="A155" s="990">
        <v>154</v>
      </c>
      <c r="B155" s="882" t="s">
        <v>423</v>
      </c>
      <c r="C155" s="882" t="s">
        <v>423</v>
      </c>
      <c r="D155" s="882" t="s">
        <v>1554</v>
      </c>
      <c r="E155" s="882"/>
      <c r="F155" s="882" t="s">
        <v>11501</v>
      </c>
      <c r="G155" s="882" t="s">
        <v>9347</v>
      </c>
      <c r="H155" s="1109" t="s">
        <v>9090</v>
      </c>
      <c r="I155" s="1109"/>
      <c r="J155" s="1109"/>
      <c r="K155" s="1109"/>
      <c r="L155" s="1110" t="s">
        <v>969</v>
      </c>
      <c r="M155" s="883">
        <v>4725000</v>
      </c>
      <c r="N155" s="883"/>
      <c r="O155" s="883"/>
    </row>
    <row r="156" spans="1:15" s="1111" customFormat="1" ht="24.75" customHeight="1">
      <c r="A156" s="990">
        <v>155</v>
      </c>
      <c r="B156" s="882" t="s">
        <v>423</v>
      </c>
      <c r="C156" s="882" t="s">
        <v>423</v>
      </c>
      <c r="D156" s="882" t="s">
        <v>9418</v>
      </c>
      <c r="E156" s="882"/>
      <c r="F156" s="882" t="s">
        <v>11670</v>
      </c>
      <c r="G156" s="882" t="s">
        <v>9347</v>
      </c>
      <c r="H156" s="1109" t="s">
        <v>9098</v>
      </c>
      <c r="I156" s="1109"/>
      <c r="J156" s="1109"/>
      <c r="K156" s="1109"/>
      <c r="L156" s="1110" t="s">
        <v>969</v>
      </c>
      <c r="M156" s="883">
        <v>4725000</v>
      </c>
      <c r="N156" s="883"/>
      <c r="O156" s="883"/>
    </row>
    <row r="157" spans="1:15" s="1111" customFormat="1" ht="24.75" customHeight="1">
      <c r="A157" s="990">
        <v>156</v>
      </c>
      <c r="B157" s="882" t="s">
        <v>1595</v>
      </c>
      <c r="C157" s="882" t="s">
        <v>1599</v>
      </c>
      <c r="D157" s="882" t="s">
        <v>9425</v>
      </c>
      <c r="E157" s="882"/>
      <c r="F157" s="882" t="s">
        <v>11668</v>
      </c>
      <c r="G157" s="882" t="s">
        <v>9340</v>
      </c>
      <c r="H157" s="1109" t="s">
        <v>9510</v>
      </c>
      <c r="I157" s="1109"/>
      <c r="J157" s="1109"/>
      <c r="K157" s="1109"/>
      <c r="L157" s="1110" t="s">
        <v>201</v>
      </c>
      <c r="M157" s="883">
        <v>2210000</v>
      </c>
      <c r="N157" s="883"/>
      <c r="O157" s="883"/>
    </row>
    <row r="158" spans="1:15" s="1111" customFormat="1" ht="24.75" customHeight="1">
      <c r="A158" s="990">
        <v>157</v>
      </c>
      <c r="B158" s="882" t="s">
        <v>1595</v>
      </c>
      <c r="C158" s="882" t="s">
        <v>1596</v>
      </c>
      <c r="D158" s="882" t="s">
        <v>5919</v>
      </c>
      <c r="E158" s="882"/>
      <c r="F158" s="882" t="s">
        <v>9511</v>
      </c>
      <c r="G158" s="882" t="s">
        <v>9340</v>
      </c>
      <c r="H158" s="1109" t="s">
        <v>7577</v>
      </c>
      <c r="I158" s="1109"/>
      <c r="J158" s="1109"/>
      <c r="K158" s="1109"/>
      <c r="L158" s="1110" t="s">
        <v>201</v>
      </c>
      <c r="M158" s="883">
        <v>2210000</v>
      </c>
      <c r="N158" s="883"/>
      <c r="O158" s="883"/>
    </row>
    <row r="159" spans="1:15" s="1111" customFormat="1" ht="24.75" customHeight="1">
      <c r="A159" s="990">
        <v>158</v>
      </c>
      <c r="B159" s="882" t="s">
        <v>3705</v>
      </c>
      <c r="C159" s="882" t="s">
        <v>4892</v>
      </c>
      <c r="D159" s="882" t="s">
        <v>9512</v>
      </c>
      <c r="E159" s="882"/>
      <c r="F159" s="882" t="s">
        <v>9513</v>
      </c>
      <c r="G159" s="882" t="s">
        <v>9347</v>
      </c>
      <c r="H159" s="1109" t="s">
        <v>7562</v>
      </c>
      <c r="I159" s="1109"/>
      <c r="J159" s="1109"/>
      <c r="K159" s="1109"/>
      <c r="L159" s="1110" t="s">
        <v>969</v>
      </c>
      <c r="M159" s="883">
        <v>4725000</v>
      </c>
      <c r="N159" s="883"/>
      <c r="O159" s="883"/>
    </row>
    <row r="160" spans="1:15" s="1111" customFormat="1" ht="24.75" customHeight="1">
      <c r="A160" s="990">
        <v>159</v>
      </c>
      <c r="B160" s="882" t="s">
        <v>423</v>
      </c>
      <c r="C160" s="882" t="s">
        <v>648</v>
      </c>
      <c r="D160" s="882" t="s">
        <v>9514</v>
      </c>
      <c r="E160" s="882"/>
      <c r="F160" s="882" t="s">
        <v>9515</v>
      </c>
      <c r="G160" s="882" t="s">
        <v>9347</v>
      </c>
      <c r="H160" s="1109" t="s">
        <v>7563</v>
      </c>
      <c r="I160" s="1109"/>
      <c r="J160" s="1109"/>
      <c r="K160" s="1109"/>
      <c r="L160" s="1110" t="s">
        <v>969</v>
      </c>
      <c r="M160" s="883">
        <v>4725000</v>
      </c>
      <c r="N160" s="883"/>
      <c r="O160" s="883"/>
    </row>
    <row r="161" spans="1:15" s="1111" customFormat="1" ht="24.75" customHeight="1">
      <c r="A161" s="990">
        <v>160</v>
      </c>
      <c r="B161" s="882" t="s">
        <v>1595</v>
      </c>
      <c r="C161" s="882" t="s">
        <v>1596</v>
      </c>
      <c r="D161" s="882" t="s">
        <v>9461</v>
      </c>
      <c r="E161" s="882"/>
      <c r="F161" s="882" t="s">
        <v>11667</v>
      </c>
      <c r="G161" s="882" t="s">
        <v>9340</v>
      </c>
      <c r="H161" s="1109" t="s">
        <v>9516</v>
      </c>
      <c r="I161" s="1109"/>
      <c r="J161" s="1109"/>
      <c r="K161" s="1109"/>
      <c r="L161" s="1110" t="s">
        <v>201</v>
      </c>
      <c r="M161" s="883">
        <v>2210000</v>
      </c>
      <c r="N161" s="883"/>
      <c r="O161" s="883"/>
    </row>
    <row r="162" spans="1:15" s="1111" customFormat="1" ht="24.75" customHeight="1">
      <c r="A162" s="990">
        <v>161</v>
      </c>
      <c r="B162" s="882" t="s">
        <v>1595</v>
      </c>
      <c r="C162" s="882" t="s">
        <v>1599</v>
      </c>
      <c r="D162" s="882" t="s">
        <v>9425</v>
      </c>
      <c r="E162" s="882"/>
      <c r="F162" s="882" t="s">
        <v>11666</v>
      </c>
      <c r="G162" s="882" t="s">
        <v>9340</v>
      </c>
      <c r="H162" s="1109" t="s">
        <v>7578</v>
      </c>
      <c r="I162" s="1109"/>
      <c r="J162" s="1109"/>
      <c r="K162" s="1109"/>
      <c r="L162" s="1110" t="s">
        <v>201</v>
      </c>
      <c r="M162" s="883">
        <v>2210000</v>
      </c>
      <c r="N162" s="883"/>
      <c r="O162" s="883"/>
    </row>
    <row r="163" spans="1:15" s="1111" customFormat="1" ht="24.75" customHeight="1">
      <c r="A163" s="990">
        <v>162</v>
      </c>
      <c r="B163" s="882" t="s">
        <v>423</v>
      </c>
      <c r="C163" s="882" t="s">
        <v>114</v>
      </c>
      <c r="D163" s="882" t="s">
        <v>9517</v>
      </c>
      <c r="E163" s="882"/>
      <c r="F163" s="882" t="s">
        <v>9518</v>
      </c>
      <c r="G163" s="882" t="s">
        <v>9347</v>
      </c>
      <c r="H163" s="1109" t="s">
        <v>9096</v>
      </c>
      <c r="I163" s="1109"/>
      <c r="J163" s="1109"/>
      <c r="K163" s="1109"/>
      <c r="L163" s="1110" t="s">
        <v>969</v>
      </c>
      <c r="M163" s="883">
        <v>4725000</v>
      </c>
      <c r="N163" s="883"/>
      <c r="O163" s="883"/>
    </row>
    <row r="164" spans="1:15" s="1111" customFormat="1" ht="24.75" customHeight="1">
      <c r="A164" s="990">
        <v>163</v>
      </c>
      <c r="B164" s="882" t="s">
        <v>2970</v>
      </c>
      <c r="C164" s="882" t="s">
        <v>4837</v>
      </c>
      <c r="D164" s="882">
        <v>354</v>
      </c>
      <c r="E164" s="882"/>
      <c r="F164" s="882" t="s">
        <v>9519</v>
      </c>
      <c r="G164" s="882" t="s">
        <v>9347</v>
      </c>
      <c r="H164" s="1109" t="s">
        <v>9520</v>
      </c>
      <c r="I164" s="1109"/>
      <c r="J164" s="1109"/>
      <c r="K164" s="1109"/>
      <c r="L164" s="1110" t="s">
        <v>969</v>
      </c>
      <c r="M164" s="883">
        <v>4725000</v>
      </c>
      <c r="N164" s="883"/>
      <c r="O164" s="883"/>
    </row>
    <row r="165" spans="1:15" s="1111" customFormat="1" ht="24.75" customHeight="1">
      <c r="A165" s="990">
        <v>164</v>
      </c>
      <c r="B165" s="882" t="s">
        <v>1595</v>
      </c>
      <c r="C165" s="882" t="s">
        <v>1596</v>
      </c>
      <c r="D165" s="882" t="s">
        <v>9461</v>
      </c>
      <c r="E165" s="882"/>
      <c r="F165" s="882" t="s">
        <v>11665</v>
      </c>
      <c r="G165" s="882" t="s">
        <v>9340</v>
      </c>
      <c r="H165" s="1109" t="s">
        <v>9521</v>
      </c>
      <c r="I165" s="1109"/>
      <c r="J165" s="1109"/>
      <c r="K165" s="1109"/>
      <c r="L165" s="1110" t="s">
        <v>201</v>
      </c>
      <c r="M165" s="883">
        <v>2210000</v>
      </c>
      <c r="N165" s="883"/>
      <c r="O165" s="883"/>
    </row>
    <row r="166" spans="1:15" s="1111" customFormat="1" ht="24.75" customHeight="1">
      <c r="A166" s="990">
        <v>165</v>
      </c>
      <c r="B166" s="882" t="s">
        <v>1595</v>
      </c>
      <c r="C166" s="882" t="s">
        <v>1599</v>
      </c>
      <c r="D166" s="882" t="s">
        <v>9425</v>
      </c>
      <c r="E166" s="882"/>
      <c r="F166" s="882" t="s">
        <v>11664</v>
      </c>
      <c r="G166" s="882" t="s">
        <v>9340</v>
      </c>
      <c r="H166" s="1109" t="s">
        <v>9522</v>
      </c>
      <c r="I166" s="1109"/>
      <c r="J166" s="1109"/>
      <c r="K166" s="1109"/>
      <c r="L166" s="1110" t="s">
        <v>201</v>
      </c>
      <c r="M166" s="883">
        <v>2210000</v>
      </c>
      <c r="N166" s="883"/>
      <c r="O166" s="883"/>
    </row>
    <row r="167" spans="1:15" s="1111" customFormat="1" ht="24.75" customHeight="1">
      <c r="A167" s="990">
        <v>166</v>
      </c>
      <c r="B167" s="882" t="s">
        <v>1595</v>
      </c>
      <c r="C167" s="882" t="s">
        <v>1596</v>
      </c>
      <c r="D167" s="882" t="s">
        <v>9461</v>
      </c>
      <c r="E167" s="882"/>
      <c r="F167" s="882" t="s">
        <v>11663</v>
      </c>
      <c r="G167" s="882" t="s">
        <v>9340</v>
      </c>
      <c r="H167" s="1109" t="s">
        <v>14610</v>
      </c>
      <c r="I167" s="1109"/>
      <c r="J167" s="1109"/>
      <c r="K167" s="1109"/>
      <c r="L167" s="1110" t="s">
        <v>201</v>
      </c>
      <c r="M167" s="883">
        <v>2210000</v>
      </c>
      <c r="N167" s="883"/>
      <c r="O167" s="883"/>
    </row>
    <row r="168" spans="1:15" s="1111" customFormat="1" ht="24.75" customHeight="1">
      <c r="A168" s="990">
        <v>167</v>
      </c>
      <c r="B168" s="882" t="s">
        <v>2476</v>
      </c>
      <c r="C168" s="882" t="s">
        <v>9524</v>
      </c>
      <c r="D168" s="882" t="s">
        <v>9352</v>
      </c>
      <c r="E168" s="882"/>
      <c r="F168" s="882" t="s">
        <v>9525</v>
      </c>
      <c r="G168" s="882" t="s">
        <v>9347</v>
      </c>
      <c r="H168" s="1109" t="s">
        <v>9526</v>
      </c>
      <c r="I168" s="1109"/>
      <c r="J168" s="1109"/>
      <c r="K168" s="1109"/>
      <c r="L168" s="1110" t="s">
        <v>969</v>
      </c>
      <c r="M168" s="883">
        <v>4725000</v>
      </c>
      <c r="N168" s="883"/>
      <c r="O168" s="883"/>
    </row>
    <row r="169" spans="1:15" s="1111" customFormat="1" ht="24.75" customHeight="1">
      <c r="A169" s="990">
        <v>168</v>
      </c>
      <c r="B169" s="882" t="s">
        <v>2476</v>
      </c>
      <c r="C169" s="882" t="s">
        <v>2505</v>
      </c>
      <c r="D169" s="882" t="s">
        <v>9527</v>
      </c>
      <c r="E169" s="882"/>
      <c r="F169" s="882" t="s">
        <v>9528</v>
      </c>
      <c r="G169" s="882" t="s">
        <v>9347</v>
      </c>
      <c r="H169" s="1109" t="s">
        <v>7543</v>
      </c>
      <c r="I169" s="1109"/>
      <c r="J169" s="1109" t="s">
        <v>15587</v>
      </c>
      <c r="K169" s="1109" t="s">
        <v>15588</v>
      </c>
      <c r="L169" s="1110" t="s">
        <v>969</v>
      </c>
      <c r="M169" s="883">
        <v>2210000</v>
      </c>
      <c r="N169" s="883" t="s">
        <v>375</v>
      </c>
      <c r="O169" s="883"/>
    </row>
    <row r="170" spans="1:15" s="1111" customFormat="1" ht="24.75" customHeight="1">
      <c r="A170" s="990">
        <v>169</v>
      </c>
      <c r="B170" s="882" t="s">
        <v>2476</v>
      </c>
      <c r="C170" s="882" t="s">
        <v>2476</v>
      </c>
      <c r="D170" s="882" t="s">
        <v>9529</v>
      </c>
      <c r="E170" s="882"/>
      <c r="F170" s="882" t="s">
        <v>11662</v>
      </c>
      <c r="G170" s="882" t="s">
        <v>9340</v>
      </c>
      <c r="H170" s="1109" t="s">
        <v>7576</v>
      </c>
      <c r="I170" s="1109"/>
      <c r="J170" s="1109"/>
      <c r="K170" s="1109"/>
      <c r="L170" s="1110" t="s">
        <v>201</v>
      </c>
      <c r="M170" s="883">
        <v>2210000</v>
      </c>
      <c r="N170" s="883"/>
      <c r="O170" s="883"/>
    </row>
    <row r="171" spans="1:15" s="1111" customFormat="1" ht="24.75" customHeight="1">
      <c r="A171" s="990">
        <v>170</v>
      </c>
      <c r="B171" s="882" t="s">
        <v>3018</v>
      </c>
      <c r="C171" s="882" t="s">
        <v>3077</v>
      </c>
      <c r="D171" s="882" t="s">
        <v>3077</v>
      </c>
      <c r="E171" s="882"/>
      <c r="F171" s="882" t="s">
        <v>11661</v>
      </c>
      <c r="G171" s="882" t="s">
        <v>9340</v>
      </c>
      <c r="H171" s="1109" t="s">
        <v>9530</v>
      </c>
      <c r="I171" s="1109"/>
      <c r="J171" s="1109"/>
      <c r="K171" s="1109"/>
      <c r="L171" s="1110" t="s">
        <v>201</v>
      </c>
      <c r="M171" s="883">
        <v>2210000</v>
      </c>
      <c r="N171" s="883"/>
      <c r="O171" s="883"/>
    </row>
    <row r="172" spans="1:15" s="1111" customFormat="1" ht="24.75" customHeight="1">
      <c r="A172" s="990">
        <v>171</v>
      </c>
      <c r="B172" s="882" t="s">
        <v>1595</v>
      </c>
      <c r="C172" s="882" t="s">
        <v>1596</v>
      </c>
      <c r="D172" s="882" t="s">
        <v>9461</v>
      </c>
      <c r="E172" s="882"/>
      <c r="F172" s="882" t="s">
        <v>11660</v>
      </c>
      <c r="G172" s="882" t="s">
        <v>9340</v>
      </c>
      <c r="H172" s="1109" t="s">
        <v>9531</v>
      </c>
      <c r="I172" s="1109"/>
      <c r="J172" s="1109"/>
      <c r="K172" s="1109"/>
      <c r="L172" s="1110" t="s">
        <v>201</v>
      </c>
      <c r="M172" s="883">
        <v>2210000</v>
      </c>
      <c r="N172" s="883"/>
      <c r="O172" s="883"/>
    </row>
    <row r="173" spans="1:15" s="1111" customFormat="1" ht="24.75" customHeight="1">
      <c r="A173" s="990">
        <v>172</v>
      </c>
      <c r="B173" s="882" t="s">
        <v>1595</v>
      </c>
      <c r="C173" s="882" t="s">
        <v>1597</v>
      </c>
      <c r="D173" s="882" t="s">
        <v>9532</v>
      </c>
      <c r="E173" s="882"/>
      <c r="F173" s="882" t="s">
        <v>9533</v>
      </c>
      <c r="G173" s="882" t="s">
        <v>9340</v>
      </c>
      <c r="H173" s="1109" t="s">
        <v>7575</v>
      </c>
      <c r="I173" s="1109"/>
      <c r="J173" s="1109"/>
      <c r="K173" s="1109"/>
      <c r="L173" s="1110" t="s">
        <v>201</v>
      </c>
      <c r="M173" s="883">
        <v>2210000</v>
      </c>
      <c r="N173" s="883"/>
      <c r="O173" s="883"/>
    </row>
    <row r="174" spans="1:15" s="1111" customFormat="1" ht="24.75" customHeight="1">
      <c r="A174" s="990">
        <v>173</v>
      </c>
      <c r="B174" s="882" t="s">
        <v>423</v>
      </c>
      <c r="C174" s="882" t="s">
        <v>423</v>
      </c>
      <c r="D174" s="882" t="s">
        <v>1545</v>
      </c>
      <c r="E174" s="882"/>
      <c r="F174" s="882" t="s">
        <v>11659</v>
      </c>
      <c r="G174" s="882" t="s">
        <v>9340</v>
      </c>
      <c r="H174" s="1109" t="s">
        <v>1572</v>
      </c>
      <c r="I174" s="1109"/>
      <c r="J174" s="1109"/>
      <c r="K174" s="1109"/>
      <c r="L174" s="1110" t="s">
        <v>201</v>
      </c>
      <c r="M174" s="883">
        <v>2210000</v>
      </c>
      <c r="N174" s="883"/>
      <c r="O174" s="883"/>
    </row>
    <row r="175" spans="1:15" s="1111" customFormat="1" ht="24.75" customHeight="1">
      <c r="A175" s="990">
        <v>174</v>
      </c>
      <c r="B175" s="882" t="s">
        <v>1595</v>
      </c>
      <c r="C175" s="882" t="s">
        <v>1598</v>
      </c>
      <c r="D175" s="882" t="s">
        <v>258</v>
      </c>
      <c r="E175" s="882"/>
      <c r="F175" s="882" t="s">
        <v>11658</v>
      </c>
      <c r="G175" s="882" t="s">
        <v>9340</v>
      </c>
      <c r="H175" s="1109" t="s">
        <v>9534</v>
      </c>
      <c r="I175" s="1109"/>
      <c r="J175" s="1109"/>
      <c r="K175" s="1109"/>
      <c r="L175" s="1110" t="s">
        <v>201</v>
      </c>
      <c r="M175" s="883">
        <v>2210000</v>
      </c>
      <c r="N175" s="883"/>
      <c r="O175" s="883"/>
    </row>
    <row r="176" spans="1:15" s="1111" customFormat="1" ht="24.75" customHeight="1">
      <c r="A176" s="990">
        <v>175</v>
      </c>
      <c r="B176" s="882" t="s">
        <v>2476</v>
      </c>
      <c r="C176" s="882" t="s">
        <v>2476</v>
      </c>
      <c r="D176" s="882" t="s">
        <v>9529</v>
      </c>
      <c r="E176" s="882"/>
      <c r="F176" s="882" t="s">
        <v>11657</v>
      </c>
      <c r="G176" s="882" t="s">
        <v>9340</v>
      </c>
      <c r="H176" s="1109" t="s">
        <v>9535</v>
      </c>
      <c r="I176" s="1109"/>
      <c r="J176" s="1109"/>
      <c r="K176" s="1109"/>
      <c r="L176" s="1110" t="s">
        <v>201</v>
      </c>
      <c r="M176" s="883">
        <v>2210000</v>
      </c>
      <c r="N176" s="883"/>
      <c r="O176" s="883"/>
    </row>
    <row r="177" spans="1:15" s="1111" customFormat="1" ht="24.75" customHeight="1">
      <c r="A177" s="990">
        <v>176</v>
      </c>
      <c r="B177" s="882" t="s">
        <v>3212</v>
      </c>
      <c r="C177" s="882" t="s">
        <v>3213</v>
      </c>
      <c r="D177" s="882" t="s">
        <v>9393</v>
      </c>
      <c r="E177" s="882"/>
      <c r="F177" s="882" t="s">
        <v>9537</v>
      </c>
      <c r="G177" s="882" t="s">
        <v>9340</v>
      </c>
      <c r="H177" s="1109" t="s">
        <v>9538</v>
      </c>
      <c r="I177" s="1109"/>
      <c r="J177" s="1109"/>
      <c r="K177" s="1109"/>
      <c r="L177" s="1110" t="s">
        <v>201</v>
      </c>
      <c r="M177" s="883">
        <v>2210000</v>
      </c>
      <c r="N177" s="883"/>
      <c r="O177" s="883"/>
    </row>
    <row r="178" spans="1:15" s="1111" customFormat="1" ht="24.75" customHeight="1">
      <c r="A178" s="990">
        <v>177</v>
      </c>
      <c r="B178" s="882" t="s">
        <v>423</v>
      </c>
      <c r="C178" s="882" t="s">
        <v>423</v>
      </c>
      <c r="D178" s="882" t="s">
        <v>1541</v>
      </c>
      <c r="E178" s="882"/>
      <c r="F178" s="882" t="s">
        <v>11654</v>
      </c>
      <c r="G178" s="882" t="s">
        <v>9340</v>
      </c>
      <c r="H178" s="1109" t="s">
        <v>1576</v>
      </c>
      <c r="I178" s="1109"/>
      <c r="J178" s="1109"/>
      <c r="K178" s="1109"/>
      <c r="L178" s="1110" t="s">
        <v>201</v>
      </c>
      <c r="M178" s="883">
        <v>2210000</v>
      </c>
      <c r="N178" s="883"/>
      <c r="O178" s="883"/>
    </row>
    <row r="179" spans="1:15" s="1111" customFormat="1" ht="24.75" customHeight="1">
      <c r="A179" s="990">
        <v>178</v>
      </c>
      <c r="B179" s="882" t="s">
        <v>423</v>
      </c>
      <c r="C179" s="882" t="s">
        <v>423</v>
      </c>
      <c r="D179" s="882" t="s">
        <v>1556</v>
      </c>
      <c r="E179" s="882"/>
      <c r="F179" s="882" t="s">
        <v>11653</v>
      </c>
      <c r="G179" s="882" t="s">
        <v>9340</v>
      </c>
      <c r="H179" s="1109" t="s">
        <v>1580</v>
      </c>
      <c r="I179" s="1109"/>
      <c r="J179" s="1109"/>
      <c r="K179" s="1109"/>
      <c r="L179" s="1110" t="s">
        <v>201</v>
      </c>
      <c r="M179" s="883">
        <v>2210000</v>
      </c>
      <c r="N179" s="883"/>
      <c r="O179" s="883"/>
    </row>
    <row r="180" spans="1:15" s="1111" customFormat="1" ht="24.75" customHeight="1">
      <c r="A180" s="990">
        <v>179</v>
      </c>
      <c r="B180" s="882" t="s">
        <v>423</v>
      </c>
      <c r="C180" s="882" t="s">
        <v>423</v>
      </c>
      <c r="D180" s="882" t="s">
        <v>1561</v>
      </c>
      <c r="E180" s="882"/>
      <c r="F180" s="882" t="s">
        <v>11652</v>
      </c>
      <c r="G180" s="882" t="s">
        <v>9340</v>
      </c>
      <c r="H180" s="1109" t="s">
        <v>1586</v>
      </c>
      <c r="I180" s="1109"/>
      <c r="J180" s="1109"/>
      <c r="K180" s="1109"/>
      <c r="L180" s="1110" t="s">
        <v>201</v>
      </c>
      <c r="M180" s="883">
        <v>2210000</v>
      </c>
      <c r="N180" s="883"/>
      <c r="O180" s="883"/>
    </row>
    <row r="181" spans="1:15" s="1111" customFormat="1" ht="24.75" customHeight="1">
      <c r="A181" s="990">
        <v>180</v>
      </c>
      <c r="B181" s="882" t="s">
        <v>423</v>
      </c>
      <c r="C181" s="882" t="s">
        <v>423</v>
      </c>
      <c r="D181" s="882" t="s">
        <v>9539</v>
      </c>
      <c r="E181" s="882"/>
      <c r="F181" s="882" t="s">
        <v>11651</v>
      </c>
      <c r="G181" s="882" t="s">
        <v>9347</v>
      </c>
      <c r="H181" s="1109" t="s">
        <v>9075</v>
      </c>
      <c r="I181" s="1109"/>
      <c r="J181" s="1109"/>
      <c r="K181" s="1109"/>
      <c r="L181" s="1110" t="s">
        <v>969</v>
      </c>
      <c r="M181" s="883">
        <v>4725000</v>
      </c>
      <c r="N181" s="883"/>
      <c r="O181" s="883"/>
    </row>
    <row r="182" spans="1:15" s="1111" customFormat="1" ht="24.75" customHeight="1">
      <c r="A182" s="990">
        <v>181</v>
      </c>
      <c r="B182" s="882" t="s">
        <v>423</v>
      </c>
      <c r="C182" s="882" t="s">
        <v>1564</v>
      </c>
      <c r="D182" s="882" t="s">
        <v>1548</v>
      </c>
      <c r="E182" s="882"/>
      <c r="F182" s="882" t="s">
        <v>11650</v>
      </c>
      <c r="G182" s="882" t="s">
        <v>9340</v>
      </c>
      <c r="H182" s="1109" t="s">
        <v>9540</v>
      </c>
      <c r="I182" s="1109"/>
      <c r="J182" s="1109"/>
      <c r="K182" s="1109"/>
      <c r="L182" s="1110" t="s">
        <v>201</v>
      </c>
      <c r="M182" s="883">
        <v>2210000</v>
      </c>
      <c r="N182" s="883"/>
      <c r="O182" s="883"/>
    </row>
    <row r="183" spans="1:15" s="1111" customFormat="1" ht="24.75" customHeight="1">
      <c r="A183" s="990">
        <v>182</v>
      </c>
      <c r="B183" s="882" t="s">
        <v>423</v>
      </c>
      <c r="C183" s="882" t="s">
        <v>7514</v>
      </c>
      <c r="D183" s="882" t="s">
        <v>9541</v>
      </c>
      <c r="E183" s="882"/>
      <c r="F183" s="882" t="s">
        <v>11649</v>
      </c>
      <c r="G183" s="882" t="s">
        <v>9347</v>
      </c>
      <c r="H183" s="1109" t="s">
        <v>7513</v>
      </c>
      <c r="I183" s="1109"/>
      <c r="J183" s="1109"/>
      <c r="K183" s="1109"/>
      <c r="L183" s="1110" t="s">
        <v>969</v>
      </c>
      <c r="M183" s="883">
        <v>4725000</v>
      </c>
      <c r="N183" s="883"/>
      <c r="O183" s="883"/>
    </row>
    <row r="184" spans="1:15" s="1111" customFormat="1" ht="24.75" customHeight="1">
      <c r="A184" s="990">
        <v>183</v>
      </c>
      <c r="B184" s="882" t="s">
        <v>2969</v>
      </c>
      <c r="C184" s="882" t="s">
        <v>2969</v>
      </c>
      <c r="D184" s="882" t="s">
        <v>1548</v>
      </c>
      <c r="E184" s="882"/>
      <c r="F184" s="882" t="s">
        <v>11648</v>
      </c>
      <c r="G184" s="882" t="s">
        <v>9347</v>
      </c>
      <c r="H184" s="1109" t="s">
        <v>7512</v>
      </c>
      <c r="I184" s="1109"/>
      <c r="J184" s="1109"/>
      <c r="K184" s="1109"/>
      <c r="L184" s="1110" t="s">
        <v>969</v>
      </c>
      <c r="M184" s="883">
        <v>4725000</v>
      </c>
      <c r="N184" s="883"/>
      <c r="O184" s="883"/>
    </row>
    <row r="185" spans="1:15" s="1111" customFormat="1" ht="24.75" customHeight="1">
      <c r="A185" s="990">
        <v>184</v>
      </c>
      <c r="B185" s="882" t="s">
        <v>423</v>
      </c>
      <c r="C185" s="882" t="s">
        <v>423</v>
      </c>
      <c r="D185" s="882" t="s">
        <v>1553</v>
      </c>
      <c r="E185" s="882"/>
      <c r="F185" s="882" t="s">
        <v>11647</v>
      </c>
      <c r="G185" s="882" t="s">
        <v>9340</v>
      </c>
      <c r="H185" s="1109" t="s">
        <v>7574</v>
      </c>
      <c r="I185" s="1109"/>
      <c r="J185" s="1109"/>
      <c r="K185" s="1109"/>
      <c r="L185" s="1110" t="s">
        <v>201</v>
      </c>
      <c r="M185" s="883">
        <v>2210000</v>
      </c>
      <c r="N185" s="883"/>
      <c r="O185" s="883"/>
    </row>
    <row r="186" spans="1:15" s="1111" customFormat="1" ht="24.75" customHeight="1">
      <c r="A186" s="990">
        <v>185</v>
      </c>
      <c r="B186" s="882" t="s">
        <v>2476</v>
      </c>
      <c r="C186" s="882" t="s">
        <v>2499</v>
      </c>
      <c r="D186" s="882" t="s">
        <v>9542</v>
      </c>
      <c r="E186" s="882"/>
      <c r="F186" s="882" t="s">
        <v>11646</v>
      </c>
      <c r="G186" s="882" t="s">
        <v>9340</v>
      </c>
      <c r="H186" s="1109" t="s">
        <v>9543</v>
      </c>
      <c r="I186" s="1109"/>
      <c r="J186" s="1109"/>
      <c r="K186" s="1109"/>
      <c r="L186" s="1110" t="s">
        <v>201</v>
      </c>
      <c r="M186" s="883">
        <v>2210000</v>
      </c>
      <c r="N186" s="883"/>
      <c r="O186" s="883"/>
    </row>
    <row r="187" spans="1:15" s="1111" customFormat="1" ht="24.75" customHeight="1">
      <c r="A187" s="990">
        <v>186</v>
      </c>
      <c r="B187" s="882" t="s">
        <v>423</v>
      </c>
      <c r="C187" s="882" t="s">
        <v>423</v>
      </c>
      <c r="D187" s="882" t="s">
        <v>1559</v>
      </c>
      <c r="E187" s="882"/>
      <c r="F187" s="882" t="s">
        <v>15975</v>
      </c>
      <c r="G187" s="882" t="s">
        <v>9340</v>
      </c>
      <c r="H187" s="1109" t="s">
        <v>9544</v>
      </c>
      <c r="I187" s="1109"/>
      <c r="J187" s="1109"/>
      <c r="K187" s="1109"/>
      <c r="L187" s="1110" t="s">
        <v>201</v>
      </c>
      <c r="M187" s="883">
        <v>2210000</v>
      </c>
      <c r="N187" s="883"/>
      <c r="O187" s="883"/>
    </row>
    <row r="188" spans="1:15" s="1111" customFormat="1" ht="24.75" customHeight="1">
      <c r="A188" s="990">
        <v>187</v>
      </c>
      <c r="B188" s="882" t="s">
        <v>2476</v>
      </c>
      <c r="C188" s="882" t="s">
        <v>2476</v>
      </c>
      <c r="D188" s="882" t="s">
        <v>9403</v>
      </c>
      <c r="E188" s="882"/>
      <c r="F188" s="882" t="s">
        <v>11644</v>
      </c>
      <c r="G188" s="882" t="s">
        <v>9347</v>
      </c>
      <c r="H188" s="1109" t="s">
        <v>9117</v>
      </c>
      <c r="I188" s="1109"/>
      <c r="J188" s="1109"/>
      <c r="K188" s="1109"/>
      <c r="L188" s="1110" t="s">
        <v>969</v>
      </c>
      <c r="M188" s="883">
        <v>4725000</v>
      </c>
      <c r="N188" s="883"/>
      <c r="O188" s="883"/>
    </row>
    <row r="189" spans="1:15" s="1111" customFormat="1" ht="24.75" customHeight="1">
      <c r="A189" s="990">
        <v>188</v>
      </c>
      <c r="B189" s="882" t="s">
        <v>3873</v>
      </c>
      <c r="C189" s="882" t="s">
        <v>9545</v>
      </c>
      <c r="D189" s="882" t="s">
        <v>9546</v>
      </c>
      <c r="E189" s="882"/>
      <c r="F189" s="882" t="s">
        <v>11502</v>
      </c>
      <c r="G189" s="882" t="s">
        <v>9347</v>
      </c>
      <c r="H189" s="1109" t="s">
        <v>7544</v>
      </c>
      <c r="I189" s="1109"/>
      <c r="J189" s="1109"/>
      <c r="K189" s="1109"/>
      <c r="L189" s="1110" t="s">
        <v>969</v>
      </c>
      <c r="M189" s="883">
        <v>4725000</v>
      </c>
      <c r="N189" s="883"/>
      <c r="O189" s="883"/>
    </row>
    <row r="190" spans="1:15" s="1111" customFormat="1" ht="24.75" customHeight="1">
      <c r="A190" s="990">
        <v>189</v>
      </c>
      <c r="B190" s="882" t="s">
        <v>2476</v>
      </c>
      <c r="C190" s="882" t="s">
        <v>2499</v>
      </c>
      <c r="D190" s="882" t="s">
        <v>9547</v>
      </c>
      <c r="E190" s="882"/>
      <c r="F190" s="882" t="s">
        <v>9548</v>
      </c>
      <c r="G190" s="882" t="s">
        <v>9347</v>
      </c>
      <c r="H190" s="1109" t="s">
        <v>7545</v>
      </c>
      <c r="I190" s="1109"/>
      <c r="J190" s="1109"/>
      <c r="K190" s="1109"/>
      <c r="L190" s="1110" t="s">
        <v>969</v>
      </c>
      <c r="M190" s="883">
        <v>4725000</v>
      </c>
      <c r="N190" s="883"/>
      <c r="O190" s="883"/>
    </row>
    <row r="191" spans="1:15" s="1111" customFormat="1" ht="24.75" customHeight="1">
      <c r="A191" s="990">
        <v>190</v>
      </c>
      <c r="B191" s="882" t="s">
        <v>1595</v>
      </c>
      <c r="C191" s="882" t="s">
        <v>1600</v>
      </c>
      <c r="D191" s="882" t="s">
        <v>1539</v>
      </c>
      <c r="E191" s="882"/>
      <c r="F191" s="882" t="s">
        <v>11643</v>
      </c>
      <c r="G191" s="882" t="s">
        <v>9340</v>
      </c>
      <c r="H191" s="1109" t="s">
        <v>9549</v>
      </c>
      <c r="I191" s="1109"/>
      <c r="J191" s="1109"/>
      <c r="K191" s="1109"/>
      <c r="L191" s="1110" t="s">
        <v>201</v>
      </c>
      <c r="M191" s="883">
        <v>2210000</v>
      </c>
      <c r="N191" s="883"/>
      <c r="O191" s="883"/>
    </row>
    <row r="192" spans="1:15" s="1111" customFormat="1" ht="24.75" customHeight="1">
      <c r="A192" s="990">
        <v>191</v>
      </c>
      <c r="B192" s="882" t="s">
        <v>1595</v>
      </c>
      <c r="C192" s="882" t="s">
        <v>1598</v>
      </c>
      <c r="D192" s="882" t="s">
        <v>9373</v>
      </c>
      <c r="E192" s="882"/>
      <c r="F192" s="882" t="s">
        <v>11642</v>
      </c>
      <c r="G192" s="882" t="s">
        <v>9340</v>
      </c>
      <c r="H192" s="1109" t="s">
        <v>9550</v>
      </c>
      <c r="I192" s="1109"/>
      <c r="J192" s="1109"/>
      <c r="K192" s="1109"/>
      <c r="L192" s="1110" t="s">
        <v>201</v>
      </c>
      <c r="M192" s="883">
        <v>2210000</v>
      </c>
      <c r="N192" s="883"/>
      <c r="O192" s="883"/>
    </row>
    <row r="193" spans="1:15" s="1111" customFormat="1" ht="24.75" customHeight="1">
      <c r="A193" s="990">
        <v>192</v>
      </c>
      <c r="B193" s="882" t="s">
        <v>423</v>
      </c>
      <c r="C193" s="882" t="s">
        <v>423</v>
      </c>
      <c r="D193" s="882" t="s">
        <v>1543</v>
      </c>
      <c r="E193" s="882"/>
      <c r="F193" s="882" t="s">
        <v>11641</v>
      </c>
      <c r="G193" s="882" t="s">
        <v>9340</v>
      </c>
      <c r="H193" s="1109" t="s">
        <v>9551</v>
      </c>
      <c r="I193" s="1109"/>
      <c r="J193" s="1109"/>
      <c r="K193" s="1109"/>
      <c r="L193" s="1110" t="s">
        <v>201</v>
      </c>
      <c r="M193" s="883">
        <v>2210000</v>
      </c>
      <c r="N193" s="883"/>
      <c r="O193" s="883"/>
    </row>
    <row r="194" spans="1:15" s="1111" customFormat="1" ht="24.75" customHeight="1">
      <c r="A194" s="990">
        <v>193</v>
      </c>
      <c r="B194" s="882" t="s">
        <v>1595</v>
      </c>
      <c r="C194" s="882" t="s">
        <v>1597</v>
      </c>
      <c r="D194" s="882" t="s">
        <v>9532</v>
      </c>
      <c r="E194" s="882"/>
      <c r="F194" s="882" t="s">
        <v>11640</v>
      </c>
      <c r="G194" s="882" t="s">
        <v>9340</v>
      </c>
      <c r="H194" s="1109" t="s">
        <v>14611</v>
      </c>
      <c r="I194" s="1109"/>
      <c r="J194" s="1109"/>
      <c r="K194" s="1109"/>
      <c r="L194" s="1110" t="s">
        <v>201</v>
      </c>
      <c r="M194" s="883">
        <v>2210000</v>
      </c>
      <c r="N194" s="883"/>
      <c r="O194" s="883"/>
    </row>
    <row r="195" spans="1:15" s="1111" customFormat="1" ht="24.75" customHeight="1">
      <c r="A195" s="990">
        <v>194</v>
      </c>
      <c r="B195" s="882" t="s">
        <v>3705</v>
      </c>
      <c r="C195" s="882" t="s">
        <v>7526</v>
      </c>
      <c r="D195" s="882" t="s">
        <v>9552</v>
      </c>
      <c r="E195" s="882"/>
      <c r="F195" s="882" t="s">
        <v>9553</v>
      </c>
      <c r="G195" s="882" t="s">
        <v>9347</v>
      </c>
      <c r="H195" s="1109" t="s">
        <v>7547</v>
      </c>
      <c r="I195" s="1109"/>
      <c r="J195" s="1109"/>
      <c r="K195" s="1109"/>
      <c r="L195" s="1110" t="s">
        <v>969</v>
      </c>
      <c r="M195" s="883">
        <v>4725000</v>
      </c>
      <c r="N195" s="883"/>
      <c r="O195" s="883"/>
    </row>
    <row r="196" spans="1:15" s="1111" customFormat="1" ht="24.75" customHeight="1">
      <c r="A196" s="990">
        <v>195</v>
      </c>
      <c r="B196" s="882" t="s">
        <v>423</v>
      </c>
      <c r="C196" s="882" t="s">
        <v>9554</v>
      </c>
      <c r="D196" s="882" t="s">
        <v>9555</v>
      </c>
      <c r="E196" s="882"/>
      <c r="F196" s="882" t="s">
        <v>9556</v>
      </c>
      <c r="G196" s="882" t="s">
        <v>9347</v>
      </c>
      <c r="H196" s="1109" t="s">
        <v>7548</v>
      </c>
      <c r="I196" s="1109"/>
      <c r="J196" s="1109"/>
      <c r="K196" s="1109"/>
      <c r="L196" s="1110" t="s">
        <v>969</v>
      </c>
      <c r="M196" s="883">
        <v>4725000</v>
      </c>
      <c r="N196" s="883"/>
      <c r="O196" s="883"/>
    </row>
    <row r="197" spans="1:15" s="1111" customFormat="1" ht="24.75" customHeight="1">
      <c r="A197" s="990">
        <v>196</v>
      </c>
      <c r="B197" s="882" t="s">
        <v>3705</v>
      </c>
      <c r="C197" s="882" t="s">
        <v>4906</v>
      </c>
      <c r="D197" s="882" t="s">
        <v>9559</v>
      </c>
      <c r="E197" s="882"/>
      <c r="F197" s="882" t="s">
        <v>9560</v>
      </c>
      <c r="G197" s="882" t="s">
        <v>9347</v>
      </c>
      <c r="H197" s="1109" t="s">
        <v>9561</v>
      </c>
      <c r="I197" s="1109"/>
      <c r="J197" s="1109"/>
      <c r="K197" s="1109"/>
      <c r="L197" s="1110" t="s">
        <v>969</v>
      </c>
      <c r="M197" s="883">
        <v>4725000</v>
      </c>
      <c r="N197" s="883"/>
      <c r="O197" s="883"/>
    </row>
    <row r="198" spans="1:15" s="1111" customFormat="1" ht="24.75" customHeight="1">
      <c r="A198" s="990">
        <v>197</v>
      </c>
      <c r="B198" s="882" t="s">
        <v>1604</v>
      </c>
      <c r="C198" s="882" t="s">
        <v>1607</v>
      </c>
      <c r="D198" s="882" t="s">
        <v>1539</v>
      </c>
      <c r="E198" s="882"/>
      <c r="F198" s="882" t="s">
        <v>11639</v>
      </c>
      <c r="G198" s="882" t="s">
        <v>9347</v>
      </c>
      <c r="H198" s="1109" t="s">
        <v>9110</v>
      </c>
      <c r="I198" s="1109"/>
      <c r="J198" s="1109" t="s">
        <v>12051</v>
      </c>
      <c r="K198" s="1109" t="s">
        <v>12050</v>
      </c>
      <c r="L198" s="1110" t="s">
        <v>969</v>
      </c>
      <c r="M198" s="883">
        <v>4725000</v>
      </c>
      <c r="N198" s="883" t="s">
        <v>375</v>
      </c>
      <c r="O198" s="883"/>
    </row>
    <row r="199" spans="1:15" s="1111" customFormat="1" ht="24.75" customHeight="1">
      <c r="A199" s="990">
        <v>198</v>
      </c>
      <c r="B199" s="882" t="s">
        <v>1604</v>
      </c>
      <c r="C199" s="882" t="s">
        <v>1606</v>
      </c>
      <c r="D199" s="882" t="s">
        <v>1606</v>
      </c>
      <c r="E199" s="882"/>
      <c r="F199" s="882" t="s">
        <v>11638</v>
      </c>
      <c r="G199" s="882" t="s">
        <v>9347</v>
      </c>
      <c r="H199" s="1109" t="s">
        <v>9111</v>
      </c>
      <c r="I199" s="1109"/>
      <c r="J199" s="1109" t="s">
        <v>12055</v>
      </c>
      <c r="K199" s="1109" t="s">
        <v>12054</v>
      </c>
      <c r="L199" s="1110" t="s">
        <v>969</v>
      </c>
      <c r="M199" s="883">
        <v>4725000</v>
      </c>
      <c r="N199" s="883" t="s">
        <v>375</v>
      </c>
      <c r="O199" s="883"/>
    </row>
    <row r="200" spans="1:15" s="1111" customFormat="1" ht="24.75" customHeight="1">
      <c r="A200" s="990">
        <v>199</v>
      </c>
      <c r="B200" s="882" t="s">
        <v>1595</v>
      </c>
      <c r="C200" s="882" t="s">
        <v>1598</v>
      </c>
      <c r="D200" s="882" t="s">
        <v>9447</v>
      </c>
      <c r="E200" s="882"/>
      <c r="F200" s="882" t="s">
        <v>11637</v>
      </c>
      <c r="G200" s="882" t="s">
        <v>9347</v>
      </c>
      <c r="H200" s="1109" t="s">
        <v>7509</v>
      </c>
      <c r="I200" s="1109"/>
      <c r="J200" s="1109"/>
      <c r="K200" s="1109"/>
      <c r="L200" s="1110" t="s">
        <v>969</v>
      </c>
      <c r="M200" s="883">
        <v>4725000</v>
      </c>
      <c r="N200" s="883"/>
      <c r="O200" s="883"/>
    </row>
    <row r="201" spans="1:15" s="1111" customFormat="1" ht="24.75" customHeight="1">
      <c r="A201" s="990">
        <v>200</v>
      </c>
      <c r="B201" s="882" t="s">
        <v>1609</v>
      </c>
      <c r="C201" s="882" t="s">
        <v>2371</v>
      </c>
      <c r="D201" s="882" t="s">
        <v>9382</v>
      </c>
      <c r="E201" s="882"/>
      <c r="F201" s="882" t="s">
        <v>9562</v>
      </c>
      <c r="G201" s="882" t="s">
        <v>9340</v>
      </c>
      <c r="H201" s="1109" t="s">
        <v>9563</v>
      </c>
      <c r="I201" s="1109"/>
      <c r="J201" s="1109"/>
      <c r="K201" s="1109"/>
      <c r="L201" s="1110" t="s">
        <v>201</v>
      </c>
      <c r="M201" s="883">
        <v>2210000</v>
      </c>
      <c r="N201" s="883"/>
      <c r="O201" s="883"/>
    </row>
    <row r="202" spans="1:15" s="1111" customFormat="1" ht="24.75" customHeight="1">
      <c r="A202" s="990">
        <v>201</v>
      </c>
      <c r="B202" s="882" t="s">
        <v>1595</v>
      </c>
      <c r="C202" s="882" t="s">
        <v>1597</v>
      </c>
      <c r="D202" s="882" t="s">
        <v>9564</v>
      </c>
      <c r="E202" s="882"/>
      <c r="F202" s="882" t="s">
        <v>11636</v>
      </c>
      <c r="G202" s="882" t="s">
        <v>9340</v>
      </c>
      <c r="H202" s="1109" t="s">
        <v>14612</v>
      </c>
      <c r="I202" s="1109"/>
      <c r="J202" s="1109"/>
      <c r="K202" s="1109"/>
      <c r="L202" s="1110" t="s">
        <v>201</v>
      </c>
      <c r="M202" s="883">
        <v>2210000</v>
      </c>
      <c r="N202" s="883"/>
      <c r="O202" s="883"/>
    </row>
    <row r="203" spans="1:15" s="1111" customFormat="1" ht="24.75" customHeight="1">
      <c r="A203" s="990">
        <v>202</v>
      </c>
      <c r="B203" s="882" t="s">
        <v>423</v>
      </c>
      <c r="C203" s="882" t="s">
        <v>423</v>
      </c>
      <c r="D203" s="882" t="s">
        <v>1560</v>
      </c>
      <c r="E203" s="882"/>
      <c r="F203" s="882" t="s">
        <v>11635</v>
      </c>
      <c r="G203" s="882" t="s">
        <v>9340</v>
      </c>
      <c r="H203" s="1109" t="s">
        <v>14613</v>
      </c>
      <c r="I203" s="1109"/>
      <c r="J203" s="1109"/>
      <c r="K203" s="1109"/>
      <c r="L203" s="1110" t="s">
        <v>201</v>
      </c>
      <c r="M203" s="883">
        <v>2210000</v>
      </c>
      <c r="N203" s="883"/>
      <c r="O203" s="883"/>
    </row>
    <row r="204" spans="1:15" s="1111" customFormat="1" ht="24.75" customHeight="1">
      <c r="A204" s="990">
        <v>203</v>
      </c>
      <c r="B204" s="882" t="s">
        <v>1595</v>
      </c>
      <c r="C204" s="882" t="s">
        <v>1744</v>
      </c>
      <c r="D204" s="882" t="s">
        <v>1539</v>
      </c>
      <c r="E204" s="882"/>
      <c r="F204" s="882" t="s">
        <v>11632</v>
      </c>
      <c r="G204" s="882" t="s">
        <v>9340</v>
      </c>
      <c r="H204" s="1109" t="s">
        <v>14614</v>
      </c>
      <c r="I204" s="1109"/>
      <c r="J204" s="1109"/>
      <c r="K204" s="1109"/>
      <c r="L204" s="1110" t="s">
        <v>201</v>
      </c>
      <c r="M204" s="883">
        <v>2210000</v>
      </c>
      <c r="N204" s="883"/>
      <c r="O204" s="883"/>
    </row>
    <row r="205" spans="1:15" s="1111" customFormat="1" ht="24.75" customHeight="1">
      <c r="A205" s="990">
        <v>204</v>
      </c>
      <c r="B205" s="882" t="s">
        <v>1595</v>
      </c>
      <c r="C205" s="882" t="s">
        <v>1598</v>
      </c>
      <c r="D205" s="882" t="s">
        <v>258</v>
      </c>
      <c r="E205" s="882"/>
      <c r="F205" s="882" t="s">
        <v>11631</v>
      </c>
      <c r="G205" s="882" t="s">
        <v>9347</v>
      </c>
      <c r="H205" s="1109" t="s">
        <v>14615</v>
      </c>
      <c r="I205" s="1109"/>
      <c r="J205" s="1109" t="s">
        <v>12025</v>
      </c>
      <c r="K205" s="1109" t="s">
        <v>2052</v>
      </c>
      <c r="L205" s="1110" t="s">
        <v>969</v>
      </c>
      <c r="M205" s="883">
        <v>4725000</v>
      </c>
      <c r="N205" s="883" t="s">
        <v>375</v>
      </c>
      <c r="O205" s="883"/>
    </row>
    <row r="206" spans="1:15" s="1111" customFormat="1" ht="24.75" customHeight="1">
      <c r="A206" s="990">
        <v>205</v>
      </c>
      <c r="B206" s="882" t="s">
        <v>1609</v>
      </c>
      <c r="C206" s="882" t="s">
        <v>1610</v>
      </c>
      <c r="D206" s="882" t="s">
        <v>9350</v>
      </c>
      <c r="E206" s="882"/>
      <c r="F206" s="882" t="s">
        <v>9565</v>
      </c>
      <c r="G206" s="882" t="s">
        <v>9340</v>
      </c>
      <c r="H206" s="1109" t="s">
        <v>9112</v>
      </c>
      <c r="I206" s="1109"/>
      <c r="J206" s="1109"/>
      <c r="K206" s="1109"/>
      <c r="L206" s="1110" t="s">
        <v>969</v>
      </c>
      <c r="M206" s="883">
        <v>4725000</v>
      </c>
      <c r="N206" s="883"/>
      <c r="O206" s="883"/>
    </row>
    <row r="207" spans="1:15" s="1111" customFormat="1" ht="24.75" customHeight="1">
      <c r="A207" s="990">
        <v>206</v>
      </c>
      <c r="B207" s="882" t="s">
        <v>423</v>
      </c>
      <c r="C207" s="882" t="s">
        <v>423</v>
      </c>
      <c r="D207" s="882" t="s">
        <v>1544</v>
      </c>
      <c r="E207" s="882"/>
      <c r="F207" s="882" t="s">
        <v>9566</v>
      </c>
      <c r="G207" s="882" t="s">
        <v>9340</v>
      </c>
      <c r="H207" s="1109" t="s">
        <v>9567</v>
      </c>
      <c r="I207" s="1109"/>
      <c r="J207" s="1109"/>
      <c r="K207" s="1109"/>
      <c r="L207" s="1110" t="s">
        <v>201</v>
      </c>
      <c r="M207" s="883">
        <v>2210000</v>
      </c>
      <c r="N207" s="883"/>
      <c r="O207" s="883"/>
    </row>
    <row r="208" spans="1:15" s="1111" customFormat="1" ht="24.75" customHeight="1">
      <c r="A208" s="990">
        <v>207</v>
      </c>
      <c r="B208" s="882" t="s">
        <v>423</v>
      </c>
      <c r="C208" s="882" t="s">
        <v>1564</v>
      </c>
      <c r="D208" s="882" t="s">
        <v>1558</v>
      </c>
      <c r="E208" s="882"/>
      <c r="F208" s="882" t="s">
        <v>11630</v>
      </c>
      <c r="G208" s="882" t="s">
        <v>9340</v>
      </c>
      <c r="H208" s="1109" t="s">
        <v>7570</v>
      </c>
      <c r="I208" s="1109"/>
      <c r="J208" s="1109"/>
      <c r="K208" s="1109"/>
      <c r="L208" s="1110" t="s">
        <v>201</v>
      </c>
      <c r="M208" s="883">
        <v>2210000</v>
      </c>
      <c r="N208" s="883"/>
      <c r="O208" s="883"/>
    </row>
    <row r="209" spans="1:15" s="1111" customFormat="1" ht="24.75" customHeight="1">
      <c r="A209" s="990">
        <v>208</v>
      </c>
      <c r="B209" s="882" t="s">
        <v>3742</v>
      </c>
      <c r="C209" s="882" t="s">
        <v>4775</v>
      </c>
      <c r="D209" s="882">
        <v>495</v>
      </c>
      <c r="E209" s="882"/>
      <c r="F209" s="882" t="s">
        <v>9568</v>
      </c>
      <c r="G209" s="882" t="s">
        <v>9347</v>
      </c>
      <c r="H209" s="1109" t="s">
        <v>9140</v>
      </c>
      <c r="I209" s="1109"/>
      <c r="J209" s="1109"/>
      <c r="K209" s="1109"/>
      <c r="L209" s="1110" t="s">
        <v>969</v>
      </c>
      <c r="M209" s="883">
        <v>4725000</v>
      </c>
      <c r="N209" s="883"/>
      <c r="O209" s="883"/>
    </row>
    <row r="210" spans="1:15" s="1111" customFormat="1" ht="24.75" customHeight="1">
      <c r="A210" s="990">
        <v>209</v>
      </c>
      <c r="B210" s="882" t="s">
        <v>2476</v>
      </c>
      <c r="C210" s="882" t="s">
        <v>2476</v>
      </c>
      <c r="D210" s="882">
        <v>272</v>
      </c>
      <c r="E210" s="882"/>
      <c r="F210" s="882" t="s">
        <v>9571</v>
      </c>
      <c r="G210" s="882" t="s">
        <v>9340</v>
      </c>
      <c r="H210" s="1109" t="s">
        <v>9572</v>
      </c>
      <c r="I210" s="1109"/>
      <c r="J210" s="1109"/>
      <c r="K210" s="1109"/>
      <c r="L210" s="1110" t="s">
        <v>201</v>
      </c>
      <c r="M210" s="883">
        <v>2210000</v>
      </c>
      <c r="N210" s="883"/>
      <c r="O210" s="883"/>
    </row>
    <row r="211" spans="1:15" s="1111" customFormat="1" ht="24.75" customHeight="1">
      <c r="A211" s="990">
        <v>210</v>
      </c>
      <c r="B211" s="882" t="s">
        <v>7517</v>
      </c>
      <c r="C211" s="882" t="s">
        <v>2593</v>
      </c>
      <c r="D211" s="882">
        <v>542</v>
      </c>
      <c r="E211" s="882"/>
      <c r="F211" s="882" t="s">
        <v>9573</v>
      </c>
      <c r="G211" s="882" t="s">
        <v>9340</v>
      </c>
      <c r="H211" s="1109" t="s">
        <v>9574</v>
      </c>
      <c r="I211" s="1109"/>
      <c r="J211" s="1109"/>
      <c r="K211" s="1109"/>
      <c r="L211" s="1110" t="s">
        <v>201</v>
      </c>
      <c r="M211" s="883">
        <v>2210000</v>
      </c>
      <c r="N211" s="883"/>
      <c r="O211" s="883"/>
    </row>
    <row r="212" spans="1:15" s="1111" customFormat="1" ht="24.75" customHeight="1">
      <c r="A212" s="990">
        <v>211</v>
      </c>
      <c r="B212" s="882" t="s">
        <v>423</v>
      </c>
      <c r="C212" s="882"/>
      <c r="D212" s="882"/>
      <c r="E212" s="882"/>
      <c r="F212" s="882" t="s">
        <v>9575</v>
      </c>
      <c r="G212" s="882" t="s">
        <v>9340</v>
      </c>
      <c r="H212" s="1109" t="s">
        <v>9576</v>
      </c>
      <c r="I212" s="1109"/>
      <c r="J212" s="1109"/>
      <c r="K212" s="1109"/>
      <c r="L212" s="1110" t="s">
        <v>201</v>
      </c>
      <c r="M212" s="883">
        <v>2210000</v>
      </c>
      <c r="N212" s="883"/>
      <c r="O212" s="883"/>
    </row>
    <row r="213" spans="1:15" s="1111" customFormat="1" ht="24.75" customHeight="1">
      <c r="A213" s="990">
        <v>212</v>
      </c>
      <c r="B213" s="882" t="s">
        <v>1595</v>
      </c>
      <c r="C213" s="882" t="s">
        <v>1598</v>
      </c>
      <c r="D213" s="882" t="s">
        <v>1601</v>
      </c>
      <c r="E213" s="882"/>
      <c r="F213" s="882" t="s">
        <v>9577</v>
      </c>
      <c r="G213" s="882" t="s">
        <v>9340</v>
      </c>
      <c r="H213" s="1109" t="s">
        <v>7569</v>
      </c>
      <c r="I213" s="1109"/>
      <c r="J213" s="1109"/>
      <c r="K213" s="1109"/>
      <c r="L213" s="1110" t="s">
        <v>201</v>
      </c>
      <c r="M213" s="883">
        <v>2210000</v>
      </c>
      <c r="N213" s="883"/>
      <c r="O213" s="883"/>
    </row>
    <row r="214" spans="1:15" s="1111" customFormat="1" ht="24.75" customHeight="1">
      <c r="A214" s="990">
        <v>213</v>
      </c>
      <c r="B214" s="882" t="s">
        <v>1595</v>
      </c>
      <c r="C214" s="882" t="s">
        <v>1599</v>
      </c>
      <c r="D214" s="882" t="s">
        <v>9425</v>
      </c>
      <c r="E214" s="882"/>
      <c r="F214" s="882" t="s">
        <v>11629</v>
      </c>
      <c r="G214" s="882" t="s">
        <v>9340</v>
      </c>
      <c r="H214" s="1109" t="s">
        <v>9578</v>
      </c>
      <c r="I214" s="1109"/>
      <c r="J214" s="1109"/>
      <c r="K214" s="1109"/>
      <c r="L214" s="1110" t="s">
        <v>201</v>
      </c>
      <c r="M214" s="883">
        <v>2210000</v>
      </c>
      <c r="N214" s="883"/>
      <c r="O214" s="883"/>
    </row>
    <row r="215" spans="1:15" s="1111" customFormat="1" ht="24.75" customHeight="1">
      <c r="A215" s="990">
        <v>214</v>
      </c>
      <c r="B215" s="882" t="s">
        <v>1595</v>
      </c>
      <c r="C215" s="882" t="s">
        <v>1603</v>
      </c>
      <c r="D215" s="882" t="s">
        <v>1539</v>
      </c>
      <c r="E215" s="882"/>
      <c r="F215" s="882" t="s">
        <v>11628</v>
      </c>
      <c r="G215" s="882" t="s">
        <v>9340</v>
      </c>
      <c r="H215" s="1109" t="s">
        <v>9579</v>
      </c>
      <c r="I215" s="1109"/>
      <c r="J215" s="1109"/>
      <c r="K215" s="1109"/>
      <c r="L215" s="1110" t="s">
        <v>201</v>
      </c>
      <c r="M215" s="883">
        <v>2210000</v>
      </c>
      <c r="N215" s="883"/>
      <c r="O215" s="883"/>
    </row>
    <row r="216" spans="1:15" s="1111" customFormat="1" ht="24.75" customHeight="1">
      <c r="A216" s="990">
        <v>215</v>
      </c>
      <c r="B216" s="882" t="s">
        <v>1595</v>
      </c>
      <c r="C216" s="882" t="s">
        <v>1598</v>
      </c>
      <c r="D216" s="882" t="s">
        <v>9580</v>
      </c>
      <c r="E216" s="882"/>
      <c r="F216" s="882" t="s">
        <v>11627</v>
      </c>
      <c r="G216" s="882" t="s">
        <v>9340</v>
      </c>
      <c r="H216" s="1109" t="s">
        <v>7568</v>
      </c>
      <c r="I216" s="1109"/>
      <c r="J216" s="1109"/>
      <c r="K216" s="1109"/>
      <c r="L216" s="1110" t="s">
        <v>201</v>
      </c>
      <c r="M216" s="883">
        <v>2210000</v>
      </c>
      <c r="N216" s="883"/>
      <c r="O216" s="883"/>
    </row>
    <row r="217" spans="1:15" s="1111" customFormat="1" ht="24.75" customHeight="1">
      <c r="A217" s="990">
        <v>216</v>
      </c>
      <c r="B217" s="882" t="s">
        <v>267</v>
      </c>
      <c r="C217" s="882" t="s">
        <v>267</v>
      </c>
      <c r="D217" s="882" t="s">
        <v>9581</v>
      </c>
      <c r="E217" s="882"/>
      <c r="F217" s="882" t="s">
        <v>11626</v>
      </c>
      <c r="G217" s="882" t="s">
        <v>9347</v>
      </c>
      <c r="H217" s="1109" t="s">
        <v>9067</v>
      </c>
      <c r="I217" s="1109"/>
      <c r="J217" s="1109"/>
      <c r="K217" s="1109"/>
      <c r="L217" s="1110" t="s">
        <v>969</v>
      </c>
      <c r="M217" s="883">
        <v>4725000</v>
      </c>
      <c r="N217" s="883"/>
      <c r="O217" s="883"/>
    </row>
    <row r="218" spans="1:15" s="1111" customFormat="1" ht="24.75" customHeight="1">
      <c r="A218" s="990">
        <v>217</v>
      </c>
      <c r="B218" s="882" t="s">
        <v>3467</v>
      </c>
      <c r="C218" s="882" t="s">
        <v>3489</v>
      </c>
      <c r="D218" s="882" t="s">
        <v>9582</v>
      </c>
      <c r="E218" s="882"/>
      <c r="F218" s="882" t="s">
        <v>11625</v>
      </c>
      <c r="G218" s="882" t="s">
        <v>9347</v>
      </c>
      <c r="H218" s="1109" t="s">
        <v>9135</v>
      </c>
      <c r="I218" s="1109"/>
      <c r="J218" s="1109"/>
      <c r="K218" s="1109"/>
      <c r="L218" s="1110" t="s">
        <v>969</v>
      </c>
      <c r="M218" s="883">
        <v>4725000</v>
      </c>
      <c r="N218" s="883"/>
      <c r="O218" s="883"/>
    </row>
    <row r="219" spans="1:15" s="1111" customFormat="1" ht="24.75" customHeight="1">
      <c r="A219" s="990">
        <v>218</v>
      </c>
      <c r="B219" s="882" t="s">
        <v>3212</v>
      </c>
      <c r="C219" s="882" t="s">
        <v>3251</v>
      </c>
      <c r="D219" s="882" t="s">
        <v>3251</v>
      </c>
      <c r="E219" s="882"/>
      <c r="F219" s="882" t="s">
        <v>15976</v>
      </c>
      <c r="G219" s="882" t="s">
        <v>9347</v>
      </c>
      <c r="H219" s="1109" t="s">
        <v>9133</v>
      </c>
      <c r="I219" s="1109"/>
      <c r="J219" s="1109"/>
      <c r="K219" s="1109"/>
      <c r="L219" s="1110" t="s">
        <v>969</v>
      </c>
      <c r="M219" s="883">
        <v>4725000</v>
      </c>
      <c r="N219" s="883"/>
      <c r="O219" s="883"/>
    </row>
    <row r="220" spans="1:15" s="1111" customFormat="1" ht="24.75" customHeight="1">
      <c r="A220" s="990">
        <v>219</v>
      </c>
      <c r="B220" s="882" t="s">
        <v>267</v>
      </c>
      <c r="C220" s="882" t="s">
        <v>267</v>
      </c>
      <c r="D220" s="882" t="s">
        <v>9425</v>
      </c>
      <c r="E220" s="882"/>
      <c r="F220" s="882" t="s">
        <v>9584</v>
      </c>
      <c r="G220" s="882" t="s">
        <v>9340</v>
      </c>
      <c r="H220" s="1109" t="s">
        <v>9585</v>
      </c>
      <c r="I220" s="1109"/>
      <c r="J220" s="1109"/>
      <c r="K220" s="1109"/>
      <c r="L220" s="1110" t="s">
        <v>201</v>
      </c>
      <c r="M220" s="883">
        <v>2210000</v>
      </c>
      <c r="N220" s="883"/>
      <c r="O220" s="883"/>
    </row>
    <row r="221" spans="1:15" s="1111" customFormat="1" ht="24.75" customHeight="1">
      <c r="A221" s="990">
        <v>220</v>
      </c>
      <c r="B221" s="882" t="s">
        <v>423</v>
      </c>
      <c r="C221" s="882" t="s">
        <v>7522</v>
      </c>
      <c r="D221" s="882" t="s">
        <v>9372</v>
      </c>
      <c r="E221" s="882"/>
      <c r="F221" s="882" t="s">
        <v>11623</v>
      </c>
      <c r="G221" s="882" t="s">
        <v>9340</v>
      </c>
      <c r="H221" s="1109" t="s">
        <v>7567</v>
      </c>
      <c r="I221" s="1109"/>
      <c r="J221" s="1109"/>
      <c r="K221" s="1109"/>
      <c r="L221" s="1110" t="s">
        <v>201</v>
      </c>
      <c r="M221" s="883">
        <v>2210000</v>
      </c>
      <c r="N221" s="883"/>
      <c r="O221" s="883"/>
    </row>
    <row r="222" spans="1:15" s="1111" customFormat="1" ht="24.75" customHeight="1">
      <c r="A222" s="990">
        <v>221</v>
      </c>
      <c r="B222" s="882" t="s">
        <v>2476</v>
      </c>
      <c r="C222" s="882" t="s">
        <v>2505</v>
      </c>
      <c r="D222" s="882" t="s">
        <v>1539</v>
      </c>
      <c r="E222" s="882"/>
      <c r="F222" s="882" t="s">
        <v>11622</v>
      </c>
      <c r="G222" s="882" t="s">
        <v>9347</v>
      </c>
      <c r="H222" s="1109" t="s">
        <v>7506</v>
      </c>
      <c r="I222" s="1109"/>
      <c r="J222" s="1109"/>
      <c r="K222" s="1109"/>
      <c r="L222" s="1110" t="s">
        <v>969</v>
      </c>
      <c r="M222" s="883">
        <v>4725000</v>
      </c>
      <c r="N222" s="883"/>
      <c r="O222" s="883"/>
    </row>
    <row r="223" spans="1:15" s="1111" customFormat="1" ht="24.75" customHeight="1">
      <c r="A223" s="990">
        <v>222</v>
      </c>
      <c r="B223" s="882" t="s">
        <v>423</v>
      </c>
      <c r="C223" s="882" t="s">
        <v>423</v>
      </c>
      <c r="D223" s="882" t="s">
        <v>1545</v>
      </c>
      <c r="E223" s="882"/>
      <c r="F223" s="882" t="s">
        <v>11621</v>
      </c>
      <c r="G223" s="882" t="s">
        <v>9347</v>
      </c>
      <c r="H223" s="1109" t="s">
        <v>9102</v>
      </c>
      <c r="I223" s="1109"/>
      <c r="J223" s="1109"/>
      <c r="K223" s="1109"/>
      <c r="L223" s="1110" t="s">
        <v>969</v>
      </c>
      <c r="M223" s="883">
        <v>4725000</v>
      </c>
      <c r="N223" s="883"/>
      <c r="O223" s="883"/>
    </row>
    <row r="224" spans="1:15" s="1111" customFormat="1" ht="24.75" customHeight="1">
      <c r="A224" s="990">
        <v>223</v>
      </c>
      <c r="B224" s="882" t="s">
        <v>1595</v>
      </c>
      <c r="C224" s="882" t="s">
        <v>1599</v>
      </c>
      <c r="D224" s="882" t="s">
        <v>9350</v>
      </c>
      <c r="E224" s="882"/>
      <c r="F224" s="882" t="s">
        <v>11620</v>
      </c>
      <c r="G224" s="882" t="s">
        <v>9347</v>
      </c>
      <c r="H224" s="1109" t="s">
        <v>7530</v>
      </c>
      <c r="I224" s="1109"/>
      <c r="J224" s="1109"/>
      <c r="K224" s="1109"/>
      <c r="L224" s="1110" t="s">
        <v>969</v>
      </c>
      <c r="M224" s="883">
        <v>4725000</v>
      </c>
      <c r="N224" s="883"/>
      <c r="O224" s="883"/>
    </row>
    <row r="225" spans="1:15" s="1111" customFormat="1" ht="24.75" customHeight="1">
      <c r="A225" s="990">
        <v>224</v>
      </c>
      <c r="B225" s="882" t="s">
        <v>3212</v>
      </c>
      <c r="C225" s="882" t="s">
        <v>3213</v>
      </c>
      <c r="D225" s="882" t="s">
        <v>7846</v>
      </c>
      <c r="E225" s="882"/>
      <c r="F225" s="882" t="s">
        <v>11619</v>
      </c>
      <c r="G225" s="882" t="s">
        <v>9340</v>
      </c>
      <c r="H225" s="1109" t="s">
        <v>7565</v>
      </c>
      <c r="I225" s="1109"/>
      <c r="J225" s="1109"/>
      <c r="K225" s="1109"/>
      <c r="L225" s="1110" t="s">
        <v>201</v>
      </c>
      <c r="M225" s="883">
        <v>2210000</v>
      </c>
      <c r="N225" s="883"/>
      <c r="O225" s="883"/>
    </row>
    <row r="226" spans="1:15" s="1111" customFormat="1" ht="24.75" customHeight="1">
      <c r="A226" s="990">
        <v>225</v>
      </c>
      <c r="B226" s="882" t="s">
        <v>3212</v>
      </c>
      <c r="C226" s="882" t="s">
        <v>3213</v>
      </c>
      <c r="D226" s="882" t="s">
        <v>7846</v>
      </c>
      <c r="E226" s="882"/>
      <c r="F226" s="882" t="s">
        <v>11618</v>
      </c>
      <c r="G226" s="882" t="s">
        <v>9347</v>
      </c>
      <c r="H226" s="1109" t="s">
        <v>9132</v>
      </c>
      <c r="I226" s="1109"/>
      <c r="J226" s="1109"/>
      <c r="K226" s="1109"/>
      <c r="L226" s="1110" t="s">
        <v>969</v>
      </c>
      <c r="M226" s="883">
        <v>4725000</v>
      </c>
      <c r="N226" s="883"/>
      <c r="O226" s="883"/>
    </row>
    <row r="227" spans="1:15" s="1111" customFormat="1" ht="24.75" customHeight="1">
      <c r="A227" s="990">
        <v>226</v>
      </c>
      <c r="B227" s="882" t="s">
        <v>423</v>
      </c>
      <c r="C227" s="882" t="s">
        <v>423</v>
      </c>
      <c r="D227" s="882" t="s">
        <v>9418</v>
      </c>
      <c r="E227" s="882"/>
      <c r="F227" s="882" t="s">
        <v>11617</v>
      </c>
      <c r="G227" s="882" t="s">
        <v>9347</v>
      </c>
      <c r="H227" s="1109" t="s">
        <v>9103</v>
      </c>
      <c r="I227" s="1109"/>
      <c r="J227" s="1109"/>
      <c r="K227" s="1109"/>
      <c r="L227" s="1110" t="s">
        <v>969</v>
      </c>
      <c r="M227" s="883">
        <v>4725000</v>
      </c>
      <c r="N227" s="883"/>
      <c r="O227" s="883"/>
    </row>
    <row r="228" spans="1:15" s="1111" customFormat="1" ht="24.75" customHeight="1">
      <c r="A228" s="990">
        <v>227</v>
      </c>
      <c r="B228" s="882" t="s">
        <v>1595</v>
      </c>
      <c r="C228" s="882" t="s">
        <v>1598</v>
      </c>
      <c r="D228" s="882" t="s">
        <v>11222</v>
      </c>
      <c r="E228" s="882"/>
      <c r="F228" s="882" t="s">
        <v>11221</v>
      </c>
      <c r="G228" s="882" t="s">
        <v>9347</v>
      </c>
      <c r="H228" s="1109" t="s">
        <v>11220</v>
      </c>
      <c r="I228" s="1109"/>
      <c r="J228" s="1109" t="s">
        <v>2236</v>
      </c>
      <c r="K228" s="1109" t="s">
        <v>2124</v>
      </c>
      <c r="L228" s="1110" t="s">
        <v>969</v>
      </c>
      <c r="M228" s="883">
        <v>4725000</v>
      </c>
      <c r="N228" s="883" t="s">
        <v>375</v>
      </c>
      <c r="O228" s="883"/>
    </row>
    <row r="229" spans="1:15" s="1111" customFormat="1" ht="24.75" customHeight="1">
      <c r="A229" s="990">
        <v>228</v>
      </c>
      <c r="B229" s="882" t="s">
        <v>2476</v>
      </c>
      <c r="C229" s="882" t="s">
        <v>2476</v>
      </c>
      <c r="D229" s="882" t="s">
        <v>9403</v>
      </c>
      <c r="E229" s="882"/>
      <c r="F229" s="882" t="s">
        <v>9586</v>
      </c>
      <c r="G229" s="882" t="s">
        <v>9347</v>
      </c>
      <c r="H229" s="1109" t="s">
        <v>7528</v>
      </c>
      <c r="I229" s="1109"/>
      <c r="J229" s="1109"/>
      <c r="K229" s="1109"/>
      <c r="L229" s="1110" t="s">
        <v>969</v>
      </c>
      <c r="M229" s="883">
        <v>4725000</v>
      </c>
      <c r="N229" s="883"/>
      <c r="O229" s="883"/>
    </row>
    <row r="230" spans="1:15" s="1111" customFormat="1" ht="24.75" customHeight="1">
      <c r="A230" s="990">
        <v>229</v>
      </c>
      <c r="B230" s="882" t="s">
        <v>423</v>
      </c>
      <c r="C230" s="882" t="s">
        <v>423</v>
      </c>
      <c r="D230" s="882" t="s">
        <v>1555</v>
      </c>
      <c r="E230" s="882"/>
      <c r="F230" s="882" t="s">
        <v>9587</v>
      </c>
      <c r="G230" s="882" t="s">
        <v>9347</v>
      </c>
      <c r="H230" s="1109" t="s">
        <v>7510</v>
      </c>
      <c r="I230" s="1109"/>
      <c r="J230" s="1109"/>
      <c r="K230" s="1109"/>
      <c r="L230" s="1110" t="s">
        <v>969</v>
      </c>
      <c r="M230" s="883">
        <v>4725000</v>
      </c>
      <c r="N230" s="883"/>
      <c r="O230" s="883"/>
    </row>
    <row r="231" spans="1:15" s="1111" customFormat="1" ht="24.75" customHeight="1">
      <c r="A231" s="990">
        <v>230</v>
      </c>
      <c r="B231" s="882" t="s">
        <v>423</v>
      </c>
      <c r="C231" s="882" t="s">
        <v>423</v>
      </c>
      <c r="D231" s="882" t="s">
        <v>9588</v>
      </c>
      <c r="E231" s="882"/>
      <c r="F231" s="882" t="s">
        <v>11616</v>
      </c>
      <c r="G231" s="882" t="s">
        <v>9347</v>
      </c>
      <c r="H231" s="1109" t="s">
        <v>9101</v>
      </c>
      <c r="I231" s="1109"/>
      <c r="J231" s="1109"/>
      <c r="K231" s="1109"/>
      <c r="L231" s="1110" t="s">
        <v>969</v>
      </c>
      <c r="M231" s="883">
        <v>4725000</v>
      </c>
      <c r="N231" s="883"/>
      <c r="O231" s="883"/>
    </row>
    <row r="232" spans="1:15" s="1111" customFormat="1" ht="24.75" customHeight="1">
      <c r="A232" s="990">
        <v>231</v>
      </c>
      <c r="B232" s="882" t="s">
        <v>3212</v>
      </c>
      <c r="C232" s="882" t="s">
        <v>3213</v>
      </c>
      <c r="D232" s="882" t="s">
        <v>3213</v>
      </c>
      <c r="E232" s="882"/>
      <c r="F232" s="882" t="s">
        <v>9589</v>
      </c>
      <c r="G232" s="882" t="s">
        <v>9347</v>
      </c>
      <c r="H232" s="1109" t="s">
        <v>7529</v>
      </c>
      <c r="I232" s="1109"/>
      <c r="J232" s="1109"/>
      <c r="K232" s="1109"/>
      <c r="L232" s="1110" t="s">
        <v>969</v>
      </c>
      <c r="M232" s="883">
        <v>4725000</v>
      </c>
      <c r="N232" s="883"/>
      <c r="O232" s="883"/>
    </row>
    <row r="233" spans="1:15" s="1111" customFormat="1" ht="24.75" customHeight="1">
      <c r="A233" s="990">
        <v>232</v>
      </c>
      <c r="B233" s="882" t="s">
        <v>1609</v>
      </c>
      <c r="C233" s="882" t="s">
        <v>1610</v>
      </c>
      <c r="D233" s="882" t="s">
        <v>1610</v>
      </c>
      <c r="E233" s="882"/>
      <c r="F233" s="882" t="s">
        <v>9590</v>
      </c>
      <c r="G233" s="882" t="s">
        <v>9347</v>
      </c>
      <c r="H233" s="1109" t="s">
        <v>2926</v>
      </c>
      <c r="I233" s="1109"/>
      <c r="J233" s="1109"/>
      <c r="K233" s="1109"/>
      <c r="L233" s="1110" t="s">
        <v>969</v>
      </c>
      <c r="M233" s="883">
        <v>4725000</v>
      </c>
      <c r="N233" s="883"/>
      <c r="O233" s="883"/>
    </row>
    <row r="234" spans="1:15" s="1111" customFormat="1" ht="24.75" customHeight="1">
      <c r="A234" s="990">
        <v>233</v>
      </c>
      <c r="B234" s="882" t="s">
        <v>1595</v>
      </c>
      <c r="C234" s="882" t="s">
        <v>1600</v>
      </c>
      <c r="D234" s="882" t="s">
        <v>11202</v>
      </c>
      <c r="E234" s="882"/>
      <c r="F234" s="882" t="s">
        <v>11200</v>
      </c>
      <c r="G234" s="882" t="s">
        <v>9347</v>
      </c>
      <c r="H234" s="1109" t="s">
        <v>11201</v>
      </c>
      <c r="I234" s="1109"/>
      <c r="J234" s="1109"/>
      <c r="K234" s="1109"/>
      <c r="L234" s="1110" t="s">
        <v>969</v>
      </c>
      <c r="M234" s="883">
        <v>4725000</v>
      </c>
      <c r="N234" s="883"/>
      <c r="O234" s="883"/>
    </row>
    <row r="235" spans="1:15" s="1111" customFormat="1" ht="24.75" customHeight="1">
      <c r="A235" s="990">
        <v>234</v>
      </c>
      <c r="B235" s="882" t="s">
        <v>1595</v>
      </c>
      <c r="C235" s="882" t="s">
        <v>1598</v>
      </c>
      <c r="D235" s="882" t="s">
        <v>9591</v>
      </c>
      <c r="E235" s="882"/>
      <c r="F235" s="882" t="s">
        <v>9592</v>
      </c>
      <c r="G235" s="882" t="s">
        <v>9347</v>
      </c>
      <c r="H235" s="1109" t="s">
        <v>7508</v>
      </c>
      <c r="I235" s="1109"/>
      <c r="J235" s="1109"/>
      <c r="K235" s="1109"/>
      <c r="L235" s="1110" t="s">
        <v>969</v>
      </c>
      <c r="M235" s="883">
        <v>4725000</v>
      </c>
      <c r="N235" s="883"/>
      <c r="O235" s="883"/>
    </row>
    <row r="236" spans="1:15" s="1111" customFormat="1" ht="24.75" customHeight="1">
      <c r="A236" s="990">
        <v>235</v>
      </c>
      <c r="B236" s="882" t="s">
        <v>1595</v>
      </c>
      <c r="C236" s="882" t="s">
        <v>1598</v>
      </c>
      <c r="D236" s="882" t="s">
        <v>258</v>
      </c>
      <c r="E236" s="882"/>
      <c r="F236" s="882" t="s">
        <v>9593</v>
      </c>
      <c r="G236" s="882" t="s">
        <v>9347</v>
      </c>
      <c r="H236" s="1109" t="s">
        <v>7504</v>
      </c>
      <c r="I236" s="1109"/>
      <c r="J236" s="1109"/>
      <c r="K236" s="1109"/>
      <c r="L236" s="1110" t="s">
        <v>969</v>
      </c>
      <c r="M236" s="883">
        <v>4725000</v>
      </c>
      <c r="N236" s="883"/>
      <c r="O236" s="883"/>
    </row>
    <row r="237" spans="1:15" s="1111" customFormat="1" ht="24.75" customHeight="1">
      <c r="A237" s="990">
        <v>236</v>
      </c>
      <c r="B237" s="882" t="s">
        <v>1595</v>
      </c>
      <c r="C237" s="882" t="s">
        <v>1598</v>
      </c>
      <c r="D237" s="882" t="s">
        <v>9591</v>
      </c>
      <c r="E237" s="882"/>
      <c r="F237" s="882" t="s">
        <v>9594</v>
      </c>
      <c r="G237" s="882" t="s">
        <v>9347</v>
      </c>
      <c r="H237" s="1109" t="s">
        <v>7507</v>
      </c>
      <c r="I237" s="1109"/>
      <c r="J237" s="1109" t="s">
        <v>2232</v>
      </c>
      <c r="K237" s="1109" t="s">
        <v>15977</v>
      </c>
      <c r="L237" s="1110" t="s">
        <v>969</v>
      </c>
      <c r="M237" s="883">
        <v>4725000</v>
      </c>
      <c r="N237" s="883" t="s">
        <v>375</v>
      </c>
      <c r="O237" s="883"/>
    </row>
    <row r="238" spans="1:15" s="1111" customFormat="1" ht="24.75" customHeight="1">
      <c r="A238" s="990">
        <v>237</v>
      </c>
      <c r="B238" s="882" t="s">
        <v>1595</v>
      </c>
      <c r="C238" s="882" t="s">
        <v>1598</v>
      </c>
      <c r="D238" s="882" t="s">
        <v>11217</v>
      </c>
      <c r="E238" s="882"/>
      <c r="F238" s="882" t="s">
        <v>11216</v>
      </c>
      <c r="G238" s="882" t="s">
        <v>9347</v>
      </c>
      <c r="H238" s="1109" t="s">
        <v>11215</v>
      </c>
      <c r="I238" s="1109"/>
      <c r="J238" s="1109" t="s">
        <v>2244</v>
      </c>
      <c r="K238" s="1109" t="s">
        <v>2046</v>
      </c>
      <c r="L238" s="1110" t="s">
        <v>969</v>
      </c>
      <c r="M238" s="883">
        <v>4725000</v>
      </c>
      <c r="N238" s="883" t="s">
        <v>375</v>
      </c>
      <c r="O238" s="883"/>
    </row>
    <row r="239" spans="1:15" s="1111" customFormat="1" ht="24.75" customHeight="1">
      <c r="A239" s="990">
        <v>238</v>
      </c>
      <c r="B239" s="882" t="s">
        <v>1595</v>
      </c>
      <c r="C239" s="882" t="s">
        <v>1600</v>
      </c>
      <c r="D239" s="882" t="s">
        <v>11202</v>
      </c>
      <c r="E239" s="882"/>
      <c r="F239" s="882" t="s">
        <v>11219</v>
      </c>
      <c r="G239" s="882" t="s">
        <v>9347</v>
      </c>
      <c r="H239" s="1109" t="s">
        <v>11218</v>
      </c>
      <c r="I239" s="1109"/>
      <c r="J239" s="1109" t="s">
        <v>12022</v>
      </c>
      <c r="K239" s="1109" t="s">
        <v>2035</v>
      </c>
      <c r="L239" s="1110" t="s">
        <v>969</v>
      </c>
      <c r="M239" s="883">
        <v>4725000</v>
      </c>
      <c r="N239" s="883" t="s">
        <v>375</v>
      </c>
      <c r="O239" s="883"/>
    </row>
    <row r="240" spans="1:15" s="1111" customFormat="1" ht="24.75" customHeight="1">
      <c r="A240" s="990">
        <v>239</v>
      </c>
      <c r="B240" s="882" t="s">
        <v>1595</v>
      </c>
      <c r="C240" s="882" t="s">
        <v>1598</v>
      </c>
      <c r="D240" s="882" t="s">
        <v>11225</v>
      </c>
      <c r="E240" s="882"/>
      <c r="F240" s="882" t="s">
        <v>11224</v>
      </c>
      <c r="G240" s="882" t="s">
        <v>9347</v>
      </c>
      <c r="H240" s="1109" t="s">
        <v>11223</v>
      </c>
      <c r="I240" s="1109"/>
      <c r="J240" s="1109" t="s">
        <v>2234</v>
      </c>
      <c r="K240" s="1109" t="s">
        <v>15978</v>
      </c>
      <c r="L240" s="1110" t="s">
        <v>969</v>
      </c>
      <c r="M240" s="883">
        <v>4725000</v>
      </c>
      <c r="N240" s="883" t="s">
        <v>375</v>
      </c>
      <c r="O240" s="883"/>
    </row>
    <row r="241" spans="1:15" s="1111" customFormat="1" ht="24.75" customHeight="1">
      <c r="A241" s="990">
        <v>240</v>
      </c>
      <c r="B241" s="882" t="s">
        <v>1595</v>
      </c>
      <c r="C241" s="882" t="s">
        <v>1603</v>
      </c>
      <c r="D241" s="882" t="s">
        <v>9595</v>
      </c>
      <c r="E241" s="882"/>
      <c r="F241" s="882" t="s">
        <v>9596</v>
      </c>
      <c r="G241" s="882" t="s">
        <v>9347</v>
      </c>
      <c r="H241" s="1109" t="s">
        <v>9597</v>
      </c>
      <c r="I241" s="1109"/>
      <c r="J241" s="1109" t="s">
        <v>2233</v>
      </c>
      <c r="K241" s="1109" t="s">
        <v>2133</v>
      </c>
      <c r="L241" s="1110" t="s">
        <v>969</v>
      </c>
      <c r="M241" s="883">
        <v>4725000</v>
      </c>
      <c r="N241" s="883" t="s">
        <v>375</v>
      </c>
      <c r="O241" s="883"/>
    </row>
    <row r="242" spans="1:15" s="1111" customFormat="1" ht="24.75" customHeight="1">
      <c r="A242" s="990">
        <v>241</v>
      </c>
      <c r="B242" s="882" t="s">
        <v>1595</v>
      </c>
      <c r="C242" s="882" t="s">
        <v>1596</v>
      </c>
      <c r="D242" s="882" t="s">
        <v>11228</v>
      </c>
      <c r="E242" s="882"/>
      <c r="F242" s="882" t="s">
        <v>11227</v>
      </c>
      <c r="G242" s="882" t="s">
        <v>9347</v>
      </c>
      <c r="H242" s="1109" t="s">
        <v>11226</v>
      </c>
      <c r="I242" s="1109"/>
      <c r="J242" s="1109"/>
      <c r="K242" s="1109"/>
      <c r="L242" s="1110" t="s">
        <v>969</v>
      </c>
      <c r="M242" s="883">
        <v>4725000</v>
      </c>
      <c r="N242" s="883"/>
      <c r="O242" s="883"/>
    </row>
    <row r="243" spans="1:15" s="1111" customFormat="1" ht="24.75" customHeight="1">
      <c r="A243" s="990">
        <v>242</v>
      </c>
      <c r="B243" s="882" t="s">
        <v>423</v>
      </c>
      <c r="C243" s="882" t="s">
        <v>423</v>
      </c>
      <c r="D243" s="882" t="s">
        <v>9598</v>
      </c>
      <c r="E243" s="882"/>
      <c r="F243" s="882" t="s">
        <v>11615</v>
      </c>
      <c r="G243" s="882" t="s">
        <v>9347</v>
      </c>
      <c r="H243" s="1109" t="s">
        <v>7505</v>
      </c>
      <c r="I243" s="1109"/>
      <c r="J243" s="1109"/>
      <c r="K243" s="1109"/>
      <c r="L243" s="1110" t="s">
        <v>969</v>
      </c>
      <c r="M243" s="883">
        <v>4725000</v>
      </c>
      <c r="N243" s="883"/>
      <c r="O243" s="883"/>
    </row>
    <row r="244" spans="1:15" s="1111" customFormat="1" ht="24.75" customHeight="1">
      <c r="A244" s="990">
        <v>243</v>
      </c>
      <c r="B244" s="882" t="s">
        <v>3212</v>
      </c>
      <c r="C244" s="882" t="s">
        <v>3213</v>
      </c>
      <c r="D244" s="882" t="s">
        <v>7846</v>
      </c>
      <c r="E244" s="882"/>
      <c r="F244" s="882" t="s">
        <v>9599</v>
      </c>
      <c r="G244" s="882" t="s">
        <v>9347</v>
      </c>
      <c r="H244" s="1109" t="s">
        <v>7502</v>
      </c>
      <c r="I244" s="1109"/>
      <c r="J244" s="1109"/>
      <c r="K244" s="1109"/>
      <c r="L244" s="1110" t="s">
        <v>969</v>
      </c>
      <c r="M244" s="883">
        <v>4725000</v>
      </c>
      <c r="N244" s="883"/>
      <c r="O244" s="883"/>
    </row>
    <row r="245" spans="1:15" s="1111" customFormat="1" ht="24.75" customHeight="1">
      <c r="A245" s="990">
        <v>244</v>
      </c>
      <c r="B245" s="882" t="s">
        <v>1595</v>
      </c>
      <c r="C245" s="882" t="s">
        <v>1598</v>
      </c>
      <c r="D245" s="882" t="s">
        <v>258</v>
      </c>
      <c r="E245" s="882"/>
      <c r="F245" s="882" t="s">
        <v>9600</v>
      </c>
      <c r="G245" s="882" t="s">
        <v>9347</v>
      </c>
      <c r="H245" s="1109" t="s">
        <v>2231</v>
      </c>
      <c r="I245" s="1109"/>
      <c r="J245" s="1109" t="s">
        <v>12024</v>
      </c>
      <c r="K245" s="1109" t="s">
        <v>2050</v>
      </c>
      <c r="L245" s="1110" t="s">
        <v>969</v>
      </c>
      <c r="M245" s="883">
        <v>4725000</v>
      </c>
      <c r="N245" s="883" t="s">
        <v>375</v>
      </c>
      <c r="O245" s="883"/>
    </row>
    <row r="246" spans="1:15" s="1111" customFormat="1" ht="24.75" customHeight="1">
      <c r="A246" s="990">
        <v>245</v>
      </c>
      <c r="B246" s="882" t="s">
        <v>1595</v>
      </c>
      <c r="C246" s="882" t="s">
        <v>1598</v>
      </c>
      <c r="D246" s="882" t="s">
        <v>2970</v>
      </c>
      <c r="E246" s="882"/>
      <c r="F246" s="882" t="s">
        <v>9601</v>
      </c>
      <c r="G246" s="882" t="s">
        <v>9347</v>
      </c>
      <c r="H246" s="1109" t="s">
        <v>9602</v>
      </c>
      <c r="I246" s="1109"/>
      <c r="J246" s="1109" t="s">
        <v>2235</v>
      </c>
      <c r="K246" s="1109" t="s">
        <v>15979</v>
      </c>
      <c r="L246" s="1110" t="s">
        <v>969</v>
      </c>
      <c r="M246" s="883">
        <v>4725000</v>
      </c>
      <c r="N246" s="883" t="s">
        <v>375</v>
      </c>
      <c r="O246" s="883" t="s">
        <v>1084</v>
      </c>
    </row>
    <row r="247" spans="1:15" s="1111" customFormat="1" ht="24.75" customHeight="1">
      <c r="A247" s="990">
        <v>246</v>
      </c>
      <c r="B247" s="882" t="s">
        <v>1595</v>
      </c>
      <c r="C247" s="882" t="s">
        <v>1602</v>
      </c>
      <c r="D247" s="882" t="s">
        <v>1602</v>
      </c>
      <c r="E247" s="882"/>
      <c r="F247" s="882" t="s">
        <v>11503</v>
      </c>
      <c r="G247" s="882" t="s">
        <v>9347</v>
      </c>
      <c r="H247" s="1109" t="s">
        <v>9603</v>
      </c>
      <c r="I247" s="1109"/>
      <c r="J247" s="1109" t="s">
        <v>2238</v>
      </c>
      <c r="K247" s="1109" t="s">
        <v>2135</v>
      </c>
      <c r="L247" s="1110" t="s">
        <v>969</v>
      </c>
      <c r="M247" s="883">
        <v>4725000</v>
      </c>
      <c r="N247" s="883" t="s">
        <v>375</v>
      </c>
      <c r="O247" s="883"/>
    </row>
    <row r="248" spans="1:15" s="1111" customFormat="1" ht="24.75" customHeight="1">
      <c r="A248" s="990">
        <v>247</v>
      </c>
      <c r="B248" s="882" t="s">
        <v>1595</v>
      </c>
      <c r="C248" s="882" t="s">
        <v>1598</v>
      </c>
      <c r="D248" s="882">
        <v>232</v>
      </c>
      <c r="E248" s="882"/>
      <c r="F248" s="882" t="s">
        <v>11208</v>
      </c>
      <c r="G248" s="882" t="s">
        <v>9347</v>
      </c>
      <c r="H248" s="1109" t="s">
        <v>11207</v>
      </c>
      <c r="I248" s="1109"/>
      <c r="J248" s="1109"/>
      <c r="K248" s="1109"/>
      <c r="L248" s="1110" t="s">
        <v>969</v>
      </c>
      <c r="M248" s="883">
        <v>4725000</v>
      </c>
      <c r="N248" s="883"/>
      <c r="O248" s="883"/>
    </row>
    <row r="249" spans="1:15" s="1111" customFormat="1" ht="24.75" customHeight="1">
      <c r="A249" s="990">
        <v>248</v>
      </c>
      <c r="B249" s="882" t="s">
        <v>2476</v>
      </c>
      <c r="C249" s="882" t="s">
        <v>2476</v>
      </c>
      <c r="D249" s="882">
        <v>344</v>
      </c>
      <c r="E249" s="882"/>
      <c r="F249" s="882" t="s">
        <v>11210</v>
      </c>
      <c r="G249" s="882" t="s">
        <v>9347</v>
      </c>
      <c r="H249" s="1109" t="s">
        <v>11209</v>
      </c>
      <c r="I249" s="1109"/>
      <c r="J249" s="1109"/>
      <c r="K249" s="1109"/>
      <c r="L249" s="1110" t="s">
        <v>969</v>
      </c>
      <c r="M249" s="883">
        <v>4725000</v>
      </c>
      <c r="N249" s="883"/>
      <c r="O249" s="883"/>
    </row>
    <row r="250" spans="1:15" s="1111" customFormat="1" ht="24.75" customHeight="1">
      <c r="A250" s="990">
        <v>249</v>
      </c>
      <c r="B250" s="882" t="s">
        <v>423</v>
      </c>
      <c r="C250" s="882" t="s">
        <v>423</v>
      </c>
      <c r="D250" s="882">
        <v>453</v>
      </c>
      <c r="E250" s="882"/>
      <c r="F250" s="882" t="s">
        <v>9604</v>
      </c>
      <c r="G250" s="882" t="s">
        <v>9347</v>
      </c>
      <c r="H250" s="1109" t="s">
        <v>7549</v>
      </c>
      <c r="I250" s="1109"/>
      <c r="J250" s="1109"/>
      <c r="K250" s="1109"/>
      <c r="L250" s="1110" t="s">
        <v>969</v>
      </c>
      <c r="M250" s="883">
        <v>4725000</v>
      </c>
      <c r="N250" s="883"/>
      <c r="O250" s="883"/>
    </row>
    <row r="251" spans="1:15" s="1111" customFormat="1" ht="24.75" customHeight="1">
      <c r="A251" s="990">
        <v>250</v>
      </c>
      <c r="B251" s="882" t="s">
        <v>423</v>
      </c>
      <c r="C251" s="882" t="s">
        <v>423</v>
      </c>
      <c r="D251" s="882">
        <v>398</v>
      </c>
      <c r="E251" s="882"/>
      <c r="F251" s="882" t="s">
        <v>11212</v>
      </c>
      <c r="G251" s="882" t="s">
        <v>9347</v>
      </c>
      <c r="H251" s="1109" t="s">
        <v>11211</v>
      </c>
      <c r="I251" s="1109"/>
      <c r="J251" s="1109"/>
      <c r="K251" s="1109"/>
      <c r="L251" s="1110" t="s">
        <v>969</v>
      </c>
      <c r="M251" s="883">
        <v>4725000</v>
      </c>
      <c r="N251" s="883"/>
      <c r="O251" s="883"/>
    </row>
    <row r="252" spans="1:15" s="1111" customFormat="1" ht="24.75" customHeight="1">
      <c r="A252" s="990">
        <v>251</v>
      </c>
      <c r="B252" s="882" t="s">
        <v>423</v>
      </c>
      <c r="C252" s="882" t="s">
        <v>423</v>
      </c>
      <c r="D252" s="882">
        <v>527</v>
      </c>
      <c r="E252" s="882"/>
      <c r="F252" s="882" t="s">
        <v>9605</v>
      </c>
      <c r="G252" s="882" t="s">
        <v>9347</v>
      </c>
      <c r="H252" s="1109" t="s">
        <v>9606</v>
      </c>
      <c r="I252" s="1109"/>
      <c r="J252" s="1109"/>
      <c r="K252" s="1109"/>
      <c r="L252" s="1110" t="s">
        <v>969</v>
      </c>
      <c r="M252" s="883">
        <v>4725000</v>
      </c>
      <c r="N252" s="883"/>
      <c r="O252" s="883"/>
    </row>
    <row r="253" spans="1:15" s="1111" customFormat="1" ht="24.75" customHeight="1">
      <c r="A253" s="990">
        <v>252</v>
      </c>
      <c r="B253" s="882" t="s">
        <v>423</v>
      </c>
      <c r="C253" s="882" t="s">
        <v>423</v>
      </c>
      <c r="D253" s="882">
        <v>515</v>
      </c>
      <c r="E253" s="882"/>
      <c r="F253" s="882" t="s">
        <v>11230</v>
      </c>
      <c r="G253" s="882" t="s">
        <v>9347</v>
      </c>
      <c r="H253" s="1109" t="s">
        <v>11229</v>
      </c>
      <c r="I253" s="1109"/>
      <c r="J253" s="1109"/>
      <c r="K253" s="1109"/>
      <c r="L253" s="1110" t="s">
        <v>969</v>
      </c>
      <c r="M253" s="883">
        <v>4725000</v>
      </c>
      <c r="N253" s="883"/>
      <c r="O253" s="883"/>
    </row>
    <row r="254" spans="1:15" s="1111" customFormat="1" ht="24.75" customHeight="1">
      <c r="A254" s="990">
        <v>253</v>
      </c>
      <c r="B254" s="882" t="s">
        <v>2449</v>
      </c>
      <c r="C254" s="882" t="s">
        <v>2467</v>
      </c>
      <c r="D254" s="882">
        <v>393</v>
      </c>
      <c r="E254" s="882"/>
      <c r="F254" s="882" t="s">
        <v>9607</v>
      </c>
      <c r="G254" s="882" t="s">
        <v>9347</v>
      </c>
      <c r="H254" s="1109" t="s">
        <v>9608</v>
      </c>
      <c r="I254" s="1109"/>
      <c r="J254" s="1109"/>
      <c r="K254" s="1109"/>
      <c r="L254" s="1110" t="s">
        <v>969</v>
      </c>
      <c r="M254" s="883">
        <v>4725000</v>
      </c>
      <c r="N254" s="883"/>
      <c r="O254" s="883"/>
    </row>
    <row r="255" spans="1:15" s="1111" customFormat="1" ht="24.75" customHeight="1">
      <c r="A255" s="990">
        <v>254</v>
      </c>
      <c r="B255" s="882" t="s">
        <v>9367</v>
      </c>
      <c r="C255" s="882" t="s">
        <v>1598</v>
      </c>
      <c r="D255" s="882">
        <v>254</v>
      </c>
      <c r="E255" s="882"/>
      <c r="F255" s="882" t="s">
        <v>9611</v>
      </c>
      <c r="G255" s="882" t="s">
        <v>9347</v>
      </c>
      <c r="H255" s="1109" t="s">
        <v>9612</v>
      </c>
      <c r="I255" s="1109"/>
      <c r="J255" s="1109"/>
      <c r="K255" s="1109"/>
      <c r="L255" s="1110" t="s">
        <v>969</v>
      </c>
      <c r="M255" s="883">
        <v>4725000</v>
      </c>
      <c r="N255" s="883"/>
      <c r="O255" s="883"/>
    </row>
    <row r="256" spans="1:15" s="1111" customFormat="1" ht="24.75" customHeight="1">
      <c r="A256" s="990">
        <v>255</v>
      </c>
      <c r="B256" s="882" t="s">
        <v>423</v>
      </c>
      <c r="C256" s="882" t="s">
        <v>423</v>
      </c>
      <c r="D256" s="882">
        <v>527</v>
      </c>
      <c r="E256" s="882"/>
      <c r="F256" s="882" t="s">
        <v>9613</v>
      </c>
      <c r="G256" s="882" t="s">
        <v>9347</v>
      </c>
      <c r="H256" s="1109" t="s">
        <v>9614</v>
      </c>
      <c r="I256" s="1109"/>
      <c r="J256" s="1109"/>
      <c r="K256" s="1109"/>
      <c r="L256" s="1110" t="s">
        <v>969</v>
      </c>
      <c r="M256" s="883">
        <v>4725000</v>
      </c>
      <c r="N256" s="883"/>
      <c r="O256" s="883"/>
    </row>
    <row r="257" spans="1:15" s="1111" customFormat="1" ht="24.75" customHeight="1">
      <c r="A257" s="990">
        <v>256</v>
      </c>
      <c r="B257" s="882" t="s">
        <v>2592</v>
      </c>
      <c r="C257" s="882" t="s">
        <v>2621</v>
      </c>
      <c r="D257" s="882">
        <v>389</v>
      </c>
      <c r="E257" s="882"/>
      <c r="F257" s="882" t="s">
        <v>9615</v>
      </c>
      <c r="G257" s="882" t="s">
        <v>9347</v>
      </c>
      <c r="H257" s="1109" t="s">
        <v>9616</v>
      </c>
      <c r="I257" s="1109"/>
      <c r="J257" s="1109"/>
      <c r="K257" s="1109"/>
      <c r="L257" s="1110" t="s">
        <v>969</v>
      </c>
      <c r="M257" s="883">
        <v>4725000</v>
      </c>
      <c r="N257" s="883"/>
      <c r="O257" s="883"/>
    </row>
    <row r="258" spans="1:15" s="1111" customFormat="1" ht="24.75" customHeight="1">
      <c r="A258" s="990">
        <v>257</v>
      </c>
      <c r="B258" s="882" t="s">
        <v>2970</v>
      </c>
      <c r="C258" s="882" t="s">
        <v>4814</v>
      </c>
      <c r="D258" s="882">
        <v>442</v>
      </c>
      <c r="E258" s="882"/>
      <c r="F258" s="882" t="s">
        <v>11234</v>
      </c>
      <c r="G258" s="882" t="s">
        <v>9347</v>
      </c>
      <c r="H258" s="1109" t="s">
        <v>11233</v>
      </c>
      <c r="I258" s="1109"/>
      <c r="J258" s="1109"/>
      <c r="K258" s="1109"/>
      <c r="L258" s="1110" t="s">
        <v>969</v>
      </c>
      <c r="M258" s="883">
        <v>4725000</v>
      </c>
      <c r="N258" s="883"/>
      <c r="O258" s="883"/>
    </row>
    <row r="259" spans="1:15" s="1111" customFormat="1" ht="24.75" customHeight="1">
      <c r="A259" s="990">
        <v>258</v>
      </c>
      <c r="B259" s="882" t="s">
        <v>3705</v>
      </c>
      <c r="C259" s="882" t="s">
        <v>4908</v>
      </c>
      <c r="D259" s="882">
        <v>366</v>
      </c>
      <c r="E259" s="882"/>
      <c r="F259" s="882" t="s">
        <v>9617</v>
      </c>
      <c r="G259" s="882" t="s">
        <v>9347</v>
      </c>
      <c r="H259" s="1109" t="s">
        <v>9618</v>
      </c>
      <c r="I259" s="1109"/>
      <c r="J259" s="1109"/>
      <c r="K259" s="1109"/>
      <c r="L259" s="1110" t="s">
        <v>969</v>
      </c>
      <c r="M259" s="883">
        <v>4725000</v>
      </c>
      <c r="N259" s="883"/>
      <c r="O259" s="883"/>
    </row>
    <row r="260" spans="1:15" s="1111" customFormat="1" ht="24.75" customHeight="1">
      <c r="A260" s="990">
        <v>259</v>
      </c>
      <c r="B260" s="882" t="s">
        <v>2554</v>
      </c>
      <c r="C260" s="882" t="s">
        <v>2555</v>
      </c>
      <c r="D260" s="882">
        <v>384</v>
      </c>
      <c r="E260" s="882"/>
      <c r="F260" s="882" t="s">
        <v>11238</v>
      </c>
      <c r="G260" s="882" t="s">
        <v>9347</v>
      </c>
      <c r="H260" s="1109" t="s">
        <v>11237</v>
      </c>
      <c r="I260" s="1109"/>
      <c r="J260" s="1109"/>
      <c r="K260" s="1109"/>
      <c r="L260" s="1110" t="s">
        <v>969</v>
      </c>
      <c r="M260" s="883">
        <v>4725000</v>
      </c>
      <c r="N260" s="883"/>
      <c r="O260" s="883"/>
    </row>
    <row r="261" spans="1:15" s="1111" customFormat="1" ht="24.75" customHeight="1">
      <c r="A261" s="990">
        <v>260</v>
      </c>
      <c r="B261" s="882" t="s">
        <v>3705</v>
      </c>
      <c r="C261" s="882" t="s">
        <v>4886</v>
      </c>
      <c r="D261" s="882">
        <v>326</v>
      </c>
      <c r="E261" s="882"/>
      <c r="F261" s="882" t="s">
        <v>9619</v>
      </c>
      <c r="G261" s="882" t="s">
        <v>9347</v>
      </c>
      <c r="H261" s="1109" t="s">
        <v>9620</v>
      </c>
      <c r="I261" s="1109"/>
      <c r="J261" s="1109"/>
      <c r="K261" s="1109"/>
      <c r="L261" s="1110" t="s">
        <v>969</v>
      </c>
      <c r="M261" s="883">
        <v>4725000</v>
      </c>
      <c r="N261" s="883"/>
      <c r="O261" s="883"/>
    </row>
    <row r="262" spans="1:15" s="1111" customFormat="1" ht="24.75" customHeight="1">
      <c r="A262" s="990">
        <v>261</v>
      </c>
      <c r="B262" s="882" t="s">
        <v>9367</v>
      </c>
      <c r="C262" s="882" t="s">
        <v>1598</v>
      </c>
      <c r="D262" s="882">
        <v>238</v>
      </c>
      <c r="E262" s="882"/>
      <c r="F262" s="882" t="s">
        <v>9625</v>
      </c>
      <c r="G262" s="882" t="s">
        <v>9347</v>
      </c>
      <c r="H262" s="1109" t="s">
        <v>9626</v>
      </c>
      <c r="I262" s="1109"/>
      <c r="J262" s="1109"/>
      <c r="K262" s="1109"/>
      <c r="L262" s="1110" t="s">
        <v>969</v>
      </c>
      <c r="M262" s="883">
        <v>4725000</v>
      </c>
      <c r="N262" s="883"/>
      <c r="O262" s="883"/>
    </row>
    <row r="263" spans="1:15" s="1111" customFormat="1" ht="24.75" customHeight="1">
      <c r="A263" s="990">
        <v>262</v>
      </c>
      <c r="B263" s="882" t="s">
        <v>9367</v>
      </c>
      <c r="C263" s="882" t="s">
        <v>1598</v>
      </c>
      <c r="D263" s="882">
        <v>337</v>
      </c>
      <c r="E263" s="882"/>
      <c r="F263" s="882" t="s">
        <v>11504</v>
      </c>
      <c r="G263" s="882" t="s">
        <v>9347</v>
      </c>
      <c r="H263" s="1109" t="s">
        <v>9629</v>
      </c>
      <c r="I263" s="1109"/>
      <c r="J263" s="1109" t="s">
        <v>12046</v>
      </c>
      <c r="K263" s="1109" t="s">
        <v>2208</v>
      </c>
      <c r="L263" s="1110" t="s">
        <v>969</v>
      </c>
      <c r="M263" s="883">
        <v>4725000</v>
      </c>
      <c r="N263" s="883" t="s">
        <v>375</v>
      </c>
      <c r="O263" s="883"/>
    </row>
    <row r="264" spans="1:15" s="1111" customFormat="1" ht="24.75" customHeight="1">
      <c r="A264" s="990">
        <v>263</v>
      </c>
      <c r="B264" s="882" t="s">
        <v>1595</v>
      </c>
      <c r="C264" s="882" t="s">
        <v>1598</v>
      </c>
      <c r="D264" s="882">
        <v>226</v>
      </c>
      <c r="E264" s="882"/>
      <c r="F264" s="882" t="s">
        <v>11232</v>
      </c>
      <c r="G264" s="882" t="s">
        <v>9347</v>
      </c>
      <c r="H264" s="1109" t="s">
        <v>11231</v>
      </c>
      <c r="I264" s="1109"/>
      <c r="J264" s="1109"/>
      <c r="K264" s="1109"/>
      <c r="L264" s="1110" t="s">
        <v>969</v>
      </c>
      <c r="M264" s="883">
        <v>4725000</v>
      </c>
      <c r="N264" s="883"/>
      <c r="O264" s="883"/>
    </row>
    <row r="265" spans="1:15" s="1111" customFormat="1" ht="24.75" customHeight="1">
      <c r="A265" s="990">
        <v>264</v>
      </c>
      <c r="B265" s="882" t="s">
        <v>9367</v>
      </c>
      <c r="C265" s="882" t="s">
        <v>1603</v>
      </c>
      <c r="D265" s="882">
        <v>255</v>
      </c>
      <c r="E265" s="882"/>
      <c r="F265" s="882" t="s">
        <v>9632</v>
      </c>
      <c r="G265" s="882" t="s">
        <v>9347</v>
      </c>
      <c r="H265" s="1109" t="s">
        <v>9633</v>
      </c>
      <c r="I265" s="1109"/>
      <c r="J265" s="1109" t="s">
        <v>12040</v>
      </c>
      <c r="K265" s="1109" t="s">
        <v>2161</v>
      </c>
      <c r="L265" s="1110" t="s">
        <v>969</v>
      </c>
      <c r="M265" s="883">
        <v>4725000</v>
      </c>
      <c r="N265" s="883" t="s">
        <v>375</v>
      </c>
      <c r="O265" s="883"/>
    </row>
    <row r="266" spans="1:15" s="1111" customFormat="1" ht="24.75" customHeight="1">
      <c r="A266" s="990">
        <v>265</v>
      </c>
      <c r="B266" s="882" t="s">
        <v>4643</v>
      </c>
      <c r="C266" s="882" t="s">
        <v>138</v>
      </c>
      <c r="D266" s="882">
        <v>337</v>
      </c>
      <c r="E266" s="882"/>
      <c r="F266" s="882" t="s">
        <v>11505</v>
      </c>
      <c r="G266" s="882" t="s">
        <v>9347</v>
      </c>
      <c r="H266" s="1109" t="s">
        <v>9634</v>
      </c>
      <c r="I266" s="1109"/>
      <c r="J266" s="1109" t="s">
        <v>15633</v>
      </c>
      <c r="K266" s="1109" t="s">
        <v>228</v>
      </c>
      <c r="L266" s="1110" t="s">
        <v>969</v>
      </c>
      <c r="M266" s="883">
        <v>4725000</v>
      </c>
      <c r="N266" s="883" t="s">
        <v>375</v>
      </c>
      <c r="O266" s="883"/>
    </row>
    <row r="267" spans="1:15" s="1111" customFormat="1" ht="24.75" customHeight="1">
      <c r="A267" s="990">
        <v>266</v>
      </c>
      <c r="B267" s="882" t="s">
        <v>9367</v>
      </c>
      <c r="C267" s="882" t="s">
        <v>1598</v>
      </c>
      <c r="D267" s="882">
        <v>221</v>
      </c>
      <c r="E267" s="882"/>
      <c r="F267" s="882" t="s">
        <v>9637</v>
      </c>
      <c r="G267" s="882" t="s">
        <v>9347</v>
      </c>
      <c r="H267" s="1109" t="s">
        <v>9638</v>
      </c>
      <c r="I267" s="1109"/>
      <c r="J267" s="1109"/>
      <c r="K267" s="1109"/>
      <c r="L267" s="1110" t="s">
        <v>969</v>
      </c>
      <c r="M267" s="883">
        <v>4725000</v>
      </c>
      <c r="N267" s="883"/>
      <c r="O267" s="883"/>
    </row>
    <row r="268" spans="1:15" s="1111" customFormat="1" ht="24.75" customHeight="1">
      <c r="A268" s="990">
        <v>267</v>
      </c>
      <c r="B268" s="882" t="s">
        <v>9367</v>
      </c>
      <c r="C268" s="882" t="s">
        <v>1598</v>
      </c>
      <c r="D268" s="882">
        <v>222</v>
      </c>
      <c r="E268" s="882"/>
      <c r="F268" s="882" t="s">
        <v>9639</v>
      </c>
      <c r="G268" s="882" t="s">
        <v>9347</v>
      </c>
      <c r="H268" s="1109" t="s">
        <v>9640</v>
      </c>
      <c r="I268" s="1109"/>
      <c r="J268" s="1109"/>
      <c r="K268" s="1109"/>
      <c r="L268" s="1110" t="s">
        <v>969</v>
      </c>
      <c r="M268" s="883">
        <v>4725000</v>
      </c>
      <c r="N268" s="883"/>
      <c r="O268" s="883"/>
    </row>
    <row r="269" spans="1:15" s="1111" customFormat="1" ht="24.75" customHeight="1">
      <c r="A269" s="990">
        <v>268</v>
      </c>
      <c r="B269" s="882" t="s">
        <v>1595</v>
      </c>
      <c r="C269" s="882" t="s">
        <v>1596</v>
      </c>
      <c r="D269" s="882">
        <v>278</v>
      </c>
      <c r="E269" s="882"/>
      <c r="F269" s="882" t="s">
        <v>11236</v>
      </c>
      <c r="G269" s="882" t="s">
        <v>9347</v>
      </c>
      <c r="H269" s="1109" t="s">
        <v>11235</v>
      </c>
      <c r="I269" s="1109"/>
      <c r="J269" s="1109"/>
      <c r="K269" s="1109"/>
      <c r="L269" s="1110" t="s">
        <v>969</v>
      </c>
      <c r="M269" s="883">
        <v>4725000</v>
      </c>
      <c r="N269" s="883"/>
      <c r="O269" s="883"/>
    </row>
    <row r="270" spans="1:15" s="1111" customFormat="1" ht="24.75" customHeight="1">
      <c r="A270" s="990">
        <v>269</v>
      </c>
      <c r="B270" s="882" t="s">
        <v>423</v>
      </c>
      <c r="C270" s="882" t="s">
        <v>423</v>
      </c>
      <c r="D270" s="882">
        <v>500</v>
      </c>
      <c r="E270" s="882"/>
      <c r="F270" s="882" t="s">
        <v>9641</v>
      </c>
      <c r="G270" s="882" t="s">
        <v>9347</v>
      </c>
      <c r="H270" s="1109" t="s">
        <v>9642</v>
      </c>
      <c r="I270" s="1109"/>
      <c r="J270" s="1109"/>
      <c r="K270" s="1109"/>
      <c r="L270" s="1110" t="s">
        <v>969</v>
      </c>
      <c r="M270" s="883">
        <v>4725000</v>
      </c>
      <c r="N270" s="883"/>
      <c r="O270" s="883"/>
    </row>
    <row r="271" spans="1:15" s="1111" customFormat="1" ht="24.75" customHeight="1">
      <c r="A271" s="990">
        <v>270</v>
      </c>
      <c r="B271" s="882" t="s">
        <v>423</v>
      </c>
      <c r="C271" s="882" t="s">
        <v>423</v>
      </c>
      <c r="D271" s="882">
        <v>500</v>
      </c>
      <c r="E271" s="882"/>
      <c r="F271" s="882" t="s">
        <v>9643</v>
      </c>
      <c r="G271" s="882" t="s">
        <v>9347</v>
      </c>
      <c r="H271" s="1109" t="s">
        <v>9644</v>
      </c>
      <c r="I271" s="1109"/>
      <c r="J271" s="1109" t="s">
        <v>12135</v>
      </c>
      <c r="K271" s="1109" t="s">
        <v>15662</v>
      </c>
      <c r="L271" s="1110" t="s">
        <v>969</v>
      </c>
      <c r="M271" s="883">
        <v>4725000</v>
      </c>
      <c r="N271" s="883" t="s">
        <v>375</v>
      </c>
      <c r="O271" s="883"/>
    </row>
    <row r="272" spans="1:15" s="1111" customFormat="1" ht="24.75" customHeight="1">
      <c r="A272" s="990">
        <v>271</v>
      </c>
      <c r="B272" s="882" t="s">
        <v>2476</v>
      </c>
      <c r="C272" s="882" t="s">
        <v>2476</v>
      </c>
      <c r="D272" s="882">
        <v>308</v>
      </c>
      <c r="E272" s="882"/>
      <c r="F272" s="882" t="s">
        <v>9645</v>
      </c>
      <c r="G272" s="882" t="s">
        <v>9347</v>
      </c>
      <c r="H272" s="1109" t="s">
        <v>7550</v>
      </c>
      <c r="I272" s="1109"/>
      <c r="J272" s="1109"/>
      <c r="K272" s="1109"/>
      <c r="L272" s="1110" t="s">
        <v>969</v>
      </c>
      <c r="M272" s="883">
        <v>4725000</v>
      </c>
      <c r="N272" s="883"/>
      <c r="O272" s="883"/>
    </row>
    <row r="273" spans="1:15" s="1111" customFormat="1" ht="24.75" customHeight="1">
      <c r="A273" s="990">
        <v>272</v>
      </c>
      <c r="B273" s="882" t="s">
        <v>334</v>
      </c>
      <c r="C273" s="882" t="s">
        <v>334</v>
      </c>
      <c r="D273" s="882">
        <v>338</v>
      </c>
      <c r="E273" s="882"/>
      <c r="F273" s="882" t="s">
        <v>9646</v>
      </c>
      <c r="G273" s="882" t="s">
        <v>9347</v>
      </c>
      <c r="H273" s="1109" t="s">
        <v>7551</v>
      </c>
      <c r="I273" s="1109"/>
      <c r="J273" s="1109"/>
      <c r="K273" s="1109"/>
      <c r="L273" s="1110" t="s">
        <v>969</v>
      </c>
      <c r="M273" s="883">
        <v>4725000</v>
      </c>
      <c r="N273" s="883"/>
      <c r="O273" s="883"/>
    </row>
    <row r="274" spans="1:15" s="1111" customFormat="1" ht="24.75" customHeight="1">
      <c r="A274" s="990">
        <v>273</v>
      </c>
      <c r="B274" s="882" t="s">
        <v>423</v>
      </c>
      <c r="C274" s="882" t="s">
        <v>423</v>
      </c>
      <c r="D274" s="882">
        <v>462</v>
      </c>
      <c r="E274" s="882"/>
      <c r="F274" s="882" t="s">
        <v>9647</v>
      </c>
      <c r="G274" s="882" t="s">
        <v>9347</v>
      </c>
      <c r="H274" s="1109" t="s">
        <v>7552</v>
      </c>
      <c r="I274" s="1109"/>
      <c r="J274" s="1109"/>
      <c r="K274" s="1109"/>
      <c r="L274" s="1110" t="s">
        <v>969</v>
      </c>
      <c r="M274" s="883">
        <v>4725000</v>
      </c>
      <c r="N274" s="883"/>
      <c r="O274" s="883"/>
    </row>
    <row r="275" spans="1:15" s="1111" customFormat="1" ht="24.75" customHeight="1">
      <c r="A275" s="990">
        <v>274</v>
      </c>
      <c r="B275" s="882" t="s">
        <v>9367</v>
      </c>
      <c r="C275" s="882" t="s">
        <v>1598</v>
      </c>
      <c r="D275" s="882">
        <v>245</v>
      </c>
      <c r="E275" s="882"/>
      <c r="F275" s="882" t="s">
        <v>9648</v>
      </c>
      <c r="G275" s="882" t="s">
        <v>9347</v>
      </c>
      <c r="H275" s="1109" t="s">
        <v>7553</v>
      </c>
      <c r="I275" s="1109"/>
      <c r="J275" s="1109"/>
      <c r="K275" s="1109"/>
      <c r="L275" s="1110" t="s">
        <v>969</v>
      </c>
      <c r="M275" s="883">
        <v>4725000</v>
      </c>
      <c r="N275" s="883"/>
      <c r="O275" s="883"/>
    </row>
    <row r="276" spans="1:15" s="1111" customFormat="1" ht="24.75" customHeight="1">
      <c r="A276" s="990">
        <v>275</v>
      </c>
      <c r="B276" s="882" t="s">
        <v>9367</v>
      </c>
      <c r="C276" s="882" t="s">
        <v>1598</v>
      </c>
      <c r="D276" s="882">
        <v>211</v>
      </c>
      <c r="E276" s="882"/>
      <c r="F276" s="882" t="s">
        <v>9650</v>
      </c>
      <c r="G276" s="882" t="s">
        <v>9347</v>
      </c>
      <c r="H276" s="1109" t="s">
        <v>7555</v>
      </c>
      <c r="I276" s="1109"/>
      <c r="J276" s="1109"/>
      <c r="K276" s="1109"/>
      <c r="L276" s="1110" t="s">
        <v>969</v>
      </c>
      <c r="M276" s="883">
        <v>4725000</v>
      </c>
      <c r="N276" s="883"/>
      <c r="O276" s="883"/>
    </row>
    <row r="277" spans="1:15" s="1111" customFormat="1" ht="24.75" customHeight="1">
      <c r="A277" s="990">
        <v>276</v>
      </c>
      <c r="B277" s="882" t="s">
        <v>3018</v>
      </c>
      <c r="C277" s="882" t="s">
        <v>3077</v>
      </c>
      <c r="D277" s="882">
        <v>445</v>
      </c>
      <c r="E277" s="882"/>
      <c r="F277" s="882" t="s">
        <v>9651</v>
      </c>
      <c r="G277" s="882" t="s">
        <v>9347</v>
      </c>
      <c r="H277" s="1109" t="s">
        <v>9652</v>
      </c>
      <c r="I277" s="1109"/>
      <c r="J277" s="1109"/>
      <c r="K277" s="1109"/>
      <c r="L277" s="1110" t="s">
        <v>969</v>
      </c>
      <c r="M277" s="883">
        <v>4725000</v>
      </c>
      <c r="N277" s="883"/>
      <c r="O277" s="883"/>
    </row>
    <row r="278" spans="1:15" s="1111" customFormat="1" ht="24.75" customHeight="1">
      <c r="A278" s="990">
        <v>277</v>
      </c>
      <c r="B278" s="882" t="s">
        <v>423</v>
      </c>
      <c r="C278" s="882" t="s">
        <v>451</v>
      </c>
      <c r="D278" s="882">
        <v>287</v>
      </c>
      <c r="E278" s="882"/>
      <c r="F278" s="882" t="s">
        <v>9653</v>
      </c>
      <c r="G278" s="882" t="s">
        <v>9347</v>
      </c>
      <c r="H278" s="1109" t="s">
        <v>7556</v>
      </c>
      <c r="I278" s="1109"/>
      <c r="J278" s="1109"/>
      <c r="K278" s="1109"/>
      <c r="L278" s="1110" t="s">
        <v>969</v>
      </c>
      <c r="M278" s="883">
        <v>4725000</v>
      </c>
      <c r="N278" s="883"/>
      <c r="O278" s="883"/>
    </row>
    <row r="279" spans="1:15" s="1111" customFormat="1" ht="24.75" customHeight="1">
      <c r="A279" s="990">
        <v>278</v>
      </c>
      <c r="B279" s="882" t="s">
        <v>3742</v>
      </c>
      <c r="C279" s="882" t="s">
        <v>3742</v>
      </c>
      <c r="D279" s="882">
        <v>406</v>
      </c>
      <c r="E279" s="882"/>
      <c r="F279" s="882" t="s">
        <v>11240</v>
      </c>
      <c r="G279" s="882" t="s">
        <v>9347</v>
      </c>
      <c r="H279" s="1109" t="s">
        <v>11239</v>
      </c>
      <c r="I279" s="1109"/>
      <c r="J279" s="1109"/>
      <c r="K279" s="1109"/>
      <c r="L279" s="1110" t="s">
        <v>969</v>
      </c>
      <c r="M279" s="883">
        <v>4725000</v>
      </c>
      <c r="N279" s="883"/>
      <c r="O279" s="883"/>
    </row>
    <row r="280" spans="1:15" s="1111" customFormat="1" ht="24.75" customHeight="1">
      <c r="A280" s="990">
        <v>279</v>
      </c>
      <c r="B280" s="882" t="s">
        <v>9367</v>
      </c>
      <c r="C280" s="882" t="s">
        <v>1598</v>
      </c>
      <c r="D280" s="882">
        <v>244</v>
      </c>
      <c r="E280" s="882"/>
      <c r="F280" s="882" t="s">
        <v>9654</v>
      </c>
      <c r="G280" s="882" t="s">
        <v>9347</v>
      </c>
      <c r="H280" s="1109" t="s">
        <v>7557</v>
      </c>
      <c r="I280" s="1109"/>
      <c r="J280" s="1109"/>
      <c r="K280" s="1109"/>
      <c r="L280" s="1110" t="s">
        <v>969</v>
      </c>
      <c r="M280" s="883">
        <v>4725000</v>
      </c>
      <c r="N280" s="883"/>
      <c r="O280" s="883"/>
    </row>
    <row r="281" spans="1:15" s="1111" customFormat="1" ht="24.75" customHeight="1">
      <c r="A281" s="990">
        <v>280</v>
      </c>
      <c r="B281" s="882" t="s">
        <v>1604</v>
      </c>
      <c r="C281" s="882" t="s">
        <v>1608</v>
      </c>
      <c r="D281" s="882">
        <v>269</v>
      </c>
      <c r="E281" s="882"/>
      <c r="F281" s="882" t="s">
        <v>9655</v>
      </c>
      <c r="G281" s="882" t="s">
        <v>9347</v>
      </c>
      <c r="H281" s="1109" t="s">
        <v>7558</v>
      </c>
      <c r="I281" s="1109"/>
      <c r="J281" s="1109" t="s">
        <v>12057</v>
      </c>
      <c r="K281" s="1109" t="s">
        <v>12056</v>
      </c>
      <c r="L281" s="1110" t="s">
        <v>969</v>
      </c>
      <c r="M281" s="883">
        <v>4725000</v>
      </c>
      <c r="N281" s="883" t="s">
        <v>375</v>
      </c>
      <c r="O281" s="883"/>
    </row>
    <row r="282" spans="1:15" s="1111" customFormat="1" ht="24.75" customHeight="1">
      <c r="A282" s="990">
        <v>281</v>
      </c>
      <c r="B282" s="882" t="s">
        <v>9367</v>
      </c>
      <c r="C282" s="882" t="s">
        <v>1598</v>
      </c>
      <c r="D282" s="882">
        <v>274</v>
      </c>
      <c r="E282" s="882"/>
      <c r="F282" s="882" t="s">
        <v>9656</v>
      </c>
      <c r="G282" s="882" t="s">
        <v>9347</v>
      </c>
      <c r="H282" s="1109" t="s">
        <v>7560</v>
      </c>
      <c r="I282" s="1109"/>
      <c r="J282" s="1109"/>
      <c r="K282" s="1109"/>
      <c r="L282" s="1110" t="s">
        <v>969</v>
      </c>
      <c r="M282" s="883">
        <v>4725000</v>
      </c>
      <c r="N282" s="883"/>
      <c r="O282" s="883"/>
    </row>
    <row r="283" spans="1:15" s="1111" customFormat="1" ht="24.75" customHeight="1">
      <c r="A283" s="990">
        <v>282</v>
      </c>
      <c r="B283" s="882" t="s">
        <v>9367</v>
      </c>
      <c r="C283" s="882" t="s">
        <v>1598</v>
      </c>
      <c r="D283" s="882">
        <v>211</v>
      </c>
      <c r="E283" s="882"/>
      <c r="F283" s="882" t="s">
        <v>9657</v>
      </c>
      <c r="G283" s="882" t="s">
        <v>9347</v>
      </c>
      <c r="H283" s="1109" t="s">
        <v>7561</v>
      </c>
      <c r="I283" s="1109"/>
      <c r="J283" s="1109"/>
      <c r="K283" s="1109"/>
      <c r="L283" s="1110" t="s">
        <v>969</v>
      </c>
      <c r="M283" s="883">
        <v>4725000</v>
      </c>
      <c r="N283" s="883"/>
      <c r="O283" s="883"/>
    </row>
    <row r="284" spans="1:15" s="1111" customFormat="1" ht="24.75" customHeight="1">
      <c r="A284" s="990">
        <v>283</v>
      </c>
      <c r="B284" s="882" t="s">
        <v>423</v>
      </c>
      <c r="C284" s="882" t="s">
        <v>423</v>
      </c>
      <c r="D284" s="882">
        <v>375</v>
      </c>
      <c r="E284" s="882"/>
      <c r="F284" s="882" t="s">
        <v>9658</v>
      </c>
      <c r="G284" s="882" t="s">
        <v>9347</v>
      </c>
      <c r="H284" s="1109" t="s">
        <v>7559</v>
      </c>
      <c r="I284" s="1109"/>
      <c r="J284" s="1109"/>
      <c r="K284" s="1109"/>
      <c r="L284" s="1110" t="s">
        <v>969</v>
      </c>
      <c r="M284" s="883">
        <v>4725000</v>
      </c>
      <c r="N284" s="883"/>
      <c r="O284" s="883"/>
    </row>
    <row r="285" spans="1:15" s="1111" customFormat="1" ht="24.75" customHeight="1">
      <c r="A285" s="990">
        <v>284</v>
      </c>
      <c r="B285" s="882" t="s">
        <v>423</v>
      </c>
      <c r="C285" s="882" t="s">
        <v>648</v>
      </c>
      <c r="D285" s="882">
        <v>465</v>
      </c>
      <c r="E285" s="882"/>
      <c r="F285" s="882" t="s">
        <v>11214</v>
      </c>
      <c r="G285" s="882" t="s">
        <v>9347</v>
      </c>
      <c r="H285" s="1109" t="s">
        <v>11213</v>
      </c>
      <c r="I285" s="1109"/>
      <c r="J285" s="1109"/>
      <c r="K285" s="1109"/>
      <c r="L285" s="1110" t="s">
        <v>969</v>
      </c>
      <c r="M285" s="883">
        <v>4725000</v>
      </c>
      <c r="N285" s="883"/>
      <c r="O285" s="883"/>
    </row>
    <row r="286" spans="1:15" s="1111" customFormat="1" ht="24.75" customHeight="1">
      <c r="A286" s="990">
        <v>285</v>
      </c>
      <c r="B286" s="882" t="s">
        <v>9367</v>
      </c>
      <c r="C286" s="882" t="s">
        <v>1598</v>
      </c>
      <c r="D286" s="882">
        <v>245</v>
      </c>
      <c r="E286" s="882"/>
      <c r="F286" s="882" t="s">
        <v>9659</v>
      </c>
      <c r="G286" s="882" t="s">
        <v>9347</v>
      </c>
      <c r="H286" s="1109" t="s">
        <v>9660</v>
      </c>
      <c r="I286" s="1109"/>
      <c r="J286" s="1109"/>
      <c r="K286" s="1109"/>
      <c r="L286" s="1110" t="s">
        <v>969</v>
      </c>
      <c r="M286" s="883">
        <v>4725000</v>
      </c>
      <c r="N286" s="883"/>
      <c r="O286" s="883"/>
    </row>
    <row r="287" spans="1:15" s="1111" customFormat="1" ht="24.75" customHeight="1">
      <c r="A287" s="990">
        <v>286</v>
      </c>
      <c r="B287" s="882" t="s">
        <v>9367</v>
      </c>
      <c r="C287" s="882" t="s">
        <v>1596</v>
      </c>
      <c r="D287" s="882">
        <v>278</v>
      </c>
      <c r="E287" s="882"/>
      <c r="F287" s="882" t="s">
        <v>9661</v>
      </c>
      <c r="G287" s="882" t="s">
        <v>9347</v>
      </c>
      <c r="H287" s="1109" t="s">
        <v>9662</v>
      </c>
      <c r="I287" s="1109"/>
      <c r="J287" s="1109"/>
      <c r="K287" s="1109"/>
      <c r="L287" s="1110" t="s">
        <v>969</v>
      </c>
      <c r="M287" s="883">
        <v>4725000</v>
      </c>
      <c r="N287" s="883"/>
      <c r="O287" s="883"/>
    </row>
    <row r="288" spans="1:15" s="1111" customFormat="1" ht="24.75" customHeight="1">
      <c r="A288" s="990">
        <v>287</v>
      </c>
      <c r="B288" s="882" t="s">
        <v>423</v>
      </c>
      <c r="C288" s="882" t="s">
        <v>423</v>
      </c>
      <c r="D288" s="882">
        <v>438</v>
      </c>
      <c r="E288" s="882"/>
      <c r="F288" s="882" t="s">
        <v>9663</v>
      </c>
      <c r="G288" s="882" t="s">
        <v>9347</v>
      </c>
      <c r="H288" s="1109" t="s">
        <v>7564</v>
      </c>
      <c r="I288" s="1109"/>
      <c r="J288" s="1109"/>
      <c r="K288" s="1109"/>
      <c r="L288" s="1110" t="s">
        <v>969</v>
      </c>
      <c r="M288" s="883">
        <v>4725000</v>
      </c>
      <c r="N288" s="883"/>
      <c r="O288" s="883"/>
    </row>
    <row r="289" spans="1:15" s="1111" customFormat="1" ht="24.75" customHeight="1">
      <c r="A289" s="990">
        <v>288</v>
      </c>
      <c r="B289" s="882" t="s">
        <v>376</v>
      </c>
      <c r="C289" s="882" t="s">
        <v>376</v>
      </c>
      <c r="D289" s="882">
        <v>456</v>
      </c>
      <c r="E289" s="882"/>
      <c r="F289" s="882" t="s">
        <v>9664</v>
      </c>
      <c r="G289" s="882" t="s">
        <v>9347</v>
      </c>
      <c r="H289" s="1109" t="s">
        <v>9665</v>
      </c>
      <c r="I289" s="1109"/>
      <c r="J289" s="1109"/>
      <c r="K289" s="1109"/>
      <c r="L289" s="1110" t="s">
        <v>969</v>
      </c>
      <c r="M289" s="883">
        <v>4725000</v>
      </c>
      <c r="N289" s="883"/>
      <c r="O289" s="883"/>
    </row>
    <row r="290" spans="1:15" s="1111" customFormat="1" ht="24.75" customHeight="1">
      <c r="A290" s="990">
        <v>289</v>
      </c>
      <c r="B290" s="882" t="s">
        <v>25</v>
      </c>
      <c r="C290" s="882" t="s">
        <v>69</v>
      </c>
      <c r="D290" s="882">
        <v>347</v>
      </c>
      <c r="E290" s="882"/>
      <c r="F290" s="882" t="s">
        <v>9666</v>
      </c>
      <c r="G290" s="882" t="s">
        <v>9347</v>
      </c>
      <c r="H290" s="1109" t="s">
        <v>9667</v>
      </c>
      <c r="I290" s="1109"/>
      <c r="J290" s="1109"/>
      <c r="K290" s="1109"/>
      <c r="L290" s="1110" t="s">
        <v>969</v>
      </c>
      <c r="M290" s="883">
        <v>4725000</v>
      </c>
      <c r="N290" s="883"/>
      <c r="O290" s="883"/>
    </row>
    <row r="291" spans="1:15" s="1111" customFormat="1" ht="24.75" customHeight="1">
      <c r="A291" s="990">
        <v>290</v>
      </c>
      <c r="B291" s="882" t="s">
        <v>1609</v>
      </c>
      <c r="C291" s="882" t="s">
        <v>2420</v>
      </c>
      <c r="D291" s="882" t="s">
        <v>9668</v>
      </c>
      <c r="E291" s="882"/>
      <c r="F291" s="882" t="s">
        <v>11614</v>
      </c>
      <c r="G291" s="882" t="s">
        <v>9340</v>
      </c>
      <c r="H291" s="1109" t="s">
        <v>9669</v>
      </c>
      <c r="I291" s="1109"/>
      <c r="J291" s="1109"/>
      <c r="K291" s="1109"/>
      <c r="L291" s="1110" t="s">
        <v>201</v>
      </c>
      <c r="M291" s="883">
        <v>2210000</v>
      </c>
      <c r="N291" s="883"/>
      <c r="O291" s="883"/>
    </row>
    <row r="292" spans="1:15" s="1111" customFormat="1" ht="24.75" customHeight="1">
      <c r="A292" s="990">
        <v>291</v>
      </c>
      <c r="B292" s="882" t="s">
        <v>933</v>
      </c>
      <c r="C292" s="882" t="s">
        <v>7572</v>
      </c>
      <c r="D292" s="882" t="s">
        <v>7572</v>
      </c>
      <c r="E292" s="882"/>
      <c r="F292" s="882" t="s">
        <v>11613</v>
      </c>
      <c r="G292" s="882" t="s">
        <v>9340</v>
      </c>
      <c r="H292" s="1109" t="s">
        <v>9670</v>
      </c>
      <c r="I292" s="1109"/>
      <c r="J292" s="1109"/>
      <c r="K292" s="1109"/>
      <c r="L292" s="1110" t="s">
        <v>201</v>
      </c>
      <c r="M292" s="883">
        <v>2210000</v>
      </c>
      <c r="N292" s="883"/>
      <c r="O292" s="883"/>
    </row>
    <row r="293" spans="1:15" s="1111" customFormat="1" ht="24.75" customHeight="1">
      <c r="A293" s="990">
        <v>292</v>
      </c>
      <c r="B293" s="882" t="s">
        <v>423</v>
      </c>
      <c r="C293" s="882" t="s">
        <v>11465</v>
      </c>
      <c r="D293" s="882" t="s">
        <v>11464</v>
      </c>
      <c r="E293" s="882"/>
      <c r="F293" s="882" t="s">
        <v>11463</v>
      </c>
      <c r="G293" s="882" t="s">
        <v>9347</v>
      </c>
      <c r="H293" s="1109" t="s">
        <v>11466</v>
      </c>
      <c r="I293" s="1109"/>
      <c r="J293" s="1109"/>
      <c r="K293" s="1109"/>
      <c r="L293" s="1110" t="s">
        <v>969</v>
      </c>
      <c r="M293" s="883">
        <v>4725000</v>
      </c>
      <c r="N293" s="883"/>
      <c r="O293" s="883"/>
    </row>
    <row r="294" spans="1:15" s="1111" customFormat="1" ht="24.75" customHeight="1">
      <c r="A294" s="990">
        <v>293</v>
      </c>
      <c r="B294" s="882" t="s">
        <v>3212</v>
      </c>
      <c r="C294" s="882" t="s">
        <v>11508</v>
      </c>
      <c r="D294" s="882" t="s">
        <v>11507</v>
      </c>
      <c r="E294" s="882"/>
      <c r="F294" s="882" t="s">
        <v>11506</v>
      </c>
      <c r="G294" s="882" t="s">
        <v>9347</v>
      </c>
      <c r="H294" s="1109" t="s">
        <v>7565</v>
      </c>
      <c r="I294" s="1109"/>
      <c r="J294" s="1109"/>
      <c r="K294" s="1109"/>
      <c r="L294" s="1110" t="s">
        <v>969</v>
      </c>
      <c r="M294" s="883">
        <v>4725000</v>
      </c>
      <c r="N294" s="883"/>
      <c r="O294" s="883"/>
    </row>
    <row r="295" spans="1:15" s="1111" customFormat="1" ht="24.75" customHeight="1">
      <c r="A295" s="990">
        <v>294</v>
      </c>
      <c r="B295" s="882" t="s">
        <v>423</v>
      </c>
      <c r="C295" s="882" t="s">
        <v>423</v>
      </c>
      <c r="D295" s="882" t="s">
        <v>11475</v>
      </c>
      <c r="E295" s="882"/>
      <c r="F295" s="882" t="s">
        <v>11509</v>
      </c>
      <c r="G295" s="882" t="s">
        <v>9347</v>
      </c>
      <c r="H295" s="1109" t="s">
        <v>12126</v>
      </c>
      <c r="I295" s="1109"/>
      <c r="J295" s="1109" t="s">
        <v>12127</v>
      </c>
      <c r="K295" s="1109" t="s">
        <v>1392</v>
      </c>
      <c r="L295" s="1110" t="s">
        <v>969</v>
      </c>
      <c r="M295" s="883">
        <v>4725000</v>
      </c>
      <c r="N295" s="883" t="s">
        <v>375</v>
      </c>
      <c r="O295" s="883"/>
    </row>
    <row r="296" spans="1:15" s="1111" customFormat="1" ht="24.75" customHeight="1">
      <c r="A296" s="990">
        <v>295</v>
      </c>
      <c r="B296" s="882" t="s">
        <v>1595</v>
      </c>
      <c r="C296" s="882" t="s">
        <v>1598</v>
      </c>
      <c r="D296" s="882" t="s">
        <v>11514</v>
      </c>
      <c r="E296" s="882"/>
      <c r="F296" s="882" t="s">
        <v>11512</v>
      </c>
      <c r="G296" s="882" t="s">
        <v>9347</v>
      </c>
      <c r="H296" s="1109" t="s">
        <v>11513</v>
      </c>
      <c r="I296" s="1109"/>
      <c r="J296" s="1109" t="s">
        <v>12010</v>
      </c>
      <c r="K296" s="1109" t="s">
        <v>12011</v>
      </c>
      <c r="L296" s="1110" t="s">
        <v>969</v>
      </c>
      <c r="M296" s="883">
        <v>4725000</v>
      </c>
      <c r="N296" s="883" t="s">
        <v>375</v>
      </c>
      <c r="O296" s="883" t="s">
        <v>43</v>
      </c>
    </row>
    <row r="297" spans="1:15" s="1111" customFormat="1" ht="24.75" customHeight="1">
      <c r="A297" s="990">
        <v>296</v>
      </c>
      <c r="B297" s="882" t="s">
        <v>1595</v>
      </c>
      <c r="C297" s="882" t="s">
        <v>1598</v>
      </c>
      <c r="D297" s="882" t="s">
        <v>11514</v>
      </c>
      <c r="E297" s="882"/>
      <c r="F297" s="882" t="s">
        <v>15506</v>
      </c>
      <c r="G297" s="882" t="s">
        <v>9347</v>
      </c>
      <c r="H297" s="1109" t="s">
        <v>15507</v>
      </c>
      <c r="I297" s="1109"/>
      <c r="J297" s="1109" t="s">
        <v>15508</v>
      </c>
      <c r="K297" s="1109" t="s">
        <v>12016</v>
      </c>
      <c r="L297" s="1110" t="s">
        <v>969</v>
      </c>
      <c r="M297" s="883">
        <v>4725000</v>
      </c>
      <c r="N297" s="883" t="s">
        <v>375</v>
      </c>
      <c r="O297" s="883"/>
    </row>
    <row r="298" spans="1:15" s="1111" customFormat="1" ht="24.75" customHeight="1">
      <c r="A298" s="990">
        <v>297</v>
      </c>
      <c r="B298" s="882" t="s">
        <v>2476</v>
      </c>
      <c r="C298" s="882" t="s">
        <v>9524</v>
      </c>
      <c r="D298" s="882" t="s">
        <v>9352</v>
      </c>
      <c r="E298" s="882"/>
      <c r="F298" s="882" t="s">
        <v>11518</v>
      </c>
      <c r="G298" s="882" t="s">
        <v>9347</v>
      </c>
      <c r="H298" s="1109" t="s">
        <v>11519</v>
      </c>
      <c r="I298" s="1109"/>
      <c r="J298" s="1109" t="s">
        <v>15576</v>
      </c>
      <c r="K298" s="1109" t="s">
        <v>15575</v>
      </c>
      <c r="L298" s="1110" t="s">
        <v>969</v>
      </c>
      <c r="M298" s="883">
        <v>4725000</v>
      </c>
      <c r="N298" s="883" t="s">
        <v>375</v>
      </c>
      <c r="O298" s="883"/>
    </row>
    <row r="299" spans="1:15" s="1111" customFormat="1" ht="24.75" customHeight="1">
      <c r="A299" s="990">
        <v>298</v>
      </c>
      <c r="B299" s="882" t="s">
        <v>423</v>
      </c>
      <c r="C299" s="882" t="s">
        <v>423</v>
      </c>
      <c r="D299" s="882" t="s">
        <v>11522</v>
      </c>
      <c r="E299" s="882"/>
      <c r="F299" s="882" t="s">
        <v>11520</v>
      </c>
      <c r="G299" s="882" t="s">
        <v>9347</v>
      </c>
      <c r="H299" s="1109" t="s">
        <v>11521</v>
      </c>
      <c r="I299" s="1109"/>
      <c r="J299" s="1109"/>
      <c r="K299" s="1109"/>
      <c r="L299" s="1110" t="s">
        <v>969</v>
      </c>
      <c r="M299" s="883">
        <v>4725000</v>
      </c>
      <c r="N299" s="883"/>
      <c r="O299" s="883"/>
    </row>
    <row r="300" spans="1:15" s="1111" customFormat="1" ht="24.75" customHeight="1">
      <c r="A300" s="990">
        <v>299</v>
      </c>
      <c r="B300" s="882" t="s">
        <v>3705</v>
      </c>
      <c r="C300" s="882" t="s">
        <v>4892</v>
      </c>
      <c r="D300" s="882" t="s">
        <v>11525</v>
      </c>
      <c r="E300" s="882"/>
      <c r="F300" s="882" t="s">
        <v>11523</v>
      </c>
      <c r="G300" s="882" t="s">
        <v>9347</v>
      </c>
      <c r="H300" s="1109" t="s">
        <v>11524</v>
      </c>
      <c r="I300" s="1109"/>
      <c r="J300" s="1109"/>
      <c r="K300" s="1109"/>
      <c r="L300" s="1110" t="s">
        <v>969</v>
      </c>
      <c r="M300" s="883">
        <v>4725000</v>
      </c>
      <c r="N300" s="883"/>
      <c r="O300" s="883"/>
    </row>
    <row r="301" spans="1:15" s="1111" customFormat="1" ht="24.75" customHeight="1">
      <c r="A301" s="990">
        <v>300</v>
      </c>
      <c r="B301" s="882" t="s">
        <v>423</v>
      </c>
      <c r="C301" s="882" t="s">
        <v>423</v>
      </c>
      <c r="D301" s="882" t="s">
        <v>11522</v>
      </c>
      <c r="E301" s="882"/>
      <c r="F301" s="882" t="s">
        <v>11526</v>
      </c>
      <c r="G301" s="882" t="s">
        <v>9347</v>
      </c>
      <c r="H301" s="1109" t="s">
        <v>11527</v>
      </c>
      <c r="I301" s="1109"/>
      <c r="J301" s="1109"/>
      <c r="K301" s="1109"/>
      <c r="L301" s="1110" t="s">
        <v>969</v>
      </c>
      <c r="M301" s="883">
        <v>4725000</v>
      </c>
      <c r="N301" s="883"/>
      <c r="O301" s="883"/>
    </row>
    <row r="302" spans="1:15" s="1111" customFormat="1" ht="24.75" customHeight="1">
      <c r="A302" s="990">
        <v>301</v>
      </c>
      <c r="B302" s="882" t="s">
        <v>2592</v>
      </c>
      <c r="C302" s="882" t="s">
        <v>2593</v>
      </c>
      <c r="D302" s="882" t="s">
        <v>11530</v>
      </c>
      <c r="E302" s="882"/>
      <c r="F302" s="882" t="s">
        <v>11528</v>
      </c>
      <c r="G302" s="882" t="s">
        <v>9347</v>
      </c>
      <c r="H302" s="1109" t="s">
        <v>11529</v>
      </c>
      <c r="I302" s="1109"/>
      <c r="J302" s="1109"/>
      <c r="K302" s="1109"/>
      <c r="L302" s="1110" t="s">
        <v>969</v>
      </c>
      <c r="M302" s="883">
        <v>4725000</v>
      </c>
      <c r="N302" s="883"/>
      <c r="O302" s="883"/>
    </row>
    <row r="303" spans="1:15" s="1111" customFormat="1" ht="24.75" customHeight="1">
      <c r="A303" s="990">
        <v>302</v>
      </c>
      <c r="B303" s="882" t="s">
        <v>1595</v>
      </c>
      <c r="C303" s="882" t="s">
        <v>1602</v>
      </c>
      <c r="D303" s="882" t="s">
        <v>11533</v>
      </c>
      <c r="E303" s="882"/>
      <c r="F303" s="882" t="s">
        <v>11531</v>
      </c>
      <c r="G303" s="882" t="s">
        <v>9347</v>
      </c>
      <c r="H303" s="1109" t="s">
        <v>11532</v>
      </c>
      <c r="I303" s="1109"/>
      <c r="J303" s="1109"/>
      <c r="K303" s="1109"/>
      <c r="L303" s="1110" t="s">
        <v>969</v>
      </c>
      <c r="M303" s="883">
        <v>4725000</v>
      </c>
      <c r="N303" s="883"/>
      <c r="O303" s="883"/>
    </row>
    <row r="304" spans="1:15" s="1111" customFormat="1" ht="24.75" customHeight="1">
      <c r="A304" s="990">
        <v>303</v>
      </c>
      <c r="B304" s="882" t="s">
        <v>1604</v>
      </c>
      <c r="C304" s="882" t="s">
        <v>1608</v>
      </c>
      <c r="D304" s="882" t="s">
        <v>11536</v>
      </c>
      <c r="E304" s="882"/>
      <c r="F304" s="882" t="s">
        <v>11535</v>
      </c>
      <c r="G304" s="882" t="s">
        <v>9347</v>
      </c>
      <c r="H304" s="1109" t="s">
        <v>11534</v>
      </c>
      <c r="I304" s="1109"/>
      <c r="J304" s="1109"/>
      <c r="K304" s="1109"/>
      <c r="L304" s="1110" t="s">
        <v>969</v>
      </c>
      <c r="M304" s="883">
        <v>4725000</v>
      </c>
      <c r="N304" s="883"/>
      <c r="O304" s="883"/>
    </row>
    <row r="305" spans="1:16" s="1111" customFormat="1" ht="24.75" customHeight="1">
      <c r="A305" s="990">
        <v>304</v>
      </c>
      <c r="B305" s="882" t="s">
        <v>423</v>
      </c>
      <c r="C305" s="882" t="s">
        <v>423</v>
      </c>
      <c r="D305" s="882" t="s">
        <v>9517</v>
      </c>
      <c r="E305" s="882"/>
      <c r="F305" s="882" t="s">
        <v>9518</v>
      </c>
      <c r="G305" s="882" t="s">
        <v>9347</v>
      </c>
      <c r="H305" s="1109" t="s">
        <v>9096</v>
      </c>
      <c r="I305" s="1109"/>
      <c r="J305" s="1109"/>
      <c r="K305" s="1109"/>
      <c r="L305" s="1110" t="s">
        <v>969</v>
      </c>
      <c r="M305" s="883">
        <v>4725000</v>
      </c>
      <c r="N305" s="883"/>
      <c r="O305" s="883"/>
    </row>
    <row r="306" spans="1:16" s="1111" customFormat="1" ht="24.75" customHeight="1">
      <c r="A306" s="990">
        <v>305</v>
      </c>
      <c r="B306" s="882" t="s">
        <v>1595</v>
      </c>
      <c r="C306" s="882" t="s">
        <v>1598</v>
      </c>
      <c r="D306" s="882" t="s">
        <v>11539</v>
      </c>
      <c r="E306" s="882"/>
      <c r="F306" s="882" t="s">
        <v>11538</v>
      </c>
      <c r="G306" s="882" t="s">
        <v>9347</v>
      </c>
      <c r="H306" s="1109" t="s">
        <v>11537</v>
      </c>
      <c r="I306" s="1109"/>
      <c r="J306" s="1109"/>
      <c r="K306" s="1109"/>
      <c r="L306" s="1110" t="s">
        <v>969</v>
      </c>
      <c r="M306" s="883">
        <v>4725000</v>
      </c>
      <c r="N306" s="883" t="s">
        <v>43</v>
      </c>
      <c r="O306" s="883" t="s">
        <v>43</v>
      </c>
    </row>
    <row r="307" spans="1:16" s="1111" customFormat="1" ht="24.75" customHeight="1">
      <c r="A307" s="990">
        <v>306</v>
      </c>
      <c r="B307" s="882" t="s">
        <v>423</v>
      </c>
      <c r="C307" s="882" t="s">
        <v>11478</v>
      </c>
      <c r="D307" s="882" t="s">
        <v>11475</v>
      </c>
      <c r="E307" s="882"/>
      <c r="F307" s="882" t="s">
        <v>11476</v>
      </c>
      <c r="G307" s="882" t="s">
        <v>9347</v>
      </c>
      <c r="H307" s="1109" t="s">
        <v>11477</v>
      </c>
      <c r="I307" s="1109"/>
      <c r="J307" s="1109"/>
      <c r="K307" s="1109"/>
      <c r="L307" s="1110" t="s">
        <v>969</v>
      </c>
      <c r="M307" s="883">
        <v>4725000</v>
      </c>
      <c r="N307" s="883"/>
      <c r="O307" s="883"/>
    </row>
    <row r="308" spans="1:16" s="1111" customFormat="1" ht="24.75" customHeight="1">
      <c r="A308" s="990">
        <v>307</v>
      </c>
      <c r="B308" s="882" t="s">
        <v>1609</v>
      </c>
      <c r="C308" s="882" t="s">
        <v>1610</v>
      </c>
      <c r="D308" s="882" t="s">
        <v>11814</v>
      </c>
      <c r="E308" s="882"/>
      <c r="F308" s="882" t="s">
        <v>11815</v>
      </c>
      <c r="G308" s="882" t="s">
        <v>9347</v>
      </c>
      <c r="H308" s="1109" t="s">
        <v>11816</v>
      </c>
      <c r="I308" s="1109"/>
      <c r="J308" s="1109"/>
      <c r="K308" s="1109"/>
      <c r="L308" s="1110" t="s">
        <v>969</v>
      </c>
      <c r="M308" s="883">
        <v>4725000</v>
      </c>
      <c r="N308" s="883"/>
      <c r="O308" s="883"/>
    </row>
    <row r="309" spans="1:16" s="1111" customFormat="1" ht="24.75" customHeight="1">
      <c r="A309" s="990">
        <v>308</v>
      </c>
      <c r="B309" s="882" t="s">
        <v>423</v>
      </c>
      <c r="C309" s="882" t="s">
        <v>423</v>
      </c>
      <c r="D309" s="882" t="s">
        <v>11817</v>
      </c>
      <c r="E309" s="882"/>
      <c r="F309" s="882" t="s">
        <v>11818</v>
      </c>
      <c r="G309" s="882" t="s">
        <v>9347</v>
      </c>
      <c r="H309" s="1109" t="s">
        <v>11819</v>
      </c>
      <c r="I309" s="1109"/>
      <c r="J309" s="1109"/>
      <c r="K309" s="1109"/>
      <c r="L309" s="1110" t="s">
        <v>969</v>
      </c>
      <c r="M309" s="883">
        <v>4725000</v>
      </c>
      <c r="N309" s="883"/>
      <c r="O309" s="883"/>
      <c r="P309" s="1111" t="s">
        <v>9329</v>
      </c>
    </row>
    <row r="310" spans="1:16" s="1111" customFormat="1" ht="24.75" customHeight="1">
      <c r="A310" s="990">
        <v>309</v>
      </c>
      <c r="B310" s="882" t="s">
        <v>423</v>
      </c>
      <c r="C310" s="882" t="s">
        <v>423</v>
      </c>
      <c r="D310" s="882" t="s">
        <v>9377</v>
      </c>
      <c r="E310" s="882"/>
      <c r="F310" s="882" t="s">
        <v>11820</v>
      </c>
      <c r="G310" s="882" t="s">
        <v>9347</v>
      </c>
      <c r="H310" s="1109" t="s">
        <v>11821</v>
      </c>
      <c r="I310" s="1109"/>
      <c r="J310" s="1109"/>
      <c r="K310" s="1109"/>
      <c r="L310" s="1110" t="s">
        <v>969</v>
      </c>
      <c r="M310" s="883">
        <v>4725000</v>
      </c>
      <c r="N310" s="883"/>
      <c r="O310" s="883"/>
    </row>
    <row r="311" spans="1:16" s="1111" customFormat="1" ht="24.75" customHeight="1">
      <c r="A311" s="990">
        <v>310</v>
      </c>
      <c r="B311" s="882" t="s">
        <v>933</v>
      </c>
      <c r="C311" s="882" t="s">
        <v>3328</v>
      </c>
      <c r="D311" s="882" t="s">
        <v>14089</v>
      </c>
      <c r="E311" s="882"/>
      <c r="F311" s="882" t="s">
        <v>14617</v>
      </c>
      <c r="G311" s="882" t="s">
        <v>9347</v>
      </c>
      <c r="H311" s="1109" t="s">
        <v>14618</v>
      </c>
      <c r="I311" s="1109"/>
      <c r="J311" s="1109"/>
      <c r="K311" s="1109"/>
      <c r="L311" s="1110" t="s">
        <v>969</v>
      </c>
      <c r="M311" s="883">
        <v>4725000</v>
      </c>
      <c r="N311" s="883"/>
      <c r="O311" s="883"/>
    </row>
    <row r="312" spans="1:16" s="1111" customFormat="1" ht="24.75" customHeight="1">
      <c r="A312" s="990">
        <v>311</v>
      </c>
      <c r="B312" s="882" t="s">
        <v>423</v>
      </c>
      <c r="C312" s="882" t="s">
        <v>423</v>
      </c>
      <c r="D312" s="882"/>
      <c r="E312" s="882"/>
      <c r="F312" s="882" t="s">
        <v>14619</v>
      </c>
      <c r="G312" s="882" t="s">
        <v>9347</v>
      </c>
      <c r="H312" s="1109" t="s">
        <v>14195</v>
      </c>
      <c r="I312" s="1109"/>
      <c r="J312" s="1109" t="s">
        <v>15553</v>
      </c>
      <c r="K312" s="1109" t="s">
        <v>15551</v>
      </c>
      <c r="L312" s="1110" t="s">
        <v>969</v>
      </c>
      <c r="M312" s="883">
        <v>4725000</v>
      </c>
      <c r="N312" s="883" t="s">
        <v>375</v>
      </c>
      <c r="O312" s="883"/>
    </row>
    <row r="313" spans="1:16" s="1111" customFormat="1" ht="24.75" customHeight="1">
      <c r="A313" s="990">
        <v>312</v>
      </c>
      <c r="B313" s="882" t="s">
        <v>423</v>
      </c>
      <c r="C313" s="882" t="s">
        <v>423</v>
      </c>
      <c r="D313" s="882"/>
      <c r="E313" s="882"/>
      <c r="F313" s="882" t="s">
        <v>14620</v>
      </c>
      <c r="G313" s="882" t="s">
        <v>9347</v>
      </c>
      <c r="H313" s="1109" t="s">
        <v>14621</v>
      </c>
      <c r="I313" s="1109"/>
      <c r="J313" s="1109" t="s">
        <v>15552</v>
      </c>
      <c r="K313" s="1109" t="s">
        <v>15550</v>
      </c>
      <c r="L313" s="1110" t="s">
        <v>969</v>
      </c>
      <c r="M313" s="883">
        <v>4725000</v>
      </c>
      <c r="N313" s="883" t="s">
        <v>375</v>
      </c>
      <c r="O313" s="883"/>
    </row>
    <row r="314" spans="1:16" s="1111" customFormat="1" ht="24.75" customHeight="1">
      <c r="A314" s="990">
        <v>313</v>
      </c>
      <c r="B314" s="882" t="s">
        <v>1595</v>
      </c>
      <c r="C314" s="882" t="s">
        <v>1598</v>
      </c>
      <c r="D314" s="882" t="s">
        <v>14622</v>
      </c>
      <c r="E314" s="882"/>
      <c r="F314" s="882" t="s">
        <v>14623</v>
      </c>
      <c r="G314" s="882" t="s">
        <v>9347</v>
      </c>
      <c r="H314" s="1109" t="s">
        <v>14624</v>
      </c>
      <c r="I314" s="1109"/>
      <c r="J314" s="1109"/>
      <c r="K314" s="1109"/>
      <c r="L314" s="1110" t="s">
        <v>969</v>
      </c>
      <c r="M314" s="883">
        <v>4725000</v>
      </c>
      <c r="N314" s="883"/>
      <c r="O314" s="883"/>
    </row>
    <row r="315" spans="1:16" s="1111" customFormat="1" ht="24.75" customHeight="1">
      <c r="A315" s="990">
        <v>314</v>
      </c>
      <c r="B315" s="882" t="s">
        <v>26</v>
      </c>
      <c r="C315" s="882" t="s">
        <v>183</v>
      </c>
      <c r="D315" s="882" t="s">
        <v>14625</v>
      </c>
      <c r="E315" s="882"/>
      <c r="F315" s="882" t="s">
        <v>14626</v>
      </c>
      <c r="G315" s="882" t="s">
        <v>9347</v>
      </c>
      <c r="H315" s="1109" t="s">
        <v>14627</v>
      </c>
      <c r="I315" s="1109"/>
      <c r="J315" s="1109"/>
      <c r="K315" s="1109"/>
      <c r="L315" s="1110" t="s">
        <v>969</v>
      </c>
      <c r="M315" s="883">
        <v>4725000</v>
      </c>
      <c r="N315" s="883"/>
      <c r="O315" s="883"/>
    </row>
    <row r="316" spans="1:16" s="1111" customFormat="1" ht="24.75" customHeight="1">
      <c r="A316" s="990">
        <v>315</v>
      </c>
      <c r="B316" s="882" t="s">
        <v>1595</v>
      </c>
      <c r="C316" s="882" t="s">
        <v>1598</v>
      </c>
      <c r="D316" s="882" t="s">
        <v>9703</v>
      </c>
      <c r="E316" s="882"/>
      <c r="F316" s="882" t="s">
        <v>14519</v>
      </c>
      <c r="G316" s="882" t="s">
        <v>9347</v>
      </c>
      <c r="H316" s="1109" t="s">
        <v>14628</v>
      </c>
      <c r="I316" s="1109"/>
      <c r="J316" s="1109"/>
      <c r="K316" s="1109"/>
      <c r="L316" s="1110" t="s">
        <v>969</v>
      </c>
      <c r="M316" s="883">
        <v>4725000</v>
      </c>
      <c r="N316" s="883"/>
      <c r="O316" s="883"/>
    </row>
    <row r="317" spans="1:16" s="1111" customFormat="1" ht="24.75" customHeight="1">
      <c r="A317" s="990">
        <v>316</v>
      </c>
      <c r="B317" s="882" t="s">
        <v>1595</v>
      </c>
      <c r="C317" s="882" t="s">
        <v>1598</v>
      </c>
      <c r="D317" s="882" t="s">
        <v>13937</v>
      </c>
      <c r="E317" s="882"/>
      <c r="F317" s="882" t="s">
        <v>14629</v>
      </c>
      <c r="G317" s="882" t="s">
        <v>9347</v>
      </c>
      <c r="H317" s="1109" t="s">
        <v>14630</v>
      </c>
      <c r="I317" s="1109"/>
      <c r="J317" s="1109"/>
      <c r="K317" s="1109"/>
      <c r="L317" s="1110" t="s">
        <v>969</v>
      </c>
      <c r="M317" s="883">
        <v>4725000</v>
      </c>
      <c r="N317" s="883"/>
      <c r="O317" s="883"/>
    </row>
    <row r="318" spans="1:16" s="1111" customFormat="1" ht="24.75" customHeight="1">
      <c r="A318" s="990">
        <v>317</v>
      </c>
      <c r="B318" s="882" t="s">
        <v>334</v>
      </c>
      <c r="C318" s="882" t="s">
        <v>334</v>
      </c>
      <c r="D318" s="882" t="s">
        <v>14631</v>
      </c>
      <c r="E318" s="882"/>
      <c r="F318" s="882" t="s">
        <v>14632</v>
      </c>
      <c r="G318" s="882" t="s">
        <v>9347</v>
      </c>
      <c r="H318" s="1109" t="s">
        <v>14633</v>
      </c>
      <c r="I318" s="1109"/>
      <c r="J318" s="1109"/>
      <c r="K318" s="1109"/>
      <c r="L318" s="1110" t="s">
        <v>969</v>
      </c>
      <c r="M318" s="883">
        <v>4725000</v>
      </c>
      <c r="N318" s="883"/>
      <c r="O318" s="883"/>
    </row>
    <row r="319" spans="1:16" s="1111" customFormat="1" ht="24.75" customHeight="1">
      <c r="A319" s="990">
        <v>318</v>
      </c>
      <c r="B319" s="882" t="s">
        <v>423</v>
      </c>
      <c r="C319" s="882" t="s">
        <v>423</v>
      </c>
      <c r="D319" s="882"/>
      <c r="E319" s="882"/>
      <c r="F319" s="882" t="s">
        <v>14634</v>
      </c>
      <c r="G319" s="882" t="s">
        <v>9347</v>
      </c>
      <c r="H319" s="1109" t="s">
        <v>7503</v>
      </c>
      <c r="I319" s="1109"/>
      <c r="J319" s="1109"/>
      <c r="K319" s="1109"/>
      <c r="L319" s="1110" t="s">
        <v>969</v>
      </c>
      <c r="M319" s="883">
        <v>4725000</v>
      </c>
      <c r="N319" s="883"/>
      <c r="O319" s="883"/>
    </row>
    <row r="320" spans="1:16" s="1111" customFormat="1" ht="24.75" customHeight="1">
      <c r="A320" s="990">
        <v>319</v>
      </c>
      <c r="B320" s="882" t="s">
        <v>3742</v>
      </c>
      <c r="C320" s="882" t="s">
        <v>4780</v>
      </c>
      <c r="D320" s="882" t="s">
        <v>9792</v>
      </c>
      <c r="E320" s="882"/>
      <c r="F320" s="882" t="s">
        <v>14635</v>
      </c>
      <c r="G320" s="882" t="s">
        <v>9347</v>
      </c>
      <c r="H320" s="1109" t="s">
        <v>14636</v>
      </c>
      <c r="I320" s="1109"/>
      <c r="J320" s="1109"/>
      <c r="K320" s="1109"/>
      <c r="L320" s="1110" t="s">
        <v>969</v>
      </c>
      <c r="M320" s="883">
        <v>4725000</v>
      </c>
      <c r="N320" s="883"/>
      <c r="O320" s="883"/>
    </row>
    <row r="321" spans="1:15" s="1111" customFormat="1" ht="24.75" customHeight="1">
      <c r="A321" s="990">
        <v>320</v>
      </c>
      <c r="B321" s="882" t="s">
        <v>423</v>
      </c>
      <c r="C321" s="882" t="s">
        <v>423</v>
      </c>
      <c r="D321" s="882"/>
      <c r="E321" s="882"/>
      <c r="F321" s="882" t="s">
        <v>14637</v>
      </c>
      <c r="G321" s="882" t="s">
        <v>9347</v>
      </c>
      <c r="H321" s="1109" t="s">
        <v>14638</v>
      </c>
      <c r="I321" s="1109"/>
      <c r="J321" s="1109"/>
      <c r="K321" s="1109"/>
      <c r="L321" s="1110" t="s">
        <v>969</v>
      </c>
      <c r="M321" s="883">
        <v>4725000</v>
      </c>
      <c r="N321" s="883"/>
      <c r="O321" s="883"/>
    </row>
    <row r="322" spans="1:15" s="1111" customFormat="1" ht="24.75" customHeight="1">
      <c r="A322" s="990">
        <v>321</v>
      </c>
      <c r="B322" s="882" t="s">
        <v>25</v>
      </c>
      <c r="C322" s="882" t="s">
        <v>76</v>
      </c>
      <c r="D322" s="882" t="s">
        <v>9766</v>
      </c>
      <c r="E322" s="882"/>
      <c r="F322" s="882" t="s">
        <v>14639</v>
      </c>
      <c r="G322" s="882" t="s">
        <v>9347</v>
      </c>
      <c r="H322" s="1109" t="s">
        <v>9097</v>
      </c>
      <c r="I322" s="1109"/>
      <c r="J322" s="1109"/>
      <c r="K322" s="1109"/>
      <c r="L322" s="1110" t="s">
        <v>969</v>
      </c>
      <c r="M322" s="883">
        <v>4725000</v>
      </c>
      <c r="N322" s="883"/>
      <c r="O322" s="883"/>
    </row>
    <row r="323" spans="1:15" s="1111" customFormat="1" ht="24.75" customHeight="1">
      <c r="A323" s="990">
        <v>322</v>
      </c>
      <c r="B323" s="882" t="s">
        <v>423</v>
      </c>
      <c r="C323" s="882" t="s">
        <v>423</v>
      </c>
      <c r="D323" s="882" t="s">
        <v>14640</v>
      </c>
      <c r="E323" s="882"/>
      <c r="F323" s="882" t="s">
        <v>14641</v>
      </c>
      <c r="G323" s="882" t="s">
        <v>9347</v>
      </c>
      <c r="H323" s="1109" t="s">
        <v>14642</v>
      </c>
      <c r="I323" s="1109"/>
      <c r="J323" s="1109"/>
      <c r="K323" s="1109"/>
      <c r="L323" s="1110" t="s">
        <v>969</v>
      </c>
      <c r="M323" s="883">
        <v>4725000</v>
      </c>
      <c r="N323" s="883"/>
      <c r="O323" s="883"/>
    </row>
    <row r="324" spans="1:15" s="1111" customFormat="1" ht="24.75" customHeight="1">
      <c r="A324" s="990">
        <v>323</v>
      </c>
      <c r="B324" s="882" t="s">
        <v>423</v>
      </c>
      <c r="C324" s="882" t="s">
        <v>423</v>
      </c>
      <c r="D324" s="882" t="s">
        <v>14643</v>
      </c>
      <c r="E324" s="882"/>
      <c r="F324" s="882" t="s">
        <v>14644</v>
      </c>
      <c r="G324" s="882" t="s">
        <v>9347</v>
      </c>
      <c r="H324" s="1109" t="s">
        <v>14645</v>
      </c>
      <c r="I324" s="1109"/>
      <c r="J324" s="1109"/>
      <c r="K324" s="1109"/>
      <c r="L324" s="1110" t="s">
        <v>969</v>
      </c>
      <c r="M324" s="883">
        <v>4725000</v>
      </c>
      <c r="N324" s="883"/>
      <c r="O324" s="883"/>
    </row>
    <row r="325" spans="1:15" s="1111" customFormat="1" ht="24.75" customHeight="1">
      <c r="A325" s="990">
        <v>324</v>
      </c>
      <c r="B325" s="882" t="s">
        <v>423</v>
      </c>
      <c r="C325" s="882" t="s">
        <v>423</v>
      </c>
      <c r="D325" s="882" t="s">
        <v>9377</v>
      </c>
      <c r="E325" s="882"/>
      <c r="F325" s="882" t="s">
        <v>14646</v>
      </c>
      <c r="G325" s="882" t="s">
        <v>9347</v>
      </c>
      <c r="H325" s="1109" t="s">
        <v>14647</v>
      </c>
      <c r="I325" s="1109"/>
      <c r="J325" s="1109"/>
      <c r="K325" s="1109"/>
      <c r="L325" s="1110" t="s">
        <v>969</v>
      </c>
      <c r="M325" s="883">
        <v>4725000</v>
      </c>
      <c r="N325" s="883"/>
      <c r="O325" s="883"/>
    </row>
    <row r="326" spans="1:15" s="1111" customFormat="1" ht="24.75" customHeight="1">
      <c r="A326" s="990">
        <v>325</v>
      </c>
      <c r="B326" s="882" t="s">
        <v>423</v>
      </c>
      <c r="C326" s="882" t="s">
        <v>423</v>
      </c>
      <c r="D326" s="882" t="s">
        <v>14648</v>
      </c>
      <c r="E326" s="882"/>
      <c r="F326" s="882" t="s">
        <v>14649</v>
      </c>
      <c r="G326" s="882" t="s">
        <v>9347</v>
      </c>
      <c r="H326" s="1109" t="s">
        <v>14650</v>
      </c>
      <c r="I326" s="1109"/>
      <c r="J326" s="1109"/>
      <c r="K326" s="1109"/>
      <c r="L326" s="1110" t="s">
        <v>969</v>
      </c>
      <c r="M326" s="883">
        <v>4725000</v>
      </c>
      <c r="N326" s="883"/>
      <c r="O326" s="883"/>
    </row>
    <row r="327" spans="1:15" s="1111" customFormat="1" ht="24.75" customHeight="1">
      <c r="A327" s="990">
        <v>326</v>
      </c>
      <c r="B327" s="882" t="s">
        <v>423</v>
      </c>
      <c r="C327" s="882" t="s">
        <v>423</v>
      </c>
      <c r="D327" s="882" t="s">
        <v>14651</v>
      </c>
      <c r="E327" s="882"/>
      <c r="F327" s="882" t="s">
        <v>14652</v>
      </c>
      <c r="G327" s="882" t="s">
        <v>9347</v>
      </c>
      <c r="H327" s="1109" t="s">
        <v>16262</v>
      </c>
      <c r="I327" s="1109" t="s">
        <v>16261</v>
      </c>
      <c r="J327" s="1109"/>
      <c r="K327" s="1109"/>
      <c r="L327" s="1110" t="s">
        <v>969</v>
      </c>
      <c r="M327" s="883">
        <v>4725000</v>
      </c>
      <c r="N327" s="883"/>
      <c r="O327" s="883"/>
    </row>
    <row r="328" spans="1:15" s="1111" customFormat="1" ht="24.75" customHeight="1">
      <c r="A328" s="990">
        <v>327</v>
      </c>
      <c r="B328" s="882" t="s">
        <v>423</v>
      </c>
      <c r="C328" s="882" t="s">
        <v>423</v>
      </c>
      <c r="D328" s="882" t="s">
        <v>11522</v>
      </c>
      <c r="E328" s="882"/>
      <c r="F328" s="882" t="s">
        <v>15290</v>
      </c>
      <c r="G328" s="882" t="s">
        <v>9347</v>
      </c>
      <c r="H328" s="1109" t="s">
        <v>7511</v>
      </c>
      <c r="I328" s="1109"/>
      <c r="J328" s="1109"/>
      <c r="K328" s="1109"/>
      <c r="L328" s="1110" t="s">
        <v>969</v>
      </c>
      <c r="M328" s="883">
        <v>4725000</v>
      </c>
      <c r="N328" s="883"/>
      <c r="O328" s="883"/>
    </row>
    <row r="329" spans="1:15" s="1111" customFormat="1" ht="24.75" customHeight="1">
      <c r="A329" s="990">
        <v>328</v>
      </c>
      <c r="B329" s="882" t="s">
        <v>423</v>
      </c>
      <c r="C329" s="882" t="s">
        <v>950</v>
      </c>
      <c r="D329" s="882" t="s">
        <v>15291</v>
      </c>
      <c r="E329" s="882"/>
      <c r="F329" s="882" t="s">
        <v>15292</v>
      </c>
      <c r="G329" s="882" t="s">
        <v>9347</v>
      </c>
      <c r="H329" s="1109" t="s">
        <v>9624</v>
      </c>
      <c r="I329" s="1109"/>
      <c r="J329" s="1109"/>
      <c r="K329" s="1109"/>
      <c r="L329" s="1110" t="s">
        <v>969</v>
      </c>
      <c r="M329" s="883">
        <v>4725000</v>
      </c>
      <c r="N329" s="883"/>
      <c r="O329" s="883"/>
    </row>
    <row r="330" spans="1:15" s="1111" customFormat="1" ht="24.75" customHeight="1">
      <c r="A330" s="990">
        <v>329</v>
      </c>
      <c r="B330" s="882" t="s">
        <v>423</v>
      </c>
      <c r="C330" s="882" t="s">
        <v>423</v>
      </c>
      <c r="D330" s="882" t="s">
        <v>15293</v>
      </c>
      <c r="E330" s="882"/>
      <c r="F330" s="882" t="s">
        <v>15294</v>
      </c>
      <c r="G330" s="882" t="s">
        <v>9347</v>
      </c>
      <c r="H330" s="1109" t="s">
        <v>14193</v>
      </c>
      <c r="I330" s="1109"/>
      <c r="J330" s="1109"/>
      <c r="K330" s="1109"/>
      <c r="L330" s="1110" t="s">
        <v>969</v>
      </c>
      <c r="M330" s="883">
        <v>4725000</v>
      </c>
      <c r="N330" s="883"/>
      <c r="O330" s="883"/>
    </row>
    <row r="331" spans="1:15" s="1111" customFormat="1" ht="24.75" customHeight="1">
      <c r="A331" s="990">
        <v>330</v>
      </c>
      <c r="B331" s="882" t="s">
        <v>423</v>
      </c>
      <c r="C331" s="882" t="s">
        <v>423</v>
      </c>
      <c r="D331" s="882" t="s">
        <v>9555</v>
      </c>
      <c r="E331" s="882"/>
      <c r="F331" s="882" t="s">
        <v>15295</v>
      </c>
      <c r="G331" s="882" t="s">
        <v>9347</v>
      </c>
      <c r="H331" s="1109" t="s">
        <v>7537</v>
      </c>
      <c r="I331" s="1109"/>
      <c r="J331" s="1109"/>
      <c r="K331" s="1109"/>
      <c r="L331" s="1110" t="s">
        <v>969</v>
      </c>
      <c r="M331" s="883">
        <v>4725000</v>
      </c>
      <c r="N331" s="883"/>
      <c r="O331" s="883"/>
    </row>
    <row r="332" spans="1:15" s="1111" customFormat="1" ht="24.75" customHeight="1">
      <c r="A332" s="990">
        <v>331</v>
      </c>
      <c r="B332" s="882" t="s">
        <v>1595</v>
      </c>
      <c r="C332" s="882" t="s">
        <v>1598</v>
      </c>
      <c r="D332" s="882" t="s">
        <v>9698</v>
      </c>
      <c r="E332" s="882"/>
      <c r="F332" s="882" t="s">
        <v>15296</v>
      </c>
      <c r="G332" s="882" t="s">
        <v>9347</v>
      </c>
      <c r="H332" s="1109" t="s">
        <v>9628</v>
      </c>
      <c r="I332" s="1109"/>
      <c r="J332" s="1109"/>
      <c r="K332" s="1109"/>
      <c r="L332" s="1110" t="s">
        <v>969</v>
      </c>
      <c r="M332" s="883">
        <v>4725000</v>
      </c>
      <c r="N332" s="883"/>
      <c r="O332" s="883"/>
    </row>
    <row r="333" spans="1:15" s="1111" customFormat="1" ht="24.75" customHeight="1">
      <c r="A333" s="990">
        <v>332</v>
      </c>
      <c r="B333" s="882" t="s">
        <v>423</v>
      </c>
      <c r="C333" s="882" t="s">
        <v>423</v>
      </c>
      <c r="D333" s="882" t="s">
        <v>15297</v>
      </c>
      <c r="E333" s="882"/>
      <c r="F333" s="882" t="s">
        <v>15298</v>
      </c>
      <c r="G333" s="882" t="s">
        <v>9347</v>
      </c>
      <c r="H333" s="1109" t="s">
        <v>15299</v>
      </c>
      <c r="I333" s="1109"/>
      <c r="J333" s="1109"/>
      <c r="K333" s="1109"/>
      <c r="L333" s="1110" t="s">
        <v>969</v>
      </c>
      <c r="M333" s="883">
        <v>4725000</v>
      </c>
      <c r="N333" s="883"/>
      <c r="O333" s="883"/>
    </row>
    <row r="334" spans="1:15" s="1111" customFormat="1" ht="24.75" customHeight="1">
      <c r="A334" s="990">
        <v>333</v>
      </c>
      <c r="B334" s="882" t="s">
        <v>423</v>
      </c>
      <c r="C334" s="882" t="s">
        <v>423</v>
      </c>
      <c r="D334" s="882" t="s">
        <v>15300</v>
      </c>
      <c r="E334" s="882"/>
      <c r="F334" s="882" t="s">
        <v>15301</v>
      </c>
      <c r="G334" s="882" t="s">
        <v>9347</v>
      </c>
      <c r="H334" s="1109" t="s">
        <v>15302</v>
      </c>
      <c r="I334" s="1109"/>
      <c r="J334" s="1109"/>
      <c r="K334" s="1109"/>
      <c r="L334" s="1110" t="s">
        <v>969</v>
      </c>
      <c r="M334" s="883">
        <v>4725000</v>
      </c>
      <c r="N334" s="883"/>
      <c r="O334" s="883"/>
    </row>
    <row r="335" spans="1:15" s="1111" customFormat="1" ht="24.75" customHeight="1">
      <c r="A335" s="990">
        <v>334</v>
      </c>
      <c r="B335" s="882" t="s">
        <v>423</v>
      </c>
      <c r="C335" s="882" t="s">
        <v>423</v>
      </c>
      <c r="D335" s="882" t="s">
        <v>15303</v>
      </c>
      <c r="E335" s="882"/>
      <c r="F335" s="882" t="s">
        <v>15304</v>
      </c>
      <c r="G335" s="882" t="s">
        <v>9347</v>
      </c>
      <c r="H335" s="1109" t="s">
        <v>11203</v>
      </c>
      <c r="I335" s="1109"/>
      <c r="J335" s="1109"/>
      <c r="K335" s="1109"/>
      <c r="L335" s="1110" t="s">
        <v>969</v>
      </c>
      <c r="M335" s="883">
        <v>4725000</v>
      </c>
      <c r="N335" s="883"/>
      <c r="O335" s="883"/>
    </row>
    <row r="336" spans="1:15" s="1111" customFormat="1" ht="24.75" customHeight="1">
      <c r="A336" s="990">
        <v>335</v>
      </c>
      <c r="B336" s="882" t="s">
        <v>423</v>
      </c>
      <c r="C336" s="882" t="s">
        <v>423</v>
      </c>
      <c r="D336" s="882" t="s">
        <v>15305</v>
      </c>
      <c r="E336" s="882"/>
      <c r="F336" s="882" t="s">
        <v>15306</v>
      </c>
      <c r="G336" s="882" t="s">
        <v>9347</v>
      </c>
      <c r="H336" s="1109" t="s">
        <v>15307</v>
      </c>
      <c r="I336" s="1109"/>
      <c r="J336" s="1109"/>
      <c r="K336" s="1109"/>
      <c r="L336" s="1110" t="s">
        <v>969</v>
      </c>
      <c r="M336" s="883">
        <v>4725000</v>
      </c>
      <c r="N336" s="883"/>
      <c r="O336" s="883"/>
    </row>
    <row r="337" spans="1:15" s="1111" customFormat="1" ht="24.75" customHeight="1">
      <c r="A337" s="990">
        <v>336</v>
      </c>
      <c r="B337" s="882" t="s">
        <v>423</v>
      </c>
      <c r="C337" s="882" t="s">
        <v>423</v>
      </c>
      <c r="D337" s="882" t="s">
        <v>15305</v>
      </c>
      <c r="E337" s="882"/>
      <c r="F337" s="882" t="s">
        <v>15980</v>
      </c>
      <c r="G337" s="882" t="s">
        <v>9347</v>
      </c>
      <c r="H337" s="1109" t="s">
        <v>15981</v>
      </c>
      <c r="I337" s="1109"/>
      <c r="J337" s="1109"/>
      <c r="K337" s="1109"/>
      <c r="L337" s="1110" t="s">
        <v>969</v>
      </c>
      <c r="M337" s="883">
        <v>4725000</v>
      </c>
      <c r="N337" s="883"/>
      <c r="O337" s="883"/>
    </row>
    <row r="338" spans="1:15" s="1111" customFormat="1" ht="24.75" customHeight="1">
      <c r="A338" s="990">
        <v>337</v>
      </c>
      <c r="B338" s="882" t="s">
        <v>423</v>
      </c>
      <c r="C338" s="882" t="s">
        <v>423</v>
      </c>
      <c r="D338" s="882" t="s">
        <v>15305</v>
      </c>
      <c r="E338" s="882"/>
      <c r="F338" s="882" t="s">
        <v>15982</v>
      </c>
      <c r="G338" s="882" t="s">
        <v>9347</v>
      </c>
      <c r="H338" s="1109" t="s">
        <v>15983</v>
      </c>
      <c r="I338" s="1109"/>
      <c r="J338" s="1109" t="s">
        <v>16270</v>
      </c>
      <c r="K338" s="1109" t="s">
        <v>1187</v>
      </c>
      <c r="L338" s="1110" t="s">
        <v>969</v>
      </c>
      <c r="M338" s="883">
        <v>4725000</v>
      </c>
      <c r="N338" s="883"/>
      <c r="O338" s="883"/>
    </row>
    <row r="339" spans="1:15" s="1111" customFormat="1" ht="24.75" customHeight="1">
      <c r="A339" s="990">
        <v>338</v>
      </c>
      <c r="B339" s="882" t="s">
        <v>2592</v>
      </c>
      <c r="C339" s="882" t="s">
        <v>2621</v>
      </c>
      <c r="D339" s="882"/>
      <c r="E339" s="882"/>
      <c r="F339" s="882" t="s">
        <v>15984</v>
      </c>
      <c r="G339" s="882" t="s">
        <v>9347</v>
      </c>
      <c r="H339" s="1109" t="s">
        <v>15985</v>
      </c>
      <c r="I339" s="1109"/>
      <c r="J339" s="1109"/>
      <c r="K339" s="1109"/>
      <c r="L339" s="1110" t="s">
        <v>969</v>
      </c>
      <c r="M339" s="883">
        <v>4725000</v>
      </c>
      <c r="N339" s="883"/>
      <c r="O339" s="883"/>
    </row>
    <row r="340" spans="1:15" s="1111" customFormat="1" ht="24.75" customHeight="1">
      <c r="A340" s="990">
        <v>339</v>
      </c>
      <c r="B340" s="882" t="s">
        <v>2592</v>
      </c>
      <c r="C340" s="882" t="s">
        <v>2621</v>
      </c>
      <c r="D340" s="882" t="s">
        <v>15986</v>
      </c>
      <c r="E340" s="882"/>
      <c r="F340" s="882" t="s">
        <v>15987</v>
      </c>
      <c r="G340" s="882" t="s">
        <v>9347</v>
      </c>
      <c r="H340" s="1109" t="s">
        <v>15988</v>
      </c>
      <c r="I340" s="1109"/>
      <c r="J340" s="1109" t="s">
        <v>2224</v>
      </c>
      <c r="K340" s="1109" t="s">
        <v>15989</v>
      </c>
      <c r="L340" s="1110" t="s">
        <v>969</v>
      </c>
      <c r="M340" s="883">
        <v>4725000</v>
      </c>
      <c r="N340" s="883" t="s">
        <v>375</v>
      </c>
      <c r="O340" s="883"/>
    </row>
    <row r="341" spans="1:15" s="1111" customFormat="1" ht="24.75" customHeight="1">
      <c r="A341" s="990">
        <v>340</v>
      </c>
      <c r="B341" s="882" t="s">
        <v>423</v>
      </c>
      <c r="C341" s="882" t="s">
        <v>423</v>
      </c>
      <c r="D341" s="882" t="s">
        <v>11464</v>
      </c>
      <c r="E341" s="882"/>
      <c r="F341" s="882" t="s">
        <v>15990</v>
      </c>
      <c r="G341" s="882" t="s">
        <v>9347</v>
      </c>
      <c r="H341" s="1109" t="s">
        <v>15991</v>
      </c>
      <c r="I341" s="1109"/>
      <c r="J341" s="1109"/>
      <c r="K341" s="1109"/>
      <c r="L341" s="1110" t="s">
        <v>969</v>
      </c>
      <c r="M341" s="883">
        <v>4725000</v>
      </c>
      <c r="N341" s="883"/>
      <c r="O341" s="883"/>
    </row>
    <row r="342" spans="1:15" s="1111" customFormat="1" ht="24.75" customHeight="1">
      <c r="A342" s="990">
        <v>341</v>
      </c>
      <c r="B342" s="882" t="s">
        <v>2592</v>
      </c>
      <c r="C342" s="882" t="s">
        <v>2593</v>
      </c>
      <c r="D342" s="882" t="s">
        <v>15992</v>
      </c>
      <c r="E342" s="882"/>
      <c r="F342" s="882" t="s">
        <v>15993</v>
      </c>
      <c r="G342" s="882" t="s">
        <v>9347</v>
      </c>
      <c r="H342" s="1109" t="s">
        <v>15994</v>
      </c>
      <c r="I342" s="1109"/>
      <c r="J342" s="1109"/>
      <c r="K342" s="1109"/>
      <c r="L342" s="1110" t="s">
        <v>969</v>
      </c>
      <c r="M342" s="883">
        <v>4725000</v>
      </c>
      <c r="N342" s="883"/>
      <c r="O342" s="883"/>
    </row>
    <row r="343" spans="1:15" s="1111" customFormat="1" ht="24.75" customHeight="1">
      <c r="A343" s="990">
        <v>342</v>
      </c>
      <c r="B343" s="882" t="s">
        <v>2476</v>
      </c>
      <c r="C343" s="882" t="s">
        <v>2499</v>
      </c>
      <c r="D343" s="882" t="s">
        <v>14060</v>
      </c>
      <c r="E343" s="882"/>
      <c r="F343" s="882" t="s">
        <v>15995</v>
      </c>
      <c r="G343" s="882" t="s">
        <v>9347</v>
      </c>
      <c r="H343" s="1109" t="s">
        <v>15996</v>
      </c>
      <c r="I343" s="1109"/>
      <c r="J343" s="1109"/>
      <c r="K343" s="1109"/>
      <c r="L343" s="1110" t="s">
        <v>969</v>
      </c>
      <c r="M343" s="883">
        <v>4725000</v>
      </c>
      <c r="N343" s="883"/>
      <c r="O343" s="883"/>
    </row>
    <row r="344" spans="1:15" s="1111" customFormat="1" ht="24.75" customHeight="1">
      <c r="A344" s="990">
        <v>343</v>
      </c>
      <c r="B344" s="882" t="s">
        <v>3705</v>
      </c>
      <c r="C344" s="882" t="s">
        <v>4896</v>
      </c>
      <c r="D344" s="882" t="s">
        <v>15997</v>
      </c>
      <c r="E344" s="882"/>
      <c r="F344" s="882" t="s">
        <v>15998</v>
      </c>
      <c r="G344" s="882" t="s">
        <v>9347</v>
      </c>
      <c r="H344" s="1109" t="s">
        <v>9631</v>
      </c>
      <c r="I344" s="1109"/>
      <c r="J344" s="1109"/>
      <c r="K344" s="1109"/>
      <c r="L344" s="1110" t="s">
        <v>969</v>
      </c>
      <c r="M344" s="883">
        <v>4725000</v>
      </c>
      <c r="N344" s="883"/>
      <c r="O344" s="883"/>
    </row>
    <row r="345" spans="1:15" s="1111" customFormat="1" ht="24.75" customHeight="1">
      <c r="A345" s="990">
        <v>344</v>
      </c>
      <c r="B345" s="882" t="s">
        <v>423</v>
      </c>
      <c r="C345" s="882" t="s">
        <v>648</v>
      </c>
      <c r="D345" s="882" t="s">
        <v>9514</v>
      </c>
      <c r="E345" s="882"/>
      <c r="F345" s="882" t="s">
        <v>15999</v>
      </c>
      <c r="G345" s="882" t="s">
        <v>9347</v>
      </c>
      <c r="H345" s="1109" t="s">
        <v>14684</v>
      </c>
      <c r="I345" s="1109"/>
      <c r="J345" s="1109"/>
      <c r="K345" s="1109"/>
      <c r="L345" s="1110" t="s">
        <v>969</v>
      </c>
      <c r="M345" s="883">
        <v>4725000</v>
      </c>
      <c r="N345" s="883"/>
      <c r="O345" s="883"/>
    </row>
    <row r="346" spans="1:15" s="1111" customFormat="1" ht="24.75" customHeight="1">
      <c r="A346" s="990">
        <v>345</v>
      </c>
      <c r="B346" s="882" t="s">
        <v>1595</v>
      </c>
      <c r="C346" s="882" t="s">
        <v>1598</v>
      </c>
      <c r="D346" s="882" t="s">
        <v>9698</v>
      </c>
      <c r="E346" s="882"/>
      <c r="F346" s="882" t="s">
        <v>16000</v>
      </c>
      <c r="G346" s="882" t="s">
        <v>9347</v>
      </c>
      <c r="H346" s="1109" t="s">
        <v>16001</v>
      </c>
      <c r="I346" s="1109"/>
      <c r="J346" s="1109"/>
      <c r="K346" s="1109"/>
      <c r="L346" s="1110" t="s">
        <v>969</v>
      </c>
      <c r="M346" s="883">
        <v>4725000</v>
      </c>
      <c r="N346" s="883"/>
      <c r="O346" s="883"/>
    </row>
    <row r="347" spans="1:15" s="1111" customFormat="1" ht="24.75" customHeight="1">
      <c r="A347" s="990">
        <v>346</v>
      </c>
      <c r="B347" s="882" t="s">
        <v>1604</v>
      </c>
      <c r="C347" s="882" t="s">
        <v>1607</v>
      </c>
      <c r="D347" s="882" t="s">
        <v>9484</v>
      </c>
      <c r="E347" s="882"/>
      <c r="F347" s="882" t="s">
        <v>16002</v>
      </c>
      <c r="G347" s="882" t="s">
        <v>9347</v>
      </c>
      <c r="H347" s="1109" t="s">
        <v>16003</v>
      </c>
      <c r="I347" s="1109"/>
      <c r="J347" s="1109"/>
      <c r="K347" s="1109"/>
      <c r="L347" s="1110" t="s">
        <v>969</v>
      </c>
      <c r="M347" s="883">
        <v>4725000</v>
      </c>
      <c r="N347" s="883"/>
      <c r="O347" s="883"/>
    </row>
    <row r="348" spans="1:15" s="1111" customFormat="1" ht="24.75" customHeight="1">
      <c r="A348" s="990">
        <v>347</v>
      </c>
      <c r="B348" s="882" t="s">
        <v>423</v>
      </c>
      <c r="C348" s="882" t="s">
        <v>423</v>
      </c>
      <c r="D348" s="882" t="s">
        <v>16004</v>
      </c>
      <c r="E348" s="882" t="s">
        <v>16005</v>
      </c>
      <c r="F348" s="882" t="s">
        <v>16006</v>
      </c>
      <c r="G348" s="882" t="s">
        <v>9347</v>
      </c>
      <c r="H348" s="1109" t="s">
        <v>16007</v>
      </c>
      <c r="I348" s="1109"/>
      <c r="J348" s="1109"/>
      <c r="K348" s="1109"/>
      <c r="L348" s="1110" t="s">
        <v>969</v>
      </c>
      <c r="M348" s="883">
        <v>4725000</v>
      </c>
      <c r="N348" s="883"/>
      <c r="O348" s="883"/>
    </row>
    <row r="349" spans="1:15" s="1111" customFormat="1" ht="24.75" customHeight="1">
      <c r="A349" s="990">
        <v>348</v>
      </c>
      <c r="B349" s="882" t="s">
        <v>423</v>
      </c>
      <c r="C349" s="882" t="s">
        <v>423</v>
      </c>
      <c r="D349" s="882" t="s">
        <v>16008</v>
      </c>
      <c r="E349" s="882" t="s">
        <v>15933</v>
      </c>
      <c r="F349" s="882" t="s">
        <v>16009</v>
      </c>
      <c r="G349" s="882" t="s">
        <v>9347</v>
      </c>
      <c r="H349" s="1109" t="s">
        <v>16010</v>
      </c>
      <c r="I349" s="1109" t="s">
        <v>16011</v>
      </c>
      <c r="J349" s="1109"/>
      <c r="K349" s="1109"/>
      <c r="L349" s="1110" t="s">
        <v>969</v>
      </c>
      <c r="M349" s="883">
        <v>4725000</v>
      </c>
      <c r="N349" s="883"/>
      <c r="O349" s="883"/>
    </row>
    <row r="350" spans="1:15" s="1111" customFormat="1" ht="24.75" customHeight="1">
      <c r="A350" s="990">
        <v>349</v>
      </c>
      <c r="B350" s="882" t="s">
        <v>423</v>
      </c>
      <c r="C350" s="882" t="s">
        <v>423</v>
      </c>
      <c r="D350" s="882" t="s">
        <v>9364</v>
      </c>
      <c r="E350" s="882" t="s">
        <v>15933</v>
      </c>
      <c r="F350" s="882" t="s">
        <v>16012</v>
      </c>
      <c r="G350" s="882" t="s">
        <v>9347</v>
      </c>
      <c r="H350" s="1109" t="s">
        <v>9108</v>
      </c>
      <c r="I350" s="1109" t="s">
        <v>16013</v>
      </c>
      <c r="J350" s="1109"/>
      <c r="K350" s="1109"/>
      <c r="L350" s="1110" t="s">
        <v>969</v>
      </c>
      <c r="M350" s="883">
        <v>4725000</v>
      </c>
      <c r="N350" s="883"/>
      <c r="O350" s="883"/>
    </row>
    <row r="351" spans="1:15" s="1111" customFormat="1" ht="24.75" customHeight="1">
      <c r="A351" s="990">
        <v>350</v>
      </c>
      <c r="B351" s="882" t="s">
        <v>3212</v>
      </c>
      <c r="C351" s="882" t="s">
        <v>16014</v>
      </c>
      <c r="D351" s="882" t="s">
        <v>16015</v>
      </c>
      <c r="E351" s="882" t="s">
        <v>15943</v>
      </c>
      <c r="F351" s="882" t="s">
        <v>16016</v>
      </c>
      <c r="G351" s="882" t="s">
        <v>9347</v>
      </c>
      <c r="H351" s="1109" t="s">
        <v>9097</v>
      </c>
      <c r="I351" s="1109" t="s">
        <v>16017</v>
      </c>
      <c r="J351" s="1109"/>
      <c r="K351" s="1109"/>
      <c r="L351" s="1110" t="s">
        <v>969</v>
      </c>
      <c r="M351" s="883">
        <v>4725000</v>
      </c>
      <c r="N351" s="883"/>
      <c r="O351" s="883"/>
    </row>
    <row r="352" spans="1:15" s="1111" customFormat="1" ht="24.75" customHeight="1">
      <c r="A352" s="990">
        <v>351</v>
      </c>
      <c r="B352" s="882" t="s">
        <v>2554</v>
      </c>
      <c r="C352" s="882" t="s">
        <v>2555</v>
      </c>
      <c r="D352" s="882" t="s">
        <v>9743</v>
      </c>
      <c r="E352" s="882" t="s">
        <v>16018</v>
      </c>
      <c r="F352" s="882" t="s">
        <v>16019</v>
      </c>
      <c r="G352" s="882" t="s">
        <v>9347</v>
      </c>
      <c r="H352" s="1109" t="s">
        <v>16020</v>
      </c>
      <c r="I352" s="1109" t="s">
        <v>16021</v>
      </c>
      <c r="J352" s="1109"/>
      <c r="K352" s="1109"/>
      <c r="L352" s="1110" t="s">
        <v>969</v>
      </c>
      <c r="M352" s="883">
        <v>4725000</v>
      </c>
      <c r="N352" s="883"/>
      <c r="O352" s="883"/>
    </row>
    <row r="353" spans="1:15" s="1111" customFormat="1" ht="24.75" customHeight="1">
      <c r="A353" s="990">
        <v>352</v>
      </c>
      <c r="B353" s="882" t="s">
        <v>423</v>
      </c>
      <c r="C353" s="882" t="s">
        <v>423</v>
      </c>
      <c r="D353" s="882" t="s">
        <v>16022</v>
      </c>
      <c r="E353" s="882" t="s">
        <v>16018</v>
      </c>
      <c r="F353" s="882" t="s">
        <v>16023</v>
      </c>
      <c r="G353" s="882" t="s">
        <v>9347</v>
      </c>
      <c r="H353" s="1109" t="s">
        <v>16024</v>
      </c>
      <c r="I353" s="1109" t="s">
        <v>16025</v>
      </c>
      <c r="J353" s="1109" t="s">
        <v>16026</v>
      </c>
      <c r="K353" s="1109" t="s">
        <v>15812</v>
      </c>
      <c r="L353" s="1110" t="s">
        <v>969</v>
      </c>
      <c r="M353" s="883">
        <v>4725000</v>
      </c>
      <c r="N353" s="883" t="s">
        <v>375</v>
      </c>
      <c r="O353" s="883"/>
    </row>
    <row r="354" spans="1:15" s="1111" customFormat="1" ht="24.75" customHeight="1">
      <c r="A354" s="990">
        <v>353</v>
      </c>
      <c r="B354" s="882" t="s">
        <v>2592</v>
      </c>
      <c r="C354" s="882" t="s">
        <v>2593</v>
      </c>
      <c r="D354" s="882" t="s">
        <v>16027</v>
      </c>
      <c r="E354" s="882" t="s">
        <v>15950</v>
      </c>
      <c r="F354" s="882" t="s">
        <v>16028</v>
      </c>
      <c r="G354" s="882" t="s">
        <v>9347</v>
      </c>
      <c r="H354" s="1109" t="s">
        <v>16029</v>
      </c>
      <c r="I354" s="1109" t="s">
        <v>16030</v>
      </c>
      <c r="J354" s="1109"/>
      <c r="K354" s="1109"/>
      <c r="L354" s="1110" t="s">
        <v>969</v>
      </c>
      <c r="M354" s="883">
        <v>4725000</v>
      </c>
      <c r="N354" s="883"/>
      <c r="O354" s="883"/>
    </row>
    <row r="355" spans="1:15" s="1111" customFormat="1" ht="24.75" customHeight="1">
      <c r="A355" s="990">
        <v>354</v>
      </c>
      <c r="B355" s="882" t="s">
        <v>423</v>
      </c>
      <c r="C355" s="882" t="s">
        <v>423</v>
      </c>
      <c r="D355" s="882" t="s">
        <v>11522</v>
      </c>
      <c r="E355" s="882" t="s">
        <v>15950</v>
      </c>
      <c r="F355" s="882" t="s">
        <v>16031</v>
      </c>
      <c r="G355" s="882" t="s">
        <v>9347</v>
      </c>
      <c r="H355" s="1109" t="s">
        <v>16032</v>
      </c>
      <c r="I355" s="1109">
        <v>9045054832</v>
      </c>
      <c r="J355" s="1109"/>
      <c r="K355" s="1109"/>
      <c r="L355" s="1110" t="s">
        <v>969</v>
      </c>
      <c r="M355" s="883">
        <v>4725000</v>
      </c>
      <c r="N355" s="883"/>
      <c r="O355" s="883"/>
    </row>
    <row r="356" spans="1:15" s="1111" customFormat="1" ht="24.75" customHeight="1">
      <c r="A356" s="990">
        <v>355</v>
      </c>
      <c r="B356" s="882" t="s">
        <v>1595</v>
      </c>
      <c r="C356" s="882" t="s">
        <v>1600</v>
      </c>
      <c r="D356" s="882" t="s">
        <v>11202</v>
      </c>
      <c r="E356" s="882" t="s">
        <v>16033</v>
      </c>
      <c r="F356" s="882" t="s">
        <v>16034</v>
      </c>
      <c r="G356" s="882" t="s">
        <v>9347</v>
      </c>
      <c r="H356" s="1109" t="s">
        <v>16035</v>
      </c>
      <c r="I356" s="1109" t="s">
        <v>16036</v>
      </c>
      <c r="J356" s="1109"/>
      <c r="K356" s="1109"/>
      <c r="L356" s="1110" t="s">
        <v>969</v>
      </c>
      <c r="M356" s="883">
        <v>4725000</v>
      </c>
      <c r="N356" s="883"/>
      <c r="O356" s="883"/>
    </row>
    <row r="357" spans="1:15" s="1111" customFormat="1" ht="24.75" customHeight="1">
      <c r="A357" s="990">
        <v>356</v>
      </c>
      <c r="B357" s="882" t="s">
        <v>1604</v>
      </c>
      <c r="C357" s="882" t="s">
        <v>1607</v>
      </c>
      <c r="D357" s="882" t="s">
        <v>9484</v>
      </c>
      <c r="E357" s="882" t="s">
        <v>16037</v>
      </c>
      <c r="F357" s="882" t="s">
        <v>16038</v>
      </c>
      <c r="G357" s="882" t="s">
        <v>9347</v>
      </c>
      <c r="H357" s="1109" t="s">
        <v>16039</v>
      </c>
      <c r="I357" s="1109" t="s">
        <v>16040</v>
      </c>
      <c r="J357" s="1109"/>
      <c r="K357" s="1109"/>
      <c r="L357" s="1110" t="s">
        <v>969</v>
      </c>
      <c r="M357" s="883">
        <v>4725000</v>
      </c>
      <c r="N357" s="883"/>
      <c r="O357" s="883"/>
    </row>
    <row r="358" spans="1:15" s="1111" customFormat="1" ht="24.75" customHeight="1">
      <c r="A358" s="990">
        <v>357</v>
      </c>
      <c r="B358" s="882" t="s">
        <v>423</v>
      </c>
      <c r="C358" s="882" t="s">
        <v>423</v>
      </c>
      <c r="D358" s="882" t="s">
        <v>16041</v>
      </c>
      <c r="E358" s="882" t="s">
        <v>16042</v>
      </c>
      <c r="F358" s="882" t="s">
        <v>16043</v>
      </c>
      <c r="G358" s="882" t="s">
        <v>9347</v>
      </c>
      <c r="H358" s="1109" t="s">
        <v>16044</v>
      </c>
      <c r="I358" s="1109" t="s">
        <v>16045</v>
      </c>
      <c r="J358" s="1109"/>
      <c r="K358" s="1109"/>
      <c r="L358" s="1110" t="s">
        <v>969</v>
      </c>
      <c r="M358" s="883">
        <v>4725000</v>
      </c>
      <c r="N358" s="883"/>
      <c r="O358" s="883"/>
    </row>
    <row r="359" spans="1:15" s="1111" customFormat="1" ht="24.75" customHeight="1">
      <c r="A359" s="990">
        <v>358</v>
      </c>
      <c r="B359" s="882" t="s">
        <v>1609</v>
      </c>
      <c r="C359" s="882" t="s">
        <v>2326</v>
      </c>
      <c r="D359" s="882" t="s">
        <v>16046</v>
      </c>
      <c r="E359" s="882" t="s">
        <v>16047</v>
      </c>
      <c r="F359" s="882" t="s">
        <v>16048</v>
      </c>
      <c r="G359" s="882" t="s">
        <v>9347</v>
      </c>
      <c r="H359" s="1109" t="s">
        <v>16049</v>
      </c>
      <c r="I359" s="1109"/>
      <c r="J359" s="1109"/>
      <c r="K359" s="1109"/>
      <c r="L359" s="1110" t="s">
        <v>969</v>
      </c>
      <c r="M359" s="883">
        <v>4725000</v>
      </c>
      <c r="N359" s="883"/>
      <c r="O359" s="883"/>
    </row>
    <row r="360" spans="1:15" s="1111" customFormat="1" ht="24.75" customHeight="1">
      <c r="A360" s="990">
        <v>359</v>
      </c>
      <c r="B360" s="882" t="s">
        <v>1595</v>
      </c>
      <c r="C360" s="882" t="s">
        <v>1598</v>
      </c>
      <c r="D360" s="882" t="s">
        <v>9471</v>
      </c>
      <c r="E360" s="882" t="s">
        <v>16050</v>
      </c>
      <c r="F360" s="882" t="s">
        <v>16051</v>
      </c>
      <c r="G360" s="882" t="s">
        <v>9347</v>
      </c>
      <c r="H360" s="1109" t="s">
        <v>16052</v>
      </c>
      <c r="I360" s="1109" t="s">
        <v>16053</v>
      </c>
      <c r="J360" s="1109"/>
      <c r="K360" s="1109"/>
      <c r="L360" s="1110" t="s">
        <v>969</v>
      </c>
      <c r="M360" s="883">
        <v>4725000</v>
      </c>
      <c r="N360" s="883"/>
      <c r="O360" s="883"/>
    </row>
    <row r="361" spans="1:15" s="1111" customFormat="1" ht="24.75" customHeight="1">
      <c r="A361" s="990">
        <v>360</v>
      </c>
      <c r="B361" s="882" t="s">
        <v>423</v>
      </c>
      <c r="C361" s="882" t="s">
        <v>423</v>
      </c>
      <c r="D361" s="882" t="s">
        <v>14648</v>
      </c>
      <c r="E361" s="882" t="s">
        <v>16050</v>
      </c>
      <c r="F361" s="882" t="s">
        <v>16054</v>
      </c>
      <c r="G361" s="882" t="s">
        <v>9347</v>
      </c>
      <c r="H361" s="1109" t="s">
        <v>16055</v>
      </c>
      <c r="I361" s="1109"/>
      <c r="J361" s="1109"/>
      <c r="K361" s="1109"/>
      <c r="L361" s="1110" t="s">
        <v>969</v>
      </c>
      <c r="M361" s="883">
        <v>4725000</v>
      </c>
      <c r="N361" s="883"/>
      <c r="O361" s="883"/>
    </row>
    <row r="362" spans="1:15" s="1111" customFormat="1" ht="24.75" customHeight="1">
      <c r="A362" s="990">
        <v>361</v>
      </c>
      <c r="B362" s="882" t="s">
        <v>423</v>
      </c>
      <c r="C362" s="882" t="s">
        <v>423</v>
      </c>
      <c r="D362" s="882" t="s">
        <v>16056</v>
      </c>
      <c r="E362" s="882" t="s">
        <v>16057</v>
      </c>
      <c r="F362" s="882" t="s">
        <v>16058</v>
      </c>
      <c r="G362" s="882" t="s">
        <v>9347</v>
      </c>
      <c r="H362" s="1109" t="s">
        <v>16059</v>
      </c>
      <c r="I362" s="1109"/>
      <c r="J362" s="1109"/>
      <c r="K362" s="1109"/>
      <c r="L362" s="1110" t="s">
        <v>969</v>
      </c>
      <c r="M362" s="883">
        <v>4725000</v>
      </c>
      <c r="N362" s="883"/>
      <c r="O362" s="883"/>
    </row>
    <row r="363" spans="1:15" s="1111" customFormat="1" ht="24.75" customHeight="1">
      <c r="A363" s="990">
        <v>362</v>
      </c>
      <c r="B363" s="882" t="s">
        <v>423</v>
      </c>
      <c r="C363" s="882" t="s">
        <v>423</v>
      </c>
      <c r="D363" s="882" t="s">
        <v>16060</v>
      </c>
      <c r="E363" s="882" t="s">
        <v>16057</v>
      </c>
      <c r="F363" s="882" t="s">
        <v>16061</v>
      </c>
      <c r="G363" s="882" t="s">
        <v>9347</v>
      </c>
      <c r="H363" s="1109" t="s">
        <v>16062</v>
      </c>
      <c r="I363" s="1109"/>
      <c r="J363" s="1109"/>
      <c r="K363" s="1109"/>
      <c r="L363" s="1110" t="s">
        <v>969</v>
      </c>
      <c r="M363" s="883">
        <v>4725000</v>
      </c>
      <c r="N363" s="883"/>
      <c r="O363" s="883"/>
    </row>
    <row r="364" spans="1:15" s="1111" customFormat="1" ht="24.75" customHeight="1">
      <c r="A364" s="990">
        <v>363</v>
      </c>
      <c r="B364" s="882" t="s">
        <v>334</v>
      </c>
      <c r="C364" s="882" t="s">
        <v>334</v>
      </c>
      <c r="D364" s="882" t="s">
        <v>14631</v>
      </c>
      <c r="E364" s="882" t="s">
        <v>16063</v>
      </c>
      <c r="F364" s="882" t="s">
        <v>16064</v>
      </c>
      <c r="G364" s="882" t="s">
        <v>9347</v>
      </c>
      <c r="H364" s="1109" t="s">
        <v>16065</v>
      </c>
      <c r="I364" s="1109"/>
      <c r="J364" s="1109"/>
      <c r="K364" s="1109"/>
      <c r="L364" s="1110" t="s">
        <v>969</v>
      </c>
      <c r="M364" s="883">
        <v>4725000</v>
      </c>
      <c r="N364" s="883"/>
      <c r="O364" s="883"/>
    </row>
    <row r="365" spans="1:15" s="1111" customFormat="1" ht="24.75" customHeight="1">
      <c r="A365" s="990">
        <v>364</v>
      </c>
      <c r="B365" s="882" t="s">
        <v>334</v>
      </c>
      <c r="C365" s="882" t="s">
        <v>334</v>
      </c>
      <c r="D365" s="882" t="s">
        <v>14631</v>
      </c>
      <c r="E365" s="882" t="s">
        <v>16063</v>
      </c>
      <c r="F365" s="882" t="s">
        <v>16066</v>
      </c>
      <c r="G365" s="882" t="s">
        <v>9347</v>
      </c>
      <c r="H365" s="1109" t="s">
        <v>16067</v>
      </c>
      <c r="I365" s="1109" t="s">
        <v>16068</v>
      </c>
      <c r="J365" s="1109"/>
      <c r="K365" s="1109"/>
      <c r="L365" s="1110" t="s">
        <v>969</v>
      </c>
      <c r="M365" s="883">
        <v>4725000</v>
      </c>
      <c r="N365" s="883"/>
      <c r="O365" s="883"/>
    </row>
    <row r="366" spans="1:15" s="1111" customFormat="1" ht="24.75" customHeight="1">
      <c r="A366" s="990">
        <v>365</v>
      </c>
      <c r="B366" s="882" t="s">
        <v>2592</v>
      </c>
      <c r="C366" s="882" t="s">
        <v>2593</v>
      </c>
      <c r="D366" s="882" t="s">
        <v>13815</v>
      </c>
      <c r="E366" s="882" t="s">
        <v>16069</v>
      </c>
      <c r="F366" s="882" t="s">
        <v>16070</v>
      </c>
      <c r="G366" s="882" t="s">
        <v>9347</v>
      </c>
      <c r="H366" s="1109" t="s">
        <v>16071</v>
      </c>
      <c r="I366" s="1109" t="s">
        <v>16199</v>
      </c>
      <c r="J366" s="1109"/>
      <c r="K366" s="1109"/>
      <c r="L366" s="1110" t="s">
        <v>969</v>
      </c>
      <c r="M366" s="883">
        <v>4725000</v>
      </c>
      <c r="N366" s="883"/>
      <c r="O366" s="883"/>
    </row>
    <row r="367" spans="1:15" s="1111" customFormat="1" ht="24.75" customHeight="1">
      <c r="A367" s="990">
        <v>366</v>
      </c>
      <c r="B367" s="882" t="s">
        <v>1595</v>
      </c>
      <c r="C367" s="882" t="s">
        <v>1596</v>
      </c>
      <c r="D367" s="882" t="s">
        <v>11228</v>
      </c>
      <c r="E367" s="882" t="s">
        <v>16069</v>
      </c>
      <c r="F367" s="882" t="s">
        <v>16072</v>
      </c>
      <c r="G367" s="882" t="s">
        <v>9347</v>
      </c>
      <c r="H367" s="1109" t="s">
        <v>16073</v>
      </c>
      <c r="I367" s="1109" t="s">
        <v>16074</v>
      </c>
      <c r="J367" s="1109"/>
      <c r="K367" s="1109"/>
      <c r="L367" s="1110" t="s">
        <v>969</v>
      </c>
      <c r="M367" s="883">
        <v>4725000</v>
      </c>
      <c r="N367" s="883"/>
      <c r="O367" s="883"/>
    </row>
    <row r="368" spans="1:15" s="1111" customFormat="1" ht="24.75" customHeight="1">
      <c r="A368" s="990">
        <v>367</v>
      </c>
      <c r="B368" s="882" t="s">
        <v>3018</v>
      </c>
      <c r="C368" s="882" t="s">
        <v>3068</v>
      </c>
      <c r="D368" s="882" t="s">
        <v>16075</v>
      </c>
      <c r="E368" s="882" t="s">
        <v>16076</v>
      </c>
      <c r="F368" s="882" t="s">
        <v>16077</v>
      </c>
      <c r="G368" s="882" t="s">
        <v>9347</v>
      </c>
      <c r="H368" s="1109" t="s">
        <v>16078</v>
      </c>
      <c r="I368" s="1109"/>
      <c r="J368" s="1109"/>
      <c r="K368" s="1109"/>
      <c r="L368" s="1110" t="s">
        <v>969</v>
      </c>
      <c r="M368" s="883">
        <v>4725000</v>
      </c>
      <c r="N368" s="883"/>
      <c r="O368" s="883"/>
    </row>
    <row r="369" spans="1:20" s="1111" customFormat="1" ht="24.75" customHeight="1">
      <c r="A369" s="990">
        <v>368</v>
      </c>
      <c r="B369" s="882" t="s">
        <v>423</v>
      </c>
      <c r="C369" s="882" t="s">
        <v>423</v>
      </c>
      <c r="D369" s="882" t="s">
        <v>9555</v>
      </c>
      <c r="E369" s="882" t="s">
        <v>16079</v>
      </c>
      <c r="F369" s="882" t="s">
        <v>16080</v>
      </c>
      <c r="G369" s="882" t="s">
        <v>9347</v>
      </c>
      <c r="H369" s="1109" t="s">
        <v>16081</v>
      </c>
      <c r="I369" s="1109" t="s">
        <v>16082</v>
      </c>
      <c r="J369" s="1109"/>
      <c r="K369" s="1109"/>
      <c r="L369" s="1110" t="s">
        <v>969</v>
      </c>
      <c r="M369" s="883">
        <v>4725000</v>
      </c>
      <c r="N369" s="883"/>
      <c r="O369" s="883"/>
    </row>
    <row r="370" spans="1:20" s="1111" customFormat="1" ht="24.75" customHeight="1">
      <c r="A370" s="990">
        <v>369</v>
      </c>
      <c r="B370" s="882" t="s">
        <v>423</v>
      </c>
      <c r="C370" s="882" t="s">
        <v>423</v>
      </c>
      <c r="D370" s="882" t="s">
        <v>1547</v>
      </c>
      <c r="E370" s="882"/>
      <c r="F370" s="882" t="s">
        <v>16192</v>
      </c>
      <c r="G370" s="882" t="s">
        <v>9347</v>
      </c>
      <c r="H370" s="1109" t="s">
        <v>16191</v>
      </c>
      <c r="I370" s="1109"/>
      <c r="J370" s="1109"/>
      <c r="K370" s="1109"/>
      <c r="L370" s="1110" t="s">
        <v>969</v>
      </c>
      <c r="M370" s="883">
        <v>4725000</v>
      </c>
      <c r="N370" s="883"/>
      <c r="O370" s="883"/>
      <c r="Q370" s="1111" t="s">
        <v>11104</v>
      </c>
      <c r="S370" s="1111">
        <v>0</v>
      </c>
      <c r="T370" s="1111" t="s">
        <v>11106</v>
      </c>
    </row>
    <row r="371" spans="1:20" s="1111" customFormat="1" ht="24.75" customHeight="1">
      <c r="A371" s="990">
        <v>370</v>
      </c>
      <c r="B371" s="882" t="s">
        <v>2476</v>
      </c>
      <c r="C371" s="882" t="s">
        <v>2476</v>
      </c>
      <c r="D371" s="882" t="s">
        <v>9352</v>
      </c>
      <c r="E371" s="882" t="s">
        <v>16194</v>
      </c>
      <c r="F371" s="882" t="s">
        <v>16193</v>
      </c>
      <c r="G371" s="882" t="s">
        <v>9347</v>
      </c>
      <c r="H371" s="1109" t="s">
        <v>16195</v>
      </c>
      <c r="I371" s="1109"/>
      <c r="J371" s="1109"/>
      <c r="K371" s="1109"/>
      <c r="L371" s="1110" t="s">
        <v>969</v>
      </c>
      <c r="M371" s="883">
        <v>4725000</v>
      </c>
      <c r="N371" s="883"/>
      <c r="O371" s="883"/>
    </row>
    <row r="372" spans="1:20" s="1111" customFormat="1" ht="24.75" customHeight="1">
      <c r="A372" s="990">
        <v>371</v>
      </c>
      <c r="B372" s="882" t="s">
        <v>2476</v>
      </c>
      <c r="C372" s="882" t="s">
        <v>2476</v>
      </c>
      <c r="D372" s="882" t="s">
        <v>9479</v>
      </c>
      <c r="E372" s="882" t="s">
        <v>16194</v>
      </c>
      <c r="F372" s="882" t="s">
        <v>16196</v>
      </c>
      <c r="G372" s="882" t="s">
        <v>9347</v>
      </c>
      <c r="H372" s="1109" t="s">
        <v>16197</v>
      </c>
      <c r="I372" s="1109" t="s">
        <v>16198</v>
      </c>
      <c r="J372" s="1109"/>
      <c r="K372" s="1109"/>
      <c r="L372" s="1110" t="s">
        <v>969</v>
      </c>
      <c r="M372" s="883">
        <v>4725000</v>
      </c>
      <c r="N372" s="883"/>
      <c r="O372" s="883"/>
    </row>
    <row r="373" spans="1:20" s="1111" customFormat="1" ht="24.75" customHeight="1">
      <c r="A373" s="990">
        <v>372</v>
      </c>
      <c r="B373" s="882" t="s">
        <v>2476</v>
      </c>
      <c r="C373" s="882" t="s">
        <v>2499</v>
      </c>
      <c r="D373" s="882" t="s">
        <v>16202</v>
      </c>
      <c r="E373" s="882" t="s">
        <v>16201</v>
      </c>
      <c r="F373" s="882" t="s">
        <v>16200</v>
      </c>
      <c r="G373" s="882" t="s">
        <v>9347</v>
      </c>
      <c r="H373" s="1109" t="s">
        <v>9459</v>
      </c>
      <c r="I373" s="1109" t="s">
        <v>16218</v>
      </c>
      <c r="J373" s="1109"/>
      <c r="K373" s="1109"/>
      <c r="L373" s="1110" t="s">
        <v>969</v>
      </c>
      <c r="M373" s="883">
        <v>4725000</v>
      </c>
      <c r="N373" s="883"/>
      <c r="O373" s="883"/>
    </row>
    <row r="374" spans="1:20" s="1111" customFormat="1" ht="24.75" customHeight="1">
      <c r="A374" s="990">
        <v>373</v>
      </c>
      <c r="B374" s="882" t="s">
        <v>331</v>
      </c>
      <c r="C374" s="882" t="s">
        <v>332</v>
      </c>
      <c r="D374" s="882" t="s">
        <v>9498</v>
      </c>
      <c r="E374" s="882" t="s">
        <v>16201</v>
      </c>
      <c r="F374" s="882" t="s">
        <v>16213</v>
      </c>
      <c r="G374" s="882" t="s">
        <v>9347</v>
      </c>
      <c r="H374" s="1109" t="s">
        <v>16214</v>
      </c>
      <c r="I374" s="1109" t="s">
        <v>16215</v>
      </c>
      <c r="J374" s="1109"/>
      <c r="K374" s="1109"/>
      <c r="L374" s="1110" t="s">
        <v>969</v>
      </c>
      <c r="M374" s="883">
        <v>4725000</v>
      </c>
      <c r="N374" s="883"/>
      <c r="O374" s="883"/>
    </row>
    <row r="375" spans="1:20" s="1111" customFormat="1" ht="24.75" customHeight="1">
      <c r="A375" s="990">
        <v>374</v>
      </c>
      <c r="B375" s="882" t="s">
        <v>2476</v>
      </c>
      <c r="C375" s="882" t="s">
        <v>2499</v>
      </c>
      <c r="D375" s="882" t="s">
        <v>16202</v>
      </c>
      <c r="E375" s="882" t="s">
        <v>16201</v>
      </c>
      <c r="F375" s="882" t="s">
        <v>16216</v>
      </c>
      <c r="G375" s="882" t="s">
        <v>9347</v>
      </c>
      <c r="H375" s="1109" t="s">
        <v>16217</v>
      </c>
      <c r="I375" s="1109" t="s">
        <v>16219</v>
      </c>
      <c r="J375" s="1109"/>
      <c r="K375" s="1109"/>
      <c r="L375" s="1110" t="s">
        <v>969</v>
      </c>
      <c r="M375" s="883">
        <v>4725000</v>
      </c>
      <c r="N375" s="883"/>
      <c r="O375" s="883"/>
    </row>
    <row r="376" spans="1:20" s="1111" customFormat="1" ht="24.75" customHeight="1">
      <c r="A376" s="990">
        <v>375</v>
      </c>
      <c r="B376" s="882" t="s">
        <v>3212</v>
      </c>
      <c r="C376" s="882" t="s">
        <v>3277</v>
      </c>
      <c r="D376" s="882" t="s">
        <v>11507</v>
      </c>
      <c r="E376" s="882" t="s">
        <v>16220</v>
      </c>
      <c r="F376" s="882" t="s">
        <v>16223</v>
      </c>
      <c r="G376" s="882" t="s">
        <v>9347</v>
      </c>
      <c r="H376" s="1109" t="s">
        <v>16221</v>
      </c>
      <c r="I376" s="1109" t="s">
        <v>16222</v>
      </c>
      <c r="J376" s="1109"/>
      <c r="K376" s="1109"/>
      <c r="L376" s="1110" t="s">
        <v>969</v>
      </c>
      <c r="M376" s="883">
        <v>4725000</v>
      </c>
      <c r="N376" s="883"/>
      <c r="O376" s="883"/>
    </row>
    <row r="377" spans="1:20" s="1111" customFormat="1" ht="24.75" customHeight="1">
      <c r="A377" s="990">
        <v>376</v>
      </c>
      <c r="B377" s="882" t="s">
        <v>3212</v>
      </c>
      <c r="C377" s="882" t="s">
        <v>16226</v>
      </c>
      <c r="D377" s="882" t="s">
        <v>16225</v>
      </c>
      <c r="E377" s="882" t="s">
        <v>16220</v>
      </c>
      <c r="F377" s="882" t="s">
        <v>16224</v>
      </c>
      <c r="G377" s="882" t="s">
        <v>9347</v>
      </c>
      <c r="H377" s="1109" t="s">
        <v>16227</v>
      </c>
      <c r="I377" s="1109" t="s">
        <v>16228</v>
      </c>
      <c r="J377" s="1109"/>
      <c r="K377" s="1109"/>
      <c r="L377" s="1110" t="s">
        <v>969</v>
      </c>
      <c r="M377" s="883">
        <v>4725000</v>
      </c>
      <c r="N377" s="883"/>
      <c r="O377" s="883"/>
    </row>
    <row r="378" spans="1:20" s="1111" customFormat="1" ht="24.75" customHeight="1">
      <c r="A378" s="990">
        <v>377</v>
      </c>
      <c r="B378" s="882" t="s">
        <v>1595</v>
      </c>
      <c r="C378" s="882" t="s">
        <v>1598</v>
      </c>
      <c r="D378" s="882" t="s">
        <v>16237</v>
      </c>
      <c r="E378" s="882" t="s">
        <v>16235</v>
      </c>
      <c r="F378" s="882" t="s">
        <v>16234</v>
      </c>
      <c r="G378" s="882" t="s">
        <v>9347</v>
      </c>
      <c r="H378" s="1109" t="s">
        <v>16236</v>
      </c>
      <c r="I378" s="1109"/>
      <c r="J378" s="1109"/>
      <c r="K378" s="1109"/>
      <c r="L378" s="1110" t="s">
        <v>969</v>
      </c>
      <c r="M378" s="883">
        <v>4725000</v>
      </c>
      <c r="N378" s="883"/>
      <c r="O378" s="883"/>
    </row>
    <row r="379" spans="1:20" s="1111" customFormat="1" ht="24.75" customHeight="1">
      <c r="A379" s="990">
        <v>378</v>
      </c>
      <c r="B379" s="882" t="s">
        <v>423</v>
      </c>
      <c r="C379" s="882" t="s">
        <v>423</v>
      </c>
      <c r="D379" s="882" t="s">
        <v>16231</v>
      </c>
      <c r="E379" s="882" t="s">
        <v>16230</v>
      </c>
      <c r="F379" s="882" t="s">
        <v>16229</v>
      </c>
      <c r="G379" s="882" t="s">
        <v>9347</v>
      </c>
      <c r="H379" s="1109" t="s">
        <v>16232</v>
      </c>
      <c r="I379" s="1109" t="s">
        <v>16233</v>
      </c>
      <c r="J379" s="1109"/>
      <c r="K379" s="1109"/>
      <c r="L379" s="1110" t="s">
        <v>969</v>
      </c>
      <c r="M379" s="883">
        <v>4725000</v>
      </c>
      <c r="N379" s="883"/>
      <c r="O379" s="883"/>
    </row>
    <row r="380" spans="1:20" s="1111" customFormat="1" ht="24.75" customHeight="1">
      <c r="A380" s="990">
        <v>379</v>
      </c>
      <c r="B380" s="882" t="s">
        <v>423</v>
      </c>
      <c r="C380" s="882" t="s">
        <v>423</v>
      </c>
      <c r="D380" s="882" t="s">
        <v>16238</v>
      </c>
      <c r="E380" s="882" t="s">
        <v>16230</v>
      </c>
      <c r="F380" s="882" t="s">
        <v>16239</v>
      </c>
      <c r="G380" s="882" t="s">
        <v>9347</v>
      </c>
      <c r="H380" s="1109" t="s">
        <v>7510</v>
      </c>
      <c r="I380" s="1109" t="s">
        <v>16240</v>
      </c>
      <c r="J380" s="1109"/>
      <c r="K380" s="1109"/>
      <c r="L380" s="1110" t="s">
        <v>969</v>
      </c>
      <c r="M380" s="883">
        <v>4725000</v>
      </c>
      <c r="N380" s="883"/>
      <c r="O380" s="883"/>
    </row>
    <row r="381" spans="1:20" s="1111" customFormat="1" ht="24.75" customHeight="1">
      <c r="A381" s="990">
        <v>380</v>
      </c>
      <c r="B381" s="882" t="s">
        <v>423</v>
      </c>
      <c r="C381" s="882" t="s">
        <v>423</v>
      </c>
      <c r="D381" s="882" t="s">
        <v>16004</v>
      </c>
      <c r="E381" s="882" t="s">
        <v>16230</v>
      </c>
      <c r="F381" s="882" t="s">
        <v>16241</v>
      </c>
      <c r="G381" s="882" t="s">
        <v>9347</v>
      </c>
      <c r="H381" s="1109" t="s">
        <v>16242</v>
      </c>
      <c r="I381" s="1109" t="s">
        <v>16243</v>
      </c>
      <c r="J381" s="1109"/>
      <c r="K381" s="1109"/>
      <c r="L381" s="1110" t="s">
        <v>969</v>
      </c>
      <c r="M381" s="883">
        <v>4725000</v>
      </c>
      <c r="N381" s="883"/>
      <c r="O381" s="883"/>
    </row>
    <row r="382" spans="1:20" s="1111" customFormat="1" ht="24.75" customHeight="1">
      <c r="A382" s="990">
        <v>381</v>
      </c>
      <c r="B382" s="882" t="s">
        <v>423</v>
      </c>
      <c r="C382" s="882" t="s">
        <v>423</v>
      </c>
      <c r="D382" s="882" t="s">
        <v>16245</v>
      </c>
      <c r="E382" s="882" t="s">
        <v>16230</v>
      </c>
      <c r="F382" s="882" t="s">
        <v>16244</v>
      </c>
      <c r="G382" s="882" t="s">
        <v>9347</v>
      </c>
      <c r="H382" s="1109" t="s">
        <v>16246</v>
      </c>
      <c r="I382" s="1109" t="s">
        <v>16247</v>
      </c>
      <c r="J382" s="1109"/>
      <c r="K382" s="1109"/>
      <c r="L382" s="1110" t="s">
        <v>969</v>
      </c>
      <c r="M382" s="883">
        <v>4725000</v>
      </c>
      <c r="N382" s="883"/>
      <c r="O382" s="883"/>
    </row>
    <row r="383" spans="1:20" s="1111" customFormat="1" ht="24.75" customHeight="1">
      <c r="A383" s="990">
        <v>382</v>
      </c>
      <c r="B383" s="882" t="s">
        <v>1604</v>
      </c>
      <c r="C383" s="882" t="s">
        <v>1603</v>
      </c>
      <c r="D383" s="882" t="s">
        <v>14014</v>
      </c>
      <c r="E383" s="882" t="s">
        <v>16248</v>
      </c>
      <c r="F383" s="882" t="s">
        <v>16249</v>
      </c>
      <c r="G383" s="882" t="s">
        <v>9347</v>
      </c>
      <c r="H383" s="1109" t="s">
        <v>16250</v>
      </c>
      <c r="I383" s="1109" t="s">
        <v>16251</v>
      </c>
      <c r="J383" s="1109"/>
      <c r="K383" s="1109"/>
      <c r="L383" s="1110" t="s">
        <v>969</v>
      </c>
      <c r="M383" s="883">
        <v>4725000</v>
      </c>
      <c r="N383" s="883"/>
      <c r="O383" s="883"/>
    </row>
    <row r="384" spans="1:20" s="1111" customFormat="1" ht="24.75" customHeight="1">
      <c r="A384" s="990">
        <v>383</v>
      </c>
      <c r="B384" s="882" t="s">
        <v>1506</v>
      </c>
      <c r="C384" s="882" t="s">
        <v>1507</v>
      </c>
      <c r="D384" s="882" t="s">
        <v>16256</v>
      </c>
      <c r="E384" s="882" t="s">
        <v>16257</v>
      </c>
      <c r="F384" s="882" t="s">
        <v>16258</v>
      </c>
      <c r="G384" s="882" t="s">
        <v>9347</v>
      </c>
      <c r="H384" s="1109" t="s">
        <v>16259</v>
      </c>
      <c r="I384" s="1109" t="s">
        <v>16260</v>
      </c>
      <c r="J384" s="1109"/>
      <c r="K384" s="1109"/>
      <c r="L384" s="1110" t="s">
        <v>969</v>
      </c>
      <c r="M384" s="883">
        <v>4725000</v>
      </c>
      <c r="N384" s="883"/>
      <c r="O384" s="883"/>
    </row>
    <row r="385" spans="1:15" s="1111" customFormat="1" ht="24.75" customHeight="1">
      <c r="A385" s="990">
        <v>384</v>
      </c>
      <c r="B385" s="882" t="s">
        <v>423</v>
      </c>
      <c r="C385" s="882" t="s">
        <v>423</v>
      </c>
      <c r="D385" s="882" t="s">
        <v>16274</v>
      </c>
      <c r="E385" s="882" t="s">
        <v>16275</v>
      </c>
      <c r="F385" s="882" t="s">
        <v>16276</v>
      </c>
      <c r="G385" s="882" t="s">
        <v>9347</v>
      </c>
      <c r="H385" s="1109" t="s">
        <v>16277</v>
      </c>
      <c r="I385" s="1109" t="s">
        <v>16282</v>
      </c>
      <c r="J385" s="1109"/>
      <c r="K385" s="1109"/>
      <c r="L385" s="1110" t="s">
        <v>969</v>
      </c>
      <c r="M385" s="883">
        <v>4725000</v>
      </c>
      <c r="N385" s="883"/>
      <c r="O385" s="883"/>
    </row>
    <row r="386" spans="1:15" s="1111" customFormat="1" ht="24.75" customHeight="1">
      <c r="A386" s="990">
        <v>385</v>
      </c>
      <c r="B386" s="882" t="s">
        <v>423</v>
      </c>
      <c r="C386" s="882" t="s">
        <v>423</v>
      </c>
      <c r="D386" s="882" t="s">
        <v>16283</v>
      </c>
      <c r="E386" s="882" t="s">
        <v>16279</v>
      </c>
      <c r="F386" s="882" t="s">
        <v>16278</v>
      </c>
      <c r="G386" s="882" t="s">
        <v>9347</v>
      </c>
      <c r="H386" s="1109" t="s">
        <v>16280</v>
      </c>
      <c r="I386" s="1109" t="s">
        <v>16281</v>
      </c>
      <c r="J386" s="1109"/>
      <c r="K386" s="1109"/>
      <c r="L386" s="1110" t="s">
        <v>969</v>
      </c>
      <c r="M386" s="883">
        <v>4725000</v>
      </c>
      <c r="N386" s="883"/>
      <c r="O386" s="883"/>
    </row>
    <row r="387" spans="1:15" s="1111" customFormat="1" ht="24.75" customHeight="1">
      <c r="A387" s="990">
        <v>386</v>
      </c>
      <c r="B387" s="882" t="s">
        <v>423</v>
      </c>
      <c r="C387" s="882" t="s">
        <v>423</v>
      </c>
      <c r="D387" s="882" t="s">
        <v>16022</v>
      </c>
      <c r="E387" s="882" t="s">
        <v>16287</v>
      </c>
      <c r="F387" s="882" t="s">
        <v>16286</v>
      </c>
      <c r="G387" s="882" t="s">
        <v>9347</v>
      </c>
      <c r="H387" s="1109" t="s">
        <v>16288</v>
      </c>
      <c r="I387" s="1109" t="s">
        <v>16289</v>
      </c>
      <c r="J387" s="1109"/>
      <c r="K387" s="1109"/>
      <c r="L387" s="1110" t="s">
        <v>969</v>
      </c>
      <c r="M387" s="883">
        <v>4725000</v>
      </c>
      <c r="N387" s="883"/>
      <c r="O387" s="883"/>
    </row>
    <row r="388" spans="1:15" s="1111" customFormat="1" ht="24.75" customHeight="1">
      <c r="A388" s="990">
        <v>387</v>
      </c>
      <c r="B388" s="882" t="s">
        <v>1595</v>
      </c>
      <c r="C388" s="882" t="s">
        <v>1602</v>
      </c>
      <c r="D388" s="882" t="s">
        <v>11533</v>
      </c>
      <c r="E388" s="882" t="s">
        <v>16287</v>
      </c>
      <c r="F388" s="882" t="s">
        <v>16290</v>
      </c>
      <c r="G388" s="882" t="s">
        <v>9347</v>
      </c>
      <c r="H388" s="1109" t="s">
        <v>16291</v>
      </c>
      <c r="I388" s="1109" t="s">
        <v>16292</v>
      </c>
      <c r="J388" s="1109"/>
      <c r="K388" s="1109"/>
      <c r="L388" s="1110" t="s">
        <v>969</v>
      </c>
      <c r="M388" s="883">
        <v>4725000</v>
      </c>
      <c r="N388" s="883"/>
      <c r="O388" s="883"/>
    </row>
    <row r="389" spans="1:15" s="1111" customFormat="1" ht="24.75" customHeight="1">
      <c r="A389" s="990">
        <v>388</v>
      </c>
      <c r="B389" s="882" t="s">
        <v>334</v>
      </c>
      <c r="C389" s="882" t="s">
        <v>2718</v>
      </c>
      <c r="D389" s="882" t="s">
        <v>16294</v>
      </c>
      <c r="E389" s="882" t="s">
        <v>16287</v>
      </c>
      <c r="F389" s="882" t="s">
        <v>16293</v>
      </c>
      <c r="G389" s="882" t="s">
        <v>9347</v>
      </c>
      <c r="H389" s="1109" t="s">
        <v>16295</v>
      </c>
      <c r="I389" s="1109" t="s">
        <v>16292</v>
      </c>
      <c r="J389" s="1109"/>
      <c r="K389" s="1109"/>
      <c r="L389" s="1110" t="s">
        <v>969</v>
      </c>
      <c r="M389" s="883">
        <v>4725000</v>
      </c>
      <c r="N389" s="883"/>
      <c r="O389" s="883"/>
    </row>
    <row r="390" spans="1:15" s="1111" customFormat="1" ht="24.75" customHeight="1">
      <c r="A390" s="990">
        <v>389</v>
      </c>
      <c r="B390" s="882" t="s">
        <v>1506</v>
      </c>
      <c r="C390" s="882" t="s">
        <v>1507</v>
      </c>
      <c r="D390" s="882" t="s">
        <v>16297</v>
      </c>
      <c r="E390" s="882" t="s">
        <v>16296</v>
      </c>
      <c r="F390" s="882" t="s">
        <v>16300</v>
      </c>
      <c r="G390" s="882" t="s">
        <v>9347</v>
      </c>
      <c r="H390" s="1109" t="s">
        <v>16298</v>
      </c>
      <c r="I390" s="1109" t="s">
        <v>16299</v>
      </c>
      <c r="J390" s="1109"/>
      <c r="K390" s="1109"/>
      <c r="L390" s="1110" t="s">
        <v>969</v>
      </c>
      <c r="M390" s="883">
        <v>4725000</v>
      </c>
      <c r="N390" s="883"/>
      <c r="O390" s="883"/>
    </row>
    <row r="391" spans="1:15" s="1111" customFormat="1" ht="24.75" customHeight="1">
      <c r="A391" s="990">
        <v>390</v>
      </c>
      <c r="B391" s="882" t="s">
        <v>94</v>
      </c>
      <c r="C391" s="882" t="s">
        <v>126</v>
      </c>
      <c r="D391" s="882" t="s">
        <v>9778</v>
      </c>
      <c r="E391" s="882" t="s">
        <v>16308</v>
      </c>
      <c r="F391" s="882" t="s">
        <v>16307</v>
      </c>
      <c r="G391" s="882" t="s">
        <v>9347</v>
      </c>
      <c r="H391" s="1109" t="s">
        <v>16309</v>
      </c>
      <c r="I391" s="1109" t="s">
        <v>16310</v>
      </c>
      <c r="J391" s="1109"/>
      <c r="K391" s="1109"/>
      <c r="L391" s="1110" t="s">
        <v>969</v>
      </c>
      <c r="M391" s="883">
        <v>4725000</v>
      </c>
      <c r="N391" s="883"/>
      <c r="O391" s="883"/>
    </row>
    <row r="392" spans="1:15" s="1111" customFormat="1" ht="24.75" customHeight="1">
      <c r="A392" s="990">
        <v>391</v>
      </c>
      <c r="B392" s="882" t="s">
        <v>1506</v>
      </c>
      <c r="C392" s="882" t="s">
        <v>1513</v>
      </c>
      <c r="D392" s="882" t="s">
        <v>16312</v>
      </c>
      <c r="E392" s="882" t="s">
        <v>16308</v>
      </c>
      <c r="F392" s="882" t="s">
        <v>16311</v>
      </c>
      <c r="G392" s="882" t="s">
        <v>9347</v>
      </c>
      <c r="H392" s="1109" t="s">
        <v>16313</v>
      </c>
      <c r="I392" s="1109" t="s">
        <v>16314</v>
      </c>
      <c r="J392" s="1109"/>
      <c r="K392" s="1109"/>
      <c r="L392" s="1110" t="s">
        <v>969</v>
      </c>
      <c r="M392" s="883">
        <v>4725000</v>
      </c>
      <c r="N392" s="883"/>
      <c r="O392" s="883"/>
    </row>
    <row r="393" spans="1:15" s="1111" customFormat="1" ht="24.75" customHeight="1">
      <c r="A393" s="990">
        <v>392</v>
      </c>
      <c r="B393" s="882" t="s">
        <v>423</v>
      </c>
      <c r="C393" s="882" t="s">
        <v>423</v>
      </c>
      <c r="D393" s="882" t="s">
        <v>16283</v>
      </c>
      <c r="E393" s="882" t="s">
        <v>16486</v>
      </c>
      <c r="F393" s="882" t="s">
        <v>16489</v>
      </c>
      <c r="G393" s="882" t="s">
        <v>9347</v>
      </c>
      <c r="H393" s="1109" t="s">
        <v>16490</v>
      </c>
      <c r="I393" s="1109" t="s">
        <v>16491</v>
      </c>
      <c r="J393" s="1109"/>
      <c r="K393" s="1109"/>
      <c r="L393" s="1110" t="s">
        <v>969</v>
      </c>
      <c r="M393" s="883">
        <v>4725000</v>
      </c>
      <c r="N393" s="883"/>
      <c r="O393" s="883"/>
    </row>
    <row r="394" spans="1:15" s="1111" customFormat="1" ht="24.75" customHeight="1">
      <c r="A394" s="990">
        <v>393</v>
      </c>
      <c r="B394" s="882" t="s">
        <v>423</v>
      </c>
      <c r="C394" s="882" t="s">
        <v>423</v>
      </c>
      <c r="D394" s="882" t="s">
        <v>9674</v>
      </c>
      <c r="E394" s="882"/>
      <c r="F394" s="882" t="s">
        <v>9675</v>
      </c>
      <c r="G394" s="882" t="s">
        <v>9340</v>
      </c>
      <c r="H394" s="1109" t="s">
        <v>9676</v>
      </c>
      <c r="I394" s="1109"/>
      <c r="J394" s="1109"/>
      <c r="K394" s="1109"/>
      <c r="L394" s="1110" t="s">
        <v>969</v>
      </c>
      <c r="M394" s="883">
        <v>4725000</v>
      </c>
      <c r="N394" s="883"/>
      <c r="O394" s="883"/>
    </row>
    <row r="395" spans="1:15" s="1112" customFormat="1">
      <c r="A395" s="1998" t="s">
        <v>9164</v>
      </c>
      <c r="B395" s="1999"/>
      <c r="C395" s="1999"/>
      <c r="D395" s="1999"/>
      <c r="E395" s="1999"/>
      <c r="F395" s="1999"/>
      <c r="G395" s="1999"/>
      <c r="H395" s="1999"/>
      <c r="I395" s="1999"/>
      <c r="J395" s="1999"/>
      <c r="K395" s="1999"/>
      <c r="L395" s="2000"/>
      <c r="M395" s="290">
        <f>SUM(M4:M394)</f>
        <v>1578370000</v>
      </c>
      <c r="N395" s="290"/>
      <c r="O395" s="290"/>
    </row>
  </sheetData>
  <autoFilter ref="F1:F395"/>
  <mergeCells count="1">
    <mergeCell ref="A395:L395"/>
  </mergeCells>
  <pageMargins left="0.7" right="0.7" top="0.75" bottom="0.75" header="0.3" footer="0.3"/>
  <pageSetup orientation="portrait" horizontalDpi="200" verticalDpi="2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rightToLeft="1" topLeftCell="A60" zoomScale="90" zoomScaleNormal="90" workbookViewId="0">
      <selection activeCell="L76" sqref="L76"/>
    </sheetView>
  </sheetViews>
  <sheetFormatPr defaultRowHeight="15"/>
  <cols>
    <col min="2" max="2" width="8.85546875" customWidth="1"/>
    <col min="3" max="3" width="48.28515625" bestFit="1" customWidth="1"/>
    <col min="4" max="4" width="9.28515625" bestFit="1" customWidth="1"/>
    <col min="5" max="5" width="16.5703125" bestFit="1" customWidth="1"/>
    <col min="6" max="6" width="16" bestFit="1" customWidth="1"/>
    <col min="7" max="7" width="18" bestFit="1" customWidth="1"/>
    <col min="8" max="8" width="13.42578125" bestFit="1" customWidth="1"/>
    <col min="9" max="9" width="9" bestFit="1" customWidth="1"/>
    <col min="10" max="10" width="11.42578125" bestFit="1" customWidth="1"/>
    <col min="11" max="11" width="22.42578125" bestFit="1" customWidth="1"/>
    <col min="12" max="12" width="43.28515625" style="1235" customWidth="1"/>
  </cols>
  <sheetData>
    <row r="1" spans="1:14" ht="33.75">
      <c r="A1" s="2001" t="s">
        <v>9693</v>
      </c>
      <c r="B1" s="2002"/>
      <c r="C1" s="2002"/>
      <c r="D1" s="2002"/>
      <c r="E1" s="2002"/>
      <c r="F1" s="2002"/>
      <c r="G1" s="2002"/>
      <c r="H1" s="2002"/>
      <c r="I1" s="2002"/>
      <c r="J1" s="2002"/>
      <c r="K1" s="2002"/>
      <c r="L1" s="2003"/>
      <c r="M1" s="555"/>
      <c r="N1" s="555"/>
    </row>
    <row r="2" spans="1:14" ht="24">
      <c r="A2" s="336" t="s">
        <v>0</v>
      </c>
      <c r="B2" s="336"/>
      <c r="C2" s="336" t="s">
        <v>9678</v>
      </c>
      <c r="D2" s="336" t="s">
        <v>9679</v>
      </c>
      <c r="E2" s="336" t="s">
        <v>9680</v>
      </c>
      <c r="F2" s="336" t="s">
        <v>9681</v>
      </c>
      <c r="G2" s="336" t="s">
        <v>4324</v>
      </c>
      <c r="H2" s="336" t="s">
        <v>12012</v>
      </c>
      <c r="I2" s="336" t="s">
        <v>4325</v>
      </c>
      <c r="J2" s="336" t="s">
        <v>9682</v>
      </c>
      <c r="K2" s="336" t="s">
        <v>5356</v>
      </c>
      <c r="L2" s="999" t="s">
        <v>9683</v>
      </c>
      <c r="M2" s="336"/>
      <c r="N2" s="336"/>
    </row>
    <row r="3" spans="1:14" ht="22.5">
      <c r="A3" s="330">
        <v>1</v>
      </c>
      <c r="B3" s="330"/>
      <c r="C3" s="330" t="s">
        <v>11402</v>
      </c>
      <c r="D3" s="330" t="s">
        <v>9694</v>
      </c>
      <c r="E3" s="330" t="s">
        <v>9065</v>
      </c>
      <c r="F3" s="330" t="s">
        <v>9065</v>
      </c>
      <c r="G3" s="330" t="s">
        <v>9695</v>
      </c>
      <c r="H3" s="330"/>
      <c r="I3" s="330"/>
      <c r="J3" s="330" t="s">
        <v>5129</v>
      </c>
      <c r="K3" s="338" t="s">
        <v>9696</v>
      </c>
      <c r="L3" s="1000">
        <v>6512400</v>
      </c>
      <c r="M3" s="334"/>
      <c r="N3" s="334"/>
    </row>
    <row r="4" spans="1:14" ht="22.5">
      <c r="A4" s="330">
        <v>2</v>
      </c>
      <c r="B4" s="330"/>
      <c r="C4" s="330" t="s">
        <v>9697</v>
      </c>
      <c r="D4" s="330" t="s">
        <v>9698</v>
      </c>
      <c r="E4" s="330" t="s">
        <v>9065</v>
      </c>
      <c r="F4" s="330" t="s">
        <v>9699</v>
      </c>
      <c r="G4" s="330" t="s">
        <v>9700</v>
      </c>
      <c r="H4" s="330"/>
      <c r="I4" s="330"/>
      <c r="J4" s="330" t="s">
        <v>5129</v>
      </c>
      <c r="K4" s="338" t="s">
        <v>9701</v>
      </c>
      <c r="L4" s="1000">
        <v>6512400</v>
      </c>
      <c r="M4" s="334"/>
      <c r="N4" s="334"/>
    </row>
    <row r="5" spans="1:14" ht="22.5">
      <c r="A5" s="330">
        <v>3</v>
      </c>
      <c r="B5" s="330"/>
      <c r="C5" s="330" t="s">
        <v>9702</v>
      </c>
      <c r="D5" s="330" t="s">
        <v>9703</v>
      </c>
      <c r="E5" s="330" t="s">
        <v>9691</v>
      </c>
      <c r="F5" s="330" t="s">
        <v>9691</v>
      </c>
      <c r="G5" s="330" t="s">
        <v>9704</v>
      </c>
      <c r="H5" s="330"/>
      <c r="I5" s="330"/>
      <c r="J5" s="330" t="s">
        <v>5129</v>
      </c>
      <c r="K5" s="338" t="s">
        <v>9705</v>
      </c>
      <c r="L5" s="1000">
        <v>27750000</v>
      </c>
      <c r="M5" s="334"/>
      <c r="N5" s="334"/>
    </row>
    <row r="6" spans="1:14" ht="22.5">
      <c r="A6" s="330">
        <v>4</v>
      </c>
      <c r="B6" s="330"/>
      <c r="C6" s="330" t="s">
        <v>9706</v>
      </c>
      <c r="D6" s="330" t="s">
        <v>9707</v>
      </c>
      <c r="E6" s="330" t="s">
        <v>9065</v>
      </c>
      <c r="F6" s="330" t="s">
        <v>9065</v>
      </c>
      <c r="G6" s="330" t="s">
        <v>9708</v>
      </c>
      <c r="H6" s="330"/>
      <c r="I6" s="330"/>
      <c r="J6" s="330" t="s">
        <v>5129</v>
      </c>
      <c r="K6" s="338" t="s">
        <v>9709</v>
      </c>
      <c r="L6" s="1000">
        <v>6512400</v>
      </c>
      <c r="M6" s="334"/>
      <c r="N6" s="334"/>
    </row>
    <row r="7" spans="1:14" ht="22.5">
      <c r="A7" s="330">
        <v>5</v>
      </c>
      <c r="B7" s="330"/>
      <c r="C7" s="330" t="s">
        <v>9710</v>
      </c>
      <c r="D7" s="330" t="s">
        <v>9711</v>
      </c>
      <c r="E7" s="330" t="s">
        <v>9685</v>
      </c>
      <c r="G7" s="330" t="s">
        <v>9712</v>
      </c>
      <c r="H7" s="330"/>
      <c r="I7" s="330"/>
      <c r="J7" s="330" t="s">
        <v>5129</v>
      </c>
      <c r="K7" s="338" t="s">
        <v>9713</v>
      </c>
      <c r="L7" s="1000">
        <v>27750000</v>
      </c>
      <c r="M7" s="334"/>
      <c r="N7" s="334"/>
    </row>
    <row r="8" spans="1:14" ht="22.5">
      <c r="A8" s="330">
        <v>6</v>
      </c>
      <c r="B8" s="330"/>
      <c r="C8" s="330" t="s">
        <v>9714</v>
      </c>
      <c r="D8" s="330" t="s">
        <v>9715</v>
      </c>
      <c r="E8" s="330" t="s">
        <v>9065</v>
      </c>
      <c r="F8" s="330" t="s">
        <v>9692</v>
      </c>
      <c r="G8" s="330" t="s">
        <v>9716</v>
      </c>
      <c r="H8" s="330"/>
      <c r="I8" s="330"/>
      <c r="J8" s="330" t="s">
        <v>5129</v>
      </c>
      <c r="K8" s="338" t="s">
        <v>9717</v>
      </c>
      <c r="L8" s="1000">
        <v>12168000</v>
      </c>
      <c r="M8" s="334"/>
      <c r="N8" s="334"/>
    </row>
    <row r="9" spans="1:14" ht="22.5">
      <c r="A9" s="330">
        <v>7</v>
      </c>
      <c r="B9" s="330"/>
      <c r="C9" s="330" t="s">
        <v>9718</v>
      </c>
      <c r="D9" s="330" t="s">
        <v>9719</v>
      </c>
      <c r="E9" s="330" t="s">
        <v>9065</v>
      </c>
      <c r="F9" s="330" t="s">
        <v>9685</v>
      </c>
      <c r="G9" s="330" t="s">
        <v>9720</v>
      </c>
      <c r="H9" s="330"/>
      <c r="I9" s="330"/>
      <c r="J9" s="330" t="s">
        <v>5129</v>
      </c>
      <c r="K9" s="338" t="s">
        <v>9721</v>
      </c>
      <c r="L9" s="1000">
        <v>6512400</v>
      </c>
      <c r="M9" s="334"/>
      <c r="N9" s="334"/>
    </row>
    <row r="10" spans="1:14" ht="22.5">
      <c r="A10" s="330">
        <v>8</v>
      </c>
      <c r="B10" s="330"/>
      <c r="C10" s="330" t="s">
        <v>9722</v>
      </c>
      <c r="D10" s="330" t="s">
        <v>9723</v>
      </c>
      <c r="E10" s="330" t="s">
        <v>9065</v>
      </c>
      <c r="F10" s="330" t="s">
        <v>9065</v>
      </c>
      <c r="G10" s="330" t="s">
        <v>9724</v>
      </c>
      <c r="H10" s="330"/>
      <c r="I10" s="330"/>
      <c r="J10" s="330" t="s">
        <v>5129</v>
      </c>
      <c r="K10" s="338" t="s">
        <v>9725</v>
      </c>
      <c r="L10" s="1000">
        <v>6512400</v>
      </c>
      <c r="M10" s="334"/>
      <c r="N10" s="334"/>
    </row>
    <row r="11" spans="1:14" ht="22.5">
      <c r="A11" s="330">
        <v>9</v>
      </c>
      <c r="B11" s="330"/>
      <c r="C11" s="330" t="s">
        <v>9726</v>
      </c>
      <c r="D11" s="330" t="s">
        <v>9727</v>
      </c>
      <c r="E11" s="330" t="s">
        <v>9065</v>
      </c>
      <c r="F11" s="330" t="s">
        <v>9692</v>
      </c>
      <c r="G11" s="330" t="s">
        <v>9728</v>
      </c>
      <c r="H11" s="330"/>
      <c r="I11" s="330"/>
      <c r="J11" s="330" t="s">
        <v>5129</v>
      </c>
      <c r="K11" s="338" t="s">
        <v>9729</v>
      </c>
      <c r="L11" s="1000">
        <v>6512400</v>
      </c>
      <c r="M11" s="334"/>
      <c r="N11" s="334"/>
    </row>
    <row r="12" spans="1:14" ht="22.5">
      <c r="A12" s="330">
        <v>10</v>
      </c>
      <c r="B12" s="330"/>
      <c r="C12" s="330" t="s">
        <v>9730</v>
      </c>
      <c r="D12" s="330" t="s">
        <v>9731</v>
      </c>
      <c r="E12" s="330" t="s">
        <v>9692</v>
      </c>
      <c r="F12" s="330" t="s">
        <v>9685</v>
      </c>
      <c r="G12" s="330" t="s">
        <v>9732</v>
      </c>
      <c r="H12" s="330"/>
      <c r="I12" s="330"/>
      <c r="J12" s="330" t="s">
        <v>5129</v>
      </c>
      <c r="K12" s="338" t="s">
        <v>9733</v>
      </c>
      <c r="L12" s="1000">
        <v>12168000</v>
      </c>
      <c r="M12" s="334"/>
      <c r="N12" s="334"/>
    </row>
    <row r="13" spans="1:14" ht="22.5">
      <c r="A13" s="330">
        <v>11</v>
      </c>
      <c r="B13" s="330"/>
      <c r="C13" s="330" t="s">
        <v>9734</v>
      </c>
      <c r="D13" s="330" t="s">
        <v>9735</v>
      </c>
      <c r="E13" s="330" t="s">
        <v>9065</v>
      </c>
      <c r="F13" s="330" t="s">
        <v>9065</v>
      </c>
      <c r="G13" s="330" t="s">
        <v>9736</v>
      </c>
      <c r="H13" s="330"/>
      <c r="I13" s="330"/>
      <c r="J13" s="330" t="s">
        <v>5129</v>
      </c>
      <c r="K13" s="338" t="s">
        <v>9737</v>
      </c>
      <c r="L13" s="1000">
        <v>6512400</v>
      </c>
      <c r="M13" s="334"/>
      <c r="N13" s="334"/>
    </row>
    <row r="14" spans="1:14" ht="22.5">
      <c r="A14" s="330">
        <v>12</v>
      </c>
      <c r="B14" s="330"/>
      <c r="C14" s="330" t="s">
        <v>9738</v>
      </c>
      <c r="D14" s="330" t="s">
        <v>9739</v>
      </c>
      <c r="E14" s="330" t="s">
        <v>9065</v>
      </c>
      <c r="F14" s="330" t="s">
        <v>9065</v>
      </c>
      <c r="G14" s="330" t="s">
        <v>9740</v>
      </c>
      <c r="H14" s="330"/>
      <c r="I14" s="330"/>
      <c r="J14" s="330" t="s">
        <v>5129</v>
      </c>
      <c r="K14" s="338" t="s">
        <v>9741</v>
      </c>
      <c r="L14" s="1000">
        <v>6512400</v>
      </c>
      <c r="M14" s="334"/>
      <c r="N14" s="334"/>
    </row>
    <row r="15" spans="1:14" ht="22.5">
      <c r="A15" s="330">
        <v>13</v>
      </c>
      <c r="B15" s="330"/>
      <c r="C15" s="330" t="s">
        <v>9742</v>
      </c>
      <c r="D15" s="330" t="s">
        <v>9743</v>
      </c>
      <c r="E15" s="330" t="s">
        <v>9065</v>
      </c>
      <c r="F15" s="330" t="s">
        <v>9065</v>
      </c>
      <c r="G15" s="330" t="s">
        <v>9744</v>
      </c>
      <c r="H15" s="330"/>
      <c r="I15" s="330"/>
      <c r="J15" s="330" t="s">
        <v>5129</v>
      </c>
      <c r="K15" s="338" t="s">
        <v>9745</v>
      </c>
      <c r="L15" s="1000">
        <v>6512400</v>
      </c>
      <c r="M15" s="334"/>
      <c r="N15" s="334"/>
    </row>
    <row r="16" spans="1:14" ht="22.5">
      <c r="A16" s="330">
        <v>14</v>
      </c>
      <c r="B16" s="330"/>
      <c r="C16" s="330" t="s">
        <v>9746</v>
      </c>
      <c r="D16" s="330" t="s">
        <v>9747</v>
      </c>
      <c r="E16" s="330" t="s">
        <v>9692</v>
      </c>
      <c r="F16" s="330" t="s">
        <v>9065</v>
      </c>
      <c r="G16" s="330" t="s">
        <v>9748</v>
      </c>
      <c r="H16" s="330"/>
      <c r="I16" s="330"/>
      <c r="J16" s="330" t="s">
        <v>5129</v>
      </c>
      <c r="K16" s="338" t="s">
        <v>9749</v>
      </c>
      <c r="L16" s="1000">
        <v>12168000</v>
      </c>
      <c r="M16" s="334"/>
      <c r="N16" s="334"/>
    </row>
    <row r="17" spans="1:14" ht="22.5">
      <c r="A17" s="330">
        <v>15</v>
      </c>
      <c r="B17" s="330"/>
      <c r="C17" s="330" t="s">
        <v>9750</v>
      </c>
      <c r="D17" s="330" t="s">
        <v>9751</v>
      </c>
      <c r="E17" s="330" t="s">
        <v>9065</v>
      </c>
      <c r="F17" s="330" t="s">
        <v>9065</v>
      </c>
      <c r="G17" s="330" t="s">
        <v>9752</v>
      </c>
      <c r="H17" s="330"/>
      <c r="I17" s="330"/>
      <c r="J17" s="330" t="s">
        <v>5129</v>
      </c>
      <c r="K17" s="338" t="s">
        <v>15262</v>
      </c>
      <c r="L17" s="1000">
        <v>6512400</v>
      </c>
      <c r="M17" s="334"/>
      <c r="N17" s="334"/>
    </row>
    <row r="18" spans="1:14" ht="22.5">
      <c r="A18" s="330">
        <v>16</v>
      </c>
      <c r="B18" s="330"/>
      <c r="C18" s="330" t="s">
        <v>9753</v>
      </c>
      <c r="D18" s="330" t="s">
        <v>9754</v>
      </c>
      <c r="E18" s="330" t="s">
        <v>9692</v>
      </c>
      <c r="F18" s="330" t="s">
        <v>9699</v>
      </c>
      <c r="G18" s="330" t="s">
        <v>9755</v>
      </c>
      <c r="H18" s="330"/>
      <c r="I18" s="330"/>
      <c r="J18" s="330" t="s">
        <v>5129</v>
      </c>
      <c r="K18" s="338" t="s">
        <v>9756</v>
      </c>
      <c r="L18" s="1000">
        <v>12168000</v>
      </c>
      <c r="M18" s="334"/>
      <c r="N18" s="334"/>
    </row>
    <row r="19" spans="1:14" ht="22.5">
      <c r="A19" s="330">
        <v>17</v>
      </c>
      <c r="B19" s="330"/>
      <c r="C19" s="330" t="s">
        <v>9757</v>
      </c>
      <c r="D19" s="330" t="s">
        <v>9758</v>
      </c>
      <c r="E19" s="330" t="s">
        <v>9065</v>
      </c>
      <c r="F19" s="330" t="s">
        <v>9065</v>
      </c>
      <c r="G19" s="330" t="s">
        <v>9759</v>
      </c>
      <c r="H19" s="330"/>
      <c r="I19" s="330"/>
      <c r="J19" s="330" t="s">
        <v>5129</v>
      </c>
      <c r="K19" s="338" t="s">
        <v>9760</v>
      </c>
      <c r="L19" s="1000">
        <v>6512400</v>
      </c>
      <c r="M19" s="334"/>
      <c r="N19" s="334"/>
    </row>
    <row r="20" spans="1:14" ht="22.5">
      <c r="A20" s="330">
        <v>18</v>
      </c>
      <c r="B20" s="330"/>
      <c r="C20" s="330" t="s">
        <v>9761</v>
      </c>
      <c r="D20" s="330" t="s">
        <v>9762</v>
      </c>
      <c r="E20" s="330" t="s">
        <v>9065</v>
      </c>
      <c r="F20" s="330" t="s">
        <v>9065</v>
      </c>
      <c r="G20" s="330" t="s">
        <v>9763</v>
      </c>
      <c r="H20" s="330"/>
      <c r="I20" s="330"/>
      <c r="J20" s="330" t="s">
        <v>5129</v>
      </c>
      <c r="K20" s="338" t="s">
        <v>9764</v>
      </c>
      <c r="L20" s="1000">
        <v>6512400</v>
      </c>
      <c r="M20" s="334"/>
      <c r="N20" s="334"/>
    </row>
    <row r="21" spans="1:14" ht="22.5">
      <c r="A21" s="330">
        <v>19</v>
      </c>
      <c r="B21" s="330"/>
      <c r="C21" s="330" t="s">
        <v>9765</v>
      </c>
      <c r="D21" s="330" t="s">
        <v>9766</v>
      </c>
      <c r="E21" s="330" t="s">
        <v>9692</v>
      </c>
      <c r="F21" s="330" t="s">
        <v>9685</v>
      </c>
      <c r="G21" s="330" t="s">
        <v>9767</v>
      </c>
      <c r="H21" s="330"/>
      <c r="I21" s="330"/>
      <c r="J21" s="330" t="s">
        <v>5129</v>
      </c>
      <c r="K21" s="338" t="s">
        <v>9768</v>
      </c>
      <c r="L21" s="1000">
        <v>12168000</v>
      </c>
      <c r="M21" s="334"/>
      <c r="N21" s="334"/>
    </row>
    <row r="22" spans="1:14" ht="22.5">
      <c r="A22" s="330">
        <v>20</v>
      </c>
      <c r="B22" s="330"/>
      <c r="C22" s="330" t="s">
        <v>9769</v>
      </c>
      <c r="D22" s="330" t="s">
        <v>9770</v>
      </c>
      <c r="E22" s="330" t="s">
        <v>9065</v>
      </c>
      <c r="F22" s="330" t="s">
        <v>9065</v>
      </c>
      <c r="G22" s="330" t="s">
        <v>9771</v>
      </c>
      <c r="H22" s="330"/>
      <c r="I22" s="330"/>
      <c r="J22" s="330" t="s">
        <v>5129</v>
      </c>
      <c r="K22" s="338" t="s">
        <v>9772</v>
      </c>
      <c r="L22" s="1000">
        <v>6512400</v>
      </c>
      <c r="M22" s="334"/>
      <c r="N22" s="334"/>
    </row>
    <row r="23" spans="1:14" ht="22.5">
      <c r="A23" s="330">
        <v>21</v>
      </c>
      <c r="B23" s="330"/>
      <c r="C23" s="330" t="s">
        <v>9773</v>
      </c>
      <c r="D23" s="330" t="s">
        <v>9774</v>
      </c>
      <c r="E23" s="330" t="s">
        <v>9692</v>
      </c>
      <c r="F23" s="330" t="s">
        <v>9692</v>
      </c>
      <c r="G23" s="330" t="s">
        <v>9775</v>
      </c>
      <c r="H23" s="330"/>
      <c r="I23" s="330"/>
      <c r="J23" s="330" t="s">
        <v>5129</v>
      </c>
      <c r="K23" s="338" t="s">
        <v>9776</v>
      </c>
      <c r="L23" s="1000">
        <v>12168000</v>
      </c>
      <c r="M23" s="334"/>
      <c r="N23" s="334"/>
    </row>
    <row r="24" spans="1:14" ht="22.5">
      <c r="A24" s="330">
        <v>22</v>
      </c>
      <c r="B24" s="330"/>
      <c r="C24" s="330" t="s">
        <v>9777</v>
      </c>
      <c r="D24" s="330" t="s">
        <v>9778</v>
      </c>
      <c r="E24" s="330" t="s">
        <v>9692</v>
      </c>
      <c r="F24" s="330" t="s">
        <v>9065</v>
      </c>
      <c r="G24" s="330" t="s">
        <v>9779</v>
      </c>
      <c r="H24" s="330"/>
      <c r="I24" s="330"/>
      <c r="J24" s="330" t="s">
        <v>5129</v>
      </c>
      <c r="K24" s="338" t="s">
        <v>9780</v>
      </c>
      <c r="L24" s="1000">
        <v>12168000</v>
      </c>
      <c r="M24" s="334"/>
      <c r="N24" s="334"/>
    </row>
    <row r="25" spans="1:14" ht="22.5">
      <c r="A25" s="330">
        <v>23</v>
      </c>
      <c r="B25" s="330"/>
      <c r="C25" s="330" t="s">
        <v>16091</v>
      </c>
      <c r="D25" s="330">
        <v>469</v>
      </c>
      <c r="E25" s="330" t="s">
        <v>9065</v>
      </c>
      <c r="F25" s="330" t="s">
        <v>9065</v>
      </c>
      <c r="G25" s="330" t="s">
        <v>14740</v>
      </c>
      <c r="H25" s="330"/>
      <c r="I25" s="330"/>
      <c r="J25" s="330" t="s">
        <v>5129</v>
      </c>
      <c r="K25" s="338" t="s">
        <v>14741</v>
      </c>
      <c r="L25" s="1000">
        <v>6512400</v>
      </c>
      <c r="M25" s="334"/>
      <c r="N25" s="334"/>
    </row>
    <row r="26" spans="1:14" ht="22.5">
      <c r="A26" s="330">
        <v>24</v>
      </c>
      <c r="B26" s="330"/>
      <c r="C26" s="330" t="s">
        <v>16092</v>
      </c>
      <c r="D26" s="330">
        <v>475</v>
      </c>
      <c r="E26" s="330" t="s">
        <v>9065</v>
      </c>
      <c r="F26" s="330" t="s">
        <v>9065</v>
      </c>
      <c r="G26" s="330" t="s">
        <v>9781</v>
      </c>
      <c r="H26" s="330"/>
      <c r="I26" s="330"/>
      <c r="J26" s="330" t="s">
        <v>5129</v>
      </c>
      <c r="K26" s="338" t="s">
        <v>9782</v>
      </c>
      <c r="L26" s="1000">
        <v>6512400</v>
      </c>
      <c r="M26" s="334"/>
      <c r="N26" s="334"/>
    </row>
    <row r="27" spans="1:14" ht="22.5">
      <c r="A27" s="330">
        <v>25</v>
      </c>
      <c r="B27" s="330"/>
      <c r="C27" s="330" t="s">
        <v>11405</v>
      </c>
      <c r="D27" s="330">
        <v>498</v>
      </c>
      <c r="E27" s="330" t="s">
        <v>9065</v>
      </c>
      <c r="F27" s="330" t="s">
        <v>9065</v>
      </c>
      <c r="G27" s="330" t="s">
        <v>411</v>
      </c>
      <c r="H27" s="330"/>
      <c r="I27" s="330"/>
      <c r="J27" s="330" t="s">
        <v>5129</v>
      </c>
      <c r="K27" s="338" t="s">
        <v>9783</v>
      </c>
      <c r="L27" s="1000">
        <v>6512400</v>
      </c>
      <c r="M27" s="334"/>
      <c r="N27" s="334"/>
    </row>
    <row r="28" spans="1:14" ht="22.5">
      <c r="A28" s="330">
        <v>26</v>
      </c>
      <c r="B28" s="330"/>
      <c r="C28" s="330" t="s">
        <v>9784</v>
      </c>
      <c r="D28" s="330" t="s">
        <v>9464</v>
      </c>
      <c r="E28" s="330" t="s">
        <v>9065</v>
      </c>
      <c r="F28" s="330" t="s">
        <v>9065</v>
      </c>
      <c r="G28" s="330" t="s">
        <v>9785</v>
      </c>
      <c r="H28" s="330"/>
      <c r="I28" s="330"/>
      <c r="J28" s="330" t="s">
        <v>5129</v>
      </c>
      <c r="K28" s="338" t="s">
        <v>9786</v>
      </c>
      <c r="L28" s="1000">
        <v>6512400</v>
      </c>
      <c r="M28" s="334"/>
      <c r="N28" s="334"/>
    </row>
    <row r="29" spans="1:14" ht="22.5">
      <c r="A29" s="330">
        <v>27</v>
      </c>
      <c r="B29" s="330"/>
      <c r="C29" s="330" t="s">
        <v>9787</v>
      </c>
      <c r="D29" s="330" t="s">
        <v>9788</v>
      </c>
      <c r="E29" s="330" t="s">
        <v>9065</v>
      </c>
      <c r="F29" s="330" t="s">
        <v>9065</v>
      </c>
      <c r="G29" s="330" t="s">
        <v>9789</v>
      </c>
      <c r="H29" s="330"/>
      <c r="I29" s="330"/>
      <c r="J29" s="330" t="s">
        <v>5129</v>
      </c>
      <c r="K29" s="338" t="s">
        <v>9790</v>
      </c>
      <c r="L29" s="1000">
        <v>6512400</v>
      </c>
      <c r="M29" s="334"/>
      <c r="N29" s="334"/>
    </row>
    <row r="30" spans="1:14" ht="22.5">
      <c r="A30" s="330">
        <v>28</v>
      </c>
      <c r="B30" s="330"/>
      <c r="C30" s="330" t="s">
        <v>9791</v>
      </c>
      <c r="D30" s="330" t="s">
        <v>9792</v>
      </c>
      <c r="E30" s="330" t="s">
        <v>9065</v>
      </c>
      <c r="F30" s="330" t="s">
        <v>9065</v>
      </c>
      <c r="G30" s="330" t="s">
        <v>9793</v>
      </c>
      <c r="H30" s="330"/>
      <c r="I30" s="330"/>
      <c r="J30" s="330" t="s">
        <v>5129</v>
      </c>
      <c r="K30" s="338" t="s">
        <v>9794</v>
      </c>
      <c r="L30" s="1000">
        <v>6512400</v>
      </c>
      <c r="M30" s="334"/>
      <c r="N30" s="334"/>
    </row>
    <row r="31" spans="1:14" ht="22.5">
      <c r="A31" s="330">
        <v>29</v>
      </c>
      <c r="B31" s="330"/>
      <c r="C31" s="330" t="s">
        <v>11404</v>
      </c>
      <c r="D31" s="330">
        <v>545</v>
      </c>
      <c r="E31" s="330" t="s">
        <v>9065</v>
      </c>
      <c r="F31" s="330" t="s">
        <v>9065</v>
      </c>
      <c r="G31" s="330" t="s">
        <v>9795</v>
      </c>
      <c r="H31" s="330"/>
      <c r="I31" s="330"/>
      <c r="J31" s="330" t="s">
        <v>5129</v>
      </c>
      <c r="K31" s="338" t="s">
        <v>9796</v>
      </c>
      <c r="L31" s="1000">
        <v>6512400</v>
      </c>
      <c r="M31" s="334"/>
      <c r="N31" s="334"/>
    </row>
    <row r="32" spans="1:14" ht="22.5">
      <c r="A32" s="330">
        <v>30</v>
      </c>
      <c r="B32" s="330"/>
      <c r="C32" s="330" t="s">
        <v>9797</v>
      </c>
      <c r="D32" s="330" t="s">
        <v>9798</v>
      </c>
      <c r="E32" s="330" t="s">
        <v>9692</v>
      </c>
      <c r="F32" s="330" t="s">
        <v>9065</v>
      </c>
      <c r="G32" s="330" t="s">
        <v>9799</v>
      </c>
      <c r="H32" s="330"/>
      <c r="I32" s="330"/>
      <c r="J32" s="330" t="s">
        <v>5129</v>
      </c>
      <c r="K32" s="338" t="s">
        <v>9800</v>
      </c>
      <c r="L32" s="1000">
        <v>12168000</v>
      </c>
      <c r="M32" s="334"/>
      <c r="N32" s="334"/>
    </row>
    <row r="33" spans="1:14" ht="22.5">
      <c r="A33" s="330">
        <v>31</v>
      </c>
      <c r="B33" s="330"/>
      <c r="C33" s="330" t="s">
        <v>16093</v>
      </c>
      <c r="D33" s="330">
        <v>305</v>
      </c>
      <c r="E33" s="330" t="s">
        <v>9692</v>
      </c>
      <c r="F33" s="330" t="s">
        <v>9065</v>
      </c>
      <c r="G33" s="330" t="s">
        <v>9801</v>
      </c>
      <c r="H33" s="330"/>
      <c r="I33" s="330"/>
      <c r="J33" s="330" t="s">
        <v>5129</v>
      </c>
      <c r="K33" s="338" t="s">
        <v>9802</v>
      </c>
      <c r="L33" s="1000">
        <v>12168000</v>
      </c>
      <c r="M33" s="334"/>
      <c r="N33" s="334"/>
    </row>
    <row r="34" spans="1:14" ht="22.5">
      <c r="A34" s="330">
        <v>32</v>
      </c>
      <c r="B34" s="330"/>
      <c r="C34" s="330" t="s">
        <v>11403</v>
      </c>
      <c r="D34" s="330">
        <v>412</v>
      </c>
      <c r="E34" s="330" t="s">
        <v>9065</v>
      </c>
      <c r="F34" s="330" t="s">
        <v>9065</v>
      </c>
      <c r="G34" s="330" t="s">
        <v>9803</v>
      </c>
      <c r="H34" s="330"/>
      <c r="I34" s="330"/>
      <c r="J34" s="330" t="s">
        <v>5129</v>
      </c>
      <c r="K34" s="338" t="s">
        <v>9804</v>
      </c>
      <c r="L34" s="1000">
        <v>6512400</v>
      </c>
      <c r="M34" s="334"/>
      <c r="N34" s="334"/>
    </row>
    <row r="35" spans="1:14" ht="22.5">
      <c r="A35" s="330">
        <v>33</v>
      </c>
      <c r="B35" s="330"/>
      <c r="C35" s="330" t="s">
        <v>14742</v>
      </c>
      <c r="D35" s="330">
        <v>342</v>
      </c>
      <c r="E35" s="330" t="s">
        <v>9065</v>
      </c>
      <c r="F35" s="330" t="s">
        <v>9065</v>
      </c>
      <c r="G35" s="330" t="s">
        <v>14743</v>
      </c>
      <c r="H35" s="330"/>
      <c r="I35" s="330"/>
      <c r="J35" s="330" t="s">
        <v>5129</v>
      </c>
      <c r="K35" s="338" t="s">
        <v>14744</v>
      </c>
      <c r="L35" s="1000">
        <v>6512400</v>
      </c>
      <c r="M35" s="334"/>
      <c r="N35" s="334"/>
    </row>
    <row r="36" spans="1:14" ht="22.5">
      <c r="A36" s="330">
        <v>34</v>
      </c>
      <c r="B36" s="330"/>
      <c r="C36" s="330" t="s">
        <v>14745</v>
      </c>
      <c r="D36" s="330">
        <v>546</v>
      </c>
      <c r="E36" s="330" t="s">
        <v>9065</v>
      </c>
      <c r="F36" s="330" t="s">
        <v>9065</v>
      </c>
      <c r="G36" s="330" t="s">
        <v>14746</v>
      </c>
      <c r="H36" s="330"/>
      <c r="I36" s="330"/>
      <c r="J36" s="330" t="s">
        <v>5129</v>
      </c>
      <c r="K36" s="338" t="s">
        <v>14747</v>
      </c>
      <c r="L36" s="1000">
        <v>6512400</v>
      </c>
      <c r="M36" s="334"/>
      <c r="N36" s="334"/>
    </row>
    <row r="37" spans="1:14" ht="22.5">
      <c r="A37" s="330">
        <v>35</v>
      </c>
      <c r="B37" s="330"/>
      <c r="C37" s="330" t="s">
        <v>16094</v>
      </c>
      <c r="D37" s="330">
        <v>254</v>
      </c>
      <c r="E37" s="330" t="s">
        <v>9065</v>
      </c>
      <c r="F37" s="330" t="s">
        <v>9065</v>
      </c>
      <c r="G37" s="330" t="s">
        <v>9807</v>
      </c>
      <c r="H37" s="330"/>
      <c r="I37" s="330"/>
      <c r="J37" s="330" t="s">
        <v>5129</v>
      </c>
      <c r="K37" s="338" t="s">
        <v>9808</v>
      </c>
      <c r="L37" s="1000">
        <v>6512400</v>
      </c>
      <c r="M37" s="334"/>
      <c r="N37" s="334"/>
    </row>
    <row r="38" spans="1:14" ht="22.5">
      <c r="A38" s="330">
        <v>36</v>
      </c>
      <c r="B38" s="330"/>
      <c r="C38" s="330" t="s">
        <v>16095</v>
      </c>
      <c r="D38" s="330">
        <v>357</v>
      </c>
      <c r="E38" s="330" t="s">
        <v>9065</v>
      </c>
      <c r="F38" s="330" t="s">
        <v>9065</v>
      </c>
      <c r="G38" s="330" t="s">
        <v>9809</v>
      </c>
      <c r="H38" s="330"/>
      <c r="I38" s="330"/>
      <c r="J38" s="330" t="s">
        <v>5129</v>
      </c>
      <c r="K38" s="338" t="s">
        <v>9810</v>
      </c>
      <c r="L38" s="1000">
        <v>6512400</v>
      </c>
      <c r="M38" s="334"/>
      <c r="N38" s="334"/>
    </row>
    <row r="39" spans="1:14" ht="22.5">
      <c r="A39" s="330">
        <v>37</v>
      </c>
      <c r="B39" s="330"/>
      <c r="C39" s="330" t="s">
        <v>16096</v>
      </c>
      <c r="D39" s="330">
        <v>430</v>
      </c>
      <c r="E39" s="330" t="s">
        <v>9065</v>
      </c>
      <c r="F39" s="330" t="s">
        <v>9065</v>
      </c>
      <c r="G39" s="330" t="s">
        <v>14748</v>
      </c>
      <c r="H39" s="330"/>
      <c r="I39" s="330"/>
      <c r="J39" s="330" t="s">
        <v>5129</v>
      </c>
      <c r="K39" s="338" t="s">
        <v>14749</v>
      </c>
      <c r="L39" s="1000">
        <v>6512400</v>
      </c>
      <c r="M39" s="334"/>
      <c r="N39" s="334"/>
    </row>
    <row r="40" spans="1:14" ht="22.5">
      <c r="A40" s="330">
        <v>38</v>
      </c>
      <c r="B40" s="330"/>
      <c r="C40" s="330" t="s">
        <v>14750</v>
      </c>
      <c r="D40" s="330">
        <v>524</v>
      </c>
      <c r="E40" s="330" t="s">
        <v>9065</v>
      </c>
      <c r="F40" s="330" t="s">
        <v>9692</v>
      </c>
      <c r="G40" s="330" t="s">
        <v>14751</v>
      </c>
      <c r="H40" s="330"/>
      <c r="I40" s="330"/>
      <c r="J40" s="330" t="s">
        <v>5129</v>
      </c>
      <c r="K40" s="338" t="s">
        <v>14752</v>
      </c>
      <c r="L40" s="1000">
        <v>6512400</v>
      </c>
      <c r="M40" s="334"/>
      <c r="N40" s="334"/>
    </row>
    <row r="41" spans="1:14" ht="22.5">
      <c r="A41" s="330">
        <v>39</v>
      </c>
      <c r="B41" s="330"/>
      <c r="C41" s="330" t="s">
        <v>16097</v>
      </c>
      <c r="D41" s="330">
        <v>579</v>
      </c>
      <c r="E41" s="330" t="s">
        <v>9065</v>
      </c>
      <c r="F41" s="330" t="s">
        <v>9065</v>
      </c>
      <c r="G41" s="330" t="s">
        <v>16098</v>
      </c>
      <c r="H41" s="330"/>
      <c r="I41" s="330"/>
      <c r="J41" s="330" t="s">
        <v>5129</v>
      </c>
      <c r="K41" s="338" t="s">
        <v>16099</v>
      </c>
      <c r="L41" s="1000">
        <v>6512400</v>
      </c>
      <c r="M41" s="334"/>
      <c r="N41" s="334"/>
    </row>
    <row r="42" spans="1:14" ht="22.5">
      <c r="A42" s="330">
        <v>40</v>
      </c>
      <c r="B42" s="330"/>
      <c r="C42" s="330" t="s">
        <v>11455</v>
      </c>
      <c r="D42" s="330">
        <v>244</v>
      </c>
      <c r="E42" s="330" t="s">
        <v>9065</v>
      </c>
      <c r="F42" s="330" t="s">
        <v>9699</v>
      </c>
      <c r="G42" s="330" t="s">
        <v>11456</v>
      </c>
      <c r="H42" s="330"/>
      <c r="I42" s="330"/>
      <c r="J42" s="330" t="s">
        <v>5129</v>
      </c>
      <c r="K42" s="338" t="s">
        <v>9808</v>
      </c>
      <c r="L42" s="1000">
        <v>8683200</v>
      </c>
      <c r="M42" s="334"/>
      <c r="N42" s="334"/>
    </row>
    <row r="43" spans="1:14" ht="22.5">
      <c r="A43" s="330">
        <v>41</v>
      </c>
      <c r="B43" s="330"/>
      <c r="C43" s="330" t="s">
        <v>14753</v>
      </c>
      <c r="D43" s="330">
        <v>532</v>
      </c>
      <c r="E43" s="330" t="s">
        <v>9065</v>
      </c>
      <c r="F43" s="330" t="s">
        <v>9065</v>
      </c>
      <c r="G43" s="330" t="s">
        <v>14754</v>
      </c>
      <c r="H43" s="330"/>
      <c r="I43" s="330"/>
      <c r="J43" s="330" t="s">
        <v>5129</v>
      </c>
      <c r="K43" s="338" t="s">
        <v>9554</v>
      </c>
      <c r="L43" s="1000">
        <v>6512400</v>
      </c>
      <c r="M43" s="334"/>
      <c r="N43" s="334"/>
    </row>
    <row r="44" spans="1:14" ht="22.5">
      <c r="A44" s="330">
        <v>42</v>
      </c>
      <c r="B44" s="330"/>
      <c r="C44" s="330" t="s">
        <v>11481</v>
      </c>
      <c r="D44" s="330">
        <v>407</v>
      </c>
      <c r="E44" s="330" t="s">
        <v>9065</v>
      </c>
      <c r="F44" s="330" t="s">
        <v>9065</v>
      </c>
      <c r="G44" s="330" t="s">
        <v>11482</v>
      </c>
      <c r="H44" s="330"/>
      <c r="I44" s="330"/>
      <c r="J44" s="330" t="s">
        <v>5129</v>
      </c>
      <c r="K44" s="338" t="s">
        <v>303</v>
      </c>
      <c r="L44" s="1000">
        <v>6512400</v>
      </c>
      <c r="M44" s="334"/>
      <c r="N44" s="334"/>
    </row>
    <row r="45" spans="1:14" ht="22.5">
      <c r="A45" s="330">
        <v>43</v>
      </c>
      <c r="B45" s="330"/>
      <c r="C45" s="330" t="s">
        <v>11540</v>
      </c>
      <c r="D45" s="330">
        <v>277</v>
      </c>
      <c r="E45" s="330" t="s">
        <v>9692</v>
      </c>
      <c r="F45" s="330" t="s">
        <v>9692</v>
      </c>
      <c r="G45" s="330" t="s">
        <v>11541</v>
      </c>
      <c r="H45" s="330"/>
      <c r="I45" s="330"/>
      <c r="J45" s="330" t="s">
        <v>5129</v>
      </c>
      <c r="K45" s="338" t="s">
        <v>1917</v>
      </c>
      <c r="L45" s="1000">
        <v>12168000</v>
      </c>
      <c r="M45" s="334"/>
      <c r="N45" s="334"/>
    </row>
    <row r="46" spans="1:14" ht="22.5">
      <c r="A46" s="330">
        <v>44</v>
      </c>
      <c r="B46" s="330"/>
      <c r="C46" s="330" t="s">
        <v>16100</v>
      </c>
      <c r="D46" s="330"/>
      <c r="E46" s="330" t="s">
        <v>9065</v>
      </c>
      <c r="F46" s="330" t="s">
        <v>9699</v>
      </c>
      <c r="G46" s="330" t="s">
        <v>11542</v>
      </c>
      <c r="H46" s="330"/>
      <c r="I46" s="330"/>
      <c r="J46" s="330" t="s">
        <v>5129</v>
      </c>
      <c r="K46" s="338" t="s">
        <v>16101</v>
      </c>
      <c r="L46" s="1000">
        <v>6512400</v>
      </c>
      <c r="M46" s="334"/>
      <c r="N46" s="334"/>
    </row>
    <row r="47" spans="1:14" ht="22.5">
      <c r="A47" s="330">
        <v>45</v>
      </c>
      <c r="B47" s="330"/>
      <c r="C47" s="330" t="s">
        <v>14755</v>
      </c>
      <c r="D47" s="330">
        <v>443</v>
      </c>
      <c r="E47" s="330" t="s">
        <v>9065</v>
      </c>
      <c r="F47" s="330" t="s">
        <v>9065</v>
      </c>
      <c r="G47" s="330" t="s">
        <v>14756</v>
      </c>
      <c r="H47" s="330"/>
      <c r="I47" s="330"/>
      <c r="J47" s="330" t="s">
        <v>5129</v>
      </c>
      <c r="K47" s="338" t="s">
        <v>235</v>
      </c>
      <c r="L47" s="1000">
        <v>6512400</v>
      </c>
      <c r="M47" s="334"/>
      <c r="N47" s="334"/>
    </row>
    <row r="48" spans="1:14" ht="22.5">
      <c r="A48" s="330">
        <v>46</v>
      </c>
      <c r="B48" s="330"/>
      <c r="C48" s="330" t="s">
        <v>11752</v>
      </c>
      <c r="D48" s="330">
        <v>422</v>
      </c>
      <c r="E48" s="330" t="s">
        <v>9065</v>
      </c>
      <c r="F48" s="330" t="s">
        <v>9065</v>
      </c>
      <c r="G48" s="330" t="s">
        <v>11753</v>
      </c>
      <c r="H48" s="330"/>
      <c r="I48" s="330"/>
      <c r="J48" s="330" t="s">
        <v>5129</v>
      </c>
      <c r="K48" s="338" t="s">
        <v>2614</v>
      </c>
      <c r="L48" s="1000">
        <v>6512400</v>
      </c>
      <c r="M48" s="334"/>
      <c r="N48" s="334"/>
    </row>
    <row r="49" spans="1:14" ht="22.5">
      <c r="A49" s="330">
        <v>47</v>
      </c>
      <c r="B49" s="330"/>
      <c r="C49" s="330" t="s">
        <v>14757</v>
      </c>
      <c r="D49" s="330">
        <v>318</v>
      </c>
      <c r="E49" s="330" t="s">
        <v>9692</v>
      </c>
      <c r="F49" s="330"/>
      <c r="G49" s="330" t="s">
        <v>14758</v>
      </c>
      <c r="H49" s="330"/>
      <c r="I49" s="330"/>
      <c r="J49" s="330" t="s">
        <v>5129</v>
      </c>
      <c r="K49" s="338" t="s">
        <v>1599</v>
      </c>
      <c r="L49" s="1000">
        <v>12168000</v>
      </c>
      <c r="M49" s="334"/>
      <c r="N49" s="334"/>
    </row>
    <row r="50" spans="1:14" ht="22.5">
      <c r="A50" s="330">
        <v>48</v>
      </c>
      <c r="B50" s="330"/>
      <c r="C50" s="330" t="s">
        <v>14759</v>
      </c>
      <c r="D50" s="330">
        <v>461</v>
      </c>
      <c r="E50" s="330" t="s">
        <v>9692</v>
      </c>
      <c r="F50" s="330" t="s">
        <v>9065</v>
      </c>
      <c r="G50" s="330" t="s">
        <v>14760</v>
      </c>
      <c r="H50" s="330"/>
      <c r="I50" s="330"/>
      <c r="J50" s="330" t="s">
        <v>5129</v>
      </c>
      <c r="K50" s="338" t="s">
        <v>14761</v>
      </c>
      <c r="L50" s="1000">
        <v>12168000</v>
      </c>
      <c r="M50" s="334"/>
      <c r="N50" s="334"/>
    </row>
    <row r="51" spans="1:14" ht="22.5">
      <c r="A51" s="330">
        <v>49</v>
      </c>
      <c r="B51" s="330"/>
      <c r="C51" s="330" t="s">
        <v>14762</v>
      </c>
      <c r="D51" s="330">
        <v>335</v>
      </c>
      <c r="E51" s="330" t="s">
        <v>9065</v>
      </c>
      <c r="F51" s="330"/>
      <c r="G51" s="330" t="s">
        <v>14763</v>
      </c>
      <c r="H51" s="330"/>
      <c r="I51" s="330"/>
      <c r="J51" s="330" t="s">
        <v>5129</v>
      </c>
      <c r="K51" s="338" t="s">
        <v>2395</v>
      </c>
      <c r="L51" s="1000">
        <v>6512400</v>
      </c>
      <c r="M51" s="334"/>
      <c r="N51" s="334"/>
    </row>
    <row r="52" spans="1:14" ht="22.5">
      <c r="A52" s="330">
        <v>50</v>
      </c>
      <c r="B52" s="330"/>
      <c r="C52" s="330" t="s">
        <v>14764</v>
      </c>
      <c r="D52" s="330">
        <v>379</v>
      </c>
      <c r="E52" s="330" t="s">
        <v>9065</v>
      </c>
      <c r="F52" s="330" t="s">
        <v>9691</v>
      </c>
      <c r="G52" s="330" t="s">
        <v>14765</v>
      </c>
      <c r="H52" s="330"/>
      <c r="I52" s="330"/>
      <c r="J52" s="330" t="s">
        <v>5129</v>
      </c>
      <c r="K52" s="338" t="s">
        <v>14766</v>
      </c>
      <c r="L52" s="1000">
        <v>6512400</v>
      </c>
      <c r="M52" s="334"/>
      <c r="N52" s="334"/>
    </row>
    <row r="53" spans="1:14" ht="22.5">
      <c r="A53" s="330">
        <v>51</v>
      </c>
      <c r="B53" s="330"/>
      <c r="C53" s="330" t="s">
        <v>14767</v>
      </c>
      <c r="D53" s="330">
        <v>533</v>
      </c>
      <c r="E53" s="330" t="s">
        <v>9065</v>
      </c>
      <c r="F53" s="330"/>
      <c r="G53" s="330" t="s">
        <v>14768</v>
      </c>
      <c r="H53" s="330"/>
      <c r="I53" s="330"/>
      <c r="J53" s="330" t="s">
        <v>5129</v>
      </c>
      <c r="K53" s="338" t="s">
        <v>881</v>
      </c>
      <c r="L53" s="1000">
        <v>6512400</v>
      </c>
      <c r="M53" s="334"/>
      <c r="N53" s="334"/>
    </row>
    <row r="54" spans="1:14" ht="22.5">
      <c r="A54" s="330">
        <v>52</v>
      </c>
      <c r="B54" s="330"/>
      <c r="C54" s="330" t="s">
        <v>14192</v>
      </c>
      <c r="D54" s="330">
        <v>527</v>
      </c>
      <c r="E54" s="330" t="s">
        <v>9065</v>
      </c>
      <c r="F54" s="330"/>
      <c r="G54" s="330" t="s">
        <v>5848</v>
      </c>
      <c r="H54" s="330"/>
      <c r="I54" s="330"/>
      <c r="J54" s="330" t="s">
        <v>5129</v>
      </c>
      <c r="K54" s="338"/>
      <c r="L54" s="1000">
        <v>6512400</v>
      </c>
      <c r="M54" s="334"/>
      <c r="N54" s="334"/>
    </row>
    <row r="55" spans="1:14" ht="22.5">
      <c r="A55" s="330">
        <v>53</v>
      </c>
      <c r="B55" s="330"/>
      <c r="C55" s="330" t="s">
        <v>14769</v>
      </c>
      <c r="D55" s="330">
        <v>514</v>
      </c>
      <c r="E55" s="330" t="s">
        <v>9065</v>
      </c>
      <c r="F55" s="330"/>
      <c r="G55" s="330" t="s">
        <v>14770</v>
      </c>
      <c r="H55" s="330"/>
      <c r="I55" s="330"/>
      <c r="J55" s="330" t="s">
        <v>5129</v>
      </c>
      <c r="K55" s="338" t="s">
        <v>15263</v>
      </c>
      <c r="L55" s="1000">
        <v>6512400</v>
      </c>
      <c r="M55" s="334"/>
      <c r="N55" s="334"/>
    </row>
    <row r="56" spans="1:14" ht="22.5">
      <c r="A56" s="330">
        <v>54</v>
      </c>
      <c r="B56" s="330"/>
      <c r="C56" s="330" t="s">
        <v>14174</v>
      </c>
      <c r="D56" s="330">
        <v>297</v>
      </c>
      <c r="E56" s="330" t="s">
        <v>9065</v>
      </c>
      <c r="F56" s="330"/>
      <c r="G56" s="330" t="s">
        <v>14771</v>
      </c>
      <c r="H56" s="330"/>
      <c r="I56" s="330"/>
      <c r="J56" s="330" t="s">
        <v>5129</v>
      </c>
      <c r="K56" s="338" t="s">
        <v>2364</v>
      </c>
      <c r="L56" s="1000">
        <v>6512400</v>
      </c>
      <c r="M56" s="334"/>
      <c r="N56" s="334"/>
    </row>
    <row r="57" spans="1:14" ht="22.5">
      <c r="A57" s="330">
        <v>55</v>
      </c>
      <c r="B57" s="330"/>
      <c r="C57" s="330" t="s">
        <v>14772</v>
      </c>
      <c r="D57" s="330">
        <v>368</v>
      </c>
      <c r="E57" s="330" t="s">
        <v>9065</v>
      </c>
      <c r="F57" s="330"/>
      <c r="G57" s="330" t="s">
        <v>14773</v>
      </c>
      <c r="H57" s="330"/>
      <c r="I57" s="330"/>
      <c r="J57" s="330" t="s">
        <v>5129</v>
      </c>
      <c r="K57" s="338" t="s">
        <v>2402</v>
      </c>
      <c r="L57" s="1000">
        <v>6512400</v>
      </c>
      <c r="M57" s="334"/>
      <c r="N57" s="334"/>
    </row>
    <row r="58" spans="1:14" ht="22.5">
      <c r="A58" s="330">
        <v>56</v>
      </c>
      <c r="B58" s="330"/>
      <c r="C58" s="330" t="s">
        <v>14774</v>
      </c>
      <c r="D58" s="330">
        <v>500</v>
      </c>
      <c r="E58" s="330" t="s">
        <v>9692</v>
      </c>
      <c r="F58" s="330" t="s">
        <v>9065</v>
      </c>
      <c r="G58" s="330" t="s">
        <v>14775</v>
      </c>
      <c r="H58" s="330"/>
      <c r="I58" s="330"/>
      <c r="J58" s="330" t="s">
        <v>5129</v>
      </c>
      <c r="K58" s="338" t="s">
        <v>9580</v>
      </c>
      <c r="L58" s="1000">
        <v>12168000</v>
      </c>
      <c r="M58" s="334"/>
      <c r="N58" s="334"/>
    </row>
    <row r="59" spans="1:14" ht="22.5">
      <c r="A59" s="330">
        <v>57</v>
      </c>
      <c r="B59" s="330"/>
      <c r="C59" s="330" t="s">
        <v>14776</v>
      </c>
      <c r="D59" s="330">
        <v>230</v>
      </c>
      <c r="E59" s="330" t="s">
        <v>9692</v>
      </c>
      <c r="F59" s="330"/>
      <c r="G59" s="330" t="s">
        <v>14777</v>
      </c>
      <c r="H59" s="330"/>
      <c r="I59" s="330"/>
      <c r="J59" s="330" t="s">
        <v>5129</v>
      </c>
      <c r="K59" s="338"/>
      <c r="L59" s="1000">
        <v>12168000</v>
      </c>
      <c r="M59" s="334"/>
      <c r="N59" s="334"/>
    </row>
    <row r="60" spans="1:14" ht="22.5">
      <c r="A60" s="330">
        <v>58</v>
      </c>
      <c r="B60" s="330"/>
      <c r="C60" s="330" t="s">
        <v>14778</v>
      </c>
      <c r="D60" s="330">
        <v>558</v>
      </c>
      <c r="E60" s="330" t="s">
        <v>9065</v>
      </c>
      <c r="F60" s="330"/>
      <c r="G60" s="330" t="s">
        <v>14779</v>
      </c>
      <c r="H60" s="330"/>
      <c r="I60" s="330"/>
      <c r="J60" s="330" t="s">
        <v>5129</v>
      </c>
      <c r="K60" s="338"/>
      <c r="L60" s="1000">
        <v>6512400</v>
      </c>
      <c r="M60" s="334"/>
      <c r="N60" s="334"/>
    </row>
    <row r="61" spans="1:14" ht="22.5">
      <c r="A61" s="330">
        <v>59</v>
      </c>
      <c r="B61" s="330"/>
      <c r="C61" s="330" t="s">
        <v>14780</v>
      </c>
      <c r="D61" s="330">
        <v>499</v>
      </c>
      <c r="E61" s="330" t="s">
        <v>9065</v>
      </c>
      <c r="F61" s="330"/>
      <c r="G61" s="330" t="s">
        <v>14781</v>
      </c>
      <c r="H61" s="330"/>
      <c r="I61" s="330"/>
      <c r="J61" s="330" t="s">
        <v>5129</v>
      </c>
      <c r="K61" s="338" t="s">
        <v>15264</v>
      </c>
      <c r="L61" s="1000">
        <v>6512400</v>
      </c>
      <c r="M61" s="334"/>
      <c r="N61" s="334"/>
    </row>
    <row r="62" spans="1:14" ht="22.5">
      <c r="A62" s="330">
        <v>60</v>
      </c>
      <c r="B62" s="330"/>
      <c r="C62" s="330" t="s">
        <v>14782</v>
      </c>
      <c r="D62" s="330">
        <v>314</v>
      </c>
      <c r="E62" s="330" t="s">
        <v>9065</v>
      </c>
      <c r="F62" s="330"/>
      <c r="G62" s="330" t="s">
        <v>14783</v>
      </c>
      <c r="H62" s="330"/>
      <c r="I62" s="330"/>
      <c r="J62" s="330" t="s">
        <v>5129</v>
      </c>
      <c r="K62" s="338"/>
      <c r="L62" s="1000">
        <v>6512400</v>
      </c>
      <c r="M62" s="334"/>
      <c r="N62" s="334"/>
    </row>
    <row r="63" spans="1:14" ht="22.5">
      <c r="A63" s="330">
        <v>61</v>
      </c>
      <c r="B63" s="330"/>
      <c r="C63" s="330" t="s">
        <v>14784</v>
      </c>
      <c r="D63" s="330">
        <v>216</v>
      </c>
      <c r="E63" s="330" t="s">
        <v>9699</v>
      </c>
      <c r="F63" s="330" t="s">
        <v>9065</v>
      </c>
      <c r="G63" s="330" t="s">
        <v>14785</v>
      </c>
      <c r="H63" s="330"/>
      <c r="I63" s="330"/>
      <c r="J63" s="330" t="s">
        <v>5129</v>
      </c>
      <c r="K63" s="338" t="s">
        <v>15265</v>
      </c>
      <c r="L63" s="1000">
        <v>8683200</v>
      </c>
      <c r="M63" s="334"/>
      <c r="N63" s="334"/>
    </row>
    <row r="64" spans="1:14" ht="22.5">
      <c r="A64" s="330">
        <v>62</v>
      </c>
      <c r="B64" s="330"/>
      <c r="C64" s="330" t="s">
        <v>14786</v>
      </c>
      <c r="D64" s="330">
        <v>214</v>
      </c>
      <c r="E64" s="330" t="s">
        <v>9691</v>
      </c>
      <c r="F64" s="330" t="s">
        <v>9065</v>
      </c>
      <c r="G64" s="330" t="s">
        <v>14787</v>
      </c>
      <c r="H64" s="330"/>
      <c r="I64" s="330"/>
      <c r="J64" s="330" t="s">
        <v>5129</v>
      </c>
      <c r="K64" s="338"/>
      <c r="L64" s="1000">
        <v>27750000</v>
      </c>
      <c r="M64" s="334"/>
      <c r="N64" s="334"/>
    </row>
    <row r="65" spans="1:14" ht="22.5">
      <c r="A65" s="330">
        <v>63</v>
      </c>
      <c r="B65" s="330"/>
      <c r="C65" s="330" t="s">
        <v>15266</v>
      </c>
      <c r="D65" s="330">
        <v>343</v>
      </c>
      <c r="E65" s="330" t="s">
        <v>9065</v>
      </c>
      <c r="F65" s="330"/>
      <c r="G65" s="330" t="s">
        <v>15267</v>
      </c>
      <c r="H65" s="330"/>
      <c r="I65" s="330"/>
      <c r="J65" s="330" t="s">
        <v>5129</v>
      </c>
      <c r="K65" s="338" t="s">
        <v>1632</v>
      </c>
      <c r="L65" s="1000">
        <v>6512400</v>
      </c>
      <c r="M65" s="334"/>
      <c r="N65" s="334"/>
    </row>
    <row r="66" spans="1:14" ht="22.5">
      <c r="A66" s="330">
        <v>64</v>
      </c>
      <c r="B66" s="330"/>
      <c r="C66" s="330" t="s">
        <v>16102</v>
      </c>
      <c r="D66" s="330"/>
      <c r="E66" s="330" t="s">
        <v>9690</v>
      </c>
      <c r="F66" s="330"/>
      <c r="G66" s="330" t="s">
        <v>16103</v>
      </c>
      <c r="H66" s="330"/>
      <c r="I66" s="330"/>
      <c r="J66" s="330" t="s">
        <v>5129</v>
      </c>
      <c r="K66" s="338"/>
      <c r="L66" s="1000">
        <v>414000000</v>
      </c>
      <c r="M66" s="334"/>
      <c r="N66" s="334"/>
    </row>
    <row r="67" spans="1:14" ht="22.5">
      <c r="A67" s="330">
        <v>65</v>
      </c>
      <c r="B67" s="330"/>
      <c r="C67" s="330" t="s">
        <v>16104</v>
      </c>
      <c r="D67" s="330">
        <v>364</v>
      </c>
      <c r="E67" s="330" t="s">
        <v>9699</v>
      </c>
      <c r="F67" s="330"/>
      <c r="G67" s="330" t="s">
        <v>16105</v>
      </c>
      <c r="H67" s="330"/>
      <c r="I67" s="330"/>
      <c r="J67" s="330" t="s">
        <v>5129</v>
      </c>
      <c r="K67" s="338" t="s">
        <v>7587</v>
      </c>
      <c r="L67" s="1000">
        <v>8683200</v>
      </c>
      <c r="M67" s="334"/>
      <c r="N67" s="334"/>
    </row>
    <row r="68" spans="1:14" ht="22.5">
      <c r="A68" s="330">
        <v>66</v>
      </c>
      <c r="B68" s="330"/>
      <c r="C68" s="330" t="s">
        <v>16106</v>
      </c>
      <c r="D68" s="330"/>
      <c r="E68" s="330" t="s">
        <v>16107</v>
      </c>
      <c r="F68" s="330"/>
      <c r="G68" s="330" t="s">
        <v>16108</v>
      </c>
      <c r="H68" s="330"/>
      <c r="I68" s="330"/>
      <c r="J68" s="330" t="s">
        <v>5129</v>
      </c>
      <c r="K68" s="338"/>
      <c r="L68" s="1000">
        <v>216000000</v>
      </c>
      <c r="M68" s="334"/>
      <c r="N68" s="334"/>
    </row>
    <row r="69" spans="1:14" ht="22.5">
      <c r="A69" s="330">
        <v>67</v>
      </c>
      <c r="B69" s="330"/>
      <c r="C69" s="330" t="s">
        <v>16109</v>
      </c>
      <c r="D69" s="330">
        <v>543</v>
      </c>
      <c r="E69" s="330" t="s">
        <v>9699</v>
      </c>
      <c r="F69" s="330"/>
      <c r="G69" s="330" t="s">
        <v>16110</v>
      </c>
      <c r="H69" s="330"/>
      <c r="I69" s="330"/>
      <c r="J69" s="330" t="s">
        <v>5129</v>
      </c>
      <c r="K69" s="338" t="s">
        <v>16111</v>
      </c>
      <c r="L69" s="1000">
        <v>8683200</v>
      </c>
      <c r="M69" s="334"/>
      <c r="N69" s="334"/>
    </row>
    <row r="70" spans="1:14" ht="22.5">
      <c r="A70" s="330">
        <v>68</v>
      </c>
      <c r="B70" s="330"/>
      <c r="C70" s="330" t="s">
        <v>15663</v>
      </c>
      <c r="D70" s="330">
        <v>554</v>
      </c>
      <c r="E70" s="330" t="s">
        <v>9699</v>
      </c>
      <c r="F70" s="330"/>
      <c r="G70" s="330" t="s">
        <v>16112</v>
      </c>
      <c r="H70" s="330"/>
      <c r="I70" s="330"/>
      <c r="J70" s="330" t="s">
        <v>5129</v>
      </c>
      <c r="K70" s="338" t="s">
        <v>5017</v>
      </c>
      <c r="L70" s="1000">
        <v>8683200</v>
      </c>
      <c r="M70" s="334"/>
      <c r="N70" s="334"/>
    </row>
    <row r="71" spans="1:14" ht="22.5">
      <c r="A71" s="330">
        <v>69</v>
      </c>
      <c r="B71" s="330"/>
      <c r="C71" s="330" t="s">
        <v>16113</v>
      </c>
      <c r="D71" s="330"/>
      <c r="E71" s="330" t="s">
        <v>16114</v>
      </c>
      <c r="F71" s="330"/>
      <c r="G71" s="330" t="s">
        <v>16115</v>
      </c>
      <c r="H71" s="330"/>
      <c r="I71" s="330"/>
      <c r="J71" s="330" t="s">
        <v>5129</v>
      </c>
      <c r="K71" s="338" t="s">
        <v>423</v>
      </c>
      <c r="L71" s="1000"/>
      <c r="M71" s="334"/>
      <c r="N71" s="334"/>
    </row>
    <row r="72" spans="1:14" ht="22.5">
      <c r="A72" s="330">
        <v>70</v>
      </c>
      <c r="B72" s="330"/>
      <c r="C72" s="330" t="s">
        <v>16116</v>
      </c>
      <c r="D72" s="330">
        <v>237</v>
      </c>
      <c r="E72" s="330" t="s">
        <v>9699</v>
      </c>
      <c r="F72" s="330"/>
      <c r="G72" s="330" t="s">
        <v>16117</v>
      </c>
      <c r="H72" s="330"/>
      <c r="I72" s="330"/>
      <c r="J72" s="330" t="s">
        <v>5129</v>
      </c>
      <c r="K72" s="338" t="s">
        <v>1598</v>
      </c>
      <c r="L72" s="1000">
        <v>8683200</v>
      </c>
      <c r="M72" s="334"/>
      <c r="N72" s="334"/>
    </row>
    <row r="73" spans="1:14" ht="22.5">
      <c r="A73" s="330">
        <v>71</v>
      </c>
      <c r="B73" s="330"/>
      <c r="C73" s="330" t="s">
        <v>16252</v>
      </c>
      <c r="D73" s="330">
        <v>222</v>
      </c>
      <c r="E73" s="330" t="s">
        <v>9065</v>
      </c>
      <c r="F73" s="330"/>
      <c r="G73" s="330" t="s">
        <v>16253</v>
      </c>
      <c r="H73" s="330"/>
      <c r="I73" s="330"/>
      <c r="J73" s="330" t="s">
        <v>5129</v>
      </c>
      <c r="K73" s="338" t="s">
        <v>1598</v>
      </c>
      <c r="L73" s="1000">
        <v>6512400</v>
      </c>
      <c r="M73" s="334"/>
      <c r="N73" s="334"/>
    </row>
    <row r="74" spans="1:14" ht="22.5">
      <c r="A74" s="330">
        <v>72</v>
      </c>
      <c r="B74" s="330"/>
      <c r="C74" s="330" t="s">
        <v>16267</v>
      </c>
      <c r="D74" s="330">
        <v>291</v>
      </c>
      <c r="E74" s="330" t="s">
        <v>9692</v>
      </c>
      <c r="F74" s="330"/>
      <c r="G74" s="330" t="s">
        <v>16268</v>
      </c>
      <c r="H74" s="330"/>
      <c r="I74" s="330"/>
      <c r="J74" s="330" t="s">
        <v>5129</v>
      </c>
      <c r="K74" s="338" t="s">
        <v>16269</v>
      </c>
      <c r="L74" s="1000">
        <v>12168000</v>
      </c>
      <c r="M74" s="334"/>
      <c r="N74" s="334"/>
    </row>
    <row r="75" spans="1:14" ht="22.5">
      <c r="A75" s="330">
        <v>73</v>
      </c>
      <c r="B75" s="330"/>
      <c r="C75" s="330" t="s">
        <v>16284</v>
      </c>
      <c r="D75" s="330">
        <v>218</v>
      </c>
      <c r="E75" s="330" t="s">
        <v>9692</v>
      </c>
      <c r="F75" s="330"/>
      <c r="G75" s="330" t="s">
        <v>16285</v>
      </c>
      <c r="H75" s="330"/>
      <c r="I75" s="330"/>
      <c r="J75" s="330" t="s">
        <v>5129</v>
      </c>
      <c r="K75" s="338" t="s">
        <v>1598</v>
      </c>
      <c r="L75" s="1000">
        <v>12168000</v>
      </c>
      <c r="M75" s="334"/>
      <c r="N75" s="334"/>
    </row>
    <row r="76" spans="1:14" ht="22.5">
      <c r="A76" s="330">
        <v>74</v>
      </c>
      <c r="B76" s="330"/>
      <c r="C76" s="1059" t="s">
        <v>11454</v>
      </c>
      <c r="D76" s="1058"/>
      <c r="E76" s="1058" t="s">
        <v>9692</v>
      </c>
      <c r="F76" s="330"/>
      <c r="G76" s="1058" t="s">
        <v>16518</v>
      </c>
      <c r="H76" s="330"/>
      <c r="I76" s="330"/>
      <c r="J76" s="330" t="s">
        <v>5129</v>
      </c>
      <c r="K76" s="338" t="s">
        <v>1598</v>
      </c>
      <c r="L76" s="1000">
        <v>12168000</v>
      </c>
      <c r="M76" s="334"/>
      <c r="N76" s="334"/>
    </row>
    <row r="77" spans="1:14" ht="22.5">
      <c r="A77" s="330">
        <v>75</v>
      </c>
      <c r="B77" s="330"/>
      <c r="C77" s="1059" t="s">
        <v>11401</v>
      </c>
      <c r="D77" s="1058"/>
      <c r="E77" s="1058" t="s">
        <v>9691</v>
      </c>
      <c r="F77" s="330"/>
      <c r="G77" s="1058" t="s">
        <v>16519</v>
      </c>
      <c r="H77" s="330"/>
      <c r="I77" s="330"/>
      <c r="J77" s="330" t="s">
        <v>5129</v>
      </c>
      <c r="K77" s="338" t="s">
        <v>423</v>
      </c>
      <c r="L77" s="1000">
        <v>27750000</v>
      </c>
      <c r="M77" s="334"/>
      <c r="N77" s="334"/>
    </row>
    <row r="78" spans="1:14" ht="22.5">
      <c r="A78" s="330">
        <v>76</v>
      </c>
      <c r="B78" s="330"/>
      <c r="C78" s="330" t="s">
        <v>16118</v>
      </c>
      <c r="D78" s="330">
        <v>432</v>
      </c>
      <c r="E78" s="330" t="s">
        <v>9065</v>
      </c>
      <c r="F78" s="330"/>
      <c r="G78" s="330" t="s">
        <v>9811</v>
      </c>
      <c r="H78" s="330"/>
      <c r="I78" s="330"/>
      <c r="J78" s="330" t="s">
        <v>5129</v>
      </c>
      <c r="K78" s="338" t="s">
        <v>16119</v>
      </c>
      <c r="L78" s="1000">
        <v>12168000</v>
      </c>
      <c r="M78" s="334"/>
      <c r="N78" s="334"/>
    </row>
    <row r="79" spans="1:14">
      <c r="A79" s="1975"/>
      <c r="B79" s="1976"/>
      <c r="C79" s="1976"/>
      <c r="D79" s="1976"/>
      <c r="E79" s="1976"/>
      <c r="F79" s="1976"/>
      <c r="G79" s="1976"/>
      <c r="H79" s="1976"/>
      <c r="I79" s="1976"/>
      <c r="J79" s="1976"/>
      <c r="K79" s="1977"/>
      <c r="L79" s="1001">
        <f>SUM(L3:L78)</f>
        <v>1305181200</v>
      </c>
      <c r="M79" s="335"/>
      <c r="N79" s="335"/>
    </row>
  </sheetData>
  <autoFilter ref="D1:D80"/>
  <mergeCells count="2">
    <mergeCell ref="A1:L1"/>
    <mergeCell ref="A79:K79"/>
  </mergeCells>
  <pageMargins left="0.7" right="0.7" top="0.75" bottom="0.75" header="0.3" footer="0.3"/>
  <pageSetup orientation="portrait" horizontalDpi="200" verticalDpi="2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rightToLeft="1" topLeftCell="A10" workbookViewId="0">
      <selection activeCell="F88" sqref="F88"/>
    </sheetView>
  </sheetViews>
  <sheetFormatPr defaultRowHeight="15"/>
  <cols>
    <col min="1" max="1" width="42.7109375" style="133" customWidth="1"/>
    <col min="2" max="2" width="12.42578125" style="701" customWidth="1"/>
    <col min="3" max="3" width="23.42578125" style="133" customWidth="1"/>
    <col min="4" max="4" width="25.85546875" style="133" customWidth="1"/>
    <col min="5" max="5" width="27.5703125" style="133" customWidth="1"/>
    <col min="6" max="6" width="14.28515625" style="133" customWidth="1"/>
    <col min="7" max="16384" width="9.140625" style="133"/>
  </cols>
  <sheetData>
    <row r="1" spans="1:7" s="699" customFormat="1" ht="37.5" customHeight="1">
      <c r="A1" s="699" t="s">
        <v>9813</v>
      </c>
      <c r="B1" s="700"/>
      <c r="C1" s="699" t="s">
        <v>14653</v>
      </c>
      <c r="D1" s="699" t="s">
        <v>14654</v>
      </c>
      <c r="E1" s="699" t="s">
        <v>11896</v>
      </c>
    </row>
    <row r="2" spans="1:7">
      <c r="A2" s="133" t="s">
        <v>14655</v>
      </c>
      <c r="C2" s="133" t="s">
        <v>14656</v>
      </c>
      <c r="D2" s="133" t="s">
        <v>14657</v>
      </c>
      <c r="E2" s="133">
        <v>14040626</v>
      </c>
    </row>
    <row r="3" spans="1:7">
      <c r="A3" s="133" t="s">
        <v>14658</v>
      </c>
      <c r="C3" s="133" t="s">
        <v>14195</v>
      </c>
      <c r="D3" s="133" t="s">
        <v>14659</v>
      </c>
      <c r="F3" s="133" t="s">
        <v>14660</v>
      </c>
    </row>
    <row r="4" spans="1:7">
      <c r="A4" s="133" t="s">
        <v>14661</v>
      </c>
      <c r="C4" s="133" t="s">
        <v>14662</v>
      </c>
      <c r="D4" s="133" t="s">
        <v>14663</v>
      </c>
      <c r="E4" s="133" t="s">
        <v>14664</v>
      </c>
      <c r="F4" s="133" t="s">
        <v>14665</v>
      </c>
    </row>
    <row r="5" spans="1:7">
      <c r="A5" s="133" t="s">
        <v>14666</v>
      </c>
      <c r="C5" s="133" t="s">
        <v>7546</v>
      </c>
      <c r="D5" s="133" t="s">
        <v>14667</v>
      </c>
      <c r="E5" s="133">
        <v>14040719</v>
      </c>
      <c r="F5" s="133" t="s">
        <v>14660</v>
      </c>
    </row>
    <row r="6" spans="1:7">
      <c r="A6" s="133" t="s">
        <v>14668</v>
      </c>
      <c r="C6" s="133" t="s">
        <v>14669</v>
      </c>
      <c r="D6" s="133" t="s">
        <v>14670</v>
      </c>
      <c r="E6" s="133">
        <v>14040729</v>
      </c>
      <c r="F6" s="133" t="s">
        <v>14665</v>
      </c>
      <c r="G6" s="133" t="s">
        <v>14671</v>
      </c>
    </row>
    <row r="7" spans="1:7">
      <c r="A7" s="133" t="s">
        <v>14672</v>
      </c>
      <c r="C7" s="133" t="s">
        <v>7535</v>
      </c>
    </row>
    <row r="8" spans="1:7">
      <c r="A8" s="133" t="s">
        <v>14673</v>
      </c>
      <c r="C8" s="133" t="s">
        <v>14674</v>
      </c>
      <c r="D8" s="133" t="s">
        <v>14663</v>
      </c>
      <c r="E8" s="133">
        <v>14040803</v>
      </c>
      <c r="F8" s="133" t="s">
        <v>14660</v>
      </c>
    </row>
    <row r="9" spans="1:7">
      <c r="A9" s="133" t="s">
        <v>14675</v>
      </c>
      <c r="C9" s="133" t="s">
        <v>9096</v>
      </c>
      <c r="D9" s="133" t="s">
        <v>14676</v>
      </c>
      <c r="F9" s="133" t="s">
        <v>14665</v>
      </c>
    </row>
    <row r="10" spans="1:7">
      <c r="A10" s="133" t="s">
        <v>14677</v>
      </c>
      <c r="C10" s="133" t="s">
        <v>14636</v>
      </c>
      <c r="D10" s="133" t="s">
        <v>14678</v>
      </c>
      <c r="F10" s="133" t="s">
        <v>14665</v>
      </c>
    </row>
    <row r="11" spans="1:7">
      <c r="A11" s="133" t="s">
        <v>14679</v>
      </c>
      <c r="C11" s="133" t="s">
        <v>14680</v>
      </c>
      <c r="D11" s="133" t="s">
        <v>14681</v>
      </c>
      <c r="E11" s="133">
        <v>14040804</v>
      </c>
      <c r="F11" s="133" t="s">
        <v>14665</v>
      </c>
    </row>
    <row r="12" spans="1:7">
      <c r="A12" s="998" t="s">
        <v>14682</v>
      </c>
      <c r="C12" s="133" t="s">
        <v>9119</v>
      </c>
      <c r="D12" s="133" t="s">
        <v>14659</v>
      </c>
      <c r="E12" s="133" t="s">
        <v>14664</v>
      </c>
      <c r="F12" s="133" t="s">
        <v>14660</v>
      </c>
    </row>
    <row r="13" spans="1:7">
      <c r="A13" s="133" t="s">
        <v>14683</v>
      </c>
      <c r="C13" s="133" t="s">
        <v>14684</v>
      </c>
      <c r="D13" s="133" t="s">
        <v>14685</v>
      </c>
      <c r="E13" s="133">
        <v>14040911</v>
      </c>
      <c r="F13" s="133" t="s">
        <v>14665</v>
      </c>
    </row>
    <row r="14" spans="1:7">
      <c r="A14" s="133" t="s">
        <v>14686</v>
      </c>
      <c r="C14" s="133" t="s">
        <v>11466</v>
      </c>
      <c r="D14" s="133" t="s">
        <v>14685</v>
      </c>
      <c r="F14" s="133" t="s">
        <v>14660</v>
      </c>
    </row>
    <row r="15" spans="1:7">
      <c r="A15" s="133" t="s">
        <v>14687</v>
      </c>
      <c r="C15" s="133" t="s">
        <v>14688</v>
      </c>
      <c r="D15" s="133" t="s">
        <v>14689</v>
      </c>
      <c r="F15" s="133" t="s">
        <v>14665</v>
      </c>
    </row>
    <row r="16" spans="1:7">
      <c r="A16" s="133" t="s">
        <v>14690</v>
      </c>
      <c r="C16" s="133" t="s">
        <v>14691</v>
      </c>
      <c r="D16" s="133" t="s">
        <v>14692</v>
      </c>
      <c r="F16" s="133" t="s">
        <v>14660</v>
      </c>
    </row>
    <row r="17" spans="1:7">
      <c r="A17" s="133" t="s">
        <v>14693</v>
      </c>
      <c r="C17" s="133" t="s">
        <v>14694</v>
      </c>
      <c r="D17" s="133" t="s">
        <v>14695</v>
      </c>
      <c r="F17" s="133" t="s">
        <v>14660</v>
      </c>
    </row>
    <row r="18" spans="1:7">
      <c r="A18" s="133" t="s">
        <v>14696</v>
      </c>
      <c r="C18" s="133" t="s">
        <v>14697</v>
      </c>
      <c r="D18" s="133" t="s">
        <v>14695</v>
      </c>
      <c r="F18" s="133" t="s">
        <v>14660</v>
      </c>
    </row>
    <row r="19" spans="1:7">
      <c r="A19" s="133" t="s">
        <v>14698</v>
      </c>
      <c r="C19" s="133" t="s">
        <v>14699</v>
      </c>
      <c r="D19" s="133" t="s">
        <v>14700</v>
      </c>
      <c r="F19" s="133" t="s">
        <v>14660</v>
      </c>
    </row>
    <row r="20" spans="1:7">
      <c r="A20" s="133" t="s">
        <v>14701</v>
      </c>
      <c r="C20" s="133" t="s">
        <v>11477</v>
      </c>
      <c r="D20" s="133" t="s">
        <v>14702</v>
      </c>
      <c r="E20" s="133">
        <v>14040917</v>
      </c>
      <c r="F20" s="133" t="s">
        <v>14660</v>
      </c>
    </row>
    <row r="21" spans="1:7">
      <c r="A21" s="133" t="s">
        <v>14703</v>
      </c>
      <c r="C21" s="133" t="s">
        <v>14704</v>
      </c>
      <c r="D21" s="133" t="s">
        <v>14695</v>
      </c>
      <c r="F21" s="133" t="s">
        <v>14660</v>
      </c>
    </row>
    <row r="22" spans="1:7">
      <c r="A22" s="133" t="s">
        <v>14705</v>
      </c>
      <c r="C22" s="133" t="s">
        <v>14706</v>
      </c>
      <c r="D22" s="133" t="s">
        <v>14707</v>
      </c>
      <c r="E22" s="133">
        <v>14041023</v>
      </c>
      <c r="F22" s="133" t="s">
        <v>14665</v>
      </c>
      <c r="G22" s="133" t="s">
        <v>14708</v>
      </c>
    </row>
    <row r="23" spans="1:7">
      <c r="A23" s="133" t="s">
        <v>14709</v>
      </c>
      <c r="C23" s="133" t="s">
        <v>14630</v>
      </c>
      <c r="D23" s="133" t="s">
        <v>14695</v>
      </c>
      <c r="F23" s="133" t="s">
        <v>14660</v>
      </c>
    </row>
    <row r="24" spans="1:7">
      <c r="A24" s="133" t="s">
        <v>14710</v>
      </c>
      <c r="C24" s="133" t="s">
        <v>11819</v>
      </c>
      <c r="D24" s="133" t="s">
        <v>14711</v>
      </c>
      <c r="F24" s="133" t="s">
        <v>14660</v>
      </c>
    </row>
    <row r="25" spans="1:7">
      <c r="A25" s="133" t="s">
        <v>14712</v>
      </c>
      <c r="C25" s="133" t="s">
        <v>11821</v>
      </c>
      <c r="D25" s="133" t="s">
        <v>14713</v>
      </c>
      <c r="E25" s="133">
        <v>14041104</v>
      </c>
      <c r="F25" s="133" t="s">
        <v>14660</v>
      </c>
    </row>
    <row r="26" spans="1:7">
      <c r="A26" s="133" t="s">
        <v>14714</v>
      </c>
      <c r="C26" s="133" t="s">
        <v>7535</v>
      </c>
      <c r="D26" s="133" t="s">
        <v>14715</v>
      </c>
      <c r="F26" s="133" t="s">
        <v>14660</v>
      </c>
    </row>
    <row r="27" spans="1:7">
      <c r="A27" s="133" t="s">
        <v>14716</v>
      </c>
      <c r="C27" s="133" t="s">
        <v>14717</v>
      </c>
      <c r="D27" s="133" t="s">
        <v>14718</v>
      </c>
      <c r="F27" s="133" t="s">
        <v>14665</v>
      </c>
    </row>
    <row r="28" spans="1:7">
      <c r="A28" s="133" t="s">
        <v>14719</v>
      </c>
      <c r="C28" s="133" t="s">
        <v>14618</v>
      </c>
      <c r="D28" s="133" t="s">
        <v>14707</v>
      </c>
      <c r="F28" s="133" t="s">
        <v>14660</v>
      </c>
    </row>
    <row r="29" spans="1:7">
      <c r="A29" s="133" t="s">
        <v>14720</v>
      </c>
      <c r="C29" s="133" t="s">
        <v>14721</v>
      </c>
      <c r="D29" s="133" t="s">
        <v>14722</v>
      </c>
      <c r="F29" s="133" t="s">
        <v>14665</v>
      </c>
    </row>
    <row r="30" spans="1:7">
      <c r="A30" s="998" t="s">
        <v>14723</v>
      </c>
      <c r="C30" s="133" t="s">
        <v>14724</v>
      </c>
      <c r="D30" s="133" t="s">
        <v>14689</v>
      </c>
      <c r="F30" s="133" t="s">
        <v>14665</v>
      </c>
    </row>
    <row r="31" spans="1:7">
      <c r="A31" s="133" t="s">
        <v>14725</v>
      </c>
      <c r="C31" s="133" t="s">
        <v>14627</v>
      </c>
      <c r="D31" s="133" t="s">
        <v>14695</v>
      </c>
      <c r="F31" s="133" t="s">
        <v>14660</v>
      </c>
    </row>
    <row r="32" spans="1:7">
      <c r="A32" s="133" t="s">
        <v>11510</v>
      </c>
      <c r="C32" s="133" t="s">
        <v>9108</v>
      </c>
      <c r="D32" s="133" t="s">
        <v>14718</v>
      </c>
      <c r="E32" s="133">
        <v>14041114</v>
      </c>
      <c r="F32" s="133" t="s">
        <v>14660</v>
      </c>
    </row>
    <row r="33" spans="1:6">
      <c r="A33" s="133" t="s">
        <v>11204</v>
      </c>
      <c r="C33" s="133" t="s">
        <v>11203</v>
      </c>
      <c r="D33" s="133" t="s">
        <v>14715</v>
      </c>
      <c r="E33" s="133">
        <v>14041203</v>
      </c>
      <c r="F33" s="133" t="s">
        <v>14660</v>
      </c>
    </row>
    <row r="34" spans="1:6">
      <c r="A34" s="133" t="s">
        <v>14726</v>
      </c>
      <c r="C34" s="133" t="s">
        <v>14727</v>
      </c>
      <c r="D34" s="133" t="s">
        <v>423</v>
      </c>
      <c r="E34" s="133">
        <v>14041205</v>
      </c>
      <c r="F34" s="133" t="s">
        <v>14665</v>
      </c>
    </row>
    <row r="35" spans="1:6">
      <c r="A35" s="133" t="s">
        <v>14728</v>
      </c>
      <c r="C35" s="133" t="s">
        <v>14729</v>
      </c>
      <c r="D35" s="133" t="s">
        <v>14730</v>
      </c>
      <c r="F35" s="133" t="s">
        <v>14665</v>
      </c>
    </row>
    <row r="36" spans="1:6">
      <c r="A36" s="133" t="s">
        <v>14731</v>
      </c>
      <c r="C36" s="133" t="s">
        <v>14732</v>
      </c>
      <c r="D36" s="133" t="s">
        <v>14715</v>
      </c>
      <c r="F36" s="133" t="s">
        <v>14665</v>
      </c>
    </row>
    <row r="37" spans="1:6">
      <c r="A37" s="133" t="s">
        <v>14733</v>
      </c>
      <c r="C37" s="133" t="s">
        <v>9421</v>
      </c>
      <c r="D37" s="133" t="s">
        <v>14734</v>
      </c>
      <c r="F37" s="133" t="s">
        <v>14660</v>
      </c>
    </row>
    <row r="38" spans="1:6">
      <c r="A38" s="133" t="s">
        <v>9557</v>
      </c>
      <c r="C38" s="133" t="s">
        <v>9558</v>
      </c>
      <c r="D38" s="133" t="s">
        <v>14735</v>
      </c>
      <c r="F38" s="133" t="s">
        <v>14660</v>
      </c>
    </row>
    <row r="39" spans="1:6">
      <c r="A39" s="133" t="s">
        <v>14736</v>
      </c>
      <c r="C39" s="133" t="s">
        <v>9427</v>
      </c>
      <c r="D39" s="133" t="s">
        <v>14713</v>
      </c>
      <c r="F39" s="133" t="s">
        <v>14665</v>
      </c>
    </row>
    <row r="40" spans="1:6">
      <c r="A40" s="133" t="s">
        <v>14737</v>
      </c>
      <c r="D40" s="133" t="s">
        <v>14738</v>
      </c>
      <c r="F40" s="133" t="s">
        <v>14665</v>
      </c>
    </row>
    <row r="41" spans="1:6">
      <c r="A41" s="133" t="s">
        <v>11669</v>
      </c>
      <c r="C41" s="133" t="s">
        <v>9097</v>
      </c>
      <c r="D41" s="133" t="s">
        <v>423</v>
      </c>
      <c r="F41" s="133" t="s">
        <v>14660</v>
      </c>
    </row>
    <row r="42" spans="1:6">
      <c r="A42" s="133" t="s">
        <v>14739</v>
      </c>
      <c r="C42" s="133" t="s">
        <v>7503</v>
      </c>
      <c r="D42" s="133" t="s">
        <v>14678</v>
      </c>
      <c r="F42" s="133" t="s">
        <v>14660</v>
      </c>
    </row>
    <row r="43" spans="1:6">
      <c r="A43" s="133" t="s">
        <v>15268</v>
      </c>
      <c r="C43" s="133" t="s">
        <v>15269</v>
      </c>
      <c r="D43" s="133" t="s">
        <v>15270</v>
      </c>
      <c r="E43" s="133">
        <v>14050219</v>
      </c>
      <c r="F43" s="133" t="s">
        <v>14665</v>
      </c>
    </row>
    <row r="44" spans="1:6">
      <c r="A44" s="996" t="s">
        <v>11645</v>
      </c>
      <c r="C44" s="133" t="s">
        <v>15271</v>
      </c>
      <c r="D44" s="133" t="s">
        <v>14659</v>
      </c>
      <c r="F44" s="133" t="s">
        <v>14665</v>
      </c>
    </row>
    <row r="45" spans="1:6">
      <c r="A45" s="133" t="s">
        <v>15272</v>
      </c>
      <c r="C45" s="133" t="s">
        <v>15273</v>
      </c>
      <c r="D45" s="133" t="s">
        <v>14734</v>
      </c>
      <c r="F45" s="133" t="s">
        <v>14665</v>
      </c>
    </row>
    <row r="46" spans="1:6">
      <c r="A46" s="133" t="s">
        <v>14543</v>
      </c>
      <c r="C46" s="133" t="s">
        <v>15274</v>
      </c>
      <c r="F46" s="133" t="s">
        <v>14665</v>
      </c>
    </row>
    <row r="47" spans="1:6">
      <c r="A47" s="996" t="s">
        <v>11726</v>
      </c>
      <c r="C47" s="133" t="s">
        <v>15275</v>
      </c>
      <c r="D47" s="133" t="s">
        <v>1604</v>
      </c>
      <c r="E47" s="133">
        <v>14050223</v>
      </c>
      <c r="F47" s="133" t="s">
        <v>14665</v>
      </c>
    </row>
    <row r="48" spans="1:6">
      <c r="A48" s="133" t="s">
        <v>14537</v>
      </c>
      <c r="C48" s="133" t="s">
        <v>14616</v>
      </c>
      <c r="D48" s="133" t="s">
        <v>15276</v>
      </c>
      <c r="F48" s="133" t="s">
        <v>14660</v>
      </c>
    </row>
    <row r="49" spans="1:6">
      <c r="A49" s="133" t="s">
        <v>11656</v>
      </c>
      <c r="C49" s="133" t="s">
        <v>9536</v>
      </c>
      <c r="D49" s="133" t="s">
        <v>15277</v>
      </c>
      <c r="F49" s="133" t="s">
        <v>14665</v>
      </c>
    </row>
    <row r="50" spans="1:6">
      <c r="A50" s="133" t="s">
        <v>15278</v>
      </c>
      <c r="C50" s="133" t="s">
        <v>9439</v>
      </c>
      <c r="D50" s="133" t="s">
        <v>15279</v>
      </c>
      <c r="F50" s="133" t="s">
        <v>14660</v>
      </c>
    </row>
    <row r="51" spans="1:6">
      <c r="A51" s="996" t="s">
        <v>11655</v>
      </c>
      <c r="C51" s="133" t="s">
        <v>15280</v>
      </c>
      <c r="D51" s="133" t="s">
        <v>15281</v>
      </c>
      <c r="E51" s="133">
        <v>14050226</v>
      </c>
      <c r="F51" s="133" t="s">
        <v>14665</v>
      </c>
    </row>
    <row r="52" spans="1:6">
      <c r="A52" s="996" t="s">
        <v>11731</v>
      </c>
      <c r="C52" s="133" t="s">
        <v>15282</v>
      </c>
      <c r="D52" s="133" t="s">
        <v>15281</v>
      </c>
      <c r="F52" s="133" t="s">
        <v>14665</v>
      </c>
    </row>
    <row r="53" spans="1:6">
      <c r="A53" s="996" t="s">
        <v>11711</v>
      </c>
      <c r="C53" s="133" t="s">
        <v>7590</v>
      </c>
      <c r="D53" s="133" t="s">
        <v>15281</v>
      </c>
      <c r="F53" s="133" t="s">
        <v>14665</v>
      </c>
    </row>
    <row r="54" spans="1:6">
      <c r="A54" s="997" t="s">
        <v>15283</v>
      </c>
      <c r="C54" s="133" t="s">
        <v>9574</v>
      </c>
      <c r="D54" s="133" t="s">
        <v>15281</v>
      </c>
      <c r="F54" s="133" t="s">
        <v>14665</v>
      </c>
    </row>
    <row r="55" spans="1:6">
      <c r="A55" s="996" t="s">
        <v>11604</v>
      </c>
      <c r="C55" s="133" t="s">
        <v>9399</v>
      </c>
      <c r="D55" s="133" t="s">
        <v>15281</v>
      </c>
      <c r="F55" s="133" t="s">
        <v>14665</v>
      </c>
    </row>
    <row r="56" spans="1:6">
      <c r="A56" s="996" t="s">
        <v>15284</v>
      </c>
      <c r="C56" s="133" t="s">
        <v>7580</v>
      </c>
      <c r="D56" s="133" t="s">
        <v>15281</v>
      </c>
      <c r="F56" s="133" t="s">
        <v>14665</v>
      </c>
    </row>
    <row r="57" spans="1:6">
      <c r="A57" s="133" t="s">
        <v>15285</v>
      </c>
      <c r="C57" s="133" t="s">
        <v>9523</v>
      </c>
      <c r="D57" s="133" t="s">
        <v>15286</v>
      </c>
      <c r="F57" s="133" t="s">
        <v>14665</v>
      </c>
    </row>
    <row r="58" spans="1:6">
      <c r="A58" s="133" t="s">
        <v>11515</v>
      </c>
      <c r="C58" s="133" t="s">
        <v>11517</v>
      </c>
      <c r="D58" s="133" t="s">
        <v>15287</v>
      </c>
      <c r="F58" s="133" t="s">
        <v>14660</v>
      </c>
    </row>
    <row r="59" spans="1:6">
      <c r="A59" s="133" t="s">
        <v>14590</v>
      </c>
      <c r="C59" s="133" t="s">
        <v>14194</v>
      </c>
      <c r="D59" s="133" t="s">
        <v>14695</v>
      </c>
      <c r="F59" s="133" t="s">
        <v>14665</v>
      </c>
    </row>
    <row r="60" spans="1:6">
      <c r="A60" s="133" t="s">
        <v>9627</v>
      </c>
      <c r="C60" s="133" t="s">
        <v>9628</v>
      </c>
      <c r="D60" s="133" t="s">
        <v>15288</v>
      </c>
      <c r="F60" s="133" t="s">
        <v>14660</v>
      </c>
    </row>
    <row r="61" spans="1:6">
      <c r="A61" s="133" t="s">
        <v>9630</v>
      </c>
      <c r="C61" s="133" t="s">
        <v>9631</v>
      </c>
      <c r="D61" s="133" t="s">
        <v>15289</v>
      </c>
      <c r="F61" s="133" t="s">
        <v>14660</v>
      </c>
    </row>
    <row r="62" spans="1:6">
      <c r="A62" s="133" t="s">
        <v>9623</v>
      </c>
      <c r="C62" s="133" t="s">
        <v>9624</v>
      </c>
      <c r="F62" s="133" t="s">
        <v>14660</v>
      </c>
    </row>
    <row r="63" spans="1:6">
      <c r="A63" s="133" t="s">
        <v>9458</v>
      </c>
      <c r="C63" s="133" t="s">
        <v>9459</v>
      </c>
      <c r="D63" s="133" t="s">
        <v>14689</v>
      </c>
      <c r="F63" s="133" t="s">
        <v>14660</v>
      </c>
    </row>
    <row r="64" spans="1:6">
      <c r="A64" s="133" t="s">
        <v>9483</v>
      </c>
      <c r="C64" s="133" t="s">
        <v>7537</v>
      </c>
      <c r="D64" s="133" t="s">
        <v>14730</v>
      </c>
      <c r="F64" s="133" t="s">
        <v>14660</v>
      </c>
    </row>
    <row r="65" spans="1:6">
      <c r="A65" s="133" t="s">
        <v>14572</v>
      </c>
      <c r="C65" s="133" t="s">
        <v>7511</v>
      </c>
      <c r="D65" s="133" t="s">
        <v>14695</v>
      </c>
      <c r="F65" s="133" t="s">
        <v>14660</v>
      </c>
    </row>
    <row r="66" spans="1:6">
      <c r="A66" s="133" t="s">
        <v>9673</v>
      </c>
      <c r="C66" s="133" t="s">
        <v>7571</v>
      </c>
      <c r="D66" s="133" t="s">
        <v>1604</v>
      </c>
      <c r="F66" s="133" t="s">
        <v>14665</v>
      </c>
    </row>
    <row r="67" spans="1:6">
      <c r="A67" s="133" t="s">
        <v>16083</v>
      </c>
      <c r="C67" s="133" t="s">
        <v>7566</v>
      </c>
      <c r="D67" s="133" t="s">
        <v>1600</v>
      </c>
      <c r="F67" s="133" t="s">
        <v>14665</v>
      </c>
    </row>
    <row r="68" spans="1:6">
      <c r="A68" s="133" t="s">
        <v>9671</v>
      </c>
      <c r="C68" s="133" t="s">
        <v>9672</v>
      </c>
      <c r="D68" s="133" t="s">
        <v>1599</v>
      </c>
      <c r="F68" s="133" t="s">
        <v>14665</v>
      </c>
    </row>
    <row r="69" spans="1:6">
      <c r="A69" s="1228" t="s">
        <v>9609</v>
      </c>
      <c r="C69" s="133" t="s">
        <v>9610</v>
      </c>
      <c r="D69" s="133" t="s">
        <v>14730</v>
      </c>
      <c r="F69" s="133" t="s">
        <v>14660</v>
      </c>
    </row>
    <row r="70" spans="1:6">
      <c r="A70" s="133" t="s">
        <v>9635</v>
      </c>
      <c r="C70" s="133" t="s">
        <v>9636</v>
      </c>
    </row>
    <row r="71" spans="1:6">
      <c r="A71" s="133" t="s">
        <v>16084</v>
      </c>
      <c r="C71" s="133" t="s">
        <v>1577</v>
      </c>
      <c r="F71" s="133" t="s">
        <v>14665</v>
      </c>
    </row>
    <row r="72" spans="1:6">
      <c r="A72" s="996" t="s">
        <v>11633</v>
      </c>
      <c r="C72" s="133" t="s">
        <v>16085</v>
      </c>
      <c r="F72" s="133" t="s">
        <v>14665</v>
      </c>
    </row>
    <row r="73" spans="1:6">
      <c r="A73" s="133" t="s">
        <v>16086</v>
      </c>
      <c r="C73" s="133" t="s">
        <v>9074</v>
      </c>
      <c r="D73" s="133" t="s">
        <v>423</v>
      </c>
      <c r="E73" s="133">
        <v>14050327</v>
      </c>
      <c r="F73" s="133" t="s">
        <v>14660</v>
      </c>
    </row>
    <row r="74" spans="1:6">
      <c r="A74" s="996" t="s">
        <v>11634</v>
      </c>
      <c r="C74" s="133" t="s">
        <v>14193</v>
      </c>
      <c r="D74" s="133" t="s">
        <v>15281</v>
      </c>
      <c r="E74" s="133">
        <v>14050407</v>
      </c>
      <c r="F74" s="133" t="s">
        <v>14665</v>
      </c>
    </row>
    <row r="75" spans="1:6">
      <c r="A75" s="996" t="s">
        <v>11678</v>
      </c>
      <c r="C75" s="133" t="s">
        <v>9504</v>
      </c>
      <c r="F75" s="133" t="s">
        <v>14665</v>
      </c>
    </row>
    <row r="76" spans="1:6">
      <c r="A76" s="133" t="s">
        <v>9569</v>
      </c>
      <c r="C76" s="133" t="s">
        <v>9570</v>
      </c>
      <c r="D76" s="133" t="s">
        <v>15277</v>
      </c>
      <c r="F76" s="133" t="s">
        <v>14665</v>
      </c>
    </row>
    <row r="77" spans="1:6">
      <c r="A77" s="996" t="s">
        <v>11706</v>
      </c>
      <c r="C77" s="133" t="s">
        <v>1582</v>
      </c>
      <c r="D77" s="133" t="s">
        <v>16087</v>
      </c>
      <c r="F77" s="133" t="s">
        <v>14665</v>
      </c>
    </row>
    <row r="78" spans="1:6">
      <c r="A78" s="996" t="s">
        <v>11584</v>
      </c>
      <c r="C78" s="133" t="s">
        <v>9358</v>
      </c>
      <c r="D78" s="133" t="s">
        <v>16088</v>
      </c>
      <c r="F78" s="133" t="s">
        <v>14665</v>
      </c>
    </row>
    <row r="79" spans="1:6">
      <c r="A79" s="996" t="s">
        <v>11687</v>
      </c>
      <c r="C79" s="133" t="s">
        <v>9490</v>
      </c>
      <c r="D79" s="133" t="s">
        <v>16089</v>
      </c>
      <c r="F79" s="133" t="s">
        <v>14665</v>
      </c>
    </row>
    <row r="80" spans="1:6">
      <c r="A80" s="133" t="s">
        <v>11206</v>
      </c>
      <c r="C80" s="133" t="s">
        <v>11205</v>
      </c>
      <c r="D80" s="133" t="s">
        <v>16090</v>
      </c>
      <c r="F80" s="133" t="s">
        <v>14660</v>
      </c>
    </row>
    <row r="81" spans="1:12">
      <c r="A81" s="996" t="s">
        <v>11582</v>
      </c>
      <c r="C81" s="133" t="s">
        <v>1590</v>
      </c>
      <c r="D81" s="133" t="s">
        <v>423</v>
      </c>
      <c r="F81" s="133" t="s">
        <v>14665</v>
      </c>
    </row>
    <row r="82" spans="1:12">
      <c r="A82" s="133" t="s">
        <v>16187</v>
      </c>
      <c r="C82" s="133" t="s">
        <v>1571</v>
      </c>
      <c r="D82" s="133" t="s">
        <v>423</v>
      </c>
      <c r="F82" s="133" t="s">
        <v>14665</v>
      </c>
    </row>
    <row r="83" spans="1:12">
      <c r="A83" s="133" t="s">
        <v>11597</v>
      </c>
      <c r="C83" s="133" t="s">
        <v>9389</v>
      </c>
      <c r="D83" s="133" t="s">
        <v>1610</v>
      </c>
      <c r="F83" s="133" t="s">
        <v>14665</v>
      </c>
    </row>
    <row r="84" spans="1:12">
      <c r="A84" s="133" t="s">
        <v>11603</v>
      </c>
      <c r="C84" s="133" t="s">
        <v>1583</v>
      </c>
      <c r="D84" s="133" t="s">
        <v>423</v>
      </c>
      <c r="F84" s="133" t="s">
        <v>14665</v>
      </c>
    </row>
    <row r="85" spans="1:12">
      <c r="A85" s="996" t="s">
        <v>11728</v>
      </c>
      <c r="C85" s="1127" t="s">
        <v>1587</v>
      </c>
      <c r="D85" s="133" t="s">
        <v>423</v>
      </c>
      <c r="F85" s="133" t="s">
        <v>14665</v>
      </c>
    </row>
    <row r="86" spans="1:12">
      <c r="A86" s="996" t="s">
        <v>9621</v>
      </c>
      <c r="C86" s="1127" t="s">
        <v>9622</v>
      </c>
      <c r="D86" s="133" t="s">
        <v>16492</v>
      </c>
      <c r="E86" s="133">
        <v>14050418</v>
      </c>
      <c r="F86" s="133" t="s">
        <v>14660</v>
      </c>
    </row>
    <row r="87" spans="1:12">
      <c r="A87" s="996" t="s">
        <v>9649</v>
      </c>
      <c r="C87" s="1127" t="s">
        <v>7554</v>
      </c>
      <c r="D87" s="133" t="s">
        <v>16493</v>
      </c>
      <c r="F87" s="133" t="s">
        <v>14660</v>
      </c>
    </row>
    <row r="88" spans="1:12">
      <c r="A88" s="996" t="s">
        <v>14555</v>
      </c>
      <c r="C88" s="1127" t="s">
        <v>16494</v>
      </c>
      <c r="D88" s="133" t="s">
        <v>16495</v>
      </c>
      <c r="F88" s="133" t="s">
        <v>14660</v>
      </c>
    </row>
    <row r="89" spans="1:12">
      <c r="A89" s="996" t="s">
        <v>11357</v>
      </c>
      <c r="B89" s="701" t="s">
        <v>15477</v>
      </c>
      <c r="C89" s="1127" t="s">
        <v>45</v>
      </c>
      <c r="D89" s="133" t="s">
        <v>205</v>
      </c>
      <c r="E89" s="133" t="s">
        <v>15478</v>
      </c>
      <c r="F89" s="133" t="s">
        <v>15479</v>
      </c>
      <c r="G89" s="133" t="s">
        <v>15480</v>
      </c>
      <c r="H89" s="133" t="s">
        <v>15481</v>
      </c>
      <c r="I89" s="133" t="s">
        <v>50</v>
      </c>
      <c r="J89" s="133" t="s">
        <v>202</v>
      </c>
      <c r="K89" s="133" t="s">
        <v>65</v>
      </c>
      <c r="L89" s="133">
        <v>0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</vt:i4>
      </vt:variant>
    </vt:vector>
  </HeadingPairs>
  <TitlesOfParts>
    <vt:vector size="62" baseType="lpstr">
      <vt:lpstr>شعب ادغامی درمردادوشهریور 1405</vt:lpstr>
      <vt:lpstr>PIN PAD Policy</vt:lpstr>
      <vt:lpstr>خراسان رضوی</vt:lpstr>
      <vt:lpstr>خراسان شمالی</vt:lpstr>
      <vt:lpstr>خراسان جنوبی</vt:lpstr>
      <vt:lpstr>سیستان وبلوچستان</vt:lpstr>
      <vt:lpstr>گلستان</vt:lpstr>
      <vt:lpstr>استان تهران</vt:lpstr>
      <vt:lpstr>استان البرز</vt:lpstr>
      <vt:lpstr>استان اردبیل</vt:lpstr>
      <vt:lpstr>استان آذرغربی</vt:lpstr>
      <vt:lpstr>استان آذرشرقی</vt:lpstr>
      <vt:lpstr>خوزستان</vt:lpstr>
      <vt:lpstr>فارس</vt:lpstr>
      <vt:lpstr>قم</vt:lpstr>
      <vt:lpstr>کردستان</vt:lpstr>
      <vt:lpstr>لرستان</vt:lpstr>
      <vt:lpstr>همدان</vt:lpstr>
      <vt:lpstr>مرکزی</vt:lpstr>
      <vt:lpstr>کرمانشاه</vt:lpstr>
      <vt:lpstr>قزوین</vt:lpstr>
      <vt:lpstr>استان ایلام</vt:lpstr>
      <vt:lpstr>استان اصفهان</vt:lpstr>
      <vt:lpstr>استان بوشهر</vt:lpstr>
      <vt:lpstr>چهارمحال وبختیاری</vt:lpstr>
      <vt:lpstr>سمنان</vt:lpstr>
      <vt:lpstr>زنجان</vt:lpstr>
      <vt:lpstr>کهکلویه</vt:lpstr>
      <vt:lpstr>یزد</vt:lpstr>
      <vt:lpstr>گیلان</vt:lpstr>
      <vt:lpstr>مازندران</vt:lpstr>
      <vt:lpstr>هرمزگان</vt:lpstr>
      <vt:lpstr>کرمان</vt:lpstr>
      <vt:lpstr>مرکز داده سمنان</vt:lpstr>
      <vt:lpstr>مرکز داده تهران</vt:lpstr>
      <vt:lpstr>سازمان های حاکمیتی</vt:lpstr>
      <vt:lpstr>ساختمان اداری ملل</vt:lpstr>
      <vt:lpstr>شبکه VSAT</vt:lpstr>
      <vt:lpstr>ساختمان اداری فام</vt:lpstr>
      <vt:lpstr>گزارش آماری شبکهVPN</vt:lpstr>
      <vt:lpstr>شبکه نوری ملل وفام</vt:lpstr>
      <vt:lpstr>شبکه SIP ملل وفام</vt:lpstr>
      <vt:lpstr>اینترنت کاربری ملل وفام</vt:lpstr>
      <vt:lpstr>شبک دور کاری</vt:lpstr>
      <vt:lpstr>شبکه آنتی ویروس</vt:lpstr>
      <vt:lpstr>هزینه شبکه MPLS کشوری</vt:lpstr>
      <vt:lpstr>EOL&amp;EOS</vt:lpstr>
      <vt:lpstr>تجهیزات شبکه خودپرداز</vt:lpstr>
      <vt:lpstr>تجهیزات شبکه شعب ومراکز داده</vt:lpstr>
      <vt:lpstr>تجهیزات شبکه اینترنت سازمانی</vt:lpstr>
      <vt:lpstr>گزارش آماری شبکه اینترنت</vt:lpstr>
      <vt:lpstr>لیست جمع آوری سرویس</vt:lpstr>
      <vt:lpstr>هزینه های سرویس مخابرات تهران</vt:lpstr>
      <vt:lpstr>هزینه های سرویس مخابرات تهران2</vt:lpstr>
      <vt:lpstr>هزینه سرویس مخابرات</vt:lpstr>
      <vt:lpstr>گزارش وضعیت شعب تخریب شده1404دی</vt:lpstr>
      <vt:lpstr>14050610جمع آوری مبین نت</vt:lpstr>
      <vt:lpstr>شبکه مبین نت 2</vt:lpstr>
      <vt:lpstr>شبکه آسیاتک2</vt:lpstr>
      <vt:lpstr>شعب</vt:lpstr>
      <vt:lpstr>جمع اوری اسیاتک</vt:lpstr>
      <vt:lpstr>'هزینه های سرویس مخابرات تهران'!Print_Area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مجید امیدی</dc:creator>
  <cp:lastModifiedBy>مجید امیدی</cp:lastModifiedBy>
  <cp:lastPrinted>2026-07-01T11:55:20Z</cp:lastPrinted>
  <dcterms:created xsi:type="dcterms:W3CDTF">2025-08-25T09:20:23Z</dcterms:created>
  <dcterms:modified xsi:type="dcterms:W3CDTF">2026-09-09T05:43:37Z</dcterms:modified>
</cp:coreProperties>
</file>